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N:\PROCERASEO\2- REMUNERACION QUINCENAL\2026\2026072\"/>
    </mc:Choice>
  </mc:AlternateContent>
  <xr:revisionPtr revIDLastSave="0" documentId="13_ncr:1_{6514AB45-6A11-412E-8D7C-5B24C45C1974}" xr6:coauthVersionLast="47" xr6:coauthVersionMax="47" xr10:uidLastSave="{00000000-0000-0000-0000-000000000000}"/>
  <bookViews>
    <workbookView xWindow="28680" yWindow="-120" windowWidth="29040" windowHeight="15720" tabRatio="780" firstSheet="11" activeTab="17" xr2:uid="{00000000-000D-0000-FFFF-FFFF00000000}"/>
  </bookViews>
  <sheets>
    <sheet name="Recaudo EAAB Reciprocidad" sheetId="66" r:id="rId1"/>
    <sheet name="Recaudo ENEL" sheetId="71" r:id="rId2"/>
    <sheet name="Recaudo ENERBIT" sheetId="96" r:id="rId3"/>
    <sheet name="Recaudo EAAB + Ciud Limp" sheetId="57" r:id="rId4"/>
    <sheet name="Recaudo Directa Occidente" sheetId="58" r:id="rId5"/>
    <sheet name="REPORTE RECAUDO x BANCO" sheetId="62" r:id="rId6"/>
    <sheet name="ANT EXT-REV" sheetId="70" r:id="rId7"/>
    <sheet name="ANTICIPOS USUARIOS" sheetId="56" r:id="rId8"/>
    <sheet name="BCE SC POR FACT." sheetId="64" r:id="rId9"/>
    <sheet name="Reporte Componentes R1" sheetId="55" r:id="rId10"/>
    <sheet name="Rem. Anticipos R2" sheetId="59" r:id="rId11"/>
    <sheet name="Reversion Pagos R4" sheetId="61" r:id="rId12"/>
    <sheet name="SALDOS POR NOTA" sheetId="68" r:id="rId13"/>
    <sheet name="RETRIBUCION NEGATIVA" sheetId="67" r:id="rId14"/>
    <sheet name="AJUSTES - SF-T" sheetId="69" r:id="rId15"/>
    <sheet name="INTERVENTORIA" sheetId="95" r:id="rId16"/>
    <sheet name="Informe AFaseo Recaudo 202607-2" sheetId="89" r:id="rId17"/>
    <sheet name="CONSOLIDADO_TOTAL RECAUDO" sheetId="22" r:id="rId18"/>
    <sheet name="VALIDACION_TOTAL" sheetId="36" r:id="rId19"/>
    <sheet name="GERENTES_TOTAL" sheetId="39" r:id="rId20"/>
    <sheet name="REMUNERACION Reciprocidad EAAB" sheetId="75" r:id="rId21"/>
    <sheet name="VALIDACION_RECIP" sheetId="77" r:id="rId22"/>
    <sheet name="GERENTES_Reciprocidad_ EAAB" sheetId="76" r:id="rId23"/>
    <sheet name="REMUNERACION_ENEL" sheetId="79" r:id="rId24"/>
    <sheet name="VALIDACION_ENEL" sheetId="80" r:id="rId25"/>
    <sheet name="GERENTES_ENEL" sheetId="81" r:id="rId26"/>
    <sheet name="REMUNERACION_ENERBIT" sheetId="97" r:id="rId27"/>
    <sheet name="VALIDACION_ENERBIT" sheetId="98" r:id="rId28"/>
    <sheet name="GERENTES_ENERBIT" sheetId="99" r:id="rId29"/>
    <sheet name="REMUNERACION_OCCIDENTE_ Directa" sheetId="85" r:id="rId30"/>
    <sheet name="VALIDACION_OCCIDENTE" sheetId="83" r:id="rId31"/>
    <sheet name="GERENTES_OCCIDENTE _ Directa" sheetId="82" r:id="rId32"/>
    <sheet name="REMUNERACION_EAAB-CL" sheetId="86" r:id="rId33"/>
    <sheet name="VALIDACION_EAAB-CL" sheetId="87" r:id="rId34"/>
    <sheet name="GERENTES_EAAB-CL" sheetId="88" r:id="rId35"/>
    <sheet name="DetRetri2026072" sheetId="93" r:id="rId36"/>
    <sheet name="DetValiRetri2026072" sheetId="94" r:id="rId37"/>
    <sheet name="Valida -Remunera" sheetId="90" r:id="rId38"/>
    <sheet name="Valida - Anticipos" sheetId="91" r:id="rId39"/>
    <sheet name="Valida - Control Recaudo" sheetId="92" r:id="rId40"/>
  </sheets>
  <externalReferences>
    <externalReference r:id="rId41"/>
    <externalReference r:id="rId42"/>
    <externalReference r:id="rId43"/>
    <externalReference r:id="rId44"/>
    <externalReference r:id="rId45"/>
  </externalReferences>
  <definedNames>
    <definedName name="\0">#REF!</definedName>
    <definedName name="_1">#REF!</definedName>
    <definedName name="_2">#REF!</definedName>
    <definedName name="_A655555">#REF!</definedName>
    <definedName name="_CFR1">#REF!</definedName>
    <definedName name="_cia1">#REF!</definedName>
    <definedName name="_xlnm._FilterDatabase" localSheetId="3" hidden="1">'Recaudo EAAB + Ciud Limp'!#REF!</definedName>
    <definedName name="_xlnm._FilterDatabase" localSheetId="0" hidden="1">'Recaudo EAAB Reciprocidad'!#REF!</definedName>
    <definedName name="_Order1" hidden="1">0</definedName>
    <definedName name="_XL250">#REF!</definedName>
    <definedName name="A">#REF!</definedName>
    <definedName name="ADM" localSheetId="28">[1]!ADM</definedName>
    <definedName name="ADM" localSheetId="2">[1]!ADM</definedName>
    <definedName name="ADM" localSheetId="26">[1]!ADM</definedName>
    <definedName name="ADM" localSheetId="27">[1]!ADM</definedName>
    <definedName name="ADM">[1]!ADM</definedName>
    <definedName name="ADM_" localSheetId="28">[1]!ADM</definedName>
    <definedName name="ADM_" localSheetId="2">[1]!ADM</definedName>
    <definedName name="ADM_" localSheetId="26">[1]!ADM</definedName>
    <definedName name="ADM_" localSheetId="27">[1]!ADM</definedName>
    <definedName name="ADM_">[1]!ADM</definedName>
    <definedName name="AI">#REF!</definedName>
    <definedName name="Air">#REF!</definedName>
    <definedName name="anscount" hidden="1">1</definedName>
    <definedName name="AP">'[2]TARIFA no aforos'!$C$12</definedName>
    <definedName name="_xlnm.Print_Area">#REF!</definedName>
    <definedName name="Bancos">[3]Fx!$C$1:$C$23</definedName>
    <definedName name="CBL">#REF!</definedName>
    <definedName name="CCS">#REF!</definedName>
    <definedName name="CDT_p">[4]CDT!$C$3</definedName>
    <definedName name="CFR">#REF!</definedName>
    <definedName name="cia">#REF!</definedName>
    <definedName name="COM">#REF!</definedName>
    <definedName name="CRT">#REF!</definedName>
    <definedName name="CRT___CTEp___CDTp___CMRv">#REF!</definedName>
    <definedName name="CRT_aislados">'[4]COSTOS AJUSTADOS'!$C$13</definedName>
    <definedName name="CRT_costas">#REF!</definedName>
    <definedName name="CTE_p">[4]CTE!$C$5</definedName>
    <definedName name="Denominador">#REF!</definedName>
    <definedName name="dg" localSheetId="28">[1]!ADM</definedName>
    <definedName name="dg" localSheetId="2">[1]!ADM</definedName>
    <definedName name="dg" localSheetId="26">[1]!ADM</definedName>
    <definedName name="dg" localSheetId="27">[1]!ADM</definedName>
    <definedName name="dg">[1]!ADM</definedName>
    <definedName name="DIAS">[5]CONTRA!#REF!</definedName>
    <definedName name="Fmerc">#REF!</definedName>
    <definedName name="FPS">#REF!</definedName>
    <definedName name="InformacionGeneral" localSheetId="28">[1]!InformacionGeneral</definedName>
    <definedName name="InformacionGeneral" localSheetId="2">[1]!InformacionGeneral</definedName>
    <definedName name="InformacionGeneral" localSheetId="26">[1]!InformacionGeneral</definedName>
    <definedName name="InformacionGeneral" localSheetId="27">[1]!InformacionGeneral</definedName>
    <definedName name="InformacionGeneral">[1]!InformacionGeneral</definedName>
    <definedName name="INTFIN">#REF!</definedName>
    <definedName name="INV" localSheetId="28">[1]!INV</definedName>
    <definedName name="INV" localSheetId="2">[1]!INV</definedName>
    <definedName name="INV" localSheetId="26">[1]!INV</definedName>
    <definedName name="INV" localSheetId="27">[1]!INV</definedName>
    <definedName name="INV">[1]!INV</definedName>
    <definedName name="K">#REF!</definedName>
    <definedName name="N">'[4]COSTOS AJUSTADOS'!#REF!</definedName>
    <definedName name="Na">'[2]TARIFA no aforos'!$C$39</definedName>
    <definedName name="nfc">'[4]COSTOS AJUSTADOS'!#REF!</definedName>
    <definedName name="OYM" localSheetId="28">[1]!OYM</definedName>
    <definedName name="OYM" localSheetId="2">[1]!OYM</definedName>
    <definedName name="OYM" localSheetId="26">[1]!OYM</definedName>
    <definedName name="OYM" localSheetId="27">[1]!OYM</definedName>
    <definedName name="OYM">[1]!OYM</definedName>
    <definedName name="parametros" localSheetId="28">[1]!parametros</definedName>
    <definedName name="parametros" localSheetId="2">[1]!parametros</definedName>
    <definedName name="parametros" localSheetId="26">[1]!parametros</definedName>
    <definedName name="parametros" localSheetId="27">[1]!parametros</definedName>
    <definedName name="parametros">[1]!parametros</definedName>
    <definedName name="PPP">#REF!</definedName>
    <definedName name="PROMOAMBIENTAL_1">'Reporte Componentes R1'!$A$5:$X$30</definedName>
    <definedName name="Q">'[2]TARIFA no aforos'!$C$9</definedName>
    <definedName name="Qa">'[2]TARIFA no aforos'!$C$11</definedName>
    <definedName name="Qb">'[2]TARIFA no aforos'!$C$10</definedName>
    <definedName name="Qbr">#REF!</definedName>
    <definedName name="Qr">#REF!</definedName>
    <definedName name="Ref.">#REF!</definedName>
    <definedName name="RES" localSheetId="28">[1]!RES</definedName>
    <definedName name="RES" localSheetId="2">[1]!RES</definedName>
    <definedName name="RES" localSheetId="26">[1]!RES</definedName>
    <definedName name="RES" localSheetId="27">[1]!RES</definedName>
    <definedName name="RES">[1]!RES</definedName>
    <definedName name="SUBSIDIOS" localSheetId="28">[1]!SUBSIDIOS</definedName>
    <definedName name="SUBSIDIOS" localSheetId="2">[1]!SUBSIDIOS</definedName>
    <definedName name="SUBSIDIOS" localSheetId="26">[1]!SUBSIDIOS</definedName>
    <definedName name="SUBSIDIOS" localSheetId="27">[1]!SUBSIDIOS</definedName>
    <definedName name="SUBSIDIOS">[1]!SUBSIDIOS</definedName>
    <definedName name="Suma_Au">'[2]TARIFA no aforos'!$C$40</definedName>
    <definedName name="TAforadas">#REF!</definedName>
    <definedName name="TAj">#REF!</definedName>
    <definedName name="TAR" localSheetId="28">[1]!TAR</definedName>
    <definedName name="TAR" localSheetId="2">[1]!TAR</definedName>
    <definedName name="TAR" localSheetId="26">[1]!TAR</definedName>
    <definedName name="TAR" localSheetId="27">[1]!TAR</definedName>
    <definedName name="TAR">[1]!TAR</definedName>
    <definedName name="TBL">#REF!</definedName>
    <definedName name="TDT">#REF!</definedName>
    <definedName name="TFR">#REF!</definedName>
    <definedName name="TFRi">#REF!</definedName>
    <definedName name="_xlnm.Print_Titles">#N/A</definedName>
    <definedName name="Tj">#REF!</definedName>
    <definedName name="TMRf">#REF!</definedName>
    <definedName name="TMRv">#REF!</definedName>
    <definedName name="TNoAforadas">#REF!</definedName>
    <definedName name="TODO">#REF!</definedName>
    <definedName name="Trecep">#REF!</definedName>
    <definedName name="TRF">#REF!</definedName>
    <definedName name="TRFi">#REF!</definedName>
    <definedName name="TRT">#REF!</definedName>
    <definedName name="TTE">#REF!</definedName>
    <definedName name="TTotales">#REF!</definedName>
    <definedName name="TU">#REF!</definedName>
    <definedName name="VP_CTE">#REF!</definedName>
    <definedName name="wrn.resumen." localSheetId="15" hidden="1">{"total",#N/A,FALSE,"TD 0% ";"total",#N/A,FALSE,"TD 12%";"total",#N/A,FALSE,"TD 10%"}</definedName>
    <definedName name="wrn.resumen." hidden="1">{"total",#N/A,FALSE,"TD 0% ";"total",#N/A,FALSE,"TD 12%";"total",#N/A,FALSE,"TD 10%"}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Z480" i="55" l="1"/>
  <c r="Y480" i="55"/>
  <c r="X480" i="55"/>
  <c r="W480" i="55"/>
  <c r="AC50" i="79" s="1"/>
  <c r="V480" i="55"/>
  <c r="U480" i="55"/>
  <c r="T480" i="55"/>
  <c r="S480" i="55"/>
  <c r="R480" i="55"/>
  <c r="Q480" i="55"/>
  <c r="P480" i="55"/>
  <c r="O480" i="55"/>
  <c r="N480" i="55"/>
  <c r="M480" i="55"/>
  <c r="L480" i="55"/>
  <c r="K480" i="55"/>
  <c r="J480" i="55"/>
  <c r="I480" i="55"/>
  <c r="H480" i="55"/>
  <c r="G480" i="55"/>
  <c r="U373" i="55"/>
  <c r="V373" i="55"/>
  <c r="W373" i="55"/>
  <c r="X373" i="55"/>
  <c r="Y373" i="55"/>
  <c r="Z373" i="55"/>
  <c r="Z470" i="55"/>
  <c r="AC50" i="22"/>
  <c r="M27" i="94"/>
  <c r="D22" i="68"/>
  <c r="C23" i="68"/>
  <c r="C22" i="68"/>
  <c r="Z475" i="55"/>
  <c r="Y475" i="55"/>
  <c r="X475" i="55"/>
  <c r="W475" i="55"/>
  <c r="V475" i="55"/>
  <c r="U475" i="55"/>
  <c r="T475" i="55"/>
  <c r="S475" i="55"/>
  <c r="R475" i="55"/>
  <c r="Q475" i="55"/>
  <c r="P475" i="55"/>
  <c r="O475" i="55"/>
  <c r="N475" i="55"/>
  <c r="M475" i="55"/>
  <c r="L475" i="55"/>
  <c r="K475" i="55"/>
  <c r="J475" i="55"/>
  <c r="I475" i="55"/>
  <c r="H475" i="55"/>
  <c r="G475" i="55"/>
  <c r="F475" i="55"/>
  <c r="AA218" i="55"/>
  <c r="Z218" i="55"/>
  <c r="Y218" i="55"/>
  <c r="X218" i="55"/>
  <c r="W218" i="55"/>
  <c r="V218" i="55"/>
  <c r="U218" i="55"/>
  <c r="T218" i="55"/>
  <c r="S218" i="55"/>
  <c r="R218" i="55"/>
  <c r="Q218" i="55"/>
  <c r="P218" i="55"/>
  <c r="O218" i="55"/>
  <c r="N218" i="55"/>
  <c r="M218" i="55"/>
  <c r="L218" i="55"/>
  <c r="K218" i="55"/>
  <c r="J218" i="55"/>
  <c r="I218" i="55"/>
  <c r="H218" i="55"/>
  <c r="AP228" i="55"/>
  <c r="AO228" i="55"/>
  <c r="AN228" i="55"/>
  <c r="AM228" i="55"/>
  <c r="AL228" i="55"/>
  <c r="AK228" i="55"/>
  <c r="AJ228" i="55"/>
  <c r="AI228" i="55"/>
  <c r="AH228" i="55"/>
  <c r="AG228" i="55"/>
  <c r="AF228" i="55"/>
  <c r="AE228" i="55"/>
  <c r="AD228" i="55"/>
  <c r="AC228" i="55"/>
  <c r="AB228" i="55"/>
  <c r="AA228" i="55"/>
  <c r="Z228" i="55"/>
  <c r="Y228" i="55"/>
  <c r="X228" i="55"/>
  <c r="W228" i="55"/>
  <c r="V228" i="55"/>
  <c r="U228" i="55"/>
  <c r="T228" i="55"/>
  <c r="S228" i="55"/>
  <c r="R228" i="55"/>
  <c r="Q228" i="55"/>
  <c r="P228" i="55"/>
  <c r="O228" i="55"/>
  <c r="N228" i="55"/>
  <c r="M228" i="55"/>
  <c r="L228" i="55"/>
  <c r="K228" i="55"/>
  <c r="J228" i="55"/>
  <c r="I228" i="55"/>
  <c r="H228" i="55"/>
  <c r="G228" i="55"/>
  <c r="G218" i="55"/>
  <c r="G208" i="55"/>
  <c r="F65" i="55"/>
  <c r="AP55" i="55"/>
  <c r="AO55" i="55"/>
  <c r="AN55" i="55"/>
  <c r="AM55" i="55"/>
  <c r="AL55" i="55"/>
  <c r="AK55" i="55"/>
  <c r="AJ55" i="55"/>
  <c r="AI55" i="55"/>
  <c r="AH55" i="55"/>
  <c r="AG55" i="55"/>
  <c r="AF55" i="55"/>
  <c r="AE55" i="55"/>
  <c r="AD55" i="55"/>
  <c r="AC55" i="55"/>
  <c r="AB55" i="55"/>
  <c r="AA55" i="55"/>
  <c r="Z55" i="55"/>
  <c r="Y55" i="55"/>
  <c r="X55" i="55"/>
  <c r="W55" i="55"/>
  <c r="V55" i="55"/>
  <c r="U55" i="55"/>
  <c r="T55" i="55"/>
  <c r="S55" i="55"/>
  <c r="R55" i="55"/>
  <c r="Q55" i="55"/>
  <c r="P55" i="55"/>
  <c r="O55" i="55"/>
  <c r="N55" i="55"/>
  <c r="M55" i="55"/>
  <c r="L55" i="55"/>
  <c r="K55" i="55"/>
  <c r="J55" i="55"/>
  <c r="I55" i="55"/>
  <c r="H55" i="55"/>
  <c r="G55" i="55"/>
  <c r="F56" i="55"/>
  <c r="F55" i="55"/>
  <c r="D9" i="68"/>
  <c r="C10" i="68"/>
  <c r="C9" i="68"/>
  <c r="E367" i="61"/>
  <c r="D368" i="61"/>
  <c r="D367" i="61"/>
  <c r="E361" i="61"/>
  <c r="D362" i="61"/>
  <c r="D361" i="61"/>
  <c r="R355" i="61"/>
  <c r="Q355" i="61"/>
  <c r="P355" i="61"/>
  <c r="O355" i="61"/>
  <c r="N355" i="61"/>
  <c r="M355" i="61"/>
  <c r="L355" i="61"/>
  <c r="K355" i="61"/>
  <c r="J355" i="61"/>
  <c r="I355" i="61"/>
  <c r="H355" i="61"/>
  <c r="G355" i="61"/>
  <c r="F355" i="61"/>
  <c r="E355" i="61"/>
  <c r="D356" i="61"/>
  <c r="D355" i="61"/>
  <c r="D327" i="61"/>
  <c r="D326" i="61"/>
  <c r="E320" i="61"/>
  <c r="D321" i="61"/>
  <c r="D320" i="61"/>
  <c r="R217" i="61"/>
  <c r="Q217" i="61"/>
  <c r="P217" i="61"/>
  <c r="O217" i="61"/>
  <c r="N217" i="61"/>
  <c r="M217" i="61"/>
  <c r="L217" i="61"/>
  <c r="K217" i="61"/>
  <c r="J217" i="61"/>
  <c r="I217" i="61"/>
  <c r="H217" i="61"/>
  <c r="G217" i="61"/>
  <c r="F217" i="61"/>
  <c r="E217" i="61"/>
  <c r="D218" i="61"/>
  <c r="D217" i="61"/>
  <c r="E211" i="61"/>
  <c r="D212" i="61"/>
  <c r="D211" i="61"/>
  <c r="R205" i="61"/>
  <c r="Q205" i="61"/>
  <c r="P205" i="61"/>
  <c r="O205" i="61"/>
  <c r="N205" i="61"/>
  <c r="M205" i="61"/>
  <c r="L205" i="61"/>
  <c r="K205" i="61"/>
  <c r="J205" i="61"/>
  <c r="I205" i="61"/>
  <c r="H205" i="61"/>
  <c r="G205" i="61"/>
  <c r="F205" i="61"/>
  <c r="E205" i="61"/>
  <c r="D206" i="61"/>
  <c r="D205" i="61"/>
  <c r="E180" i="61"/>
  <c r="D181" i="61"/>
  <c r="D180" i="61"/>
  <c r="E174" i="61"/>
  <c r="D175" i="61"/>
  <c r="D174" i="61"/>
  <c r="R168" i="61"/>
  <c r="Q168" i="61"/>
  <c r="P168" i="61"/>
  <c r="O168" i="61"/>
  <c r="N168" i="61"/>
  <c r="M168" i="61"/>
  <c r="L168" i="61"/>
  <c r="K168" i="61"/>
  <c r="J168" i="61"/>
  <c r="I168" i="61"/>
  <c r="H168" i="61"/>
  <c r="G168" i="61"/>
  <c r="F168" i="61"/>
  <c r="E168" i="61"/>
  <c r="D169" i="61"/>
  <c r="D168" i="61"/>
  <c r="R85" i="61"/>
  <c r="Q85" i="61"/>
  <c r="P85" i="61"/>
  <c r="O85" i="61"/>
  <c r="N85" i="61"/>
  <c r="M85" i="61"/>
  <c r="L85" i="61"/>
  <c r="K85" i="61"/>
  <c r="J85" i="61"/>
  <c r="I85" i="61"/>
  <c r="H85" i="61"/>
  <c r="G85" i="61"/>
  <c r="F85" i="61"/>
  <c r="E85" i="61"/>
  <c r="D86" i="61"/>
  <c r="D85" i="61"/>
  <c r="E79" i="61"/>
  <c r="D80" i="61"/>
  <c r="D79" i="61"/>
  <c r="D74" i="61"/>
  <c r="R73" i="61"/>
  <c r="Q73" i="61"/>
  <c r="P73" i="61"/>
  <c r="O73" i="61"/>
  <c r="N73" i="61"/>
  <c r="M73" i="61"/>
  <c r="L73" i="61"/>
  <c r="K73" i="61"/>
  <c r="J73" i="61"/>
  <c r="I73" i="61"/>
  <c r="H73" i="61"/>
  <c r="G73" i="61"/>
  <c r="F73" i="61"/>
  <c r="E73" i="61"/>
  <c r="D73" i="61"/>
  <c r="E370" i="59"/>
  <c r="E364" i="59"/>
  <c r="E361" i="59"/>
  <c r="E358" i="59"/>
  <c r="E151" i="59"/>
  <c r="E145" i="59"/>
  <c r="F142" i="59"/>
  <c r="E143" i="59"/>
  <c r="E142" i="59"/>
  <c r="E139" i="59"/>
  <c r="E55" i="59"/>
  <c r="E49" i="59"/>
  <c r="E43" i="59"/>
  <c r="G580" i="55"/>
  <c r="F581" i="55"/>
  <c r="F580" i="55"/>
  <c r="F578" i="55"/>
  <c r="F573" i="55"/>
  <c r="G568" i="55"/>
  <c r="F569" i="55"/>
  <c r="F568" i="55"/>
  <c r="G560" i="55"/>
  <c r="F561" i="55"/>
  <c r="F560" i="55"/>
  <c r="G558" i="55"/>
  <c r="F559" i="55"/>
  <c r="F558" i="55"/>
  <c r="G468" i="55"/>
  <c r="F468" i="55"/>
  <c r="F355" i="55"/>
  <c r="F353" i="55"/>
  <c r="F343" i="55"/>
  <c r="F228" i="55"/>
  <c r="G226" i="55"/>
  <c r="F227" i="55"/>
  <c r="F226" i="55"/>
  <c r="F219" i="55"/>
  <c r="F218" i="55"/>
  <c r="G216" i="55"/>
  <c r="F217" i="55"/>
  <c r="F216" i="55"/>
  <c r="G211" i="55"/>
  <c r="AP211" i="55"/>
  <c r="AO211" i="55"/>
  <c r="AN211" i="55"/>
  <c r="AM211" i="55"/>
  <c r="AL211" i="55"/>
  <c r="AK211" i="55"/>
  <c r="AJ211" i="55"/>
  <c r="AI211" i="55"/>
  <c r="AH211" i="55"/>
  <c r="AG211" i="55"/>
  <c r="AF211" i="55"/>
  <c r="AE211" i="55"/>
  <c r="AD211" i="55"/>
  <c r="AC211" i="55"/>
  <c r="AB211" i="55"/>
  <c r="AA211" i="55"/>
  <c r="Z211" i="55"/>
  <c r="Y211" i="55"/>
  <c r="X211" i="55"/>
  <c r="W211" i="55"/>
  <c r="V211" i="55"/>
  <c r="U211" i="55"/>
  <c r="T211" i="55"/>
  <c r="S211" i="55"/>
  <c r="R211" i="55"/>
  <c r="Q211" i="55"/>
  <c r="P211" i="55"/>
  <c r="O211" i="55"/>
  <c r="N211" i="55"/>
  <c r="M211" i="55"/>
  <c r="L211" i="55"/>
  <c r="K211" i="55"/>
  <c r="J211" i="55"/>
  <c r="I211" i="55"/>
  <c r="H211" i="55"/>
  <c r="F212" i="55"/>
  <c r="F211" i="55"/>
  <c r="G206" i="55"/>
  <c r="F207" i="55"/>
  <c r="F206" i="55"/>
  <c r="F83" i="55"/>
  <c r="G73" i="55"/>
  <c r="F73" i="55"/>
  <c r="G65" i="55"/>
  <c r="AP63" i="55"/>
  <c r="AO63" i="55"/>
  <c r="AN63" i="55"/>
  <c r="AM63" i="55"/>
  <c r="AL63" i="55"/>
  <c r="AK63" i="55"/>
  <c r="AJ63" i="55"/>
  <c r="AI63" i="55"/>
  <c r="AH63" i="55"/>
  <c r="AG63" i="55"/>
  <c r="AF63" i="55"/>
  <c r="AE63" i="55"/>
  <c r="AD63" i="55"/>
  <c r="AC63" i="55"/>
  <c r="AB63" i="55"/>
  <c r="AA63" i="55"/>
  <c r="Z63" i="55"/>
  <c r="Y63" i="55"/>
  <c r="X63" i="55"/>
  <c r="W63" i="55"/>
  <c r="V63" i="55"/>
  <c r="U63" i="55"/>
  <c r="T63" i="55"/>
  <c r="S63" i="55"/>
  <c r="R63" i="55"/>
  <c r="Q63" i="55"/>
  <c r="P63" i="55"/>
  <c r="O63" i="55"/>
  <c r="N63" i="55"/>
  <c r="M63" i="55"/>
  <c r="L63" i="55"/>
  <c r="K63" i="55"/>
  <c r="J63" i="55"/>
  <c r="I63" i="55"/>
  <c r="H63" i="55"/>
  <c r="G63" i="55"/>
  <c r="F64" i="55"/>
  <c r="F63" i="55"/>
  <c r="G53" i="55"/>
  <c r="F54" i="55"/>
  <c r="F53" i="55"/>
  <c r="L10" i="22" l="1"/>
  <c r="L11" i="22"/>
  <c r="L12" i="22"/>
  <c r="L13" i="22"/>
  <c r="L9" i="22"/>
  <c r="R27" i="95"/>
  <c r="R28" i="95"/>
  <c r="R29" i="95"/>
  <c r="R30" i="95"/>
  <c r="R31" i="95"/>
  <c r="R26" i="95"/>
  <c r="F3" i="64" l="1"/>
  <c r="D47" i="68"/>
  <c r="C48" i="68"/>
  <c r="C47" i="68"/>
  <c r="D34" i="68"/>
  <c r="C35" i="68"/>
  <c r="C34" i="68"/>
  <c r="R367" i="61"/>
  <c r="Q367" i="61"/>
  <c r="P367" i="61"/>
  <c r="O367" i="61"/>
  <c r="N367" i="61"/>
  <c r="M367" i="61"/>
  <c r="L367" i="61"/>
  <c r="K367" i="61"/>
  <c r="J367" i="61"/>
  <c r="I367" i="61"/>
  <c r="H367" i="61"/>
  <c r="G367" i="61"/>
  <c r="F367" i="61"/>
  <c r="R332" i="61"/>
  <c r="Q332" i="61"/>
  <c r="P332" i="61"/>
  <c r="O332" i="61"/>
  <c r="N332" i="61"/>
  <c r="M332" i="61"/>
  <c r="L332" i="61"/>
  <c r="K332" i="61"/>
  <c r="J332" i="61"/>
  <c r="I332" i="61"/>
  <c r="H332" i="61"/>
  <c r="G332" i="61"/>
  <c r="F332" i="61"/>
  <c r="E332" i="61"/>
  <c r="D333" i="61"/>
  <c r="D332" i="61"/>
  <c r="E326" i="61"/>
  <c r="R323" i="61"/>
  <c r="Q323" i="61"/>
  <c r="P323" i="61"/>
  <c r="O323" i="61"/>
  <c r="N323" i="61"/>
  <c r="M323" i="61"/>
  <c r="L323" i="61"/>
  <c r="K323" i="61"/>
  <c r="J323" i="61"/>
  <c r="I323" i="61"/>
  <c r="H323" i="61"/>
  <c r="G323" i="61"/>
  <c r="F323" i="61"/>
  <c r="E323" i="61"/>
  <c r="D324" i="61"/>
  <c r="D323" i="61"/>
  <c r="R320" i="61"/>
  <c r="Q320" i="61"/>
  <c r="P320" i="61"/>
  <c r="O320" i="61"/>
  <c r="N320" i="61"/>
  <c r="M320" i="61"/>
  <c r="L320" i="61"/>
  <c r="K320" i="61"/>
  <c r="J320" i="61"/>
  <c r="I320" i="61"/>
  <c r="H320" i="61"/>
  <c r="G320" i="61"/>
  <c r="F320" i="61"/>
  <c r="E447" i="59" l="1"/>
  <c r="F444" i="59"/>
  <c r="E445" i="59"/>
  <c r="E444" i="59"/>
  <c r="F438" i="59"/>
  <c r="E439" i="59"/>
  <c r="E438" i="59"/>
  <c r="E371" i="59"/>
  <c r="F370" i="59"/>
  <c r="F364" i="59"/>
  <c r="E365" i="59"/>
  <c r="F361" i="59"/>
  <c r="E362" i="59"/>
  <c r="F358" i="59"/>
  <c r="E359" i="59"/>
  <c r="F268" i="59"/>
  <c r="E269" i="59"/>
  <c r="E268" i="59"/>
  <c r="F262" i="59"/>
  <c r="E263" i="59"/>
  <c r="E262" i="59"/>
  <c r="F256" i="59"/>
  <c r="E257" i="59"/>
  <c r="E256" i="59"/>
  <c r="F151" i="59"/>
  <c r="E152" i="59"/>
  <c r="F145" i="59"/>
  <c r="E146" i="59"/>
  <c r="F139" i="59"/>
  <c r="E140" i="59"/>
  <c r="E56" i="59"/>
  <c r="F55" i="59"/>
  <c r="F49" i="59"/>
  <c r="E50" i="59"/>
  <c r="F43" i="59"/>
  <c r="E44" i="59"/>
  <c r="AO580" i="55"/>
  <c r="AN580" i="55"/>
  <c r="AM580" i="55"/>
  <c r="AL580" i="55"/>
  <c r="AK580" i="55"/>
  <c r="AJ580" i="55"/>
  <c r="AI580" i="55"/>
  <c r="AH580" i="55"/>
  <c r="AG580" i="55"/>
  <c r="AF580" i="55"/>
  <c r="AE580" i="55"/>
  <c r="AD580" i="55"/>
  <c r="AC580" i="55"/>
  <c r="AB580" i="55"/>
  <c r="AA580" i="55"/>
  <c r="Z580" i="55"/>
  <c r="Y580" i="55"/>
  <c r="X580" i="55"/>
  <c r="W580" i="55"/>
  <c r="V580" i="55"/>
  <c r="U580" i="55"/>
  <c r="T580" i="55"/>
  <c r="S580" i="55"/>
  <c r="R580" i="55"/>
  <c r="Q580" i="55"/>
  <c r="P580" i="55"/>
  <c r="O580" i="55"/>
  <c r="N580" i="55"/>
  <c r="M580" i="55"/>
  <c r="L580" i="55"/>
  <c r="K580" i="55"/>
  <c r="J580" i="55"/>
  <c r="I580" i="55"/>
  <c r="H580" i="55"/>
  <c r="G578" i="55"/>
  <c r="F579" i="55"/>
  <c r="G573" i="55"/>
  <c r="F574" i="55"/>
  <c r="AO568" i="55"/>
  <c r="AN568" i="55"/>
  <c r="AM568" i="55"/>
  <c r="AL568" i="55"/>
  <c r="AK568" i="55"/>
  <c r="AJ568" i="55"/>
  <c r="AI568" i="55"/>
  <c r="AH568" i="55"/>
  <c r="AG568" i="55"/>
  <c r="AF568" i="55"/>
  <c r="AE568" i="55"/>
  <c r="AD568" i="55"/>
  <c r="AC568" i="55"/>
  <c r="AB568" i="55"/>
  <c r="AA568" i="55"/>
  <c r="Z568" i="55"/>
  <c r="Y568" i="55"/>
  <c r="X568" i="55"/>
  <c r="W568" i="55"/>
  <c r="V568" i="55"/>
  <c r="U568" i="55"/>
  <c r="T568" i="55"/>
  <c r="S568" i="55"/>
  <c r="R568" i="55"/>
  <c r="Q568" i="55"/>
  <c r="P568" i="55"/>
  <c r="O568" i="55"/>
  <c r="N568" i="55"/>
  <c r="M568" i="55"/>
  <c r="L568" i="55"/>
  <c r="K568" i="55"/>
  <c r="J568" i="55"/>
  <c r="I568" i="55"/>
  <c r="H568" i="55"/>
  <c r="AO560" i="55"/>
  <c r="AN560" i="55"/>
  <c r="AM560" i="55"/>
  <c r="AL560" i="55"/>
  <c r="AK560" i="55"/>
  <c r="AJ560" i="55"/>
  <c r="AI560" i="55"/>
  <c r="AH560" i="55"/>
  <c r="AG560" i="55"/>
  <c r="AF560" i="55"/>
  <c r="AE560" i="55"/>
  <c r="AD560" i="55"/>
  <c r="AC560" i="55"/>
  <c r="AB560" i="55"/>
  <c r="AA560" i="55"/>
  <c r="Z560" i="55"/>
  <c r="Y560" i="55"/>
  <c r="X560" i="55"/>
  <c r="W560" i="55"/>
  <c r="V560" i="55"/>
  <c r="U560" i="55"/>
  <c r="T560" i="55"/>
  <c r="S560" i="55"/>
  <c r="R560" i="55"/>
  <c r="Q560" i="55"/>
  <c r="P560" i="55"/>
  <c r="O560" i="55"/>
  <c r="N560" i="55"/>
  <c r="M560" i="55"/>
  <c r="L560" i="55"/>
  <c r="K560" i="55"/>
  <c r="J560" i="55"/>
  <c r="I560" i="55"/>
  <c r="H560" i="55"/>
  <c r="AO558" i="55"/>
  <c r="AN558" i="55"/>
  <c r="AM558" i="55"/>
  <c r="AL558" i="55"/>
  <c r="AK558" i="55"/>
  <c r="AJ558" i="55"/>
  <c r="AI558" i="55"/>
  <c r="AH558" i="55"/>
  <c r="AG558" i="55"/>
  <c r="AF558" i="55"/>
  <c r="AE558" i="55"/>
  <c r="AD558" i="55"/>
  <c r="AC558" i="55"/>
  <c r="AB558" i="55"/>
  <c r="AA558" i="55"/>
  <c r="Z558" i="55"/>
  <c r="Y558" i="55"/>
  <c r="X558" i="55"/>
  <c r="W558" i="55"/>
  <c r="V558" i="55"/>
  <c r="U558" i="55"/>
  <c r="T558" i="55"/>
  <c r="S558" i="55"/>
  <c r="R558" i="55"/>
  <c r="Q558" i="55"/>
  <c r="P558" i="55"/>
  <c r="O558" i="55"/>
  <c r="N558" i="55"/>
  <c r="M558" i="55"/>
  <c r="L558" i="55"/>
  <c r="K558" i="55"/>
  <c r="J558" i="55"/>
  <c r="I558" i="55"/>
  <c r="H558" i="55"/>
  <c r="G490" i="55"/>
  <c r="F491" i="55"/>
  <c r="F490" i="55"/>
  <c r="AO488" i="55"/>
  <c r="AN488" i="55"/>
  <c r="AM488" i="55"/>
  <c r="AL488" i="55"/>
  <c r="AK488" i="55"/>
  <c r="AJ488" i="55"/>
  <c r="AI488" i="55"/>
  <c r="AH488" i="55"/>
  <c r="AG488" i="55"/>
  <c r="AF488" i="55"/>
  <c r="AE488" i="55"/>
  <c r="AD488" i="55"/>
  <c r="AC488" i="55"/>
  <c r="AB488" i="55"/>
  <c r="AA488" i="55"/>
  <c r="Z488" i="55"/>
  <c r="Y488" i="55"/>
  <c r="X488" i="55"/>
  <c r="W488" i="55"/>
  <c r="V488" i="55"/>
  <c r="U488" i="55"/>
  <c r="T488" i="55"/>
  <c r="S488" i="55"/>
  <c r="R488" i="55"/>
  <c r="Q488" i="55"/>
  <c r="P488" i="55"/>
  <c r="O488" i="55"/>
  <c r="N488" i="55"/>
  <c r="M488" i="55"/>
  <c r="L488" i="55"/>
  <c r="K488" i="55"/>
  <c r="J488" i="55"/>
  <c r="I488" i="55"/>
  <c r="H488" i="55"/>
  <c r="G488" i="55"/>
  <c r="F489" i="55"/>
  <c r="F488" i="55"/>
  <c r="F481" i="55"/>
  <c r="F480" i="55"/>
  <c r="G478" i="55"/>
  <c r="F479" i="55"/>
  <c r="F478" i="55"/>
  <c r="AO473" i="55"/>
  <c r="AN473" i="55"/>
  <c r="AM473" i="55"/>
  <c r="AL473" i="55"/>
  <c r="AK473" i="55"/>
  <c r="AJ473" i="55"/>
  <c r="AI473" i="55"/>
  <c r="AH473" i="55"/>
  <c r="AG473" i="55"/>
  <c r="AF473" i="55"/>
  <c r="AE473" i="55"/>
  <c r="AD473" i="55"/>
  <c r="AC473" i="55"/>
  <c r="AB473" i="55"/>
  <c r="AA473" i="55"/>
  <c r="Z473" i="55"/>
  <c r="Y473" i="55"/>
  <c r="X473" i="55"/>
  <c r="W473" i="55"/>
  <c r="V473" i="55"/>
  <c r="U473" i="55"/>
  <c r="T473" i="55"/>
  <c r="S473" i="55"/>
  <c r="R473" i="55"/>
  <c r="Q473" i="55"/>
  <c r="P473" i="55"/>
  <c r="O473" i="55"/>
  <c r="N473" i="55"/>
  <c r="M473" i="55"/>
  <c r="L473" i="55"/>
  <c r="K473" i="55"/>
  <c r="J473" i="55"/>
  <c r="I473" i="55"/>
  <c r="H473" i="55"/>
  <c r="G473" i="55"/>
  <c r="F474" i="55"/>
  <c r="F473" i="55"/>
  <c r="G470" i="55"/>
  <c r="F471" i="55"/>
  <c r="F470" i="55"/>
  <c r="F469" i="55"/>
  <c r="F373" i="55"/>
  <c r="G363" i="55"/>
  <c r="F363" i="55"/>
  <c r="F356" i="55"/>
  <c r="G353" i="55"/>
  <c r="F354" i="55"/>
  <c r="AO345" i="55"/>
  <c r="AN345" i="55"/>
  <c r="AM345" i="55"/>
  <c r="AL345" i="55"/>
  <c r="AK345" i="55"/>
  <c r="AJ345" i="55"/>
  <c r="AI345" i="55"/>
  <c r="AH345" i="55"/>
  <c r="AG345" i="55"/>
  <c r="AF345" i="55"/>
  <c r="AE345" i="55"/>
  <c r="AD345" i="55"/>
  <c r="AC345" i="55"/>
  <c r="AB345" i="55"/>
  <c r="AA345" i="55"/>
  <c r="Z345" i="55"/>
  <c r="Y345" i="55"/>
  <c r="X345" i="55"/>
  <c r="W345" i="55"/>
  <c r="V345" i="55"/>
  <c r="U345" i="55"/>
  <c r="T345" i="55"/>
  <c r="S345" i="55"/>
  <c r="R345" i="55"/>
  <c r="Q345" i="55"/>
  <c r="P345" i="55"/>
  <c r="O345" i="55"/>
  <c r="N345" i="55"/>
  <c r="M345" i="55"/>
  <c r="L345" i="55"/>
  <c r="K345" i="55"/>
  <c r="J345" i="55"/>
  <c r="I345" i="55"/>
  <c r="H345" i="55"/>
  <c r="G345" i="55"/>
  <c r="F346" i="55"/>
  <c r="F345" i="55"/>
  <c r="G343" i="55"/>
  <c r="F344" i="55"/>
  <c r="F236" i="55"/>
  <c r="F229" i="55"/>
  <c r="F209" i="55"/>
  <c r="F208" i="55"/>
  <c r="AP73" i="55"/>
  <c r="AO73" i="55"/>
  <c r="AN73" i="55"/>
  <c r="AM73" i="55"/>
  <c r="AL73" i="55"/>
  <c r="AK73" i="55"/>
  <c r="AJ73" i="55"/>
  <c r="AI73" i="55"/>
  <c r="AH73" i="55"/>
  <c r="AG73" i="55"/>
  <c r="AF73" i="55"/>
  <c r="AE73" i="55"/>
  <c r="AD73" i="55"/>
  <c r="AC73" i="55"/>
  <c r="AB73" i="55"/>
  <c r="AA73" i="55"/>
  <c r="Z73" i="55"/>
  <c r="Y73" i="55"/>
  <c r="X73" i="55"/>
  <c r="W73" i="55"/>
  <c r="V73" i="55"/>
  <c r="U73" i="55"/>
  <c r="T73" i="55"/>
  <c r="S73" i="55"/>
  <c r="R73" i="55"/>
  <c r="Q73" i="55"/>
  <c r="P73" i="55"/>
  <c r="O73" i="55"/>
  <c r="N73" i="55"/>
  <c r="M73" i="55"/>
  <c r="L73" i="55"/>
  <c r="K73" i="55"/>
  <c r="J73" i="55"/>
  <c r="I73" i="55"/>
  <c r="H73" i="55"/>
  <c r="F74" i="55"/>
  <c r="AP65" i="55"/>
  <c r="AO65" i="55"/>
  <c r="AN65" i="55"/>
  <c r="AM65" i="55"/>
  <c r="AL65" i="55"/>
  <c r="AK65" i="55"/>
  <c r="AJ65" i="55"/>
  <c r="AI65" i="55"/>
  <c r="AH65" i="55"/>
  <c r="AG65" i="55"/>
  <c r="AF65" i="55"/>
  <c r="AE65" i="55"/>
  <c r="AD65" i="55"/>
  <c r="AC65" i="55"/>
  <c r="AB65" i="55"/>
  <c r="AA65" i="55"/>
  <c r="Z65" i="55"/>
  <c r="Y65" i="55"/>
  <c r="X65" i="55"/>
  <c r="W65" i="55"/>
  <c r="V65" i="55"/>
  <c r="U65" i="55"/>
  <c r="T65" i="55"/>
  <c r="S65" i="55"/>
  <c r="R65" i="55"/>
  <c r="Q65" i="55"/>
  <c r="P65" i="55"/>
  <c r="O65" i="55"/>
  <c r="N65" i="55"/>
  <c r="M65" i="55"/>
  <c r="L65" i="55"/>
  <c r="K65" i="55"/>
  <c r="J65" i="55"/>
  <c r="I65" i="55"/>
  <c r="H65" i="55"/>
  <c r="F66" i="55"/>
  <c r="F3" i="70"/>
  <c r="D31" i="66"/>
  <c r="D33" i="71" l="1"/>
  <c r="R180" i="61" l="1"/>
  <c r="Q180" i="61"/>
  <c r="P180" i="61"/>
  <c r="O180" i="61"/>
  <c r="N180" i="61"/>
  <c r="M180" i="61"/>
  <c r="L180" i="61"/>
  <c r="K180" i="61"/>
  <c r="J180" i="61"/>
  <c r="I180" i="61"/>
  <c r="H180" i="61"/>
  <c r="G180" i="61"/>
  <c r="F180" i="61"/>
  <c r="AO578" i="55"/>
  <c r="AN578" i="55"/>
  <c r="AM578" i="55"/>
  <c r="AL578" i="55"/>
  <c r="AK578" i="55"/>
  <c r="AJ578" i="55"/>
  <c r="AI578" i="55"/>
  <c r="AH578" i="55"/>
  <c r="AG578" i="55"/>
  <c r="AF578" i="55"/>
  <c r="AE578" i="55"/>
  <c r="AD578" i="55"/>
  <c r="AC578" i="55"/>
  <c r="AB578" i="55"/>
  <c r="AA578" i="55"/>
  <c r="Z578" i="55"/>
  <c r="Y578" i="55"/>
  <c r="X578" i="55"/>
  <c r="W578" i="55"/>
  <c r="V578" i="55"/>
  <c r="U578" i="55"/>
  <c r="T578" i="55"/>
  <c r="S578" i="55"/>
  <c r="R578" i="55"/>
  <c r="Q578" i="55"/>
  <c r="P578" i="55"/>
  <c r="O578" i="55"/>
  <c r="N578" i="55"/>
  <c r="M578" i="55"/>
  <c r="L578" i="55"/>
  <c r="K578" i="55"/>
  <c r="J578" i="55"/>
  <c r="I578" i="55"/>
  <c r="H578" i="55"/>
  <c r="AA470" i="55"/>
  <c r="Y470" i="55"/>
  <c r="X470" i="55"/>
  <c r="W470" i="55"/>
  <c r="V470" i="55"/>
  <c r="U470" i="55"/>
  <c r="T470" i="55"/>
  <c r="S470" i="55"/>
  <c r="R470" i="55"/>
  <c r="Q470" i="55"/>
  <c r="P470" i="55"/>
  <c r="O470" i="55"/>
  <c r="N470" i="55"/>
  <c r="M470" i="55"/>
  <c r="L470" i="55"/>
  <c r="K470" i="55"/>
  <c r="J470" i="55"/>
  <c r="I470" i="55"/>
  <c r="H470" i="55"/>
  <c r="Z490" i="55"/>
  <c r="Y490" i="55"/>
  <c r="X490" i="55"/>
  <c r="W490" i="55"/>
  <c r="V490" i="55"/>
  <c r="U490" i="55"/>
  <c r="T490" i="55"/>
  <c r="S490" i="55"/>
  <c r="R490" i="55"/>
  <c r="Q490" i="55"/>
  <c r="P490" i="55"/>
  <c r="O490" i="55"/>
  <c r="N490" i="55"/>
  <c r="M490" i="55"/>
  <c r="L490" i="55"/>
  <c r="K490" i="55"/>
  <c r="J490" i="55"/>
  <c r="I490" i="55"/>
  <c r="H490" i="55"/>
  <c r="AO355" i="55"/>
  <c r="AN355" i="55"/>
  <c r="AM355" i="55"/>
  <c r="AL355" i="55"/>
  <c r="AK355" i="55"/>
  <c r="AJ355" i="55"/>
  <c r="AI355" i="55"/>
  <c r="AH355" i="55"/>
  <c r="AG355" i="55"/>
  <c r="AF355" i="55"/>
  <c r="AE355" i="55"/>
  <c r="AD355" i="55"/>
  <c r="AC355" i="55"/>
  <c r="AB355" i="55"/>
  <c r="AA355" i="55"/>
  <c r="Z355" i="55"/>
  <c r="Y355" i="55"/>
  <c r="X355" i="55"/>
  <c r="W355" i="55"/>
  <c r="V355" i="55"/>
  <c r="U355" i="55"/>
  <c r="T355" i="55"/>
  <c r="S355" i="55"/>
  <c r="R355" i="55"/>
  <c r="Q355" i="55"/>
  <c r="P355" i="55"/>
  <c r="O355" i="55"/>
  <c r="N355" i="55"/>
  <c r="M355" i="55"/>
  <c r="L355" i="55"/>
  <c r="K355" i="55"/>
  <c r="J355" i="55"/>
  <c r="I355" i="55"/>
  <c r="H355" i="55"/>
  <c r="G355" i="55"/>
  <c r="AO353" i="55"/>
  <c r="AN353" i="55"/>
  <c r="AM353" i="55"/>
  <c r="AL353" i="55"/>
  <c r="AK353" i="55"/>
  <c r="AJ353" i="55"/>
  <c r="AI353" i="55"/>
  <c r="AH353" i="55"/>
  <c r="AG353" i="55"/>
  <c r="AF353" i="55"/>
  <c r="AE353" i="55"/>
  <c r="AD353" i="55"/>
  <c r="AC353" i="55"/>
  <c r="AB353" i="55"/>
  <c r="AA353" i="55"/>
  <c r="Z353" i="55"/>
  <c r="Y353" i="55"/>
  <c r="X353" i="55"/>
  <c r="W353" i="55"/>
  <c r="V353" i="55"/>
  <c r="U353" i="55"/>
  <c r="T353" i="55"/>
  <c r="S353" i="55"/>
  <c r="R353" i="55"/>
  <c r="Q353" i="55"/>
  <c r="P353" i="55"/>
  <c r="O353" i="55"/>
  <c r="N353" i="55"/>
  <c r="M353" i="55"/>
  <c r="L353" i="55"/>
  <c r="K353" i="55"/>
  <c r="J353" i="55"/>
  <c r="I353" i="55"/>
  <c r="H353" i="55"/>
  <c r="AP208" i="55"/>
  <c r="AO208" i="55"/>
  <c r="AN208" i="55"/>
  <c r="AM208" i="55"/>
  <c r="AL208" i="55"/>
  <c r="AK208" i="55"/>
  <c r="AJ208" i="55"/>
  <c r="AI208" i="55"/>
  <c r="AH208" i="55"/>
  <c r="AG208" i="55"/>
  <c r="AF208" i="55"/>
  <c r="AE208" i="55"/>
  <c r="AD208" i="55"/>
  <c r="AC208" i="55"/>
  <c r="AB208" i="55"/>
  <c r="AA208" i="55"/>
  <c r="Z208" i="55"/>
  <c r="Y208" i="55"/>
  <c r="X208" i="55"/>
  <c r="W208" i="55"/>
  <c r="V208" i="55"/>
  <c r="U208" i="55"/>
  <c r="T208" i="55"/>
  <c r="S208" i="55"/>
  <c r="R208" i="55"/>
  <c r="Q208" i="55"/>
  <c r="P208" i="55"/>
  <c r="O208" i="55"/>
  <c r="N208" i="55"/>
  <c r="M208" i="55"/>
  <c r="L208" i="55"/>
  <c r="K208" i="55"/>
  <c r="J208" i="55"/>
  <c r="I208" i="55"/>
  <c r="H208" i="55"/>
  <c r="C67" i="62"/>
  <c r="L13" i="79" l="1"/>
  <c r="L10" i="79"/>
  <c r="L11" i="79"/>
  <c r="L12" i="79"/>
  <c r="O47" i="68"/>
  <c r="O34" i="68"/>
  <c r="O22" i="68"/>
  <c r="O9" i="68"/>
  <c r="L573" i="55"/>
  <c r="E130" i="85" l="1"/>
  <c r="C8" i="87"/>
  <c r="C8" i="98"/>
  <c r="C8" i="77"/>
  <c r="AE29" i="97"/>
  <c r="AD29" i="97" s="1"/>
  <c r="AC29" i="97"/>
  <c r="AA29" i="97"/>
  <c r="Y29" i="97"/>
  <c r="X29" i="97"/>
  <c r="W29" i="97"/>
  <c r="V29" i="97"/>
  <c r="U29" i="97"/>
  <c r="N29" i="97"/>
  <c r="I29" i="97"/>
  <c r="H29" i="97"/>
  <c r="G29" i="97"/>
  <c r="F29" i="97"/>
  <c r="E29" i="97"/>
  <c r="D29" i="97"/>
  <c r="K29" i="97" l="1"/>
  <c r="C14" i="83"/>
  <c r="E146" i="97"/>
  <c r="C7" i="98"/>
  <c r="C14" i="98"/>
  <c r="C14" i="77"/>
  <c r="C14" i="36"/>
  <c r="R326" i="61" l="1"/>
  <c r="Q326" i="61"/>
  <c r="P326" i="61"/>
  <c r="O326" i="61"/>
  <c r="N326" i="61"/>
  <c r="M326" i="61"/>
  <c r="L326" i="61"/>
  <c r="K326" i="61"/>
  <c r="J326" i="61"/>
  <c r="I326" i="61"/>
  <c r="H326" i="61"/>
  <c r="G326" i="61"/>
  <c r="F326" i="61"/>
  <c r="R174" i="61"/>
  <c r="Q174" i="61"/>
  <c r="P174" i="61"/>
  <c r="O174" i="61"/>
  <c r="N174" i="61"/>
  <c r="M174" i="61"/>
  <c r="L174" i="61"/>
  <c r="K174" i="61"/>
  <c r="J174" i="61"/>
  <c r="I174" i="61"/>
  <c r="H174" i="61"/>
  <c r="G174" i="61"/>
  <c r="F174" i="61"/>
  <c r="R447" i="59"/>
  <c r="Q447" i="59"/>
  <c r="P447" i="59"/>
  <c r="O447" i="59"/>
  <c r="N447" i="59"/>
  <c r="M447" i="59"/>
  <c r="L447" i="59"/>
  <c r="K447" i="59"/>
  <c r="J447" i="59"/>
  <c r="I447" i="59"/>
  <c r="H447" i="59"/>
  <c r="G447" i="59"/>
  <c r="F447" i="59"/>
  <c r="E448" i="59"/>
  <c r="R364" i="59"/>
  <c r="Q364" i="59"/>
  <c r="P364" i="59"/>
  <c r="O364" i="59"/>
  <c r="N364" i="59"/>
  <c r="M364" i="59"/>
  <c r="L364" i="59"/>
  <c r="K364" i="59"/>
  <c r="J364" i="59"/>
  <c r="I364" i="59"/>
  <c r="H364" i="59"/>
  <c r="G364" i="59"/>
  <c r="R145" i="59"/>
  <c r="Q145" i="59"/>
  <c r="P145" i="59"/>
  <c r="O145" i="59"/>
  <c r="N145" i="59"/>
  <c r="M145" i="59"/>
  <c r="L145" i="59"/>
  <c r="K145" i="59"/>
  <c r="J145" i="59"/>
  <c r="I145" i="59"/>
  <c r="H145" i="59"/>
  <c r="G145" i="59"/>
  <c r="AO573" i="55"/>
  <c r="AN573" i="55"/>
  <c r="AM573" i="55"/>
  <c r="AL573" i="55"/>
  <c r="AK573" i="55"/>
  <c r="AJ573" i="55"/>
  <c r="AI573" i="55"/>
  <c r="AH573" i="55"/>
  <c r="AG573" i="55"/>
  <c r="AF573" i="55"/>
  <c r="AE573" i="55"/>
  <c r="AD573" i="55"/>
  <c r="AC573" i="55"/>
  <c r="AB573" i="55"/>
  <c r="AA573" i="55"/>
  <c r="Z573" i="55"/>
  <c r="Y573" i="55"/>
  <c r="X573" i="55"/>
  <c r="W573" i="55"/>
  <c r="V573" i="55"/>
  <c r="U573" i="55"/>
  <c r="T573" i="55"/>
  <c r="S573" i="55"/>
  <c r="R573" i="55"/>
  <c r="Q573" i="55"/>
  <c r="P573" i="55"/>
  <c r="O573" i="55"/>
  <c r="N573" i="55"/>
  <c r="M573" i="55"/>
  <c r="K573" i="55"/>
  <c r="J573" i="55"/>
  <c r="I573" i="55"/>
  <c r="H573" i="55"/>
  <c r="Z478" i="55"/>
  <c r="Y478" i="55"/>
  <c r="X478" i="55"/>
  <c r="W478" i="55"/>
  <c r="V478" i="55"/>
  <c r="U478" i="55"/>
  <c r="T478" i="55"/>
  <c r="S478" i="55"/>
  <c r="R478" i="55"/>
  <c r="Q478" i="55"/>
  <c r="P478" i="55"/>
  <c r="O478" i="55"/>
  <c r="N478" i="55"/>
  <c r="M478" i="55"/>
  <c r="L478" i="55"/>
  <c r="K478" i="55"/>
  <c r="J478" i="55"/>
  <c r="I478" i="55"/>
  <c r="H478" i="55"/>
  <c r="L12" i="56"/>
  <c r="L16" i="56"/>
  <c r="L4" i="70"/>
  <c r="L3" i="70"/>
  <c r="E3" i="70"/>
  <c r="G3" i="70"/>
  <c r="H3" i="70"/>
  <c r="I3" i="70"/>
  <c r="J3" i="70"/>
  <c r="K3" i="70"/>
  <c r="D4" i="70"/>
  <c r="D3" i="70"/>
  <c r="C4" i="70"/>
  <c r="C3" i="70"/>
  <c r="C5" i="70" s="1"/>
  <c r="C79" i="62"/>
  <c r="C78" i="62"/>
  <c r="C77" i="62"/>
  <c r="C76" i="62"/>
  <c r="C75" i="62"/>
  <c r="C73" i="62"/>
  <c r="C72" i="62"/>
  <c r="C71" i="62"/>
  <c r="C70" i="62"/>
  <c r="C69" i="62"/>
  <c r="C68" i="62"/>
  <c r="C66" i="62"/>
  <c r="C65" i="62"/>
  <c r="C64" i="62"/>
  <c r="C63" i="62"/>
  <c r="C62" i="62"/>
  <c r="M3" i="70" l="1"/>
  <c r="D31" i="58" l="1"/>
  <c r="D31" i="57" l="1"/>
  <c r="L14" i="22" l="1"/>
  <c r="C8" i="83" l="1"/>
  <c r="C7" i="83"/>
  <c r="C6" i="83"/>
  <c r="C5" i="83"/>
  <c r="C4" i="83"/>
  <c r="C3" i="83"/>
  <c r="E146" i="85"/>
  <c r="E145" i="85"/>
  <c r="E144" i="85"/>
  <c r="E143" i="85"/>
  <c r="E142" i="85"/>
  <c r="AC10" i="97"/>
  <c r="C8" i="80"/>
  <c r="C7" i="80"/>
  <c r="C6" i="80"/>
  <c r="C5" i="80"/>
  <c r="C4" i="80"/>
  <c r="C3" i="80"/>
  <c r="C9" i="80" s="1"/>
  <c r="E146" i="79"/>
  <c r="E145" i="79"/>
  <c r="E144" i="79"/>
  <c r="E143" i="79"/>
  <c r="E142" i="79"/>
  <c r="E130" i="79"/>
  <c r="C6" i="77"/>
  <c r="C4" i="77"/>
  <c r="C3" i="77"/>
  <c r="E146" i="75"/>
  <c r="E145" i="75"/>
  <c r="E144" i="75"/>
  <c r="E143" i="75"/>
  <c r="E142" i="75"/>
  <c r="E130" i="22"/>
  <c r="E130" i="75"/>
  <c r="C8" i="36"/>
  <c r="C4" i="36"/>
  <c r="C5" i="36"/>
  <c r="C6" i="36"/>
  <c r="C7" i="36"/>
  <c r="C3" i="36"/>
  <c r="D10" i="67"/>
  <c r="C11" i="67"/>
  <c r="C10" i="67"/>
  <c r="R262" i="59" l="1"/>
  <c r="Q262" i="59"/>
  <c r="P262" i="59"/>
  <c r="O262" i="59"/>
  <c r="N262" i="59"/>
  <c r="M262" i="59"/>
  <c r="L262" i="59"/>
  <c r="K262" i="59"/>
  <c r="J262" i="59"/>
  <c r="I262" i="59"/>
  <c r="H262" i="59"/>
  <c r="G262" i="59"/>
  <c r="R151" i="59"/>
  <c r="Q151" i="59"/>
  <c r="P151" i="59"/>
  <c r="O151" i="59"/>
  <c r="N151" i="59"/>
  <c r="M151" i="59"/>
  <c r="L151" i="59"/>
  <c r="K151" i="59"/>
  <c r="J151" i="59"/>
  <c r="I151" i="59"/>
  <c r="H151" i="59"/>
  <c r="G151" i="59"/>
  <c r="I139" i="59"/>
  <c r="R139" i="59"/>
  <c r="Q139" i="59"/>
  <c r="P139" i="59"/>
  <c r="O139" i="59"/>
  <c r="N139" i="59"/>
  <c r="M139" i="59"/>
  <c r="L139" i="59"/>
  <c r="K139" i="59"/>
  <c r="J139" i="59"/>
  <c r="H139" i="59"/>
  <c r="G139" i="59"/>
  <c r="T373" i="55"/>
  <c r="S373" i="55"/>
  <c r="R373" i="55"/>
  <c r="Q373" i="55"/>
  <c r="P373" i="55"/>
  <c r="O373" i="55"/>
  <c r="N373" i="55"/>
  <c r="M373" i="55"/>
  <c r="L373" i="55"/>
  <c r="K373" i="55"/>
  <c r="J373" i="55"/>
  <c r="I373" i="55"/>
  <c r="H373" i="55"/>
  <c r="G373" i="55"/>
  <c r="AA216" i="55"/>
  <c r="Z216" i="55"/>
  <c r="Y216" i="55"/>
  <c r="X216" i="55"/>
  <c r="W216" i="55"/>
  <c r="V216" i="55"/>
  <c r="U216" i="55"/>
  <c r="T216" i="55"/>
  <c r="S216" i="55"/>
  <c r="R216" i="55"/>
  <c r="Q216" i="55"/>
  <c r="P216" i="55"/>
  <c r="O216" i="55"/>
  <c r="N216" i="55"/>
  <c r="M216" i="55"/>
  <c r="L216" i="55"/>
  <c r="K216" i="55"/>
  <c r="J216" i="55"/>
  <c r="I216" i="55"/>
  <c r="H216" i="55"/>
  <c r="E4" i="70"/>
  <c r="F4" i="70"/>
  <c r="G4" i="70"/>
  <c r="H4" i="70"/>
  <c r="I4" i="70"/>
  <c r="J4" i="70"/>
  <c r="K4" i="70"/>
  <c r="O27" i="95"/>
  <c r="O28" i="95"/>
  <c r="O29" i="95"/>
  <c r="O30" i="95"/>
  <c r="O26" i="95"/>
  <c r="N4" i="70" l="1"/>
  <c r="M4" i="70"/>
  <c r="E143" i="22"/>
  <c r="E144" i="22"/>
  <c r="E145" i="22"/>
  <c r="E146" i="22"/>
  <c r="E142" i="22"/>
  <c r="G31" i="66" l="1"/>
  <c r="H54" i="91" l="1"/>
  <c r="I54" i="91"/>
  <c r="J54" i="91"/>
  <c r="K54" i="91"/>
  <c r="L54" i="91"/>
  <c r="G54" i="91"/>
  <c r="E49" i="91"/>
  <c r="E50" i="91"/>
  <c r="E51" i="91"/>
  <c r="E52" i="91"/>
  <c r="E53" i="91"/>
  <c r="D54" i="91"/>
  <c r="AG65" i="90"/>
  <c r="AG64" i="90"/>
  <c r="AG63" i="90"/>
  <c r="AG62" i="90"/>
  <c r="AG61" i="90"/>
  <c r="AG60" i="90"/>
  <c r="I35" i="96" l="1"/>
  <c r="AC11" i="97" l="1"/>
  <c r="O46" i="99"/>
  <c r="N46" i="99"/>
  <c r="M46" i="99"/>
  <c r="F46" i="99"/>
  <c r="E34" i="99"/>
  <c r="E33" i="99"/>
  <c r="E32" i="99"/>
  <c r="E31" i="99"/>
  <c r="E30" i="99"/>
  <c r="U6" i="99"/>
  <c r="F6" i="99"/>
  <c r="L4" i="98"/>
  <c r="L5" i="98"/>
  <c r="L6" i="98"/>
  <c r="L7" i="98"/>
  <c r="L3" i="98"/>
  <c r="C4" i="98"/>
  <c r="C5" i="98"/>
  <c r="C6" i="98"/>
  <c r="C3" i="98"/>
  <c r="E143" i="97"/>
  <c r="E144" i="97"/>
  <c r="E145" i="97"/>
  <c r="E142" i="97"/>
  <c r="K129" i="97"/>
  <c r="K53" i="91" s="1"/>
  <c r="K125" i="97"/>
  <c r="K49" i="91" s="1"/>
  <c r="D128" i="97"/>
  <c r="D52" i="91" s="1"/>
  <c r="L25" i="56"/>
  <c r="L129" i="97" s="1"/>
  <c r="L24" i="56"/>
  <c r="L128" i="97" s="1"/>
  <c r="L23" i="56"/>
  <c r="L127" i="97" s="1"/>
  <c r="L22" i="56"/>
  <c r="L126" i="97" s="1"/>
  <c r="L21" i="56"/>
  <c r="L125" i="97" s="1"/>
  <c r="L49" i="91" s="1"/>
  <c r="L15" i="56"/>
  <c r="K128" i="97" s="1"/>
  <c r="K52" i="91" s="1"/>
  <c r="L14" i="56"/>
  <c r="K127" i="97" s="1"/>
  <c r="K51" i="91" s="1"/>
  <c r="L13" i="56"/>
  <c r="K126" i="97" s="1"/>
  <c r="L7" i="56"/>
  <c r="D129" i="97" s="1"/>
  <c r="L6" i="56"/>
  <c r="L5" i="56"/>
  <c r="D127" i="97" s="1"/>
  <c r="L4" i="56"/>
  <c r="D126" i="97" s="1"/>
  <c r="L3" i="56"/>
  <c r="D125" i="97" s="1"/>
  <c r="AC70" i="97"/>
  <c r="AA70" i="97"/>
  <c r="V70" i="97"/>
  <c r="W70" i="97"/>
  <c r="X70" i="97"/>
  <c r="Y70" i="97"/>
  <c r="U70" i="97"/>
  <c r="AE70" i="97"/>
  <c r="N70" i="97"/>
  <c r="E70" i="97"/>
  <c r="F70" i="97"/>
  <c r="G70" i="97"/>
  <c r="H70" i="97"/>
  <c r="I70" i="97"/>
  <c r="D70" i="97"/>
  <c r="AE69" i="97"/>
  <c r="AD69" i="97" s="1"/>
  <c r="AC69" i="97"/>
  <c r="AA69" i="97"/>
  <c r="V69" i="97"/>
  <c r="W69" i="97"/>
  <c r="X69" i="97"/>
  <c r="Y69" i="97"/>
  <c r="U69" i="97"/>
  <c r="N69" i="97"/>
  <c r="AB69" i="97" s="1"/>
  <c r="E69" i="97"/>
  <c r="F69" i="97"/>
  <c r="G69" i="97"/>
  <c r="H69" i="97"/>
  <c r="I69" i="97"/>
  <c r="D69" i="97"/>
  <c r="AE68" i="97"/>
  <c r="AC68" i="97"/>
  <c r="AA68" i="97"/>
  <c r="V68" i="97"/>
  <c r="W68" i="97"/>
  <c r="X68" i="97"/>
  <c r="Y68" i="97"/>
  <c r="U68" i="97"/>
  <c r="N68" i="97"/>
  <c r="E68" i="97"/>
  <c r="F68" i="97"/>
  <c r="G68" i="97"/>
  <c r="H68" i="97"/>
  <c r="I68" i="97"/>
  <c r="D68" i="97"/>
  <c r="AE67" i="97"/>
  <c r="AD67" i="97" s="1"/>
  <c r="AC67" i="97"/>
  <c r="AA67" i="97"/>
  <c r="V67" i="97"/>
  <c r="W67" i="97"/>
  <c r="X67" i="97"/>
  <c r="Y67" i="97"/>
  <c r="U67" i="97"/>
  <c r="N67" i="97"/>
  <c r="AB67" i="97" s="1"/>
  <c r="J71" i="97"/>
  <c r="E67" i="97"/>
  <c r="F67" i="97"/>
  <c r="G67" i="97"/>
  <c r="H67" i="97"/>
  <c r="I67" i="97"/>
  <c r="D67" i="97"/>
  <c r="AE66" i="97"/>
  <c r="AC66" i="97"/>
  <c r="AA66" i="97"/>
  <c r="V66" i="97"/>
  <c r="W66" i="97"/>
  <c r="X66" i="97"/>
  <c r="Y66" i="97"/>
  <c r="U66" i="97"/>
  <c r="N66" i="97"/>
  <c r="E66" i="97"/>
  <c r="F66" i="97"/>
  <c r="G66" i="97"/>
  <c r="H66" i="97"/>
  <c r="I66" i="97"/>
  <c r="D66" i="97"/>
  <c r="AE51" i="97"/>
  <c r="AD51" i="97" s="1"/>
  <c r="AC51" i="97"/>
  <c r="AA51" i="97"/>
  <c r="Y51" i="97"/>
  <c r="V51" i="97"/>
  <c r="W51" i="97"/>
  <c r="X51" i="97"/>
  <c r="U51" i="97"/>
  <c r="N51" i="97"/>
  <c r="AB51" i="97" s="1"/>
  <c r="E51" i="97"/>
  <c r="F51" i="97"/>
  <c r="G51" i="97"/>
  <c r="H51" i="97"/>
  <c r="I51" i="97"/>
  <c r="D51" i="97"/>
  <c r="AE50" i="97"/>
  <c r="AD50" i="97" s="1"/>
  <c r="AC50" i="97"/>
  <c r="AA50" i="97"/>
  <c r="V50" i="97"/>
  <c r="W50" i="97"/>
  <c r="X50" i="97"/>
  <c r="Y50" i="97"/>
  <c r="U50" i="97"/>
  <c r="N50" i="97"/>
  <c r="AB50" i="97" s="1"/>
  <c r="E50" i="97"/>
  <c r="F50" i="97"/>
  <c r="G50" i="97"/>
  <c r="H50" i="97"/>
  <c r="I50" i="97"/>
  <c r="D50" i="97"/>
  <c r="AC49" i="97"/>
  <c r="AA49" i="97"/>
  <c r="V49" i="97"/>
  <c r="W49" i="97"/>
  <c r="X49" i="97"/>
  <c r="Y49" i="97"/>
  <c r="U49" i="97"/>
  <c r="AE49" i="97"/>
  <c r="AD49" i="97" s="1"/>
  <c r="N49" i="97"/>
  <c r="AB49" i="97" s="1"/>
  <c r="E49" i="97"/>
  <c r="F49" i="97"/>
  <c r="G49" i="97"/>
  <c r="H49" i="97"/>
  <c r="I49" i="97"/>
  <c r="D49" i="97"/>
  <c r="AC48" i="97"/>
  <c r="AA48" i="97"/>
  <c r="V48" i="97"/>
  <c r="W48" i="97"/>
  <c r="X48" i="97"/>
  <c r="Y48" i="97"/>
  <c r="U48" i="97"/>
  <c r="AE48" i="97"/>
  <c r="AD48" i="97" s="1"/>
  <c r="N48" i="97"/>
  <c r="AB48" i="97" s="1"/>
  <c r="E48" i="97"/>
  <c r="F48" i="97"/>
  <c r="G48" i="97"/>
  <c r="H48" i="97"/>
  <c r="I48" i="97"/>
  <c r="D48" i="97"/>
  <c r="AE47" i="97"/>
  <c r="AD47" i="97" s="1"/>
  <c r="AC47" i="97"/>
  <c r="AA47" i="97"/>
  <c r="V47" i="97"/>
  <c r="W47" i="97"/>
  <c r="X47" i="97"/>
  <c r="Y47" i="97"/>
  <c r="U47" i="97"/>
  <c r="N47" i="97"/>
  <c r="E47" i="97"/>
  <c r="F47" i="97"/>
  <c r="G47" i="97"/>
  <c r="H47" i="97"/>
  <c r="I47" i="97"/>
  <c r="D47" i="97"/>
  <c r="AC31" i="97"/>
  <c r="AC30" i="97"/>
  <c r="AC28" i="97"/>
  <c r="AA31" i="97"/>
  <c r="V31" i="97"/>
  <c r="W31" i="97"/>
  <c r="X31" i="97"/>
  <c r="Y31" i="97"/>
  <c r="U31" i="97"/>
  <c r="AE31" i="97"/>
  <c r="AD31" i="97" s="1"/>
  <c r="N31" i="97"/>
  <c r="AB31" i="97" s="1"/>
  <c r="E31" i="97"/>
  <c r="F31" i="97"/>
  <c r="G31" i="97"/>
  <c r="H31" i="97"/>
  <c r="I31" i="97"/>
  <c r="D31" i="97"/>
  <c r="AA30" i="97"/>
  <c r="V30" i="97"/>
  <c r="W30" i="97"/>
  <c r="X30" i="97"/>
  <c r="Y30" i="97"/>
  <c r="U30" i="97"/>
  <c r="AE30" i="97"/>
  <c r="N30" i="97"/>
  <c r="E30" i="97"/>
  <c r="F30" i="97"/>
  <c r="G30" i="97"/>
  <c r="H30" i="97"/>
  <c r="I30" i="97"/>
  <c r="D30" i="97"/>
  <c r="AA28" i="97"/>
  <c r="V28" i="97"/>
  <c r="W28" i="97"/>
  <c r="X28" i="97"/>
  <c r="Y28" i="97"/>
  <c r="U28" i="97"/>
  <c r="AE28" i="97"/>
  <c r="N28" i="97"/>
  <c r="E28" i="97"/>
  <c r="F28" i="97"/>
  <c r="G28" i="97"/>
  <c r="H28" i="97"/>
  <c r="I28" i="97"/>
  <c r="D28" i="97"/>
  <c r="AE32" i="97"/>
  <c r="AC32" i="97"/>
  <c r="AA32" i="97"/>
  <c r="Y32" i="97"/>
  <c r="X32" i="97"/>
  <c r="W32" i="97"/>
  <c r="V32" i="97"/>
  <c r="U32" i="97"/>
  <c r="N32" i="97"/>
  <c r="AB32" i="97" s="1"/>
  <c r="E32" i="97"/>
  <c r="F32" i="97"/>
  <c r="G32" i="97"/>
  <c r="H32" i="97"/>
  <c r="I32" i="97"/>
  <c r="D32" i="97"/>
  <c r="AC13" i="97"/>
  <c r="AA13" i="97"/>
  <c r="AE13" i="97"/>
  <c r="V13" i="97"/>
  <c r="W13" i="97"/>
  <c r="X13" i="97"/>
  <c r="Y13" i="97"/>
  <c r="U13" i="97"/>
  <c r="N13" i="97"/>
  <c r="E13" i="97"/>
  <c r="F13" i="97"/>
  <c r="G13" i="97"/>
  <c r="H13" i="97"/>
  <c r="I13" i="97"/>
  <c r="D13" i="97"/>
  <c r="AE12" i="97"/>
  <c r="AC12" i="97"/>
  <c r="AA12" i="97"/>
  <c r="V12" i="97"/>
  <c r="W12" i="97"/>
  <c r="X12" i="97"/>
  <c r="Y12" i="97"/>
  <c r="U12" i="97"/>
  <c r="N12" i="97"/>
  <c r="E12" i="97"/>
  <c r="F12" i="97"/>
  <c r="G12" i="97"/>
  <c r="H12" i="97"/>
  <c r="I12" i="97"/>
  <c r="J107" i="97"/>
  <c r="J63" i="90" s="1"/>
  <c r="D12" i="97"/>
  <c r="AE11" i="97"/>
  <c r="AA11" i="97"/>
  <c r="V11" i="97"/>
  <c r="W11" i="97"/>
  <c r="X11" i="97"/>
  <c r="Y11" i="97"/>
  <c r="U11" i="97"/>
  <c r="N11" i="97"/>
  <c r="E11" i="97"/>
  <c r="F11" i="97"/>
  <c r="G11" i="97"/>
  <c r="H11" i="97"/>
  <c r="I11" i="97"/>
  <c r="D11" i="97"/>
  <c r="AE10" i="97"/>
  <c r="AC9" i="97"/>
  <c r="AA10" i="97"/>
  <c r="AA9" i="97"/>
  <c r="Z9" i="97"/>
  <c r="V10" i="97"/>
  <c r="W10" i="97"/>
  <c r="X10" i="97"/>
  <c r="Y10" i="97"/>
  <c r="U10" i="97"/>
  <c r="N10" i="97"/>
  <c r="E10" i="97"/>
  <c r="F10" i="97"/>
  <c r="G10" i="97"/>
  <c r="H10" i="97"/>
  <c r="I10" i="97"/>
  <c r="J105" i="97"/>
  <c r="J61" i="90" s="1"/>
  <c r="D10" i="97"/>
  <c r="AE9" i="97"/>
  <c r="V9" i="97"/>
  <c r="W9" i="97"/>
  <c r="X9" i="97"/>
  <c r="Y9" i="97"/>
  <c r="U9" i="97"/>
  <c r="N9" i="97"/>
  <c r="AB9" i="97" s="1"/>
  <c r="E9" i="97"/>
  <c r="F9" i="97"/>
  <c r="G9" i="97"/>
  <c r="H9" i="97"/>
  <c r="I9" i="97"/>
  <c r="D9" i="97"/>
  <c r="X7" i="99"/>
  <c r="U7" i="99"/>
  <c r="H145" i="97"/>
  <c r="G6" i="98" s="1"/>
  <c r="H143" i="97"/>
  <c r="G4" i="98" s="1"/>
  <c r="E130" i="97"/>
  <c r="L8" i="98" s="1"/>
  <c r="I128" i="97"/>
  <c r="I52" i="91" s="1"/>
  <c r="I126" i="97"/>
  <c r="I50" i="91" s="1"/>
  <c r="AG107" i="97"/>
  <c r="AH107" i="97" s="1"/>
  <c r="AF107" i="97"/>
  <c r="AF63" i="90" s="1"/>
  <c r="AD107" i="97"/>
  <c r="AD63" i="90" s="1"/>
  <c r="L107" i="97"/>
  <c r="L63" i="90" s="1"/>
  <c r="L105" i="97"/>
  <c r="L61" i="90" s="1"/>
  <c r="L104" i="97"/>
  <c r="L60" i="90" s="1"/>
  <c r="X102" i="97"/>
  <c r="U102" i="97"/>
  <c r="L90" i="97"/>
  <c r="AD88" i="97"/>
  <c r="AB88" i="97"/>
  <c r="Z88" i="97"/>
  <c r="AF88" i="97" s="1"/>
  <c r="K88" i="97"/>
  <c r="M88" i="97" s="1"/>
  <c r="O88" i="97" s="1"/>
  <c r="AD86" i="97"/>
  <c r="AB86" i="97"/>
  <c r="Z86" i="97"/>
  <c r="AF86" i="97" s="1"/>
  <c r="K86" i="97"/>
  <c r="M86" i="97" s="1"/>
  <c r="O86" i="97" s="1"/>
  <c r="X83" i="97"/>
  <c r="U83" i="97"/>
  <c r="L71" i="97"/>
  <c r="Z70" i="97"/>
  <c r="Z69" i="97"/>
  <c r="Z68" i="97"/>
  <c r="Z67" i="97"/>
  <c r="Z66" i="97"/>
  <c r="X64" i="97"/>
  <c r="U64" i="97"/>
  <c r="L52" i="97"/>
  <c r="J52" i="97"/>
  <c r="Z51" i="97"/>
  <c r="Z50" i="97"/>
  <c r="Z49" i="97"/>
  <c r="Z48" i="97"/>
  <c r="Z47" i="97"/>
  <c r="X45" i="97"/>
  <c r="U45" i="97"/>
  <c r="L33" i="97"/>
  <c r="J33" i="97"/>
  <c r="Z32" i="97"/>
  <c r="Z31" i="97"/>
  <c r="Z30" i="97"/>
  <c r="Z29" i="97"/>
  <c r="AB29" i="97"/>
  <c r="Z28" i="97"/>
  <c r="X26" i="97"/>
  <c r="U26" i="97"/>
  <c r="L108" i="97"/>
  <c r="Z12" i="97"/>
  <c r="Z11" i="97"/>
  <c r="L106" i="97"/>
  <c r="L62" i="90" s="1"/>
  <c r="Z10" i="97"/>
  <c r="X7" i="97"/>
  <c r="U7" i="97"/>
  <c r="K7" i="97"/>
  <c r="Y7" i="97" s="1"/>
  <c r="G7" i="97"/>
  <c r="G102" i="97" s="1"/>
  <c r="V102" i="97" s="1"/>
  <c r="D7" i="97"/>
  <c r="D102" i="97" s="1"/>
  <c r="D7" i="99" s="1"/>
  <c r="D6" i="97"/>
  <c r="D25" i="97" s="1"/>
  <c r="N3" i="97"/>
  <c r="N60" i="97" s="1"/>
  <c r="AD60" i="97" s="1"/>
  <c r="L45" i="70"/>
  <c r="K45" i="70"/>
  <c r="N3" i="70"/>
  <c r="K5" i="70"/>
  <c r="J45" i="70"/>
  <c r="I45" i="70"/>
  <c r="H45" i="70"/>
  <c r="G45" i="70"/>
  <c r="F45" i="70"/>
  <c r="E45" i="70"/>
  <c r="D45" i="70"/>
  <c r="C45" i="70"/>
  <c r="N44" i="70"/>
  <c r="M44" i="70"/>
  <c r="N43" i="70"/>
  <c r="M43" i="70"/>
  <c r="M45" i="70" s="1"/>
  <c r="G55" i="62"/>
  <c r="G45" i="62"/>
  <c r="G36" i="62"/>
  <c r="G27" i="62"/>
  <c r="I13" i="62"/>
  <c r="G17" i="62"/>
  <c r="G3" i="62"/>
  <c r="G4" i="62"/>
  <c r="G5" i="62"/>
  <c r="G2" i="62"/>
  <c r="D31" i="96"/>
  <c r="E69" i="96"/>
  <c r="J35" i="96"/>
  <c r="G35" i="96"/>
  <c r="F35" i="96"/>
  <c r="E35" i="96"/>
  <c r="D35" i="96"/>
  <c r="G33" i="96"/>
  <c r="F33" i="96"/>
  <c r="E33" i="96"/>
  <c r="D33" i="96"/>
  <c r="G31" i="96"/>
  <c r="F31" i="96"/>
  <c r="E31" i="96"/>
  <c r="AG88" i="97" l="1"/>
  <c r="AH88" i="97" s="1"/>
  <c r="L64" i="90"/>
  <c r="L13" i="99"/>
  <c r="K6" i="98"/>
  <c r="D51" i="91"/>
  <c r="K5" i="98"/>
  <c r="D32" i="99"/>
  <c r="D49" i="91"/>
  <c r="K3" i="98"/>
  <c r="D30" i="99"/>
  <c r="I31" i="99"/>
  <c r="L12" i="99"/>
  <c r="Z71" i="97"/>
  <c r="L9" i="99"/>
  <c r="D33" i="99"/>
  <c r="L10" i="99"/>
  <c r="E68" i="62"/>
  <c r="I144" i="97" s="1"/>
  <c r="F5" i="98" s="1"/>
  <c r="D68" i="62"/>
  <c r="L11" i="99"/>
  <c r="I33" i="99"/>
  <c r="E63" i="62"/>
  <c r="I142" i="97" s="1"/>
  <c r="D63" i="62"/>
  <c r="AD12" i="99"/>
  <c r="E71" i="62"/>
  <c r="I145" i="97" s="1"/>
  <c r="F6" i="98" s="1"/>
  <c r="D71" i="62"/>
  <c r="G6" i="62"/>
  <c r="E73" i="62"/>
  <c r="I146" i="97" s="1"/>
  <c r="F7" i="98" s="1"/>
  <c r="D73" i="62"/>
  <c r="D50" i="91"/>
  <c r="D31" i="99"/>
  <c r="K4" i="98"/>
  <c r="E66" i="62"/>
  <c r="I143" i="97" s="1"/>
  <c r="F4" i="98" s="1"/>
  <c r="D66" i="62"/>
  <c r="D45" i="97"/>
  <c r="M5" i="98"/>
  <c r="M3" i="98"/>
  <c r="K30" i="99"/>
  <c r="D53" i="91"/>
  <c r="K7" i="98"/>
  <c r="D34" i="99"/>
  <c r="G26" i="97"/>
  <c r="V26" i="97" s="1"/>
  <c r="G7" i="99"/>
  <c r="V7" i="99" s="1"/>
  <c r="D63" i="97"/>
  <c r="L52" i="91"/>
  <c r="L33" i="99"/>
  <c r="K50" i="91"/>
  <c r="K31" i="99"/>
  <c r="L50" i="91"/>
  <c r="L31" i="99"/>
  <c r="L51" i="91"/>
  <c r="L32" i="99"/>
  <c r="K33" i="99"/>
  <c r="K34" i="99"/>
  <c r="M7" i="98"/>
  <c r="M6" i="98"/>
  <c r="M4" i="98"/>
  <c r="E3" i="98"/>
  <c r="E4" i="98"/>
  <c r="E5" i="98"/>
  <c r="E6" i="98"/>
  <c r="E7" i="98"/>
  <c r="AD10" i="97"/>
  <c r="AC106" i="97"/>
  <c r="AC62" i="90" s="1"/>
  <c r="J12" i="99"/>
  <c r="J10" i="99"/>
  <c r="L53" i="91"/>
  <c r="L34" i="99"/>
  <c r="N45" i="70"/>
  <c r="K32" i="99"/>
  <c r="L30" i="99"/>
  <c r="L9" i="98"/>
  <c r="M22" i="36" s="1"/>
  <c r="E35" i="99"/>
  <c r="E131" i="97"/>
  <c r="E54" i="91"/>
  <c r="E147" i="97"/>
  <c r="L26" i="56"/>
  <c r="L27" i="56" s="1"/>
  <c r="L17" i="56"/>
  <c r="L18" i="56" s="1"/>
  <c r="L8" i="56"/>
  <c r="L9" i="56" s="1"/>
  <c r="G143" i="97"/>
  <c r="AF69" i="97"/>
  <c r="G145" i="97"/>
  <c r="K67" i="97"/>
  <c r="M67" i="97" s="1"/>
  <c r="O67" i="97" s="1"/>
  <c r="K69" i="97"/>
  <c r="M69" i="97" s="1"/>
  <c r="O69" i="97" s="1"/>
  <c r="J126" i="97"/>
  <c r="K31" i="97"/>
  <c r="M31" i="97" s="1"/>
  <c r="O31" i="97" s="1"/>
  <c r="H126" i="97"/>
  <c r="M29" i="97"/>
  <c r="O29" i="97" s="1"/>
  <c r="Z33" i="97"/>
  <c r="AF29" i="97"/>
  <c r="F145" i="97"/>
  <c r="K32" i="97"/>
  <c r="M32" i="97" s="1"/>
  <c r="O32" i="97" s="1"/>
  <c r="F146" i="97"/>
  <c r="AD32" i="97"/>
  <c r="AF32" i="97" s="1"/>
  <c r="AD12" i="97"/>
  <c r="W105" i="97"/>
  <c r="X105" i="97"/>
  <c r="G129" i="97"/>
  <c r="Z107" i="97"/>
  <c r="D107" i="97"/>
  <c r="N52" i="97"/>
  <c r="G107" i="97"/>
  <c r="D105" i="97"/>
  <c r="Z105" i="97"/>
  <c r="E107" i="97"/>
  <c r="AA107" i="97"/>
  <c r="U52" i="97"/>
  <c r="Y105" i="97"/>
  <c r="W52" i="97"/>
  <c r="I107" i="97"/>
  <c r="Y52" i="97"/>
  <c r="N107" i="97"/>
  <c r="G125" i="97"/>
  <c r="U107" i="97"/>
  <c r="G105" i="97"/>
  <c r="F52" i="97"/>
  <c r="AB47" i="97"/>
  <c r="AF47" i="97" s="1"/>
  <c r="E105" i="97"/>
  <c r="AC105" i="97"/>
  <c r="X107" i="97"/>
  <c r="H52" i="97"/>
  <c r="K12" i="97"/>
  <c r="M12" i="97" s="1"/>
  <c r="O12" i="97" s="1"/>
  <c r="H107" i="97"/>
  <c r="X52" i="97"/>
  <c r="Z52" i="97"/>
  <c r="F105" i="97"/>
  <c r="AA52" i="97"/>
  <c r="H105" i="97"/>
  <c r="N105" i="97"/>
  <c r="Y107" i="97"/>
  <c r="I52" i="97"/>
  <c r="AD52" i="97"/>
  <c r="V105" i="97"/>
  <c r="AC107" i="97"/>
  <c r="AA105" i="97"/>
  <c r="K49" i="97"/>
  <c r="M49" i="97" s="1"/>
  <c r="O49" i="97" s="1"/>
  <c r="AE52" i="97"/>
  <c r="F107" i="97"/>
  <c r="E52" i="97"/>
  <c r="AF48" i="97"/>
  <c r="AF50" i="97"/>
  <c r="AB10" i="97"/>
  <c r="AB105" i="97" s="1"/>
  <c r="G52" i="97"/>
  <c r="AC52" i="97"/>
  <c r="W107" i="97"/>
  <c r="U105" i="97"/>
  <c r="K10" i="97"/>
  <c r="M10" i="97" s="1"/>
  <c r="O10" i="97" s="1"/>
  <c r="G126" i="97"/>
  <c r="G128" i="97"/>
  <c r="AF49" i="97"/>
  <c r="AF51" i="97"/>
  <c r="V107" i="97"/>
  <c r="V52" i="97"/>
  <c r="C9" i="98"/>
  <c r="AG86" i="97"/>
  <c r="AH86" i="97" s="1"/>
  <c r="L109" i="97"/>
  <c r="L65" i="90" s="1"/>
  <c r="AF31" i="97"/>
  <c r="D52" i="97"/>
  <c r="J14" i="97"/>
  <c r="D26" i="97"/>
  <c r="D44" i="97"/>
  <c r="N79" i="97"/>
  <c r="AD79" i="97" s="1"/>
  <c r="K102" i="97"/>
  <c r="I105" i="97"/>
  <c r="G127" i="97"/>
  <c r="L14" i="97"/>
  <c r="K26" i="97"/>
  <c r="Y26" i="97" s="1"/>
  <c r="G45" i="97"/>
  <c r="V45" i="97" s="1"/>
  <c r="K47" i="97"/>
  <c r="K48" i="97"/>
  <c r="M48" i="97" s="1"/>
  <c r="O48" i="97" s="1"/>
  <c r="K50" i="97"/>
  <c r="M50" i="97" s="1"/>
  <c r="O50" i="97" s="1"/>
  <c r="K51" i="97"/>
  <c r="M51" i="97" s="1"/>
  <c r="O51" i="97" s="1"/>
  <c r="D64" i="97"/>
  <c r="D82" i="97"/>
  <c r="K45" i="97"/>
  <c r="Y45" i="97" s="1"/>
  <c r="G64" i="97"/>
  <c r="V64" i="97" s="1"/>
  <c r="D83" i="97"/>
  <c r="H129" i="97"/>
  <c r="K64" i="97"/>
  <c r="Y64" i="97" s="1"/>
  <c r="G83" i="97"/>
  <c r="V83" i="97" s="1"/>
  <c r="F143" i="97"/>
  <c r="AD3" i="97"/>
  <c r="K83" i="97"/>
  <c r="Y83" i="97" s="1"/>
  <c r="AE105" i="97"/>
  <c r="AF67" i="97"/>
  <c r="M117" i="97"/>
  <c r="N22" i="99" s="1"/>
  <c r="N98" i="97"/>
  <c r="G122" i="97"/>
  <c r="H27" i="99" s="1"/>
  <c r="K122" i="97"/>
  <c r="K27" i="99" s="1"/>
  <c r="H128" i="97"/>
  <c r="V7" i="97"/>
  <c r="AB12" i="97"/>
  <c r="Z13" i="97"/>
  <c r="N22" i="97"/>
  <c r="AD22" i="97" s="1"/>
  <c r="D101" i="97"/>
  <c r="D6" i="99" s="1"/>
  <c r="AE107" i="97"/>
  <c r="N41" i="97"/>
  <c r="AD41" i="97" s="1"/>
  <c r="J128" i="97"/>
  <c r="AD30" i="97"/>
  <c r="AD28" i="97"/>
  <c r="F498" i="55"/>
  <c r="AO363" i="55"/>
  <c r="AN363" i="55"/>
  <c r="AM363" i="55"/>
  <c r="AL363" i="55"/>
  <c r="AK363" i="55"/>
  <c r="AJ363" i="55"/>
  <c r="AI363" i="55"/>
  <c r="AH363" i="55"/>
  <c r="AG363" i="55"/>
  <c r="AF363" i="55"/>
  <c r="AE363" i="55"/>
  <c r="AD363" i="55"/>
  <c r="AC363" i="55"/>
  <c r="AB363" i="55"/>
  <c r="AA363" i="55"/>
  <c r="Z363" i="55"/>
  <c r="Y363" i="55"/>
  <c r="X363" i="55"/>
  <c r="W363" i="55"/>
  <c r="V363" i="55"/>
  <c r="U363" i="55"/>
  <c r="T363" i="55"/>
  <c r="S363" i="55"/>
  <c r="R363" i="55"/>
  <c r="Q363" i="55"/>
  <c r="P363" i="55"/>
  <c r="O363" i="55"/>
  <c r="N363" i="55"/>
  <c r="M363" i="55"/>
  <c r="L363" i="55"/>
  <c r="K363" i="55"/>
  <c r="J363" i="55"/>
  <c r="I363" i="55"/>
  <c r="H363" i="55"/>
  <c r="AB11" i="97"/>
  <c r="AD11" i="97"/>
  <c r="AO343" i="55"/>
  <c r="AN343" i="55"/>
  <c r="AM343" i="55"/>
  <c r="AL343" i="55"/>
  <c r="AK343" i="55"/>
  <c r="AJ343" i="55"/>
  <c r="AI343" i="55"/>
  <c r="AH343" i="55"/>
  <c r="AG343" i="55"/>
  <c r="AF343" i="55"/>
  <c r="AE343" i="55"/>
  <c r="AD343" i="55"/>
  <c r="AC343" i="55"/>
  <c r="AB343" i="55"/>
  <c r="AA343" i="55"/>
  <c r="Z343" i="55"/>
  <c r="Y343" i="55"/>
  <c r="X343" i="55"/>
  <c r="W343" i="55"/>
  <c r="V343" i="55"/>
  <c r="U343" i="55"/>
  <c r="T343" i="55"/>
  <c r="S343" i="55"/>
  <c r="R343" i="55"/>
  <c r="Q343" i="55"/>
  <c r="P343" i="55"/>
  <c r="O343" i="55"/>
  <c r="N343" i="55"/>
  <c r="M343" i="55"/>
  <c r="L343" i="55"/>
  <c r="K343" i="55"/>
  <c r="J343" i="55"/>
  <c r="I343" i="55"/>
  <c r="H343" i="55"/>
  <c r="AP83" i="55"/>
  <c r="AO83" i="55"/>
  <c r="AN83" i="55"/>
  <c r="AM83" i="55"/>
  <c r="AL83" i="55"/>
  <c r="AK83" i="55"/>
  <c r="AJ83" i="55"/>
  <c r="AI83" i="55"/>
  <c r="AH83" i="55"/>
  <c r="AG83" i="55"/>
  <c r="AF83" i="55"/>
  <c r="AE83" i="55"/>
  <c r="AD83" i="55"/>
  <c r="AC83" i="55"/>
  <c r="AB83" i="55"/>
  <c r="AA83" i="55"/>
  <c r="Z83" i="55"/>
  <c r="Y83" i="55"/>
  <c r="X83" i="55"/>
  <c r="W83" i="55"/>
  <c r="V83" i="55"/>
  <c r="U83" i="55"/>
  <c r="T83" i="55"/>
  <c r="S83" i="55"/>
  <c r="R83" i="55"/>
  <c r="Q83" i="55"/>
  <c r="P83" i="55"/>
  <c r="O83" i="55"/>
  <c r="N83" i="55"/>
  <c r="M83" i="55"/>
  <c r="L83" i="55"/>
  <c r="K83" i="55"/>
  <c r="J83" i="55"/>
  <c r="I83" i="55"/>
  <c r="H83" i="55"/>
  <c r="G83" i="55"/>
  <c r="AP53" i="55"/>
  <c r="AO53" i="55"/>
  <c r="AN53" i="55"/>
  <c r="AM53" i="55"/>
  <c r="AL53" i="55"/>
  <c r="AK53" i="55"/>
  <c r="AJ53" i="55"/>
  <c r="AI53" i="55"/>
  <c r="AH53" i="55"/>
  <c r="AG53" i="55"/>
  <c r="AF53" i="55"/>
  <c r="AE53" i="55"/>
  <c r="AD53" i="55"/>
  <c r="AC53" i="55"/>
  <c r="AB53" i="55"/>
  <c r="AA53" i="55"/>
  <c r="Z53" i="55"/>
  <c r="Y53" i="55"/>
  <c r="X53" i="55"/>
  <c r="W53" i="55"/>
  <c r="V53" i="55"/>
  <c r="U53" i="55"/>
  <c r="T53" i="55"/>
  <c r="S53" i="55"/>
  <c r="R53" i="55"/>
  <c r="Q53" i="55"/>
  <c r="P53" i="55"/>
  <c r="O53" i="55"/>
  <c r="N53" i="55"/>
  <c r="M53" i="55"/>
  <c r="L53" i="55"/>
  <c r="K53" i="55"/>
  <c r="J53" i="55"/>
  <c r="I53" i="55"/>
  <c r="H53" i="55"/>
  <c r="L14" i="99" l="1"/>
  <c r="F3" i="98"/>
  <c r="F9" i="98" s="1"/>
  <c r="G22" i="36" s="1"/>
  <c r="I147" i="97"/>
  <c r="L45" i="99"/>
  <c r="C15" i="98"/>
  <c r="D22" i="36"/>
  <c r="Y102" i="97"/>
  <c r="K7" i="99"/>
  <c r="Y7" i="99" s="1"/>
  <c r="AD98" i="97"/>
  <c r="N3" i="99"/>
  <c r="AD3" i="99" s="1"/>
  <c r="J50" i="91"/>
  <c r="J31" i="99"/>
  <c r="J52" i="91"/>
  <c r="J33" i="99"/>
  <c r="K146" i="97"/>
  <c r="H53" i="91"/>
  <c r="H34" i="99"/>
  <c r="K143" i="97"/>
  <c r="H50" i="91"/>
  <c r="H31" i="99"/>
  <c r="K145" i="97"/>
  <c r="H52" i="91"/>
  <c r="H33" i="99"/>
  <c r="AC11" i="99"/>
  <c r="I63" i="90"/>
  <c r="I12" i="99"/>
  <c r="AB61" i="90"/>
  <c r="AB10" i="99"/>
  <c r="Y63" i="90"/>
  <c r="Y12" i="99"/>
  <c r="AC61" i="90"/>
  <c r="AC10" i="99"/>
  <c r="E61" i="90"/>
  <c r="E10" i="99"/>
  <c r="AA63" i="90"/>
  <c r="AA12" i="99"/>
  <c r="W63" i="90"/>
  <c r="W12" i="99"/>
  <c r="V61" i="90"/>
  <c r="V10" i="99"/>
  <c r="V63" i="90"/>
  <c r="V12" i="99"/>
  <c r="H61" i="90"/>
  <c r="H10" i="99"/>
  <c r="Z61" i="90"/>
  <c r="Z10" i="99"/>
  <c r="F63" i="90"/>
  <c r="F12" i="99"/>
  <c r="G61" i="90"/>
  <c r="G10" i="99"/>
  <c r="D61" i="90"/>
  <c r="D10" i="99"/>
  <c r="I4" i="98"/>
  <c r="J146" i="97"/>
  <c r="G53" i="91"/>
  <c r="D7" i="98"/>
  <c r="G34" i="99"/>
  <c r="E63" i="90"/>
  <c r="E12" i="99"/>
  <c r="J145" i="97"/>
  <c r="G52" i="91"/>
  <c r="G33" i="99"/>
  <c r="D6" i="98"/>
  <c r="F61" i="90"/>
  <c r="F10" i="99"/>
  <c r="U63" i="90"/>
  <c r="U12" i="99"/>
  <c r="G63" i="90"/>
  <c r="G12" i="99"/>
  <c r="I61" i="90"/>
  <c r="I10" i="99"/>
  <c r="N61" i="90"/>
  <c r="J4" i="98"/>
  <c r="N10" i="99"/>
  <c r="AE63" i="90"/>
  <c r="AE12" i="99"/>
  <c r="AD105" i="97"/>
  <c r="AF105" i="97" s="1"/>
  <c r="AF61" i="90" s="1"/>
  <c r="AE61" i="90"/>
  <c r="AE10" i="99"/>
  <c r="J143" i="97"/>
  <c r="G50" i="91"/>
  <c r="G31" i="99"/>
  <c r="D4" i="98"/>
  <c r="J142" i="97"/>
  <c r="G49" i="91"/>
  <c r="D3" i="98"/>
  <c r="G30" i="99"/>
  <c r="J144" i="97"/>
  <c r="G51" i="91"/>
  <c r="D5" i="98"/>
  <c r="G32" i="99"/>
  <c r="AA61" i="90"/>
  <c r="AA10" i="99"/>
  <c r="N63" i="90"/>
  <c r="J6" i="98"/>
  <c r="N12" i="99"/>
  <c r="D63" i="90"/>
  <c r="I6" i="98"/>
  <c r="D12" i="99"/>
  <c r="U61" i="90"/>
  <c r="U10" i="99"/>
  <c r="AC63" i="90"/>
  <c r="AC12" i="99"/>
  <c r="H63" i="90"/>
  <c r="H12" i="99"/>
  <c r="Z63" i="90"/>
  <c r="Z12" i="99"/>
  <c r="X61" i="90"/>
  <c r="X10" i="99"/>
  <c r="X63" i="90"/>
  <c r="X12" i="99"/>
  <c r="Y61" i="90"/>
  <c r="Y10" i="99"/>
  <c r="W61" i="90"/>
  <c r="W10" i="99"/>
  <c r="E55" i="91"/>
  <c r="E36" i="99"/>
  <c r="E46" i="99" s="1"/>
  <c r="AG69" i="97"/>
  <c r="AH69" i="97" s="1"/>
  <c r="AG67" i="97"/>
  <c r="AH67" i="97" s="1"/>
  <c r="AG31" i="97"/>
  <c r="AH31" i="97" s="1"/>
  <c r="D33" i="97"/>
  <c r="AE33" i="97"/>
  <c r="E33" i="97"/>
  <c r="AG29" i="97"/>
  <c r="AH29" i="97" s="1"/>
  <c r="AG32" i="97"/>
  <c r="AH32" i="97" s="1"/>
  <c r="Y54" i="97"/>
  <c r="AB52" i="97"/>
  <c r="AG51" i="97"/>
  <c r="AH51" i="97" s="1"/>
  <c r="AG50" i="97"/>
  <c r="AH50" i="97" s="1"/>
  <c r="AG48" i="97"/>
  <c r="AH48" i="97" s="1"/>
  <c r="AG49" i="97"/>
  <c r="AH49" i="97" s="1"/>
  <c r="K105" i="97"/>
  <c r="K107" i="97"/>
  <c r="E14" i="97"/>
  <c r="AF10" i="97"/>
  <c r="AG10" i="97" s="1"/>
  <c r="AH10" i="97" s="1"/>
  <c r="K11" i="97"/>
  <c r="M11" i="97" s="1"/>
  <c r="O11" i="97" s="1"/>
  <c r="AF52" i="97"/>
  <c r="D14" i="97"/>
  <c r="AB107" i="97"/>
  <c r="AF12" i="97"/>
  <c r="AG12" i="97" s="1"/>
  <c r="AH12" i="97" s="1"/>
  <c r="K52" i="97"/>
  <c r="M47" i="97"/>
  <c r="G131" i="97"/>
  <c r="Z14" i="97"/>
  <c r="AD33" i="97"/>
  <c r="G55" i="91" l="1"/>
  <c r="K31" i="36"/>
  <c r="J147" i="97"/>
  <c r="M105" i="97"/>
  <c r="K61" i="90"/>
  <c r="AB63" i="90"/>
  <c r="AB12" i="99"/>
  <c r="M107" i="97"/>
  <c r="K63" i="90"/>
  <c r="AD61" i="90"/>
  <c r="AD10" i="99"/>
  <c r="AF11" i="97"/>
  <c r="AG11" i="97" s="1"/>
  <c r="AH11" i="97" s="1"/>
  <c r="K13" i="97"/>
  <c r="M13" i="97" s="1"/>
  <c r="O13" i="97" s="1"/>
  <c r="AB13" i="97"/>
  <c r="M52" i="97"/>
  <c r="O47" i="97"/>
  <c r="O107" i="97" l="1"/>
  <c r="O63" i="90" s="1"/>
  <c r="M63" i="90"/>
  <c r="O105" i="97"/>
  <c r="M61" i="90"/>
  <c r="AD68" i="97"/>
  <c r="O52" i="97"/>
  <c r="AG47" i="97"/>
  <c r="AD70" i="97"/>
  <c r="O61" i="90" l="1"/>
  <c r="AG105" i="97"/>
  <c r="AH105" i="97" s="1"/>
  <c r="AG52" i="97"/>
  <c r="AH52" i="97" s="1"/>
  <c r="AH47" i="97"/>
  <c r="Z498" i="55"/>
  <c r="Y498" i="55"/>
  <c r="X498" i="55"/>
  <c r="W498" i="55"/>
  <c r="V498" i="55"/>
  <c r="U498" i="55"/>
  <c r="T498" i="55"/>
  <c r="S498" i="55"/>
  <c r="R498" i="55"/>
  <c r="Q498" i="55"/>
  <c r="P498" i="55"/>
  <c r="O498" i="55"/>
  <c r="N498" i="55"/>
  <c r="M498" i="55"/>
  <c r="L498" i="55"/>
  <c r="K498" i="55"/>
  <c r="J498" i="55"/>
  <c r="I498" i="55"/>
  <c r="H498" i="55"/>
  <c r="G498" i="55"/>
  <c r="AO468" i="55"/>
  <c r="AN468" i="55"/>
  <c r="AM468" i="55"/>
  <c r="AL468" i="55"/>
  <c r="AK468" i="55"/>
  <c r="AJ468" i="55"/>
  <c r="AI468" i="55"/>
  <c r="AH468" i="55"/>
  <c r="AG468" i="55"/>
  <c r="AF468" i="55"/>
  <c r="AE468" i="55"/>
  <c r="AD468" i="55"/>
  <c r="AC468" i="55"/>
  <c r="AB468" i="55"/>
  <c r="AA468" i="55"/>
  <c r="Z468" i="55"/>
  <c r="Y468" i="55"/>
  <c r="X468" i="55"/>
  <c r="W468" i="55"/>
  <c r="V468" i="55"/>
  <c r="U468" i="55"/>
  <c r="T468" i="55"/>
  <c r="S468" i="55"/>
  <c r="R468" i="55"/>
  <c r="Q468" i="55"/>
  <c r="P468" i="55"/>
  <c r="O468" i="55"/>
  <c r="N468" i="55"/>
  <c r="M468" i="55"/>
  <c r="L468" i="55"/>
  <c r="K468" i="55"/>
  <c r="J468" i="55"/>
  <c r="I468" i="55"/>
  <c r="H468" i="55"/>
  <c r="AP206" i="55"/>
  <c r="AO206" i="55"/>
  <c r="AN206" i="55"/>
  <c r="AM206" i="55"/>
  <c r="AL206" i="55"/>
  <c r="AK206" i="55"/>
  <c r="AJ206" i="55"/>
  <c r="AI206" i="55"/>
  <c r="AH206" i="55"/>
  <c r="AG206" i="55"/>
  <c r="AF206" i="55"/>
  <c r="AE206" i="55"/>
  <c r="AD206" i="55"/>
  <c r="AC206" i="55"/>
  <c r="AB206" i="55"/>
  <c r="AA206" i="55"/>
  <c r="Z206" i="55"/>
  <c r="Y206" i="55"/>
  <c r="X206" i="55"/>
  <c r="W206" i="55"/>
  <c r="V206" i="55"/>
  <c r="U206" i="55"/>
  <c r="T206" i="55"/>
  <c r="S206" i="55"/>
  <c r="R206" i="55"/>
  <c r="Q206" i="55"/>
  <c r="P206" i="55"/>
  <c r="O206" i="55"/>
  <c r="N206" i="55"/>
  <c r="M206" i="55"/>
  <c r="L206" i="55"/>
  <c r="K206" i="55"/>
  <c r="J206" i="55"/>
  <c r="I206" i="55"/>
  <c r="H206" i="55"/>
  <c r="N14" i="97" l="1"/>
  <c r="U14" i="97"/>
  <c r="H14" i="97"/>
  <c r="V14" i="97"/>
  <c r="I14" i="97"/>
  <c r="W14" i="97"/>
  <c r="X14" i="97"/>
  <c r="Y14" i="97"/>
  <c r="F14" i="97"/>
  <c r="K9" i="97"/>
  <c r="G14" i="97"/>
  <c r="N31" i="95"/>
  <c r="M31" i="95"/>
  <c r="K31" i="95"/>
  <c r="P21" i="95"/>
  <c r="N21" i="95"/>
  <c r="L21" i="95"/>
  <c r="J21" i="95"/>
  <c r="H21" i="95"/>
  <c r="F21" i="95"/>
  <c r="P10" i="95"/>
  <c r="N10" i="95"/>
  <c r="L10" i="95"/>
  <c r="J10" i="95"/>
  <c r="H10" i="95"/>
  <c r="F10" i="95"/>
  <c r="O31" i="95" l="1"/>
  <c r="K32" i="95"/>
  <c r="K14" i="97"/>
  <c r="M9" i="97"/>
  <c r="AC14" i="97"/>
  <c r="AA14" i="97"/>
  <c r="Y16" i="97"/>
  <c r="AB14" i="97"/>
  <c r="F364" i="55"/>
  <c r="AD13" i="97" l="1"/>
  <c r="AF13" i="97" s="1"/>
  <c r="AG13" i="97" s="1"/>
  <c r="AH13" i="97" s="1"/>
  <c r="AE14" i="97"/>
  <c r="AD9" i="97"/>
  <c r="M14" i="97"/>
  <c r="O9" i="97"/>
  <c r="O14" i="97" s="1"/>
  <c r="AD66" i="97" l="1"/>
  <c r="AD71" i="97" s="1"/>
  <c r="AE71" i="97"/>
  <c r="E71" i="97"/>
  <c r="D71" i="97"/>
  <c r="AD14" i="97"/>
  <c r="AF9" i="97"/>
  <c r="R450" i="59"/>
  <c r="Q450" i="59"/>
  <c r="P450" i="59"/>
  <c r="O450" i="59"/>
  <c r="N450" i="59"/>
  <c r="M450" i="59"/>
  <c r="L450" i="59"/>
  <c r="K450" i="59"/>
  <c r="J450" i="59"/>
  <c r="I450" i="59"/>
  <c r="H450" i="59"/>
  <c r="G450" i="59"/>
  <c r="F450" i="59"/>
  <c r="E451" i="59"/>
  <c r="E450" i="59"/>
  <c r="R438" i="59"/>
  <c r="Q438" i="59"/>
  <c r="P438" i="59"/>
  <c r="O438" i="59"/>
  <c r="N438" i="59"/>
  <c r="M438" i="59"/>
  <c r="L438" i="59"/>
  <c r="K438" i="59"/>
  <c r="J438" i="59"/>
  <c r="I438" i="59"/>
  <c r="H438" i="59"/>
  <c r="G438" i="59"/>
  <c r="AF14" i="97" l="1"/>
  <c r="AG9" i="97"/>
  <c r="E375" i="61"/>
  <c r="AA236" i="55"/>
  <c r="Z236" i="55"/>
  <c r="Y236" i="55"/>
  <c r="X236" i="55"/>
  <c r="W236" i="55"/>
  <c r="V236" i="55"/>
  <c r="U236" i="55"/>
  <c r="T236" i="55"/>
  <c r="S236" i="55"/>
  <c r="R236" i="55"/>
  <c r="Q236" i="55"/>
  <c r="P236" i="55"/>
  <c r="O236" i="55"/>
  <c r="N236" i="55"/>
  <c r="M236" i="55"/>
  <c r="L236" i="55"/>
  <c r="K236" i="55"/>
  <c r="J236" i="55"/>
  <c r="I236" i="55"/>
  <c r="H236" i="55"/>
  <c r="G236" i="55"/>
  <c r="AH9" i="97" l="1"/>
  <c r="AG14" i="97"/>
  <c r="AH14" i="97" s="1"/>
  <c r="R142" i="59" l="1"/>
  <c r="Q142" i="59"/>
  <c r="P142" i="59"/>
  <c r="O142" i="59"/>
  <c r="N142" i="59"/>
  <c r="M142" i="59"/>
  <c r="L142" i="59"/>
  <c r="K142" i="59"/>
  <c r="J142" i="59"/>
  <c r="I142" i="59"/>
  <c r="H142" i="59"/>
  <c r="G142" i="59"/>
  <c r="S55" i="59"/>
  <c r="R55" i="59"/>
  <c r="Q55" i="59"/>
  <c r="P55" i="59"/>
  <c r="O55" i="59"/>
  <c r="N55" i="59"/>
  <c r="M55" i="59"/>
  <c r="L55" i="59"/>
  <c r="K55" i="59"/>
  <c r="J55" i="59"/>
  <c r="I55" i="59"/>
  <c r="H55" i="59"/>
  <c r="G55" i="59"/>
  <c r="S49" i="59"/>
  <c r="R49" i="59"/>
  <c r="Q49" i="59"/>
  <c r="P49" i="59"/>
  <c r="O49" i="59"/>
  <c r="N49" i="59"/>
  <c r="M49" i="59"/>
  <c r="L49" i="59"/>
  <c r="K49" i="59"/>
  <c r="J49" i="59"/>
  <c r="I49" i="59"/>
  <c r="H49" i="59"/>
  <c r="G49" i="59"/>
  <c r="S43" i="59"/>
  <c r="R43" i="59"/>
  <c r="Q43" i="59"/>
  <c r="P43" i="59"/>
  <c r="O43" i="59"/>
  <c r="N43" i="59"/>
  <c r="M43" i="59"/>
  <c r="L43" i="59"/>
  <c r="K43" i="59"/>
  <c r="J43" i="59"/>
  <c r="I43" i="59"/>
  <c r="H43" i="59"/>
  <c r="G43" i="59"/>
  <c r="AP226" i="55"/>
  <c r="AO226" i="55"/>
  <c r="AN226" i="55"/>
  <c r="AM226" i="55"/>
  <c r="AL226" i="55"/>
  <c r="AK226" i="55"/>
  <c r="AJ226" i="55"/>
  <c r="AI226" i="55"/>
  <c r="AH226" i="55"/>
  <c r="AG226" i="55"/>
  <c r="AF226" i="55"/>
  <c r="AE226" i="55"/>
  <c r="AD226" i="55"/>
  <c r="AC226" i="55"/>
  <c r="AB226" i="55"/>
  <c r="AA226" i="55"/>
  <c r="Z226" i="55"/>
  <c r="Y226" i="55"/>
  <c r="X226" i="55"/>
  <c r="W226" i="55"/>
  <c r="V226" i="55"/>
  <c r="U226" i="55"/>
  <c r="T226" i="55"/>
  <c r="S226" i="55"/>
  <c r="R226" i="55"/>
  <c r="Q226" i="55"/>
  <c r="P226" i="55"/>
  <c r="O226" i="55"/>
  <c r="N226" i="55"/>
  <c r="M226" i="55"/>
  <c r="L226" i="55"/>
  <c r="K226" i="55"/>
  <c r="J226" i="55"/>
  <c r="I226" i="55"/>
  <c r="H226" i="55"/>
  <c r="AB28" i="97" l="1"/>
  <c r="AF28" i="97" s="1"/>
  <c r="F142" i="97"/>
  <c r="H125" i="97"/>
  <c r="K28" i="97"/>
  <c r="AA13" i="22"/>
  <c r="AC13" i="22"/>
  <c r="AA50" i="85"/>
  <c r="AC50" i="85"/>
  <c r="AA51" i="79"/>
  <c r="AC51" i="79"/>
  <c r="AA50" i="79"/>
  <c r="AA49" i="79"/>
  <c r="AC49" i="79"/>
  <c r="AA48" i="79"/>
  <c r="AC48" i="79"/>
  <c r="AA12" i="79"/>
  <c r="AC12" i="79"/>
  <c r="AA10" i="79"/>
  <c r="AC10" i="79"/>
  <c r="AA51" i="75"/>
  <c r="AC51" i="75"/>
  <c r="AA49" i="75"/>
  <c r="AC49" i="75"/>
  <c r="AA48" i="75"/>
  <c r="AC48" i="75"/>
  <c r="AA47" i="75"/>
  <c r="AC47" i="75"/>
  <c r="AA13" i="75"/>
  <c r="AC13" i="75"/>
  <c r="AA11" i="75"/>
  <c r="AC11" i="75"/>
  <c r="AA9" i="75"/>
  <c r="AC9" i="75"/>
  <c r="H49" i="91" l="1"/>
  <c r="H30" i="99"/>
  <c r="M28" i="97"/>
  <c r="K142" i="97"/>
  <c r="D47" i="22"/>
  <c r="O28" i="97" l="1"/>
  <c r="AA9" i="22"/>
  <c r="AC9" i="85"/>
  <c r="AC11" i="79"/>
  <c r="AA51" i="85"/>
  <c r="AA11" i="79"/>
  <c r="AC50" i="75"/>
  <c r="AA47" i="79"/>
  <c r="AC9" i="79"/>
  <c r="AC48" i="22"/>
  <c r="AA11" i="85"/>
  <c r="AC47" i="79"/>
  <c r="AC9" i="22"/>
  <c r="AC11" i="85"/>
  <c r="AA11" i="22"/>
  <c r="AA47" i="85"/>
  <c r="AA9" i="85"/>
  <c r="AA10" i="22"/>
  <c r="AA49" i="85"/>
  <c r="AA12" i="75"/>
  <c r="AC11" i="22"/>
  <c r="AC10" i="22"/>
  <c r="AC49" i="85"/>
  <c r="AC12" i="75"/>
  <c r="AA50" i="75"/>
  <c r="AC47" i="85"/>
  <c r="AA48" i="85"/>
  <c r="AA51" i="22"/>
  <c r="AC51" i="85"/>
  <c r="AA9" i="79"/>
  <c r="AA48" i="22"/>
  <c r="AC48" i="85"/>
  <c r="AC51" i="22"/>
  <c r="AG28" i="97" l="1"/>
  <c r="AA47" i="22"/>
  <c r="AA49" i="22"/>
  <c r="AC47" i="22"/>
  <c r="AC49" i="22"/>
  <c r="AA50" i="22"/>
  <c r="AH28" i="97" l="1"/>
  <c r="AC13" i="85"/>
  <c r="AA13" i="85"/>
  <c r="AC12" i="85" l="1"/>
  <c r="AA13" i="79"/>
  <c r="AA12" i="85"/>
  <c r="AC13" i="79"/>
  <c r="R211" i="61"/>
  <c r="Q211" i="61"/>
  <c r="P211" i="61"/>
  <c r="O211" i="61"/>
  <c r="N211" i="61"/>
  <c r="M211" i="61"/>
  <c r="L211" i="61"/>
  <c r="K211" i="61"/>
  <c r="J211" i="61"/>
  <c r="I211" i="61"/>
  <c r="H211" i="61"/>
  <c r="G211" i="61"/>
  <c r="F211" i="61"/>
  <c r="AB68" i="97" l="1"/>
  <c r="J127" i="97"/>
  <c r="G144" i="97"/>
  <c r="K68" i="97"/>
  <c r="M68" i="97" s="1"/>
  <c r="O68" i="97" s="1"/>
  <c r="R268" i="59"/>
  <c r="Q268" i="59"/>
  <c r="P268" i="59"/>
  <c r="O268" i="59"/>
  <c r="N268" i="59"/>
  <c r="M268" i="59"/>
  <c r="L268" i="59"/>
  <c r="K268" i="59"/>
  <c r="J268" i="59"/>
  <c r="I268" i="59"/>
  <c r="H268" i="59"/>
  <c r="G268" i="59"/>
  <c r="R256" i="59"/>
  <c r="Q256" i="59"/>
  <c r="P256" i="59"/>
  <c r="O256" i="59"/>
  <c r="N256" i="59"/>
  <c r="M256" i="59"/>
  <c r="L256" i="59"/>
  <c r="K256" i="59"/>
  <c r="J256" i="59"/>
  <c r="I256" i="59"/>
  <c r="H256" i="59"/>
  <c r="G256" i="59"/>
  <c r="J51" i="91" l="1"/>
  <c r="J32" i="99"/>
  <c r="AF68" i="97"/>
  <c r="AG68" i="97" s="1"/>
  <c r="AH68" i="97" s="1"/>
  <c r="G33" i="97"/>
  <c r="K30" i="97"/>
  <c r="F33" i="97"/>
  <c r="H33" i="97"/>
  <c r="U33" i="97"/>
  <c r="X33" i="97"/>
  <c r="AB30" i="97"/>
  <c r="F144" i="97"/>
  <c r="F147" i="97" s="1"/>
  <c r="H127" i="97"/>
  <c r="N33" i="97"/>
  <c r="W33" i="97"/>
  <c r="AA33" i="97"/>
  <c r="I33" i="97"/>
  <c r="V33" i="97"/>
  <c r="Y33" i="97"/>
  <c r="AC33" i="97"/>
  <c r="AA10" i="75"/>
  <c r="H51" i="91" l="1"/>
  <c r="H32" i="99"/>
  <c r="Y35" i="97"/>
  <c r="AF30" i="97"/>
  <c r="AB33" i="97"/>
  <c r="M30" i="97"/>
  <c r="K33" i="97"/>
  <c r="K144" i="97"/>
  <c r="K147" i="97" s="1"/>
  <c r="H131" i="97"/>
  <c r="AC10" i="75"/>
  <c r="H55" i="91" l="1"/>
  <c r="L31" i="36"/>
  <c r="O30" i="97"/>
  <c r="O33" i="97" s="1"/>
  <c r="M33" i="97"/>
  <c r="AF33" i="97"/>
  <c r="H13" i="70"/>
  <c r="G13" i="70"/>
  <c r="E13" i="70"/>
  <c r="F13" i="70"/>
  <c r="I13" i="70"/>
  <c r="J13" i="70"/>
  <c r="K13" i="70"/>
  <c r="L13" i="70"/>
  <c r="AG30" i="97" l="1"/>
  <c r="AH30" i="97" s="1"/>
  <c r="AA12" i="22"/>
  <c r="AC12" i="22"/>
  <c r="R79" i="61"/>
  <c r="Q79" i="61"/>
  <c r="P79" i="61"/>
  <c r="O79" i="61"/>
  <c r="N79" i="61"/>
  <c r="M79" i="61"/>
  <c r="L79" i="61"/>
  <c r="K79" i="61"/>
  <c r="J79" i="61"/>
  <c r="I79" i="61"/>
  <c r="H79" i="61"/>
  <c r="G79" i="61"/>
  <c r="F79" i="61"/>
  <c r="AG33" i="97" l="1"/>
  <c r="AH33" i="97" s="1"/>
  <c r="AB66" i="97"/>
  <c r="G142" i="97"/>
  <c r="J125" i="97"/>
  <c r="K66" i="97"/>
  <c r="AA104" i="97"/>
  <c r="J49" i="91" l="1"/>
  <c r="J30" i="99"/>
  <c r="AA60" i="90"/>
  <c r="AA9" i="99"/>
  <c r="AF66" i="97"/>
  <c r="M66" i="97"/>
  <c r="R361" i="61"/>
  <c r="Q361" i="61"/>
  <c r="P361" i="61"/>
  <c r="O361" i="61"/>
  <c r="N361" i="61"/>
  <c r="M361" i="61"/>
  <c r="L361" i="61"/>
  <c r="K361" i="61"/>
  <c r="J361" i="61"/>
  <c r="I361" i="61"/>
  <c r="H361" i="61"/>
  <c r="G361" i="61"/>
  <c r="F361" i="61"/>
  <c r="AC108" i="97" l="1"/>
  <c r="K70" i="97"/>
  <c r="H71" i="97"/>
  <c r="G71" i="97"/>
  <c r="W71" i="97"/>
  <c r="Y71" i="97"/>
  <c r="V71" i="97"/>
  <c r="X71" i="97"/>
  <c r="AA71" i="97"/>
  <c r="AB70" i="97"/>
  <c r="J129" i="97"/>
  <c r="G146" i="97"/>
  <c r="G147" i="97" s="1"/>
  <c r="N71" i="97"/>
  <c r="U71" i="97"/>
  <c r="O66" i="97"/>
  <c r="I71" i="97"/>
  <c r="F71" i="97"/>
  <c r="AA10" i="85"/>
  <c r="J131" i="97" l="1"/>
  <c r="J53" i="91"/>
  <c r="J34" i="99"/>
  <c r="AC64" i="90"/>
  <c r="AC13" i="99"/>
  <c r="AC71" i="97"/>
  <c r="AB71" i="97"/>
  <c r="AG66" i="97"/>
  <c r="Y73" i="97"/>
  <c r="AF70" i="97"/>
  <c r="M70" i="97"/>
  <c r="K71" i="97"/>
  <c r="AC10" i="85"/>
  <c r="U82" i="22"/>
  <c r="J55" i="91" l="1"/>
  <c r="N31" i="36"/>
  <c r="AF71" i="97"/>
  <c r="O70" i="97"/>
  <c r="O71" i="97" s="1"/>
  <c r="M71" i="97"/>
  <c r="AH66" i="97"/>
  <c r="D375" i="61"/>
  <c r="R444" i="59"/>
  <c r="Q444" i="59"/>
  <c r="P444" i="59"/>
  <c r="O444" i="59"/>
  <c r="N444" i="59"/>
  <c r="M444" i="59"/>
  <c r="L444" i="59"/>
  <c r="K444" i="59"/>
  <c r="J444" i="59"/>
  <c r="I444" i="59"/>
  <c r="H444" i="59"/>
  <c r="G444" i="59"/>
  <c r="D33" i="58"/>
  <c r="AG70" i="97" l="1"/>
  <c r="C5" i="77"/>
  <c r="C7" i="77"/>
  <c r="AH70" i="97" l="1"/>
  <c r="AG71" i="97"/>
  <c r="AH71" i="97" s="1"/>
  <c r="U44" i="69" l="1"/>
  <c r="U25" i="69"/>
  <c r="U6" i="69"/>
  <c r="H7" i="64"/>
  <c r="H6" i="64"/>
  <c r="H5" i="64"/>
  <c r="H4" i="64"/>
  <c r="H3" i="64"/>
  <c r="D61" i="67"/>
  <c r="C62" i="67"/>
  <c r="C61" i="67"/>
  <c r="D49" i="67"/>
  <c r="C50" i="67"/>
  <c r="C49" i="67"/>
  <c r="D36" i="67"/>
  <c r="C37" i="67"/>
  <c r="AD30" i="69" s="1"/>
  <c r="C36" i="67"/>
  <c r="D23" i="67"/>
  <c r="C24" i="67"/>
  <c r="C23" i="67"/>
  <c r="D60" i="68"/>
  <c r="C61" i="68"/>
  <c r="C60" i="68"/>
  <c r="R361" i="59"/>
  <c r="Q361" i="59"/>
  <c r="P361" i="59"/>
  <c r="O361" i="59"/>
  <c r="N361" i="59"/>
  <c r="M361" i="59"/>
  <c r="L361" i="59"/>
  <c r="K361" i="59"/>
  <c r="J361" i="59"/>
  <c r="I361" i="59"/>
  <c r="H361" i="59"/>
  <c r="G361" i="59"/>
  <c r="H9" i="64" l="1"/>
  <c r="H10" i="64" s="1"/>
  <c r="F45" i="62"/>
  <c r="D69" i="62" l="1"/>
  <c r="E69" i="62"/>
  <c r="AC32" i="22"/>
  <c r="D376" i="61"/>
  <c r="I145" i="75" l="1"/>
  <c r="AC66" i="22"/>
  <c r="F35" i="71"/>
  <c r="C17" i="62" l="1"/>
  <c r="E62" i="62" l="1"/>
  <c r="D62" i="62"/>
  <c r="D101" i="22"/>
  <c r="D13" i="70"/>
  <c r="C13" i="70"/>
  <c r="I142" i="79" l="1"/>
  <c r="D21" i="70"/>
  <c r="E21" i="70"/>
  <c r="F21" i="70"/>
  <c r="G21" i="70"/>
  <c r="H21" i="70"/>
  <c r="I21" i="70"/>
  <c r="J21" i="70"/>
  <c r="K21" i="70"/>
  <c r="L21" i="70"/>
  <c r="C21" i="70"/>
  <c r="D37" i="70"/>
  <c r="E37" i="70"/>
  <c r="F37" i="70"/>
  <c r="G37" i="70"/>
  <c r="H37" i="70"/>
  <c r="I37" i="70"/>
  <c r="J37" i="70"/>
  <c r="K37" i="70"/>
  <c r="L37" i="70"/>
  <c r="C37" i="70"/>
  <c r="M21" i="70" l="1"/>
  <c r="R375" i="61"/>
  <c r="Q375" i="61"/>
  <c r="P375" i="61"/>
  <c r="O375" i="61"/>
  <c r="N375" i="61"/>
  <c r="M375" i="61"/>
  <c r="L375" i="61"/>
  <c r="K375" i="61"/>
  <c r="J375" i="61"/>
  <c r="I375" i="61"/>
  <c r="H375" i="61"/>
  <c r="G375" i="61"/>
  <c r="F375" i="61"/>
  <c r="R370" i="59"/>
  <c r="Q370" i="59"/>
  <c r="P370" i="59"/>
  <c r="O370" i="59"/>
  <c r="N370" i="59"/>
  <c r="M370" i="59"/>
  <c r="L370" i="59"/>
  <c r="K370" i="59"/>
  <c r="J370" i="59"/>
  <c r="I370" i="59"/>
  <c r="H370" i="59"/>
  <c r="G370" i="59"/>
  <c r="R358" i="59"/>
  <c r="Q358" i="59"/>
  <c r="P358" i="59"/>
  <c r="O358" i="59"/>
  <c r="N358" i="59"/>
  <c r="M358" i="59"/>
  <c r="L358" i="59"/>
  <c r="K358" i="59"/>
  <c r="J358" i="59"/>
  <c r="I358" i="59"/>
  <c r="H358" i="59"/>
  <c r="G358" i="59"/>
  <c r="G33" i="58" l="1"/>
  <c r="E69" i="66"/>
  <c r="E69" i="71"/>
  <c r="E69" i="58"/>
  <c r="H17" i="62"/>
  <c r="E75" i="62" l="1"/>
  <c r="D75" i="62"/>
  <c r="F7" i="64"/>
  <c r="O61" i="67"/>
  <c r="N61" i="67"/>
  <c r="M61" i="67"/>
  <c r="L61" i="67"/>
  <c r="K61" i="67"/>
  <c r="J61" i="67"/>
  <c r="I61" i="67"/>
  <c r="N32" i="69" s="1"/>
  <c r="H61" i="67"/>
  <c r="G61" i="67"/>
  <c r="F61" i="67"/>
  <c r="E61" i="67"/>
  <c r="O49" i="67"/>
  <c r="N49" i="67"/>
  <c r="M49" i="67"/>
  <c r="L49" i="67"/>
  <c r="K49" i="67"/>
  <c r="J49" i="67"/>
  <c r="I49" i="67"/>
  <c r="H49" i="67"/>
  <c r="G49" i="67"/>
  <c r="F49" i="67"/>
  <c r="E49" i="67"/>
  <c r="I142" i="85" l="1"/>
  <c r="I142" i="22"/>
  <c r="O36" i="67"/>
  <c r="N36" i="67"/>
  <c r="M36" i="67"/>
  <c r="L36" i="67"/>
  <c r="K36" i="67"/>
  <c r="J36" i="67"/>
  <c r="I36" i="67"/>
  <c r="N30" i="69" s="1"/>
  <c r="H36" i="67"/>
  <c r="G36" i="67"/>
  <c r="F36" i="67"/>
  <c r="E36" i="67"/>
  <c r="O23" i="67"/>
  <c r="N23" i="67"/>
  <c r="M23" i="67"/>
  <c r="L23" i="67"/>
  <c r="K23" i="67"/>
  <c r="J23" i="67"/>
  <c r="I23" i="67"/>
  <c r="H23" i="67"/>
  <c r="G23" i="67"/>
  <c r="F23" i="67"/>
  <c r="E23" i="67"/>
  <c r="O10" i="67"/>
  <c r="N10" i="67"/>
  <c r="M10" i="67"/>
  <c r="L10" i="67"/>
  <c r="K10" i="67"/>
  <c r="J10" i="67"/>
  <c r="I10" i="67"/>
  <c r="N28" i="69" s="1"/>
  <c r="H10" i="67"/>
  <c r="G10" i="67"/>
  <c r="F10" i="67"/>
  <c r="E10" i="67"/>
  <c r="P34" i="68"/>
  <c r="N34" i="68"/>
  <c r="M34" i="68"/>
  <c r="L34" i="68"/>
  <c r="K34" i="68"/>
  <c r="J34" i="68"/>
  <c r="I34" i="68"/>
  <c r="H34" i="68"/>
  <c r="G34" i="68"/>
  <c r="F34" i="68"/>
  <c r="E34" i="68"/>
  <c r="P22" i="68"/>
  <c r="N22" i="68"/>
  <c r="M22" i="68"/>
  <c r="L22" i="68"/>
  <c r="K22" i="68"/>
  <c r="J22" i="68"/>
  <c r="I22" i="68"/>
  <c r="H22" i="68"/>
  <c r="G22" i="68"/>
  <c r="F22" i="68"/>
  <c r="E22" i="68"/>
  <c r="P9" i="68"/>
  <c r="N9" i="68"/>
  <c r="M9" i="68"/>
  <c r="L9" i="68"/>
  <c r="K9" i="68"/>
  <c r="J9" i="68"/>
  <c r="I9" i="68"/>
  <c r="H9" i="68"/>
  <c r="G9" i="68"/>
  <c r="F9" i="68"/>
  <c r="E9" i="68"/>
  <c r="H45" i="62" l="1"/>
  <c r="D78" i="62" l="1"/>
  <c r="E78" i="62"/>
  <c r="I145" i="85" s="1"/>
  <c r="H27" i="62" l="1"/>
  <c r="E76" i="62" l="1"/>
  <c r="I143" i="85" s="1"/>
  <c r="D76" i="62"/>
  <c r="D9" i="22"/>
  <c r="C2" i="62"/>
  <c r="C3" i="62"/>
  <c r="C4" i="62"/>
  <c r="AC31" i="79" l="1"/>
  <c r="AC29" i="79"/>
  <c r="AC32" i="75"/>
  <c r="AC30" i="75"/>
  <c r="AC28" i="75"/>
  <c r="AC32" i="79" l="1"/>
  <c r="AC31" i="75"/>
  <c r="AC31" i="22"/>
  <c r="AC30" i="22"/>
  <c r="AC28" i="85"/>
  <c r="AA28" i="85"/>
  <c r="AC28" i="79"/>
  <c r="AA28" i="79"/>
  <c r="AC28" i="22"/>
  <c r="AC104" i="22" s="1"/>
  <c r="AA28" i="22"/>
  <c r="F11" i="64" l="1"/>
  <c r="AC31" i="85" l="1"/>
  <c r="AC30" i="85"/>
  <c r="AC30" i="79"/>
  <c r="AC29" i="85"/>
  <c r="AC29" i="75"/>
  <c r="AC29" i="22"/>
  <c r="AA66" i="85"/>
  <c r="AA66" i="79"/>
  <c r="AA66" i="22"/>
  <c r="F35" i="58"/>
  <c r="AC66" i="79" l="1"/>
  <c r="AC66" i="85"/>
  <c r="F6" i="64"/>
  <c r="F5" i="64"/>
  <c r="F4" i="64"/>
  <c r="F9" i="64" l="1"/>
  <c r="F13" i="64" s="1"/>
  <c r="F12" i="64" l="1"/>
  <c r="C7" i="87"/>
  <c r="C6" i="87"/>
  <c r="C5" i="87"/>
  <c r="C4" i="87"/>
  <c r="C3" i="87"/>
  <c r="E146" i="86"/>
  <c r="E145" i="86"/>
  <c r="E144" i="86"/>
  <c r="E143" i="86"/>
  <c r="E142" i="86"/>
  <c r="E130" i="86"/>
  <c r="D44" i="22" l="1"/>
  <c r="D45" i="22"/>
  <c r="G45" i="22"/>
  <c r="K45" i="22"/>
  <c r="D48" i="22"/>
  <c r="E48" i="22"/>
  <c r="F48" i="22"/>
  <c r="G48" i="22"/>
  <c r="H48" i="22"/>
  <c r="I48" i="22"/>
  <c r="N48" i="22"/>
  <c r="D50" i="22"/>
  <c r="E50" i="22"/>
  <c r="F50" i="22"/>
  <c r="G50" i="22"/>
  <c r="H50" i="22"/>
  <c r="I50" i="22"/>
  <c r="N50" i="22"/>
  <c r="J52" i="22"/>
  <c r="L52" i="22"/>
  <c r="G126" i="22" l="1"/>
  <c r="J143" i="22" s="1"/>
  <c r="K48" i="22"/>
  <c r="M48" i="22" s="1"/>
  <c r="O48" i="22" s="1"/>
  <c r="K50" i="22"/>
  <c r="M50" i="22" s="1"/>
  <c r="O50" i="22" s="1"/>
  <c r="E51" i="22" l="1"/>
  <c r="D51" i="22"/>
  <c r="E47" i="22"/>
  <c r="M35" i="70" l="1"/>
  <c r="C55" i="62" l="1"/>
  <c r="C36" i="62"/>
  <c r="I33" i="62"/>
  <c r="I32" i="62"/>
  <c r="D72" i="62" l="1"/>
  <c r="E72" i="62"/>
  <c r="D67" i="62"/>
  <c r="E67" i="62"/>
  <c r="N47" i="22"/>
  <c r="G125" i="22" s="1"/>
  <c r="I47" i="22"/>
  <c r="H47" i="22"/>
  <c r="G47" i="22"/>
  <c r="F47" i="22"/>
  <c r="I146" i="79" l="1"/>
  <c r="I144" i="79"/>
  <c r="K47" i="22"/>
  <c r="M47" i="22" s="1"/>
  <c r="F27" i="62"/>
  <c r="E64" i="62" l="1"/>
  <c r="D64" i="62"/>
  <c r="O47" i="22"/>
  <c r="N51" i="22"/>
  <c r="I51" i="22"/>
  <c r="H51" i="22"/>
  <c r="G51" i="22"/>
  <c r="F51" i="22"/>
  <c r="E49" i="22"/>
  <c r="D49" i="22"/>
  <c r="D52" i="22" s="1"/>
  <c r="I143" i="75" l="1"/>
  <c r="K51" i="22"/>
  <c r="M51" i="22" s="1"/>
  <c r="O51" i="22" s="1"/>
  <c r="E52" i="22"/>
  <c r="M12" i="70" l="1"/>
  <c r="M11" i="70"/>
  <c r="M13" i="70" l="1"/>
  <c r="AE11" i="75"/>
  <c r="AE13" i="75"/>
  <c r="AE12" i="22"/>
  <c r="AE12" i="85" l="1"/>
  <c r="AE12" i="75"/>
  <c r="AE13" i="85"/>
  <c r="AE13" i="22"/>
  <c r="N49" i="22"/>
  <c r="N52" i="22" s="1"/>
  <c r="I49" i="22"/>
  <c r="I52" i="22" s="1"/>
  <c r="H49" i="22"/>
  <c r="H52" i="22" s="1"/>
  <c r="G49" i="22"/>
  <c r="G52" i="22" s="1"/>
  <c r="F49" i="22"/>
  <c r="AE11" i="22"/>
  <c r="AE10" i="85"/>
  <c r="AE10" i="75"/>
  <c r="AE10" i="22"/>
  <c r="F52" i="22" l="1"/>
  <c r="K49" i="22"/>
  <c r="AE11" i="85"/>
  <c r="M49" i="22" l="1"/>
  <c r="K52" i="22"/>
  <c r="O49" i="22" l="1"/>
  <c r="O52" i="22" s="1"/>
  <c r="M52" i="22"/>
  <c r="E147" i="22" l="1"/>
  <c r="P60" i="68" l="1"/>
  <c r="O60" i="68"/>
  <c r="N60" i="68"/>
  <c r="M60" i="68"/>
  <c r="L60" i="68"/>
  <c r="K60" i="68"/>
  <c r="J60" i="68"/>
  <c r="I60" i="68"/>
  <c r="H60" i="68"/>
  <c r="G60" i="68"/>
  <c r="F60" i="68"/>
  <c r="E60" i="68"/>
  <c r="P47" i="68" l="1"/>
  <c r="N47" i="68"/>
  <c r="M47" i="68"/>
  <c r="L47" i="68"/>
  <c r="K47" i="68"/>
  <c r="J47" i="68"/>
  <c r="I47" i="68"/>
  <c r="H47" i="68"/>
  <c r="G47" i="68"/>
  <c r="F47" i="68"/>
  <c r="E47" i="68"/>
  <c r="U6" i="88" l="1"/>
  <c r="U6" i="82"/>
  <c r="U6" i="81"/>
  <c r="U6" i="76"/>
  <c r="U6" i="39"/>
  <c r="F5" i="80" l="1"/>
  <c r="F7" i="80"/>
  <c r="F3" i="80"/>
  <c r="I23" i="62" l="1"/>
  <c r="K87" i="75" l="1"/>
  <c r="M87" i="75" s="1"/>
  <c r="H36" i="62" l="1"/>
  <c r="D77" i="62" l="1"/>
  <c r="E77" i="62"/>
  <c r="N36" i="70"/>
  <c r="M36" i="70"/>
  <c r="N35" i="70"/>
  <c r="N20" i="70"/>
  <c r="M20" i="70"/>
  <c r="N19" i="70"/>
  <c r="M19" i="70"/>
  <c r="N11" i="70"/>
  <c r="I144" i="85" l="1"/>
  <c r="I144" i="22"/>
  <c r="M37" i="70"/>
  <c r="I52" i="62" l="1"/>
  <c r="H55" i="62"/>
  <c r="D79" i="62" l="1"/>
  <c r="E79" i="62"/>
  <c r="I54" i="62"/>
  <c r="I53" i="62"/>
  <c r="I51" i="62"/>
  <c r="J51" i="62" s="1"/>
  <c r="I44" i="62"/>
  <c r="I43" i="62"/>
  <c r="I42" i="62"/>
  <c r="I41" i="62"/>
  <c r="I35" i="62"/>
  <c r="I34" i="62"/>
  <c r="I26" i="62"/>
  <c r="I25" i="62"/>
  <c r="I24" i="62"/>
  <c r="I16" i="62"/>
  <c r="I15" i="62"/>
  <c r="I14" i="62"/>
  <c r="C3" i="56" s="1"/>
  <c r="F55" i="62"/>
  <c r="E55" i="62"/>
  <c r="D55" i="62"/>
  <c r="E45" i="62"/>
  <c r="D45" i="62"/>
  <c r="C45" i="62"/>
  <c r="F36" i="62"/>
  <c r="E36" i="62"/>
  <c r="D36" i="62"/>
  <c r="E27" i="62"/>
  <c r="D27" i="62"/>
  <c r="C27" i="62"/>
  <c r="F17" i="62"/>
  <c r="E17" i="62"/>
  <c r="D17" i="62"/>
  <c r="I146" i="85" l="1"/>
  <c r="I146" i="22"/>
  <c r="E70" i="62"/>
  <c r="D70" i="62"/>
  <c r="D65" i="62"/>
  <c r="E65" i="62"/>
  <c r="I36" i="62"/>
  <c r="I45" i="62"/>
  <c r="I27" i="62"/>
  <c r="I17" i="62"/>
  <c r="I55" i="62"/>
  <c r="I145" i="79" l="1"/>
  <c r="F6" i="80" s="1"/>
  <c r="I145" i="22"/>
  <c r="I143" i="79"/>
  <c r="I143" i="22"/>
  <c r="E31" i="66"/>
  <c r="F31" i="66"/>
  <c r="D33" i="66"/>
  <c r="E33" i="66"/>
  <c r="F33" i="66"/>
  <c r="G33" i="66"/>
  <c r="D35" i="66"/>
  <c r="E35" i="66"/>
  <c r="F35" i="66"/>
  <c r="G35" i="66"/>
  <c r="I35" i="66"/>
  <c r="J35" i="66"/>
  <c r="I147" i="22" l="1"/>
  <c r="F4" i="80"/>
  <c r="I147" i="79"/>
  <c r="O30" i="36" s="1"/>
  <c r="X125" i="90"/>
  <c r="U125" i="90"/>
  <c r="L82" i="91"/>
  <c r="K82" i="91"/>
  <c r="J82" i="91"/>
  <c r="I82" i="91"/>
  <c r="H82" i="91"/>
  <c r="G82" i="91"/>
  <c r="E82" i="91"/>
  <c r="E81" i="91"/>
  <c r="E80" i="91"/>
  <c r="E79" i="91"/>
  <c r="E78" i="91"/>
  <c r="E77" i="91"/>
  <c r="D82" i="91"/>
  <c r="L68" i="91"/>
  <c r="K68" i="91"/>
  <c r="J68" i="91"/>
  <c r="I68" i="91"/>
  <c r="H68" i="91"/>
  <c r="G68" i="91"/>
  <c r="E68" i="91"/>
  <c r="E67" i="91"/>
  <c r="E66" i="91"/>
  <c r="E65" i="91"/>
  <c r="E64" i="91"/>
  <c r="E63" i="91"/>
  <c r="D68" i="91"/>
  <c r="L40" i="91"/>
  <c r="K40" i="91"/>
  <c r="J40" i="91"/>
  <c r="I40" i="91"/>
  <c r="H40" i="91"/>
  <c r="G40" i="91"/>
  <c r="E40" i="91"/>
  <c r="E39" i="91"/>
  <c r="E38" i="91"/>
  <c r="E37" i="91"/>
  <c r="E36" i="91"/>
  <c r="E35" i="91"/>
  <c r="D40" i="91"/>
  <c r="L26" i="91"/>
  <c r="K26" i="91"/>
  <c r="J26" i="91"/>
  <c r="I26" i="91"/>
  <c r="H26" i="91"/>
  <c r="G26" i="91"/>
  <c r="E26" i="91"/>
  <c r="E25" i="91"/>
  <c r="E24" i="91"/>
  <c r="E23" i="91"/>
  <c r="E22" i="91"/>
  <c r="E21" i="91"/>
  <c r="D26" i="91"/>
  <c r="L11" i="91"/>
  <c r="K11" i="91"/>
  <c r="J11" i="91"/>
  <c r="I11" i="91"/>
  <c r="H11" i="91"/>
  <c r="G11" i="91"/>
  <c r="E11" i="91"/>
  <c r="E10" i="91"/>
  <c r="E9" i="91"/>
  <c r="E8" i="91"/>
  <c r="E7" i="91"/>
  <c r="E6" i="91"/>
  <c r="D11" i="91"/>
  <c r="C14" i="87"/>
  <c r="C14" i="80"/>
  <c r="C9" i="36"/>
  <c r="L97" i="91" l="1"/>
  <c r="K97" i="91"/>
  <c r="J97" i="91"/>
  <c r="H97" i="91"/>
  <c r="G97" i="91"/>
  <c r="E93" i="91"/>
  <c r="E92" i="91"/>
  <c r="D97" i="91"/>
  <c r="I97" i="91"/>
  <c r="E95" i="91"/>
  <c r="E96" i="91"/>
  <c r="E94" i="91"/>
  <c r="E97" i="91"/>
  <c r="C15" i="36"/>
  <c r="J35" i="58"/>
  <c r="I35" i="58"/>
  <c r="G35" i="58"/>
  <c r="E35" i="58"/>
  <c r="D35" i="58"/>
  <c r="F33" i="58"/>
  <c r="E33" i="58"/>
  <c r="G31" i="58"/>
  <c r="F31" i="58"/>
  <c r="E31" i="58"/>
  <c r="J35" i="57"/>
  <c r="I35" i="57"/>
  <c r="G35" i="57"/>
  <c r="F35" i="57"/>
  <c r="E35" i="57"/>
  <c r="D35" i="57"/>
  <c r="G33" i="57"/>
  <c r="F33" i="57"/>
  <c r="E33" i="57"/>
  <c r="D33" i="57"/>
  <c r="G31" i="57"/>
  <c r="F31" i="57"/>
  <c r="E31" i="57"/>
  <c r="J35" i="71"/>
  <c r="I35" i="71"/>
  <c r="G35" i="71"/>
  <c r="E35" i="71"/>
  <c r="D35" i="71"/>
  <c r="G33" i="71"/>
  <c r="F33" i="71"/>
  <c r="E33" i="71"/>
  <c r="G31" i="71"/>
  <c r="F31" i="71"/>
  <c r="E31" i="71"/>
  <c r="D31" i="71"/>
  <c r="O45" i="39" l="1"/>
  <c r="N45" i="39"/>
  <c r="M45" i="39"/>
  <c r="AC69" i="85" l="1"/>
  <c r="AC67" i="85"/>
  <c r="AA67" i="85"/>
  <c r="AC69" i="79" l="1"/>
  <c r="AC68" i="79"/>
  <c r="AC67" i="79"/>
  <c r="AA67" i="79"/>
  <c r="AA68" i="79"/>
  <c r="AA69" i="79"/>
  <c r="AC70" i="75" l="1"/>
  <c r="AC66" i="75"/>
  <c r="AA66" i="75"/>
  <c r="AC68" i="22" l="1"/>
  <c r="AC106" i="22" s="1"/>
  <c r="AC68" i="85"/>
  <c r="F6" i="36" l="1"/>
  <c r="F3" i="36"/>
  <c r="F4" i="36"/>
  <c r="AA70" i="79"/>
  <c r="AA70" i="22"/>
  <c r="AC14" i="22" l="1"/>
  <c r="AC70" i="22"/>
  <c r="AC108" i="22" s="1"/>
  <c r="AC70" i="79"/>
  <c r="AC68" i="75"/>
  <c r="AC67" i="22" l="1"/>
  <c r="AC105" i="22" s="1"/>
  <c r="J27" i="62"/>
  <c r="F7" i="77" l="1"/>
  <c r="F6" i="77"/>
  <c r="F4" i="77"/>
  <c r="F3" i="77"/>
  <c r="AA70" i="85" l="1"/>
  <c r="AC32" i="85"/>
  <c r="AC70" i="85" l="1"/>
  <c r="AC69" i="75"/>
  <c r="AC67" i="75"/>
  <c r="AA70" i="75" l="1"/>
  <c r="AC69" i="22" l="1"/>
  <c r="AC107" i="22" s="1"/>
  <c r="AC109" i="22" s="1"/>
  <c r="AA69" i="22"/>
  <c r="AA67" i="75"/>
  <c r="AA67" i="22"/>
  <c r="L29" i="70" l="1"/>
  <c r="K29" i="70"/>
  <c r="K6" i="70" s="1"/>
  <c r="J29" i="70"/>
  <c r="I29" i="70"/>
  <c r="H29" i="70"/>
  <c r="G29" i="70"/>
  <c r="AA68" i="75"/>
  <c r="AA68" i="22"/>
  <c r="AA69" i="75" l="1"/>
  <c r="T16" i="89" l="1"/>
  <c r="S16" i="89"/>
  <c r="R16" i="89"/>
  <c r="Q16" i="89"/>
  <c r="P16" i="89"/>
  <c r="I16" i="89"/>
  <c r="H16" i="89"/>
  <c r="G16" i="89"/>
  <c r="F16" i="89"/>
  <c r="E16" i="89"/>
  <c r="D16" i="89"/>
  <c r="T15" i="89"/>
  <c r="S15" i="89"/>
  <c r="R15" i="89"/>
  <c r="Q15" i="89"/>
  <c r="P15" i="89"/>
  <c r="I15" i="89"/>
  <c r="H15" i="89"/>
  <c r="G15" i="89"/>
  <c r="F15" i="89"/>
  <c r="E15" i="89"/>
  <c r="D15" i="89"/>
  <c r="T14" i="89"/>
  <c r="S14" i="89"/>
  <c r="R14" i="89"/>
  <c r="Q14" i="89"/>
  <c r="P14" i="89"/>
  <c r="I14" i="89"/>
  <c r="H14" i="89"/>
  <c r="G14" i="89"/>
  <c r="F14" i="89"/>
  <c r="E14" i="89"/>
  <c r="D14" i="89"/>
  <c r="T13" i="89"/>
  <c r="S13" i="89"/>
  <c r="R13" i="89"/>
  <c r="Q13" i="89"/>
  <c r="P13" i="89"/>
  <c r="I13" i="89"/>
  <c r="H13" i="89"/>
  <c r="G13" i="89"/>
  <c r="F13" i="89"/>
  <c r="E13" i="89"/>
  <c r="D13" i="89"/>
  <c r="T12" i="89"/>
  <c r="S12" i="89"/>
  <c r="R12" i="89"/>
  <c r="Q12" i="89"/>
  <c r="P12" i="89"/>
  <c r="I12" i="89"/>
  <c r="H12" i="89"/>
  <c r="G12" i="89"/>
  <c r="F12" i="89"/>
  <c r="E12" i="89"/>
  <c r="D12" i="89"/>
  <c r="J16" i="89" l="1"/>
  <c r="G102" i="22"/>
  <c r="F10" i="89" s="1"/>
  <c r="T17" i="89" l="1"/>
  <c r="S17" i="89"/>
  <c r="R17" i="89"/>
  <c r="Q17" i="89"/>
  <c r="P17" i="89"/>
  <c r="I17" i="89"/>
  <c r="H17" i="89"/>
  <c r="G17" i="89"/>
  <c r="F17" i="89"/>
  <c r="E17" i="89"/>
  <c r="D17" i="89"/>
  <c r="U16" i="89"/>
  <c r="U15" i="89"/>
  <c r="J15" i="89"/>
  <c r="U14" i="89"/>
  <c r="J14" i="89"/>
  <c r="U13" i="89"/>
  <c r="J13" i="89"/>
  <c r="U12" i="89"/>
  <c r="J12" i="89"/>
  <c r="V16" i="89" l="1"/>
  <c r="W16" i="89" s="1"/>
  <c r="V15" i="89"/>
  <c r="W15" i="89" s="1"/>
  <c r="V14" i="89"/>
  <c r="W14" i="89" s="1"/>
  <c r="U17" i="89"/>
  <c r="V13" i="89"/>
  <c r="W13" i="89" s="1"/>
  <c r="J17" i="89"/>
  <c r="J20" i="89" s="1"/>
  <c r="T19" i="89"/>
  <c r="V12" i="89"/>
  <c r="V17" i="89" l="1"/>
  <c r="W17" i="89" s="1"/>
  <c r="W12" i="89"/>
  <c r="J23" i="62" l="1"/>
  <c r="U7" i="22" l="1"/>
  <c r="J24" i="62" l="1"/>
  <c r="J25" i="62"/>
  <c r="Y10" i="22" l="1"/>
  <c r="X10" i="22"/>
  <c r="W10" i="22"/>
  <c r="V10" i="22"/>
  <c r="U10" i="22"/>
  <c r="N10" i="22"/>
  <c r="I10" i="22"/>
  <c r="H10" i="22"/>
  <c r="G10" i="22"/>
  <c r="F10" i="22"/>
  <c r="AE9" i="75"/>
  <c r="N70" i="86" l="1"/>
  <c r="N69" i="86"/>
  <c r="N68" i="86"/>
  <c r="N67" i="86"/>
  <c r="N66" i="86"/>
  <c r="N68" i="85"/>
  <c r="N69" i="79"/>
  <c r="N68" i="79"/>
  <c r="N67" i="79"/>
  <c r="N66" i="79"/>
  <c r="N66" i="75"/>
  <c r="J47" i="69" l="1"/>
  <c r="J85" i="97" s="1"/>
  <c r="J104" i="97" s="1"/>
  <c r="J9" i="99" l="1"/>
  <c r="J60" i="90"/>
  <c r="Z13" i="69"/>
  <c r="Z12" i="69"/>
  <c r="Z11" i="69"/>
  <c r="Z10" i="69"/>
  <c r="Z9" i="69"/>
  <c r="E13" i="69" l="1"/>
  <c r="AD13" i="69"/>
  <c r="AC13" i="69" s="1"/>
  <c r="D13" i="69"/>
  <c r="U10" i="69"/>
  <c r="F10" i="69"/>
  <c r="AA9" i="69"/>
  <c r="Y9" i="69"/>
  <c r="X9" i="69"/>
  <c r="W9" i="69"/>
  <c r="V9" i="69"/>
  <c r="U9" i="69"/>
  <c r="N9" i="69"/>
  <c r="AB9" i="69" s="1"/>
  <c r="I9" i="69"/>
  <c r="H9" i="69"/>
  <c r="G9" i="69"/>
  <c r="F9" i="69"/>
  <c r="E9" i="69"/>
  <c r="AD9" i="69"/>
  <c r="AC9" i="69" s="1"/>
  <c r="D9" i="69"/>
  <c r="K9" i="69" l="1"/>
  <c r="M9" i="69" s="1"/>
  <c r="O9" i="69" s="1"/>
  <c r="AE9" i="69"/>
  <c r="N68" i="22"/>
  <c r="AA13" i="69" l="1"/>
  <c r="Y13" i="69"/>
  <c r="X13" i="69"/>
  <c r="W13" i="69"/>
  <c r="V13" i="69"/>
  <c r="U13" i="69"/>
  <c r="N13" i="69"/>
  <c r="AB13" i="69" s="1"/>
  <c r="I13" i="69"/>
  <c r="H13" i="69"/>
  <c r="G13" i="69"/>
  <c r="F13" i="69"/>
  <c r="AA12" i="69"/>
  <c r="Y12" i="69"/>
  <c r="X12" i="69"/>
  <c r="W12" i="69"/>
  <c r="V12" i="69"/>
  <c r="U12" i="69"/>
  <c r="N12" i="69"/>
  <c r="AB12" i="69" s="1"/>
  <c r="I12" i="69"/>
  <c r="H12" i="69"/>
  <c r="G12" i="69"/>
  <c r="F12" i="69"/>
  <c r="D12" i="69"/>
  <c r="AA11" i="69"/>
  <c r="Y11" i="69"/>
  <c r="X11" i="69"/>
  <c r="W11" i="69"/>
  <c r="V11" i="69"/>
  <c r="U11" i="69"/>
  <c r="N11" i="69"/>
  <c r="AB11" i="69" s="1"/>
  <c r="I11" i="69"/>
  <c r="H11" i="69"/>
  <c r="G11" i="69"/>
  <c r="F11" i="69"/>
  <c r="D11" i="69"/>
  <c r="AA10" i="69"/>
  <c r="Y10" i="69"/>
  <c r="X10" i="69"/>
  <c r="W10" i="69"/>
  <c r="V10" i="69"/>
  <c r="N10" i="69"/>
  <c r="AB10" i="69" s="1"/>
  <c r="I10" i="69"/>
  <c r="H10" i="69"/>
  <c r="G10" i="69"/>
  <c r="N70" i="79"/>
  <c r="N70" i="75"/>
  <c r="N70" i="22"/>
  <c r="N68" i="75"/>
  <c r="N66" i="22"/>
  <c r="AA14" i="69" l="1"/>
  <c r="AE13" i="69"/>
  <c r="K13" i="69"/>
  <c r="M13" i="69" s="1"/>
  <c r="O13" i="69" s="1"/>
  <c r="E10" i="22"/>
  <c r="D10" i="22"/>
  <c r="E35" i="76" l="1"/>
  <c r="I129" i="86" l="1"/>
  <c r="I128" i="86"/>
  <c r="I127" i="86"/>
  <c r="I126" i="86"/>
  <c r="I125" i="86"/>
  <c r="I129" i="85"/>
  <c r="I128" i="85"/>
  <c r="I127" i="85"/>
  <c r="I126" i="85"/>
  <c r="I125" i="85"/>
  <c r="I128" i="79"/>
  <c r="I126" i="79"/>
  <c r="I129" i="75"/>
  <c r="I125" i="75"/>
  <c r="I34" i="82" l="1"/>
  <c r="I67" i="91"/>
  <c r="I30" i="88"/>
  <c r="I77" i="91"/>
  <c r="I32" i="82"/>
  <c r="I65" i="91"/>
  <c r="I31" i="88"/>
  <c r="I78" i="91"/>
  <c r="I30" i="76"/>
  <c r="I21" i="91"/>
  <c r="I31" i="81"/>
  <c r="I36" i="91"/>
  <c r="I32" i="88"/>
  <c r="I79" i="91"/>
  <c r="I33" i="82"/>
  <c r="I66" i="91"/>
  <c r="I33" i="81"/>
  <c r="I38" i="91"/>
  <c r="I30" i="82"/>
  <c r="I63" i="91"/>
  <c r="I33" i="88"/>
  <c r="I80" i="91"/>
  <c r="I34" i="76"/>
  <c r="I25" i="91"/>
  <c r="I31" i="82"/>
  <c r="I64" i="91"/>
  <c r="I34" i="88"/>
  <c r="I81" i="91"/>
  <c r="I131" i="86"/>
  <c r="I83" i="91" s="1"/>
  <c r="I131" i="85"/>
  <c r="I69" i="91" l="1"/>
  <c r="M32" i="36"/>
  <c r="AA29" i="69"/>
  <c r="N67" i="22"/>
  <c r="AA32" i="69"/>
  <c r="AA51" i="69" s="1"/>
  <c r="Y32" i="69"/>
  <c r="X32" i="69"/>
  <c r="W32" i="69"/>
  <c r="V32" i="69"/>
  <c r="U32" i="69"/>
  <c r="AB32" i="69"/>
  <c r="Y29" i="69"/>
  <c r="X29" i="69"/>
  <c r="W29" i="69"/>
  <c r="V29" i="69"/>
  <c r="U29" i="69"/>
  <c r="N29" i="69"/>
  <c r="AB29" i="69" s="1"/>
  <c r="AB48" i="69" s="1"/>
  <c r="E12" i="69"/>
  <c r="K12" i="69" s="1"/>
  <c r="M12" i="69" s="1"/>
  <c r="O12" i="69" s="1"/>
  <c r="AD12" i="69"/>
  <c r="AC12" i="69" s="1"/>
  <c r="AE12" i="69" s="1"/>
  <c r="E11" i="69"/>
  <c r="K11" i="69" s="1"/>
  <c r="M11" i="69" s="1"/>
  <c r="O11" i="69" s="1"/>
  <c r="AD11" i="69"/>
  <c r="AC11" i="69" s="1"/>
  <c r="AE11" i="69" s="1"/>
  <c r="E10" i="69"/>
  <c r="AD10" i="69"/>
  <c r="AC10" i="69" s="1"/>
  <c r="AE10" i="69" s="1"/>
  <c r="D10" i="69"/>
  <c r="N70" i="85"/>
  <c r="N67" i="85"/>
  <c r="N67" i="75"/>
  <c r="N66" i="85"/>
  <c r="AC10" i="86"/>
  <c r="AC9" i="86"/>
  <c r="AA89" i="97" l="1"/>
  <c r="AA108" i="97" s="1"/>
  <c r="AA89" i="22"/>
  <c r="AA89" i="79"/>
  <c r="K10" i="69"/>
  <c r="M10" i="69" s="1"/>
  <c r="O10" i="69" s="1"/>
  <c r="D14" i="69"/>
  <c r="J54" i="62"/>
  <c r="J44" i="62"/>
  <c r="J35" i="62"/>
  <c r="H5" i="62"/>
  <c r="F5" i="62"/>
  <c r="E5" i="62"/>
  <c r="D5" i="62"/>
  <c r="C5" i="62"/>
  <c r="J26" i="62"/>
  <c r="J16" i="62"/>
  <c r="AA64" i="90" l="1"/>
  <c r="AA13" i="99"/>
  <c r="I5" i="62"/>
  <c r="C15" i="80" l="1"/>
  <c r="D21" i="36"/>
  <c r="AG107" i="79"/>
  <c r="AG46" i="90" l="1"/>
  <c r="AH107" i="79"/>
  <c r="AC13" i="86"/>
  <c r="AC12" i="86"/>
  <c r="AC11" i="86" l="1"/>
  <c r="L9" i="79" l="1"/>
  <c r="N69" i="85" l="1"/>
  <c r="N69" i="75"/>
  <c r="N69" i="22"/>
  <c r="AE9" i="22"/>
  <c r="J55" i="62"/>
  <c r="J53" i="62"/>
  <c r="J52" i="62"/>
  <c r="J45" i="62"/>
  <c r="J43" i="62"/>
  <c r="J42" i="62"/>
  <c r="J41" i="62"/>
  <c r="J36" i="62"/>
  <c r="J34" i="62"/>
  <c r="J33" i="62"/>
  <c r="J32" i="62"/>
  <c r="J17" i="62"/>
  <c r="J15" i="62"/>
  <c r="J14" i="62"/>
  <c r="J13" i="62"/>
  <c r="AA66" i="86" l="1"/>
  <c r="F7" i="83" l="1"/>
  <c r="F6" i="83"/>
  <c r="F5" i="83"/>
  <c r="F4" i="83"/>
  <c r="F3" i="83"/>
  <c r="AC108" i="86" l="1"/>
  <c r="AC107" i="86"/>
  <c r="AC106" i="86"/>
  <c r="AC90" i="86"/>
  <c r="AC71" i="86"/>
  <c r="AC52" i="86"/>
  <c r="AC33" i="86"/>
  <c r="AC105" i="86"/>
  <c r="AC94" i="90" s="1"/>
  <c r="AC108" i="85"/>
  <c r="AC107" i="85"/>
  <c r="AC106" i="85"/>
  <c r="AC90" i="85"/>
  <c r="AC71" i="85"/>
  <c r="AC52" i="85"/>
  <c r="AC33" i="85"/>
  <c r="AC108" i="79"/>
  <c r="AC107" i="79"/>
  <c r="AC71" i="79"/>
  <c r="AC52" i="79"/>
  <c r="AC33" i="79"/>
  <c r="AC108" i="75"/>
  <c r="AC107" i="75"/>
  <c r="AC106" i="75"/>
  <c r="AC90" i="75"/>
  <c r="AC71" i="75"/>
  <c r="AC52" i="75"/>
  <c r="AC33" i="75"/>
  <c r="AC71" i="22"/>
  <c r="AC52" i="22"/>
  <c r="AC33" i="22"/>
  <c r="AC12" i="76" l="1"/>
  <c r="AC29" i="90"/>
  <c r="AC12" i="39"/>
  <c r="AC12" i="90"/>
  <c r="AC13" i="76"/>
  <c r="AC30" i="90"/>
  <c r="AC11" i="82"/>
  <c r="AC78" i="90"/>
  <c r="AC11" i="88"/>
  <c r="AC95" i="90"/>
  <c r="AC13" i="39"/>
  <c r="AC13" i="90"/>
  <c r="AC12" i="82"/>
  <c r="AC79" i="90"/>
  <c r="AC12" i="88"/>
  <c r="AC96" i="90"/>
  <c r="AC13" i="81"/>
  <c r="AC47" i="90"/>
  <c r="AC11" i="76"/>
  <c r="AC28" i="90"/>
  <c r="AC12" i="81"/>
  <c r="AC46" i="90"/>
  <c r="AC13" i="82"/>
  <c r="AC80" i="90"/>
  <c r="AC13" i="88"/>
  <c r="AC97" i="90"/>
  <c r="AC14" i="86"/>
  <c r="AC10" i="88"/>
  <c r="AC104" i="86"/>
  <c r="AC105" i="79"/>
  <c r="AC114" i="90" l="1"/>
  <c r="AC113" i="90"/>
  <c r="AC10" i="81"/>
  <c r="AC44" i="90"/>
  <c r="AC9" i="88"/>
  <c r="AC14" i="88" s="1"/>
  <c r="AC93" i="90"/>
  <c r="AC109" i="86"/>
  <c r="AC98" i="90" s="1"/>
  <c r="AC105" i="75" l="1"/>
  <c r="F5" i="36"/>
  <c r="AC10" i="76" l="1"/>
  <c r="AC27" i="90"/>
  <c r="AC105" i="85"/>
  <c r="AC10" i="82" l="1"/>
  <c r="AC77" i="90"/>
  <c r="AC10" i="39"/>
  <c r="AC10" i="90"/>
  <c r="AC14" i="79"/>
  <c r="AC111" i="90" l="1"/>
  <c r="AE70" i="86"/>
  <c r="F5" i="77"/>
  <c r="L5" i="77"/>
  <c r="F7" i="36" l="1"/>
  <c r="R12" i="56" l="1"/>
  <c r="K125" i="86" s="1"/>
  <c r="O12" i="56"/>
  <c r="K125" i="85" s="1"/>
  <c r="I12" i="56"/>
  <c r="F16" i="56"/>
  <c r="K129" i="75" s="1"/>
  <c r="F15" i="56"/>
  <c r="F14" i="56"/>
  <c r="K127" i="75" s="1"/>
  <c r="F13" i="56"/>
  <c r="K126" i="75" s="1"/>
  <c r="F12" i="56"/>
  <c r="K125" i="75" s="1"/>
  <c r="K128" i="75" l="1"/>
  <c r="F17" i="56"/>
  <c r="K125" i="79"/>
  <c r="K30" i="76"/>
  <c r="K21" i="91"/>
  <c r="K34" i="76"/>
  <c r="K25" i="91"/>
  <c r="K31" i="76"/>
  <c r="K22" i="91"/>
  <c r="K30" i="88"/>
  <c r="K77" i="91"/>
  <c r="K32" i="76"/>
  <c r="K23" i="91"/>
  <c r="K30" i="82"/>
  <c r="K63" i="91"/>
  <c r="R7" i="56"/>
  <c r="R6" i="56"/>
  <c r="R5" i="56"/>
  <c r="R4" i="56"/>
  <c r="R3" i="56"/>
  <c r="AB70" i="22"/>
  <c r="K33" i="76" l="1"/>
  <c r="K24" i="91"/>
  <c r="K30" i="81"/>
  <c r="K35" i="91"/>
  <c r="K36" i="76"/>
  <c r="O22" i="56"/>
  <c r="L126" i="85" s="1"/>
  <c r="O25" i="56"/>
  <c r="L129" i="85" s="1"/>
  <c r="L31" i="82" l="1"/>
  <c r="L64" i="91"/>
  <c r="L34" i="82"/>
  <c r="L67" i="91"/>
  <c r="C21" i="56"/>
  <c r="AC104" i="75" l="1"/>
  <c r="AC26" i="90" s="1"/>
  <c r="AC14" i="75"/>
  <c r="AC104" i="85"/>
  <c r="AC76" i="90" s="1"/>
  <c r="AC14" i="85"/>
  <c r="AC109" i="85" l="1"/>
  <c r="AC81" i="90" s="1"/>
  <c r="AC9" i="82"/>
  <c r="AC14" i="82" s="1"/>
  <c r="AC109" i="75"/>
  <c r="AC31" i="90" s="1"/>
  <c r="AC9" i="76"/>
  <c r="AC14" i="76" s="1"/>
  <c r="Y28" i="69"/>
  <c r="X28" i="69"/>
  <c r="W28" i="69"/>
  <c r="V28" i="69"/>
  <c r="U28" i="69"/>
  <c r="AA28" i="69" l="1"/>
  <c r="C6" i="62" l="1"/>
  <c r="C7" i="62" s="1"/>
  <c r="F28" i="69"/>
  <c r="C12" i="56" l="1"/>
  <c r="N3" i="69"/>
  <c r="K7" i="69"/>
  <c r="H7" i="69"/>
  <c r="D7" i="69"/>
  <c r="D6" i="69"/>
  <c r="L8" i="36" l="1"/>
  <c r="AB70" i="79"/>
  <c r="AE68" i="86"/>
  <c r="F6" i="88" l="1"/>
  <c r="O45" i="88" l="1"/>
  <c r="N45" i="88"/>
  <c r="M45" i="88"/>
  <c r="F45" i="88"/>
  <c r="O46" i="81"/>
  <c r="N46" i="81"/>
  <c r="M46" i="81"/>
  <c r="F46" i="81"/>
  <c r="O45" i="82"/>
  <c r="N45" i="82"/>
  <c r="M45" i="82"/>
  <c r="F45" i="82"/>
  <c r="O45" i="76"/>
  <c r="N45" i="76"/>
  <c r="M45" i="76"/>
  <c r="F45" i="76"/>
  <c r="F45" i="39"/>
  <c r="E11" i="64"/>
  <c r="D11" i="64"/>
  <c r="C16" i="56"/>
  <c r="C24" i="56"/>
  <c r="C15" i="56"/>
  <c r="C23" i="56"/>
  <c r="C14" i="56"/>
  <c r="C22" i="56"/>
  <c r="C13" i="56"/>
  <c r="H4" i="62"/>
  <c r="F4" i="62"/>
  <c r="E4" i="62"/>
  <c r="D4" i="62"/>
  <c r="H3" i="62"/>
  <c r="F3" i="62"/>
  <c r="E3" i="62"/>
  <c r="D3" i="62"/>
  <c r="H2" i="62"/>
  <c r="F2" i="62"/>
  <c r="E2" i="62"/>
  <c r="D2" i="62"/>
  <c r="I2" i="62" l="1"/>
  <c r="F6" i="62"/>
  <c r="F7" i="62" s="1"/>
  <c r="K131" i="75"/>
  <c r="K27" i="91" s="1"/>
  <c r="I4" i="62"/>
  <c r="I3" i="62"/>
  <c r="H6" i="62"/>
  <c r="H7" i="62" s="1"/>
  <c r="D6" i="62"/>
  <c r="D7" i="62" s="1"/>
  <c r="E6" i="62"/>
  <c r="E7" i="62" s="1"/>
  <c r="G5" i="70"/>
  <c r="G6" i="70" s="1"/>
  <c r="F5" i="70"/>
  <c r="J5" i="70"/>
  <c r="J6" i="70" s="1"/>
  <c r="E5" i="70"/>
  <c r="I5" i="70"/>
  <c r="I6" i="70" s="1"/>
  <c r="D5" i="70"/>
  <c r="H5" i="70"/>
  <c r="H6" i="70" s="1"/>
  <c r="I6" i="62" l="1"/>
  <c r="M5" i="70"/>
  <c r="I7" i="62" l="1"/>
  <c r="Y51" i="75"/>
  <c r="X51" i="75"/>
  <c r="W51" i="75"/>
  <c r="V51" i="75"/>
  <c r="U51" i="75"/>
  <c r="G51" i="75"/>
  <c r="U30" i="69" l="1"/>
  <c r="C25" i="56" l="1"/>
  <c r="L5" i="70"/>
  <c r="L6" i="70" s="1"/>
  <c r="N13" i="22"/>
  <c r="N12" i="22"/>
  <c r="N11" i="22"/>
  <c r="N9" i="22"/>
  <c r="N5" i="70" l="1"/>
  <c r="N3" i="79"/>
  <c r="N60" i="79" s="1"/>
  <c r="AD60" i="79" s="1"/>
  <c r="N3" i="85"/>
  <c r="N79" i="85" s="1"/>
  <c r="AD79" i="85" s="1"/>
  <c r="N3" i="86"/>
  <c r="N41" i="86" s="1"/>
  <c r="AD41" i="86" s="1"/>
  <c r="N3" i="75"/>
  <c r="N41" i="75" s="1"/>
  <c r="AD41" i="75" s="1"/>
  <c r="K7" i="79"/>
  <c r="K102" i="79" s="1"/>
  <c r="Y102" i="79" s="1"/>
  <c r="K7" i="85"/>
  <c r="K102" i="85" s="1"/>
  <c r="K7" i="86"/>
  <c r="K122" i="86" s="1"/>
  <c r="K7" i="75"/>
  <c r="K122" i="75" s="1"/>
  <c r="K27" i="76" s="1"/>
  <c r="G7" i="79"/>
  <c r="G102" i="79" s="1"/>
  <c r="V102" i="79" s="1"/>
  <c r="G7" i="85"/>
  <c r="G83" i="85" s="1"/>
  <c r="V83" i="85" s="1"/>
  <c r="G7" i="86"/>
  <c r="G45" i="86" s="1"/>
  <c r="V45" i="86" s="1"/>
  <c r="G7" i="75"/>
  <c r="G83" i="75" s="1"/>
  <c r="V83" i="75" s="1"/>
  <c r="D7" i="79"/>
  <c r="D26" i="79" s="1"/>
  <c r="D7" i="85"/>
  <c r="D83" i="85" s="1"/>
  <c r="D7" i="86"/>
  <c r="D45" i="86" s="1"/>
  <c r="D7" i="75"/>
  <c r="D83" i="75" s="1"/>
  <c r="D6" i="79"/>
  <c r="D63" i="79" s="1"/>
  <c r="D6" i="85"/>
  <c r="D101" i="85" s="1"/>
  <c r="D6" i="82" s="1"/>
  <c r="D6" i="86"/>
  <c r="D63" i="86" s="1"/>
  <c r="D6" i="75"/>
  <c r="D82" i="75" s="1"/>
  <c r="E34" i="88"/>
  <c r="E33" i="88"/>
  <c r="E32" i="88"/>
  <c r="E31" i="88"/>
  <c r="E30" i="88"/>
  <c r="D35" i="88"/>
  <c r="L7" i="87"/>
  <c r="L6" i="87"/>
  <c r="L5" i="87"/>
  <c r="L4" i="87"/>
  <c r="L3" i="87"/>
  <c r="H8" i="87"/>
  <c r="E35" i="88"/>
  <c r="R25" i="56"/>
  <c r="L129" i="86" s="1"/>
  <c r="R24" i="56"/>
  <c r="L128" i="86" s="1"/>
  <c r="R23" i="56"/>
  <c r="L127" i="86" s="1"/>
  <c r="R22" i="56"/>
  <c r="L126" i="86" s="1"/>
  <c r="R21" i="56"/>
  <c r="L125" i="86" s="1"/>
  <c r="L77" i="91" s="1"/>
  <c r="R16" i="56"/>
  <c r="K129" i="86" s="1"/>
  <c r="R15" i="56"/>
  <c r="K128" i="86" s="1"/>
  <c r="R14" i="56"/>
  <c r="K127" i="86" s="1"/>
  <c r="R13" i="56"/>
  <c r="K126" i="86" s="1"/>
  <c r="D129" i="86"/>
  <c r="D128" i="86"/>
  <c r="D80" i="91" s="1"/>
  <c r="D127" i="86"/>
  <c r="D79" i="91" s="1"/>
  <c r="D126" i="86"/>
  <c r="D78" i="91" s="1"/>
  <c r="AD70" i="86"/>
  <c r="AA70" i="86"/>
  <c r="Y70" i="86"/>
  <c r="X70" i="86"/>
  <c r="W70" i="86"/>
  <c r="V70" i="86"/>
  <c r="U70" i="86"/>
  <c r="I70" i="86"/>
  <c r="H70" i="86"/>
  <c r="G70" i="86"/>
  <c r="F70" i="86"/>
  <c r="E70" i="86"/>
  <c r="D70" i="86"/>
  <c r="J129" i="86" s="1"/>
  <c r="AE69" i="86"/>
  <c r="AD69" i="86" s="1"/>
  <c r="AA69" i="86"/>
  <c r="Y69" i="86"/>
  <c r="X69" i="86"/>
  <c r="W69" i="86"/>
  <c r="V69" i="86"/>
  <c r="U69" i="86"/>
  <c r="I69" i="86"/>
  <c r="H69" i="86"/>
  <c r="G69" i="86"/>
  <c r="F69" i="86"/>
  <c r="E69" i="86"/>
  <c r="D69" i="86"/>
  <c r="J128" i="86" s="1"/>
  <c r="AA68" i="86"/>
  <c r="Y68" i="86"/>
  <c r="X68" i="86"/>
  <c r="W68" i="86"/>
  <c r="V68" i="86"/>
  <c r="U68" i="86"/>
  <c r="I68" i="86"/>
  <c r="H68" i="86"/>
  <c r="G68" i="86"/>
  <c r="F68" i="86"/>
  <c r="E68" i="86"/>
  <c r="D68" i="86"/>
  <c r="AE67" i="86"/>
  <c r="AD67" i="86" s="1"/>
  <c r="AA67" i="86"/>
  <c r="Y67" i="86"/>
  <c r="X67" i="86"/>
  <c r="W67" i="86"/>
  <c r="V67" i="86"/>
  <c r="U67" i="86"/>
  <c r="I67" i="86"/>
  <c r="H67" i="86"/>
  <c r="G67" i="86"/>
  <c r="F67" i="86"/>
  <c r="E67" i="86"/>
  <c r="D67" i="86"/>
  <c r="J126" i="86" s="1"/>
  <c r="Y66" i="86"/>
  <c r="X66" i="86"/>
  <c r="W66" i="86"/>
  <c r="V66" i="86"/>
  <c r="U66" i="86"/>
  <c r="I66" i="86"/>
  <c r="H66" i="86"/>
  <c r="G66" i="86"/>
  <c r="F66" i="86"/>
  <c r="E66" i="86"/>
  <c r="D66" i="86"/>
  <c r="AE51" i="86"/>
  <c r="AD51" i="86" s="1"/>
  <c r="AA51" i="86"/>
  <c r="Y51" i="86"/>
  <c r="X51" i="86"/>
  <c r="W51" i="86"/>
  <c r="V51" i="86"/>
  <c r="U51" i="86"/>
  <c r="N51" i="86"/>
  <c r="AB51" i="86" s="1"/>
  <c r="I51" i="86"/>
  <c r="H51" i="86"/>
  <c r="G51" i="86"/>
  <c r="F51" i="86"/>
  <c r="E51" i="86"/>
  <c r="D51" i="86"/>
  <c r="AE50" i="86"/>
  <c r="AD50" i="86" s="1"/>
  <c r="AA50" i="86"/>
  <c r="Y50" i="86"/>
  <c r="X50" i="86"/>
  <c r="W50" i="86"/>
  <c r="V50" i="86"/>
  <c r="U50" i="86"/>
  <c r="N50" i="86"/>
  <c r="AB50" i="86" s="1"/>
  <c r="I50" i="86"/>
  <c r="H50" i="86"/>
  <c r="G50" i="86"/>
  <c r="F50" i="86"/>
  <c r="E50" i="86"/>
  <c r="D50" i="86"/>
  <c r="AE49" i="86"/>
  <c r="AD49" i="86" s="1"/>
  <c r="AA49" i="86"/>
  <c r="Y49" i="86"/>
  <c r="X49" i="86"/>
  <c r="W49" i="86"/>
  <c r="V49" i="86"/>
  <c r="U49" i="86"/>
  <c r="N49" i="86"/>
  <c r="AB49" i="86" s="1"/>
  <c r="I49" i="86"/>
  <c r="H49" i="86"/>
  <c r="G49" i="86"/>
  <c r="F49" i="86"/>
  <c r="E49" i="86"/>
  <c r="D49" i="86"/>
  <c r="AE48" i="86"/>
  <c r="AD48" i="86" s="1"/>
  <c r="AA48" i="86"/>
  <c r="Y48" i="86"/>
  <c r="X48" i="86"/>
  <c r="W48" i="86"/>
  <c r="V48" i="86"/>
  <c r="U48" i="86"/>
  <c r="N48" i="86"/>
  <c r="AB48" i="86" s="1"/>
  <c r="I48" i="86"/>
  <c r="H48" i="86"/>
  <c r="G48" i="86"/>
  <c r="F48" i="86"/>
  <c r="E48" i="86"/>
  <c r="D48" i="86"/>
  <c r="AE47" i="86"/>
  <c r="AA47" i="86"/>
  <c r="Y47" i="86"/>
  <c r="X47" i="86"/>
  <c r="W47" i="86"/>
  <c r="V47" i="86"/>
  <c r="U47" i="86"/>
  <c r="N47" i="86"/>
  <c r="I47" i="86"/>
  <c r="H47" i="86"/>
  <c r="G47" i="86"/>
  <c r="F47" i="86"/>
  <c r="E47" i="86"/>
  <c r="D47" i="86"/>
  <c r="Y32" i="86"/>
  <c r="U32" i="86"/>
  <c r="Y31" i="86"/>
  <c r="X31" i="86"/>
  <c r="U31" i="86"/>
  <c r="N31" i="86"/>
  <c r="AB31" i="86" s="1"/>
  <c r="AE30" i="86"/>
  <c r="AD30" i="86" s="1"/>
  <c r="X30" i="86"/>
  <c r="W30" i="86"/>
  <c r="N30" i="86"/>
  <c r="AB30" i="86" s="1"/>
  <c r="I30" i="86"/>
  <c r="F30" i="86"/>
  <c r="E30" i="86"/>
  <c r="AE28" i="86"/>
  <c r="N28" i="86"/>
  <c r="AB28" i="86" s="1"/>
  <c r="I28" i="86"/>
  <c r="F28" i="86"/>
  <c r="E28" i="86"/>
  <c r="AE13" i="86"/>
  <c r="AA13" i="86"/>
  <c r="Y13" i="86"/>
  <c r="X13" i="86"/>
  <c r="W13" i="86"/>
  <c r="V13" i="86"/>
  <c r="U13" i="86"/>
  <c r="N13" i="86"/>
  <c r="AB13" i="86" s="1"/>
  <c r="I13" i="86"/>
  <c r="H13" i="86"/>
  <c r="G13" i="86"/>
  <c r="F13" i="86"/>
  <c r="E13" i="86"/>
  <c r="D13" i="86"/>
  <c r="AE12" i="86"/>
  <c r="AA12" i="86"/>
  <c r="Y12" i="86"/>
  <c r="X12" i="86"/>
  <c r="W12" i="86"/>
  <c r="V12" i="86"/>
  <c r="U12" i="86"/>
  <c r="N12" i="86"/>
  <c r="I12" i="86"/>
  <c r="H12" i="86"/>
  <c r="G12" i="86"/>
  <c r="F12" i="86"/>
  <c r="E12" i="86"/>
  <c r="D12" i="86"/>
  <c r="AE9" i="86"/>
  <c r="AA9" i="86"/>
  <c r="Y9" i="86"/>
  <c r="X9" i="86"/>
  <c r="W9" i="86"/>
  <c r="V9" i="86"/>
  <c r="U9" i="86"/>
  <c r="N9" i="86"/>
  <c r="AB9" i="86" s="1"/>
  <c r="I9" i="86"/>
  <c r="H9" i="86"/>
  <c r="G9" i="86"/>
  <c r="F9" i="86"/>
  <c r="E9" i="86"/>
  <c r="D9" i="86"/>
  <c r="X7" i="88"/>
  <c r="U7" i="88"/>
  <c r="F9" i="87"/>
  <c r="I147" i="86"/>
  <c r="X102" i="86"/>
  <c r="U102" i="86"/>
  <c r="L90" i="86"/>
  <c r="Z89" i="86"/>
  <c r="AB89" i="86"/>
  <c r="AD89" i="86"/>
  <c r="G7" i="87"/>
  <c r="Z88" i="86"/>
  <c r="AB88" i="86"/>
  <c r="I90" i="86"/>
  <c r="Z87" i="86"/>
  <c r="AB87" i="86"/>
  <c r="AD87" i="86"/>
  <c r="AB86" i="86"/>
  <c r="Z86" i="86"/>
  <c r="AD86" i="86"/>
  <c r="AB85" i="86"/>
  <c r="Z85" i="86"/>
  <c r="Y90" i="86"/>
  <c r="X90" i="86"/>
  <c r="V90" i="86"/>
  <c r="U90" i="86"/>
  <c r="H90" i="86"/>
  <c r="G90" i="86"/>
  <c r="G3" i="87"/>
  <c r="X83" i="86"/>
  <c r="U83" i="86"/>
  <c r="N71" i="86"/>
  <c r="L71" i="86"/>
  <c r="J71" i="86"/>
  <c r="AB70" i="86"/>
  <c r="Z70" i="86"/>
  <c r="AB69" i="86"/>
  <c r="Z69" i="86"/>
  <c r="AD68" i="86"/>
  <c r="AB68" i="86"/>
  <c r="Z68" i="86"/>
  <c r="AB67" i="86"/>
  <c r="Z67" i="86"/>
  <c r="AB66" i="86"/>
  <c r="Z66" i="86"/>
  <c r="X64" i="86"/>
  <c r="U64" i="86"/>
  <c r="L52" i="86"/>
  <c r="J52" i="86"/>
  <c r="Z51" i="86"/>
  <c r="Z50" i="86"/>
  <c r="Z49" i="86"/>
  <c r="Z48" i="86"/>
  <c r="Z47" i="86"/>
  <c r="X45" i="86"/>
  <c r="U45" i="86"/>
  <c r="L33" i="86"/>
  <c r="J33" i="86"/>
  <c r="Z32" i="86"/>
  <c r="Z31" i="86"/>
  <c r="Z30" i="86"/>
  <c r="Z29" i="86"/>
  <c r="Z28" i="86"/>
  <c r="X26" i="86"/>
  <c r="U26" i="86"/>
  <c r="Z13" i="86"/>
  <c r="L108" i="86"/>
  <c r="J108" i="86"/>
  <c r="L107" i="86"/>
  <c r="Z11" i="86"/>
  <c r="L106" i="86"/>
  <c r="J105" i="86"/>
  <c r="Z9" i="86"/>
  <c r="L104" i="86"/>
  <c r="J104" i="86"/>
  <c r="X7" i="86"/>
  <c r="U7" i="86"/>
  <c r="E35" i="82"/>
  <c r="E34" i="82"/>
  <c r="E33" i="82"/>
  <c r="E32" i="82"/>
  <c r="E31" i="82"/>
  <c r="E30" i="82"/>
  <c r="L8" i="83"/>
  <c r="L7" i="83"/>
  <c r="L6" i="83"/>
  <c r="L5" i="83"/>
  <c r="L4" i="83"/>
  <c r="L3" i="83"/>
  <c r="H8" i="83"/>
  <c r="C9" i="83"/>
  <c r="O24" i="56"/>
  <c r="L128" i="85" s="1"/>
  <c r="O23" i="56"/>
  <c r="L127" i="85" s="1"/>
  <c r="O21" i="56"/>
  <c r="L125" i="85" s="1"/>
  <c r="L63" i="91" s="1"/>
  <c r="O16" i="56"/>
  <c r="K129" i="85" s="1"/>
  <c r="O15" i="56"/>
  <c r="K128" i="85" s="1"/>
  <c r="O14" i="56"/>
  <c r="K127" i="85" s="1"/>
  <c r="O13" i="56"/>
  <c r="K126" i="85" s="1"/>
  <c r="K64" i="91" s="1"/>
  <c r="O7" i="56"/>
  <c r="D129" i="85" s="1"/>
  <c r="D67" i="91" s="1"/>
  <c r="O6" i="56"/>
  <c r="D128" i="85" s="1"/>
  <c r="D66" i="91" s="1"/>
  <c r="O5" i="56"/>
  <c r="D127" i="85" s="1"/>
  <c r="O4" i="56"/>
  <c r="D126" i="85" s="1"/>
  <c r="D64" i="91" s="1"/>
  <c r="O3" i="56"/>
  <c r="D125" i="85" s="1"/>
  <c r="D63" i="91" s="1"/>
  <c r="AE69" i="85"/>
  <c r="AD69" i="85" s="1"/>
  <c r="AA69" i="85"/>
  <c r="Y69" i="85"/>
  <c r="X69" i="85"/>
  <c r="W69" i="85"/>
  <c r="V69" i="85"/>
  <c r="U69" i="85"/>
  <c r="I69" i="85"/>
  <c r="H69" i="85"/>
  <c r="G69" i="85"/>
  <c r="F69" i="85"/>
  <c r="E69" i="85"/>
  <c r="D69" i="85"/>
  <c r="AE68" i="85"/>
  <c r="AD68" i="85" s="1"/>
  <c r="AA68" i="85"/>
  <c r="Y68" i="85"/>
  <c r="X68" i="85"/>
  <c r="W68" i="85"/>
  <c r="V68" i="85"/>
  <c r="U68" i="85"/>
  <c r="I68" i="85"/>
  <c r="H68" i="85"/>
  <c r="G68" i="85"/>
  <c r="F68" i="85"/>
  <c r="E68" i="85"/>
  <c r="D68" i="85"/>
  <c r="AE66" i="85"/>
  <c r="Y66" i="85"/>
  <c r="X66" i="85"/>
  <c r="W66" i="85"/>
  <c r="V66" i="85"/>
  <c r="U66" i="85"/>
  <c r="I66" i="85"/>
  <c r="H66" i="85"/>
  <c r="G66" i="85"/>
  <c r="F66" i="85"/>
  <c r="E66" i="85"/>
  <c r="D66" i="85"/>
  <c r="AE50" i="85"/>
  <c r="Y50" i="85"/>
  <c r="X50" i="85"/>
  <c r="W50" i="85"/>
  <c r="V50" i="85"/>
  <c r="U50" i="85"/>
  <c r="N50" i="85"/>
  <c r="I50" i="85"/>
  <c r="H50" i="85"/>
  <c r="G50" i="85"/>
  <c r="F50" i="85"/>
  <c r="E50" i="85"/>
  <c r="D50" i="85"/>
  <c r="AE49" i="85"/>
  <c r="AE48" i="85"/>
  <c r="AE47" i="85"/>
  <c r="Y47" i="85"/>
  <c r="X47" i="85"/>
  <c r="W47" i="85"/>
  <c r="V47" i="85"/>
  <c r="U47" i="85"/>
  <c r="N47" i="85"/>
  <c r="I47" i="85"/>
  <c r="H47" i="85"/>
  <c r="G47" i="85"/>
  <c r="F47" i="85"/>
  <c r="E47" i="85"/>
  <c r="D47" i="85"/>
  <c r="F6" i="82"/>
  <c r="I147" i="85"/>
  <c r="O32" i="36" s="1"/>
  <c r="E131" i="85"/>
  <c r="E69" i="91" s="1"/>
  <c r="X102" i="85"/>
  <c r="U102" i="85"/>
  <c r="L90" i="85"/>
  <c r="Z90" i="85"/>
  <c r="X83" i="85"/>
  <c r="U83" i="85"/>
  <c r="N71" i="85"/>
  <c r="L71" i="85"/>
  <c r="J71" i="85"/>
  <c r="AB70" i="85"/>
  <c r="Z70" i="85"/>
  <c r="AB69" i="85"/>
  <c r="Z69" i="85"/>
  <c r="AB68" i="85"/>
  <c r="Z68" i="85"/>
  <c r="AB67" i="85"/>
  <c r="Z67" i="85"/>
  <c r="AB66" i="85"/>
  <c r="Z66" i="85"/>
  <c r="X64" i="85"/>
  <c r="U64" i="85"/>
  <c r="L52" i="85"/>
  <c r="J52" i="85"/>
  <c r="Z51" i="85"/>
  <c r="Z50" i="85"/>
  <c r="Z49" i="85"/>
  <c r="Z48" i="85"/>
  <c r="Z47" i="85"/>
  <c r="X45" i="85"/>
  <c r="U45" i="85"/>
  <c r="L33" i="85"/>
  <c r="J33" i="85"/>
  <c r="Z32" i="85"/>
  <c r="Z31" i="85"/>
  <c r="Z30" i="85"/>
  <c r="Z29" i="85"/>
  <c r="Z28" i="85"/>
  <c r="X26" i="85"/>
  <c r="U26" i="85"/>
  <c r="L108" i="85"/>
  <c r="L107" i="85"/>
  <c r="L106" i="85"/>
  <c r="L105" i="85"/>
  <c r="L104" i="85"/>
  <c r="L76" i="90" s="1"/>
  <c r="X7" i="85"/>
  <c r="U7" i="85"/>
  <c r="F9" i="83"/>
  <c r="G23" i="36" s="1"/>
  <c r="X7" i="82"/>
  <c r="U7" i="82"/>
  <c r="L7" i="80"/>
  <c r="L6" i="80"/>
  <c r="L5" i="80"/>
  <c r="L4" i="80"/>
  <c r="L3" i="80"/>
  <c r="I25" i="56"/>
  <c r="I24" i="56"/>
  <c r="I23" i="56"/>
  <c r="I22" i="56"/>
  <c r="I21" i="56"/>
  <c r="I16" i="56"/>
  <c r="I15" i="56"/>
  <c r="I14" i="56"/>
  <c r="I13" i="56"/>
  <c r="L8" i="80"/>
  <c r="N8" i="80" s="1"/>
  <c r="I7" i="56"/>
  <c r="I6" i="56"/>
  <c r="D145" i="97" s="1"/>
  <c r="L145" i="97" s="1"/>
  <c r="M145" i="97" s="1"/>
  <c r="I5" i="56"/>
  <c r="I4" i="56"/>
  <c r="D143" i="97" s="1"/>
  <c r="L143" i="97" s="1"/>
  <c r="M143" i="97" s="1"/>
  <c r="I3" i="56"/>
  <c r="AE69" i="79"/>
  <c r="AD69" i="79" s="1"/>
  <c r="Y69" i="79"/>
  <c r="X69" i="79"/>
  <c r="W69" i="79"/>
  <c r="V69" i="79"/>
  <c r="U69" i="79"/>
  <c r="I69" i="79"/>
  <c r="H69" i="79"/>
  <c r="G69" i="79"/>
  <c r="F69" i="79"/>
  <c r="E69" i="79"/>
  <c r="D69" i="79"/>
  <c r="AE68" i="79"/>
  <c r="AD68" i="79" s="1"/>
  <c r="Y68" i="79"/>
  <c r="X68" i="79"/>
  <c r="W68" i="79"/>
  <c r="V68" i="79"/>
  <c r="U68" i="79"/>
  <c r="I68" i="79"/>
  <c r="H68" i="79"/>
  <c r="G68" i="79"/>
  <c r="F68" i="79"/>
  <c r="E68" i="79"/>
  <c r="D68" i="79"/>
  <c r="AE67" i="79"/>
  <c r="AD67" i="79" s="1"/>
  <c r="Y67" i="79"/>
  <c r="X67" i="79"/>
  <c r="W67" i="79"/>
  <c r="V67" i="79"/>
  <c r="U67" i="79"/>
  <c r="I67" i="79"/>
  <c r="H67" i="79"/>
  <c r="G67" i="79"/>
  <c r="F67" i="79"/>
  <c r="E67" i="79"/>
  <c r="D67" i="79"/>
  <c r="AE66" i="79"/>
  <c r="Y66" i="79"/>
  <c r="X66" i="79"/>
  <c r="W66" i="79"/>
  <c r="V66" i="79"/>
  <c r="U66" i="79"/>
  <c r="I66" i="79"/>
  <c r="H66" i="79"/>
  <c r="G66" i="79"/>
  <c r="F66" i="79"/>
  <c r="E66" i="79"/>
  <c r="D66" i="79"/>
  <c r="AE50" i="79"/>
  <c r="AD50" i="79" s="1"/>
  <c r="Y50" i="79"/>
  <c r="X50" i="79"/>
  <c r="W50" i="79"/>
  <c r="V50" i="79"/>
  <c r="U50" i="79"/>
  <c r="N50" i="79"/>
  <c r="AB50" i="79" s="1"/>
  <c r="I50" i="79"/>
  <c r="H50" i="79"/>
  <c r="G50" i="79"/>
  <c r="F50" i="79"/>
  <c r="E50" i="79"/>
  <c r="D50" i="79"/>
  <c r="AE49" i="79"/>
  <c r="AD49" i="79" s="1"/>
  <c r="Y49" i="79"/>
  <c r="X49" i="79"/>
  <c r="W49" i="79"/>
  <c r="V49" i="79"/>
  <c r="U49" i="79"/>
  <c r="N49" i="79"/>
  <c r="AB49" i="79" s="1"/>
  <c r="I49" i="79"/>
  <c r="H49" i="79"/>
  <c r="G49" i="79"/>
  <c r="F49" i="79"/>
  <c r="E49" i="79"/>
  <c r="D49" i="79"/>
  <c r="AE48" i="79"/>
  <c r="AD48" i="79" s="1"/>
  <c r="Y48" i="79"/>
  <c r="X48" i="79"/>
  <c r="W48" i="79"/>
  <c r="V48" i="79"/>
  <c r="U48" i="79"/>
  <c r="N48" i="79"/>
  <c r="AB48" i="79" s="1"/>
  <c r="I48" i="79"/>
  <c r="H48" i="79"/>
  <c r="G48" i="79"/>
  <c r="F48" i="79"/>
  <c r="E48" i="79"/>
  <c r="D48" i="79"/>
  <c r="AE47" i="79"/>
  <c r="Y47" i="79"/>
  <c r="X47" i="79"/>
  <c r="W47" i="79"/>
  <c r="V47" i="79"/>
  <c r="U47" i="79"/>
  <c r="N47" i="79"/>
  <c r="I47" i="79"/>
  <c r="H47" i="79"/>
  <c r="G47" i="79"/>
  <c r="F47" i="79"/>
  <c r="E47" i="79"/>
  <c r="D47" i="79"/>
  <c r="AE31" i="79"/>
  <c r="AD31" i="79" s="1"/>
  <c r="AA31" i="79"/>
  <c r="AA107" i="79" s="1"/>
  <c r="Y31" i="79"/>
  <c r="X31" i="79"/>
  <c r="W31" i="79"/>
  <c r="V31" i="79"/>
  <c r="U31" i="79"/>
  <c r="N31" i="79"/>
  <c r="AB31" i="79" s="1"/>
  <c r="I31" i="79"/>
  <c r="H31" i="79"/>
  <c r="G31" i="79"/>
  <c r="F31" i="79"/>
  <c r="E31" i="79"/>
  <c r="D31" i="79"/>
  <c r="AE30" i="79"/>
  <c r="AD30" i="79" s="1"/>
  <c r="AA30" i="79"/>
  <c r="Y30" i="79"/>
  <c r="X30" i="79"/>
  <c r="W30" i="79"/>
  <c r="V30" i="79"/>
  <c r="U30" i="79"/>
  <c r="N30" i="79"/>
  <c r="AB30" i="79" s="1"/>
  <c r="I30" i="79"/>
  <c r="H30" i="79"/>
  <c r="G30" i="79"/>
  <c r="F30" i="79"/>
  <c r="E30" i="79"/>
  <c r="D30" i="79"/>
  <c r="AE29" i="79"/>
  <c r="AD29" i="79" s="1"/>
  <c r="AA29" i="79"/>
  <c r="Y29" i="79"/>
  <c r="X29" i="79"/>
  <c r="W29" i="79"/>
  <c r="V29" i="79"/>
  <c r="U29" i="79"/>
  <c r="N29" i="79"/>
  <c r="AB29" i="79" s="1"/>
  <c r="I29" i="79"/>
  <c r="H29" i="79"/>
  <c r="G29" i="79"/>
  <c r="F29" i="79"/>
  <c r="E29" i="79"/>
  <c r="D29" i="79"/>
  <c r="AE28" i="79"/>
  <c r="AD28" i="79" s="1"/>
  <c r="Y28" i="79"/>
  <c r="X28" i="79"/>
  <c r="W28" i="79"/>
  <c r="V28" i="79"/>
  <c r="U28" i="79"/>
  <c r="N28" i="79"/>
  <c r="I28" i="79"/>
  <c r="H28" i="79"/>
  <c r="G28" i="79"/>
  <c r="F28" i="79"/>
  <c r="E28" i="79"/>
  <c r="D28" i="79"/>
  <c r="AA32" i="79"/>
  <c r="Y32" i="79"/>
  <c r="X32" i="79"/>
  <c r="W32" i="79"/>
  <c r="V32" i="79"/>
  <c r="U32" i="79"/>
  <c r="N32" i="79"/>
  <c r="AB32" i="79" s="1"/>
  <c r="I32" i="79"/>
  <c r="H32" i="79"/>
  <c r="G32" i="79"/>
  <c r="F32" i="79"/>
  <c r="E32" i="79"/>
  <c r="AE12" i="79"/>
  <c r="Y12" i="79"/>
  <c r="X12" i="79"/>
  <c r="W12" i="79"/>
  <c r="V12" i="79"/>
  <c r="U12" i="79"/>
  <c r="N12" i="79"/>
  <c r="I12" i="79"/>
  <c r="H12" i="79"/>
  <c r="G12" i="79"/>
  <c r="F12" i="79"/>
  <c r="E12" i="79"/>
  <c r="D12" i="79"/>
  <c r="AE11" i="79"/>
  <c r="Y11" i="79"/>
  <c r="X11" i="79"/>
  <c r="W11" i="79"/>
  <c r="V11" i="79"/>
  <c r="U11" i="79"/>
  <c r="N11" i="79"/>
  <c r="I11" i="79"/>
  <c r="H11" i="79"/>
  <c r="G11" i="79"/>
  <c r="F11" i="79"/>
  <c r="E11" i="79"/>
  <c r="D11" i="79"/>
  <c r="AE10" i="79"/>
  <c r="Y10" i="79"/>
  <c r="X10" i="79"/>
  <c r="W10" i="79"/>
  <c r="V10" i="79"/>
  <c r="U10" i="79"/>
  <c r="N10" i="79"/>
  <c r="I10" i="79"/>
  <c r="H10" i="79"/>
  <c r="G10" i="79"/>
  <c r="F10" i="79"/>
  <c r="E10" i="79"/>
  <c r="D10" i="79"/>
  <c r="AE9" i="79"/>
  <c r="Y9" i="79"/>
  <c r="X9" i="79"/>
  <c r="W9" i="79"/>
  <c r="V9" i="79"/>
  <c r="U9" i="79"/>
  <c r="N9" i="79"/>
  <c r="I9" i="79"/>
  <c r="H9" i="79"/>
  <c r="G9" i="79"/>
  <c r="F9" i="79"/>
  <c r="E9" i="79"/>
  <c r="D9" i="79"/>
  <c r="E34" i="81"/>
  <c r="E33" i="81"/>
  <c r="E32" i="81"/>
  <c r="E31" i="81"/>
  <c r="E30" i="81"/>
  <c r="F6" i="81"/>
  <c r="X7" i="81"/>
  <c r="U7" i="81"/>
  <c r="F9" i="80"/>
  <c r="G21" i="36" s="1"/>
  <c r="H8" i="80"/>
  <c r="X102" i="79"/>
  <c r="U102" i="79"/>
  <c r="AB88" i="79"/>
  <c r="Z88" i="79"/>
  <c r="AD88" i="79"/>
  <c r="H145" i="79"/>
  <c r="G6" i="80" s="1"/>
  <c r="AB86" i="79"/>
  <c r="Z86" i="79"/>
  <c r="AD86" i="79"/>
  <c r="H143" i="79"/>
  <c r="G4" i="80" s="1"/>
  <c r="X83" i="79"/>
  <c r="U83" i="79"/>
  <c r="N71" i="79"/>
  <c r="L71" i="79"/>
  <c r="J71" i="79"/>
  <c r="Z70" i="79"/>
  <c r="AB69" i="79"/>
  <c r="Z69" i="79"/>
  <c r="AB68" i="79"/>
  <c r="Z68" i="79"/>
  <c r="AB67" i="79"/>
  <c r="Z67" i="79"/>
  <c r="AB66" i="79"/>
  <c r="Z66" i="79"/>
  <c r="X64" i="79"/>
  <c r="U64" i="79"/>
  <c r="L52" i="79"/>
  <c r="J52" i="79"/>
  <c r="Z51" i="79"/>
  <c r="Z50" i="79"/>
  <c r="Z49" i="79"/>
  <c r="Z48" i="79"/>
  <c r="Z47" i="79"/>
  <c r="X45" i="79"/>
  <c r="U45" i="79"/>
  <c r="L33" i="79"/>
  <c r="J33" i="79"/>
  <c r="Z32" i="79"/>
  <c r="Z31" i="79"/>
  <c r="Z30" i="79"/>
  <c r="Z29" i="79"/>
  <c r="Z28" i="79"/>
  <c r="X26" i="79"/>
  <c r="U26" i="79"/>
  <c r="L107" i="79"/>
  <c r="L106" i="79"/>
  <c r="L105" i="79"/>
  <c r="L104" i="79"/>
  <c r="L43" i="90" s="1"/>
  <c r="X7" i="79"/>
  <c r="U7" i="79"/>
  <c r="F25" i="56"/>
  <c r="L129" i="75" s="1"/>
  <c r="F24" i="56"/>
  <c r="L128" i="75" s="1"/>
  <c r="F23" i="56"/>
  <c r="L127" i="75" s="1"/>
  <c r="F22" i="56"/>
  <c r="L126" i="75" s="1"/>
  <c r="F21" i="56"/>
  <c r="L125" i="75" s="1"/>
  <c r="L21" i="91" s="1"/>
  <c r="F7" i="56"/>
  <c r="D129" i="75" s="1"/>
  <c r="F6" i="56"/>
  <c r="D128" i="75" s="1"/>
  <c r="F5" i="56"/>
  <c r="D127" i="75" s="1"/>
  <c r="F4" i="56"/>
  <c r="F3" i="56"/>
  <c r="D125" i="75" s="1"/>
  <c r="L8" i="77"/>
  <c r="L7" i="77"/>
  <c r="L6" i="77"/>
  <c r="L4" i="77"/>
  <c r="L3" i="77"/>
  <c r="H8" i="77"/>
  <c r="C9" i="77"/>
  <c r="AE70" i="75"/>
  <c r="AD70" i="75" s="1"/>
  <c r="Y70" i="75"/>
  <c r="X70" i="75"/>
  <c r="W70" i="75"/>
  <c r="V70" i="75"/>
  <c r="U70" i="75"/>
  <c r="I70" i="75"/>
  <c r="H70" i="75"/>
  <c r="G70" i="75"/>
  <c r="F70" i="75"/>
  <c r="E70" i="75"/>
  <c r="D70" i="75"/>
  <c r="AE69" i="75"/>
  <c r="AD69" i="75" s="1"/>
  <c r="Y69" i="75"/>
  <c r="X69" i="75"/>
  <c r="W69" i="75"/>
  <c r="V69" i="75"/>
  <c r="U69" i="75"/>
  <c r="I69" i="75"/>
  <c r="H69" i="75"/>
  <c r="G69" i="75"/>
  <c r="F69" i="75"/>
  <c r="E69" i="75"/>
  <c r="D69" i="75"/>
  <c r="AE68" i="75"/>
  <c r="AD68" i="75" s="1"/>
  <c r="Y68" i="75"/>
  <c r="X68" i="75"/>
  <c r="W68" i="75"/>
  <c r="V68" i="75"/>
  <c r="U68" i="75"/>
  <c r="I68" i="75"/>
  <c r="H68" i="75"/>
  <c r="G68" i="75"/>
  <c r="F68" i="75"/>
  <c r="E68" i="75"/>
  <c r="D68" i="75"/>
  <c r="AE67" i="75"/>
  <c r="AD67" i="75" s="1"/>
  <c r="Y67" i="75"/>
  <c r="X67" i="75"/>
  <c r="W67" i="75"/>
  <c r="V67" i="75"/>
  <c r="U67" i="75"/>
  <c r="I67" i="75"/>
  <c r="H67" i="75"/>
  <c r="G67" i="75"/>
  <c r="F67" i="75"/>
  <c r="E67" i="75"/>
  <c r="D67" i="75"/>
  <c r="AE51" i="75"/>
  <c r="AD51" i="75" s="1"/>
  <c r="N51" i="75"/>
  <c r="AB51" i="75" s="1"/>
  <c r="I51" i="75"/>
  <c r="H51" i="75"/>
  <c r="F51" i="75"/>
  <c r="E51" i="75"/>
  <c r="D51" i="75"/>
  <c r="AE50" i="75"/>
  <c r="AD50" i="75" s="1"/>
  <c r="Y50" i="75"/>
  <c r="X50" i="75"/>
  <c r="W50" i="75"/>
  <c r="V50" i="75"/>
  <c r="U50" i="75"/>
  <c r="N50" i="75"/>
  <c r="I50" i="75"/>
  <c r="H50" i="75"/>
  <c r="G50" i="75"/>
  <c r="F50" i="75"/>
  <c r="E50" i="75"/>
  <c r="D50" i="75"/>
  <c r="AE49" i="75"/>
  <c r="AD49" i="75" s="1"/>
  <c r="Y49" i="75"/>
  <c r="X49" i="75"/>
  <c r="W49" i="75"/>
  <c r="V49" i="75"/>
  <c r="U49" i="75"/>
  <c r="N49" i="75"/>
  <c r="AB49" i="75" s="1"/>
  <c r="I49" i="75"/>
  <c r="H49" i="75"/>
  <c r="G49" i="75"/>
  <c r="F49" i="75"/>
  <c r="E49" i="75"/>
  <c r="D49" i="75"/>
  <c r="AE48" i="75"/>
  <c r="AD48" i="75" s="1"/>
  <c r="Y48" i="75"/>
  <c r="X48" i="75"/>
  <c r="W48" i="75"/>
  <c r="V48" i="75"/>
  <c r="U48" i="75"/>
  <c r="N48" i="75"/>
  <c r="I48" i="75"/>
  <c r="H48" i="75"/>
  <c r="G48" i="75"/>
  <c r="F48" i="75"/>
  <c r="E48" i="75"/>
  <c r="D48" i="75"/>
  <c r="AE47" i="75"/>
  <c r="Y47" i="75"/>
  <c r="X47" i="75"/>
  <c r="W47" i="75"/>
  <c r="V47" i="75"/>
  <c r="U47" i="75"/>
  <c r="N47" i="75"/>
  <c r="I47" i="75"/>
  <c r="H47" i="75"/>
  <c r="G47" i="75"/>
  <c r="F47" i="75"/>
  <c r="E47" i="75"/>
  <c r="D47" i="75"/>
  <c r="F9" i="77"/>
  <c r="G20" i="36" s="1"/>
  <c r="E34" i="76"/>
  <c r="E33" i="76"/>
  <c r="E32" i="76"/>
  <c r="E31" i="76"/>
  <c r="E30" i="76"/>
  <c r="X7" i="76"/>
  <c r="U7" i="76"/>
  <c r="F6" i="76"/>
  <c r="I147" i="75"/>
  <c r="O29" i="36" s="1"/>
  <c r="X102" i="75"/>
  <c r="U102" i="75"/>
  <c r="L90" i="75"/>
  <c r="K89" i="75"/>
  <c r="M89" i="75" s="1"/>
  <c r="O89" i="75" s="1"/>
  <c r="Z88" i="75"/>
  <c r="Z86" i="75"/>
  <c r="Z85" i="75"/>
  <c r="X83" i="75"/>
  <c r="U83" i="75"/>
  <c r="N71" i="75"/>
  <c r="L71" i="75"/>
  <c r="J71" i="75"/>
  <c r="AB70" i="75"/>
  <c r="Z70" i="75"/>
  <c r="AB69" i="75"/>
  <c r="Z69" i="75"/>
  <c r="AB68" i="75"/>
  <c r="Z68" i="75"/>
  <c r="AB67" i="75"/>
  <c r="Z67" i="75"/>
  <c r="AB66" i="75"/>
  <c r="Z66" i="75"/>
  <c r="X64" i="75"/>
  <c r="U64" i="75"/>
  <c r="L52" i="75"/>
  <c r="J52" i="75"/>
  <c r="Z51" i="75"/>
  <c r="Z50" i="75"/>
  <c r="Z49" i="75"/>
  <c r="Z48" i="75"/>
  <c r="Z47" i="75"/>
  <c r="X45" i="75"/>
  <c r="U45" i="75"/>
  <c r="L33" i="75"/>
  <c r="J33" i="75"/>
  <c r="Z32" i="75"/>
  <c r="Z31" i="75"/>
  <c r="Z30" i="75"/>
  <c r="Z29" i="75"/>
  <c r="Z28" i="75"/>
  <c r="X26" i="75"/>
  <c r="U26" i="75"/>
  <c r="L108" i="75"/>
  <c r="Z12" i="75"/>
  <c r="L107" i="75"/>
  <c r="L106" i="75"/>
  <c r="L105" i="75"/>
  <c r="L104" i="75"/>
  <c r="L26" i="90" s="1"/>
  <c r="X7" i="75"/>
  <c r="U7" i="75"/>
  <c r="AE69" i="22"/>
  <c r="AD69" i="22" s="1"/>
  <c r="Y69" i="22"/>
  <c r="X69" i="22"/>
  <c r="W69" i="22"/>
  <c r="V69" i="22"/>
  <c r="U69" i="22"/>
  <c r="I69" i="22"/>
  <c r="H69" i="22"/>
  <c r="G69" i="22"/>
  <c r="F69" i="22"/>
  <c r="E69" i="22"/>
  <c r="D69" i="22"/>
  <c r="AE68" i="22"/>
  <c r="AD68" i="22" s="1"/>
  <c r="Y68" i="22"/>
  <c r="X68" i="22"/>
  <c r="W68" i="22"/>
  <c r="V68" i="22"/>
  <c r="U68" i="22"/>
  <c r="I68" i="22"/>
  <c r="H68" i="22"/>
  <c r="G68" i="22"/>
  <c r="F68" i="22"/>
  <c r="E68" i="22"/>
  <c r="D68" i="22"/>
  <c r="Z70" i="22"/>
  <c r="AB69" i="22"/>
  <c r="Z69" i="22"/>
  <c r="AB68" i="22"/>
  <c r="Z68" i="22"/>
  <c r="AB67" i="22"/>
  <c r="Z67" i="22"/>
  <c r="E28" i="75"/>
  <c r="AE28" i="22"/>
  <c r="Y28" i="22"/>
  <c r="X28" i="22"/>
  <c r="W28" i="22"/>
  <c r="V28" i="22"/>
  <c r="U28" i="22"/>
  <c r="N28" i="22"/>
  <c r="I28" i="22"/>
  <c r="H28" i="22"/>
  <c r="G28" i="22"/>
  <c r="F28" i="22"/>
  <c r="E28" i="22"/>
  <c r="D70" i="85"/>
  <c r="Y70" i="85"/>
  <c r="X70" i="85"/>
  <c r="W70" i="85"/>
  <c r="V70" i="85"/>
  <c r="U70" i="85"/>
  <c r="I70" i="85"/>
  <c r="H70" i="85"/>
  <c r="G70" i="85"/>
  <c r="F70" i="85"/>
  <c r="E70" i="85"/>
  <c r="AE70" i="85"/>
  <c r="Y70" i="79"/>
  <c r="X70" i="79"/>
  <c r="W70" i="79"/>
  <c r="V70" i="79"/>
  <c r="U70" i="79"/>
  <c r="I70" i="79"/>
  <c r="H70" i="79"/>
  <c r="G70" i="79"/>
  <c r="F70" i="79"/>
  <c r="E70" i="79"/>
  <c r="AE70" i="79"/>
  <c r="D70" i="79"/>
  <c r="Y67" i="85"/>
  <c r="X67" i="85"/>
  <c r="W67" i="85"/>
  <c r="V67" i="85"/>
  <c r="U67" i="85"/>
  <c r="I67" i="85"/>
  <c r="H67" i="85"/>
  <c r="G67" i="85"/>
  <c r="F67" i="85"/>
  <c r="E67" i="85"/>
  <c r="AE67" i="85"/>
  <c r="D67" i="85"/>
  <c r="Y66" i="75"/>
  <c r="X66" i="75"/>
  <c r="W66" i="75"/>
  <c r="V66" i="75"/>
  <c r="U66" i="75"/>
  <c r="I66" i="75"/>
  <c r="H66" i="75"/>
  <c r="G66" i="75"/>
  <c r="F66" i="75"/>
  <c r="E66" i="75"/>
  <c r="AE66" i="75"/>
  <c r="D66" i="75"/>
  <c r="AE66" i="86"/>
  <c r="AA32" i="86"/>
  <c r="X32" i="86"/>
  <c r="W32" i="86"/>
  <c r="V32" i="86"/>
  <c r="N32" i="86"/>
  <c r="AB32" i="86" s="1"/>
  <c r="I32" i="86"/>
  <c r="H32" i="86"/>
  <c r="G32" i="86"/>
  <c r="F32" i="86"/>
  <c r="E32" i="86"/>
  <c r="AE32" i="86"/>
  <c r="AD32" i="86" s="1"/>
  <c r="D32" i="86"/>
  <c r="AA32" i="85"/>
  <c r="Y32" i="85"/>
  <c r="X32" i="85"/>
  <c r="W32" i="85"/>
  <c r="V32" i="85"/>
  <c r="U32" i="85"/>
  <c r="N32" i="85"/>
  <c r="I32" i="85"/>
  <c r="H32" i="85"/>
  <c r="G32" i="85"/>
  <c r="F32" i="85"/>
  <c r="E32" i="85"/>
  <c r="AE32" i="85"/>
  <c r="D32" i="85"/>
  <c r="AE32" i="79"/>
  <c r="D32" i="79"/>
  <c r="AA32" i="75"/>
  <c r="Y32" i="75"/>
  <c r="X32" i="75"/>
  <c r="W32" i="75"/>
  <c r="V32" i="75"/>
  <c r="U32" i="75"/>
  <c r="N32" i="75"/>
  <c r="AB32" i="75" s="1"/>
  <c r="I32" i="75"/>
  <c r="H32" i="75"/>
  <c r="G32" i="75"/>
  <c r="F32" i="75"/>
  <c r="E32" i="75"/>
  <c r="AE32" i="75"/>
  <c r="AD32" i="75" s="1"/>
  <c r="D32" i="75"/>
  <c r="AA31" i="86"/>
  <c r="W31" i="86"/>
  <c r="V31" i="86"/>
  <c r="I31" i="86"/>
  <c r="H31" i="86"/>
  <c r="G31" i="86"/>
  <c r="F31" i="86"/>
  <c r="E31" i="86"/>
  <c r="AE31" i="86"/>
  <c r="AD31" i="86" s="1"/>
  <c r="D31" i="86"/>
  <c r="AA31" i="85"/>
  <c r="Y31" i="85"/>
  <c r="X31" i="85"/>
  <c r="W31" i="85"/>
  <c r="V31" i="85"/>
  <c r="U31" i="85"/>
  <c r="N31" i="85"/>
  <c r="I31" i="85"/>
  <c r="H31" i="85"/>
  <c r="G31" i="85"/>
  <c r="F31" i="85"/>
  <c r="E31" i="85"/>
  <c r="AE31" i="85"/>
  <c r="D31" i="85"/>
  <c r="AA31" i="75"/>
  <c r="Y31" i="75"/>
  <c r="X31" i="75"/>
  <c r="W31" i="75"/>
  <c r="V31" i="75"/>
  <c r="U31" i="75"/>
  <c r="N31" i="75"/>
  <c r="AB31" i="75" s="1"/>
  <c r="I31" i="75"/>
  <c r="H31" i="75"/>
  <c r="G31" i="75"/>
  <c r="F31" i="75"/>
  <c r="E31" i="75"/>
  <c r="AE31" i="75"/>
  <c r="AD31" i="75" s="1"/>
  <c r="D31" i="75"/>
  <c r="AA30" i="86"/>
  <c r="Y30" i="86"/>
  <c r="V30" i="86"/>
  <c r="U30" i="86"/>
  <c r="H30" i="86"/>
  <c r="G30" i="86"/>
  <c r="D30" i="86"/>
  <c r="AA30" i="85"/>
  <c r="Y30" i="85"/>
  <c r="X30" i="85"/>
  <c r="W30" i="85"/>
  <c r="V30" i="85"/>
  <c r="U30" i="85"/>
  <c r="N30" i="85"/>
  <c r="AB30" i="85" s="1"/>
  <c r="I30" i="85"/>
  <c r="H30" i="85"/>
  <c r="G30" i="85"/>
  <c r="F30" i="85"/>
  <c r="E30" i="85"/>
  <c r="AE30" i="85"/>
  <c r="AD30" i="85" s="1"/>
  <c r="D30" i="85"/>
  <c r="AA30" i="75"/>
  <c r="Y30" i="75"/>
  <c r="X30" i="75"/>
  <c r="W30" i="75"/>
  <c r="V30" i="75"/>
  <c r="U30" i="75"/>
  <c r="N30" i="75"/>
  <c r="AB30" i="75" s="1"/>
  <c r="I30" i="75"/>
  <c r="H30" i="75"/>
  <c r="G30" i="75"/>
  <c r="F30" i="75"/>
  <c r="E30" i="75"/>
  <c r="AE30" i="75"/>
  <c r="AD30" i="75" s="1"/>
  <c r="D30" i="75"/>
  <c r="AA30" i="22"/>
  <c r="Y30" i="22"/>
  <c r="X30" i="22"/>
  <c r="W30" i="22"/>
  <c r="V30" i="22"/>
  <c r="U30" i="22"/>
  <c r="N30" i="22"/>
  <c r="I30" i="22"/>
  <c r="H30" i="22"/>
  <c r="G30" i="22"/>
  <c r="F30" i="22"/>
  <c r="E30" i="22"/>
  <c r="AE30" i="22"/>
  <c r="D30" i="22"/>
  <c r="AA29" i="86"/>
  <c r="Y29" i="86"/>
  <c r="X29" i="86"/>
  <c r="W29" i="86"/>
  <c r="V29" i="86"/>
  <c r="U29" i="86"/>
  <c r="N29" i="86"/>
  <c r="AB29" i="86" s="1"/>
  <c r="I29" i="86"/>
  <c r="H29" i="86"/>
  <c r="G29" i="86"/>
  <c r="F29" i="86"/>
  <c r="E29" i="86"/>
  <c r="AE29" i="86"/>
  <c r="AD29" i="86" s="1"/>
  <c r="D29" i="86"/>
  <c r="AA29" i="85"/>
  <c r="Y29" i="85"/>
  <c r="X29" i="85"/>
  <c r="W29" i="85"/>
  <c r="V29" i="85"/>
  <c r="U29" i="85"/>
  <c r="N29" i="85"/>
  <c r="AB29" i="85" s="1"/>
  <c r="I29" i="85"/>
  <c r="H29" i="85"/>
  <c r="G29" i="85"/>
  <c r="F29" i="85"/>
  <c r="E29" i="85"/>
  <c r="AE29" i="85"/>
  <c r="AD29" i="85" s="1"/>
  <c r="D29" i="85"/>
  <c r="AA29" i="75"/>
  <c r="Y29" i="75"/>
  <c r="X29" i="75"/>
  <c r="W29" i="75"/>
  <c r="V29" i="75"/>
  <c r="U29" i="75"/>
  <c r="N29" i="75"/>
  <c r="AB29" i="75" s="1"/>
  <c r="I29" i="75"/>
  <c r="H29" i="75"/>
  <c r="G29" i="75"/>
  <c r="F29" i="75"/>
  <c r="E29" i="75"/>
  <c r="AE29" i="75"/>
  <c r="AD29" i="75" s="1"/>
  <c r="D29" i="75"/>
  <c r="AA29" i="22"/>
  <c r="Y29" i="22"/>
  <c r="X29" i="22"/>
  <c r="W29" i="22"/>
  <c r="V29" i="22"/>
  <c r="U29" i="22"/>
  <c r="N29" i="22"/>
  <c r="I29" i="22"/>
  <c r="H29" i="22"/>
  <c r="G29" i="22"/>
  <c r="F29" i="22"/>
  <c r="E29" i="22"/>
  <c r="AE29" i="22"/>
  <c r="D29" i="22"/>
  <c r="AA28" i="86"/>
  <c r="Y28" i="86"/>
  <c r="X28" i="86"/>
  <c r="W28" i="86"/>
  <c r="V28" i="86"/>
  <c r="U28" i="86"/>
  <c r="H28" i="86"/>
  <c r="G28" i="86"/>
  <c r="D28" i="86"/>
  <c r="Y28" i="85"/>
  <c r="X28" i="85"/>
  <c r="W28" i="85"/>
  <c r="V28" i="85"/>
  <c r="U28" i="85"/>
  <c r="N28" i="85"/>
  <c r="I28" i="85"/>
  <c r="H28" i="85"/>
  <c r="G28" i="85"/>
  <c r="F28" i="85"/>
  <c r="E28" i="85"/>
  <c r="AE28" i="85"/>
  <c r="D28" i="85"/>
  <c r="AA28" i="75"/>
  <c r="Y28" i="75"/>
  <c r="X28" i="75"/>
  <c r="W28" i="75"/>
  <c r="V28" i="75"/>
  <c r="U28" i="75"/>
  <c r="N28" i="75"/>
  <c r="I28" i="75"/>
  <c r="H28" i="75"/>
  <c r="G28" i="75"/>
  <c r="F28" i="75"/>
  <c r="AE28" i="75"/>
  <c r="D28" i="75"/>
  <c r="D28" i="22"/>
  <c r="Y51" i="85"/>
  <c r="X51" i="85"/>
  <c r="W51" i="85"/>
  <c r="V51" i="85"/>
  <c r="U51" i="85"/>
  <c r="N51" i="85"/>
  <c r="I51" i="85"/>
  <c r="H51" i="85"/>
  <c r="G51" i="85"/>
  <c r="F51" i="85"/>
  <c r="E51" i="85"/>
  <c r="AE51" i="85"/>
  <c r="D51" i="85"/>
  <c r="Y13" i="85"/>
  <c r="X13" i="85"/>
  <c r="W13" i="85"/>
  <c r="V13" i="85"/>
  <c r="U13" i="85"/>
  <c r="N13" i="85"/>
  <c r="I13" i="85"/>
  <c r="H13" i="85"/>
  <c r="G13" i="85"/>
  <c r="F13" i="85"/>
  <c r="E13" i="85"/>
  <c r="D13" i="85"/>
  <c r="AE51" i="79"/>
  <c r="Y51" i="79"/>
  <c r="X51" i="79"/>
  <c r="W51" i="79"/>
  <c r="V51" i="79"/>
  <c r="U51" i="79"/>
  <c r="N51" i="79"/>
  <c r="I51" i="79"/>
  <c r="H51" i="79"/>
  <c r="G51" i="79"/>
  <c r="F51" i="79"/>
  <c r="E51" i="79"/>
  <c r="D51" i="79"/>
  <c r="Y13" i="79"/>
  <c r="X13" i="79"/>
  <c r="W13" i="79"/>
  <c r="V13" i="79"/>
  <c r="U13" i="79"/>
  <c r="N13" i="79"/>
  <c r="I13" i="79"/>
  <c r="H13" i="79"/>
  <c r="G13" i="79"/>
  <c r="F13" i="79"/>
  <c r="E13" i="79"/>
  <c r="AE13" i="79"/>
  <c r="D13" i="79"/>
  <c r="Y13" i="75"/>
  <c r="X13" i="75"/>
  <c r="W13" i="75"/>
  <c r="V13" i="75"/>
  <c r="U13" i="75"/>
  <c r="N13" i="75"/>
  <c r="I13" i="75"/>
  <c r="H13" i="75"/>
  <c r="G13" i="75"/>
  <c r="F13" i="75"/>
  <c r="E13" i="75"/>
  <c r="D13" i="75"/>
  <c r="Y13" i="22"/>
  <c r="X13" i="22"/>
  <c r="W13" i="22"/>
  <c r="V13" i="22"/>
  <c r="U13" i="22"/>
  <c r="I13" i="22"/>
  <c r="H13" i="22"/>
  <c r="G13" i="22"/>
  <c r="F13" i="22"/>
  <c r="E13" i="22"/>
  <c r="D13" i="22"/>
  <c r="Y12" i="85"/>
  <c r="X12" i="85"/>
  <c r="W12" i="85"/>
  <c r="V12" i="85"/>
  <c r="U12" i="85"/>
  <c r="N12" i="85"/>
  <c r="I12" i="85"/>
  <c r="H12" i="85"/>
  <c r="G12" i="85"/>
  <c r="F12" i="85"/>
  <c r="E12" i="85"/>
  <c r="D12" i="85"/>
  <c r="E12" i="75"/>
  <c r="D12" i="75"/>
  <c r="E12" i="22"/>
  <c r="D12" i="22"/>
  <c r="G24" i="36" l="1"/>
  <c r="AE107" i="79"/>
  <c r="I17" i="56"/>
  <c r="I18" i="56" s="1"/>
  <c r="D131" i="97"/>
  <c r="L127" i="79"/>
  <c r="L37" i="91" s="1"/>
  <c r="L128" i="79"/>
  <c r="L38" i="91" s="1"/>
  <c r="L129" i="79"/>
  <c r="L34" i="81" s="1"/>
  <c r="K127" i="79"/>
  <c r="K32" i="81" s="1"/>
  <c r="K128" i="79"/>
  <c r="K129" i="79"/>
  <c r="K34" i="81" s="1"/>
  <c r="L125" i="79"/>
  <c r="K126" i="79"/>
  <c r="K31" i="81" s="1"/>
  <c r="L126" i="79"/>
  <c r="J125" i="79"/>
  <c r="J30" i="81" s="1"/>
  <c r="J129" i="79"/>
  <c r="J34" i="81" s="1"/>
  <c r="E3" i="36"/>
  <c r="C15" i="83"/>
  <c r="D23" i="36"/>
  <c r="C15" i="77"/>
  <c r="D20" i="36"/>
  <c r="K29" i="22"/>
  <c r="K28" i="22"/>
  <c r="F143" i="22"/>
  <c r="D104" i="86"/>
  <c r="D93" i="90" s="1"/>
  <c r="D101" i="79"/>
  <c r="D6" i="81" s="1"/>
  <c r="D25" i="79"/>
  <c r="F142" i="22"/>
  <c r="F144" i="22"/>
  <c r="F145" i="85"/>
  <c r="J127" i="22"/>
  <c r="J8" i="91" s="1"/>
  <c r="G144" i="22"/>
  <c r="J128" i="22"/>
  <c r="J9" i="91" s="1"/>
  <c r="G145" i="22"/>
  <c r="D44" i="79"/>
  <c r="D82" i="79"/>
  <c r="L34" i="76"/>
  <c r="L25" i="91"/>
  <c r="L13" i="76"/>
  <c r="L30" i="90"/>
  <c r="K3" i="77"/>
  <c r="D21" i="91"/>
  <c r="L11" i="81"/>
  <c r="L45" i="90"/>
  <c r="L9" i="88"/>
  <c r="L93" i="90"/>
  <c r="K33" i="88"/>
  <c r="K80" i="91"/>
  <c r="L12" i="81"/>
  <c r="L46" i="90"/>
  <c r="L11" i="82"/>
  <c r="L78" i="90"/>
  <c r="J10" i="88"/>
  <c r="J94" i="90"/>
  <c r="K32" i="82"/>
  <c r="K65" i="91"/>
  <c r="L12" i="82"/>
  <c r="L79" i="90"/>
  <c r="L11" i="88"/>
  <c r="L95" i="90"/>
  <c r="L31" i="88"/>
  <c r="L78" i="91"/>
  <c r="L10" i="82"/>
  <c r="L77" i="90"/>
  <c r="K7" i="77"/>
  <c r="D25" i="91"/>
  <c r="L13" i="82"/>
  <c r="L80" i="90"/>
  <c r="L32" i="88"/>
  <c r="L79" i="91"/>
  <c r="L32" i="82"/>
  <c r="L65" i="91"/>
  <c r="L12" i="88"/>
  <c r="L96" i="90"/>
  <c r="K7" i="87"/>
  <c r="D81" i="91"/>
  <c r="L33" i="88"/>
  <c r="L80" i="91"/>
  <c r="K34" i="88"/>
  <c r="K81" i="91"/>
  <c r="L10" i="81"/>
  <c r="L44" i="90"/>
  <c r="J13" i="88"/>
  <c r="J97" i="90"/>
  <c r="K31" i="88"/>
  <c r="K78" i="91"/>
  <c r="L34" i="88"/>
  <c r="L81" i="91"/>
  <c r="J9" i="88"/>
  <c r="J93" i="90"/>
  <c r="L13" i="88"/>
  <c r="L97" i="90"/>
  <c r="K32" i="88"/>
  <c r="K79" i="91"/>
  <c r="K34" i="82"/>
  <c r="K67" i="91"/>
  <c r="K33" i="82"/>
  <c r="K66" i="91"/>
  <c r="L33" i="82"/>
  <c r="L66" i="91"/>
  <c r="L33" i="76"/>
  <c r="L24" i="91"/>
  <c r="L32" i="76"/>
  <c r="L23" i="91"/>
  <c r="L31" i="76"/>
  <c r="L22" i="91"/>
  <c r="J33" i="88"/>
  <c r="J80" i="91"/>
  <c r="J34" i="88"/>
  <c r="J81" i="91"/>
  <c r="J31" i="88"/>
  <c r="J78" i="91"/>
  <c r="K6" i="77"/>
  <c r="D24" i="91"/>
  <c r="D32" i="82"/>
  <c r="D65" i="91"/>
  <c r="K5" i="77"/>
  <c r="D23" i="91"/>
  <c r="L12" i="76"/>
  <c r="L29" i="90"/>
  <c r="L11" i="76"/>
  <c r="L28" i="90"/>
  <c r="L10" i="76"/>
  <c r="L27" i="90"/>
  <c r="H125" i="86"/>
  <c r="K26" i="79"/>
  <c r="Y26" i="79" s="1"/>
  <c r="K131" i="85"/>
  <c r="K69" i="91" s="1"/>
  <c r="K31" i="82"/>
  <c r="L131" i="86"/>
  <c r="L83" i="91" s="1"/>
  <c r="L30" i="88"/>
  <c r="H125" i="79"/>
  <c r="H128" i="85"/>
  <c r="H129" i="75"/>
  <c r="H129" i="85"/>
  <c r="G128" i="86"/>
  <c r="L131" i="75"/>
  <c r="L27" i="91" s="1"/>
  <c r="L30" i="76"/>
  <c r="L131" i="85"/>
  <c r="L69" i="91" s="1"/>
  <c r="L30" i="82"/>
  <c r="G126" i="86"/>
  <c r="K131" i="86"/>
  <c r="K83" i="91" s="1"/>
  <c r="H127" i="79"/>
  <c r="H129" i="79"/>
  <c r="M6" i="77"/>
  <c r="J128" i="75"/>
  <c r="M5" i="77"/>
  <c r="J127" i="75"/>
  <c r="M4" i="80"/>
  <c r="J126" i="79"/>
  <c r="M3" i="87"/>
  <c r="J125" i="86"/>
  <c r="M5" i="87"/>
  <c r="J127" i="86"/>
  <c r="M5" i="80"/>
  <c r="J127" i="79"/>
  <c r="G144" i="85"/>
  <c r="J127" i="85"/>
  <c r="M7" i="77"/>
  <c r="J129" i="75"/>
  <c r="M6" i="80"/>
  <c r="J128" i="79"/>
  <c r="G145" i="85"/>
  <c r="J128" i="85"/>
  <c r="M7" i="83"/>
  <c r="J129" i="85"/>
  <c r="M4" i="77"/>
  <c r="J126" i="75"/>
  <c r="M4" i="83"/>
  <c r="J126" i="85"/>
  <c r="M3" i="83"/>
  <c r="J125" i="85"/>
  <c r="M3" i="77"/>
  <c r="J125" i="75"/>
  <c r="M3" i="80"/>
  <c r="H125" i="75"/>
  <c r="H127" i="85"/>
  <c r="H126" i="85"/>
  <c r="H128" i="86"/>
  <c r="H129" i="86"/>
  <c r="H128" i="75"/>
  <c r="H126" i="75"/>
  <c r="H126" i="86"/>
  <c r="H127" i="75"/>
  <c r="H127" i="86"/>
  <c r="H126" i="79"/>
  <c r="H128" i="79"/>
  <c r="H125" i="85"/>
  <c r="G126" i="75"/>
  <c r="G128" i="75"/>
  <c r="G24" i="91" s="1"/>
  <c r="G126" i="79"/>
  <c r="G128" i="79"/>
  <c r="G128" i="85"/>
  <c r="G125" i="86"/>
  <c r="G127" i="86"/>
  <c r="G129" i="86"/>
  <c r="G129" i="85"/>
  <c r="G129" i="79"/>
  <c r="G127" i="75"/>
  <c r="G129" i="75"/>
  <c r="G25" i="91" s="1"/>
  <c r="G127" i="79"/>
  <c r="G125" i="85"/>
  <c r="G125" i="75"/>
  <c r="G125" i="79"/>
  <c r="G26" i="85"/>
  <c r="V26" i="85" s="1"/>
  <c r="V7" i="85"/>
  <c r="N60" i="85"/>
  <c r="AD60" i="85" s="1"/>
  <c r="G102" i="85"/>
  <c r="V102" i="85" s="1"/>
  <c r="E36" i="82"/>
  <c r="E45" i="82" s="1"/>
  <c r="Y107" i="79"/>
  <c r="G122" i="85"/>
  <c r="H125" i="22"/>
  <c r="K142" i="22" s="1"/>
  <c r="N79" i="79"/>
  <c r="AD79" i="79" s="1"/>
  <c r="N98" i="79"/>
  <c r="AD98" i="79" s="1"/>
  <c r="G143" i="79"/>
  <c r="N107" i="79"/>
  <c r="V7" i="86"/>
  <c r="D63" i="85"/>
  <c r="AD3" i="85"/>
  <c r="G45" i="85"/>
  <c r="V45" i="85" s="1"/>
  <c r="G64" i="85"/>
  <c r="V64" i="85" s="1"/>
  <c r="N41" i="79"/>
  <c r="AD41" i="79" s="1"/>
  <c r="D64" i="79"/>
  <c r="D25" i="85"/>
  <c r="N98" i="85"/>
  <c r="AD98" i="85" s="1"/>
  <c r="M117" i="85"/>
  <c r="N22" i="82" s="1"/>
  <c r="G143" i="86"/>
  <c r="M4" i="87"/>
  <c r="G145" i="86"/>
  <c r="M6" i="87"/>
  <c r="G146" i="86"/>
  <c r="M7" i="87"/>
  <c r="V7" i="79"/>
  <c r="G26" i="79"/>
  <c r="V26" i="79" s="1"/>
  <c r="G83" i="79"/>
  <c r="V83" i="79" s="1"/>
  <c r="G122" i="79"/>
  <c r="H27" i="81" s="1"/>
  <c r="G45" i="79"/>
  <c r="V45" i="79" s="1"/>
  <c r="G64" i="79"/>
  <c r="V64" i="79" s="1"/>
  <c r="K122" i="79"/>
  <c r="K27" i="81" s="1"/>
  <c r="K64" i="79"/>
  <c r="Y64" i="79" s="1"/>
  <c r="D45" i="79"/>
  <c r="D102" i="79"/>
  <c r="D7" i="81" s="1"/>
  <c r="Y7" i="79"/>
  <c r="D83" i="79"/>
  <c r="K83" i="79"/>
  <c r="Y83" i="79" s="1"/>
  <c r="V107" i="79"/>
  <c r="H105" i="79"/>
  <c r="N22" i="85"/>
  <c r="AD22" i="85" s="1"/>
  <c r="N41" i="85"/>
  <c r="AD41" i="85" s="1"/>
  <c r="M117" i="79"/>
  <c r="AD3" i="79"/>
  <c r="N22" i="79"/>
  <c r="AD22" i="79" s="1"/>
  <c r="K122" i="85"/>
  <c r="K27" i="82" s="1"/>
  <c r="K45" i="79"/>
  <c r="Y45" i="79" s="1"/>
  <c r="D44" i="86"/>
  <c r="K45" i="85"/>
  <c r="Y45" i="85" s="1"/>
  <c r="Y7" i="85"/>
  <c r="D102" i="85"/>
  <c r="D7" i="82" s="1"/>
  <c r="K64" i="85"/>
  <c r="Y64" i="85" s="1"/>
  <c r="AA105" i="79"/>
  <c r="E131" i="79"/>
  <c r="AD3" i="86"/>
  <c r="D105" i="79"/>
  <c r="W105" i="79"/>
  <c r="W71" i="79"/>
  <c r="U107" i="79"/>
  <c r="E105" i="79"/>
  <c r="X105" i="79"/>
  <c r="AE71" i="75"/>
  <c r="G144" i="79"/>
  <c r="AE52" i="86"/>
  <c r="D25" i="86"/>
  <c r="D101" i="86"/>
  <c r="D124" i="90" s="1"/>
  <c r="G64" i="86"/>
  <c r="V64" i="86" s="1"/>
  <c r="G83" i="86"/>
  <c r="V83" i="86" s="1"/>
  <c r="N79" i="86"/>
  <c r="AD79" i="86" s="1"/>
  <c r="Z90" i="86"/>
  <c r="G145" i="75"/>
  <c r="I105" i="79"/>
  <c r="AE105" i="79"/>
  <c r="E107" i="79"/>
  <c r="W107" i="79"/>
  <c r="G144" i="75"/>
  <c r="L109" i="85"/>
  <c r="L81" i="90" s="1"/>
  <c r="D83" i="86"/>
  <c r="R26" i="56"/>
  <c r="AF68" i="75"/>
  <c r="AB71" i="75"/>
  <c r="K70" i="86"/>
  <c r="M70" i="86" s="1"/>
  <c r="O70" i="86" s="1"/>
  <c r="E36" i="88"/>
  <c r="M117" i="75"/>
  <c r="N22" i="76" s="1"/>
  <c r="N60" i="86"/>
  <c r="AD60" i="86" s="1"/>
  <c r="N98" i="86"/>
  <c r="M117" i="86"/>
  <c r="N22" i="86"/>
  <c r="AD22" i="86" s="1"/>
  <c r="K45" i="86"/>
  <c r="Y45" i="86" s="1"/>
  <c r="K26" i="86"/>
  <c r="Y26" i="86" s="1"/>
  <c r="G102" i="86"/>
  <c r="G122" i="86"/>
  <c r="G26" i="86"/>
  <c r="V26" i="86" s="1"/>
  <c r="D82" i="86"/>
  <c r="D127" i="79"/>
  <c r="D125" i="86"/>
  <c r="R8" i="56"/>
  <c r="R9" i="56" s="1"/>
  <c r="G143" i="75"/>
  <c r="E131" i="86"/>
  <c r="E83" i="91" s="1"/>
  <c r="AF67" i="75"/>
  <c r="Z71" i="86"/>
  <c r="E71" i="86"/>
  <c r="H71" i="79"/>
  <c r="I26" i="56"/>
  <c r="N105" i="79"/>
  <c r="F107" i="79"/>
  <c r="X107" i="79"/>
  <c r="AB71" i="85"/>
  <c r="G4" i="87"/>
  <c r="Z90" i="75"/>
  <c r="L9" i="82"/>
  <c r="G5" i="87"/>
  <c r="V105" i="79"/>
  <c r="I107" i="79"/>
  <c r="I71" i="86"/>
  <c r="AB71" i="79"/>
  <c r="Z71" i="79"/>
  <c r="D64" i="86"/>
  <c r="F26" i="56"/>
  <c r="AE33" i="75"/>
  <c r="H71" i="75"/>
  <c r="W71" i="75"/>
  <c r="G146" i="75"/>
  <c r="G71" i="85"/>
  <c r="V71" i="85"/>
  <c r="AA71" i="85"/>
  <c r="E71" i="75"/>
  <c r="I71" i="75"/>
  <c r="X71" i="75"/>
  <c r="E71" i="79"/>
  <c r="I71" i="79"/>
  <c r="X71" i="79"/>
  <c r="AF69" i="75"/>
  <c r="G145" i="79"/>
  <c r="F105" i="79"/>
  <c r="M6" i="83"/>
  <c r="K68" i="86"/>
  <c r="M68" i="86" s="1"/>
  <c r="O68" i="86" s="1"/>
  <c r="G71" i="86"/>
  <c r="AD70" i="85"/>
  <c r="AF70" i="85" s="1"/>
  <c r="F71" i="75"/>
  <c r="U71" i="75"/>
  <c r="Y71" i="75"/>
  <c r="F71" i="79"/>
  <c r="Y71" i="79"/>
  <c r="AF70" i="75"/>
  <c r="G142" i="79"/>
  <c r="AF67" i="79"/>
  <c r="AF68" i="79"/>
  <c r="AF69" i="79"/>
  <c r="G105" i="79"/>
  <c r="U105" i="79"/>
  <c r="Y105" i="79"/>
  <c r="G107" i="79"/>
  <c r="M5" i="83"/>
  <c r="G142" i="86"/>
  <c r="W71" i="86"/>
  <c r="G71" i="75"/>
  <c r="V71" i="75"/>
  <c r="AA71" i="75"/>
  <c r="G71" i="79"/>
  <c r="V71" i="79"/>
  <c r="AA71" i="79"/>
  <c r="D107" i="79"/>
  <c r="H107" i="79"/>
  <c r="AE71" i="85"/>
  <c r="AD67" i="85"/>
  <c r="AF67" i="85" s="1"/>
  <c r="AB31" i="85"/>
  <c r="AD31" i="85"/>
  <c r="V33" i="79"/>
  <c r="F33" i="75"/>
  <c r="N33" i="75"/>
  <c r="X33" i="75"/>
  <c r="V33" i="86"/>
  <c r="E4" i="77"/>
  <c r="E6" i="77"/>
  <c r="E3" i="77"/>
  <c r="E5" i="77"/>
  <c r="E7" i="77"/>
  <c r="I33" i="75"/>
  <c r="W33" i="75"/>
  <c r="H33" i="79"/>
  <c r="E4" i="83"/>
  <c r="E5" i="83"/>
  <c r="E33" i="75"/>
  <c r="E7" i="83"/>
  <c r="H33" i="75"/>
  <c r="V33" i="75"/>
  <c r="AA33" i="75"/>
  <c r="F33" i="85"/>
  <c r="N33" i="85"/>
  <c r="X33" i="85"/>
  <c r="AB32" i="85"/>
  <c r="F33" i="79"/>
  <c r="N33" i="79"/>
  <c r="X33" i="79"/>
  <c r="E6" i="83"/>
  <c r="E3" i="83"/>
  <c r="Z33" i="79"/>
  <c r="E4" i="80"/>
  <c r="E6" i="80"/>
  <c r="K32" i="86"/>
  <c r="M32" i="86" s="1"/>
  <c r="O32" i="86" s="1"/>
  <c r="AE33" i="85"/>
  <c r="AD32" i="85"/>
  <c r="AA33" i="79"/>
  <c r="G33" i="79"/>
  <c r="U33" i="79"/>
  <c r="Y33" i="79"/>
  <c r="E33" i="79"/>
  <c r="I33" i="79"/>
  <c r="W33" i="79"/>
  <c r="AF31" i="86"/>
  <c r="Z33" i="75"/>
  <c r="E3" i="80"/>
  <c r="E5" i="80"/>
  <c r="H33" i="86"/>
  <c r="G33" i="75"/>
  <c r="Y33" i="75"/>
  <c r="G33" i="85"/>
  <c r="U33" i="85"/>
  <c r="Y33" i="85"/>
  <c r="AF30" i="79"/>
  <c r="Z33" i="86"/>
  <c r="AA33" i="86"/>
  <c r="F33" i="86"/>
  <c r="X33" i="86"/>
  <c r="F52" i="86"/>
  <c r="X52" i="86"/>
  <c r="N52" i="75"/>
  <c r="AE108" i="75"/>
  <c r="U52" i="75"/>
  <c r="Y52" i="75"/>
  <c r="E52" i="75"/>
  <c r="F107" i="86"/>
  <c r="F96" i="90" s="1"/>
  <c r="K50" i="86"/>
  <c r="M50" i="86" s="1"/>
  <c r="O50" i="86" s="1"/>
  <c r="F108" i="75"/>
  <c r="F30" i="90" s="1"/>
  <c r="N108" i="75"/>
  <c r="X108" i="75"/>
  <c r="K12" i="86"/>
  <c r="M12" i="86" s="1"/>
  <c r="O12" i="86" s="1"/>
  <c r="AA107" i="86"/>
  <c r="G108" i="75"/>
  <c r="U108" i="75"/>
  <c r="Y108" i="75"/>
  <c r="U107" i="86"/>
  <c r="Y107" i="86"/>
  <c r="H52" i="79"/>
  <c r="V52" i="79"/>
  <c r="Y52" i="86"/>
  <c r="H52" i="75"/>
  <c r="V52" i="75"/>
  <c r="AD51" i="85"/>
  <c r="AA52" i="75"/>
  <c r="F52" i="75"/>
  <c r="X52" i="75"/>
  <c r="I52" i="75"/>
  <c r="W52" i="75"/>
  <c r="AE52" i="75"/>
  <c r="G52" i="75"/>
  <c r="E108" i="75"/>
  <c r="E30" i="90" s="1"/>
  <c r="I108" i="75"/>
  <c r="W108" i="75"/>
  <c r="F52" i="79"/>
  <c r="V108" i="86"/>
  <c r="AB48" i="75"/>
  <c r="AF48" i="75" s="1"/>
  <c r="AB50" i="75"/>
  <c r="AF50" i="75" s="1"/>
  <c r="AB47" i="86"/>
  <c r="AB52" i="86" s="1"/>
  <c r="AF50" i="86"/>
  <c r="V107" i="86"/>
  <c r="AB51" i="85"/>
  <c r="G52" i="79"/>
  <c r="Y52" i="79"/>
  <c r="AF49" i="79"/>
  <c r="Z108" i="86"/>
  <c r="Z52" i="86"/>
  <c r="K48" i="86"/>
  <c r="M48" i="86" s="1"/>
  <c r="O48" i="86" s="1"/>
  <c r="G52" i="86"/>
  <c r="D108" i="75"/>
  <c r="AF50" i="79"/>
  <c r="Y104" i="86"/>
  <c r="K51" i="86"/>
  <c r="M51" i="86" s="1"/>
  <c r="O51" i="86" s="1"/>
  <c r="H108" i="75"/>
  <c r="V108" i="75"/>
  <c r="E52" i="79"/>
  <c r="I52" i="79"/>
  <c r="W52" i="79"/>
  <c r="G108" i="86"/>
  <c r="I8" i="56"/>
  <c r="I9" i="56" s="1"/>
  <c r="F8" i="56"/>
  <c r="F9" i="56" s="1"/>
  <c r="D32" i="88"/>
  <c r="K5" i="87"/>
  <c r="K6" i="87"/>
  <c r="D33" i="88"/>
  <c r="D30" i="82"/>
  <c r="K3" i="83"/>
  <c r="D34" i="82"/>
  <c r="K7" i="83"/>
  <c r="D33" i="82"/>
  <c r="K6" i="83"/>
  <c r="D31" i="82"/>
  <c r="K4" i="83"/>
  <c r="D31" i="88"/>
  <c r="K4" i="87"/>
  <c r="D126" i="75"/>
  <c r="K5" i="83"/>
  <c r="D34" i="88"/>
  <c r="L8" i="87"/>
  <c r="E35" i="81"/>
  <c r="K64" i="75"/>
  <c r="Y64" i="75" s="1"/>
  <c r="Y7" i="86"/>
  <c r="K64" i="86"/>
  <c r="Y64" i="86" s="1"/>
  <c r="K83" i="86"/>
  <c r="Y83" i="86" s="1"/>
  <c r="K102" i="86"/>
  <c r="G102" i="75"/>
  <c r="G7" i="76" s="1"/>
  <c r="V7" i="76" s="1"/>
  <c r="G64" i="75"/>
  <c r="V64" i="75" s="1"/>
  <c r="D26" i="85"/>
  <c r="D45" i="85"/>
  <c r="D64" i="85"/>
  <c r="D102" i="75"/>
  <c r="D7" i="76" s="1"/>
  <c r="D45" i="75"/>
  <c r="D82" i="85"/>
  <c r="D101" i="75"/>
  <c r="D6" i="76" s="1"/>
  <c r="D25" i="75"/>
  <c r="AD3" i="75"/>
  <c r="N79" i="75"/>
  <c r="AD79" i="75" s="1"/>
  <c r="N22" i="75"/>
  <c r="AD22" i="75" s="1"/>
  <c r="N60" i="75"/>
  <c r="AD60" i="75" s="1"/>
  <c r="N98" i="75"/>
  <c r="N3" i="76" s="1"/>
  <c r="AD3" i="76" s="1"/>
  <c r="Y102" i="85"/>
  <c r="K7" i="82"/>
  <c r="Y7" i="75"/>
  <c r="K26" i="85"/>
  <c r="Y26" i="85" s="1"/>
  <c r="K83" i="85"/>
  <c r="Y83" i="85" s="1"/>
  <c r="K26" i="75"/>
  <c r="Y26" i="75" s="1"/>
  <c r="K45" i="75"/>
  <c r="Y45" i="75" s="1"/>
  <c r="K83" i="75"/>
  <c r="Y83" i="75" s="1"/>
  <c r="K102" i="75"/>
  <c r="K7" i="76" s="1"/>
  <c r="Y7" i="76" s="1"/>
  <c r="G26" i="75"/>
  <c r="V26" i="75" s="1"/>
  <c r="G122" i="75"/>
  <c r="H27" i="76" s="1"/>
  <c r="V7" i="75"/>
  <c r="G45" i="75"/>
  <c r="V45" i="75" s="1"/>
  <c r="D102" i="86"/>
  <c r="D125" i="90" s="1"/>
  <c r="D26" i="75"/>
  <c r="D64" i="75"/>
  <c r="D26" i="86"/>
  <c r="D44" i="85"/>
  <c r="D44" i="75"/>
  <c r="D63" i="75"/>
  <c r="AB90" i="86"/>
  <c r="AA71" i="86"/>
  <c r="H108" i="86"/>
  <c r="G144" i="86"/>
  <c r="F71" i="86"/>
  <c r="U71" i="86"/>
  <c r="Y71" i="86"/>
  <c r="H71" i="86"/>
  <c r="K66" i="86"/>
  <c r="M66" i="86" s="1"/>
  <c r="U104" i="86"/>
  <c r="D108" i="86"/>
  <c r="D97" i="90" s="1"/>
  <c r="H52" i="86"/>
  <c r="V52" i="86"/>
  <c r="AA52" i="86"/>
  <c r="W107" i="86"/>
  <c r="AF48" i="86"/>
  <c r="E52" i="86"/>
  <c r="I52" i="86"/>
  <c r="W52" i="86"/>
  <c r="I108" i="86"/>
  <c r="G33" i="86"/>
  <c r="AF30" i="86"/>
  <c r="AE33" i="86"/>
  <c r="I33" i="86"/>
  <c r="E33" i="86"/>
  <c r="W33" i="86"/>
  <c r="G104" i="86"/>
  <c r="C9" i="87"/>
  <c r="C15" i="87" s="1"/>
  <c r="J107" i="86"/>
  <c r="AD12" i="86"/>
  <c r="K13" i="86"/>
  <c r="M13" i="86" s="1"/>
  <c r="O13" i="86" s="1"/>
  <c r="E108" i="86"/>
  <c r="E97" i="90" s="1"/>
  <c r="AF29" i="86"/>
  <c r="AF49" i="86"/>
  <c r="E104" i="86"/>
  <c r="K9" i="86"/>
  <c r="I104" i="86"/>
  <c r="AE108" i="86"/>
  <c r="AE97" i="90" s="1"/>
  <c r="AD13" i="86"/>
  <c r="AF13" i="86" s="1"/>
  <c r="AF32" i="86"/>
  <c r="AE104" i="86"/>
  <c r="AE93" i="90" s="1"/>
  <c r="AD9" i="86"/>
  <c r="L105" i="86"/>
  <c r="L14" i="86"/>
  <c r="Z10" i="86"/>
  <c r="Z105" i="86" s="1"/>
  <c r="N107" i="86"/>
  <c r="N96" i="90" s="1"/>
  <c r="AB12" i="86"/>
  <c r="AB107" i="86" s="1"/>
  <c r="V104" i="86"/>
  <c r="Z104" i="86"/>
  <c r="AB33" i="86"/>
  <c r="F142" i="86"/>
  <c r="D33" i="86"/>
  <c r="N52" i="86"/>
  <c r="AF67" i="86"/>
  <c r="F104" i="86"/>
  <c r="N104" i="86"/>
  <c r="N93" i="90" s="1"/>
  <c r="W104" i="86"/>
  <c r="AA104" i="86"/>
  <c r="G107" i="86"/>
  <c r="X107" i="86"/>
  <c r="F108" i="86"/>
  <c r="F97" i="90" s="1"/>
  <c r="N108" i="86"/>
  <c r="N97" i="90" s="1"/>
  <c r="W108" i="86"/>
  <c r="AA108" i="86"/>
  <c r="AD28" i="86"/>
  <c r="AD33" i="86" s="1"/>
  <c r="F143" i="86"/>
  <c r="K29" i="86"/>
  <c r="M29" i="86" s="1"/>
  <c r="O29" i="86" s="1"/>
  <c r="N33" i="86"/>
  <c r="K47" i="86"/>
  <c r="AD47" i="86"/>
  <c r="AD52" i="86" s="1"/>
  <c r="K49" i="86"/>
  <c r="M49" i="86" s="1"/>
  <c r="O49" i="86" s="1"/>
  <c r="AF51" i="86"/>
  <c r="D52" i="86"/>
  <c r="X71" i="86"/>
  <c r="AB71" i="86"/>
  <c r="E90" i="86"/>
  <c r="AE90" i="86"/>
  <c r="AF86" i="86"/>
  <c r="AF89" i="86"/>
  <c r="X104" i="86"/>
  <c r="Z106" i="86"/>
  <c r="D107" i="86"/>
  <c r="D96" i="90" s="1"/>
  <c r="H107" i="86"/>
  <c r="X108" i="86"/>
  <c r="AB108" i="86"/>
  <c r="J14" i="86"/>
  <c r="K28" i="86"/>
  <c r="U33" i="86"/>
  <c r="Y33" i="86"/>
  <c r="F144" i="86"/>
  <c r="K30" i="86"/>
  <c r="M30" i="86" s="1"/>
  <c r="O30" i="86" s="1"/>
  <c r="U52" i="86"/>
  <c r="AE71" i="86"/>
  <c r="AD66" i="86"/>
  <c r="AD71" i="86" s="1"/>
  <c r="K67" i="86"/>
  <c r="M67" i="86" s="1"/>
  <c r="O67" i="86" s="1"/>
  <c r="K69" i="86"/>
  <c r="M69" i="86" s="1"/>
  <c r="O69" i="86" s="1"/>
  <c r="F90" i="86"/>
  <c r="J90" i="86"/>
  <c r="AD85" i="86"/>
  <c r="AF85" i="86" s="1"/>
  <c r="AF69" i="86"/>
  <c r="D71" i="86"/>
  <c r="H104" i="86"/>
  <c r="J106" i="86"/>
  <c r="E107" i="86"/>
  <c r="E96" i="90" s="1"/>
  <c r="I107" i="86"/>
  <c r="Z12" i="86"/>
  <c r="AE107" i="86"/>
  <c r="U108" i="86"/>
  <c r="Y108" i="86"/>
  <c r="F145" i="86"/>
  <c r="K31" i="86"/>
  <c r="M31" i="86" s="1"/>
  <c r="O31" i="86" s="1"/>
  <c r="F146" i="86"/>
  <c r="V71" i="86"/>
  <c r="AF68" i="86"/>
  <c r="AF70" i="86"/>
  <c r="AF87" i="86"/>
  <c r="K85" i="86"/>
  <c r="K86" i="86"/>
  <c r="M86" i="86" s="1"/>
  <c r="O86" i="86" s="1"/>
  <c r="AD88" i="86"/>
  <c r="AF88" i="86" s="1"/>
  <c r="H142" i="86"/>
  <c r="D90" i="86"/>
  <c r="K87" i="86"/>
  <c r="M87" i="86" s="1"/>
  <c r="O87" i="86" s="1"/>
  <c r="H144" i="86"/>
  <c r="H146" i="86"/>
  <c r="K89" i="86"/>
  <c r="M89" i="86" s="1"/>
  <c r="O89" i="86" s="1"/>
  <c r="N90" i="86"/>
  <c r="W90" i="86"/>
  <c r="Y92" i="86" s="1"/>
  <c r="AA90" i="86"/>
  <c r="H145" i="86"/>
  <c r="K88" i="86"/>
  <c r="M88" i="86" s="1"/>
  <c r="O88" i="86" s="1"/>
  <c r="E147" i="86"/>
  <c r="H143" i="86"/>
  <c r="G146" i="85"/>
  <c r="G143" i="85"/>
  <c r="G142" i="85"/>
  <c r="H71" i="85"/>
  <c r="W71" i="85"/>
  <c r="H33" i="85"/>
  <c r="AA33" i="85"/>
  <c r="E33" i="85"/>
  <c r="I33" i="85"/>
  <c r="W33" i="85"/>
  <c r="V33" i="85"/>
  <c r="AF30" i="75"/>
  <c r="AD51" i="79"/>
  <c r="AE52" i="79"/>
  <c r="F31" i="22"/>
  <c r="N31" i="22"/>
  <c r="X31" i="22"/>
  <c r="D32" i="22"/>
  <c r="H32" i="22"/>
  <c r="V32" i="22"/>
  <c r="AA32" i="22"/>
  <c r="AA108" i="22" s="1"/>
  <c r="X51" i="22"/>
  <c r="D66" i="22"/>
  <c r="H66" i="22"/>
  <c r="W66" i="22"/>
  <c r="AE66" i="22"/>
  <c r="G67" i="22"/>
  <c r="V67" i="22"/>
  <c r="D70" i="22"/>
  <c r="H70" i="22"/>
  <c r="W70" i="22"/>
  <c r="AE70" i="22"/>
  <c r="AD70" i="22" s="1"/>
  <c r="D33" i="75"/>
  <c r="Z52" i="75"/>
  <c r="AA52" i="79"/>
  <c r="AF29" i="85"/>
  <c r="E7" i="80"/>
  <c r="F146" i="79"/>
  <c r="E71" i="85"/>
  <c r="I71" i="85"/>
  <c r="X71" i="85"/>
  <c r="M7" i="80"/>
  <c r="G146" i="79"/>
  <c r="G31" i="22"/>
  <c r="U31" i="22"/>
  <c r="Y31" i="22"/>
  <c r="E32" i="22"/>
  <c r="I32" i="22"/>
  <c r="W32" i="22"/>
  <c r="AE32" i="22"/>
  <c r="U51" i="22"/>
  <c r="Y51" i="22"/>
  <c r="E66" i="22"/>
  <c r="I66" i="22"/>
  <c r="X66" i="22"/>
  <c r="D67" i="22"/>
  <c r="H67" i="22"/>
  <c r="W67" i="22"/>
  <c r="AE67" i="22"/>
  <c r="AD67" i="22" s="1"/>
  <c r="E70" i="22"/>
  <c r="I70" i="22"/>
  <c r="X70" i="22"/>
  <c r="Z107" i="75"/>
  <c r="Z71" i="75"/>
  <c r="AA108" i="75"/>
  <c r="AA14" i="79"/>
  <c r="AE33" i="79"/>
  <c r="AD32" i="79"/>
  <c r="AF32" i="79" s="1"/>
  <c r="F71" i="85"/>
  <c r="Y71" i="85"/>
  <c r="AD70" i="79"/>
  <c r="AF70" i="79" s="1"/>
  <c r="AE71" i="79"/>
  <c r="D31" i="22"/>
  <c r="H31" i="22"/>
  <c r="V31" i="22"/>
  <c r="AA31" i="22"/>
  <c r="F32" i="22"/>
  <c r="N32" i="22"/>
  <c r="X32" i="22"/>
  <c r="V51" i="22"/>
  <c r="F66" i="22"/>
  <c r="U66" i="22"/>
  <c r="Y66" i="22"/>
  <c r="E67" i="22"/>
  <c r="I67" i="22"/>
  <c r="X67" i="22"/>
  <c r="F70" i="22"/>
  <c r="U70" i="22"/>
  <c r="Y70" i="22"/>
  <c r="G142" i="75"/>
  <c r="N52" i="79"/>
  <c r="AB51" i="79"/>
  <c r="X52" i="79"/>
  <c r="E31" i="22"/>
  <c r="I31" i="22"/>
  <c r="W31" i="22"/>
  <c r="AE31" i="22"/>
  <c r="G32" i="22"/>
  <c r="U32" i="22"/>
  <c r="Y32" i="22"/>
  <c r="W51" i="22"/>
  <c r="AE51" i="22"/>
  <c r="G66" i="22"/>
  <c r="V66" i="22"/>
  <c r="F67" i="22"/>
  <c r="U67" i="22"/>
  <c r="Y67" i="22"/>
  <c r="G70" i="22"/>
  <c r="V70" i="22"/>
  <c r="O8" i="56"/>
  <c r="O9" i="56" s="1"/>
  <c r="Z52" i="79"/>
  <c r="R17" i="56"/>
  <c r="G7" i="81"/>
  <c r="V7" i="81" s="1"/>
  <c r="D128" i="79"/>
  <c r="K7" i="81"/>
  <c r="Y7" i="81" s="1"/>
  <c r="D125" i="79"/>
  <c r="D129" i="79"/>
  <c r="D126" i="79"/>
  <c r="L9" i="80"/>
  <c r="M21" i="36" s="1"/>
  <c r="Z33" i="85"/>
  <c r="Z52" i="85"/>
  <c r="Z71" i="85"/>
  <c r="AF69" i="85"/>
  <c r="AF68" i="85"/>
  <c r="AF30" i="85"/>
  <c r="D33" i="85"/>
  <c r="F142" i="85"/>
  <c r="F146" i="85"/>
  <c r="Z9" i="85"/>
  <c r="Z11" i="85"/>
  <c r="Z106" i="85" s="1"/>
  <c r="AD12" i="85"/>
  <c r="K13" i="85"/>
  <c r="M13" i="85" s="1"/>
  <c r="O13" i="85" s="1"/>
  <c r="Z13" i="85"/>
  <c r="Z108" i="85" s="1"/>
  <c r="AB13" i="85"/>
  <c r="J14" i="85"/>
  <c r="L14" i="85"/>
  <c r="K28" i="85"/>
  <c r="AD28" i="85"/>
  <c r="K32" i="85"/>
  <c r="M32" i="85" s="1"/>
  <c r="O32" i="85" s="1"/>
  <c r="F143" i="85"/>
  <c r="F144" i="85"/>
  <c r="Z10" i="85"/>
  <c r="Z105" i="85" s="1"/>
  <c r="K12" i="85"/>
  <c r="M12" i="85" s="1"/>
  <c r="O12" i="85" s="1"/>
  <c r="Z12" i="85"/>
  <c r="Z107" i="85" s="1"/>
  <c r="AB12" i="85"/>
  <c r="AD13" i="85"/>
  <c r="AB28" i="85"/>
  <c r="K29" i="85"/>
  <c r="M29" i="85" s="1"/>
  <c r="O29" i="85" s="1"/>
  <c r="K30" i="85"/>
  <c r="M30" i="85" s="1"/>
  <c r="O30" i="85" s="1"/>
  <c r="K31" i="85"/>
  <c r="M31" i="85" s="1"/>
  <c r="O31" i="85" s="1"/>
  <c r="K66" i="85"/>
  <c r="K67" i="85"/>
  <c r="M67" i="85" s="1"/>
  <c r="O67" i="85" s="1"/>
  <c r="K68" i="85"/>
  <c r="M68" i="85" s="1"/>
  <c r="O68" i="85" s="1"/>
  <c r="K69" i="85"/>
  <c r="M69" i="85" s="1"/>
  <c r="O69" i="85" s="1"/>
  <c r="K70" i="85"/>
  <c r="M70" i="85" s="1"/>
  <c r="O70" i="85" s="1"/>
  <c r="D71" i="85"/>
  <c r="U71" i="85"/>
  <c r="E147" i="85"/>
  <c r="K51" i="85"/>
  <c r="M51" i="85" s="1"/>
  <c r="O51" i="85" s="1"/>
  <c r="AD66" i="85"/>
  <c r="L9" i="81"/>
  <c r="O8" i="80"/>
  <c r="P8" i="80" s="1"/>
  <c r="AF29" i="79"/>
  <c r="AF31" i="79"/>
  <c r="F143" i="79"/>
  <c r="F144" i="79"/>
  <c r="F145" i="79"/>
  <c r="Z10" i="79"/>
  <c r="Z105" i="79" s="1"/>
  <c r="AB10" i="79"/>
  <c r="AB105" i="79" s="1"/>
  <c r="Z12" i="79"/>
  <c r="Z107" i="79" s="1"/>
  <c r="AB12" i="79"/>
  <c r="AB107" i="79" s="1"/>
  <c r="E14" i="79"/>
  <c r="G14" i="79"/>
  <c r="I14" i="79"/>
  <c r="V14" i="79"/>
  <c r="X14" i="79"/>
  <c r="AE14" i="79"/>
  <c r="AB28" i="79"/>
  <c r="AB33" i="79" s="1"/>
  <c r="K29" i="79"/>
  <c r="M29" i="79" s="1"/>
  <c r="O29" i="79" s="1"/>
  <c r="K30" i="79"/>
  <c r="M30" i="79" s="1"/>
  <c r="O30" i="79" s="1"/>
  <c r="K31" i="79"/>
  <c r="M31" i="79" s="1"/>
  <c r="O31" i="79" s="1"/>
  <c r="D33" i="79"/>
  <c r="F142" i="79"/>
  <c r="Z9" i="79"/>
  <c r="AB9" i="79"/>
  <c r="Z11" i="79"/>
  <c r="AB11" i="79"/>
  <c r="Z13" i="79"/>
  <c r="AB13" i="79"/>
  <c r="D14" i="79"/>
  <c r="F14" i="79"/>
  <c r="H14" i="79"/>
  <c r="L14" i="79"/>
  <c r="N14" i="79"/>
  <c r="U14" i="79"/>
  <c r="W14" i="79"/>
  <c r="Y14" i="79"/>
  <c r="K28" i="79"/>
  <c r="AF48" i="79"/>
  <c r="AF86" i="79"/>
  <c r="AF88" i="79"/>
  <c r="K32" i="79"/>
  <c r="M32" i="79" s="1"/>
  <c r="O32" i="79" s="1"/>
  <c r="AB47" i="79"/>
  <c r="K48" i="79"/>
  <c r="M48" i="79" s="1"/>
  <c r="O48" i="79" s="1"/>
  <c r="K50" i="79"/>
  <c r="M50" i="79" s="1"/>
  <c r="O50" i="79" s="1"/>
  <c r="D52" i="79"/>
  <c r="U52" i="79"/>
  <c r="K66" i="79"/>
  <c r="K67" i="79"/>
  <c r="M67" i="79" s="1"/>
  <c r="O67" i="79" s="1"/>
  <c r="K68" i="79"/>
  <c r="M68" i="79" s="1"/>
  <c r="O68" i="79" s="1"/>
  <c r="K69" i="79"/>
  <c r="M69" i="79" s="1"/>
  <c r="O69" i="79" s="1"/>
  <c r="K70" i="79"/>
  <c r="M70" i="79" s="1"/>
  <c r="O70" i="79" s="1"/>
  <c r="D71" i="79"/>
  <c r="U71" i="79"/>
  <c r="E147" i="79"/>
  <c r="K47" i="79"/>
  <c r="AD47" i="79"/>
  <c r="K49" i="79"/>
  <c r="M49" i="79" s="1"/>
  <c r="O49" i="79" s="1"/>
  <c r="K51" i="79"/>
  <c r="M51" i="79" s="1"/>
  <c r="O51" i="79" s="1"/>
  <c r="AD66" i="79"/>
  <c r="K86" i="79"/>
  <c r="M86" i="79" s="1"/>
  <c r="O86" i="79" s="1"/>
  <c r="K88" i="79"/>
  <c r="M88" i="79" s="1"/>
  <c r="O88" i="79" s="1"/>
  <c r="L9" i="77"/>
  <c r="M20" i="36" s="1"/>
  <c r="N8" i="77"/>
  <c r="O8" i="77" s="1"/>
  <c r="P8" i="77" s="1"/>
  <c r="AF29" i="75"/>
  <c r="AF31" i="75"/>
  <c r="AF32" i="75"/>
  <c r="AF49" i="75"/>
  <c r="AF51" i="75"/>
  <c r="L109" i="75"/>
  <c r="L31" i="90" s="1"/>
  <c r="L9" i="76"/>
  <c r="F143" i="75"/>
  <c r="F144" i="75"/>
  <c r="F145" i="75"/>
  <c r="Z10" i="75"/>
  <c r="Z105" i="75" s="1"/>
  <c r="AB28" i="75"/>
  <c r="AB33" i="75" s="1"/>
  <c r="K29" i="75"/>
  <c r="M29" i="75" s="1"/>
  <c r="O29" i="75" s="1"/>
  <c r="K30" i="75"/>
  <c r="M30" i="75" s="1"/>
  <c r="O30" i="75" s="1"/>
  <c r="K31" i="75"/>
  <c r="M31" i="75" s="1"/>
  <c r="O31" i="75" s="1"/>
  <c r="U33" i="75"/>
  <c r="K47" i="75"/>
  <c r="AD47" i="75"/>
  <c r="AD52" i="75" s="1"/>
  <c r="K49" i="75"/>
  <c r="M49" i="75" s="1"/>
  <c r="O49" i="75" s="1"/>
  <c r="K51" i="75"/>
  <c r="M51" i="75" s="1"/>
  <c r="O51" i="75" s="1"/>
  <c r="AD66" i="75"/>
  <c r="AD71" i="75" s="1"/>
  <c r="AF89" i="75"/>
  <c r="AG89" i="75" s="1"/>
  <c r="AH89" i="75" s="1"/>
  <c r="F142" i="75"/>
  <c r="F146" i="75"/>
  <c r="H146" i="75"/>
  <c r="G7" i="77" s="1"/>
  <c r="Z9" i="75"/>
  <c r="Z11" i="75"/>
  <c r="Z106" i="75" s="1"/>
  <c r="Z13" i="75"/>
  <c r="Z108" i="75" s="1"/>
  <c r="AB13" i="75"/>
  <c r="AB108" i="75" s="1"/>
  <c r="L14" i="75"/>
  <c r="K28" i="75"/>
  <c r="AD28" i="75"/>
  <c r="AD33" i="75" s="1"/>
  <c r="K32" i="75"/>
  <c r="M32" i="75" s="1"/>
  <c r="O32" i="75" s="1"/>
  <c r="AB47" i="75"/>
  <c r="K48" i="75"/>
  <c r="M48" i="75" s="1"/>
  <c r="O48" i="75" s="1"/>
  <c r="K50" i="75"/>
  <c r="M50" i="75" s="1"/>
  <c r="O50" i="75" s="1"/>
  <c r="D52" i="75"/>
  <c r="K66" i="75"/>
  <c r="K67" i="75"/>
  <c r="M67" i="75" s="1"/>
  <c r="O67" i="75" s="1"/>
  <c r="K68" i="75"/>
  <c r="M68" i="75" s="1"/>
  <c r="O68" i="75" s="1"/>
  <c r="K69" i="75"/>
  <c r="M69" i="75" s="1"/>
  <c r="O69" i="75" s="1"/>
  <c r="K70" i="75"/>
  <c r="M70" i="75" s="1"/>
  <c r="O70" i="75" s="1"/>
  <c r="D71" i="75"/>
  <c r="E131" i="75"/>
  <c r="E27" i="91" s="1"/>
  <c r="E147" i="75"/>
  <c r="Y12" i="75"/>
  <c r="X12" i="75"/>
  <c r="W12" i="75"/>
  <c r="V12" i="75"/>
  <c r="U12" i="75"/>
  <c r="N12" i="75"/>
  <c r="I12" i="75"/>
  <c r="H12" i="75"/>
  <c r="G12" i="75"/>
  <c r="F12" i="75"/>
  <c r="Y12" i="22"/>
  <c r="X12" i="22"/>
  <c r="W12" i="22"/>
  <c r="V12" i="22"/>
  <c r="U12" i="22"/>
  <c r="I12" i="22"/>
  <c r="H12" i="22"/>
  <c r="G12" i="22"/>
  <c r="F12" i="22"/>
  <c r="AA11" i="86"/>
  <c r="AA106" i="86" s="1"/>
  <c r="Y11" i="86"/>
  <c r="X11" i="86"/>
  <c r="X106" i="86" s="1"/>
  <c r="W11" i="86"/>
  <c r="W106" i="86" s="1"/>
  <c r="V11" i="86"/>
  <c r="V106" i="86" s="1"/>
  <c r="U11" i="86"/>
  <c r="U106" i="86" s="1"/>
  <c r="N11" i="86"/>
  <c r="AB11" i="86" s="1"/>
  <c r="AB106" i="86" s="1"/>
  <c r="I11" i="86"/>
  <c r="I106" i="86" s="1"/>
  <c r="H11" i="86"/>
  <c r="H106" i="86" s="1"/>
  <c r="G11" i="86"/>
  <c r="G106" i="86" s="1"/>
  <c r="F11" i="86"/>
  <c r="F106" i="86" s="1"/>
  <c r="F95" i="90" s="1"/>
  <c r="E11" i="86"/>
  <c r="E106" i="86" s="1"/>
  <c r="E95" i="90" s="1"/>
  <c r="AE11" i="86"/>
  <c r="AD11" i="86" s="1"/>
  <c r="D11" i="86"/>
  <c r="Y11" i="85"/>
  <c r="X11" i="85"/>
  <c r="W11" i="85"/>
  <c r="V11" i="85"/>
  <c r="U11" i="85"/>
  <c r="N11" i="85"/>
  <c r="I11" i="85"/>
  <c r="H11" i="85"/>
  <c r="G11" i="85"/>
  <c r="F11" i="85"/>
  <c r="E11" i="85"/>
  <c r="D11" i="85"/>
  <c r="Y11" i="75"/>
  <c r="X11" i="75"/>
  <c r="W11" i="75"/>
  <c r="V11" i="75"/>
  <c r="U11" i="75"/>
  <c r="N11" i="75"/>
  <c r="I11" i="75"/>
  <c r="H11" i="75"/>
  <c r="G11" i="75"/>
  <c r="F11" i="75"/>
  <c r="E11" i="75"/>
  <c r="D11" i="75"/>
  <c r="Y11" i="22"/>
  <c r="X11" i="22"/>
  <c r="W11" i="22"/>
  <c r="V11" i="22"/>
  <c r="U11" i="22"/>
  <c r="I11" i="22"/>
  <c r="H11" i="22"/>
  <c r="G11" i="22"/>
  <c r="F11" i="22"/>
  <c r="E11" i="22"/>
  <c r="D11" i="22"/>
  <c r="Y49" i="85"/>
  <c r="X49" i="85"/>
  <c r="W49" i="85"/>
  <c r="V49" i="85"/>
  <c r="U49" i="85"/>
  <c r="N49" i="85"/>
  <c r="I49" i="85"/>
  <c r="H49" i="85"/>
  <c r="G49" i="85"/>
  <c r="F49" i="85"/>
  <c r="E49" i="85"/>
  <c r="D49" i="85"/>
  <c r="Y10" i="86"/>
  <c r="Y105" i="86" s="1"/>
  <c r="X10" i="86"/>
  <c r="X105" i="86" s="1"/>
  <c r="W10" i="86"/>
  <c r="W105" i="86" s="1"/>
  <c r="V10" i="86"/>
  <c r="V105" i="86" s="1"/>
  <c r="U10" i="86"/>
  <c r="N10" i="86"/>
  <c r="AB10" i="86" s="1"/>
  <c r="AB105" i="86" s="1"/>
  <c r="I10" i="86"/>
  <c r="H10" i="86"/>
  <c r="G10" i="86"/>
  <c r="F10" i="86"/>
  <c r="E10" i="86"/>
  <c r="E105" i="86" s="1"/>
  <c r="E94" i="90" s="1"/>
  <c r="AE10" i="86"/>
  <c r="AD10" i="86" s="1"/>
  <c r="D10" i="86"/>
  <c r="D105" i="86" s="1"/>
  <c r="D94" i="90" s="1"/>
  <c r="Y48" i="85"/>
  <c r="X48" i="85"/>
  <c r="W48" i="85"/>
  <c r="V48" i="85"/>
  <c r="U48" i="85"/>
  <c r="N48" i="85"/>
  <c r="I48" i="85"/>
  <c r="H48" i="85"/>
  <c r="G48" i="85"/>
  <c r="F48" i="85"/>
  <c r="E48" i="85"/>
  <c r="D48" i="85"/>
  <c r="Y10" i="85"/>
  <c r="X10" i="85"/>
  <c r="W10" i="85"/>
  <c r="V10" i="85"/>
  <c r="U10" i="85"/>
  <c r="N10" i="85"/>
  <c r="AB10" i="85" s="1"/>
  <c r="I10" i="85"/>
  <c r="H10" i="85"/>
  <c r="G10" i="85"/>
  <c r="F10" i="85"/>
  <c r="E10" i="85"/>
  <c r="AD10" i="85"/>
  <c r="D10" i="85"/>
  <c r="E10" i="75"/>
  <c r="Y10" i="75"/>
  <c r="X10" i="75"/>
  <c r="W10" i="75"/>
  <c r="V10" i="75"/>
  <c r="U10" i="75"/>
  <c r="N10" i="75"/>
  <c r="I10" i="75"/>
  <c r="H10" i="75"/>
  <c r="G10" i="75"/>
  <c r="F10" i="75"/>
  <c r="D10" i="75"/>
  <c r="Y9" i="85"/>
  <c r="X9" i="85"/>
  <c r="W9" i="85"/>
  <c r="V9" i="85"/>
  <c r="U9" i="85"/>
  <c r="N9" i="85"/>
  <c r="I9" i="85"/>
  <c r="H9" i="85"/>
  <c r="G9" i="85"/>
  <c r="F9" i="85"/>
  <c r="E9" i="85"/>
  <c r="AE9" i="85"/>
  <c r="D9" i="85"/>
  <c r="Y9" i="75"/>
  <c r="X9" i="75"/>
  <c r="W9" i="75"/>
  <c r="V9" i="75"/>
  <c r="U9" i="75"/>
  <c r="N9" i="75"/>
  <c r="I9" i="75"/>
  <c r="H9" i="75"/>
  <c r="G9" i="75"/>
  <c r="F9" i="75"/>
  <c r="E9" i="75"/>
  <c r="D9" i="75"/>
  <c r="Y9" i="22"/>
  <c r="X9" i="22"/>
  <c r="W9" i="22"/>
  <c r="V9" i="22"/>
  <c r="U9" i="22"/>
  <c r="I9" i="22"/>
  <c r="H9" i="22"/>
  <c r="G9" i="22"/>
  <c r="F9" i="22"/>
  <c r="E9" i="22"/>
  <c r="D55" i="91" l="1"/>
  <c r="I31" i="36"/>
  <c r="D24" i="36"/>
  <c r="D25" i="36" s="1"/>
  <c r="D145" i="79"/>
  <c r="L39" i="91"/>
  <c r="G143" i="22"/>
  <c r="J126" i="22"/>
  <c r="J7" i="91" s="1"/>
  <c r="K39" i="91"/>
  <c r="K33" i="81"/>
  <c r="K36" i="81" s="1"/>
  <c r="L31" i="81"/>
  <c r="D36" i="91"/>
  <c r="D39" i="91"/>
  <c r="K131" i="79"/>
  <c r="K41" i="91" s="1"/>
  <c r="D35" i="91"/>
  <c r="D36" i="99"/>
  <c r="D46" i="99" s="1"/>
  <c r="K37" i="91"/>
  <c r="K36" i="91"/>
  <c r="K38" i="91"/>
  <c r="L36" i="91"/>
  <c r="K131" i="97"/>
  <c r="K36" i="99"/>
  <c r="L131" i="97"/>
  <c r="L55" i="91" s="1"/>
  <c r="L35" i="91"/>
  <c r="L36" i="99"/>
  <c r="L30" i="81"/>
  <c r="L131" i="79"/>
  <c r="L41" i="91" s="1"/>
  <c r="L33" i="81"/>
  <c r="L32" i="81"/>
  <c r="J39" i="91"/>
  <c r="J35" i="91"/>
  <c r="J36" i="91"/>
  <c r="J36" i="99"/>
  <c r="J46" i="99" s="1"/>
  <c r="M9" i="98"/>
  <c r="N22" i="36" s="1"/>
  <c r="E9" i="98"/>
  <c r="F22" i="36" s="1"/>
  <c r="H36" i="99"/>
  <c r="H46" i="99" s="1"/>
  <c r="E44" i="90"/>
  <c r="F46" i="90"/>
  <c r="D46" i="90"/>
  <c r="G38" i="91"/>
  <c r="H6" i="98"/>
  <c r="G36" i="91"/>
  <c r="H4" i="98"/>
  <c r="F44" i="90"/>
  <c r="Z46" i="90"/>
  <c r="AF12" i="99"/>
  <c r="E46" i="90"/>
  <c r="G39" i="91"/>
  <c r="E9" i="77"/>
  <c r="F20" i="36" s="1"/>
  <c r="E9" i="83"/>
  <c r="F23" i="36" s="1"/>
  <c r="F145" i="22"/>
  <c r="J33" i="39"/>
  <c r="J32" i="39"/>
  <c r="F146" i="22"/>
  <c r="J125" i="22"/>
  <c r="J6" i="91" s="1"/>
  <c r="G142" i="22"/>
  <c r="J129" i="22"/>
  <c r="J10" i="91" s="1"/>
  <c r="G146" i="22"/>
  <c r="H128" i="22"/>
  <c r="K145" i="22" s="1"/>
  <c r="L36" i="76"/>
  <c r="L14" i="76"/>
  <c r="L44" i="76" s="1"/>
  <c r="J11" i="88"/>
  <c r="J95" i="90"/>
  <c r="D38" i="91"/>
  <c r="J12" i="88"/>
  <c r="J96" i="90"/>
  <c r="L10" i="88"/>
  <c r="L14" i="88" s="1"/>
  <c r="L94" i="90"/>
  <c r="D30" i="88"/>
  <c r="D36" i="88" s="1"/>
  <c r="D77" i="91"/>
  <c r="K5" i="80"/>
  <c r="D37" i="91"/>
  <c r="J33" i="82"/>
  <c r="J66" i="91"/>
  <c r="J34" i="76"/>
  <c r="J25" i="91"/>
  <c r="J30" i="76"/>
  <c r="J21" i="91"/>
  <c r="J31" i="82"/>
  <c r="J64" i="91"/>
  <c r="J34" i="82"/>
  <c r="J67" i="91"/>
  <c r="J32" i="81"/>
  <c r="J37" i="91"/>
  <c r="J30" i="88"/>
  <c r="J77" i="91"/>
  <c r="J32" i="76"/>
  <c r="J23" i="91"/>
  <c r="J33" i="81"/>
  <c r="J38" i="91"/>
  <c r="J30" i="82"/>
  <c r="J63" i="91"/>
  <c r="J31" i="76"/>
  <c r="J22" i="91"/>
  <c r="J32" i="82"/>
  <c r="J65" i="91"/>
  <c r="J32" i="88"/>
  <c r="J79" i="91"/>
  <c r="J33" i="76"/>
  <c r="J24" i="91"/>
  <c r="H31" i="88"/>
  <c r="H78" i="91"/>
  <c r="H30" i="81"/>
  <c r="H35" i="91"/>
  <c r="H31" i="76"/>
  <c r="H22" i="91"/>
  <c r="H34" i="82"/>
  <c r="H67" i="91"/>
  <c r="H32" i="88"/>
  <c r="H79" i="91"/>
  <c r="H33" i="76"/>
  <c r="H24" i="91"/>
  <c r="H32" i="82"/>
  <c r="H65" i="91"/>
  <c r="H32" i="81"/>
  <c r="H37" i="91"/>
  <c r="H34" i="76"/>
  <c r="H25" i="91"/>
  <c r="H33" i="81"/>
  <c r="H38" i="91"/>
  <c r="H33" i="88"/>
  <c r="H80" i="91"/>
  <c r="H31" i="81"/>
  <c r="H36" i="91"/>
  <c r="H31" i="82"/>
  <c r="H64" i="91"/>
  <c r="H34" i="81"/>
  <c r="H39" i="91"/>
  <c r="H30" i="39"/>
  <c r="H6" i="91"/>
  <c r="H30" i="82"/>
  <c r="H63" i="91"/>
  <c r="H32" i="76"/>
  <c r="H23" i="91"/>
  <c r="H34" i="88"/>
  <c r="H81" i="91"/>
  <c r="H30" i="76"/>
  <c r="H21" i="91"/>
  <c r="H33" i="82"/>
  <c r="H66" i="91"/>
  <c r="H30" i="88"/>
  <c r="H77" i="91"/>
  <c r="AB10" i="88"/>
  <c r="AB94" i="90"/>
  <c r="X10" i="88"/>
  <c r="X94" i="90"/>
  <c r="G11" i="88"/>
  <c r="G95" i="90"/>
  <c r="U11" i="88"/>
  <c r="U95" i="90"/>
  <c r="AE12" i="88"/>
  <c r="AE96" i="90"/>
  <c r="X13" i="88"/>
  <c r="X97" i="90"/>
  <c r="X9" i="88"/>
  <c r="X93" i="90"/>
  <c r="AA13" i="88"/>
  <c r="AA97" i="90"/>
  <c r="X12" i="88"/>
  <c r="X96" i="90"/>
  <c r="V9" i="88"/>
  <c r="V93" i="90"/>
  <c r="I13" i="88"/>
  <c r="I97" i="90"/>
  <c r="Y9" i="88"/>
  <c r="Y93" i="90"/>
  <c r="V13" i="88"/>
  <c r="V97" i="90"/>
  <c r="Y13" i="76"/>
  <c r="Y30" i="90"/>
  <c r="Y10" i="81"/>
  <c r="Y44" i="90"/>
  <c r="X12" i="81"/>
  <c r="X46" i="90"/>
  <c r="N10" i="81"/>
  <c r="N44" i="90"/>
  <c r="W10" i="81"/>
  <c r="W44" i="90"/>
  <c r="G30" i="76"/>
  <c r="G21" i="91"/>
  <c r="G32" i="76"/>
  <c r="G23" i="91"/>
  <c r="G32" i="88"/>
  <c r="G79" i="91"/>
  <c r="G31" i="88"/>
  <c r="G78" i="91"/>
  <c r="G33" i="88"/>
  <c r="G80" i="91"/>
  <c r="Y10" i="88"/>
  <c r="Y94" i="90"/>
  <c r="H11" i="88"/>
  <c r="H95" i="90"/>
  <c r="V11" i="88"/>
  <c r="V95" i="90"/>
  <c r="AA11" i="88"/>
  <c r="AA95" i="90"/>
  <c r="Z10" i="82"/>
  <c r="Z77" i="90"/>
  <c r="H9" i="88"/>
  <c r="H93" i="90"/>
  <c r="H12" i="88"/>
  <c r="H96" i="90"/>
  <c r="W13" i="88"/>
  <c r="W97" i="90"/>
  <c r="G12" i="88"/>
  <c r="G96" i="90"/>
  <c r="F9" i="88"/>
  <c r="F93" i="90"/>
  <c r="AB12" i="88"/>
  <c r="AB96" i="90"/>
  <c r="E9" i="88"/>
  <c r="E93" i="90"/>
  <c r="G9" i="88"/>
  <c r="G93" i="90"/>
  <c r="W12" i="88"/>
  <c r="W96" i="90"/>
  <c r="H13" i="88"/>
  <c r="H97" i="90"/>
  <c r="G13" i="88"/>
  <c r="G97" i="90"/>
  <c r="V13" i="76"/>
  <c r="V30" i="90"/>
  <c r="U13" i="76"/>
  <c r="U30" i="90"/>
  <c r="X13" i="76"/>
  <c r="X30" i="90"/>
  <c r="U10" i="81"/>
  <c r="U44" i="90"/>
  <c r="U12" i="81"/>
  <c r="U46" i="90"/>
  <c r="AA12" i="81"/>
  <c r="AA46" i="90"/>
  <c r="AA10" i="81"/>
  <c r="AA44" i="90"/>
  <c r="Y12" i="81"/>
  <c r="Y46" i="90"/>
  <c r="G30" i="82"/>
  <c r="G63" i="91"/>
  <c r="G30" i="88"/>
  <c r="G77" i="91"/>
  <c r="V10" i="88"/>
  <c r="V94" i="90"/>
  <c r="I11" i="88"/>
  <c r="I95" i="90"/>
  <c r="W11" i="88"/>
  <c r="W95" i="90"/>
  <c r="AB13" i="76"/>
  <c r="AB30" i="90"/>
  <c r="AB12" i="81"/>
  <c r="AB46" i="90"/>
  <c r="AB10" i="81"/>
  <c r="AB44" i="90"/>
  <c r="Z11" i="82"/>
  <c r="Z78" i="90"/>
  <c r="Y13" i="88"/>
  <c r="Y97" i="90"/>
  <c r="I12" i="88"/>
  <c r="I96" i="90"/>
  <c r="AA9" i="88"/>
  <c r="AA93" i="90"/>
  <c r="U9" i="88"/>
  <c r="U93" i="90"/>
  <c r="H13" i="76"/>
  <c r="H30" i="90"/>
  <c r="I7" i="77"/>
  <c r="D30" i="90"/>
  <c r="Z13" i="88"/>
  <c r="Z97" i="90"/>
  <c r="W13" i="76"/>
  <c r="W30" i="90"/>
  <c r="Y12" i="88"/>
  <c r="Y96" i="90"/>
  <c r="G13" i="76"/>
  <c r="G30" i="90"/>
  <c r="N13" i="76"/>
  <c r="N30" i="90"/>
  <c r="AE13" i="76"/>
  <c r="AE30" i="90"/>
  <c r="G12" i="81"/>
  <c r="G46" i="90"/>
  <c r="G10" i="81"/>
  <c r="G44" i="90"/>
  <c r="V10" i="81"/>
  <c r="V44" i="90"/>
  <c r="AE10" i="81"/>
  <c r="AE44" i="90"/>
  <c r="D10" i="81"/>
  <c r="D44" i="90"/>
  <c r="H10" i="81"/>
  <c r="H44" i="90"/>
  <c r="N12" i="81"/>
  <c r="N46" i="90"/>
  <c r="G32" i="81"/>
  <c r="G37" i="91"/>
  <c r="G34" i="82"/>
  <c r="G67" i="91"/>
  <c r="G33" i="82"/>
  <c r="G66" i="91"/>
  <c r="G31" i="76"/>
  <c r="G22" i="91"/>
  <c r="W10" i="88"/>
  <c r="W94" i="90"/>
  <c r="AB11" i="88"/>
  <c r="AB95" i="90"/>
  <c r="X11" i="88"/>
  <c r="X95" i="90"/>
  <c r="Z13" i="76"/>
  <c r="Z30" i="90"/>
  <c r="Z10" i="81"/>
  <c r="Z44" i="90"/>
  <c r="Z12" i="82"/>
  <c r="Z79" i="90"/>
  <c r="Z13" i="82"/>
  <c r="Z80" i="90"/>
  <c r="AA13" i="76"/>
  <c r="AA30" i="90"/>
  <c r="U13" i="88"/>
  <c r="U97" i="90"/>
  <c r="AB13" i="88"/>
  <c r="AB97" i="90"/>
  <c r="Z11" i="88"/>
  <c r="Z95" i="90"/>
  <c r="W9" i="88"/>
  <c r="W93" i="90"/>
  <c r="Z9" i="88"/>
  <c r="Z93" i="90"/>
  <c r="Z10" i="88"/>
  <c r="Z94" i="90"/>
  <c r="I9" i="88"/>
  <c r="I93" i="90"/>
  <c r="V12" i="88"/>
  <c r="V96" i="90"/>
  <c r="I13" i="76"/>
  <c r="I30" i="90"/>
  <c r="U12" i="88"/>
  <c r="U96" i="90"/>
  <c r="AA12" i="88"/>
  <c r="AA96" i="90"/>
  <c r="H12" i="81"/>
  <c r="H46" i="90"/>
  <c r="I12" i="81"/>
  <c r="I46" i="90"/>
  <c r="W12" i="81"/>
  <c r="W46" i="90"/>
  <c r="I10" i="81"/>
  <c r="I44" i="90"/>
  <c r="X10" i="81"/>
  <c r="X44" i="90"/>
  <c r="AE12" i="81"/>
  <c r="AE46" i="90"/>
  <c r="V12" i="81"/>
  <c r="V46" i="90"/>
  <c r="G30" i="81"/>
  <c r="G35" i="91"/>
  <c r="G34" i="88"/>
  <c r="G81" i="91"/>
  <c r="K4" i="77"/>
  <c r="D22" i="91"/>
  <c r="Z12" i="76"/>
  <c r="Z29" i="90"/>
  <c r="Z11" i="76"/>
  <c r="Z28" i="90"/>
  <c r="Z10" i="76"/>
  <c r="Z27" i="90"/>
  <c r="E36" i="81"/>
  <c r="E46" i="81" s="1"/>
  <c r="E41" i="91"/>
  <c r="AD98" i="86"/>
  <c r="AD121" i="90" s="1"/>
  <c r="N121" i="90"/>
  <c r="Y102" i="86"/>
  <c r="Y125" i="90" s="1"/>
  <c r="K125" i="90"/>
  <c r="V102" i="86"/>
  <c r="V125" i="90" s="1"/>
  <c r="G125" i="90"/>
  <c r="U105" i="86"/>
  <c r="D4" i="77"/>
  <c r="J131" i="79"/>
  <c r="J31" i="81"/>
  <c r="D5" i="77"/>
  <c r="D4" i="80"/>
  <c r="H4" i="80" s="1"/>
  <c r="G31" i="81"/>
  <c r="D7" i="80"/>
  <c r="G34" i="81"/>
  <c r="D6" i="77"/>
  <c r="G33" i="76"/>
  <c r="D7" i="77"/>
  <c r="H7" i="77" s="1"/>
  <c r="G34" i="76"/>
  <c r="J145" i="79"/>
  <c r="G33" i="81"/>
  <c r="E36" i="76"/>
  <c r="E45" i="76" s="1"/>
  <c r="M9" i="80"/>
  <c r="N21" i="36" s="1"/>
  <c r="M9" i="77"/>
  <c r="N20" i="36" s="1"/>
  <c r="J131" i="75"/>
  <c r="J131" i="86"/>
  <c r="J83" i="91" s="1"/>
  <c r="J131" i="85"/>
  <c r="H131" i="86"/>
  <c r="H83" i="91" s="1"/>
  <c r="H131" i="85"/>
  <c r="H131" i="75"/>
  <c r="H131" i="79"/>
  <c r="G131" i="75"/>
  <c r="D3" i="77"/>
  <c r="G127" i="85"/>
  <c r="G126" i="85"/>
  <c r="G131" i="86"/>
  <c r="G83" i="91" s="1"/>
  <c r="G131" i="79"/>
  <c r="G7" i="82"/>
  <c r="N22" i="81"/>
  <c r="H27" i="82"/>
  <c r="D12" i="81"/>
  <c r="AG30" i="86"/>
  <c r="AH30" i="86" s="1"/>
  <c r="N3" i="81"/>
  <c r="AD3" i="81" s="1"/>
  <c r="J6" i="80"/>
  <c r="N3" i="82"/>
  <c r="G147" i="86"/>
  <c r="AG69" i="86"/>
  <c r="AH69" i="86" s="1"/>
  <c r="AG68" i="79"/>
  <c r="AH68" i="79" s="1"/>
  <c r="AG70" i="86"/>
  <c r="AH70" i="86" s="1"/>
  <c r="AG68" i="86"/>
  <c r="AH68" i="86" s="1"/>
  <c r="I4" i="80"/>
  <c r="E10" i="81"/>
  <c r="AG69" i="79"/>
  <c r="AH69" i="79" s="1"/>
  <c r="AD98" i="75"/>
  <c r="D32" i="81"/>
  <c r="Y102" i="75"/>
  <c r="D143" i="79"/>
  <c r="AG68" i="75"/>
  <c r="AH68" i="75" s="1"/>
  <c r="J142" i="79"/>
  <c r="AG50" i="79"/>
  <c r="AH50" i="79" s="1"/>
  <c r="I6" i="80"/>
  <c r="F12" i="81"/>
  <c r="J143" i="79"/>
  <c r="AG67" i="75"/>
  <c r="AH67" i="75" s="1"/>
  <c r="E12" i="81"/>
  <c r="V102" i="75"/>
  <c r="F10" i="81"/>
  <c r="M9" i="87"/>
  <c r="J4" i="80"/>
  <c r="AF31" i="85"/>
  <c r="AG31" i="85" s="1"/>
  <c r="AH31" i="85" s="1"/>
  <c r="J146" i="75"/>
  <c r="E45" i="88"/>
  <c r="K3" i="87"/>
  <c r="K9" i="87" s="1"/>
  <c r="D131" i="86"/>
  <c r="D83" i="91" s="1"/>
  <c r="L109" i="86"/>
  <c r="G6" i="87"/>
  <c r="G9" i="87" s="1"/>
  <c r="AD90" i="86"/>
  <c r="G147" i="75"/>
  <c r="AG70" i="75"/>
  <c r="AH70" i="75" s="1"/>
  <c r="Y73" i="75"/>
  <c r="Y73" i="79"/>
  <c r="G147" i="79"/>
  <c r="AD71" i="79"/>
  <c r="AD71" i="85"/>
  <c r="AG67" i="79"/>
  <c r="AH67" i="79" s="1"/>
  <c r="AG69" i="75"/>
  <c r="AH69" i="75" s="1"/>
  <c r="G147" i="85"/>
  <c r="AF32" i="85"/>
  <c r="AG32" i="85" s="1"/>
  <c r="AH32" i="85" s="1"/>
  <c r="AB33" i="85"/>
  <c r="F13" i="76"/>
  <c r="E13" i="76"/>
  <c r="Y35" i="79"/>
  <c r="AD33" i="85"/>
  <c r="E9" i="80"/>
  <c r="F21" i="36" s="1"/>
  <c r="AG29" i="85"/>
  <c r="AH29" i="85" s="1"/>
  <c r="AG32" i="86"/>
  <c r="AH32" i="86" s="1"/>
  <c r="Y35" i="75"/>
  <c r="AG30" i="75"/>
  <c r="AH30" i="75" s="1"/>
  <c r="AG30" i="79"/>
  <c r="AH30" i="79" s="1"/>
  <c r="Y35" i="85"/>
  <c r="AF28" i="86"/>
  <c r="AF33" i="86" s="1"/>
  <c r="K146" i="86"/>
  <c r="E7" i="87"/>
  <c r="F147" i="79"/>
  <c r="K145" i="85"/>
  <c r="K143" i="85"/>
  <c r="AG31" i="86"/>
  <c r="AH31" i="86" s="1"/>
  <c r="K144" i="86"/>
  <c r="E5" i="87"/>
  <c r="K143" i="86"/>
  <c r="E4" i="87"/>
  <c r="AD33" i="79"/>
  <c r="E3" i="87"/>
  <c r="K144" i="85"/>
  <c r="K146" i="85"/>
  <c r="K145" i="86"/>
  <c r="E6" i="87"/>
  <c r="F14" i="86"/>
  <c r="H14" i="86"/>
  <c r="D13" i="76"/>
  <c r="F12" i="88"/>
  <c r="I14" i="86"/>
  <c r="D6" i="80"/>
  <c r="H6" i="80" s="1"/>
  <c r="D5" i="80"/>
  <c r="AG51" i="86"/>
  <c r="AH51" i="86" s="1"/>
  <c r="AF51" i="85"/>
  <c r="AG51" i="85" s="1"/>
  <c r="AH51" i="85" s="1"/>
  <c r="J144" i="79"/>
  <c r="D3" i="80"/>
  <c r="AG50" i="86"/>
  <c r="AH50" i="86" s="1"/>
  <c r="G14" i="86"/>
  <c r="Y54" i="75"/>
  <c r="J7" i="77"/>
  <c r="E14" i="75"/>
  <c r="AG49" i="79"/>
  <c r="AH49" i="79" s="1"/>
  <c r="AG50" i="75"/>
  <c r="AH50" i="75" s="1"/>
  <c r="J142" i="75"/>
  <c r="N106" i="86"/>
  <c r="K11" i="86"/>
  <c r="M11" i="86" s="1"/>
  <c r="O11" i="86" s="1"/>
  <c r="AB52" i="79"/>
  <c r="AG48" i="86"/>
  <c r="AH48" i="86" s="1"/>
  <c r="AB52" i="75"/>
  <c r="J144" i="75"/>
  <c r="H105" i="86"/>
  <c r="Y14" i="86"/>
  <c r="AE14" i="85"/>
  <c r="G105" i="86"/>
  <c r="W14" i="86"/>
  <c r="X14" i="86"/>
  <c r="AF11" i="86"/>
  <c r="N14" i="86"/>
  <c r="AE105" i="86"/>
  <c r="AE94" i="90" s="1"/>
  <c r="D14" i="86"/>
  <c r="V14" i="86"/>
  <c r="AE14" i="86"/>
  <c r="E14" i="86"/>
  <c r="AE106" i="86"/>
  <c r="F105" i="86"/>
  <c r="F94" i="90" s="1"/>
  <c r="N105" i="86"/>
  <c r="AA10" i="86"/>
  <c r="AF10" i="86" s="1"/>
  <c r="AF51" i="79"/>
  <c r="AG51" i="79" s="1"/>
  <c r="AH51" i="79" s="1"/>
  <c r="I105" i="86"/>
  <c r="K10" i="86"/>
  <c r="M10" i="86" s="1"/>
  <c r="O10" i="86" s="1"/>
  <c r="U14" i="86"/>
  <c r="Y106" i="86"/>
  <c r="D106" i="86"/>
  <c r="E14" i="85"/>
  <c r="W14" i="85"/>
  <c r="AG48" i="75"/>
  <c r="AH48" i="75" s="1"/>
  <c r="AF47" i="86"/>
  <c r="AF52" i="86" s="1"/>
  <c r="J145" i="75"/>
  <c r="J3" i="87"/>
  <c r="N9" i="88"/>
  <c r="J143" i="75"/>
  <c r="AD52" i="79"/>
  <c r="AF13" i="85"/>
  <c r="AG13" i="85" s="1"/>
  <c r="AH13" i="85" s="1"/>
  <c r="AB104" i="86"/>
  <c r="D146" i="86"/>
  <c r="N13" i="88"/>
  <c r="J7" i="87"/>
  <c r="E10" i="88"/>
  <c r="AD108" i="86"/>
  <c r="AE13" i="88"/>
  <c r="E11" i="88"/>
  <c r="E12" i="88"/>
  <c r="J145" i="86"/>
  <c r="D6" i="87"/>
  <c r="F14" i="75"/>
  <c r="X14" i="75"/>
  <c r="F14" i="85"/>
  <c r="N14" i="85"/>
  <c r="X14" i="85"/>
  <c r="Y54" i="79"/>
  <c r="F11" i="88"/>
  <c r="I3" i="87"/>
  <c r="D9" i="88"/>
  <c r="J144" i="86"/>
  <c r="D5" i="87"/>
  <c r="F13" i="88"/>
  <c r="D10" i="88"/>
  <c r="I4" i="87"/>
  <c r="AD104" i="86"/>
  <c r="AE9" i="88"/>
  <c r="E13" i="88"/>
  <c r="J146" i="86"/>
  <c r="D7" i="87"/>
  <c r="N12" i="88"/>
  <c r="J6" i="87"/>
  <c r="N14" i="75"/>
  <c r="J146" i="79"/>
  <c r="D12" i="88"/>
  <c r="I6" i="87"/>
  <c r="D13" i="88"/>
  <c r="I7" i="87"/>
  <c r="J143" i="86"/>
  <c r="D4" i="87"/>
  <c r="J146" i="85"/>
  <c r="D7" i="83"/>
  <c r="J142" i="86"/>
  <c r="D3" i="87"/>
  <c r="N8" i="87"/>
  <c r="O8" i="87" s="1"/>
  <c r="P8" i="87" s="1"/>
  <c r="L9" i="87"/>
  <c r="AG88" i="86"/>
  <c r="AH88" i="86" s="1"/>
  <c r="K71" i="86"/>
  <c r="Y73" i="86"/>
  <c r="Y54" i="86"/>
  <c r="Y35" i="86"/>
  <c r="AD14" i="86"/>
  <c r="AG13" i="86"/>
  <c r="AH13" i="86" s="1"/>
  <c r="J109" i="86"/>
  <c r="J98" i="90" s="1"/>
  <c r="AF9" i="86"/>
  <c r="AF90" i="86"/>
  <c r="K90" i="86"/>
  <c r="M85" i="86"/>
  <c r="H147" i="86"/>
  <c r="AB14" i="86"/>
  <c r="D142" i="86"/>
  <c r="K104" i="86"/>
  <c r="K93" i="90" s="1"/>
  <c r="M71" i="86"/>
  <c r="O66" i="86"/>
  <c r="O71" i="86" s="1"/>
  <c r="W109" i="86"/>
  <c r="W98" i="90" s="1"/>
  <c r="F147" i="86"/>
  <c r="Z14" i="86"/>
  <c r="AG49" i="86"/>
  <c r="AH49" i="86" s="1"/>
  <c r="AG87" i="86"/>
  <c r="AH87" i="86" s="1"/>
  <c r="K108" i="86"/>
  <c r="Z107" i="86"/>
  <c r="AF12" i="86"/>
  <c r="AG12" i="86" s="1"/>
  <c r="AH12" i="86" s="1"/>
  <c r="D145" i="86"/>
  <c r="K107" i="86"/>
  <c r="AG67" i="86"/>
  <c r="AH67" i="86" s="1"/>
  <c r="K142" i="86"/>
  <c r="M9" i="86"/>
  <c r="AG29" i="86"/>
  <c r="AH29" i="86" s="1"/>
  <c r="AD107" i="86"/>
  <c r="AG89" i="86"/>
  <c r="AH89" i="86" s="1"/>
  <c r="E109" i="86"/>
  <c r="E98" i="90" s="1"/>
  <c r="M28" i="86"/>
  <c r="K33" i="86"/>
  <c r="X109" i="86"/>
  <c r="X98" i="90" s="1"/>
  <c r="K52" i="86"/>
  <c r="M47" i="86"/>
  <c r="V109" i="86"/>
  <c r="V98" i="90" s="1"/>
  <c r="AG86" i="86"/>
  <c r="AH86" i="86" s="1"/>
  <c r="AF66" i="86"/>
  <c r="AG70" i="85"/>
  <c r="AH70" i="85" s="1"/>
  <c r="AG69" i="85"/>
  <c r="AH69" i="85" s="1"/>
  <c r="AG68" i="85"/>
  <c r="AH68" i="85" s="1"/>
  <c r="AG67" i="85"/>
  <c r="AH67" i="85" s="1"/>
  <c r="Y73" i="85"/>
  <c r="V48" i="22"/>
  <c r="W49" i="22"/>
  <c r="X50" i="22"/>
  <c r="AB12" i="75"/>
  <c r="AG32" i="79"/>
  <c r="AH32" i="79" s="1"/>
  <c r="G14" i="85"/>
  <c r="K10" i="85"/>
  <c r="M10" i="85" s="1"/>
  <c r="O10" i="85" s="1"/>
  <c r="K7" i="80"/>
  <c r="D34" i="81"/>
  <c r="M9" i="83"/>
  <c r="N23" i="36" s="1"/>
  <c r="W48" i="22"/>
  <c r="AB10" i="75"/>
  <c r="AF10" i="85"/>
  <c r="AB49" i="85"/>
  <c r="X49" i="22"/>
  <c r="U50" i="22"/>
  <c r="Y50" i="22"/>
  <c r="AE50" i="22"/>
  <c r="Y14" i="75"/>
  <c r="D14" i="75"/>
  <c r="V14" i="75"/>
  <c r="AD9" i="85"/>
  <c r="U14" i="85"/>
  <c r="H14" i="85"/>
  <c r="AB11" i="85"/>
  <c r="AB9" i="85"/>
  <c r="K3" i="80"/>
  <c r="D30" i="81"/>
  <c r="D131" i="79"/>
  <c r="AB48" i="85"/>
  <c r="U49" i="22"/>
  <c r="Y49" i="22"/>
  <c r="AD49" i="85"/>
  <c r="AE49" i="22"/>
  <c r="V50" i="22"/>
  <c r="W14" i="75"/>
  <c r="AB11" i="75"/>
  <c r="I14" i="75"/>
  <c r="AG70" i="79"/>
  <c r="AH70" i="79" s="1"/>
  <c r="V14" i="85"/>
  <c r="K4" i="80"/>
  <c r="D31" i="81"/>
  <c r="K6" i="80"/>
  <c r="D33" i="81"/>
  <c r="X48" i="22"/>
  <c r="U48" i="22"/>
  <c r="Y48" i="22"/>
  <c r="AD48" i="85"/>
  <c r="AE48" i="22"/>
  <c r="V49" i="22"/>
  <c r="W50" i="22"/>
  <c r="U14" i="75"/>
  <c r="H14" i="75"/>
  <c r="AB9" i="75"/>
  <c r="AE14" i="75"/>
  <c r="G14" i="75"/>
  <c r="I14" i="85"/>
  <c r="AD11" i="85"/>
  <c r="Y14" i="85"/>
  <c r="D14" i="85"/>
  <c r="K11" i="85"/>
  <c r="M11" i="85" s="1"/>
  <c r="O11" i="85" s="1"/>
  <c r="K9" i="85"/>
  <c r="AF28" i="85"/>
  <c r="F147" i="85"/>
  <c r="K71" i="85"/>
  <c r="M66" i="85"/>
  <c r="K33" i="85"/>
  <c r="M28" i="85"/>
  <c r="Z104" i="85"/>
  <c r="Z14" i="85"/>
  <c r="K142" i="85"/>
  <c r="AF66" i="85"/>
  <c r="AF12" i="85"/>
  <c r="AG12" i="85" s="1"/>
  <c r="AH12" i="85" s="1"/>
  <c r="AG30" i="85"/>
  <c r="AH30" i="85" s="1"/>
  <c r="K146" i="79"/>
  <c r="K145" i="79"/>
  <c r="K144" i="79"/>
  <c r="K143" i="79"/>
  <c r="AG29" i="79"/>
  <c r="AH29" i="79" s="1"/>
  <c r="Z12" i="81"/>
  <c r="K52" i="79"/>
  <c r="M47" i="79"/>
  <c r="AB14" i="79"/>
  <c r="K33" i="79"/>
  <c r="M28" i="79"/>
  <c r="Z14" i="79"/>
  <c r="AG48" i="79"/>
  <c r="AH48" i="79" s="1"/>
  <c r="AG88" i="79"/>
  <c r="AH88" i="79" s="1"/>
  <c r="AF66" i="79"/>
  <c r="AF28" i="79"/>
  <c r="Y16" i="79"/>
  <c r="AF47" i="79"/>
  <c r="AG31" i="79"/>
  <c r="AH31" i="79" s="1"/>
  <c r="K71" i="79"/>
  <c r="M66" i="79"/>
  <c r="K142" i="79"/>
  <c r="AG86" i="79"/>
  <c r="AH86" i="79" s="1"/>
  <c r="K33" i="75"/>
  <c r="M28" i="75"/>
  <c r="Z104" i="75"/>
  <c r="Z26" i="90" s="1"/>
  <c r="Z14" i="75"/>
  <c r="K146" i="75"/>
  <c r="K142" i="75"/>
  <c r="M47" i="75"/>
  <c r="K52" i="75"/>
  <c r="K145" i="75"/>
  <c r="K144" i="75"/>
  <c r="K143" i="75"/>
  <c r="AF66" i="75"/>
  <c r="AF47" i="75"/>
  <c r="AG49" i="75"/>
  <c r="AH49" i="75" s="1"/>
  <c r="AG32" i="75"/>
  <c r="AH32" i="75" s="1"/>
  <c r="AG29" i="75"/>
  <c r="AH29" i="75" s="1"/>
  <c r="K71" i="75"/>
  <c r="M66" i="75"/>
  <c r="F147" i="75"/>
  <c r="AF28" i="75"/>
  <c r="AG51" i="75"/>
  <c r="AH51" i="75" s="1"/>
  <c r="AG31" i="75"/>
  <c r="AH31" i="75" s="1"/>
  <c r="K55" i="91" l="1"/>
  <c r="O31" i="36"/>
  <c r="O33" i="36" s="1"/>
  <c r="L145" i="79"/>
  <c r="M145" i="79" s="1"/>
  <c r="K46" i="99"/>
  <c r="L46" i="99"/>
  <c r="J96" i="91"/>
  <c r="J95" i="91"/>
  <c r="J92" i="91"/>
  <c r="J94" i="91"/>
  <c r="J93" i="91"/>
  <c r="H92" i="91"/>
  <c r="L36" i="81"/>
  <c r="K9" i="98"/>
  <c r="L22" i="36" s="1"/>
  <c r="N6" i="98"/>
  <c r="O6" i="98" s="1"/>
  <c r="P6" i="98" s="1"/>
  <c r="K12" i="99"/>
  <c r="M12" i="99" s="1"/>
  <c r="O12" i="99" s="1"/>
  <c r="AG12" i="99" s="1"/>
  <c r="AH12" i="99" s="1"/>
  <c r="N4" i="98"/>
  <c r="O4" i="98" s="1"/>
  <c r="P4" i="98" s="1"/>
  <c r="G36" i="99"/>
  <c r="G46" i="99" s="1"/>
  <c r="D9" i="98"/>
  <c r="E22" i="36" s="1"/>
  <c r="K10" i="99"/>
  <c r="M10" i="99" s="1"/>
  <c r="O10" i="99" s="1"/>
  <c r="F24" i="36"/>
  <c r="N24" i="36"/>
  <c r="J69" i="91"/>
  <c r="N32" i="36"/>
  <c r="J41" i="91"/>
  <c r="N30" i="36"/>
  <c r="J27" i="91"/>
  <c r="N29" i="36"/>
  <c r="H41" i="91"/>
  <c r="L30" i="36"/>
  <c r="H27" i="91"/>
  <c r="L29" i="36"/>
  <c r="H69" i="91"/>
  <c r="L32" i="36"/>
  <c r="G41" i="91"/>
  <c r="K30" i="36"/>
  <c r="G27" i="91"/>
  <c r="K29" i="36"/>
  <c r="D41" i="91"/>
  <c r="I30" i="36"/>
  <c r="F147" i="22"/>
  <c r="J34" i="39"/>
  <c r="J14" i="88"/>
  <c r="J44" i="88" s="1"/>
  <c r="J131" i="22"/>
  <c r="J12" i="91" s="1"/>
  <c r="J30" i="39"/>
  <c r="G147" i="22"/>
  <c r="G127" i="22"/>
  <c r="J144" i="22" s="1"/>
  <c r="J31" i="39"/>
  <c r="H36" i="81"/>
  <c r="J36" i="81"/>
  <c r="J46" i="81" s="1"/>
  <c r="L44" i="88"/>
  <c r="L98" i="90"/>
  <c r="J36" i="76"/>
  <c r="J45" i="76" s="1"/>
  <c r="H36" i="76"/>
  <c r="V14" i="88"/>
  <c r="W14" i="88"/>
  <c r="X14" i="88"/>
  <c r="AD12" i="88"/>
  <c r="AD96" i="90"/>
  <c r="D11" i="88"/>
  <c r="K11" i="88" s="1"/>
  <c r="M11" i="88" s="1"/>
  <c r="D95" i="90"/>
  <c r="I10" i="88"/>
  <c r="I14" i="88" s="1"/>
  <c r="I94" i="90"/>
  <c r="G10" i="88"/>
  <c r="G14" i="88" s="1"/>
  <c r="G94" i="90"/>
  <c r="M107" i="86"/>
  <c r="K96" i="90"/>
  <c r="M108" i="86"/>
  <c r="K97" i="90"/>
  <c r="K9" i="88"/>
  <c r="M9" i="88" s="1"/>
  <c r="O9" i="88" s="1"/>
  <c r="AB9" i="88"/>
  <c r="AB14" i="88" s="1"/>
  <c r="AB93" i="90"/>
  <c r="Y11" i="88"/>
  <c r="Y14" i="88" s="1"/>
  <c r="Y95" i="90"/>
  <c r="AE11" i="88"/>
  <c r="AE95" i="90"/>
  <c r="N11" i="88"/>
  <c r="N95" i="90"/>
  <c r="AD9" i="88"/>
  <c r="AD93" i="90"/>
  <c r="AD13" i="88"/>
  <c r="AF13" i="88" s="1"/>
  <c r="AD97" i="90"/>
  <c r="J4" i="87"/>
  <c r="N4" i="87" s="1"/>
  <c r="N94" i="90"/>
  <c r="H10" i="88"/>
  <c r="H14" i="88" s="1"/>
  <c r="H94" i="90"/>
  <c r="G31" i="82"/>
  <c r="G64" i="91"/>
  <c r="Z9" i="82"/>
  <c r="Z76" i="90"/>
  <c r="Z12" i="88"/>
  <c r="Z14" i="88" s="1"/>
  <c r="Z96" i="90"/>
  <c r="G32" i="82"/>
  <c r="G65" i="91"/>
  <c r="U10" i="88"/>
  <c r="U14" i="88" s="1"/>
  <c r="U94" i="90"/>
  <c r="U109" i="86"/>
  <c r="U98" i="90" s="1"/>
  <c r="G36" i="81"/>
  <c r="G36" i="76"/>
  <c r="D9" i="77"/>
  <c r="E20" i="36" s="1"/>
  <c r="J36" i="88"/>
  <c r="J45" i="88" s="1"/>
  <c r="J36" i="82"/>
  <c r="G131" i="85"/>
  <c r="L143" i="79"/>
  <c r="M143" i="79" s="1"/>
  <c r="N6" i="80"/>
  <c r="O6" i="80" s="1"/>
  <c r="P6" i="80" s="1"/>
  <c r="N4" i="80"/>
  <c r="O4" i="80" s="1"/>
  <c r="P4" i="80" s="1"/>
  <c r="H7" i="87"/>
  <c r="L146" i="86"/>
  <c r="M146" i="86" s="1"/>
  <c r="D45" i="88"/>
  <c r="K147" i="86"/>
  <c r="H5" i="87"/>
  <c r="H3" i="87"/>
  <c r="K147" i="79"/>
  <c r="H109" i="86"/>
  <c r="H6" i="87"/>
  <c r="E9" i="87"/>
  <c r="K147" i="85"/>
  <c r="Z109" i="86"/>
  <c r="Z98" i="90" s="1"/>
  <c r="J147" i="79"/>
  <c r="D9" i="80"/>
  <c r="E21" i="36" s="1"/>
  <c r="AF9" i="85"/>
  <c r="AG11" i="86"/>
  <c r="AH11" i="86" s="1"/>
  <c r="AF11" i="85"/>
  <c r="AD106" i="86"/>
  <c r="K106" i="86"/>
  <c r="D144" i="86"/>
  <c r="L144" i="86" s="1"/>
  <c r="M144" i="86" s="1"/>
  <c r="J5" i="87"/>
  <c r="J147" i="75"/>
  <c r="K14" i="85"/>
  <c r="I5" i="87"/>
  <c r="I9" i="87" s="1"/>
  <c r="AE109" i="86"/>
  <c r="AE98" i="90" s="1"/>
  <c r="D109" i="86"/>
  <c r="D98" i="90" s="1"/>
  <c r="D143" i="86"/>
  <c r="L143" i="86" s="1"/>
  <c r="M143" i="86" s="1"/>
  <c r="G109" i="86"/>
  <c r="F10" i="88"/>
  <c r="F14" i="88" s="1"/>
  <c r="N10" i="88"/>
  <c r="N109" i="86"/>
  <c r="N98" i="90" s="1"/>
  <c r="F109" i="86"/>
  <c r="F98" i="90" s="1"/>
  <c r="K14" i="86"/>
  <c r="AG10" i="86"/>
  <c r="AH10" i="86" s="1"/>
  <c r="Y16" i="86"/>
  <c r="I109" i="86"/>
  <c r="K105" i="86"/>
  <c r="AE10" i="88"/>
  <c r="AG10" i="85"/>
  <c r="AH10" i="85" s="1"/>
  <c r="AD105" i="86"/>
  <c r="Y16" i="85"/>
  <c r="Y109" i="86"/>
  <c r="Y98" i="90" s="1"/>
  <c r="N6" i="87"/>
  <c r="AA14" i="86"/>
  <c r="AA105" i="86"/>
  <c r="AA94" i="90" s="1"/>
  <c r="AB14" i="85"/>
  <c r="AF104" i="86"/>
  <c r="AF93" i="90" s="1"/>
  <c r="J147" i="86"/>
  <c r="N3" i="87"/>
  <c r="AD14" i="85"/>
  <c r="AB14" i="75"/>
  <c r="L145" i="86"/>
  <c r="M145" i="86" s="1"/>
  <c r="K12" i="88"/>
  <c r="M12" i="88" s="1"/>
  <c r="O12" i="88" s="1"/>
  <c r="Y16" i="75"/>
  <c r="AF108" i="86"/>
  <c r="AB109" i="86"/>
  <c r="AB98" i="90" s="1"/>
  <c r="M9" i="85"/>
  <c r="M14" i="85" s="1"/>
  <c r="D9" i="87"/>
  <c r="H4" i="87"/>
  <c r="N7" i="87"/>
  <c r="E14" i="88"/>
  <c r="E44" i="88" s="1"/>
  <c r="K13" i="88"/>
  <c r="M13" i="88" s="1"/>
  <c r="O13" i="88" s="1"/>
  <c r="M104" i="86"/>
  <c r="M93" i="90" s="1"/>
  <c r="L142" i="86"/>
  <c r="M142" i="86" s="1"/>
  <c r="AF71" i="86"/>
  <c r="AG66" i="86"/>
  <c r="AH66" i="86" s="1"/>
  <c r="AF107" i="86"/>
  <c r="M90" i="86"/>
  <c r="O85" i="86"/>
  <c r="M52" i="86"/>
  <c r="O47" i="86"/>
  <c r="O28" i="86"/>
  <c r="M33" i="86"/>
  <c r="AF14" i="86"/>
  <c r="O9" i="86"/>
  <c r="M14" i="86"/>
  <c r="AA52" i="85"/>
  <c r="X47" i="22"/>
  <c r="K9" i="80"/>
  <c r="L21" i="36" s="1"/>
  <c r="AA14" i="85"/>
  <c r="AA14" i="75"/>
  <c r="V47" i="22"/>
  <c r="U47" i="22"/>
  <c r="Y47" i="22"/>
  <c r="K49" i="85"/>
  <c r="M49" i="85" s="1"/>
  <c r="O49" i="85" s="1"/>
  <c r="K50" i="85"/>
  <c r="M50" i="85" s="1"/>
  <c r="O50" i="85" s="1"/>
  <c r="AB50" i="85"/>
  <c r="AE47" i="22"/>
  <c r="AF48" i="85"/>
  <c r="W47" i="22"/>
  <c r="AF49" i="85"/>
  <c r="D36" i="81"/>
  <c r="D46" i="81" s="1"/>
  <c r="AD50" i="85"/>
  <c r="K48" i="85"/>
  <c r="M48" i="85" s="1"/>
  <c r="O48" i="85" s="1"/>
  <c r="M33" i="85"/>
  <c r="O28" i="85"/>
  <c r="O33" i="85" s="1"/>
  <c r="M71" i="85"/>
  <c r="O66" i="85"/>
  <c r="O71" i="85" s="1"/>
  <c r="AF71" i="85"/>
  <c r="Z109" i="85"/>
  <c r="Z81" i="90" s="1"/>
  <c r="AF33" i="85"/>
  <c r="M71" i="79"/>
  <c r="O66" i="79"/>
  <c r="O71" i="79" s="1"/>
  <c r="AF52" i="79"/>
  <c r="AF71" i="79"/>
  <c r="M52" i="79"/>
  <c r="O47" i="79"/>
  <c r="O52" i="79" s="1"/>
  <c r="AF33" i="79"/>
  <c r="M33" i="79"/>
  <c r="O28" i="79"/>
  <c r="O33" i="79" s="1"/>
  <c r="AF71" i="75"/>
  <c r="Z9" i="76"/>
  <c r="Z109" i="75"/>
  <c r="Z31" i="90" s="1"/>
  <c r="AF33" i="75"/>
  <c r="O66" i="75"/>
  <c r="O71" i="75" s="1"/>
  <c r="M71" i="75"/>
  <c r="AF52" i="75"/>
  <c r="O47" i="75"/>
  <c r="O52" i="75" s="1"/>
  <c r="M52" i="75"/>
  <c r="M33" i="75"/>
  <c r="O28" i="75"/>
  <c r="O33" i="75" s="1"/>
  <c r="K147" i="75"/>
  <c r="J98" i="91" l="1"/>
  <c r="N33" i="36"/>
  <c r="L33" i="36"/>
  <c r="G69" i="91"/>
  <c r="K32" i="36"/>
  <c r="K33" i="36" s="1"/>
  <c r="AG66" i="79"/>
  <c r="AH66" i="79" s="1"/>
  <c r="J36" i="39"/>
  <c r="G7" i="91"/>
  <c r="G93" i="91" s="1"/>
  <c r="Y16" i="88"/>
  <c r="AE14" i="88"/>
  <c r="AG13" i="88"/>
  <c r="AH13" i="88" s="1"/>
  <c r="AF9" i="88"/>
  <c r="AG9" i="88" s="1"/>
  <c r="AH9" i="88" s="1"/>
  <c r="N14" i="88"/>
  <c r="N44" i="88" s="1"/>
  <c r="O11" i="88"/>
  <c r="J9" i="87"/>
  <c r="D14" i="88"/>
  <c r="D44" i="88" s="1"/>
  <c r="AF12" i="88"/>
  <c r="AG12" i="88" s="1"/>
  <c r="AH12" i="88" s="1"/>
  <c r="M106" i="86"/>
  <c r="K95" i="90"/>
  <c r="AF96" i="90"/>
  <c r="AF97" i="90"/>
  <c r="AD11" i="88"/>
  <c r="AF11" i="88" s="1"/>
  <c r="AD95" i="90"/>
  <c r="M105" i="86"/>
  <c r="K94" i="90"/>
  <c r="H44" i="88"/>
  <c r="H98" i="90"/>
  <c r="O108" i="86"/>
  <c r="O97" i="90" s="1"/>
  <c r="M97" i="90"/>
  <c r="AD10" i="88"/>
  <c r="AD94" i="90"/>
  <c r="I44" i="88"/>
  <c r="I98" i="90"/>
  <c r="G44" i="88"/>
  <c r="G98" i="90"/>
  <c r="O107" i="86"/>
  <c r="O96" i="90" s="1"/>
  <c r="M96" i="90"/>
  <c r="Y111" i="86"/>
  <c r="D4" i="36"/>
  <c r="G31" i="39"/>
  <c r="O7" i="87"/>
  <c r="P7" i="87" s="1"/>
  <c r="F44" i="88"/>
  <c r="O3" i="87"/>
  <c r="P3" i="87" s="1"/>
  <c r="H9" i="87"/>
  <c r="AG28" i="85"/>
  <c r="AH28" i="85" s="1"/>
  <c r="O6" i="87"/>
  <c r="P6" i="87" s="1"/>
  <c r="AF106" i="86"/>
  <c r="AF14" i="85"/>
  <c r="AG11" i="85"/>
  <c r="AH11" i="85" s="1"/>
  <c r="D147" i="86"/>
  <c r="N5" i="87"/>
  <c r="O5" i="87" s="1"/>
  <c r="P5" i="87" s="1"/>
  <c r="O9" i="85"/>
  <c r="O14" i="85" s="1"/>
  <c r="AD109" i="86"/>
  <c r="AD98" i="90" s="1"/>
  <c r="AF50" i="85"/>
  <c r="AG50" i="85" s="1"/>
  <c r="AH50" i="85" s="1"/>
  <c r="K10" i="88"/>
  <c r="M10" i="88" s="1"/>
  <c r="O10" i="88" s="1"/>
  <c r="K109" i="86"/>
  <c r="K98" i="90" s="1"/>
  <c r="AF105" i="86"/>
  <c r="AA10" i="88"/>
  <c r="AA14" i="88" s="1"/>
  <c r="AA109" i="86"/>
  <c r="AA98" i="90" s="1"/>
  <c r="J143" i="85"/>
  <c r="D4" i="83"/>
  <c r="O4" i="87"/>
  <c r="P4" i="87" s="1"/>
  <c r="J144" i="85"/>
  <c r="D5" i="83"/>
  <c r="J145" i="85"/>
  <c r="D6" i="83"/>
  <c r="O14" i="86"/>
  <c r="AG9" i="86"/>
  <c r="AH9" i="86" s="1"/>
  <c r="O52" i="86"/>
  <c r="AG47" i="86"/>
  <c r="AH47" i="86" s="1"/>
  <c r="O104" i="86"/>
  <c r="O93" i="90" s="1"/>
  <c r="AG71" i="86"/>
  <c r="AH71" i="86" s="1"/>
  <c r="L147" i="86"/>
  <c r="M147" i="86" s="1"/>
  <c r="O90" i="86"/>
  <c r="AG85" i="86"/>
  <c r="AH85" i="86" s="1"/>
  <c r="O33" i="86"/>
  <c r="AG28" i="86"/>
  <c r="AH28" i="86" s="1"/>
  <c r="AG49" i="85"/>
  <c r="AH49" i="85" s="1"/>
  <c r="AG48" i="85"/>
  <c r="AH48" i="85" s="1"/>
  <c r="N52" i="85"/>
  <c r="AB47" i="85"/>
  <c r="W52" i="85"/>
  <c r="X52" i="85"/>
  <c r="F52" i="85"/>
  <c r="AE52" i="85"/>
  <c r="AD47" i="85"/>
  <c r="AD52" i="85" s="1"/>
  <c r="U52" i="85"/>
  <c r="D52" i="85"/>
  <c r="K47" i="85"/>
  <c r="V52" i="85"/>
  <c r="AG66" i="85"/>
  <c r="AH66" i="85" s="1"/>
  <c r="Y52" i="85"/>
  <c r="G52" i="85"/>
  <c r="I52" i="85"/>
  <c r="H52" i="85"/>
  <c r="E52" i="85"/>
  <c r="AG28" i="79"/>
  <c r="AH28" i="79" s="1"/>
  <c r="AG47" i="79"/>
  <c r="AH47" i="79" s="1"/>
  <c r="AG47" i="75"/>
  <c r="AH47" i="75" s="1"/>
  <c r="Z14" i="76"/>
  <c r="AG28" i="75"/>
  <c r="AH28" i="75" s="1"/>
  <c r="AG66" i="75"/>
  <c r="AH66" i="75" s="1"/>
  <c r="G32" i="69"/>
  <c r="G31" i="69"/>
  <c r="G30" i="69"/>
  <c r="G29" i="69"/>
  <c r="G48" i="69" s="1"/>
  <c r="G28" i="69"/>
  <c r="AG71" i="85" l="1"/>
  <c r="AH71" i="85" s="1"/>
  <c r="AG33" i="85"/>
  <c r="AH33" i="85" s="1"/>
  <c r="AG52" i="75"/>
  <c r="AH52" i="75" s="1"/>
  <c r="O14" i="88"/>
  <c r="AD14" i="88"/>
  <c r="AG11" i="88"/>
  <c r="AH11" i="88" s="1"/>
  <c r="M109" i="86"/>
  <c r="M98" i="90" s="1"/>
  <c r="AG107" i="86"/>
  <c r="AH107" i="86" s="1"/>
  <c r="AF94" i="90"/>
  <c r="AF95" i="90"/>
  <c r="O105" i="86"/>
  <c r="O94" i="90" s="1"/>
  <c r="M94" i="90"/>
  <c r="AG108" i="86"/>
  <c r="AH108" i="86" s="1"/>
  <c r="O106" i="86"/>
  <c r="O95" i="90" s="1"/>
  <c r="M95" i="90"/>
  <c r="AG71" i="79"/>
  <c r="AH71" i="79" s="1"/>
  <c r="G33" i="69"/>
  <c r="AG9" i="85"/>
  <c r="AH9" i="85" s="1"/>
  <c r="G50" i="69"/>
  <c r="G88" i="75" s="1"/>
  <c r="G51" i="69"/>
  <c r="G14" i="69"/>
  <c r="G47" i="69"/>
  <c r="G49" i="69"/>
  <c r="G106" i="97" s="1"/>
  <c r="G86" i="75"/>
  <c r="G86" i="22"/>
  <c r="M14" i="88"/>
  <c r="AF109" i="86"/>
  <c r="AF98" i="90" s="1"/>
  <c r="N9" i="87"/>
  <c r="K14" i="88"/>
  <c r="K44" i="88" s="1"/>
  <c r="AF10" i="88"/>
  <c r="AF14" i="88" s="1"/>
  <c r="D3" i="83"/>
  <c r="O9" i="87"/>
  <c r="P9" i="87" s="1"/>
  <c r="AG14" i="86"/>
  <c r="AH14" i="86" s="1"/>
  <c r="AG104" i="86"/>
  <c r="AH104" i="86" s="1"/>
  <c r="AG90" i="86"/>
  <c r="AH90" i="86" s="1"/>
  <c r="AG52" i="86"/>
  <c r="AH52" i="86" s="1"/>
  <c r="AG33" i="86"/>
  <c r="AH33" i="86" s="1"/>
  <c r="AF47" i="85"/>
  <c r="AF52" i="85" s="1"/>
  <c r="J142" i="85"/>
  <c r="M47" i="85"/>
  <c r="K52" i="85"/>
  <c r="AB52" i="85"/>
  <c r="Y54" i="85"/>
  <c r="AG52" i="79"/>
  <c r="AH52" i="79" s="1"/>
  <c r="AG33" i="79"/>
  <c r="AH33" i="79" s="1"/>
  <c r="AG33" i="75"/>
  <c r="AH33" i="75" s="1"/>
  <c r="AG71" i="75"/>
  <c r="AH71" i="75" s="1"/>
  <c r="G14" i="22"/>
  <c r="G11" i="99" l="1"/>
  <c r="G62" i="90"/>
  <c r="G89" i="79"/>
  <c r="G89" i="97"/>
  <c r="G108" i="97" s="1"/>
  <c r="G85" i="79"/>
  <c r="G104" i="79" s="1"/>
  <c r="G43" i="90" s="1"/>
  <c r="AG93" i="90"/>
  <c r="AG14" i="85"/>
  <c r="AH14" i="85" s="1"/>
  <c r="G87" i="22"/>
  <c r="G87" i="79"/>
  <c r="G106" i="79" s="1"/>
  <c r="O109" i="86"/>
  <c r="O44" i="88" s="1"/>
  <c r="M44" i="88"/>
  <c r="AG106" i="86"/>
  <c r="AH106" i="86" s="1"/>
  <c r="AG97" i="90"/>
  <c r="AG105" i="86"/>
  <c r="AH105" i="86" s="1"/>
  <c r="AG96" i="90"/>
  <c r="J147" i="85"/>
  <c r="G88" i="22"/>
  <c r="G52" i="69"/>
  <c r="G89" i="22"/>
  <c r="G85" i="22"/>
  <c r="AG10" i="88"/>
  <c r="O47" i="85"/>
  <c r="M52" i="85"/>
  <c r="J45" i="82"/>
  <c r="G71" i="22"/>
  <c r="G33" i="22"/>
  <c r="L129" i="22"/>
  <c r="L10" i="91" s="1"/>
  <c r="L96" i="91" s="1"/>
  <c r="L128" i="22"/>
  <c r="L9" i="91" s="1"/>
  <c r="L95" i="91" s="1"/>
  <c r="L127" i="22"/>
  <c r="L8" i="91" s="1"/>
  <c r="L94" i="91" s="1"/>
  <c r="L126" i="22"/>
  <c r="L7" i="91" s="1"/>
  <c r="L93" i="91" s="1"/>
  <c r="L125" i="22"/>
  <c r="K128" i="22"/>
  <c r="K9" i="91" s="1"/>
  <c r="K95" i="91" s="1"/>
  <c r="K127" i="22"/>
  <c r="K8" i="91" s="1"/>
  <c r="K94" i="91" s="1"/>
  <c r="K126" i="22"/>
  <c r="K7" i="91" s="1"/>
  <c r="K93" i="91" s="1"/>
  <c r="K125" i="22"/>
  <c r="K129" i="22"/>
  <c r="K10" i="91" s="1"/>
  <c r="K96" i="91" s="1"/>
  <c r="I27" i="56"/>
  <c r="M27" i="70"/>
  <c r="G64" i="90" l="1"/>
  <c r="G13" i="99"/>
  <c r="G9" i="81"/>
  <c r="G90" i="97"/>
  <c r="G104" i="97"/>
  <c r="AG14" i="88"/>
  <c r="AH14" i="88" s="1"/>
  <c r="AH10" i="88"/>
  <c r="G11" i="81"/>
  <c r="G45" i="90"/>
  <c r="O98" i="90"/>
  <c r="L30" i="39"/>
  <c r="L6" i="91"/>
  <c r="L92" i="91" s="1"/>
  <c r="K30" i="39"/>
  <c r="K6" i="91"/>
  <c r="K92" i="91" s="1"/>
  <c r="AG109" i="86"/>
  <c r="AH109" i="86" s="1"/>
  <c r="AG94" i="90"/>
  <c r="AG95" i="90"/>
  <c r="K32" i="39"/>
  <c r="L32" i="39"/>
  <c r="K31" i="39"/>
  <c r="L31" i="39"/>
  <c r="K33" i="39"/>
  <c r="L33" i="39"/>
  <c r="L34" i="39"/>
  <c r="L45" i="76"/>
  <c r="K34" i="39"/>
  <c r="K36" i="88"/>
  <c r="K45" i="88" s="1"/>
  <c r="K46" i="81"/>
  <c r="L131" i="22"/>
  <c r="O52" i="85"/>
  <c r="AG47" i="85"/>
  <c r="AH47" i="85" s="1"/>
  <c r="N37" i="70"/>
  <c r="G60" i="90" l="1"/>
  <c r="G9" i="99"/>
  <c r="G109" i="97"/>
  <c r="G65" i="90" s="1"/>
  <c r="L12" i="91"/>
  <c r="L98" i="91" s="1"/>
  <c r="P4" i="70"/>
  <c r="AG98" i="90"/>
  <c r="K36" i="39"/>
  <c r="L36" i="39"/>
  <c r="L45" i="39" s="1"/>
  <c r="K45" i="76"/>
  <c r="L46" i="81"/>
  <c r="K36" i="82"/>
  <c r="K45" i="82" s="1"/>
  <c r="L36" i="88"/>
  <c r="L45" i="88" s="1"/>
  <c r="L36" i="82"/>
  <c r="L45" i="82" s="1"/>
  <c r="AG52" i="85"/>
  <c r="AH52" i="85" s="1"/>
  <c r="C17" i="56" l="1"/>
  <c r="C18" i="56" s="1"/>
  <c r="N8" i="83" l="1"/>
  <c r="O8" i="83" s="1"/>
  <c r="P8" i="83" s="1"/>
  <c r="L9" i="83"/>
  <c r="M23" i="36" s="1"/>
  <c r="M24" i="36" s="1"/>
  <c r="F29" i="70"/>
  <c r="F6" i="70" s="1"/>
  <c r="E29" i="70"/>
  <c r="E6" i="70" s="1"/>
  <c r="D29" i="70"/>
  <c r="D6" i="70" s="1"/>
  <c r="C29" i="70"/>
  <c r="C6" i="70" s="1"/>
  <c r="N28" i="70"/>
  <c r="R27" i="56" s="1"/>
  <c r="M28" i="70"/>
  <c r="R18" i="56" s="1"/>
  <c r="N27" i="70"/>
  <c r="F27" i="56"/>
  <c r="F18" i="56"/>
  <c r="N12" i="70"/>
  <c r="N13" i="70" s="1"/>
  <c r="O26" i="56" l="1"/>
  <c r="O27" i="56" s="1"/>
  <c r="O17" i="56"/>
  <c r="O18" i="56" s="1"/>
  <c r="N21" i="70"/>
  <c r="N29" i="70"/>
  <c r="M29" i="70"/>
  <c r="M6" i="70" s="1"/>
  <c r="C26" i="56"/>
  <c r="C27" i="56" s="1"/>
  <c r="K131" i="22"/>
  <c r="N6" i="70" l="1"/>
  <c r="K45" i="39"/>
  <c r="K12" i="91"/>
  <c r="K98" i="91" s="1"/>
  <c r="J45" i="39"/>
  <c r="AA31" i="69"/>
  <c r="AA50" i="69" s="1"/>
  <c r="Y31" i="69"/>
  <c r="X31" i="69"/>
  <c r="W31" i="69"/>
  <c r="V31" i="69"/>
  <c r="U31" i="69"/>
  <c r="N31" i="69"/>
  <c r="AA88" i="22" l="1"/>
  <c r="AA107" i="22" s="1"/>
  <c r="F6" i="39"/>
  <c r="AA30" i="69" l="1"/>
  <c r="Y30" i="69"/>
  <c r="X30" i="69"/>
  <c r="W30" i="69"/>
  <c r="V30" i="69"/>
  <c r="AD31" i="69" l="1"/>
  <c r="AA48" i="69" l="1"/>
  <c r="AA86" i="22" l="1"/>
  <c r="AA105" i="22" s="1"/>
  <c r="D30" i="76"/>
  <c r="K66" i="22" l="1"/>
  <c r="M7" i="36"/>
  <c r="K70" i="22"/>
  <c r="G129" i="22"/>
  <c r="G8" i="91"/>
  <c r="G94" i="91" s="1"/>
  <c r="G128" i="22"/>
  <c r="AD47" i="22"/>
  <c r="G10" i="91" l="1"/>
  <c r="G96" i="91" s="1"/>
  <c r="J146" i="22"/>
  <c r="G9" i="91"/>
  <c r="G95" i="91" s="1"/>
  <c r="J145" i="22"/>
  <c r="G33" i="39"/>
  <c r="G34" i="39"/>
  <c r="G32" i="39"/>
  <c r="J142" i="22"/>
  <c r="J147" i="22" l="1"/>
  <c r="G30" i="39"/>
  <c r="G36" i="39" s="1"/>
  <c r="G6" i="91"/>
  <c r="G92" i="91" s="1"/>
  <c r="G46" i="81"/>
  <c r="G36" i="88"/>
  <c r="G45" i="88" s="1"/>
  <c r="G45" i="76"/>
  <c r="G36" i="82"/>
  <c r="G45" i="82" s="1"/>
  <c r="D9" i="83" l="1"/>
  <c r="E23" i="36" s="1"/>
  <c r="E24" i="36" s="1"/>
  <c r="F9" i="36" l="1"/>
  <c r="G25" i="36" s="1"/>
  <c r="J51" i="69" l="1"/>
  <c r="J50" i="69"/>
  <c r="J49" i="69"/>
  <c r="J48" i="69"/>
  <c r="J85" i="79"/>
  <c r="N51" i="69"/>
  <c r="N48" i="69"/>
  <c r="E28" i="69"/>
  <c r="AA49" i="69"/>
  <c r="AD32" i="69"/>
  <c r="AC32" i="69" s="1"/>
  <c r="U51" i="69"/>
  <c r="U89" i="97" s="1"/>
  <c r="I32" i="69"/>
  <c r="H32" i="69"/>
  <c r="F32" i="69"/>
  <c r="E32" i="69"/>
  <c r="D32" i="69"/>
  <c r="AC31" i="69"/>
  <c r="U50" i="69"/>
  <c r="D31" i="69"/>
  <c r="I31" i="69"/>
  <c r="H31" i="69"/>
  <c r="F31" i="69"/>
  <c r="E31" i="69"/>
  <c r="AC30" i="69"/>
  <c r="X49" i="69"/>
  <c r="I30" i="69"/>
  <c r="H30" i="69"/>
  <c r="F30" i="69"/>
  <c r="E30" i="69"/>
  <c r="AD29" i="69"/>
  <c r="AC29" i="69" s="1"/>
  <c r="W48" i="69"/>
  <c r="I29" i="69"/>
  <c r="H29" i="69"/>
  <c r="F29" i="69"/>
  <c r="E29" i="69"/>
  <c r="D29" i="69"/>
  <c r="AD28" i="69"/>
  <c r="AC28" i="69" s="1"/>
  <c r="I28" i="69"/>
  <c r="H28" i="69"/>
  <c r="L52" i="69"/>
  <c r="Z51" i="69"/>
  <c r="Z50" i="69"/>
  <c r="Z49" i="69"/>
  <c r="Z48" i="69"/>
  <c r="Z47" i="69"/>
  <c r="X45" i="69"/>
  <c r="U45" i="69"/>
  <c r="K45" i="69"/>
  <c r="Y45" i="69" s="1"/>
  <c r="H45" i="69"/>
  <c r="V45" i="69" s="1"/>
  <c r="D45" i="69"/>
  <c r="D44" i="69"/>
  <c r="N41" i="69"/>
  <c r="AC41" i="69" s="1"/>
  <c r="L33" i="69"/>
  <c r="J33" i="69"/>
  <c r="Z32" i="69"/>
  <c r="Z31" i="69"/>
  <c r="Z30" i="69"/>
  <c r="Z29" i="69"/>
  <c r="Z28" i="69"/>
  <c r="X26" i="69"/>
  <c r="U26" i="69"/>
  <c r="K26" i="69"/>
  <c r="Y26" i="69" s="1"/>
  <c r="H26" i="69"/>
  <c r="V26" i="69" s="1"/>
  <c r="D26" i="69"/>
  <c r="D25" i="69"/>
  <c r="N22" i="69"/>
  <c r="AC22" i="69" s="1"/>
  <c r="Y7" i="69"/>
  <c r="X7" i="69"/>
  <c r="V7" i="69"/>
  <c r="U7" i="69"/>
  <c r="AC3" i="69"/>
  <c r="AA87" i="97" l="1"/>
  <c r="AA87" i="22"/>
  <c r="AA106" i="22" s="1"/>
  <c r="Z89" i="79"/>
  <c r="Z108" i="79" s="1"/>
  <c r="Z89" i="97"/>
  <c r="Z108" i="97" s="1"/>
  <c r="Z85" i="79"/>
  <c r="Z104" i="79" s="1"/>
  <c r="Z9" i="81" s="1"/>
  <c r="Z85" i="97"/>
  <c r="J87" i="79"/>
  <c r="J87" i="97"/>
  <c r="Z87" i="79"/>
  <c r="Z106" i="79" s="1"/>
  <c r="Z45" i="90" s="1"/>
  <c r="Z87" i="97"/>
  <c r="Z106" i="97" s="1"/>
  <c r="J89" i="79"/>
  <c r="J89" i="97"/>
  <c r="J108" i="97" s="1"/>
  <c r="U108" i="97"/>
  <c r="N89" i="79"/>
  <c r="N89" i="97"/>
  <c r="N108" i="97" s="1"/>
  <c r="X87" i="79"/>
  <c r="X106" i="79" s="1"/>
  <c r="X11" i="81" s="1"/>
  <c r="X106" i="97"/>
  <c r="AA87" i="79"/>
  <c r="AA106" i="79" s="1"/>
  <c r="AC106" i="79"/>
  <c r="K29" i="69"/>
  <c r="M29" i="69" s="1"/>
  <c r="O29" i="69" s="1"/>
  <c r="K32" i="69"/>
  <c r="K31" i="69"/>
  <c r="M31" i="69" s="1"/>
  <c r="O31" i="69" s="1"/>
  <c r="N86" i="22"/>
  <c r="N86" i="75"/>
  <c r="J86" i="22"/>
  <c r="J86" i="75"/>
  <c r="W86" i="22"/>
  <c r="W105" i="85"/>
  <c r="W86" i="75"/>
  <c r="W105" i="75" s="1"/>
  <c r="U89" i="22"/>
  <c r="U89" i="79"/>
  <c r="AA106" i="85"/>
  <c r="AA106" i="75"/>
  <c r="N89" i="22"/>
  <c r="J87" i="22"/>
  <c r="U88" i="22"/>
  <c r="U88" i="75"/>
  <c r="AA107" i="85"/>
  <c r="AA88" i="75"/>
  <c r="AA107" i="75" s="1"/>
  <c r="AA108" i="85"/>
  <c r="J88" i="22"/>
  <c r="J88" i="75"/>
  <c r="X87" i="22"/>
  <c r="X106" i="85"/>
  <c r="X106" i="75"/>
  <c r="J85" i="22"/>
  <c r="J85" i="75"/>
  <c r="J89" i="22"/>
  <c r="AE32" i="69"/>
  <c r="E49" i="69"/>
  <c r="E106" i="97" s="1"/>
  <c r="D30" i="69"/>
  <c r="K30" i="69" s="1"/>
  <c r="M30" i="69" s="1"/>
  <c r="AE29" i="69"/>
  <c r="AB30" i="69"/>
  <c r="Y47" i="69"/>
  <c r="E50" i="69"/>
  <c r="E88" i="22" s="1"/>
  <c r="E47" i="69"/>
  <c r="AB28" i="69"/>
  <c r="D28" i="69"/>
  <c r="V51" i="69"/>
  <c r="V89" i="97" s="1"/>
  <c r="V108" i="97" s="1"/>
  <c r="H51" i="69"/>
  <c r="W51" i="69"/>
  <c r="W89" i="97" s="1"/>
  <c r="W108" i="97" s="1"/>
  <c r="E51" i="69"/>
  <c r="Y51" i="69"/>
  <c r="Y89" i="97" s="1"/>
  <c r="Y108" i="97" s="1"/>
  <c r="AD51" i="69"/>
  <c r="AE89" i="97" s="1"/>
  <c r="AE108" i="97" s="1"/>
  <c r="I51" i="69"/>
  <c r="X51" i="69"/>
  <c r="X89" i="97" s="1"/>
  <c r="X108" i="97" s="1"/>
  <c r="D51" i="69"/>
  <c r="W50" i="69"/>
  <c r="X50" i="69"/>
  <c r="V50" i="69"/>
  <c r="F50" i="69"/>
  <c r="AD50" i="69"/>
  <c r="I50" i="69"/>
  <c r="Y50" i="69"/>
  <c r="D50" i="69"/>
  <c r="D88" i="22" s="1"/>
  <c r="U49" i="69"/>
  <c r="H49" i="69"/>
  <c r="W49" i="69"/>
  <c r="Y49" i="69"/>
  <c r="F49" i="69"/>
  <c r="AD49" i="69"/>
  <c r="V49" i="69"/>
  <c r="H48" i="69"/>
  <c r="U48" i="69"/>
  <c r="Y33" i="69"/>
  <c r="I48" i="69"/>
  <c r="F48" i="69"/>
  <c r="F33" i="69"/>
  <c r="D48" i="69"/>
  <c r="V48" i="69"/>
  <c r="AD48" i="69"/>
  <c r="V47" i="69"/>
  <c r="I47" i="69"/>
  <c r="X47" i="69"/>
  <c r="U47" i="69"/>
  <c r="H47" i="69"/>
  <c r="W47" i="69"/>
  <c r="AA47" i="69"/>
  <c r="AD47" i="69"/>
  <c r="V33" i="69"/>
  <c r="H50" i="69"/>
  <c r="F51" i="69"/>
  <c r="F89" i="97" s="1"/>
  <c r="I49" i="69"/>
  <c r="E48" i="69"/>
  <c r="E86" i="22" s="1"/>
  <c r="X48" i="69"/>
  <c r="Y48" i="69"/>
  <c r="F14" i="69"/>
  <c r="H33" i="69"/>
  <c r="J52" i="69"/>
  <c r="E33" i="69"/>
  <c r="I33" i="69"/>
  <c r="F47" i="69"/>
  <c r="U33" i="69"/>
  <c r="AD33" i="69"/>
  <c r="AA33" i="69"/>
  <c r="W33" i="69"/>
  <c r="AC33" i="69"/>
  <c r="Z33" i="69"/>
  <c r="V14" i="69"/>
  <c r="AC47" i="69"/>
  <c r="AC49" i="69"/>
  <c r="J14" i="69"/>
  <c r="Z14" i="69"/>
  <c r="X33" i="69"/>
  <c r="I14" i="69"/>
  <c r="AD14" i="69"/>
  <c r="W14" i="69"/>
  <c r="AC50" i="69"/>
  <c r="E14" i="69"/>
  <c r="N14" i="69"/>
  <c r="Z52" i="69"/>
  <c r="X14" i="69"/>
  <c r="H14" i="69"/>
  <c r="L14" i="69"/>
  <c r="U14" i="69"/>
  <c r="AA90" i="97" l="1"/>
  <c r="AA106" i="97"/>
  <c r="Z11" i="81"/>
  <c r="AA85" i="79"/>
  <c r="AA52" i="69"/>
  <c r="AA85" i="22"/>
  <c r="AA104" i="22" s="1"/>
  <c r="AA109" i="22" s="1"/>
  <c r="Z62" i="90"/>
  <c r="Z11" i="99"/>
  <c r="J90" i="97"/>
  <c r="J106" i="97"/>
  <c r="Z90" i="97"/>
  <c r="Z104" i="97"/>
  <c r="Z64" i="90"/>
  <c r="Z13" i="99"/>
  <c r="Z90" i="79"/>
  <c r="Z43" i="90"/>
  <c r="J64" i="90"/>
  <c r="J13" i="99"/>
  <c r="J19" i="94"/>
  <c r="J27" i="94" s="1"/>
  <c r="X45" i="90"/>
  <c r="E62" i="90"/>
  <c r="E11" i="99"/>
  <c r="AD87" i="79"/>
  <c r="V87" i="79"/>
  <c r="V106" i="79" s="1"/>
  <c r="V11" i="81" s="1"/>
  <c r="V106" i="97"/>
  <c r="AE87" i="79"/>
  <c r="AE106" i="79" s="1"/>
  <c r="AE11" i="81" s="1"/>
  <c r="AE106" i="97"/>
  <c r="F87" i="79"/>
  <c r="F106" i="79" s="1"/>
  <c r="F106" i="97"/>
  <c r="I87" i="79"/>
  <c r="I106" i="79" s="1"/>
  <c r="I11" i="81" s="1"/>
  <c r="I106" i="97"/>
  <c r="Y87" i="79"/>
  <c r="Y106" i="79" s="1"/>
  <c r="Y45" i="90" s="1"/>
  <c r="Y106" i="97"/>
  <c r="D89" i="22"/>
  <c r="H146" i="22" s="1"/>
  <c r="D89" i="97"/>
  <c r="X62" i="90"/>
  <c r="X11" i="99"/>
  <c r="F108" i="97"/>
  <c r="W87" i="79"/>
  <c r="W106" i="79" s="1"/>
  <c r="W45" i="90" s="1"/>
  <c r="W106" i="97"/>
  <c r="X13" i="99"/>
  <c r="X64" i="90"/>
  <c r="H87" i="79"/>
  <c r="H106" i="79" s="1"/>
  <c r="H11" i="81" s="1"/>
  <c r="H106" i="97"/>
  <c r="I89" i="79"/>
  <c r="I108" i="79" s="1"/>
  <c r="I89" i="97"/>
  <c r="I108" i="97" s="1"/>
  <c r="J7" i="98"/>
  <c r="N64" i="90"/>
  <c r="N13" i="99"/>
  <c r="Y64" i="90"/>
  <c r="Y13" i="99"/>
  <c r="U87" i="79"/>
  <c r="U106" i="79" s="1"/>
  <c r="U64" i="90"/>
  <c r="U13" i="99"/>
  <c r="W13" i="99"/>
  <c r="W64" i="90"/>
  <c r="H89" i="79"/>
  <c r="H89" i="97"/>
  <c r="H108" i="97" s="1"/>
  <c r="AD108" i="97"/>
  <c r="AE64" i="90"/>
  <c r="AE13" i="99"/>
  <c r="E89" i="22"/>
  <c r="E89" i="97"/>
  <c r="E108" i="97" s="1"/>
  <c r="V64" i="90"/>
  <c r="V13" i="99"/>
  <c r="AA62" i="90"/>
  <c r="AA11" i="99"/>
  <c r="AA109" i="97"/>
  <c r="AA65" i="90" s="1"/>
  <c r="AE85" i="79"/>
  <c r="AC90" i="97"/>
  <c r="AC104" i="97"/>
  <c r="W85" i="79"/>
  <c r="W104" i="79" s="1"/>
  <c r="W9" i="81" s="1"/>
  <c r="AD85" i="79"/>
  <c r="H85" i="79"/>
  <c r="H104" i="79" s="1"/>
  <c r="H43" i="90" s="1"/>
  <c r="F85" i="79"/>
  <c r="F104" i="79" s="1"/>
  <c r="F43" i="90" s="1"/>
  <c r="U85" i="79"/>
  <c r="U104" i="79" s="1"/>
  <c r="X85" i="79"/>
  <c r="X104" i="79" s="1"/>
  <c r="X9" i="81" s="1"/>
  <c r="Y85" i="79"/>
  <c r="Y104" i="79" s="1"/>
  <c r="Y9" i="81" s="1"/>
  <c r="I85" i="79"/>
  <c r="I104" i="79" s="1"/>
  <c r="I9" i="81" s="1"/>
  <c r="V85" i="79"/>
  <c r="V104" i="79" s="1"/>
  <c r="V9" i="81" s="1"/>
  <c r="E85" i="79"/>
  <c r="E104" i="79" s="1"/>
  <c r="E9" i="81" s="1"/>
  <c r="AA11" i="81"/>
  <c r="Z47" i="90"/>
  <c r="M32" i="69"/>
  <c r="O32" i="69" s="1"/>
  <c r="AF32" i="69" s="1"/>
  <c r="AG32" i="69" s="1"/>
  <c r="K28" i="69"/>
  <c r="M28" i="69" s="1"/>
  <c r="AE30" i="69"/>
  <c r="AB49" i="69"/>
  <c r="AB87" i="97" s="1"/>
  <c r="AB106" i="97" s="1"/>
  <c r="AE28" i="69"/>
  <c r="AB47" i="69"/>
  <c r="AB85" i="97" s="1"/>
  <c r="D86" i="22"/>
  <c r="H143" i="22" s="1"/>
  <c r="K48" i="69"/>
  <c r="M48" i="69" s="1"/>
  <c r="O48" i="69" s="1"/>
  <c r="AA45" i="90"/>
  <c r="AC11" i="39"/>
  <c r="AC11" i="90"/>
  <c r="AC11" i="81"/>
  <c r="AC45" i="90"/>
  <c r="AA104" i="79"/>
  <c r="E87" i="79"/>
  <c r="E106" i="79" s="1"/>
  <c r="E87" i="22"/>
  <c r="AA12" i="82"/>
  <c r="AA79" i="90"/>
  <c r="AA11" i="82"/>
  <c r="AA78" i="90"/>
  <c r="AA13" i="82"/>
  <c r="AA80" i="90"/>
  <c r="X11" i="82"/>
  <c r="X78" i="90"/>
  <c r="W10" i="82"/>
  <c r="W77" i="90"/>
  <c r="AA12" i="76"/>
  <c r="AA29" i="90"/>
  <c r="X11" i="76"/>
  <c r="X28" i="90"/>
  <c r="AA11" i="76"/>
  <c r="AA28" i="90"/>
  <c r="W10" i="76"/>
  <c r="W27" i="90"/>
  <c r="D47" i="69"/>
  <c r="K50" i="69"/>
  <c r="M50" i="69" s="1"/>
  <c r="K51" i="69"/>
  <c r="H87" i="22"/>
  <c r="G106" i="85"/>
  <c r="H106" i="85"/>
  <c r="H106" i="75"/>
  <c r="G106" i="75"/>
  <c r="G106" i="22"/>
  <c r="G25" i="93" s="1"/>
  <c r="G34" i="93" s="1"/>
  <c r="I89" i="22"/>
  <c r="I108" i="85"/>
  <c r="Z13" i="81"/>
  <c r="Z109" i="79"/>
  <c r="Z48" i="90" s="1"/>
  <c r="U107" i="85"/>
  <c r="Y86" i="22"/>
  <c r="Y105" i="85"/>
  <c r="Y86" i="75"/>
  <c r="Y105" i="75" s="1"/>
  <c r="F89" i="22"/>
  <c r="F108" i="85"/>
  <c r="F80" i="90" s="1"/>
  <c r="F89" i="79"/>
  <c r="X85" i="22"/>
  <c r="V86" i="22"/>
  <c r="V105" i="85"/>
  <c r="V86" i="75"/>
  <c r="V105" i="75" s="1"/>
  <c r="AA105" i="85"/>
  <c r="AA86" i="75"/>
  <c r="AA105" i="75" s="1"/>
  <c r="H86" i="22"/>
  <c r="G105" i="85"/>
  <c r="H105" i="85"/>
  <c r="G105" i="75"/>
  <c r="H86" i="75"/>
  <c r="H105" i="75" s="1"/>
  <c r="G105" i="22"/>
  <c r="G24" i="93" s="1"/>
  <c r="G33" i="93" s="1"/>
  <c r="Y87" i="22"/>
  <c r="Y106" i="85"/>
  <c r="Y106" i="75"/>
  <c r="D88" i="75"/>
  <c r="F88" i="22"/>
  <c r="F107" i="85"/>
  <c r="F79" i="90" s="1"/>
  <c r="F88" i="75"/>
  <c r="F107" i="75" s="1"/>
  <c r="F29" i="90" s="1"/>
  <c r="D89" i="79"/>
  <c r="I129" i="79" s="1"/>
  <c r="Y89" i="22"/>
  <c r="Y108" i="85"/>
  <c r="Y89" i="79"/>
  <c r="V89" i="22"/>
  <c r="V108" i="85"/>
  <c r="V89" i="79"/>
  <c r="E85" i="22"/>
  <c r="J90" i="75"/>
  <c r="U108" i="79"/>
  <c r="I88" i="22"/>
  <c r="I107" i="85"/>
  <c r="I88" i="75"/>
  <c r="I107" i="75" s="1"/>
  <c r="X86" i="22"/>
  <c r="X105" i="85"/>
  <c r="X86" i="75"/>
  <c r="X105" i="75" s="1"/>
  <c r="H88" i="22"/>
  <c r="H107" i="85"/>
  <c r="G107" i="85"/>
  <c r="H88" i="75"/>
  <c r="H107" i="75" s="1"/>
  <c r="G107" i="75"/>
  <c r="G107" i="22"/>
  <c r="G26" i="93" s="1"/>
  <c r="G35" i="93" s="1"/>
  <c r="W85" i="22"/>
  <c r="I85" i="22"/>
  <c r="D86" i="75"/>
  <c r="I126" i="75" s="1"/>
  <c r="I86" i="22"/>
  <c r="I105" i="85"/>
  <c r="I86" i="75"/>
  <c r="I105" i="75" s="1"/>
  <c r="V87" i="22"/>
  <c r="V106" i="85"/>
  <c r="V106" i="75"/>
  <c r="W87" i="22"/>
  <c r="W106" i="85"/>
  <c r="W106" i="75"/>
  <c r="Y88" i="22"/>
  <c r="Y107" i="85"/>
  <c r="Y88" i="75"/>
  <c r="Y107" i="75" s="1"/>
  <c r="V88" i="22"/>
  <c r="V107" i="85"/>
  <c r="V88" i="75"/>
  <c r="V107" i="75" s="1"/>
  <c r="X89" i="22"/>
  <c r="X108" i="85"/>
  <c r="X89" i="79"/>
  <c r="E108" i="85"/>
  <c r="E80" i="90" s="1"/>
  <c r="E89" i="79"/>
  <c r="E107" i="85"/>
  <c r="E79" i="90" s="1"/>
  <c r="E88" i="75"/>
  <c r="E107" i="75" s="1"/>
  <c r="E29" i="90" s="1"/>
  <c r="J104" i="85"/>
  <c r="J90" i="85"/>
  <c r="J107" i="85"/>
  <c r="U107" i="75"/>
  <c r="U29" i="90" s="1"/>
  <c r="J106" i="85"/>
  <c r="U108" i="85"/>
  <c r="AB86" i="75"/>
  <c r="AB105" i="75" s="1"/>
  <c r="N105" i="75"/>
  <c r="N27" i="90" s="1"/>
  <c r="H85" i="22"/>
  <c r="E105" i="22"/>
  <c r="E24" i="93" s="1"/>
  <c r="E33" i="93" s="1"/>
  <c r="E105" i="85"/>
  <c r="E77" i="90" s="1"/>
  <c r="E86" i="75"/>
  <c r="E105" i="75" s="1"/>
  <c r="E27" i="90" s="1"/>
  <c r="AE87" i="22"/>
  <c r="AE106" i="85"/>
  <c r="AE106" i="75"/>
  <c r="X88" i="22"/>
  <c r="X107" i="85"/>
  <c r="X88" i="75"/>
  <c r="X107" i="75" s="1"/>
  <c r="W89" i="22"/>
  <c r="W108" i="85"/>
  <c r="W89" i="79"/>
  <c r="Y85" i="22"/>
  <c r="J108" i="85"/>
  <c r="AB105" i="85"/>
  <c r="N105" i="85"/>
  <c r="N77" i="90" s="1"/>
  <c r="I87" i="22"/>
  <c r="I106" i="85"/>
  <c r="I106" i="75"/>
  <c r="AE85" i="22"/>
  <c r="AD85" i="75"/>
  <c r="U85" i="22"/>
  <c r="AE86" i="22"/>
  <c r="AE105" i="85"/>
  <c r="AE86" i="75"/>
  <c r="AE105" i="75" s="1"/>
  <c r="F86" i="22"/>
  <c r="F105" i="85"/>
  <c r="F77" i="90" s="1"/>
  <c r="F86" i="75"/>
  <c r="F105" i="75" s="1"/>
  <c r="F27" i="90" s="1"/>
  <c r="U86" i="22"/>
  <c r="U86" i="75"/>
  <c r="F87" i="22"/>
  <c r="F106" i="85"/>
  <c r="F78" i="90" s="1"/>
  <c r="F106" i="75"/>
  <c r="F28" i="90" s="1"/>
  <c r="U87" i="22"/>
  <c r="AE88" i="22"/>
  <c r="AE107" i="85"/>
  <c r="AE88" i="75"/>
  <c r="AE107" i="75" s="1"/>
  <c r="W88" i="22"/>
  <c r="W107" i="85"/>
  <c r="W88" i="75"/>
  <c r="W107" i="75" s="1"/>
  <c r="AE89" i="22"/>
  <c r="AE108" i="85"/>
  <c r="AE89" i="79"/>
  <c r="H89" i="22"/>
  <c r="G108" i="85"/>
  <c r="H108" i="85"/>
  <c r="G108" i="22"/>
  <c r="G27" i="93" s="1"/>
  <c r="G36" i="93" s="1"/>
  <c r="E106" i="85"/>
  <c r="E78" i="90" s="1"/>
  <c r="E106" i="75"/>
  <c r="E28" i="90" s="1"/>
  <c r="AA90" i="79"/>
  <c r="AA108" i="79"/>
  <c r="AB108" i="85"/>
  <c r="N108" i="85"/>
  <c r="N80" i="90" s="1"/>
  <c r="J105" i="85"/>
  <c r="AB51" i="69"/>
  <c r="D33" i="69"/>
  <c r="D49" i="69"/>
  <c r="O30" i="69"/>
  <c r="N49" i="69"/>
  <c r="N87" i="97" s="1"/>
  <c r="N106" i="97" s="1"/>
  <c r="AD52" i="69"/>
  <c r="AB31" i="69"/>
  <c r="AE31" i="69" s="1"/>
  <c r="N50" i="69"/>
  <c r="Y14" i="69"/>
  <c r="Y16" i="69" s="1"/>
  <c r="N33" i="69"/>
  <c r="N47" i="69"/>
  <c r="W52" i="69"/>
  <c r="V52" i="69"/>
  <c r="V85" i="22"/>
  <c r="U52" i="69"/>
  <c r="H52" i="69"/>
  <c r="Y52" i="69"/>
  <c r="I52" i="69"/>
  <c r="X52" i="69"/>
  <c r="E52" i="69"/>
  <c r="F52" i="69"/>
  <c r="F85" i="22"/>
  <c r="AF13" i="69"/>
  <c r="AG13" i="69" s="1"/>
  <c r="AC51" i="69"/>
  <c r="AF10" i="69"/>
  <c r="AG10" i="69" s="1"/>
  <c r="AC48" i="69"/>
  <c r="Y35" i="69"/>
  <c r="AF29" i="69"/>
  <c r="AG29" i="69" s="1"/>
  <c r="AF12" i="69"/>
  <c r="AG12" i="69" s="1"/>
  <c r="AF11" i="69"/>
  <c r="AG11" i="69" s="1"/>
  <c r="AC14" i="69"/>
  <c r="AB14" i="69"/>
  <c r="Z14" i="81" l="1"/>
  <c r="Y11" i="81"/>
  <c r="Z109" i="97"/>
  <c r="Z65" i="90" s="1"/>
  <c r="Z9" i="99"/>
  <c r="Z14" i="99" s="1"/>
  <c r="Z60" i="90"/>
  <c r="J62" i="90"/>
  <c r="J11" i="99"/>
  <c r="J14" i="99" s="1"/>
  <c r="J109" i="97"/>
  <c r="J65" i="90" s="1"/>
  <c r="AE104" i="79"/>
  <c r="AE43" i="90" s="1"/>
  <c r="H9" i="81"/>
  <c r="H45" i="90"/>
  <c r="AE33" i="69"/>
  <c r="V43" i="90"/>
  <c r="K89" i="97"/>
  <c r="M89" i="97" s="1"/>
  <c r="O89" i="97" s="1"/>
  <c r="I43" i="90"/>
  <c r="W43" i="90"/>
  <c r="Y43" i="90"/>
  <c r="W11" i="81"/>
  <c r="U90" i="79"/>
  <c r="V45" i="90"/>
  <c r="AD89" i="79"/>
  <c r="AD90" i="79" s="1"/>
  <c r="AD89" i="97"/>
  <c r="AD90" i="97" s="1"/>
  <c r="F9" i="81"/>
  <c r="X43" i="90"/>
  <c r="I62" i="90"/>
  <c r="I11" i="99"/>
  <c r="AF87" i="97"/>
  <c r="U106" i="97"/>
  <c r="W11" i="99"/>
  <c r="W62" i="90"/>
  <c r="F62" i="90"/>
  <c r="F11" i="99"/>
  <c r="AB89" i="79"/>
  <c r="AB89" i="97"/>
  <c r="AB90" i="97" s="1"/>
  <c r="AB62" i="90"/>
  <c r="AB11" i="99"/>
  <c r="E64" i="90"/>
  <c r="E13" i="99"/>
  <c r="AE45" i="90"/>
  <c r="F64" i="90"/>
  <c r="F13" i="99"/>
  <c r="AD106" i="97"/>
  <c r="AE62" i="90"/>
  <c r="AE11" i="99"/>
  <c r="H64" i="90"/>
  <c r="H13" i="99"/>
  <c r="V62" i="90"/>
  <c r="V11" i="99"/>
  <c r="AD64" i="90"/>
  <c r="AD13" i="99"/>
  <c r="I45" i="90"/>
  <c r="I13" i="99"/>
  <c r="I64" i="90"/>
  <c r="H146" i="97"/>
  <c r="G7" i="98" s="1"/>
  <c r="H7" i="98" s="1"/>
  <c r="I129" i="97"/>
  <c r="D108" i="97"/>
  <c r="N62" i="90"/>
  <c r="J5" i="98"/>
  <c r="N11" i="99"/>
  <c r="H11" i="99"/>
  <c r="H62" i="90"/>
  <c r="Y11" i="99"/>
  <c r="Y62" i="90"/>
  <c r="I90" i="79"/>
  <c r="D87" i="22"/>
  <c r="K87" i="22" s="1"/>
  <c r="F90" i="97"/>
  <c r="F104" i="97"/>
  <c r="AB104" i="97"/>
  <c r="E90" i="97"/>
  <c r="E104" i="97"/>
  <c r="V90" i="97"/>
  <c r="V104" i="97"/>
  <c r="H90" i="97"/>
  <c r="H104" i="97"/>
  <c r="I90" i="97"/>
  <c r="I104" i="97"/>
  <c r="N85" i="79"/>
  <c r="N104" i="79" s="1"/>
  <c r="J3" i="80" s="1"/>
  <c r="N85" i="97"/>
  <c r="AF85" i="97"/>
  <c r="Y90" i="97"/>
  <c r="Y104" i="97"/>
  <c r="W90" i="97"/>
  <c r="W104" i="97"/>
  <c r="X90" i="97"/>
  <c r="X104" i="97"/>
  <c r="AC60" i="90"/>
  <c r="AC9" i="99"/>
  <c r="AC109" i="97"/>
  <c r="AC65" i="90" s="1"/>
  <c r="E43" i="90"/>
  <c r="D85" i="22"/>
  <c r="U90" i="97"/>
  <c r="U104" i="97"/>
  <c r="AE90" i="97"/>
  <c r="AE104" i="97"/>
  <c r="AC112" i="90"/>
  <c r="E45" i="90"/>
  <c r="I47" i="90"/>
  <c r="AA47" i="90"/>
  <c r="AA9" i="81"/>
  <c r="U47" i="90"/>
  <c r="AF30" i="69"/>
  <c r="AG30" i="69" s="1"/>
  <c r="AA43" i="90"/>
  <c r="J16" i="94"/>
  <c r="J24" i="94" s="1"/>
  <c r="AC90" i="22"/>
  <c r="AC104" i="79"/>
  <c r="AC90" i="79"/>
  <c r="G13" i="90"/>
  <c r="G12" i="90"/>
  <c r="G11" i="90"/>
  <c r="E10" i="90"/>
  <c r="E111" i="90" s="1"/>
  <c r="G10" i="90"/>
  <c r="E11" i="81"/>
  <c r="AE49" i="69"/>
  <c r="AB87" i="79"/>
  <c r="F45" i="90"/>
  <c r="F11" i="81"/>
  <c r="O87" i="75"/>
  <c r="N87" i="79"/>
  <c r="N106" i="79" s="1"/>
  <c r="U11" i="81"/>
  <c r="U45" i="90"/>
  <c r="K49" i="69"/>
  <c r="M49" i="69" s="1"/>
  <c r="O49" i="69" s="1"/>
  <c r="D87" i="79"/>
  <c r="J10" i="82"/>
  <c r="J77" i="90"/>
  <c r="J13" i="82"/>
  <c r="J80" i="90"/>
  <c r="J11" i="82"/>
  <c r="J78" i="90"/>
  <c r="J9" i="82"/>
  <c r="J76" i="90"/>
  <c r="J12" i="82"/>
  <c r="J79" i="90"/>
  <c r="AE12" i="82"/>
  <c r="AE79" i="90"/>
  <c r="AE11" i="82"/>
  <c r="AE78" i="90"/>
  <c r="U13" i="82"/>
  <c r="U80" i="90"/>
  <c r="W11" i="82"/>
  <c r="W78" i="90"/>
  <c r="H12" i="82"/>
  <c r="H79" i="90"/>
  <c r="Y13" i="82"/>
  <c r="Y80" i="90"/>
  <c r="G10" i="82"/>
  <c r="G77" i="90"/>
  <c r="U12" i="82"/>
  <c r="U79" i="90"/>
  <c r="H11" i="82"/>
  <c r="H78" i="90"/>
  <c r="V13" i="82"/>
  <c r="V80" i="90"/>
  <c r="G11" i="82"/>
  <c r="G78" i="90"/>
  <c r="Y12" i="82"/>
  <c r="Y79" i="90"/>
  <c r="H13" i="82"/>
  <c r="H80" i="90"/>
  <c r="AB10" i="82"/>
  <c r="AB77" i="90"/>
  <c r="W13" i="82"/>
  <c r="W80" i="90"/>
  <c r="V12" i="82"/>
  <c r="V79" i="90"/>
  <c r="I10" i="82"/>
  <c r="I77" i="90"/>
  <c r="I12" i="82"/>
  <c r="I79" i="90"/>
  <c r="Y11" i="82"/>
  <c r="Y78" i="90"/>
  <c r="V10" i="82"/>
  <c r="V77" i="90"/>
  <c r="Y10" i="82"/>
  <c r="Y77" i="90"/>
  <c r="W12" i="82"/>
  <c r="W79" i="90"/>
  <c r="AE10" i="82"/>
  <c r="AE77" i="90"/>
  <c r="X12" i="82"/>
  <c r="X79" i="90"/>
  <c r="AE13" i="82"/>
  <c r="AE80" i="90"/>
  <c r="AB13" i="82"/>
  <c r="AB80" i="90"/>
  <c r="G13" i="82"/>
  <c r="G80" i="90"/>
  <c r="I11" i="82"/>
  <c r="I78" i="90"/>
  <c r="X13" i="82"/>
  <c r="X80" i="90"/>
  <c r="V11" i="82"/>
  <c r="V78" i="90"/>
  <c r="G12" i="82"/>
  <c r="G79" i="90"/>
  <c r="X10" i="82"/>
  <c r="X77" i="90"/>
  <c r="H10" i="82"/>
  <c r="H77" i="90"/>
  <c r="AA10" i="82"/>
  <c r="AA77" i="90"/>
  <c r="I13" i="82"/>
  <c r="I80" i="90"/>
  <c r="I34" i="81"/>
  <c r="I39" i="91"/>
  <c r="W12" i="76"/>
  <c r="W29" i="90"/>
  <c r="X12" i="76"/>
  <c r="X29" i="90"/>
  <c r="H12" i="76"/>
  <c r="H29" i="90"/>
  <c r="AE12" i="76"/>
  <c r="AE29" i="90"/>
  <c r="Y12" i="76"/>
  <c r="Y29" i="90"/>
  <c r="V12" i="76"/>
  <c r="V29" i="90"/>
  <c r="G12" i="76"/>
  <c r="G29" i="90"/>
  <c r="I12" i="76"/>
  <c r="I29" i="90"/>
  <c r="Y11" i="76"/>
  <c r="Y28" i="90"/>
  <c r="I11" i="76"/>
  <c r="I28" i="90"/>
  <c r="V11" i="76"/>
  <c r="V28" i="90"/>
  <c r="G11" i="76"/>
  <c r="G28" i="90"/>
  <c r="AE11" i="76"/>
  <c r="AE28" i="90"/>
  <c r="W11" i="76"/>
  <c r="W28" i="90"/>
  <c r="H11" i="76"/>
  <c r="H28" i="90"/>
  <c r="AB10" i="76"/>
  <c r="AB27" i="90"/>
  <c r="I31" i="76"/>
  <c r="I22" i="91"/>
  <c r="I10" i="76"/>
  <c r="I27" i="90"/>
  <c r="H10" i="76"/>
  <c r="H27" i="90"/>
  <c r="V10" i="76"/>
  <c r="V27" i="90"/>
  <c r="Y10" i="76"/>
  <c r="Y27" i="90"/>
  <c r="AE10" i="76"/>
  <c r="AE27" i="90"/>
  <c r="X10" i="76"/>
  <c r="X27" i="90"/>
  <c r="G10" i="76"/>
  <c r="G27" i="90"/>
  <c r="AA10" i="76"/>
  <c r="AA27" i="90"/>
  <c r="U9" i="81"/>
  <c r="U43" i="90"/>
  <c r="G4" i="36"/>
  <c r="D105" i="22"/>
  <c r="AE47" i="69"/>
  <c r="AB85" i="79"/>
  <c r="AB104" i="79" s="1"/>
  <c r="K47" i="69"/>
  <c r="M47" i="69" s="1"/>
  <c r="O47" i="69" s="1"/>
  <c r="D85" i="79"/>
  <c r="I126" i="22"/>
  <c r="I7" i="91" s="1"/>
  <c r="I129" i="22"/>
  <c r="I10" i="91" s="1"/>
  <c r="K86" i="22"/>
  <c r="K89" i="22"/>
  <c r="K88" i="22"/>
  <c r="AE90" i="22"/>
  <c r="N13" i="82"/>
  <c r="J7" i="83"/>
  <c r="F11" i="82"/>
  <c r="E10" i="82"/>
  <c r="E13" i="82"/>
  <c r="E12" i="82"/>
  <c r="E11" i="82"/>
  <c r="F12" i="82"/>
  <c r="F13" i="82"/>
  <c r="F10" i="82"/>
  <c r="J4" i="83"/>
  <c r="N10" i="82"/>
  <c r="AD107" i="85"/>
  <c r="AD106" i="85"/>
  <c r="AD105" i="85"/>
  <c r="AA13" i="81"/>
  <c r="AA109" i="79"/>
  <c r="AA48" i="90" s="1"/>
  <c r="U106" i="85"/>
  <c r="Y90" i="85"/>
  <c r="Y104" i="85"/>
  <c r="Y76" i="90" s="1"/>
  <c r="E11" i="76"/>
  <c r="G90" i="79"/>
  <c r="G108" i="79"/>
  <c r="AE90" i="79"/>
  <c r="AE108" i="79"/>
  <c r="F11" i="76"/>
  <c r="U105" i="85"/>
  <c r="U90" i="75"/>
  <c r="U104" i="75"/>
  <c r="U26" i="90" s="1"/>
  <c r="AE90" i="85"/>
  <c r="AE104" i="85"/>
  <c r="W90" i="79"/>
  <c r="W108" i="79"/>
  <c r="G104" i="22"/>
  <c r="G23" i="93" s="1"/>
  <c r="G32" i="93" s="1"/>
  <c r="G90" i="22"/>
  <c r="G90" i="85"/>
  <c r="G104" i="85"/>
  <c r="G76" i="90" s="1"/>
  <c r="U12" i="76"/>
  <c r="E90" i="79"/>
  <c r="E108" i="79"/>
  <c r="I90" i="75"/>
  <c r="I104" i="75"/>
  <c r="I26" i="90" s="1"/>
  <c r="W90" i="85"/>
  <c r="W104" i="85"/>
  <c r="V90" i="85"/>
  <c r="V104" i="85"/>
  <c r="AD87" i="75"/>
  <c r="E90" i="75"/>
  <c r="E104" i="75"/>
  <c r="E26" i="90" s="1"/>
  <c r="F12" i="76"/>
  <c r="K88" i="85"/>
  <c r="M88" i="85" s="1"/>
  <c r="D107" i="85"/>
  <c r="D79" i="90" s="1"/>
  <c r="AA90" i="75"/>
  <c r="AA104" i="75"/>
  <c r="AA26" i="90" s="1"/>
  <c r="G11" i="39"/>
  <c r="N85" i="22"/>
  <c r="U106" i="75"/>
  <c r="U28" i="90" s="1"/>
  <c r="U90" i="85"/>
  <c r="U104" i="85"/>
  <c r="Y90" i="75"/>
  <c r="Y104" i="75"/>
  <c r="Y26" i="90" s="1"/>
  <c r="E10" i="76"/>
  <c r="H90" i="75"/>
  <c r="H104" i="75"/>
  <c r="H26" i="90" s="1"/>
  <c r="AF89" i="85"/>
  <c r="J109" i="85"/>
  <c r="J81" i="90" s="1"/>
  <c r="E12" i="76"/>
  <c r="K86" i="75"/>
  <c r="M86" i="75" s="1"/>
  <c r="O86" i="75" s="1"/>
  <c r="H143" i="75"/>
  <c r="G4" i="77" s="1"/>
  <c r="H4" i="77" s="1"/>
  <c r="D105" i="75"/>
  <c r="D27" i="90" s="1"/>
  <c r="I90" i="85"/>
  <c r="I104" i="85"/>
  <c r="I76" i="90" s="1"/>
  <c r="AD88" i="75"/>
  <c r="E90" i="85"/>
  <c r="E104" i="85"/>
  <c r="D108" i="79"/>
  <c r="G10" i="39"/>
  <c r="X90" i="75"/>
  <c r="X104" i="75"/>
  <c r="X26" i="90" s="1"/>
  <c r="AA90" i="85"/>
  <c r="AA104" i="85"/>
  <c r="AA76" i="90" s="1"/>
  <c r="H90" i="79"/>
  <c r="H108" i="79"/>
  <c r="AB108" i="79"/>
  <c r="G90" i="75"/>
  <c r="G104" i="75"/>
  <c r="G26" i="90" s="1"/>
  <c r="H143" i="85"/>
  <c r="G4" i="83" s="1"/>
  <c r="H4" i="83" s="1"/>
  <c r="K86" i="85"/>
  <c r="M86" i="85" s="1"/>
  <c r="O86" i="85" s="1"/>
  <c r="D105" i="85"/>
  <c r="D77" i="90" s="1"/>
  <c r="G12" i="39"/>
  <c r="U13" i="81"/>
  <c r="U109" i="79"/>
  <c r="U48" i="90" s="1"/>
  <c r="Y90" i="79"/>
  <c r="Y108" i="79"/>
  <c r="K89" i="85"/>
  <c r="M89" i="85" s="1"/>
  <c r="O89" i="85" s="1"/>
  <c r="D108" i="85"/>
  <c r="D80" i="90" s="1"/>
  <c r="H146" i="85"/>
  <c r="G7" i="83" s="1"/>
  <c r="H7" i="83" s="1"/>
  <c r="X90" i="85"/>
  <c r="X104" i="85"/>
  <c r="X76" i="90" s="1"/>
  <c r="F90" i="75"/>
  <c r="F104" i="75"/>
  <c r="F26" i="90" s="1"/>
  <c r="M51" i="69"/>
  <c r="J90" i="79"/>
  <c r="F10" i="76"/>
  <c r="N10" i="76"/>
  <c r="J4" i="77"/>
  <c r="G7" i="36"/>
  <c r="N88" i="22"/>
  <c r="H145" i="22" s="1"/>
  <c r="N88" i="75"/>
  <c r="H145" i="75" s="1"/>
  <c r="G6" i="77" s="1"/>
  <c r="H6" i="77" s="1"/>
  <c r="N87" i="22"/>
  <c r="G13" i="39"/>
  <c r="U105" i="75"/>
  <c r="U27" i="90" s="1"/>
  <c r="AE90" i="75"/>
  <c r="AE104" i="75"/>
  <c r="AE26" i="90" s="1"/>
  <c r="AD108" i="85"/>
  <c r="AD80" i="90" s="1"/>
  <c r="H90" i="85"/>
  <c r="H104" i="85"/>
  <c r="H76" i="90" s="1"/>
  <c r="I13" i="81"/>
  <c r="I14" i="81" s="1"/>
  <c r="I109" i="79"/>
  <c r="I48" i="90" s="1"/>
  <c r="X90" i="79"/>
  <c r="X108" i="79"/>
  <c r="W90" i="75"/>
  <c r="W104" i="75"/>
  <c r="AD86" i="75"/>
  <c r="AF86" i="75" s="1"/>
  <c r="V90" i="75"/>
  <c r="V104" i="75"/>
  <c r="V90" i="79"/>
  <c r="V108" i="79"/>
  <c r="K88" i="75"/>
  <c r="M88" i="75" s="1"/>
  <c r="D107" i="75"/>
  <c r="D29" i="90" s="1"/>
  <c r="F90" i="79"/>
  <c r="F108" i="79"/>
  <c r="F90" i="85"/>
  <c r="F104" i="85"/>
  <c r="K14" i="69"/>
  <c r="AE51" i="69"/>
  <c r="AE48" i="69"/>
  <c r="AF48" i="69" s="1"/>
  <c r="AG48" i="69" s="1"/>
  <c r="D52" i="69"/>
  <c r="AF31" i="69"/>
  <c r="AG31" i="69" s="1"/>
  <c r="N52" i="69"/>
  <c r="K33" i="69"/>
  <c r="AB33" i="69"/>
  <c r="O50" i="69"/>
  <c r="AB50" i="69"/>
  <c r="H8" i="36"/>
  <c r="Y54" i="69"/>
  <c r="AC52" i="69"/>
  <c r="AE14" i="69"/>
  <c r="O28" i="69"/>
  <c r="M35" i="69" s="1"/>
  <c r="M33" i="69"/>
  <c r="M14" i="69"/>
  <c r="J45" i="99" l="1"/>
  <c r="H142" i="79"/>
  <c r="G3" i="80" s="1"/>
  <c r="H3" i="80" s="1"/>
  <c r="AE9" i="81"/>
  <c r="AF89" i="79"/>
  <c r="H144" i="22"/>
  <c r="G5" i="36" s="1"/>
  <c r="N43" i="90"/>
  <c r="I53" i="91"/>
  <c r="I96" i="91" s="1"/>
  <c r="I34" i="99"/>
  <c r="H144" i="97"/>
  <c r="G5" i="98" s="1"/>
  <c r="H5" i="98" s="1"/>
  <c r="K87" i="97"/>
  <c r="M87" i="97" s="1"/>
  <c r="O87" i="97" s="1"/>
  <c r="AG87" i="97" s="1"/>
  <c r="AH87" i="97" s="1"/>
  <c r="I127" i="97"/>
  <c r="D106" i="97"/>
  <c r="AD62" i="90"/>
  <c r="AD11" i="99"/>
  <c r="I93" i="91"/>
  <c r="U62" i="90"/>
  <c r="U11" i="99"/>
  <c r="AF106" i="97"/>
  <c r="N9" i="81"/>
  <c r="AB108" i="97"/>
  <c r="AB109" i="97" s="1"/>
  <c r="AB65" i="90" s="1"/>
  <c r="AF89" i="97"/>
  <c r="AG89" i="97" s="1"/>
  <c r="AH89" i="97" s="1"/>
  <c r="D64" i="90"/>
  <c r="D13" i="99"/>
  <c r="I7" i="98"/>
  <c r="K108" i="97"/>
  <c r="D146" i="97"/>
  <c r="L146" i="97" s="1"/>
  <c r="M146" i="97" s="1"/>
  <c r="I9" i="99"/>
  <c r="I14" i="99" s="1"/>
  <c r="I60" i="90"/>
  <c r="I109" i="97"/>
  <c r="I65" i="90" s="1"/>
  <c r="H60" i="90"/>
  <c r="H9" i="99"/>
  <c r="H14" i="99" s="1"/>
  <c r="H109" i="97"/>
  <c r="H65" i="90" s="1"/>
  <c r="X9" i="99"/>
  <c r="X14" i="99" s="1"/>
  <c r="X60" i="90"/>
  <c r="X109" i="97"/>
  <c r="X65" i="90" s="1"/>
  <c r="AC14" i="99"/>
  <c r="V60" i="90"/>
  <c r="V9" i="99"/>
  <c r="V14" i="99" s="1"/>
  <c r="V109" i="97"/>
  <c r="V65" i="90" s="1"/>
  <c r="AD104" i="97"/>
  <c r="AF104" i="97" s="1"/>
  <c r="AE109" i="97"/>
  <c r="AE65" i="90" s="1"/>
  <c r="AE60" i="90"/>
  <c r="AE9" i="99"/>
  <c r="AE14" i="99" s="1"/>
  <c r="W60" i="90"/>
  <c r="W9" i="99"/>
  <c r="W14" i="99" s="1"/>
  <c r="W109" i="97"/>
  <c r="W65" i="90" s="1"/>
  <c r="E109" i="97"/>
  <c r="E65" i="90" s="1"/>
  <c r="E9" i="99"/>
  <c r="E14" i="99" s="1"/>
  <c r="E60" i="90"/>
  <c r="U9" i="99"/>
  <c r="U60" i="90"/>
  <c r="U109" i="97"/>
  <c r="Y60" i="90"/>
  <c r="Y9" i="99"/>
  <c r="Y14" i="99" s="1"/>
  <c r="Y109" i="97"/>
  <c r="Y65" i="90" s="1"/>
  <c r="Y92" i="97"/>
  <c r="AB60" i="90"/>
  <c r="AB9" i="99"/>
  <c r="H142" i="97"/>
  <c r="K85" i="97"/>
  <c r="I125" i="97"/>
  <c r="D90" i="97"/>
  <c r="D104" i="97"/>
  <c r="N90" i="97"/>
  <c r="N104" i="97"/>
  <c r="F9" i="99"/>
  <c r="F14" i="99" s="1"/>
  <c r="F60" i="90"/>
  <c r="F109" i="97"/>
  <c r="F65" i="90" s="1"/>
  <c r="G111" i="90"/>
  <c r="G112" i="90"/>
  <c r="G113" i="90"/>
  <c r="AA14" i="81"/>
  <c r="AA14" i="99"/>
  <c r="AE47" i="90"/>
  <c r="AB47" i="90"/>
  <c r="H47" i="90"/>
  <c r="Y47" i="90"/>
  <c r="G47" i="90"/>
  <c r="G114" i="90" s="1"/>
  <c r="G14" i="99"/>
  <c r="G45" i="99" s="1"/>
  <c r="X47" i="90"/>
  <c r="F47" i="90"/>
  <c r="D47" i="90"/>
  <c r="E47" i="90"/>
  <c r="D24" i="93"/>
  <c r="D33" i="93" s="1"/>
  <c r="AF28" i="69"/>
  <c r="AF49" i="69"/>
  <c r="AG49" i="69" s="1"/>
  <c r="AC43" i="90"/>
  <c r="AC9" i="81"/>
  <c r="AC14" i="81" s="1"/>
  <c r="AC109" i="79"/>
  <c r="AC48" i="90" s="1"/>
  <c r="AC9" i="90"/>
  <c r="AC14" i="90"/>
  <c r="AC9" i="39"/>
  <c r="AC14" i="39" s="1"/>
  <c r="V76" i="90"/>
  <c r="W26" i="90"/>
  <c r="W76" i="90"/>
  <c r="V47" i="90"/>
  <c r="W47" i="90"/>
  <c r="V26" i="90"/>
  <c r="H142" i="22"/>
  <c r="AB90" i="79"/>
  <c r="D10" i="90"/>
  <c r="D111" i="90" s="1"/>
  <c r="G9" i="90"/>
  <c r="G110" i="90" s="1"/>
  <c r="K85" i="22"/>
  <c r="D90" i="22"/>
  <c r="I127" i="79"/>
  <c r="D106" i="79"/>
  <c r="H144" i="79"/>
  <c r="G5" i="80" s="1"/>
  <c r="H5" i="80" s="1"/>
  <c r="K87" i="79"/>
  <c r="M87" i="79" s="1"/>
  <c r="O87" i="79" s="1"/>
  <c r="J5" i="80"/>
  <c r="N11" i="81"/>
  <c r="N45" i="90"/>
  <c r="AB106" i="79"/>
  <c r="AF87" i="79"/>
  <c r="N104" i="22"/>
  <c r="N23" i="93" s="1"/>
  <c r="N32" i="93" s="1"/>
  <c r="AD104" i="85"/>
  <c r="AD109" i="85" s="1"/>
  <c r="AD81" i="90" s="1"/>
  <c r="AE76" i="90"/>
  <c r="U10" i="82"/>
  <c r="U77" i="90"/>
  <c r="AD10" i="82"/>
  <c r="AD77" i="90"/>
  <c r="E9" i="82"/>
  <c r="E76" i="90"/>
  <c r="U9" i="82"/>
  <c r="U76" i="90"/>
  <c r="U11" i="82"/>
  <c r="U78" i="90"/>
  <c r="AD11" i="82"/>
  <c r="AD78" i="90"/>
  <c r="F9" i="82"/>
  <c r="F76" i="90"/>
  <c r="AD12" i="82"/>
  <c r="AD79" i="90"/>
  <c r="AF9" i="69"/>
  <c r="AF14" i="69" s="1"/>
  <c r="O14" i="69"/>
  <c r="I127" i="75"/>
  <c r="I128" i="75"/>
  <c r="D90" i="79"/>
  <c r="I125" i="79"/>
  <c r="I35" i="91" s="1"/>
  <c r="I34" i="39"/>
  <c r="I31" i="39"/>
  <c r="K85" i="79"/>
  <c r="M85" i="79" s="1"/>
  <c r="O85" i="79" s="1"/>
  <c r="D104" i="79"/>
  <c r="D142" i="79" s="1"/>
  <c r="AF85" i="79"/>
  <c r="I45" i="81"/>
  <c r="K89" i="79"/>
  <c r="Y92" i="79"/>
  <c r="O88" i="75"/>
  <c r="I128" i="22"/>
  <c r="I9" i="91" s="1"/>
  <c r="AG86" i="75"/>
  <c r="AH86" i="75" s="1"/>
  <c r="I127" i="22"/>
  <c r="I8" i="91" s="1"/>
  <c r="I125" i="22"/>
  <c r="AA109" i="85"/>
  <c r="AA81" i="90" s="1"/>
  <c r="AA9" i="82"/>
  <c r="D12" i="82"/>
  <c r="I6" i="83"/>
  <c r="V109" i="85"/>
  <c r="V81" i="90" s="1"/>
  <c r="V9" i="82"/>
  <c r="G109" i="85"/>
  <c r="G81" i="90" s="1"/>
  <c r="G9" i="82"/>
  <c r="G14" i="82" s="1"/>
  <c r="I4" i="83"/>
  <c r="D10" i="82"/>
  <c r="X109" i="85"/>
  <c r="X81" i="90" s="1"/>
  <c r="X9" i="82"/>
  <c r="W109" i="85"/>
  <c r="W81" i="90" s="1"/>
  <c r="W9" i="82"/>
  <c r="Y109" i="85"/>
  <c r="Y81" i="90" s="1"/>
  <c r="Y9" i="82"/>
  <c r="AF108" i="85"/>
  <c r="AF80" i="90" s="1"/>
  <c r="AD13" i="82"/>
  <c r="D13" i="82"/>
  <c r="I7" i="83"/>
  <c r="H109" i="85"/>
  <c r="H81" i="90" s="1"/>
  <c r="H9" i="82"/>
  <c r="I109" i="85"/>
  <c r="I81" i="90" s="1"/>
  <c r="I9" i="82"/>
  <c r="AE109" i="85"/>
  <c r="AE81" i="90" s="1"/>
  <c r="AE9" i="82"/>
  <c r="AD90" i="85"/>
  <c r="AF105" i="85"/>
  <c r="AF77" i="90" s="1"/>
  <c r="AE9" i="76"/>
  <c r="AE14" i="76" s="1"/>
  <c r="AE109" i="75"/>
  <c r="AE31" i="90" s="1"/>
  <c r="N106" i="85"/>
  <c r="N78" i="90" s="1"/>
  <c r="G6" i="36"/>
  <c r="O51" i="69"/>
  <c r="O52" i="69" s="1"/>
  <c r="AD90" i="75"/>
  <c r="D13" i="81"/>
  <c r="I7" i="80"/>
  <c r="E109" i="85"/>
  <c r="E81" i="90" s="1"/>
  <c r="AG89" i="85"/>
  <c r="AH89" i="85" s="1"/>
  <c r="N90" i="75"/>
  <c r="AB85" i="75"/>
  <c r="N104" i="75"/>
  <c r="N26" i="90" s="1"/>
  <c r="K107" i="85"/>
  <c r="W13" i="81"/>
  <c r="W14" i="81" s="1"/>
  <c r="W109" i="79"/>
  <c r="W48" i="90" s="1"/>
  <c r="AE13" i="81"/>
  <c r="AE109" i="79"/>
  <c r="AE48" i="90" s="1"/>
  <c r="F109" i="79"/>
  <c r="F48" i="90" s="1"/>
  <c r="F13" i="81"/>
  <c r="F14" i="81" s="1"/>
  <c r="W109" i="75"/>
  <c r="W31" i="90" s="1"/>
  <c r="W9" i="76"/>
  <c r="W14" i="76" s="1"/>
  <c r="F109" i="75"/>
  <c r="F31" i="90" s="1"/>
  <c r="F9" i="76"/>
  <c r="F14" i="76" s="1"/>
  <c r="H13" i="81"/>
  <c r="H14" i="81" s="1"/>
  <c r="H109" i="79"/>
  <c r="H48" i="90" s="1"/>
  <c r="H9" i="76"/>
  <c r="H14" i="76" s="1"/>
  <c r="H109" i="75"/>
  <c r="H31" i="90" s="1"/>
  <c r="Y109" i="75"/>
  <c r="Y31" i="90" s="1"/>
  <c r="Y9" i="76"/>
  <c r="Y14" i="76" s="1"/>
  <c r="Y92" i="85"/>
  <c r="D90" i="75"/>
  <c r="K85" i="75"/>
  <c r="H142" i="75"/>
  <c r="D104" i="75"/>
  <c r="D26" i="90" s="1"/>
  <c r="N90" i="85"/>
  <c r="N104" i="85"/>
  <c r="N76" i="90" s="1"/>
  <c r="O88" i="85"/>
  <c r="I9" i="76"/>
  <c r="I14" i="76" s="1"/>
  <c r="I109" i="75"/>
  <c r="I31" i="90" s="1"/>
  <c r="AF86" i="85"/>
  <c r="AG86" i="85" s="1"/>
  <c r="AH86" i="85" s="1"/>
  <c r="U10" i="76"/>
  <c r="K105" i="85"/>
  <c r="X9" i="76"/>
  <c r="X14" i="76" s="1"/>
  <c r="X109" i="75"/>
  <c r="X31" i="90" s="1"/>
  <c r="I4" i="77"/>
  <c r="D10" i="76"/>
  <c r="H144" i="75"/>
  <c r="G5" i="77" s="1"/>
  <c r="H5" i="77" s="1"/>
  <c r="D106" i="75"/>
  <c r="D28" i="90" s="1"/>
  <c r="D90" i="85"/>
  <c r="K85" i="85"/>
  <c r="H142" i="85"/>
  <c r="G3" i="83" s="1"/>
  <c r="H3" i="83" s="1"/>
  <c r="D104" i="85"/>
  <c r="AA109" i="75"/>
  <c r="AA31" i="90" s="1"/>
  <c r="AA9" i="76"/>
  <c r="AA14" i="76" s="1"/>
  <c r="E109" i="75"/>
  <c r="E31" i="90" s="1"/>
  <c r="E9" i="76"/>
  <c r="E14" i="76" s="1"/>
  <c r="U109" i="75"/>
  <c r="U31" i="90" s="1"/>
  <c r="U9" i="76"/>
  <c r="G13" i="81"/>
  <c r="G14" i="81" s="1"/>
  <c r="G109" i="79"/>
  <c r="G48" i="90" s="1"/>
  <c r="V9" i="76"/>
  <c r="V14" i="76" s="1"/>
  <c r="V109" i="75"/>
  <c r="V31" i="90" s="1"/>
  <c r="AB88" i="75"/>
  <c r="N107" i="75"/>
  <c r="N29" i="90" s="1"/>
  <c r="Y13" i="81"/>
  <c r="Y14" i="81" s="1"/>
  <c r="Y109" i="79"/>
  <c r="Y48" i="90" s="1"/>
  <c r="F109" i="85"/>
  <c r="F81" i="90" s="1"/>
  <c r="I6" i="77"/>
  <c r="D12" i="76"/>
  <c r="V13" i="81"/>
  <c r="V14" i="81" s="1"/>
  <c r="V109" i="79"/>
  <c r="V48" i="90" s="1"/>
  <c r="X13" i="81"/>
  <c r="X14" i="81" s="1"/>
  <c r="X109" i="79"/>
  <c r="X48" i="90" s="1"/>
  <c r="N106" i="75"/>
  <c r="N28" i="90" s="1"/>
  <c r="N107" i="85"/>
  <c r="K108" i="85"/>
  <c r="U14" i="81"/>
  <c r="G9" i="76"/>
  <c r="G14" i="76" s="1"/>
  <c r="G109" i="75"/>
  <c r="G31" i="90" s="1"/>
  <c r="AB13" i="81"/>
  <c r="U109" i="85"/>
  <c r="U81" i="90" s="1"/>
  <c r="U11" i="76"/>
  <c r="H144" i="85"/>
  <c r="G5" i="83" s="1"/>
  <c r="H5" i="83" s="1"/>
  <c r="K87" i="85"/>
  <c r="M87" i="85" s="1"/>
  <c r="O87" i="85" s="1"/>
  <c r="D106" i="85"/>
  <c r="D78" i="90" s="1"/>
  <c r="H145" i="85"/>
  <c r="G6" i="83" s="1"/>
  <c r="H6" i="83" s="1"/>
  <c r="E109" i="79"/>
  <c r="E48" i="90" s="1"/>
  <c r="E13" i="81"/>
  <c r="E14" i="81" s="1"/>
  <c r="G9" i="39"/>
  <c r="G14" i="39" s="1"/>
  <c r="G109" i="22"/>
  <c r="Y92" i="75"/>
  <c r="M52" i="69"/>
  <c r="AF47" i="69"/>
  <c r="AG47" i="69" s="1"/>
  <c r="K52" i="69"/>
  <c r="AE50" i="69"/>
  <c r="AB52" i="69"/>
  <c r="O33" i="69"/>
  <c r="AE14" i="81" l="1"/>
  <c r="H147" i="22"/>
  <c r="AF90" i="97"/>
  <c r="H45" i="99"/>
  <c r="U14" i="99"/>
  <c r="Y16" i="99" s="1"/>
  <c r="K64" i="90"/>
  <c r="M108" i="97"/>
  <c r="D62" i="90"/>
  <c r="D11" i="99"/>
  <c r="K11" i="99" s="1"/>
  <c r="M11" i="99" s="1"/>
  <c r="O11" i="99" s="1"/>
  <c r="I5" i="98"/>
  <c r="N5" i="98" s="1"/>
  <c r="O5" i="98" s="1"/>
  <c r="P5" i="98" s="1"/>
  <c r="K106" i="97"/>
  <c r="D144" i="97"/>
  <c r="L144" i="97" s="1"/>
  <c r="M144" i="97" s="1"/>
  <c r="F45" i="99"/>
  <c r="I51" i="91"/>
  <c r="I32" i="99"/>
  <c r="E45" i="99"/>
  <c r="AF108" i="97"/>
  <c r="AF109" i="97" s="1"/>
  <c r="AF65" i="90" s="1"/>
  <c r="AB64" i="90"/>
  <c r="AB13" i="99"/>
  <c r="AB14" i="99" s="1"/>
  <c r="AF62" i="90"/>
  <c r="H147" i="97"/>
  <c r="H8" i="98" s="1"/>
  <c r="G3" i="98"/>
  <c r="N60" i="90"/>
  <c r="N9" i="99"/>
  <c r="J3" i="98"/>
  <c r="N109" i="97"/>
  <c r="E31" i="36" s="1"/>
  <c r="I3" i="98"/>
  <c r="D60" i="90"/>
  <c r="D109" i="97"/>
  <c r="D31" i="36" s="1"/>
  <c r="D9" i="99"/>
  <c r="K104" i="97"/>
  <c r="D142" i="97"/>
  <c r="Y111" i="97"/>
  <c r="U65" i="90"/>
  <c r="AF60" i="90"/>
  <c r="AD109" i="97"/>
  <c r="AD65" i="90" s="1"/>
  <c r="AD60" i="90"/>
  <c r="AD9" i="99"/>
  <c r="I131" i="97"/>
  <c r="I49" i="91"/>
  <c r="I30" i="99"/>
  <c r="K90" i="97"/>
  <c r="M85" i="97"/>
  <c r="I45" i="99"/>
  <c r="AC115" i="90"/>
  <c r="AC110" i="90"/>
  <c r="K13" i="99"/>
  <c r="M13" i="99" s="1"/>
  <c r="K24" i="94"/>
  <c r="G14" i="90"/>
  <c r="G115" i="90" s="1"/>
  <c r="G28" i="93"/>
  <c r="D76" i="90"/>
  <c r="I3" i="83"/>
  <c r="G3" i="36"/>
  <c r="G9" i="36" s="1"/>
  <c r="N79" i="90"/>
  <c r="D145" i="85"/>
  <c r="N9" i="90"/>
  <c r="AF90" i="79"/>
  <c r="AB11" i="81"/>
  <c r="AB45" i="90"/>
  <c r="I5" i="80"/>
  <c r="N5" i="80" s="1"/>
  <c r="O5" i="80" s="1"/>
  <c r="P5" i="80" s="1"/>
  <c r="D11" i="81"/>
  <c r="D144" i="79"/>
  <c r="L144" i="79" s="1"/>
  <c r="M144" i="79" s="1"/>
  <c r="D45" i="90"/>
  <c r="AG87" i="79"/>
  <c r="AH87" i="79" s="1"/>
  <c r="I32" i="81"/>
  <c r="I37" i="91"/>
  <c r="M107" i="85"/>
  <c r="M79" i="90" s="1"/>
  <c r="K79" i="90"/>
  <c r="AD9" i="82"/>
  <c r="AD76" i="90"/>
  <c r="M108" i="85"/>
  <c r="K80" i="90"/>
  <c r="M105" i="85"/>
  <c r="K77" i="90"/>
  <c r="I33" i="76"/>
  <c r="I24" i="91"/>
  <c r="I95" i="91" s="1"/>
  <c r="I32" i="76"/>
  <c r="I23" i="91"/>
  <c r="AB9" i="81"/>
  <c r="AB43" i="90"/>
  <c r="I30" i="39"/>
  <c r="I6" i="91"/>
  <c r="D109" i="79"/>
  <c r="D43" i="90"/>
  <c r="I131" i="79"/>
  <c r="I30" i="81"/>
  <c r="I131" i="75"/>
  <c r="I33" i="39"/>
  <c r="I32" i="39"/>
  <c r="AB109" i="79"/>
  <c r="AB48" i="90" s="1"/>
  <c r="AG85" i="79"/>
  <c r="AH85" i="79" s="1"/>
  <c r="D9" i="81"/>
  <c r="L142" i="79"/>
  <c r="I3" i="80"/>
  <c r="N3" i="80" s="1"/>
  <c r="O3" i="80" s="1"/>
  <c r="P3" i="80" s="1"/>
  <c r="K90" i="79"/>
  <c r="D142" i="85"/>
  <c r="G44" i="82"/>
  <c r="E44" i="76"/>
  <c r="E45" i="81"/>
  <c r="F45" i="81"/>
  <c r="H45" i="81"/>
  <c r="G45" i="81"/>
  <c r="H44" i="76"/>
  <c r="I44" i="76"/>
  <c r="G44" i="76"/>
  <c r="F44" i="76"/>
  <c r="G44" i="39"/>
  <c r="M89" i="79"/>
  <c r="O89" i="79" s="1"/>
  <c r="I131" i="22"/>
  <c r="I12" i="91" s="1"/>
  <c r="Y111" i="85"/>
  <c r="Y16" i="81"/>
  <c r="Y111" i="79"/>
  <c r="N9" i="82"/>
  <c r="J3" i="83"/>
  <c r="N11" i="82"/>
  <c r="J5" i="83"/>
  <c r="D9" i="82"/>
  <c r="D11" i="82"/>
  <c r="I5" i="83"/>
  <c r="N12" i="82"/>
  <c r="J6" i="83"/>
  <c r="Y111" i="75"/>
  <c r="N109" i="85"/>
  <c r="G3" i="77"/>
  <c r="H147" i="75"/>
  <c r="N90" i="79"/>
  <c r="N108" i="79"/>
  <c r="H146" i="79"/>
  <c r="AB106" i="85"/>
  <c r="AB78" i="90" s="1"/>
  <c r="AF87" i="85"/>
  <c r="AG87" i="85" s="1"/>
  <c r="AH87" i="85" s="1"/>
  <c r="G9" i="83"/>
  <c r="H23" i="36" s="1"/>
  <c r="AB107" i="85"/>
  <c r="AB79" i="90" s="1"/>
  <c r="AF88" i="85"/>
  <c r="AG88" i="85" s="1"/>
  <c r="AH88" i="85" s="1"/>
  <c r="N12" i="76"/>
  <c r="J6" i="77"/>
  <c r="U14" i="76"/>
  <c r="Y16" i="76" s="1"/>
  <c r="D109" i="85"/>
  <c r="K104" i="85"/>
  <c r="K76" i="90" s="1"/>
  <c r="AB90" i="85"/>
  <c r="AB104" i="85"/>
  <c r="AF85" i="85"/>
  <c r="K90" i="75"/>
  <c r="M85" i="75"/>
  <c r="K106" i="85"/>
  <c r="N11" i="76"/>
  <c r="J5" i="77"/>
  <c r="AB107" i="75"/>
  <c r="AB29" i="90" s="1"/>
  <c r="AF88" i="75"/>
  <c r="AG88" i="75" s="1"/>
  <c r="AH88" i="75" s="1"/>
  <c r="H147" i="85"/>
  <c r="I5" i="77"/>
  <c r="D11" i="76"/>
  <c r="J3" i="77"/>
  <c r="N109" i="75"/>
  <c r="N9" i="76"/>
  <c r="AB106" i="75"/>
  <c r="AB28" i="90" s="1"/>
  <c r="AF87" i="75"/>
  <c r="AG87" i="75" s="1"/>
  <c r="AH87" i="75" s="1"/>
  <c r="M85" i="85"/>
  <c r="K90" i="85"/>
  <c r="I3" i="77"/>
  <c r="D109" i="75"/>
  <c r="D9" i="76"/>
  <c r="D142" i="75"/>
  <c r="L142" i="75" s="1"/>
  <c r="M142" i="75" s="1"/>
  <c r="AB90" i="75"/>
  <c r="AB104" i="75"/>
  <c r="AB26" i="90" s="1"/>
  <c r="AF85" i="75"/>
  <c r="L90" i="79"/>
  <c r="L108" i="79"/>
  <c r="L47" i="90" s="1"/>
  <c r="AF51" i="69"/>
  <c r="AG51" i="69" s="1"/>
  <c r="AE52" i="69"/>
  <c r="AF50" i="69"/>
  <c r="AG9" i="69"/>
  <c r="AG14" i="69"/>
  <c r="AF33" i="69"/>
  <c r="AG33" i="69" s="1"/>
  <c r="AG28" i="69"/>
  <c r="I55" i="91" l="1"/>
  <c r="M31" i="36"/>
  <c r="P31" i="36" s="1"/>
  <c r="F31" i="36"/>
  <c r="G31" i="36" s="1"/>
  <c r="N110" i="90"/>
  <c r="I94" i="91"/>
  <c r="K62" i="90"/>
  <c r="M106" i="97"/>
  <c r="I36" i="99"/>
  <c r="I46" i="99" s="1"/>
  <c r="M64" i="90"/>
  <c r="O108" i="97"/>
  <c r="O64" i="90" s="1"/>
  <c r="I92" i="91"/>
  <c r="AF64" i="90"/>
  <c r="L142" i="97"/>
  <c r="D147" i="97"/>
  <c r="K60" i="90"/>
  <c r="M104" i="97"/>
  <c r="K109" i="97"/>
  <c r="K65" i="90" s="1"/>
  <c r="I9" i="98"/>
  <c r="J22" i="36" s="1"/>
  <c r="D65" i="90"/>
  <c r="N65" i="90"/>
  <c r="G9" i="98"/>
  <c r="H22" i="36" s="1"/>
  <c r="H3" i="98"/>
  <c r="H9" i="98" s="1"/>
  <c r="I22" i="36" s="1"/>
  <c r="O85" i="97"/>
  <c r="M90" i="97"/>
  <c r="N47" i="90"/>
  <c r="N14" i="99"/>
  <c r="N45" i="99" s="1"/>
  <c r="K9" i="99"/>
  <c r="D14" i="99"/>
  <c r="D45" i="99" s="1"/>
  <c r="N3" i="98"/>
  <c r="I27" i="91"/>
  <c r="M29" i="36"/>
  <c r="I41" i="91"/>
  <c r="M30" i="36"/>
  <c r="P30" i="36" s="1"/>
  <c r="N31" i="90"/>
  <c r="E29" i="36"/>
  <c r="D81" i="90"/>
  <c r="D32" i="36"/>
  <c r="D31" i="90"/>
  <c r="D29" i="36"/>
  <c r="N81" i="90"/>
  <c r="E32" i="36"/>
  <c r="D48" i="90"/>
  <c r="D30" i="36"/>
  <c r="AB14" i="81"/>
  <c r="I36" i="81"/>
  <c r="D14" i="81"/>
  <c r="D45" i="81" s="1"/>
  <c r="O107" i="85"/>
  <c r="O79" i="90" s="1"/>
  <c r="O105" i="85"/>
  <c r="M77" i="90"/>
  <c r="AB9" i="82"/>
  <c r="AB76" i="90"/>
  <c r="M106" i="85"/>
  <c r="K78" i="90"/>
  <c r="O108" i="85"/>
  <c r="M80" i="90"/>
  <c r="I36" i="76"/>
  <c r="I45" i="76" s="1"/>
  <c r="I36" i="39"/>
  <c r="I45" i="39" s="1"/>
  <c r="I36" i="82"/>
  <c r="I45" i="82" s="1"/>
  <c r="I36" i="88"/>
  <c r="I45" i="88" s="1"/>
  <c r="I9" i="80"/>
  <c r="J21" i="36" s="1"/>
  <c r="M142" i="79"/>
  <c r="M90" i="79"/>
  <c r="N14" i="76"/>
  <c r="N44" i="76" s="1"/>
  <c r="I9" i="77"/>
  <c r="J20" i="36" s="1"/>
  <c r="AF106" i="85"/>
  <c r="AB11" i="82"/>
  <c r="AF107" i="85"/>
  <c r="AB12" i="82"/>
  <c r="AF90" i="75"/>
  <c r="O90" i="79"/>
  <c r="AG89" i="79"/>
  <c r="AH89" i="79" s="1"/>
  <c r="AB11" i="76"/>
  <c r="AB109" i="85"/>
  <c r="AB81" i="90" s="1"/>
  <c r="AF104" i="85"/>
  <c r="AF76" i="90" s="1"/>
  <c r="K109" i="85"/>
  <c r="K81" i="90" s="1"/>
  <c r="M104" i="85"/>
  <c r="M76" i="90" s="1"/>
  <c r="G9" i="77"/>
  <c r="H20" i="36" s="1"/>
  <c r="H3" i="77"/>
  <c r="H9" i="77" s="1"/>
  <c r="I20" i="36" s="1"/>
  <c r="AB9" i="76"/>
  <c r="AB109" i="75"/>
  <c r="AB31" i="90" s="1"/>
  <c r="O85" i="75"/>
  <c r="O90" i="75" s="1"/>
  <c r="M90" i="75"/>
  <c r="H9" i="83"/>
  <c r="I23" i="36" s="1"/>
  <c r="G7" i="80"/>
  <c r="H147" i="79"/>
  <c r="D14" i="76"/>
  <c r="D44" i="76" s="1"/>
  <c r="O85" i="85"/>
  <c r="O90" i="85" s="1"/>
  <c r="M90" i="85"/>
  <c r="AB12" i="76"/>
  <c r="L13" i="81"/>
  <c r="L14" i="81" s="1"/>
  <c r="L109" i="79"/>
  <c r="L48" i="90" s="1"/>
  <c r="J9" i="77"/>
  <c r="K20" i="36" s="1"/>
  <c r="AF90" i="85"/>
  <c r="L142" i="85"/>
  <c r="M142" i="85" s="1"/>
  <c r="N13" i="81"/>
  <c r="N14" i="81" s="1"/>
  <c r="J7" i="80"/>
  <c r="N109" i="79"/>
  <c r="D146" i="79"/>
  <c r="AG50" i="69"/>
  <c r="AF52" i="69"/>
  <c r="AG52" i="69" s="1"/>
  <c r="Q31" i="36" l="1"/>
  <c r="N8" i="98"/>
  <c r="O8" i="98" s="1"/>
  <c r="P8" i="98" s="1"/>
  <c r="AG108" i="97"/>
  <c r="AH108" i="97" s="1"/>
  <c r="I98" i="91"/>
  <c r="M62" i="90"/>
  <c r="O106" i="97"/>
  <c r="M60" i="90"/>
  <c r="O104" i="97"/>
  <c r="M109" i="97"/>
  <c r="M65" i="90" s="1"/>
  <c r="O90" i="97"/>
  <c r="AG85" i="97"/>
  <c r="L147" i="97"/>
  <c r="M147" i="97" s="1"/>
  <c r="M142" i="97"/>
  <c r="O3" i="98"/>
  <c r="K14" i="99"/>
  <c r="K45" i="99" s="1"/>
  <c r="M9" i="99"/>
  <c r="O13" i="99"/>
  <c r="J9" i="98"/>
  <c r="K22" i="36" s="1"/>
  <c r="N7" i="98"/>
  <c r="O7" i="98" s="1"/>
  <c r="P7" i="98" s="1"/>
  <c r="M33" i="36"/>
  <c r="F29" i="36"/>
  <c r="F32" i="36"/>
  <c r="G32" i="36" s="1"/>
  <c r="D33" i="36"/>
  <c r="N48" i="90"/>
  <c r="E30" i="36"/>
  <c r="F30" i="36" s="1"/>
  <c r="G30" i="36" s="1"/>
  <c r="Q30" i="36" s="1"/>
  <c r="AG107" i="85"/>
  <c r="AH107" i="85" s="1"/>
  <c r="AF79" i="90"/>
  <c r="O80" i="90"/>
  <c r="AG108" i="85"/>
  <c r="AH108" i="85" s="1"/>
  <c r="AF78" i="90"/>
  <c r="O106" i="85"/>
  <c r="O78" i="90" s="1"/>
  <c r="M78" i="90"/>
  <c r="O77" i="90"/>
  <c r="AG105" i="85"/>
  <c r="AH105" i="85" s="1"/>
  <c r="AG85" i="85"/>
  <c r="AH85" i="85" s="1"/>
  <c r="L45" i="81"/>
  <c r="I46" i="81"/>
  <c r="N45" i="81"/>
  <c r="AG85" i="75"/>
  <c r="AH85" i="75" s="1"/>
  <c r="L146" i="79"/>
  <c r="M146" i="79" s="1"/>
  <c r="D147" i="79"/>
  <c r="H7" i="80"/>
  <c r="G9" i="80"/>
  <c r="H21" i="36" s="1"/>
  <c r="H24" i="36" s="1"/>
  <c r="H25" i="36" s="1"/>
  <c r="AF109" i="85"/>
  <c r="AF81" i="90" s="1"/>
  <c r="AB14" i="76"/>
  <c r="AG90" i="79"/>
  <c r="AH90" i="79" s="1"/>
  <c r="J9" i="80"/>
  <c r="K21" i="36" s="1"/>
  <c r="N7" i="80"/>
  <c r="M109" i="85"/>
  <c r="M81" i="90" s="1"/>
  <c r="O104" i="85"/>
  <c r="E33" i="36" l="1"/>
  <c r="O62" i="90"/>
  <c r="AG106" i="97"/>
  <c r="AH106" i="97" s="1"/>
  <c r="AH85" i="97"/>
  <c r="AG90" i="97"/>
  <c r="AH90" i="97" s="1"/>
  <c r="O60" i="90"/>
  <c r="O109" i="97"/>
  <c r="O65" i="90" s="1"/>
  <c r="AG104" i="97"/>
  <c r="M14" i="99"/>
  <c r="M45" i="99" s="1"/>
  <c r="O9" i="99"/>
  <c r="O14" i="99" s="1"/>
  <c r="P3" i="98"/>
  <c r="O9" i="98"/>
  <c r="P9" i="98" s="1"/>
  <c r="N9" i="98"/>
  <c r="O22" i="36" s="1"/>
  <c r="N9" i="80"/>
  <c r="O21" i="36" s="1"/>
  <c r="O7" i="80"/>
  <c r="P7" i="80" s="1"/>
  <c r="F33" i="36"/>
  <c r="G33" i="36" s="1"/>
  <c r="G29" i="36"/>
  <c r="AG90" i="85"/>
  <c r="AH90" i="85" s="1"/>
  <c r="O109" i="85"/>
  <c r="O81" i="90" s="1"/>
  <c r="O76" i="90"/>
  <c r="AG80" i="90"/>
  <c r="AG77" i="90"/>
  <c r="AG106" i="85"/>
  <c r="AH106" i="85" s="1"/>
  <c r="AG79" i="90"/>
  <c r="AG104" i="85"/>
  <c r="AH104" i="85" s="1"/>
  <c r="L147" i="79"/>
  <c r="M147" i="79" s="1"/>
  <c r="H9" i="80"/>
  <c r="I21" i="36" s="1"/>
  <c r="I24" i="36" s="1"/>
  <c r="AG90" i="75"/>
  <c r="AH90" i="75" s="1"/>
  <c r="K30" i="22"/>
  <c r="K31" i="22"/>
  <c r="K32" i="22"/>
  <c r="D33" i="22"/>
  <c r="E33" i="22"/>
  <c r="D7" i="36"/>
  <c r="D6" i="36"/>
  <c r="D5" i="36"/>
  <c r="D3" i="36"/>
  <c r="H3" i="36" s="1"/>
  <c r="D125" i="22"/>
  <c r="AD30" i="22"/>
  <c r="Y108" i="22"/>
  <c r="U108" i="22"/>
  <c r="C7" i="56"/>
  <c r="D146" i="85" s="1"/>
  <c r="L146" i="85" s="1"/>
  <c r="M146" i="85" s="1"/>
  <c r="C6" i="56"/>
  <c r="C5" i="56"/>
  <c r="D144" i="85" s="1"/>
  <c r="L144" i="85" s="1"/>
  <c r="M144" i="85" s="1"/>
  <c r="C4" i="56"/>
  <c r="AB29" i="22"/>
  <c r="AB28" i="22"/>
  <c r="AB30" i="22"/>
  <c r="AB32" i="22"/>
  <c r="AD32" i="22"/>
  <c r="AD31" i="22"/>
  <c r="I33" i="22"/>
  <c r="F33" i="22"/>
  <c r="L5" i="36"/>
  <c r="L7" i="36"/>
  <c r="L6" i="36"/>
  <c r="L4" i="36"/>
  <c r="L3" i="36"/>
  <c r="E35" i="39"/>
  <c r="E131" i="22"/>
  <c r="N8" i="36"/>
  <c r="O8" i="36" s="1"/>
  <c r="P8" i="36" s="1"/>
  <c r="L108" i="22"/>
  <c r="Q30" i="95" s="1"/>
  <c r="S30" i="95" s="1"/>
  <c r="L107" i="22"/>
  <c r="Q29" i="95" s="1"/>
  <c r="S29" i="95" s="1"/>
  <c r="L104" i="22"/>
  <c r="Q26" i="95" s="1"/>
  <c r="S26" i="95" s="1"/>
  <c r="L106" i="22"/>
  <c r="Q28" i="95" s="1"/>
  <c r="S28" i="95" s="1"/>
  <c r="L105" i="22"/>
  <c r="Q27" i="95" s="1"/>
  <c r="S27" i="95" s="1"/>
  <c r="AD89" i="22"/>
  <c r="AD88" i="22"/>
  <c r="AD87" i="22"/>
  <c r="AD86" i="22"/>
  <c r="AD85" i="22"/>
  <c r="AD66" i="22"/>
  <c r="AD51" i="22"/>
  <c r="AD50" i="22"/>
  <c r="AD49" i="22"/>
  <c r="AE52" i="22"/>
  <c r="AD48" i="22"/>
  <c r="Z32" i="22"/>
  <c r="AD28" i="22"/>
  <c r="I4" i="64"/>
  <c r="I5" i="64"/>
  <c r="I6" i="64"/>
  <c r="I7" i="64"/>
  <c r="I3" i="64"/>
  <c r="Z31" i="22"/>
  <c r="Z30" i="22"/>
  <c r="Z29" i="22"/>
  <c r="Z28" i="22"/>
  <c r="Z13" i="22"/>
  <c r="Z12" i="22"/>
  <c r="Z11" i="22"/>
  <c r="Z10" i="22"/>
  <c r="Z9" i="22"/>
  <c r="E34" i="39"/>
  <c r="E33" i="39"/>
  <c r="E32" i="39"/>
  <c r="E31" i="39"/>
  <c r="E30" i="39"/>
  <c r="X7" i="39"/>
  <c r="U7" i="39"/>
  <c r="M117" i="22"/>
  <c r="N22" i="88" s="1"/>
  <c r="K122" i="22"/>
  <c r="K27" i="88" s="1"/>
  <c r="G122" i="22"/>
  <c r="H27" i="88" s="1"/>
  <c r="N98" i="22"/>
  <c r="K102" i="22"/>
  <c r="I10" i="89" s="1"/>
  <c r="N79" i="22"/>
  <c r="AD79" i="22" s="1"/>
  <c r="K83" i="22"/>
  <c r="Y83" i="22" s="1"/>
  <c r="G83" i="22"/>
  <c r="V83" i="22" s="1"/>
  <c r="N60" i="22"/>
  <c r="AD60" i="22" s="1"/>
  <c r="K64" i="22"/>
  <c r="G64" i="22"/>
  <c r="N41" i="22"/>
  <c r="AD41" i="22" s="1"/>
  <c r="Y45" i="22"/>
  <c r="V45" i="22"/>
  <c r="N22" i="22"/>
  <c r="AD22" i="22" s="1"/>
  <c r="K26" i="22"/>
  <c r="Y26" i="22" s="1"/>
  <c r="G26" i="22"/>
  <c r="V26" i="22" s="1"/>
  <c r="D102" i="22"/>
  <c r="D7" i="88" s="1"/>
  <c r="D6" i="88"/>
  <c r="D83" i="22"/>
  <c r="D82" i="22"/>
  <c r="D64" i="22"/>
  <c r="D63" i="22"/>
  <c r="D26" i="22"/>
  <c r="D25" i="22"/>
  <c r="X102" i="22"/>
  <c r="U102" i="22"/>
  <c r="AA90" i="22"/>
  <c r="Y90" i="22"/>
  <c r="X90" i="22"/>
  <c r="W90" i="22"/>
  <c r="V90" i="22"/>
  <c r="U90" i="22"/>
  <c r="N90" i="22"/>
  <c r="L90" i="22"/>
  <c r="J90" i="22"/>
  <c r="I90" i="22"/>
  <c r="H90" i="22"/>
  <c r="F90" i="22"/>
  <c r="E90" i="22"/>
  <c r="AB89" i="22"/>
  <c r="Z89" i="22"/>
  <c r="M89" i="22"/>
  <c r="O89" i="22" s="1"/>
  <c r="AB88" i="22"/>
  <c r="Z88" i="22"/>
  <c r="M88" i="22"/>
  <c r="O88" i="22" s="1"/>
  <c r="AB87" i="22"/>
  <c r="Z87" i="22"/>
  <c r="M87" i="22"/>
  <c r="O87" i="22" s="1"/>
  <c r="AB86" i="22"/>
  <c r="Z86" i="22"/>
  <c r="M86" i="22"/>
  <c r="O86" i="22" s="1"/>
  <c r="AB85" i="22"/>
  <c r="Z85" i="22"/>
  <c r="M85" i="22"/>
  <c r="X83" i="22"/>
  <c r="U83" i="22"/>
  <c r="L71" i="22"/>
  <c r="J71" i="22"/>
  <c r="M70" i="22"/>
  <c r="O70" i="22" s="1"/>
  <c r="Z66" i="22"/>
  <c r="X64" i="22"/>
  <c r="U64" i="22"/>
  <c r="AA52" i="22"/>
  <c r="Y52" i="22"/>
  <c r="X52" i="22"/>
  <c r="W52" i="22"/>
  <c r="V52" i="22"/>
  <c r="U52" i="22"/>
  <c r="AB51" i="22"/>
  <c r="Z51" i="22"/>
  <c r="AB50" i="22"/>
  <c r="Z50" i="22"/>
  <c r="AB49" i="22"/>
  <c r="Z49" i="22"/>
  <c r="AB48" i="22"/>
  <c r="Z48" i="22"/>
  <c r="AB47" i="22"/>
  <c r="Z47" i="22"/>
  <c r="X45" i="22"/>
  <c r="U45" i="22"/>
  <c r="L33" i="22"/>
  <c r="J33" i="22"/>
  <c r="X26" i="22"/>
  <c r="U26" i="22"/>
  <c r="AD3" i="22"/>
  <c r="Y7" i="22"/>
  <c r="X7" i="22"/>
  <c r="V7" i="22"/>
  <c r="G131" i="22"/>
  <c r="G12" i="91" s="1"/>
  <c r="G98" i="91" s="1"/>
  <c r="O45" i="99" l="1"/>
  <c r="AH104" i="97"/>
  <c r="AG109" i="97"/>
  <c r="AH109" i="97" s="1"/>
  <c r="E12" i="91"/>
  <c r="E98" i="91" s="1"/>
  <c r="J32" i="36"/>
  <c r="C8" i="56"/>
  <c r="C9" i="56" s="1"/>
  <c r="L26" i="93"/>
  <c r="L35" i="93" s="1"/>
  <c r="L27" i="93"/>
  <c r="L36" i="93" s="1"/>
  <c r="L24" i="93"/>
  <c r="L33" i="93" s="1"/>
  <c r="L25" i="93"/>
  <c r="L34" i="93" s="1"/>
  <c r="L23" i="93"/>
  <c r="L32" i="93" s="1"/>
  <c r="U13" i="90"/>
  <c r="U114" i="90" s="1"/>
  <c r="D20" i="94"/>
  <c r="D28" i="94" s="1"/>
  <c r="Y13" i="90"/>
  <c r="Y114" i="90" s="1"/>
  <c r="H20" i="94"/>
  <c r="H28" i="94" s="1"/>
  <c r="D6" i="91"/>
  <c r="D92" i="91" s="1"/>
  <c r="AG76" i="90"/>
  <c r="L145" i="85"/>
  <c r="M145" i="85" s="1"/>
  <c r="D128" i="22"/>
  <c r="AG78" i="90"/>
  <c r="L13" i="90"/>
  <c r="L114" i="90" s="1"/>
  <c r="L12" i="90"/>
  <c r="L113" i="90" s="1"/>
  <c r="L11" i="90"/>
  <c r="L112" i="90" s="1"/>
  <c r="L10" i="90"/>
  <c r="L111" i="90" s="1"/>
  <c r="L9" i="90"/>
  <c r="L110" i="90" s="1"/>
  <c r="V64" i="22"/>
  <c r="Y64" i="22"/>
  <c r="J9" i="22"/>
  <c r="AD3" i="82"/>
  <c r="N3" i="88"/>
  <c r="AD3" i="88" s="1"/>
  <c r="Y7" i="82"/>
  <c r="K7" i="88"/>
  <c r="Y7" i="88" s="1"/>
  <c r="V7" i="82"/>
  <c r="G7" i="88"/>
  <c r="V7" i="88" s="1"/>
  <c r="J11" i="22"/>
  <c r="J11" i="79" s="1"/>
  <c r="N22" i="39"/>
  <c r="J13" i="22"/>
  <c r="J13" i="79" s="1"/>
  <c r="L12" i="39"/>
  <c r="O9" i="80"/>
  <c r="P9" i="80" s="1"/>
  <c r="J12" i="22"/>
  <c r="J12" i="79" s="1"/>
  <c r="L10" i="39"/>
  <c r="L13" i="39"/>
  <c r="J104" i="75"/>
  <c r="J26" i="90" s="1"/>
  <c r="AD9" i="75"/>
  <c r="K9" i="75"/>
  <c r="J10" i="22"/>
  <c r="L9" i="39"/>
  <c r="E36" i="39"/>
  <c r="E45" i="39" s="1"/>
  <c r="D131" i="85"/>
  <c r="D143" i="85"/>
  <c r="AG109" i="85"/>
  <c r="AH109" i="85" s="1"/>
  <c r="D127" i="22"/>
  <c r="D129" i="22"/>
  <c r="N3" i="77"/>
  <c r="D126" i="22"/>
  <c r="Y13" i="39"/>
  <c r="K67" i="22"/>
  <c r="M67" i="22" s="1"/>
  <c r="O67" i="22" s="1"/>
  <c r="M5" i="36"/>
  <c r="K68" i="22"/>
  <c r="M68" i="22" s="1"/>
  <c r="O68" i="22" s="1"/>
  <c r="M6" i="36"/>
  <c r="K69" i="22"/>
  <c r="M69" i="22" s="1"/>
  <c r="O69" i="22" s="1"/>
  <c r="D14" i="22"/>
  <c r="V102" i="22"/>
  <c r="AF48" i="22"/>
  <c r="AG48" i="22" s="1"/>
  <c r="AH48" i="22" s="1"/>
  <c r="H27" i="39"/>
  <c r="AF50" i="22"/>
  <c r="AG50" i="22" s="1"/>
  <c r="AH50" i="22" s="1"/>
  <c r="AF51" i="22"/>
  <c r="AG51" i="22" s="1"/>
  <c r="AH51" i="22" s="1"/>
  <c r="AF49" i="22"/>
  <c r="AG49" i="22" s="1"/>
  <c r="AH49" i="22" s="1"/>
  <c r="AF86" i="22"/>
  <c r="AG86" i="22" s="1"/>
  <c r="AH86" i="22" s="1"/>
  <c r="AF89" i="22"/>
  <c r="AG89" i="22" s="1"/>
  <c r="AH89" i="22" s="1"/>
  <c r="AD90" i="22"/>
  <c r="K3" i="36"/>
  <c r="D30" i="39"/>
  <c r="AB90" i="22"/>
  <c r="AB52" i="22"/>
  <c r="Y54" i="22"/>
  <c r="Y92" i="22"/>
  <c r="AD52" i="22"/>
  <c r="AF87" i="22"/>
  <c r="AG87" i="22" s="1"/>
  <c r="AH87" i="22" s="1"/>
  <c r="AF47" i="22"/>
  <c r="AF85" i="22"/>
  <c r="AF88" i="22"/>
  <c r="AG88" i="22" s="1"/>
  <c r="AH88" i="22" s="1"/>
  <c r="M90" i="22"/>
  <c r="K90" i="22"/>
  <c r="O85" i="22"/>
  <c r="O90" i="22" s="1"/>
  <c r="Z52" i="22"/>
  <c r="Z90" i="22"/>
  <c r="D7" i="39"/>
  <c r="AF70" i="22"/>
  <c r="AG70" i="22" s="1"/>
  <c r="AH70" i="22" s="1"/>
  <c r="D9" i="36"/>
  <c r="E25" i="36" s="1"/>
  <c r="G45" i="39"/>
  <c r="L11" i="39"/>
  <c r="Y102" i="22"/>
  <c r="G7" i="39"/>
  <c r="V7" i="39" s="1"/>
  <c r="M4" i="36"/>
  <c r="Z71" i="22"/>
  <c r="L109" i="22"/>
  <c r="Q31" i="95" s="1"/>
  <c r="S31" i="95" s="1"/>
  <c r="AD98" i="22"/>
  <c r="N3" i="39"/>
  <c r="AD3" i="39" s="1"/>
  <c r="K7" i="39"/>
  <c r="Y7" i="39" s="1"/>
  <c r="K27" i="39"/>
  <c r="D6" i="39"/>
  <c r="Z104" i="22"/>
  <c r="V71" i="22"/>
  <c r="F105" i="22"/>
  <c r="F24" i="93" s="1"/>
  <c r="F33" i="93" s="1"/>
  <c r="F71" i="22"/>
  <c r="AF68" i="22"/>
  <c r="D71" i="22"/>
  <c r="W71" i="22"/>
  <c r="AA71" i="22"/>
  <c r="AF67" i="22"/>
  <c r="U71" i="22"/>
  <c r="AF69" i="22"/>
  <c r="I71" i="22"/>
  <c r="X71" i="22"/>
  <c r="H71" i="22"/>
  <c r="Y71" i="22"/>
  <c r="V107" i="22"/>
  <c r="E19" i="94" s="1"/>
  <c r="E27" i="94" s="1"/>
  <c r="E71" i="22"/>
  <c r="AA33" i="22"/>
  <c r="AE71" i="22"/>
  <c r="E6" i="36"/>
  <c r="H6" i="36" s="1"/>
  <c r="H129" i="22"/>
  <c r="M28" i="22"/>
  <c r="O28" i="22" s="1"/>
  <c r="E104" i="22"/>
  <c r="E23" i="93" s="1"/>
  <c r="E32" i="93" s="1"/>
  <c r="V33" i="22"/>
  <c r="X33" i="22"/>
  <c r="Z33" i="22"/>
  <c r="H33" i="22"/>
  <c r="AF28" i="22"/>
  <c r="Y33" i="22"/>
  <c r="M32" i="22"/>
  <c r="O32" i="22" s="1"/>
  <c r="M29" i="22"/>
  <c r="O29" i="22" s="1"/>
  <c r="H126" i="22"/>
  <c r="K143" i="22" s="1"/>
  <c r="M31" i="22"/>
  <c r="O31" i="22" s="1"/>
  <c r="AF32" i="22"/>
  <c r="W33" i="22"/>
  <c r="E7" i="36"/>
  <c r="H7" i="36" s="1"/>
  <c r="AE33" i="22"/>
  <c r="X108" i="22"/>
  <c r="D104" i="22"/>
  <c r="D23" i="93" s="1"/>
  <c r="D32" i="93" s="1"/>
  <c r="N105" i="22"/>
  <c r="Z105" i="22"/>
  <c r="F107" i="22"/>
  <c r="F26" i="93" s="1"/>
  <c r="F35" i="93" s="1"/>
  <c r="H9" i="91"/>
  <c r="H95" i="91" s="1"/>
  <c r="H127" i="22"/>
  <c r="E108" i="22"/>
  <c r="E27" i="93" s="1"/>
  <c r="E36" i="93" s="1"/>
  <c r="AD71" i="22"/>
  <c r="AF30" i="22"/>
  <c r="U105" i="22"/>
  <c r="H106" i="22"/>
  <c r="H25" i="93" s="1"/>
  <c r="H34" i="93" s="1"/>
  <c r="W106" i="22"/>
  <c r="F18" i="94" s="1"/>
  <c r="F26" i="94" s="1"/>
  <c r="W108" i="22"/>
  <c r="F20" i="94" s="1"/>
  <c r="F28" i="94" s="1"/>
  <c r="N33" i="22"/>
  <c r="E5" i="36"/>
  <c r="H5" i="36" s="1"/>
  <c r="V105" i="22"/>
  <c r="E17" i="94" s="1"/>
  <c r="E25" i="94" s="1"/>
  <c r="I106" i="22"/>
  <c r="I25" i="93" s="1"/>
  <c r="I34" i="93" s="1"/>
  <c r="X106" i="22"/>
  <c r="U107" i="22"/>
  <c r="M30" i="22"/>
  <c r="O30" i="22" s="1"/>
  <c r="U33" i="22"/>
  <c r="Z106" i="22"/>
  <c r="Z108" i="22"/>
  <c r="AB31" i="22"/>
  <c r="AF31" i="22" s="1"/>
  <c r="E4" i="36"/>
  <c r="H4" i="36" s="1"/>
  <c r="AD29" i="22"/>
  <c r="AD33" i="22" s="1"/>
  <c r="H105" i="22"/>
  <c r="H24" i="93" s="1"/>
  <c r="H33" i="93" s="1"/>
  <c r="W105" i="22"/>
  <c r="F17" i="94" s="1"/>
  <c r="F25" i="94" s="1"/>
  <c r="E106" i="22"/>
  <c r="U106" i="22"/>
  <c r="Y106" i="22"/>
  <c r="Y107" i="22"/>
  <c r="D108" i="22"/>
  <c r="D27" i="93" s="1"/>
  <c r="D36" i="93" s="1"/>
  <c r="H107" i="22"/>
  <c r="H26" i="93" s="1"/>
  <c r="H35" i="93" s="1"/>
  <c r="F108" i="22"/>
  <c r="F27" i="93" s="1"/>
  <c r="F36" i="93" s="1"/>
  <c r="V108" i="22"/>
  <c r="E20" i="94" s="1"/>
  <c r="E28" i="94" s="1"/>
  <c r="Y105" i="22"/>
  <c r="Z107" i="22"/>
  <c r="I105" i="22"/>
  <c r="I24" i="93" s="1"/>
  <c r="I33" i="93" s="1"/>
  <c r="X105" i="22"/>
  <c r="F106" i="22"/>
  <c r="F25" i="93" s="1"/>
  <c r="F34" i="93" s="1"/>
  <c r="V106" i="22"/>
  <c r="E18" i="94" s="1"/>
  <c r="E26" i="94" s="1"/>
  <c r="I108" i="22"/>
  <c r="I27" i="93" s="1"/>
  <c r="I36" i="93" s="1"/>
  <c r="D107" i="22"/>
  <c r="D26" i="93" s="1"/>
  <c r="D35" i="93" s="1"/>
  <c r="I107" i="22"/>
  <c r="I26" i="93" s="1"/>
  <c r="I35" i="93" s="1"/>
  <c r="X107" i="22"/>
  <c r="AE107" i="22"/>
  <c r="AE106" i="22"/>
  <c r="Z14" i="22"/>
  <c r="AA12" i="90"/>
  <c r="AA113" i="90" s="1"/>
  <c r="N106" i="22"/>
  <c r="N25" i="93" s="1"/>
  <c r="N34" i="93" s="1"/>
  <c r="K26" i="94" s="1"/>
  <c r="AB11" i="22"/>
  <c r="AB106" i="22" s="1"/>
  <c r="E107" i="22"/>
  <c r="E26" i="93" s="1"/>
  <c r="E35" i="93" s="1"/>
  <c r="E14" i="22"/>
  <c r="D106" i="22"/>
  <c r="D25" i="93" s="1"/>
  <c r="D34" i="93" s="1"/>
  <c r="N107" i="22"/>
  <c r="N26" i="93" s="1"/>
  <c r="N35" i="93" s="1"/>
  <c r="K27" i="94" s="1"/>
  <c r="AB12" i="22"/>
  <c r="AE108" i="22"/>
  <c r="H108" i="22"/>
  <c r="H27" i="93" s="1"/>
  <c r="H36" i="93" s="1"/>
  <c r="W107" i="22"/>
  <c r="F19" i="94" s="1"/>
  <c r="F27" i="94" s="1"/>
  <c r="AE105" i="22"/>
  <c r="AB10" i="22"/>
  <c r="AB105" i="22" s="1"/>
  <c r="N108" i="22"/>
  <c r="N27" i="93" s="1"/>
  <c r="N36" i="93" s="1"/>
  <c r="K28" i="94" s="1"/>
  <c r="AB13" i="22"/>
  <c r="U13" i="39"/>
  <c r="AE14" i="22"/>
  <c r="F104" i="22"/>
  <c r="F23" i="93" s="1"/>
  <c r="F32" i="93" s="1"/>
  <c r="F14" i="22"/>
  <c r="N14" i="22"/>
  <c r="AB9" i="22"/>
  <c r="V104" i="22"/>
  <c r="E16" i="94" s="1"/>
  <c r="E24" i="94" s="1"/>
  <c r="V14" i="22"/>
  <c r="H104" i="22"/>
  <c r="H23" i="93" s="1"/>
  <c r="H32" i="93" s="1"/>
  <c r="H14" i="22"/>
  <c r="W104" i="22"/>
  <c r="F16" i="94" s="1"/>
  <c r="F24" i="94" s="1"/>
  <c r="W14" i="22"/>
  <c r="I14" i="22"/>
  <c r="I104" i="22"/>
  <c r="I23" i="93" s="1"/>
  <c r="I32" i="93" s="1"/>
  <c r="X14" i="22"/>
  <c r="X104" i="22"/>
  <c r="G16" i="94" s="1"/>
  <c r="G24" i="94" s="1"/>
  <c r="U14" i="22"/>
  <c r="U104" i="22"/>
  <c r="D16" i="94" s="1"/>
  <c r="D24" i="94" s="1"/>
  <c r="Y14" i="22"/>
  <c r="Y104" i="22"/>
  <c r="H16" i="94" s="1"/>
  <c r="H24" i="94" s="1"/>
  <c r="AE104" i="22"/>
  <c r="L9" i="36"/>
  <c r="M25" i="36" s="1"/>
  <c r="J107" i="79" l="1"/>
  <c r="K12" i="79"/>
  <c r="M12" i="79" s="1"/>
  <c r="O12" i="79" s="1"/>
  <c r="AD12" i="79"/>
  <c r="AF12" i="79" s="1"/>
  <c r="AD10" i="22"/>
  <c r="AF10" i="22" s="1"/>
  <c r="J10" i="79"/>
  <c r="H9" i="36"/>
  <c r="I25" i="36" s="1"/>
  <c r="D69" i="91"/>
  <c r="I32" i="36"/>
  <c r="P32" i="36" s="1"/>
  <c r="Q32" i="36" s="1"/>
  <c r="J33" i="36"/>
  <c r="L28" i="93"/>
  <c r="N24" i="93"/>
  <c r="N33" i="93" s="1"/>
  <c r="K25" i="94" s="1"/>
  <c r="D143" i="22"/>
  <c r="L143" i="22" s="1"/>
  <c r="E25" i="93"/>
  <c r="E34" i="93" s="1"/>
  <c r="AE11" i="90"/>
  <c r="AE112" i="90" s="1"/>
  <c r="L18" i="94"/>
  <c r="X10" i="90"/>
  <c r="X111" i="90" s="1"/>
  <c r="G17" i="94"/>
  <c r="G25" i="94" s="1"/>
  <c r="Y12" i="90"/>
  <c r="Y113" i="90" s="1"/>
  <c r="H19" i="94"/>
  <c r="H27" i="94" s="1"/>
  <c r="AE12" i="90"/>
  <c r="AE113" i="90" s="1"/>
  <c r="L19" i="94"/>
  <c r="Y11" i="90"/>
  <c r="Y112" i="90" s="1"/>
  <c r="H18" i="94"/>
  <c r="H26" i="94" s="1"/>
  <c r="Z13" i="90"/>
  <c r="Z114" i="90" s="1"/>
  <c r="I20" i="94"/>
  <c r="I28" i="94" s="1"/>
  <c r="AA13" i="90"/>
  <c r="AA114" i="90" s="1"/>
  <c r="J20" i="94"/>
  <c r="J28" i="94" s="1"/>
  <c r="X13" i="90"/>
  <c r="X114" i="90" s="1"/>
  <c r="G20" i="94"/>
  <c r="G28" i="94" s="1"/>
  <c r="AB10" i="90"/>
  <c r="AB111" i="90" s="1"/>
  <c r="K17" i="94"/>
  <c r="AE9" i="90"/>
  <c r="AE110" i="90" s="1"/>
  <c r="L16" i="94"/>
  <c r="N24" i="94" s="1"/>
  <c r="AE10" i="90"/>
  <c r="AE111" i="90" s="1"/>
  <c r="L17" i="94"/>
  <c r="X12" i="90"/>
  <c r="X113" i="90" s="1"/>
  <c r="G19" i="94"/>
  <c r="G27" i="94" s="1"/>
  <c r="Z12" i="90"/>
  <c r="Z113" i="90" s="1"/>
  <c r="I19" i="94"/>
  <c r="I27" i="94" s="1"/>
  <c r="U11" i="90"/>
  <c r="U112" i="90" s="1"/>
  <c r="D18" i="94"/>
  <c r="D26" i="94" s="1"/>
  <c r="Z11" i="90"/>
  <c r="Z112" i="90" s="1"/>
  <c r="I18" i="94"/>
  <c r="I26" i="94" s="1"/>
  <c r="AA10" i="90"/>
  <c r="AA111" i="90" s="1"/>
  <c r="J17" i="94"/>
  <c r="J25" i="94" s="1"/>
  <c r="Y10" i="90"/>
  <c r="Y111" i="90" s="1"/>
  <c r="H17" i="94"/>
  <c r="H25" i="94" s="1"/>
  <c r="U9" i="90"/>
  <c r="U110" i="90" s="1"/>
  <c r="AE13" i="90"/>
  <c r="AE114" i="90" s="1"/>
  <c r="L20" i="94"/>
  <c r="U12" i="90"/>
  <c r="U113" i="90" s="1"/>
  <c r="D19" i="94"/>
  <c r="D27" i="94" s="1"/>
  <c r="AB11" i="90"/>
  <c r="AB112" i="90" s="1"/>
  <c r="K18" i="94"/>
  <c r="X11" i="90"/>
  <c r="X112" i="90" s="1"/>
  <c r="G18" i="94"/>
  <c r="G26" i="94" s="1"/>
  <c r="U10" i="90"/>
  <c r="U111" i="90" s="1"/>
  <c r="D17" i="94"/>
  <c r="D25" i="94" s="1"/>
  <c r="Z10" i="90"/>
  <c r="Z111" i="90" s="1"/>
  <c r="I17" i="94"/>
  <c r="I25" i="94" s="1"/>
  <c r="Z9" i="90"/>
  <c r="Z110" i="90" s="1"/>
  <c r="I16" i="94"/>
  <c r="I24" i="94" s="1"/>
  <c r="D142" i="22"/>
  <c r="L142" i="22" s="1"/>
  <c r="I3" i="36"/>
  <c r="I9" i="64"/>
  <c r="J107" i="75"/>
  <c r="J29" i="90" s="1"/>
  <c r="AD12" i="22"/>
  <c r="AF12" i="22" s="1"/>
  <c r="K12" i="22"/>
  <c r="M12" i="22" s="1"/>
  <c r="O12" i="22" s="1"/>
  <c r="J108" i="79"/>
  <c r="J47" i="90" s="1"/>
  <c r="AD13" i="22"/>
  <c r="AF13" i="22" s="1"/>
  <c r="J106" i="79"/>
  <c r="AD11" i="22"/>
  <c r="AF11" i="22" s="1"/>
  <c r="D144" i="22"/>
  <c r="L144" i="22" s="1"/>
  <c r="D145" i="22"/>
  <c r="D146" i="22"/>
  <c r="H7" i="91"/>
  <c r="H93" i="91" s="1"/>
  <c r="H8" i="91"/>
  <c r="H94" i="91" s="1"/>
  <c r="K144" i="22"/>
  <c r="H10" i="91"/>
  <c r="H96" i="91" s="1"/>
  <c r="K146" i="22"/>
  <c r="I13" i="90"/>
  <c r="I114" i="90" s="1"/>
  <c r="V13" i="90"/>
  <c r="V114" i="90" s="1"/>
  <c r="E13" i="90"/>
  <c r="E114" i="90" s="1"/>
  <c r="H13" i="90"/>
  <c r="H114" i="90" s="1"/>
  <c r="F13" i="90"/>
  <c r="F114" i="90" s="1"/>
  <c r="W13" i="90"/>
  <c r="W114" i="90" s="1"/>
  <c r="N13" i="90"/>
  <c r="N114" i="90" s="1"/>
  <c r="D13" i="90"/>
  <c r="D114" i="90" s="1"/>
  <c r="D12" i="90"/>
  <c r="D113" i="90" s="1"/>
  <c r="F12" i="90"/>
  <c r="F113" i="90" s="1"/>
  <c r="E12" i="90"/>
  <c r="E113" i="90" s="1"/>
  <c r="V12" i="90"/>
  <c r="V113" i="90" s="1"/>
  <c r="W12" i="90"/>
  <c r="W113" i="90" s="1"/>
  <c r="N12" i="90"/>
  <c r="N113" i="90" s="1"/>
  <c r="I12" i="90"/>
  <c r="I113" i="90" s="1"/>
  <c r="H12" i="90"/>
  <c r="H113" i="90" s="1"/>
  <c r="E11" i="90"/>
  <c r="E112" i="90" s="1"/>
  <c r="H11" i="90"/>
  <c r="H112" i="90" s="1"/>
  <c r="V11" i="90"/>
  <c r="V112" i="90" s="1"/>
  <c r="I11" i="90"/>
  <c r="I112" i="90" s="1"/>
  <c r="D11" i="90"/>
  <c r="D112" i="90" s="1"/>
  <c r="N11" i="90"/>
  <c r="N112" i="90" s="1"/>
  <c r="F11" i="90"/>
  <c r="F112" i="90" s="1"/>
  <c r="W11" i="90"/>
  <c r="W112" i="90" s="1"/>
  <c r="I10" i="90"/>
  <c r="I111" i="90" s="1"/>
  <c r="W10" i="90"/>
  <c r="W111" i="90" s="1"/>
  <c r="H10" i="90"/>
  <c r="H111" i="90" s="1"/>
  <c r="N10" i="90"/>
  <c r="N111" i="90" s="1"/>
  <c r="V10" i="90"/>
  <c r="V111" i="90" s="1"/>
  <c r="F10" i="90"/>
  <c r="F111" i="90" s="1"/>
  <c r="F9" i="90"/>
  <c r="F110" i="90" s="1"/>
  <c r="H9" i="90"/>
  <c r="H110" i="90" s="1"/>
  <c r="E9" i="90"/>
  <c r="E110" i="90" s="1"/>
  <c r="V9" i="90"/>
  <c r="V110" i="90" s="1"/>
  <c r="D9" i="90"/>
  <c r="D110" i="90" s="1"/>
  <c r="AG81" i="90"/>
  <c r="K7" i="36"/>
  <c r="D10" i="91"/>
  <c r="D96" i="91" s="1"/>
  <c r="K6" i="36"/>
  <c r="D9" i="91"/>
  <c r="D95" i="91" s="1"/>
  <c r="K5" i="36"/>
  <c r="D8" i="91"/>
  <c r="D94" i="91" s="1"/>
  <c r="D31" i="39"/>
  <c r="D7" i="91"/>
  <c r="D93" i="91" s="1"/>
  <c r="X14" i="82"/>
  <c r="X9" i="90"/>
  <c r="X110" i="90" s="1"/>
  <c r="Y14" i="82"/>
  <c r="Y9" i="90"/>
  <c r="Y110" i="90" s="1"/>
  <c r="W14" i="82"/>
  <c r="W9" i="90"/>
  <c r="W110" i="90" s="1"/>
  <c r="I14" i="82"/>
  <c r="I44" i="82" s="1"/>
  <c r="I9" i="90"/>
  <c r="I110" i="90" s="1"/>
  <c r="L14" i="90"/>
  <c r="L115" i="90" s="1"/>
  <c r="H33" i="39"/>
  <c r="H31" i="39"/>
  <c r="H34" i="39"/>
  <c r="H32" i="39"/>
  <c r="D33" i="39"/>
  <c r="J105" i="75"/>
  <c r="J27" i="90" s="1"/>
  <c r="K9" i="22"/>
  <c r="M9" i="22" s="1"/>
  <c r="O9" i="22" s="1"/>
  <c r="J9" i="79"/>
  <c r="K9" i="79" s="1"/>
  <c r="D32" i="39"/>
  <c r="AG47" i="22"/>
  <c r="AH47" i="22" s="1"/>
  <c r="J106" i="22"/>
  <c r="J25" i="93" s="1"/>
  <c r="J34" i="93" s="1"/>
  <c r="K11" i="22"/>
  <c r="M11" i="22" s="1"/>
  <c r="O11" i="22" s="1"/>
  <c r="J105" i="22"/>
  <c r="K10" i="22"/>
  <c r="M10" i="22" s="1"/>
  <c r="O10" i="22" s="1"/>
  <c r="J108" i="22"/>
  <c r="J27" i="93" s="1"/>
  <c r="J36" i="93" s="1"/>
  <c r="K13" i="22"/>
  <c r="M13" i="22" s="1"/>
  <c r="O13" i="22" s="1"/>
  <c r="J107" i="22"/>
  <c r="J26" i="93" s="1"/>
  <c r="J35" i="93" s="1"/>
  <c r="L14" i="39"/>
  <c r="L44" i="39" s="1"/>
  <c r="D131" i="22"/>
  <c r="D12" i="91" s="1"/>
  <c r="K4" i="36"/>
  <c r="K12" i="82"/>
  <c r="M12" i="82" s="1"/>
  <c r="N6" i="83"/>
  <c r="O6" i="83" s="1"/>
  <c r="P6" i="83" s="1"/>
  <c r="K13" i="82"/>
  <c r="M13" i="82" s="1"/>
  <c r="E14" i="82"/>
  <c r="E44" i="82" s="1"/>
  <c r="N6" i="77"/>
  <c r="O6" i="77" s="1"/>
  <c r="P6" i="77" s="1"/>
  <c r="N5" i="77"/>
  <c r="O5" i="77" s="1"/>
  <c r="P5" i="77" s="1"/>
  <c r="L143" i="85"/>
  <c r="M143" i="85" s="1"/>
  <c r="D147" i="85"/>
  <c r="L14" i="82"/>
  <c r="L44" i="82" s="1"/>
  <c r="M9" i="75"/>
  <c r="U14" i="82"/>
  <c r="V14" i="82"/>
  <c r="F14" i="82"/>
  <c r="F44" i="82" s="1"/>
  <c r="Z14" i="82"/>
  <c r="N4" i="77"/>
  <c r="O4" i="77" s="1"/>
  <c r="P4" i="77" s="1"/>
  <c r="D36" i="82"/>
  <c r="D45" i="82" s="1"/>
  <c r="AF9" i="75"/>
  <c r="K9" i="83"/>
  <c r="L23" i="36" s="1"/>
  <c r="J108" i="75"/>
  <c r="J30" i="90" s="1"/>
  <c r="AD13" i="75"/>
  <c r="AF13" i="75" s="1"/>
  <c r="K13" i="75"/>
  <c r="M13" i="75" s="1"/>
  <c r="O13" i="75" s="1"/>
  <c r="J104" i="22"/>
  <c r="J23" i="93" s="1"/>
  <c r="J32" i="93" s="1"/>
  <c r="J106" i="75"/>
  <c r="J28" i="90" s="1"/>
  <c r="AD11" i="75"/>
  <c r="AF11" i="75" s="1"/>
  <c r="K11" i="75"/>
  <c r="M11" i="75" s="1"/>
  <c r="O11" i="75" s="1"/>
  <c r="AE14" i="82"/>
  <c r="H14" i="82"/>
  <c r="H44" i="82" s="1"/>
  <c r="N5" i="83"/>
  <c r="O5" i="83" s="1"/>
  <c r="P5" i="83" s="1"/>
  <c r="K11" i="82"/>
  <c r="M11" i="82" s="1"/>
  <c r="O11" i="82" s="1"/>
  <c r="AF11" i="82"/>
  <c r="N4" i="83"/>
  <c r="O4" i="83" s="1"/>
  <c r="P4" i="83" s="1"/>
  <c r="K10" i="82"/>
  <c r="M10" i="82" s="1"/>
  <c r="O10" i="82" s="1"/>
  <c r="J9" i="76"/>
  <c r="AD104" i="75"/>
  <c r="AD26" i="90" s="1"/>
  <c r="K104" i="75"/>
  <c r="K26" i="90" s="1"/>
  <c r="D34" i="39"/>
  <c r="N7" i="77"/>
  <c r="O7" i="77" s="1"/>
  <c r="P7" i="77" s="1"/>
  <c r="D33" i="76"/>
  <c r="D145" i="75"/>
  <c r="L145" i="75" s="1"/>
  <c r="M145" i="75" s="1"/>
  <c r="D31" i="76"/>
  <c r="D143" i="75"/>
  <c r="D131" i="75"/>
  <c r="O3" i="77"/>
  <c r="P3" i="77" s="1"/>
  <c r="D34" i="76"/>
  <c r="D146" i="75"/>
  <c r="L146" i="75" s="1"/>
  <c r="M146" i="75" s="1"/>
  <c r="D32" i="76"/>
  <c r="D144" i="75"/>
  <c r="L144" i="75" s="1"/>
  <c r="M144" i="75" s="1"/>
  <c r="N11" i="39"/>
  <c r="Y10" i="39"/>
  <c r="V12" i="39"/>
  <c r="Y12" i="39"/>
  <c r="W10" i="39"/>
  <c r="U10" i="39"/>
  <c r="Z10" i="39"/>
  <c r="J3" i="36"/>
  <c r="H10" i="39"/>
  <c r="W13" i="39"/>
  <c r="X13" i="39"/>
  <c r="F10" i="39"/>
  <c r="D12" i="39"/>
  <c r="D13" i="39"/>
  <c r="D9" i="39"/>
  <c r="AG67" i="22"/>
  <c r="AH67" i="22" s="1"/>
  <c r="J14" i="22"/>
  <c r="AD9" i="22"/>
  <c r="AF9" i="22" s="1"/>
  <c r="AF52" i="22"/>
  <c r="AF90" i="22"/>
  <c r="AG69" i="22"/>
  <c r="AH69" i="22" s="1"/>
  <c r="AG85" i="22"/>
  <c r="AH85" i="22" s="1"/>
  <c r="M3" i="36"/>
  <c r="M9" i="36" s="1"/>
  <c r="Y73" i="22"/>
  <c r="Y35" i="22"/>
  <c r="Z9" i="39"/>
  <c r="N71" i="22"/>
  <c r="AB66" i="22"/>
  <c r="AB104" i="22" s="1"/>
  <c r="AG68" i="22"/>
  <c r="AH68" i="22" s="1"/>
  <c r="K71" i="22"/>
  <c r="M66" i="22"/>
  <c r="E9" i="39"/>
  <c r="U11" i="39"/>
  <c r="F11" i="39"/>
  <c r="H131" i="22"/>
  <c r="H12" i="91" s="1"/>
  <c r="H98" i="91" s="1"/>
  <c r="I11" i="39"/>
  <c r="I4" i="36"/>
  <c r="D10" i="39"/>
  <c r="AG28" i="22"/>
  <c r="AH28" i="22" s="1"/>
  <c r="H11" i="39"/>
  <c r="Z11" i="39"/>
  <c r="X12" i="39"/>
  <c r="E11" i="39"/>
  <c r="I7" i="36"/>
  <c r="AG31" i="22"/>
  <c r="AH31" i="22" s="1"/>
  <c r="E13" i="39"/>
  <c r="N10" i="39"/>
  <c r="I10" i="39"/>
  <c r="W11" i="39"/>
  <c r="AA13" i="39"/>
  <c r="F12" i="39"/>
  <c r="Y11" i="39"/>
  <c r="F13" i="39"/>
  <c r="J4" i="36"/>
  <c r="Z109" i="22"/>
  <c r="H12" i="39"/>
  <c r="AF29" i="22"/>
  <c r="AG29" i="22" s="1"/>
  <c r="AH29" i="22" s="1"/>
  <c r="X11" i="39"/>
  <c r="E9" i="36"/>
  <c r="F25" i="36" s="1"/>
  <c r="AG32" i="22"/>
  <c r="AH32" i="22" s="1"/>
  <c r="I6" i="36"/>
  <c r="U12" i="39"/>
  <c r="AB33" i="22"/>
  <c r="V13" i="39"/>
  <c r="AB107" i="22"/>
  <c r="K19" i="94" s="1"/>
  <c r="E109" i="22"/>
  <c r="I13" i="39"/>
  <c r="K33" i="22"/>
  <c r="Z13" i="39"/>
  <c r="AG30" i="22"/>
  <c r="AH30" i="22" s="1"/>
  <c r="M33" i="22"/>
  <c r="I12" i="39"/>
  <c r="V10" i="39"/>
  <c r="X10" i="39"/>
  <c r="V11" i="39"/>
  <c r="Z12" i="39"/>
  <c r="O33" i="22"/>
  <c r="AA14" i="22"/>
  <c r="AE11" i="39"/>
  <c r="J5" i="36"/>
  <c r="E10" i="39"/>
  <c r="AB11" i="39"/>
  <c r="AA12" i="39"/>
  <c r="AE12" i="39"/>
  <c r="F9" i="39"/>
  <c r="F109" i="22"/>
  <c r="D109" i="22"/>
  <c r="D34" i="36" s="1"/>
  <c r="AA10" i="39"/>
  <c r="AB14" i="22"/>
  <c r="AE10" i="39"/>
  <c r="AE13" i="39"/>
  <c r="J6" i="36"/>
  <c r="N12" i="39"/>
  <c r="E12" i="39"/>
  <c r="AB108" i="22"/>
  <c r="K20" i="94" s="1"/>
  <c r="H13" i="39"/>
  <c r="I5" i="36"/>
  <c r="D11" i="39"/>
  <c r="N13" i="39"/>
  <c r="J7" i="36"/>
  <c r="N109" i="22"/>
  <c r="E34" i="36" s="1"/>
  <c r="AB10" i="39"/>
  <c r="W12" i="39"/>
  <c r="N9" i="39"/>
  <c r="V9" i="39"/>
  <c r="V109" i="22"/>
  <c r="E21" i="94" s="1"/>
  <c r="E29" i="94" s="1"/>
  <c r="U109" i="22"/>
  <c r="U9" i="39"/>
  <c r="Y9" i="39"/>
  <c r="Y109" i="22"/>
  <c r="Y16" i="22"/>
  <c r="I109" i="22"/>
  <c r="I9" i="39"/>
  <c r="W109" i="22"/>
  <c r="W9" i="39"/>
  <c r="AE109" i="22"/>
  <c r="AE9" i="39"/>
  <c r="X9" i="39"/>
  <c r="X109" i="22"/>
  <c r="H109" i="22"/>
  <c r="H9" i="39"/>
  <c r="AG12" i="79" l="1"/>
  <c r="AH12" i="79" s="1"/>
  <c r="J46" i="90"/>
  <c r="J12" i="81"/>
  <c r="K12" i="81" s="1"/>
  <c r="M12" i="81" s="1"/>
  <c r="O12" i="81" s="1"/>
  <c r="AD107" i="79"/>
  <c r="K107" i="79"/>
  <c r="J105" i="79"/>
  <c r="K10" i="79"/>
  <c r="M10" i="79" s="1"/>
  <c r="O10" i="79" s="1"/>
  <c r="AD10" i="79"/>
  <c r="AF10" i="79" s="1"/>
  <c r="L24" i="94"/>
  <c r="F34" i="36"/>
  <c r="D27" i="91"/>
  <c r="D98" i="91" s="1"/>
  <c r="I29" i="36"/>
  <c r="P3" i="70"/>
  <c r="N25" i="36"/>
  <c r="L27" i="94"/>
  <c r="N27" i="94"/>
  <c r="L28" i="94"/>
  <c r="N28" i="94"/>
  <c r="L25" i="94"/>
  <c r="N25" i="94"/>
  <c r="L26" i="94"/>
  <c r="N26" i="94"/>
  <c r="J24" i="93"/>
  <c r="J33" i="93" s="1"/>
  <c r="AD105" i="22"/>
  <c r="M17" i="94" s="1"/>
  <c r="M25" i="94" s="1"/>
  <c r="D14" i="90"/>
  <c r="D115" i="90" s="1"/>
  <c r="D28" i="93"/>
  <c r="Z14" i="90"/>
  <c r="Z115" i="90" s="1"/>
  <c r="I21" i="94"/>
  <c r="I29" i="94" s="1"/>
  <c r="F14" i="90"/>
  <c r="F115" i="90" s="1"/>
  <c r="F28" i="93"/>
  <c r="U14" i="90"/>
  <c r="U115" i="90" s="1"/>
  <c r="Y111" i="22"/>
  <c r="D21" i="94"/>
  <c r="D29" i="94" s="1"/>
  <c r="AB9" i="90"/>
  <c r="AB110" i="90" s="1"/>
  <c r="K16" i="94"/>
  <c r="W14" i="90"/>
  <c r="W115" i="90" s="1"/>
  <c r="F21" i="94"/>
  <c r="F29" i="94" s="1"/>
  <c r="AE14" i="90"/>
  <c r="AE115" i="90" s="1"/>
  <c r="L21" i="94"/>
  <c r="L29" i="94" s="1"/>
  <c r="E14" i="90"/>
  <c r="E115" i="90" s="1"/>
  <c r="E28" i="93"/>
  <c r="Y14" i="90"/>
  <c r="Y115" i="90" s="1"/>
  <c r="H21" i="94"/>
  <c r="H29" i="94" s="1"/>
  <c r="H14" i="90"/>
  <c r="H115" i="90" s="1"/>
  <c r="H28" i="93"/>
  <c r="I14" i="90"/>
  <c r="I115" i="90" s="1"/>
  <c r="I28" i="93"/>
  <c r="N14" i="90"/>
  <c r="N115" i="90" s="1"/>
  <c r="N28" i="93"/>
  <c r="X14" i="90"/>
  <c r="X115" i="90" s="1"/>
  <c r="G21" i="94"/>
  <c r="G29" i="94" s="1"/>
  <c r="AA11" i="90"/>
  <c r="AA112" i="90" s="1"/>
  <c r="J18" i="94"/>
  <c r="J26" i="94" s="1"/>
  <c r="M143" i="22"/>
  <c r="L146" i="22"/>
  <c r="M146" i="22" s="1"/>
  <c r="M144" i="22"/>
  <c r="L145" i="22"/>
  <c r="M145" i="22" s="1"/>
  <c r="N3" i="36"/>
  <c r="O3" i="36" s="1"/>
  <c r="P3" i="36" s="1"/>
  <c r="AG52" i="22"/>
  <c r="AH52" i="22" s="1"/>
  <c r="K12" i="75"/>
  <c r="M12" i="75" s="1"/>
  <c r="O12" i="75" s="1"/>
  <c r="AD12" i="75"/>
  <c r="AF12" i="75" s="1"/>
  <c r="K11" i="79"/>
  <c r="M11" i="79" s="1"/>
  <c r="O11" i="79" s="1"/>
  <c r="AD13" i="79"/>
  <c r="AF13" i="79" s="1"/>
  <c r="AD11" i="79"/>
  <c r="AF11" i="79" s="1"/>
  <c r="K13" i="79"/>
  <c r="M13" i="79" s="1"/>
  <c r="J14" i="79"/>
  <c r="K147" i="22"/>
  <c r="D147" i="22"/>
  <c r="V14" i="90"/>
  <c r="V115" i="90" s="1"/>
  <c r="J12" i="90"/>
  <c r="J13" i="90"/>
  <c r="J114" i="90" s="1"/>
  <c r="J9" i="90"/>
  <c r="J45" i="90"/>
  <c r="J11" i="81"/>
  <c r="K11" i="81" s="1"/>
  <c r="M11" i="81" s="1"/>
  <c r="O11" i="81" s="1"/>
  <c r="AD106" i="79"/>
  <c r="AF11" i="99" s="1"/>
  <c r="K106" i="79"/>
  <c r="K9" i="36"/>
  <c r="E21" i="64"/>
  <c r="G21" i="64" s="1"/>
  <c r="J11" i="90"/>
  <c r="E20" i="64"/>
  <c r="H20" i="64" s="1"/>
  <c r="J10" i="90"/>
  <c r="AF13" i="82"/>
  <c r="AB13" i="90"/>
  <c r="AB114" i="90" s="1"/>
  <c r="AF12" i="82"/>
  <c r="AB12" i="90"/>
  <c r="AB113" i="90" s="1"/>
  <c r="AA14" i="82"/>
  <c r="AA9" i="90"/>
  <c r="AA110" i="90" s="1"/>
  <c r="J11" i="39"/>
  <c r="K11" i="39" s="1"/>
  <c r="M11" i="39" s="1"/>
  <c r="O11" i="39" s="1"/>
  <c r="AD107" i="22"/>
  <c r="M19" i="94" s="1"/>
  <c r="E22" i="64"/>
  <c r="J14" i="82"/>
  <c r="J44" i="82" s="1"/>
  <c r="E19" i="64"/>
  <c r="J13" i="39"/>
  <c r="K13" i="39" s="1"/>
  <c r="M13" i="39" s="1"/>
  <c r="O13" i="39" s="1"/>
  <c r="E23" i="64"/>
  <c r="J10" i="39"/>
  <c r="K10" i="39" s="1"/>
  <c r="M10" i="39" s="1"/>
  <c r="O10" i="39" s="1"/>
  <c r="D36" i="76"/>
  <c r="D45" i="76" s="1"/>
  <c r="H36" i="39"/>
  <c r="H45" i="39" s="1"/>
  <c r="H36" i="88"/>
  <c r="H45" i="88" s="1"/>
  <c r="H45" i="76"/>
  <c r="H36" i="82"/>
  <c r="H45" i="82" s="1"/>
  <c r="H46" i="81"/>
  <c r="J14" i="75"/>
  <c r="K10" i="75"/>
  <c r="M10" i="75" s="1"/>
  <c r="O10" i="75" s="1"/>
  <c r="AD10" i="75"/>
  <c r="AF10" i="75" s="1"/>
  <c r="J104" i="79"/>
  <c r="M9" i="79"/>
  <c r="O9" i="79" s="1"/>
  <c r="AD9" i="79"/>
  <c r="AF9" i="79" s="1"/>
  <c r="D36" i="39"/>
  <c r="D45" i="39" s="1"/>
  <c r="AD108" i="22"/>
  <c r="M20" i="94" s="1"/>
  <c r="M28" i="94" s="1"/>
  <c r="K108" i="22"/>
  <c r="K27" i="93" s="1"/>
  <c r="K36" i="93" s="1"/>
  <c r="AG9" i="22"/>
  <c r="AH9" i="22" s="1"/>
  <c r="J12" i="39"/>
  <c r="K12" i="39" s="1"/>
  <c r="M12" i="39" s="1"/>
  <c r="O12" i="39" s="1"/>
  <c r="K107" i="22"/>
  <c r="K26" i="93" s="1"/>
  <c r="K35" i="93" s="1"/>
  <c r="K105" i="22"/>
  <c r="K24" i="93" s="1"/>
  <c r="K33" i="93" s="1"/>
  <c r="AD106" i="22"/>
  <c r="M18" i="94" s="1"/>
  <c r="M26" i="94" s="1"/>
  <c r="K106" i="22"/>
  <c r="K25" i="93" s="1"/>
  <c r="K34" i="93" s="1"/>
  <c r="AD14" i="22"/>
  <c r="K14" i="22"/>
  <c r="AG11" i="22"/>
  <c r="AH11" i="22" s="1"/>
  <c r="AG10" i="22"/>
  <c r="AH10" i="22" s="1"/>
  <c r="Y16" i="82"/>
  <c r="AG11" i="82"/>
  <c r="AH11" i="82" s="1"/>
  <c r="AG13" i="75"/>
  <c r="AH13" i="75" s="1"/>
  <c r="AG11" i="75"/>
  <c r="AH11" i="75" s="1"/>
  <c r="J109" i="75"/>
  <c r="J31" i="90" s="1"/>
  <c r="AD104" i="22"/>
  <c r="M16" i="94" s="1"/>
  <c r="M24" i="94" s="1"/>
  <c r="J109" i="22"/>
  <c r="AB14" i="82"/>
  <c r="K9" i="76"/>
  <c r="J12" i="76"/>
  <c r="K12" i="76" s="1"/>
  <c r="M12" i="76" s="1"/>
  <c r="O12" i="76" s="1"/>
  <c r="AD107" i="75"/>
  <c r="AD29" i="90" s="1"/>
  <c r="K107" i="75"/>
  <c r="J10" i="76"/>
  <c r="K10" i="76" s="1"/>
  <c r="M10" i="76" s="1"/>
  <c r="O10" i="76" s="1"/>
  <c r="AD105" i="75"/>
  <c r="AD27" i="90" s="1"/>
  <c r="K105" i="75"/>
  <c r="AF9" i="82"/>
  <c r="L147" i="85"/>
  <c r="M147" i="85" s="1"/>
  <c r="J9" i="83"/>
  <c r="K23" i="36" s="1"/>
  <c r="K24" i="36" s="1"/>
  <c r="N7" i="83"/>
  <c r="O7" i="83" s="1"/>
  <c r="P7" i="83" s="1"/>
  <c r="AD14" i="82"/>
  <c r="AD106" i="75"/>
  <c r="AD28" i="90" s="1"/>
  <c r="J11" i="76"/>
  <c r="K11" i="76" s="1"/>
  <c r="M11" i="76" s="1"/>
  <c r="O11" i="76" s="1"/>
  <c r="K106" i="75"/>
  <c r="J13" i="81"/>
  <c r="AD108" i="79"/>
  <c r="AF108" i="79" s="1"/>
  <c r="K108" i="79"/>
  <c r="K47" i="90" s="1"/>
  <c r="K108" i="75"/>
  <c r="J13" i="76"/>
  <c r="K13" i="76" s="1"/>
  <c r="M13" i="76" s="1"/>
  <c r="O13" i="76" s="1"/>
  <c r="AD108" i="75"/>
  <c r="AD30" i="90" s="1"/>
  <c r="I9" i="83"/>
  <c r="J23" i="36" s="1"/>
  <c r="J24" i="36" s="1"/>
  <c r="N3" i="83"/>
  <c r="O13" i="82"/>
  <c r="M104" i="75"/>
  <c r="M26" i="90" s="1"/>
  <c r="D14" i="82"/>
  <c r="D44" i="82" s="1"/>
  <c r="K9" i="82"/>
  <c r="J9" i="39"/>
  <c r="K104" i="22"/>
  <c r="K23" i="93" s="1"/>
  <c r="K32" i="93" s="1"/>
  <c r="AD9" i="76"/>
  <c r="AF104" i="75"/>
  <c r="AF26" i="90" s="1"/>
  <c r="O9" i="75"/>
  <c r="N14" i="82"/>
  <c r="N44" i="82" s="1"/>
  <c r="O12" i="82"/>
  <c r="L143" i="75"/>
  <c r="M143" i="75" s="1"/>
  <c r="D147" i="75"/>
  <c r="N9" i="77"/>
  <c r="O20" i="36" s="1"/>
  <c r="K9" i="77"/>
  <c r="L20" i="36" s="1"/>
  <c r="L24" i="36" s="1"/>
  <c r="O9" i="77"/>
  <c r="P9" i="77" s="1"/>
  <c r="AA9" i="39"/>
  <c r="AG12" i="22"/>
  <c r="AH12" i="22" s="1"/>
  <c r="AG13" i="22"/>
  <c r="AH13" i="22" s="1"/>
  <c r="M142" i="22"/>
  <c r="N7" i="36"/>
  <c r="N6" i="36"/>
  <c r="O6" i="36" s="1"/>
  <c r="P6" i="36" s="1"/>
  <c r="N5" i="36"/>
  <c r="O5" i="36" s="1"/>
  <c r="P5" i="36" s="1"/>
  <c r="AG90" i="22"/>
  <c r="AH90" i="22" s="1"/>
  <c r="N4" i="36"/>
  <c r="O4" i="36" s="1"/>
  <c r="P4" i="36" s="1"/>
  <c r="Y14" i="39"/>
  <c r="I14" i="39"/>
  <c r="I44" i="39" s="1"/>
  <c r="AF33" i="22"/>
  <c r="AG33" i="22"/>
  <c r="AH33" i="22" s="1"/>
  <c r="X14" i="39"/>
  <c r="F14" i="39"/>
  <c r="F44" i="39" s="1"/>
  <c r="AB9" i="39"/>
  <c r="AB109" i="22"/>
  <c r="AB71" i="22"/>
  <c r="AF66" i="22"/>
  <c r="AF71" i="22" s="1"/>
  <c r="O66" i="22"/>
  <c r="M71" i="22"/>
  <c r="Z14" i="39"/>
  <c r="AB12" i="39"/>
  <c r="V14" i="39"/>
  <c r="H14" i="39"/>
  <c r="H44" i="39" s="1"/>
  <c r="E14" i="39"/>
  <c r="E44" i="39" s="1"/>
  <c r="D14" i="39"/>
  <c r="D44" i="39" s="1"/>
  <c r="J9" i="36"/>
  <c r="AE14" i="39"/>
  <c r="I9" i="36"/>
  <c r="AA11" i="39"/>
  <c r="W14" i="39"/>
  <c r="J21" i="94"/>
  <c r="J29" i="94" s="1"/>
  <c r="N14" i="39"/>
  <c r="N44" i="39" s="1"/>
  <c r="AB13" i="39"/>
  <c r="U14" i="39"/>
  <c r="J113" i="90" l="1"/>
  <c r="AG10" i="79"/>
  <c r="AH10" i="79" s="1"/>
  <c r="M107" i="79"/>
  <c r="K46" i="90"/>
  <c r="AD46" i="90"/>
  <c r="AD12" i="81"/>
  <c r="AF12" i="81" s="1"/>
  <c r="AG12" i="81" s="1"/>
  <c r="AH12" i="81" s="1"/>
  <c r="AF107" i="79"/>
  <c r="AF46" i="90" s="1"/>
  <c r="J44" i="90"/>
  <c r="J111" i="90" s="1"/>
  <c r="J10" i="81"/>
  <c r="K10" i="81" s="1"/>
  <c r="M10" i="81" s="1"/>
  <c r="O10" i="81" s="1"/>
  <c r="K105" i="79"/>
  <c r="AD105" i="79"/>
  <c r="J112" i="90"/>
  <c r="AG11" i="99"/>
  <c r="AH11" i="99" s="1"/>
  <c r="AD47" i="90"/>
  <c r="AF13" i="99"/>
  <c r="AG13" i="99" s="1"/>
  <c r="AH13" i="99" s="1"/>
  <c r="N29" i="94"/>
  <c r="L25" i="36"/>
  <c r="J25" i="36"/>
  <c r="K25" i="36"/>
  <c r="I33" i="36"/>
  <c r="P29" i="36"/>
  <c r="J14" i="90"/>
  <c r="J28" i="93"/>
  <c r="AB14" i="90"/>
  <c r="AB115" i="90" s="1"/>
  <c r="K21" i="94"/>
  <c r="K29" i="94" s="1"/>
  <c r="AA14" i="90"/>
  <c r="AA115" i="90" s="1"/>
  <c r="L147" i="22"/>
  <c r="M147" i="22" s="1"/>
  <c r="AG12" i="75"/>
  <c r="AH12" i="75" s="1"/>
  <c r="AG11" i="79"/>
  <c r="AH11" i="79" s="1"/>
  <c r="AF106" i="79"/>
  <c r="AD45" i="90"/>
  <c r="AD11" i="81"/>
  <c r="AF11" i="81" s="1"/>
  <c r="AG11" i="81" s="1"/>
  <c r="AH11" i="81" s="1"/>
  <c r="M106" i="79"/>
  <c r="K45" i="90"/>
  <c r="F19" i="64"/>
  <c r="H19" i="64"/>
  <c r="F20" i="64"/>
  <c r="G20" i="64"/>
  <c r="F21" i="64"/>
  <c r="H21" i="64"/>
  <c r="AG13" i="82"/>
  <c r="AH13" i="82" s="1"/>
  <c r="AG12" i="82"/>
  <c r="AH12" i="82" s="1"/>
  <c r="M108" i="75"/>
  <c r="K30" i="90"/>
  <c r="J109" i="79"/>
  <c r="J48" i="90" s="1"/>
  <c r="J43" i="90"/>
  <c r="J110" i="90" s="1"/>
  <c r="AD13" i="39"/>
  <c r="AF13" i="39" s="1"/>
  <c r="AG13" i="39" s="1"/>
  <c r="AH13" i="39" s="1"/>
  <c r="AD13" i="90"/>
  <c r="M108" i="22"/>
  <c r="K13" i="90"/>
  <c r="M107" i="22"/>
  <c r="O107" i="22" s="1"/>
  <c r="K12" i="90"/>
  <c r="AD12" i="39"/>
  <c r="AF12" i="39" s="1"/>
  <c r="AG12" i="39" s="1"/>
  <c r="AH12" i="39" s="1"/>
  <c r="AD12" i="90"/>
  <c r="M107" i="75"/>
  <c r="M29" i="90" s="1"/>
  <c r="K29" i="90"/>
  <c r="M106" i="75"/>
  <c r="O106" i="75" s="1"/>
  <c r="O28" i="90" s="1"/>
  <c r="K28" i="90"/>
  <c r="M106" i="22"/>
  <c r="K11" i="90"/>
  <c r="AD11" i="39"/>
  <c r="AF11" i="39" s="1"/>
  <c r="AG11" i="39" s="1"/>
  <c r="AH11" i="39" s="1"/>
  <c r="AD11" i="90"/>
  <c r="M105" i="22"/>
  <c r="K10" i="90"/>
  <c r="AF10" i="82"/>
  <c r="AG10" i="82" s="1"/>
  <c r="AH10" i="82" s="1"/>
  <c r="AD10" i="90"/>
  <c r="M105" i="75"/>
  <c r="M27" i="90" s="1"/>
  <c r="K27" i="90"/>
  <c r="AF104" i="22"/>
  <c r="AD9" i="90"/>
  <c r="M104" i="22"/>
  <c r="K9" i="90"/>
  <c r="H23" i="64"/>
  <c r="F23" i="64"/>
  <c r="G23" i="64"/>
  <c r="AF107" i="22"/>
  <c r="G19" i="64"/>
  <c r="H22" i="64"/>
  <c r="F22" i="64"/>
  <c r="G22" i="64"/>
  <c r="E24" i="64"/>
  <c r="M14" i="75"/>
  <c r="O14" i="75"/>
  <c r="K14" i="75"/>
  <c r="AG10" i="75"/>
  <c r="AH10" i="75" s="1"/>
  <c r="AD14" i="79"/>
  <c r="AD14" i="75"/>
  <c r="AF14" i="75"/>
  <c r="K14" i="79"/>
  <c r="AG9" i="79"/>
  <c r="AH9" i="79" s="1"/>
  <c r="J9" i="81"/>
  <c r="K9" i="81" s="1"/>
  <c r="M9" i="81" s="1"/>
  <c r="O9" i="81" s="1"/>
  <c r="K104" i="79"/>
  <c r="AD104" i="79"/>
  <c r="J14" i="39"/>
  <c r="J44" i="39" s="1"/>
  <c r="AF108" i="22"/>
  <c r="N20" i="94" s="1"/>
  <c r="O28" i="94" s="1"/>
  <c r="AF106" i="22"/>
  <c r="N18" i="94" s="1"/>
  <c r="O26" i="94" s="1"/>
  <c r="AF105" i="22"/>
  <c r="N17" i="94" s="1"/>
  <c r="O25" i="94" s="1"/>
  <c r="AD10" i="39"/>
  <c r="AF10" i="39" s="1"/>
  <c r="AG10" i="39" s="1"/>
  <c r="AH10" i="39" s="1"/>
  <c r="K9" i="39"/>
  <c r="M9" i="39" s="1"/>
  <c r="O9" i="39" s="1"/>
  <c r="O14" i="39" s="1"/>
  <c r="AF14" i="22"/>
  <c r="AG14" i="22"/>
  <c r="AH14" i="22" s="1"/>
  <c r="AD9" i="39"/>
  <c r="AD109" i="75"/>
  <c r="AD31" i="90" s="1"/>
  <c r="K109" i="22"/>
  <c r="AD109" i="22"/>
  <c r="K109" i="75"/>
  <c r="K31" i="90" s="1"/>
  <c r="M108" i="79"/>
  <c r="M47" i="90" s="1"/>
  <c r="AD10" i="76"/>
  <c r="AF10" i="76" s="1"/>
  <c r="AG10" i="76" s="1"/>
  <c r="AH10" i="76" s="1"/>
  <c r="AF105" i="75"/>
  <c r="J14" i="76"/>
  <c r="J44" i="76" s="1"/>
  <c r="O104" i="75"/>
  <c r="O26" i="90" s="1"/>
  <c r="AD13" i="76"/>
  <c r="AF13" i="76" s="1"/>
  <c r="AG13" i="76" s="1"/>
  <c r="AH13" i="76" s="1"/>
  <c r="AF108" i="75"/>
  <c r="AF14" i="79"/>
  <c r="AF9" i="76"/>
  <c r="M9" i="82"/>
  <c r="K14" i="82"/>
  <c r="K44" i="82" s="1"/>
  <c r="AD13" i="81"/>
  <c r="AF47" i="90"/>
  <c r="AD11" i="76"/>
  <c r="AF11" i="76" s="1"/>
  <c r="AG11" i="76" s="1"/>
  <c r="AH11" i="76" s="1"/>
  <c r="AF106" i="75"/>
  <c r="O13" i="79"/>
  <c r="O14" i="79" s="1"/>
  <c r="M14" i="79"/>
  <c r="AG9" i="75"/>
  <c r="AH9" i="75" s="1"/>
  <c r="N9" i="83"/>
  <c r="O23" i="36" s="1"/>
  <c r="O24" i="36" s="1"/>
  <c r="O3" i="83"/>
  <c r="P3" i="83" s="1"/>
  <c r="K13" i="81"/>
  <c r="AD12" i="76"/>
  <c r="AF12" i="76" s="1"/>
  <c r="AG12" i="76" s="1"/>
  <c r="AH12" i="76" s="1"/>
  <c r="AF107" i="75"/>
  <c r="M9" i="76"/>
  <c r="K14" i="76"/>
  <c r="L147" i="75"/>
  <c r="M147" i="75" s="1"/>
  <c r="M14" i="22"/>
  <c r="O7" i="36"/>
  <c r="P7" i="36" s="1"/>
  <c r="N9" i="36"/>
  <c r="O71" i="22"/>
  <c r="AG66" i="22"/>
  <c r="AH66" i="22" s="1"/>
  <c r="Y16" i="39"/>
  <c r="AB14" i="39"/>
  <c r="AA14" i="39"/>
  <c r="O14" i="22"/>
  <c r="AD113" i="90" l="1"/>
  <c r="O107" i="79"/>
  <c r="O46" i="90" s="1"/>
  <c r="M46" i="90"/>
  <c r="AF10" i="99"/>
  <c r="AG10" i="99" s="1"/>
  <c r="AH10" i="99" s="1"/>
  <c r="AF105" i="79"/>
  <c r="AD10" i="81"/>
  <c r="AF10" i="81" s="1"/>
  <c r="AG10" i="81" s="1"/>
  <c r="AH10" i="81" s="1"/>
  <c r="AD44" i="90"/>
  <c r="AD111" i="90" s="1"/>
  <c r="K44" i="90"/>
  <c r="K111" i="90" s="1"/>
  <c r="M105" i="79"/>
  <c r="AD114" i="90"/>
  <c r="AD112" i="90"/>
  <c r="K114" i="90"/>
  <c r="K113" i="90"/>
  <c r="K112" i="90"/>
  <c r="J115" i="90"/>
  <c r="AD14" i="99"/>
  <c r="AF9" i="99"/>
  <c r="Q29" i="36"/>
  <c r="Q33" i="36" s="1"/>
  <c r="P33" i="36"/>
  <c r="P35" i="36" s="1"/>
  <c r="O25" i="36"/>
  <c r="AF12" i="90"/>
  <c r="N19" i="94"/>
  <c r="O27" i="94" s="1"/>
  <c r="M11" i="90"/>
  <c r="M25" i="93"/>
  <c r="M34" i="93" s="1"/>
  <c r="AG107" i="22"/>
  <c r="M26" i="93"/>
  <c r="M35" i="93" s="1"/>
  <c r="M13" i="90"/>
  <c r="M27" i="93"/>
  <c r="M36" i="93" s="1"/>
  <c r="M9" i="90"/>
  <c r="M23" i="93"/>
  <c r="M32" i="93" s="1"/>
  <c r="O105" i="22"/>
  <c r="AG105" i="22" s="1"/>
  <c r="M24" i="93"/>
  <c r="M33" i="93" s="1"/>
  <c r="AD14" i="90"/>
  <c r="M21" i="94"/>
  <c r="M29" i="94" s="1"/>
  <c r="K14" i="90"/>
  <c r="K28" i="93"/>
  <c r="AF9" i="90"/>
  <c r="N16" i="94"/>
  <c r="O24" i="94" s="1"/>
  <c r="O106" i="79"/>
  <c r="O45" i="90" s="1"/>
  <c r="M45" i="90"/>
  <c r="AF45" i="90"/>
  <c r="O108" i="22"/>
  <c r="O104" i="22"/>
  <c r="O105" i="75"/>
  <c r="O27" i="90" s="1"/>
  <c r="O106" i="22"/>
  <c r="AF14" i="82"/>
  <c r="AF30" i="90"/>
  <c r="M28" i="90"/>
  <c r="O108" i="75"/>
  <c r="O30" i="90" s="1"/>
  <c r="M30" i="90"/>
  <c r="O107" i="75"/>
  <c r="O29" i="90" s="1"/>
  <c r="M12" i="90"/>
  <c r="M10" i="90"/>
  <c r="M109" i="22"/>
  <c r="M109" i="75"/>
  <c r="M31" i="90" s="1"/>
  <c r="M104" i="79"/>
  <c r="O104" i="79" s="1"/>
  <c r="O43" i="90" s="1"/>
  <c r="K43" i="90"/>
  <c r="K110" i="90" s="1"/>
  <c r="AD109" i="79"/>
  <c r="AD48" i="90" s="1"/>
  <c r="AD43" i="90"/>
  <c r="AD110" i="90" s="1"/>
  <c r="AF13" i="90"/>
  <c r="AF29" i="90"/>
  <c r="AF11" i="90"/>
  <c r="AG106" i="75"/>
  <c r="AH106" i="75" s="1"/>
  <c r="AF28" i="90"/>
  <c r="AF10" i="90"/>
  <c r="AF27" i="90"/>
  <c r="H24" i="64"/>
  <c r="G24" i="64"/>
  <c r="F24" i="64"/>
  <c r="J14" i="81"/>
  <c r="J45" i="81" s="1"/>
  <c r="K109" i="79"/>
  <c r="AD9" i="81"/>
  <c r="AF9" i="81" s="1"/>
  <c r="AG9" i="81" s="1"/>
  <c r="AH9" i="81" s="1"/>
  <c r="AF104" i="79"/>
  <c r="AF109" i="22"/>
  <c r="K14" i="39"/>
  <c r="K44" i="39" s="1"/>
  <c r="AD14" i="39"/>
  <c r="M14" i="39"/>
  <c r="K44" i="76"/>
  <c r="AF9" i="39"/>
  <c r="AG9" i="39" s="1"/>
  <c r="AH9" i="39" s="1"/>
  <c r="AG13" i="79"/>
  <c r="AH13" i="79" s="1"/>
  <c r="AF13" i="81"/>
  <c r="AD14" i="76"/>
  <c r="O108" i="79"/>
  <c r="O47" i="90" s="1"/>
  <c r="M13" i="81"/>
  <c r="K14" i="81"/>
  <c r="AG14" i="75"/>
  <c r="AH14" i="75" s="1"/>
  <c r="O9" i="82"/>
  <c r="M14" i="82"/>
  <c r="M44" i="82" s="1"/>
  <c r="AG104" i="75"/>
  <c r="AH104" i="75" s="1"/>
  <c r="M14" i="76"/>
  <c r="O9" i="76"/>
  <c r="O14" i="76" s="1"/>
  <c r="O9" i="83"/>
  <c r="P9" i="83" s="1"/>
  <c r="AF14" i="76"/>
  <c r="AF109" i="75"/>
  <c r="AF31" i="90" s="1"/>
  <c r="O9" i="36"/>
  <c r="P9" i="36" s="1"/>
  <c r="AG71" i="22"/>
  <c r="AH71" i="22" s="1"/>
  <c r="M113" i="90" l="1"/>
  <c r="O105" i="79"/>
  <c r="M44" i="90"/>
  <c r="M111" i="90" s="1"/>
  <c r="AF44" i="90"/>
  <c r="AF111" i="90" s="1"/>
  <c r="AD115" i="90"/>
  <c r="AF114" i="90"/>
  <c r="M114" i="90"/>
  <c r="M112" i="90"/>
  <c r="AF112" i="90"/>
  <c r="AF113" i="90"/>
  <c r="K48" i="90"/>
  <c r="K115" i="90" s="1"/>
  <c r="AF14" i="99"/>
  <c r="AG9" i="99"/>
  <c r="AH107" i="22"/>
  <c r="O19" i="94"/>
  <c r="O13" i="90"/>
  <c r="O114" i="90" s="1"/>
  <c r="O27" i="93"/>
  <c r="O36" i="93" s="1"/>
  <c r="M14" i="90"/>
  <c r="M28" i="93"/>
  <c r="AF14" i="90"/>
  <c r="N21" i="94"/>
  <c r="O29" i="94" s="1"/>
  <c r="O12" i="90"/>
  <c r="O113" i="90" s="1"/>
  <c r="O26" i="93"/>
  <c r="O35" i="93" s="1"/>
  <c r="AH105" i="22"/>
  <c r="O17" i="94"/>
  <c r="O11" i="90"/>
  <c r="O112" i="90" s="1"/>
  <c r="O25" i="93"/>
  <c r="O34" i="93" s="1"/>
  <c r="O10" i="90"/>
  <c r="O24" i="93"/>
  <c r="O33" i="93" s="1"/>
  <c r="O9" i="90"/>
  <c r="O110" i="90" s="1"/>
  <c r="O109" i="22"/>
  <c r="O28" i="93" s="1"/>
  <c r="O23" i="93"/>
  <c r="O32" i="93" s="1"/>
  <c r="AG14" i="79"/>
  <c r="AH14" i="79" s="1"/>
  <c r="AG26" i="90"/>
  <c r="AG106" i="79"/>
  <c r="AG104" i="22"/>
  <c r="AG108" i="22"/>
  <c r="AG107" i="75"/>
  <c r="AH107" i="75" s="1"/>
  <c r="AG106" i="22"/>
  <c r="AG105" i="75"/>
  <c r="AH105" i="75" s="1"/>
  <c r="M109" i="79"/>
  <c r="O109" i="75"/>
  <c r="O31" i="90" s="1"/>
  <c r="M43" i="90"/>
  <c r="M110" i="90" s="1"/>
  <c r="AG108" i="75"/>
  <c r="AH108" i="75" s="1"/>
  <c r="M44" i="76"/>
  <c r="M44" i="39"/>
  <c r="AG12" i="90"/>
  <c r="AG28" i="90"/>
  <c r="AG10" i="90"/>
  <c r="AG104" i="79"/>
  <c r="AH104" i="79" s="1"/>
  <c r="AF43" i="90"/>
  <c r="AF110" i="90" s="1"/>
  <c r="K45" i="81"/>
  <c r="AD14" i="81"/>
  <c r="AF109" i="79"/>
  <c r="AF48" i="90" s="1"/>
  <c r="AF14" i="39"/>
  <c r="AG108" i="79"/>
  <c r="AG9" i="76"/>
  <c r="AH9" i="76" s="1"/>
  <c r="O14" i="82"/>
  <c r="O44" i="82" s="1"/>
  <c r="AG9" i="82"/>
  <c r="AH9" i="82" s="1"/>
  <c r="O13" i="81"/>
  <c r="O14" i="81" s="1"/>
  <c r="M14" i="81"/>
  <c r="AF14" i="81"/>
  <c r="AG14" i="39"/>
  <c r="AH14" i="39" s="1"/>
  <c r="O44" i="90" l="1"/>
  <c r="O111" i="90" s="1"/>
  <c r="O109" i="79"/>
  <c r="AG105" i="79"/>
  <c r="AG109" i="79" s="1"/>
  <c r="AH109" i="79" s="1"/>
  <c r="AF115" i="90"/>
  <c r="AH9" i="99"/>
  <c r="AG14" i="99"/>
  <c r="AH14" i="99" s="1"/>
  <c r="M48" i="90"/>
  <c r="M115" i="90" s="1"/>
  <c r="AH108" i="22"/>
  <c r="O20" i="94"/>
  <c r="AH104" i="22"/>
  <c r="O16" i="94"/>
  <c r="AH106" i="22"/>
  <c r="O18" i="94"/>
  <c r="O44" i="39"/>
  <c r="AG47" i="90"/>
  <c r="AH108" i="79"/>
  <c r="AG45" i="90"/>
  <c r="AH106" i="79"/>
  <c r="AG27" i="90"/>
  <c r="AG9" i="90"/>
  <c r="AG13" i="90"/>
  <c r="AG29" i="90"/>
  <c r="AG113" i="90" s="1"/>
  <c r="O14" i="90"/>
  <c r="AG11" i="90"/>
  <c r="AG109" i="22"/>
  <c r="AG109" i="75"/>
  <c r="AH109" i="75" s="1"/>
  <c r="M45" i="81"/>
  <c r="O44" i="76"/>
  <c r="AG30" i="90"/>
  <c r="AG43" i="90"/>
  <c r="AG14" i="82"/>
  <c r="AH14" i="82" s="1"/>
  <c r="AG14" i="76"/>
  <c r="AH14" i="76" s="1"/>
  <c r="AG13" i="81"/>
  <c r="AH13" i="81" s="1"/>
  <c r="O48" i="90" l="1"/>
  <c r="O115" i="90" s="1"/>
  <c r="O45" i="81"/>
  <c r="AH105" i="79"/>
  <c r="AG44" i="90"/>
  <c r="AG111" i="90" s="1"/>
  <c r="AG112" i="90"/>
  <c r="AG114" i="90"/>
  <c r="AG110" i="90"/>
  <c r="AH109" i="22"/>
  <c r="O21" i="94"/>
  <c r="AG14" i="90"/>
  <c r="AG31" i="90"/>
  <c r="AG48" i="90"/>
  <c r="AG14" i="81"/>
  <c r="AH14" i="81" s="1"/>
  <c r="AG115" i="90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Harold Castro Castillo</author>
  </authors>
  <commentList>
    <comment ref="K25" authorId="0" shapeId="0" xr:uid="{26908C81-99A7-4E2A-B35B-7ECC9E59C7EF}">
      <text>
        <r>
          <rPr>
            <b/>
            <sz val="9"/>
            <color indexed="81"/>
            <rFont val="Tahoma"/>
            <family val="2"/>
          </rPr>
          <t>Harold Castro Castillo:</t>
        </r>
        <r>
          <rPr>
            <sz val="9"/>
            <color indexed="81"/>
            <rFont val="Tahoma"/>
            <family val="2"/>
          </rPr>
          <t xml:space="preserve">
comunicado UAESP-CPC-UAESP-10202-26 del 8 de enero de 2026.</t>
        </r>
      </text>
    </comment>
  </commentList>
</comments>
</file>

<file path=xl/sharedStrings.xml><?xml version="1.0" encoding="utf-8"?>
<sst xmlns="http://schemas.openxmlformats.org/spreadsheetml/2006/main" count="7552" uniqueCount="348">
  <si>
    <t xml:space="preserve">Hora: </t>
  </si>
  <si>
    <t xml:space="preserve"> </t>
  </si>
  <si>
    <t>TOTAL</t>
  </si>
  <si>
    <t>ASE</t>
  </si>
  <si>
    <t>Recaudo Total</t>
  </si>
  <si>
    <t>Recaudo por disposicion final</t>
  </si>
  <si>
    <t>Recaudo por tratamiento de lixiviados</t>
  </si>
  <si>
    <t xml:space="preserve">Conceptos especiales </t>
  </si>
  <si>
    <t>PROCERASEO S.A.S.</t>
  </si>
  <si>
    <t>Concesionarios</t>
  </si>
  <si>
    <t>PROMOAMBIENTAL DISTRITO S.A.S. ESP.</t>
  </si>
  <si>
    <t>LIMPIEZA METROPOLITANA S.A. ESP.</t>
  </si>
  <si>
    <t>CIUDAD LIMPIA BOGOTA S.A. ESP.</t>
  </si>
  <si>
    <t>BOGOTA LIMPIA S.A.S. ESP.</t>
  </si>
  <si>
    <t>AREA LIMPIA DISTRITO CAPITAL S.A.S. ESP.</t>
  </si>
  <si>
    <t xml:space="preserve">Codigo Remuneración: </t>
  </si>
  <si>
    <t>NIT: 901 153 639 - 0</t>
  </si>
  <si>
    <t xml:space="preserve">Fecha de Proceso: </t>
  </si>
  <si>
    <t xml:space="preserve">Recaudo por aprovechamiento </t>
  </si>
  <si>
    <t>Balance de subsidio o contribuciones</t>
  </si>
  <si>
    <t>RECAUDO BASE DE REMUNERACION</t>
  </si>
  <si>
    <t>Costo de la Interventoría</t>
  </si>
  <si>
    <t>REMUNERACION FINAL</t>
  </si>
  <si>
    <t>REMUNERACION FINAL MAS CONCEPTOS ESPECIALES</t>
  </si>
  <si>
    <t>Recaudo del componente de comercializacion para Aprovechamiento (11,4%)</t>
  </si>
  <si>
    <t>Firma autorizada</t>
  </si>
  <si>
    <t xml:space="preserve">R1 - RECAUDO OPORTUNO </t>
  </si>
  <si>
    <t>Fecha Desde:</t>
  </si>
  <si>
    <t>Feha Hasta:</t>
  </si>
  <si>
    <t>3. ESQUEMA FINANCIERO DEL SERVICIO PUBLICO DE ASEO</t>
  </si>
  <si>
    <t>Resoluciòn UAESP Número 27 de 2018</t>
  </si>
  <si>
    <t>R2 - ANTICIPOS A USUARIOS</t>
  </si>
  <si>
    <t>R3 - RECAUDO EXTEMPORANEO</t>
  </si>
  <si>
    <t>R4 - REVERSIÓN DE PAGOS</t>
  </si>
  <si>
    <t>R5 - DEVOLUCIÓN A USUARIOS</t>
  </si>
  <si>
    <t>REPORTE CONSOLIDADO DE REMUNERACION</t>
  </si>
  <si>
    <t>PROCERASEO SAS</t>
  </si>
  <si>
    <t>REPORTE CONSOLIDADO DE ANTICIPOS</t>
  </si>
  <si>
    <t>ANTICIPOS GENERADOS</t>
  </si>
  <si>
    <t>Tarifa de Comercialización del Servicio.
 ( TCS)</t>
  </si>
  <si>
    <t>Tarifa de Limpieza Urbana del Servicio.
 ( TLU)</t>
  </si>
  <si>
    <t>Tarifa de Barrido y Limpieza del Servicio.
 ( TBL)</t>
  </si>
  <si>
    <t>Tarifa de Recolección
 y Transporte del Servicio.
 (TRT)</t>
  </si>
  <si>
    <t>Recaudo del componente de comercializacion para Aprovechamiento (18,6%)</t>
  </si>
  <si>
    <t>Recaudo REMUNERADO</t>
  </si>
  <si>
    <t>RECAUDO RECIBIDO</t>
  </si>
  <si>
    <t>Ajuste a la decena</t>
  </si>
  <si>
    <t>RECAUDO APLICADO PERIODOS ANTERIORES</t>
  </si>
  <si>
    <t>PAGOS PENDIENTES POR APLICAR</t>
  </si>
  <si>
    <t>VALIDACION DEL RECAUDO VERSUS REMUNERACION</t>
  </si>
  <si>
    <t>RECAUDO PERIODOS ANTERIORES</t>
  </si>
  <si>
    <t>RECAUDO APLICADO ANTICIPOS</t>
  </si>
  <si>
    <t>TOTAL RECAUDO</t>
  </si>
  <si>
    <t>REMUNERACION ANTICIPOS GENERADOS</t>
  </si>
  <si>
    <t>TOTAL REMUNERACION</t>
  </si>
  <si>
    <t>TOTAL RECAUDO RECIBIDO</t>
  </si>
  <si>
    <t>ANTICIPOS QUE DESCARGAN</t>
  </si>
  <si>
    <t>(REMUNERACION) ANTICIPOS QUE DESCARGAN</t>
  </si>
  <si>
    <t>REMUNERACION RECAUDO TOTAL</t>
  </si>
  <si>
    <t>REMUNERACION CONCEPTOS ESPECIALES</t>
  </si>
  <si>
    <t>REMUNERACION PAGOS PENDIENTES POR APLICAR</t>
  </si>
  <si>
    <t>Componente TBL</t>
  </si>
  <si>
    <t>Componente TRT</t>
  </si>
  <si>
    <t>Componente TLU</t>
  </si>
  <si>
    <t>Componente TDF</t>
  </si>
  <si>
    <t>Componente TTL</t>
  </si>
  <si>
    <t>Componente TCS</t>
  </si>
  <si>
    <t>CCSA Prest. No Aprov.</t>
  </si>
  <si>
    <t>CCSA Prest.Aprov.</t>
  </si>
  <si>
    <t>Aprovechamiento</t>
  </si>
  <si>
    <t>Total</t>
  </si>
  <si>
    <t>SERVICIO ESPECIALES</t>
  </si>
  <si>
    <t>Vlr Servicio</t>
  </si>
  <si>
    <t>Subsidio(-)/Contribucion(+)</t>
  </si>
  <si>
    <t>PROMOAMBIENTAL</t>
  </si>
  <si>
    <t>LIME</t>
  </si>
  <si>
    <t>CIUDAD LIMPIA</t>
  </si>
  <si>
    <t>Ajuste Decena</t>
  </si>
  <si>
    <t>Componente</t>
  </si>
  <si>
    <t>Subs/Cont</t>
  </si>
  <si>
    <t>Ajuste Recargo Aseo</t>
  </si>
  <si>
    <t>Vlr Intereses</t>
  </si>
  <si>
    <t>H</t>
  </si>
  <si>
    <t>Especiales</t>
  </si>
  <si>
    <t>Deb/Cred</t>
  </si>
  <si>
    <t>EAB</t>
  </si>
  <si>
    <t>O</t>
  </si>
  <si>
    <t>T</t>
  </si>
  <si>
    <t>BOGOTA LIMPIA</t>
  </si>
  <si>
    <t>X</t>
  </si>
  <si>
    <t>Recaudo pendiente de identificar</t>
  </si>
  <si>
    <t>R4 - REVERSION DE PAGOS</t>
  </si>
  <si>
    <t>REVERSION DE PAGOS</t>
  </si>
  <si>
    <t>AREA LIMPIA</t>
  </si>
  <si>
    <t>Anticipos generados por pago</t>
  </si>
  <si>
    <t>Sale del reporte Recaudo por Bancos.</t>
  </si>
  <si>
    <t>Resumen Recaudo Aplicado Por Servicio</t>
  </si>
  <si>
    <t>1-APLICADOS A FACTURACION</t>
  </si>
  <si>
    <t>2-SALDOS A FAVOR GENERADOS</t>
  </si>
  <si>
    <t>ASE 1</t>
  </si>
  <si>
    <t>ASE 2</t>
  </si>
  <si>
    <t>ASE 3</t>
  </si>
  <si>
    <t>ASE 4</t>
  </si>
  <si>
    <t>ASE 5</t>
  </si>
  <si>
    <t>Balance de subsidio o contribuciones (Recaudo)</t>
  </si>
  <si>
    <t>Diferencial Balance Subsidio y Contribución (Fac vs Rec)</t>
  </si>
  <si>
    <t>Balance S / C Con Baase en (Recaudo)</t>
  </si>
  <si>
    <t>Diferencial Balance S / C 
(Fac vs Rec)</t>
  </si>
  <si>
    <t>%</t>
  </si>
  <si>
    <t>CONTRIBUCION</t>
  </si>
  <si>
    <t>SUBSIDIO</t>
  </si>
  <si>
    <t>TOTAL BSC</t>
  </si>
  <si>
    <t>Mes</t>
  </si>
  <si>
    <t>PENDIENTE POR APLICAR</t>
  </si>
  <si>
    <t>ANTICIPOS 
GENERADOS 
POR PAGO</t>
  </si>
  <si>
    <t>1</t>
  </si>
  <si>
    <t>2</t>
  </si>
  <si>
    <t>3</t>
  </si>
  <si>
    <t>5</t>
  </si>
  <si>
    <t>OCCIDENTE</t>
  </si>
  <si>
    <t>NUEVO ESQUEMA</t>
  </si>
  <si>
    <t>REPORTE CONSOLIDADO DE REMUNERACION// TOTAL</t>
  </si>
  <si>
    <t>Aplicacion nuevos x reversion</t>
  </si>
  <si>
    <t xml:space="preserve">SALDOS A FAVOR POR NOTA </t>
  </si>
  <si>
    <t>RETRIBUCION NEGATIVA</t>
  </si>
  <si>
    <t>CONSOLIDADO SALDOS A FAVOR</t>
  </si>
  <si>
    <t>R5 - REMUNERACIÓN SALDOS A FAVOR POR NOTA</t>
  </si>
  <si>
    <t>RECAUDO PENDIENTE POR REVERSAR</t>
  </si>
  <si>
    <t>R5 - SALDOS A FAVOR POR NOTA</t>
  </si>
  <si>
    <t>RECAUDO POR REVERSAR</t>
  </si>
  <si>
    <t>SALDOS A FAVOR POR NOTA</t>
  </si>
  <si>
    <t>3-APLICADOS A FINANCIACIONES NUEVAS</t>
  </si>
  <si>
    <t>OPORTUNO</t>
  </si>
  <si>
    <t>EXTEMPORANEO</t>
  </si>
  <si>
    <t>VALOR MES</t>
  </si>
  <si>
    <t>Intereses Cte Financiac. Aseo</t>
  </si>
  <si>
    <t>VALOR 1° Q</t>
  </si>
  <si>
    <t>NUMERO REG. 1°Q</t>
  </si>
  <si>
    <t>VALOR 2° Q</t>
  </si>
  <si>
    <t>NUMERO REG. 2°Q</t>
  </si>
  <si>
    <t>EXTEMP.</t>
  </si>
  <si>
    <t>VALOR TOTAL MES</t>
  </si>
  <si>
    <t>NUMERO REGISTROS MES</t>
  </si>
  <si>
    <t>SALDOS A FAVOR GENERADOS RECAUDO EXTEMPORANEO</t>
  </si>
  <si>
    <t>SALDOS A FAVOR  QUE DESCARGAN POR REVERSIONES</t>
  </si>
  <si>
    <t>ANTICIPOS 
GENERADOS 
POR EXTEMPORANEOS</t>
  </si>
  <si>
    <t>Anticipos generados por pagos aplicados de reversiones</t>
  </si>
  <si>
    <t>Sale del reporte Recaudo reversado</t>
  </si>
  <si>
    <t>BANCO DE OCCIDENTE</t>
  </si>
  <si>
    <t>REPORTE 3</t>
  </si>
  <si>
    <t>REPORTE 4</t>
  </si>
  <si>
    <t>APLICADO</t>
  </si>
  <si>
    <t>ANTICIPOS</t>
  </si>
  <si>
    <t>EAAB RECIPROCIDAD</t>
  </si>
  <si>
    <t>EAAB CIUDAD LIMPIA</t>
  </si>
  <si>
    <t>ENEL</t>
  </si>
  <si>
    <t>E</t>
  </si>
  <si>
    <t>Ciudad Limpia - Prestador</t>
  </si>
  <si>
    <t>EAAB - Prestador</t>
  </si>
  <si>
    <t>Recaudo por Componente VIAT ( Decreto 2412/2018)</t>
  </si>
  <si>
    <t>RECIPROCIDAD</t>
  </si>
  <si>
    <t>CIUDAD LIMPIA-ACUEDUCTO</t>
  </si>
  <si>
    <t>REPORTE CONSOLIDADO DE REMUNERACION// ENEL</t>
  </si>
  <si>
    <t>Recaudo OCCIDENTE</t>
  </si>
  <si>
    <t>Componente TVIAT</t>
  </si>
  <si>
    <t>RECIPRCIDAD</t>
  </si>
  <si>
    <t>EAAB-CIUDADLIMPIA</t>
  </si>
  <si>
    <t>Rec.Intereses</t>
  </si>
  <si>
    <t>Otros</t>
  </si>
  <si>
    <t>7-APLICADOS A RECIBOS SERVICIOS ESPECIALES</t>
  </si>
  <si>
    <t>ANTICIPOS QUE CARGAN POR REVERSIONES</t>
  </si>
  <si>
    <t>Anticipos que cargan de reversiones</t>
  </si>
  <si>
    <t>REVERSIÓN DE PAGOS</t>
  </si>
  <si>
    <t>Exonera-Recargo Aseo</t>
  </si>
  <si>
    <t>INFORME AFaseo</t>
  </si>
  <si>
    <t xml:space="preserve">BENEFICIO TRANSITORIO ALIVIO SOBRE EL VALOR DE LA FACTURA </t>
  </si>
  <si>
    <t>Según Resoluciòn UAESP Número 273 de 2.020</t>
  </si>
  <si>
    <t>Valor Afaseo</t>
  </si>
  <si>
    <t>Afaseo por disposicion final</t>
  </si>
  <si>
    <t>Afaseo por tratamiento de lixiviados</t>
  </si>
  <si>
    <t>Afaseo por Componente VIAT ( Decreto 2412/2018)</t>
  </si>
  <si>
    <t xml:space="preserve">Afaseo por aprovechamiento </t>
  </si>
  <si>
    <t>Afaseo del componente de comercializacion para Aprovechamiento (11,4%)</t>
  </si>
  <si>
    <t>Afaseo
RBL</t>
  </si>
  <si>
    <t xml:space="preserve"> Componente de comercialización para Aprovechamiento (18,6%)</t>
  </si>
  <si>
    <r>
      <t xml:space="preserve">INFORME Afaseo   // </t>
    </r>
    <r>
      <rPr>
        <b/>
        <sz val="11"/>
        <color rgb="FFFF0000"/>
        <rFont val="Arial"/>
        <family val="2"/>
      </rPr>
      <t>RECAUDO</t>
    </r>
  </si>
  <si>
    <t>AFaseo</t>
  </si>
  <si>
    <t>REPORTE CONSOLIDADO DE REMUNERACION// RECIPROCIDAD - EAAB</t>
  </si>
  <si>
    <t>REPORTE CONSOLIDADO DE REMUNERACION// OCCIDENTE - Recaudo Facturación Directa</t>
  </si>
  <si>
    <t>REPORTE CONSOLIDADO DE REMUNERACION// EAAB-CIUDAD LIMPIA*</t>
  </si>
  <si>
    <t>*En el Esquema anterior, EAAB y CIUD LIMP son Prestadores. // Recaudo en cuentas bancarias de Esquema anterior.</t>
  </si>
  <si>
    <t>DIFERENCIA</t>
  </si>
  <si>
    <t>REPORTE CONSOLIDADO DE ANTICIPOS-reciprocidad</t>
  </si>
  <si>
    <t>REPORTE CONSOLIDADO DE ANTICIPOS -ENEL</t>
  </si>
  <si>
    <t>REPORTE CONSOLIDADO DE ANTICIPOS -OCCIDENTE</t>
  </si>
  <si>
    <t>REPORTE CONSOLIDADO DE ANTICIPOS EAAB-CIULIM</t>
  </si>
  <si>
    <t>REMUN TOTAL</t>
  </si>
  <si>
    <t>SISTEMA</t>
  </si>
  <si>
    <t>DIFERENCIA VALIDA 2</t>
  </si>
  <si>
    <t>VALIDA 2</t>
  </si>
  <si>
    <t>VALIDA 1</t>
  </si>
  <si>
    <t>VALIDACION</t>
  </si>
  <si>
    <t>TOTALES</t>
  </si>
  <si>
    <t>EAAB</t>
  </si>
  <si>
    <t>CIUD LIMPIA</t>
  </si>
  <si>
    <t>ENEL / RECIP.</t>
  </si>
  <si>
    <t>EAAB / RECIP.</t>
  </si>
  <si>
    <t>DIRECTA OCCIDENTE</t>
  </si>
  <si>
    <t>Recaudo ENEL - ASE 1</t>
  </si>
  <si>
    <t>Recaudo ENEL - ASE 5</t>
  </si>
  <si>
    <t>Recaudo Reciprocidad EAAB - ASE 2</t>
  </si>
  <si>
    <t>Recaudo Reciprocidad EAAB - ASE 4</t>
  </si>
  <si>
    <t>Recaudo ENEL - ASE 3</t>
  </si>
  <si>
    <t>REPORTE CONSOLIDADO TOTAL DE RECAUDO</t>
  </si>
  <si>
    <t>REPORTE DETALLADO SUBBOLSA RBL DISCRIMINADO POR ACTIVIDADES</t>
  </si>
  <si>
    <t>REPORTE CONSOLIDADO TOTAL DE RECAUDO // RECIPROCIDAD - EAAB</t>
  </si>
  <si>
    <t>REPORTE DETALLADO SUBBOLSA RBL DISCRIMINADO POR ACTIVIDADES // RECIPROCIDAD - EAAB</t>
  </si>
  <si>
    <t>REPORTE CONSOLIDADO TOTAL DE RECAUDO  // ENEL</t>
  </si>
  <si>
    <t>REPORTE DETALLADO SUBBOLSA RBL DISCRIMINADO POR ACTIVIDADES // ENEL</t>
  </si>
  <si>
    <t>REPORTE DETALLADO SUBBOLSA RBL DISCRIMINADO POR ACTIVIDADES // OCCIDENTE - Recaudo Facturación Directa</t>
  </si>
  <si>
    <t>REPORTE CONSOLIDADO TOTAL DE RECAUDO // OCCIDENTE - Recaudo Facturación Directa</t>
  </si>
  <si>
    <t>REPORTE CONSOLIDADO TOTAL DE RECAUDO //EAAB-CIUDAD LIMPIA*</t>
  </si>
  <si>
    <t>REPORTE DETALLADO SUBBOLSA RBL DISCRIMINADO POR ACTIVIDADES //EAAB-CIUDAD LIMPIA*</t>
  </si>
  <si>
    <t>Exonera Rec.Intereses</t>
  </si>
  <si>
    <t>Exonera-Ajuste Decena Aseo</t>
  </si>
  <si>
    <t>VALOR</t>
  </si>
  <si>
    <t>Balance S / C Con Base en (Recaudo)</t>
  </si>
  <si>
    <t>Deb/Cred-otros</t>
  </si>
  <si>
    <t>|</t>
  </si>
  <si>
    <t>Código Remuneración:</t>
  </si>
  <si>
    <t>Resolución UAESP Número 27 de 2018</t>
  </si>
  <si>
    <t>Fecha de Proceso:</t>
  </si>
  <si>
    <t>R10 - Recaudo Consolidado</t>
  </si>
  <si>
    <t>Hora:</t>
  </si>
  <si>
    <t>Fecha Hasta:</t>
  </si>
  <si>
    <t>CONCESIONARIOS</t>
  </si>
  <si>
    <t>RECAUDO TOTAL</t>
  </si>
  <si>
    <t>RECAUDO POR DISPOSICIÓN FINAL</t>
  </si>
  <si>
    <t>RECAUDO POR TRATAMIENTO DE LIXIVIADOS</t>
  </si>
  <si>
    <t>RECAUDO POR COMPONENTE VIAT (DECRETO 2412/2018)</t>
  </si>
  <si>
    <t>RECAUDO POR APROVECHAMIENTO</t>
  </si>
  <si>
    <t>RECAUDO DEL COMPONENTE DE COMERCIALIZACIÓN PARA APROVECHAMIENTO (11,4%)</t>
  </si>
  <si>
    <t>BALANCE DE SUBSIDIO O CONTRIBUCIONES</t>
  </si>
  <si>
    <t>RECAUDO BASE DE REMUNERACIÓN</t>
  </si>
  <si>
    <t>COSTO DE LA INTERVENTORÍA (*)</t>
  </si>
  <si>
    <t>REMUNERACIÓN FINAL</t>
  </si>
  <si>
    <t>CONCEPTOS ESPECIALES</t>
  </si>
  <si>
    <t>REMUNERACIÓN FINAL MAS CONCEPTOS ESPECIALES</t>
  </si>
  <si>
    <t>CIUDAD LIMPIA BOGOTA S.A. ESP</t>
  </si>
  <si>
    <t>4</t>
  </si>
  <si>
    <t/>
  </si>
  <si>
    <t>_____________________________________________________________________________</t>
  </si>
  <si>
    <t>TARIFA DE COMERCIALIZACIÓN DEL SERVICIO. (TCS)</t>
  </si>
  <si>
    <t>TARIFA DE LIMPIEZA URBANA DEL SERVICIO. (TLU)</t>
  </si>
  <si>
    <t>TARIFA DE BARRIDO Y LIMPIEZA DEL SERVICIO. (TBL)</t>
  </si>
  <si>
    <t>TARIFA DE RECOLECCIÓN Y TRANSPORTE DEL SERVICIO. (TRT)</t>
  </si>
  <si>
    <t>RECAUDO DEL COMPONENTE DE COMERCIALIZACIÓN PARA APROVECHAMIENTO (18,6%)</t>
  </si>
  <si>
    <t>COSTO DE LA INTERVENTORÍA</t>
  </si>
  <si>
    <t>AJUSTE A LA DECENA</t>
  </si>
  <si>
    <t>BALANCE SUBSIDIO Y CONTRIBUCIÓN BASADO EN EL RECAUDO</t>
  </si>
  <si>
    <t>DIF BSCF – BSCR</t>
  </si>
  <si>
    <t>VALIDACIÓN RETRIBUCIÓN</t>
  </si>
  <si>
    <t>Recaudo Banco Occidente ASE 1</t>
  </si>
  <si>
    <t>Recaudo Banco Occidente ASE 2</t>
  </si>
  <si>
    <t>Recaudo Banco Occidente ASE 3</t>
  </si>
  <si>
    <t>Recaudo Banco Occidente ASE 4</t>
  </si>
  <si>
    <t>Recaudo Banco Occidente ASE 5</t>
  </si>
  <si>
    <t>VALIDADOR DE POSTIVIOS EN REMUNERACION NEGATIVA</t>
  </si>
  <si>
    <t>Segunda quincena</t>
  </si>
  <si>
    <t>Primera quincena</t>
  </si>
  <si>
    <t>VALOR OFICIAL
MES</t>
  </si>
  <si>
    <t>CONCILIACIÓN CAJA</t>
  </si>
  <si>
    <t>CONCILIACIÓN _ REMUNERACIÓN</t>
  </si>
  <si>
    <t>VALIDACIÓN</t>
  </si>
  <si>
    <t>PxI</t>
  </si>
  <si>
    <t>SALDOS A FAVOR  POR NOTA+REMUNERA NEGATIVA</t>
  </si>
  <si>
    <t>TOTAL RECAUDO + CONCP ESP</t>
  </si>
  <si>
    <t>2026 01 2</t>
  </si>
  <si>
    <t>2026 02 1</t>
  </si>
  <si>
    <t>2026 02 2</t>
  </si>
  <si>
    <t>2026 03 1</t>
  </si>
  <si>
    <t>2026 03 2</t>
  </si>
  <si>
    <t>2026 04 1</t>
  </si>
  <si>
    <t>2026 04 2</t>
  </si>
  <si>
    <t>2026 05 1</t>
  </si>
  <si>
    <t>2026 05 2</t>
  </si>
  <si>
    <t>2026 06 1</t>
  </si>
  <si>
    <t>2026 06 2</t>
  </si>
  <si>
    <t>2026 07 1</t>
  </si>
  <si>
    <t xml:space="preserve"> MITAD 1
// ENERO -26</t>
  </si>
  <si>
    <t xml:space="preserve"> MITAD 2
// ENERO -26</t>
  </si>
  <si>
    <t xml:space="preserve"> MITAD 1
// FEBRERO -26</t>
  </si>
  <si>
    <t xml:space="preserve"> MITAD 2
// FEBRERO -26</t>
  </si>
  <si>
    <t xml:space="preserve"> MITAD 1
// MARZO -26</t>
  </si>
  <si>
    <t xml:space="preserve"> MITAD 2
// MARZO -26</t>
  </si>
  <si>
    <t xml:space="preserve"> MITAD 1
// ABRIL -26</t>
  </si>
  <si>
    <t xml:space="preserve"> MITAD 2
// ABRIL -26</t>
  </si>
  <si>
    <t xml:space="preserve"> MITAD 1
// MAYO -26</t>
  </si>
  <si>
    <t xml:space="preserve"> MITAD 2
// MAYO -26</t>
  </si>
  <si>
    <t xml:space="preserve"> MITAD 1
// JUNIO -26</t>
  </si>
  <si>
    <t xml:space="preserve"> MITAD 2
// JUNIO -26</t>
  </si>
  <si>
    <t>2026 07 2</t>
  </si>
  <si>
    <t>2026 08 1</t>
  </si>
  <si>
    <t>2026 08 2</t>
  </si>
  <si>
    <t>2026 09 1</t>
  </si>
  <si>
    <t>2026 09 2</t>
  </si>
  <si>
    <t>2026 10 1</t>
  </si>
  <si>
    <t>2026 10 2</t>
  </si>
  <si>
    <t>2026 11 1</t>
  </si>
  <si>
    <t>2026 11 2</t>
  </si>
  <si>
    <t>2026 12 1</t>
  </si>
  <si>
    <t>2026 12 2</t>
  </si>
  <si>
    <t>2027 01 1</t>
  </si>
  <si>
    <t xml:space="preserve"> MITAD 1
// JULIO -26</t>
  </si>
  <si>
    <t xml:space="preserve"> MITAD 2
// JULIO -26</t>
  </si>
  <si>
    <t xml:space="preserve"> MITAD 1
// AGOSTO -26</t>
  </si>
  <si>
    <t xml:space="preserve"> MITAD 2
// AGOSTO -26</t>
  </si>
  <si>
    <t xml:space="preserve"> MITAD 1
// SEPTIEMBRE -26</t>
  </si>
  <si>
    <t xml:space="preserve"> MITAD 2
// SEPTIEMBRE -26</t>
  </si>
  <si>
    <t xml:space="preserve"> MITAD 1
// OCTUBRE -26</t>
  </si>
  <si>
    <t xml:space="preserve"> MITAD 2
// OCTUBRE -26</t>
  </si>
  <si>
    <t xml:space="preserve"> MITAD 1
// NOVIEMBRE -26</t>
  </si>
  <si>
    <t xml:space="preserve"> MITAD 2
// NOVIEMBRE -26</t>
  </si>
  <si>
    <t xml:space="preserve"> MITAD 1
// DICIEMBRE -26</t>
  </si>
  <si>
    <t xml:space="preserve"> MITAD 2
// DICIEMBRE -26</t>
  </si>
  <si>
    <t>* Costos de Interventoría: remuneración 2026031</t>
  </si>
  <si>
    <t>Recaudo ENEL - ASE 2</t>
  </si>
  <si>
    <t>Recaudo ENEL - ASE 4</t>
  </si>
  <si>
    <t>ENERBIT</t>
  </si>
  <si>
    <t>Recaudo ENERBIT - ASE 5</t>
  </si>
  <si>
    <t>REPORTE CONSOLIDADO TOTAL DE RECAUDO  // ENERBIT</t>
  </si>
  <si>
    <t xml:space="preserve">REPORTE R10- RECAUDO CONSOLIDADO </t>
  </si>
  <si>
    <t>REPORTE CONSOLIDADO DE REMUNERACION// ENERBIT</t>
  </si>
  <si>
    <t>REPORTE CONSOLIDADO DE ANTICIPOS -ENERBIT</t>
  </si>
  <si>
    <t>9</t>
  </si>
  <si>
    <t>A</t>
  </si>
  <si>
    <t>QUINCENA</t>
  </si>
  <si>
    <t>OJO/// DILIGENCIAR</t>
  </si>
  <si>
    <t>Recaudo ENERBIT - ASE 1</t>
  </si>
  <si>
    <t>Recaudo ENERBIT - ASE 2</t>
  </si>
  <si>
    <t>Recaudo ENERBIT - ASE 3</t>
  </si>
  <si>
    <t>Recaudo ENERBIT - ASE 4</t>
  </si>
  <si>
    <t>ok</t>
  </si>
  <si>
    <t>2026072</t>
  </si>
  <si>
    <t>04/08/2026</t>
  </si>
  <si>
    <t>10:15 AM</t>
  </si>
  <si>
    <t>16/07/2026</t>
  </si>
  <si>
    <t>31/07/2026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</si>
</sst>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3">
    <numFmt numFmtId="6" formatCode="&quot;$&quot;\ #,##0;[Red]\-&quot;$&quot;\ #,##0"/>
    <numFmt numFmtId="8" formatCode="&quot;$&quot;\ #,##0.00;[Red]\-&quot;$&quot;\ #,##0.00"/>
    <numFmt numFmtId="41" formatCode="_-* #,##0_-;\-* #,##0_-;_-* &quot;-&quot;_-;_-@_-"/>
    <numFmt numFmtId="43" formatCode="_-* #,##0.00_-;\-* #,##0.00_-;_-* &quot;-&quot;??_-;_-@_-"/>
    <numFmt numFmtId="164" formatCode="_(* #,##0.00_);_(* \(#,##0.00\);_(* &quot;-&quot;??_);_(@_)"/>
    <numFmt numFmtId="165" formatCode="_-* #,##0_-;\-* #,##0_-;_-* &quot;-&quot;??_-;_-@_-"/>
    <numFmt numFmtId="166" formatCode="_([$€]* #,##0.00_);_([$€]* \(#,##0.00\);_([$€]* &quot;-&quot;??_);_(@_)"/>
    <numFmt numFmtId="167" formatCode="_ &quot;$&quot;\ * #,##0.00_ ;_ &quot;$&quot;\ * \-#,##0.00_ ;_ &quot;$&quot;\ * &quot;-&quot;??_ ;_ @_ "/>
    <numFmt numFmtId="168" formatCode="_(&quot;$&quot;* #,##0.00_);_(&quot;$&quot;* \(#,##0.00\);_(&quot;$&quot;* &quot;-&quot;??_);_(@_)"/>
    <numFmt numFmtId="169" formatCode="_-* #,##0.0_-;\-* #,##0.0_-;_-* &quot;-&quot;?_-;_-@_-"/>
    <numFmt numFmtId="170" formatCode="_-* #,##0.0_-;\-* #,##0.0_-;_-* &quot;-&quot;_-;_-@_-"/>
    <numFmt numFmtId="171" formatCode="_-* #,##0.00_-;\-* #,##0.00_-;_-* &quot;-&quot;_-;_-@_-"/>
    <numFmt numFmtId="172" formatCode="[$-F400]h:mm\ AM/PM"/>
    <numFmt numFmtId="173" formatCode="#,##0_ ;[Red]\-#,##0\ "/>
    <numFmt numFmtId="174" formatCode="#,##0.0_ ;[Red]\-#,##0.0\ "/>
    <numFmt numFmtId="175" formatCode="_-* #,##0.000000_-;\-* #,##0.000000_-;_-* &quot;-&quot;??_-;_-@_-"/>
    <numFmt numFmtId="176" formatCode="_-* #,##0.000_-;\-* #,##0.000_-;_-* &quot;-&quot;??_-;_-@_-"/>
    <numFmt numFmtId="177" formatCode="_-* #,##0.000_-;\-* #,##0.000_-;_-* &quot;-&quot;???_-;_-@_-"/>
    <numFmt numFmtId="178" formatCode="_-* #,##0.000000000_-;\-* #,##0.000000000_-;_-* &quot;-&quot;_-;_-@_-"/>
    <numFmt numFmtId="179" formatCode="_-* #,##0.0000000000_-;\-* #,##0.0000000000_-;_-* &quot;-&quot;_-;_-@_-"/>
    <numFmt numFmtId="180" formatCode="_-* #,##0.0_-;\-* #,##0.0_-;_-* &quot;-&quot;??_-;_-@_-"/>
    <numFmt numFmtId="181" formatCode="#,##0.0000"/>
    <numFmt numFmtId="182" formatCode="#,##0.00_ ;[Red]\-#,##0.00\ "/>
    <numFmt numFmtId="183" formatCode="_-* #,##0.000_-;\-* #,##0.000_-;_-* &quot;-&quot;?_-;_-@_-"/>
    <numFmt numFmtId="184" formatCode="#,##0.0"/>
    <numFmt numFmtId="185" formatCode="_-* #,##0.000000000000_-;\-* #,##0.000000000000_-;_-* &quot;-&quot;??_-;_-@_-"/>
    <numFmt numFmtId="186" formatCode="#,##0.00;[Red]#,##0.00"/>
    <numFmt numFmtId="187" formatCode="#,##0.0;[Red]#,##0.0"/>
    <numFmt numFmtId="188" formatCode="#,##0.000000000"/>
    <numFmt numFmtId="189" formatCode="#,##0.0000000000"/>
    <numFmt numFmtId="190" formatCode="_-* #,##0.00000_-;\-* #,##0.00000_-;_-* &quot;-&quot;??_-;_-@_-"/>
    <numFmt numFmtId="191" formatCode="#,##0.000"/>
    <numFmt numFmtId="192" formatCode="_-* #,##0_-;\-* #,##0_-;_-* &quot;-&quot;?_-;_-@_-"/>
  </numFmts>
  <fonts count="73" x14ac:knownFonts="1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9"/>
      <name val="Arial"/>
      <family val="2"/>
    </font>
    <font>
      <sz val="8"/>
      <name val="Arial"/>
      <family val="2"/>
    </font>
    <font>
      <b/>
      <sz val="10"/>
      <name val="Arial"/>
      <family val="2"/>
    </font>
    <font>
      <b/>
      <sz val="12"/>
      <name val="Arial"/>
      <family val="2"/>
    </font>
    <font>
      <sz val="11"/>
      <name val="Arial"/>
      <family val="2"/>
    </font>
    <font>
      <sz val="9"/>
      <name val="Arial"/>
      <family val="2"/>
    </font>
    <font>
      <sz val="10"/>
      <name val="Arial"/>
      <family val="2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b/>
      <sz val="11"/>
      <color theme="1"/>
      <name val="Arial"/>
      <family val="2"/>
    </font>
    <font>
      <b/>
      <sz val="12"/>
      <color rgb="FFFF0000"/>
      <name val="Arial"/>
      <family val="2"/>
    </font>
    <font>
      <b/>
      <sz val="11"/>
      <color rgb="FFFF0000"/>
      <name val="Arial"/>
      <family val="2"/>
    </font>
    <font>
      <b/>
      <sz val="11"/>
      <name val="Arial"/>
      <family val="2"/>
    </font>
    <font>
      <b/>
      <sz val="9"/>
      <color rgb="FFFF0000"/>
      <name val="Arial"/>
      <family val="2"/>
    </font>
    <font>
      <sz val="10"/>
      <color rgb="FFFF0000"/>
      <name val="Arial"/>
      <family val="2"/>
    </font>
    <font>
      <sz val="12"/>
      <color rgb="FF2F2F2F"/>
      <name val="Segoe UI"/>
      <family val="2"/>
    </font>
    <font>
      <sz val="10"/>
      <color theme="1"/>
      <name val="Calibri"/>
      <family val="2"/>
      <scheme val="minor"/>
    </font>
    <font>
      <b/>
      <sz val="10"/>
      <color rgb="FF000000"/>
      <name val="ARIAL"/>
      <family val="2"/>
    </font>
    <font>
      <b/>
      <sz val="9"/>
      <color rgb="FF000000"/>
      <name val="Arial"/>
      <family val="2"/>
    </font>
    <font>
      <b/>
      <sz val="12"/>
      <color theme="1"/>
      <name val="Arial"/>
      <family val="2"/>
    </font>
    <font>
      <b/>
      <sz val="12"/>
      <color theme="0"/>
      <name val="Arial"/>
      <family val="2"/>
    </font>
    <font>
      <b/>
      <sz val="9"/>
      <color theme="0"/>
      <name val="Arial"/>
      <family val="2"/>
    </font>
    <font>
      <sz val="9"/>
      <color theme="0"/>
      <name val="Arial"/>
      <family val="2"/>
    </font>
    <font>
      <b/>
      <sz val="10"/>
      <color theme="1"/>
      <name val="Calibri"/>
      <family val="2"/>
      <scheme val="minor"/>
    </font>
    <font>
      <sz val="10"/>
      <color rgb="FF000000"/>
      <name val="Arial"/>
      <family val="2"/>
    </font>
    <font>
      <sz val="10"/>
      <name val="Arial"/>
      <family val="2"/>
    </font>
    <font>
      <sz val="10"/>
      <color theme="0" tint="-4.9989318521683403E-2"/>
      <name val="Arial"/>
      <family val="2"/>
    </font>
    <font>
      <sz val="11"/>
      <name val="Calibri"/>
      <family val="2"/>
    </font>
    <font>
      <sz val="11"/>
      <name val="Calibri"/>
      <family val="2"/>
    </font>
    <font>
      <b/>
      <sz val="11"/>
      <name val="Calibri"/>
      <family val="2"/>
    </font>
    <font>
      <sz val="9"/>
      <color rgb="FF000000"/>
      <name val="Arial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10"/>
      <color rgb="FFFF0000"/>
      <name val="Arial"/>
      <family val="2"/>
    </font>
  </fonts>
  <fills count="62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rgb="FF9ACDD4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00FFFF"/>
        <bgColor indexed="64"/>
      </patternFill>
    </fill>
    <fill>
      <patternFill patternType="solid">
        <fgColor rgb="FF9966FF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CCFFFF"/>
        <bgColor indexed="64"/>
      </patternFill>
    </fill>
    <fill>
      <patternFill patternType="solid">
        <fgColor rgb="FFAFAFAF"/>
        <bgColor rgb="FFAFAFAF"/>
      </patternFill>
    </fill>
    <fill>
      <patternFill patternType="solid">
        <fgColor theme="9" tint="0.79998168889431442"/>
        <bgColor indexed="64"/>
      </patternFill>
    </fill>
  </fills>
  <borders count="82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</borders>
  <cellStyleXfs count="2618">
    <xf numFmtId="0" fontId="0" fillId="0" borderId="0"/>
    <xf numFmtId="166" fontId="19" fillId="0" borderId="0" applyFont="0" applyFill="0" applyBorder="0" applyAlignment="0" applyProtection="0"/>
    <xf numFmtId="0" fontId="19" fillId="0" borderId="0"/>
    <xf numFmtId="0" fontId="27" fillId="0" borderId="0" applyNumberFormat="0" applyFill="0" applyBorder="0" applyAlignment="0" applyProtection="0"/>
    <xf numFmtId="0" fontId="28" fillId="0" borderId="24" applyNumberFormat="0" applyFill="0" applyAlignment="0" applyProtection="0"/>
    <xf numFmtId="0" fontId="29" fillId="0" borderId="25" applyNumberFormat="0" applyFill="0" applyAlignment="0" applyProtection="0"/>
    <xf numFmtId="0" fontId="30" fillId="0" borderId="26" applyNumberFormat="0" applyFill="0" applyAlignment="0" applyProtection="0"/>
    <xf numFmtId="0" fontId="30" fillId="0" borderId="0" applyNumberFormat="0" applyFill="0" applyBorder="0" applyAlignment="0" applyProtection="0"/>
    <xf numFmtId="0" fontId="31" fillId="2" borderId="0" applyNumberFormat="0" applyBorder="0" applyAlignment="0" applyProtection="0"/>
    <xf numFmtId="0" fontId="32" fillId="3" borderId="0" applyNumberFormat="0" applyBorder="0" applyAlignment="0" applyProtection="0"/>
    <xf numFmtId="0" fontId="33" fillId="4" borderId="0" applyNumberFormat="0" applyBorder="0" applyAlignment="0" applyProtection="0"/>
    <xf numFmtId="0" fontId="34" fillId="5" borderId="27" applyNumberFormat="0" applyAlignment="0" applyProtection="0"/>
    <xf numFmtId="0" fontId="35" fillId="6" borderId="28" applyNumberFormat="0" applyAlignment="0" applyProtection="0"/>
    <xf numFmtId="0" fontId="36" fillId="6" borderId="27" applyNumberFormat="0" applyAlignment="0" applyProtection="0"/>
    <xf numFmtId="0" fontId="37" fillId="0" borderId="29" applyNumberFormat="0" applyFill="0" applyAlignment="0" applyProtection="0"/>
    <xf numFmtId="0" fontId="38" fillId="7" borderId="30" applyNumberFormat="0" applyAlignment="0" applyProtection="0"/>
    <xf numFmtId="0" fontId="39" fillId="0" borderId="0" applyNumberFormat="0" applyFill="0" applyBorder="0" applyAlignment="0" applyProtection="0"/>
    <xf numFmtId="0" fontId="40" fillId="0" borderId="0" applyNumberFormat="0" applyFill="0" applyBorder="0" applyAlignment="0" applyProtection="0"/>
    <xf numFmtId="0" fontId="41" fillId="0" borderId="32" applyNumberFormat="0" applyFill="0" applyAlignment="0" applyProtection="0"/>
    <xf numFmtId="0" fontId="42" fillId="9" borderId="0" applyNumberFormat="0" applyBorder="0" applyAlignment="0" applyProtection="0"/>
    <xf numFmtId="0" fontId="18" fillId="10" borderId="0" applyNumberFormat="0" applyBorder="0" applyAlignment="0" applyProtection="0"/>
    <xf numFmtId="0" fontId="18" fillId="11" borderId="0" applyNumberFormat="0" applyBorder="0" applyAlignment="0" applyProtection="0"/>
    <xf numFmtId="0" fontId="42" fillId="12" borderId="0" applyNumberFormat="0" applyBorder="0" applyAlignment="0" applyProtection="0"/>
    <xf numFmtId="0" fontId="42" fillId="13" borderId="0" applyNumberFormat="0" applyBorder="0" applyAlignment="0" applyProtection="0"/>
    <xf numFmtId="0" fontId="18" fillId="14" borderId="0" applyNumberFormat="0" applyBorder="0" applyAlignment="0" applyProtection="0"/>
    <xf numFmtId="0" fontId="18" fillId="15" borderId="0" applyNumberFormat="0" applyBorder="0" applyAlignment="0" applyProtection="0"/>
    <xf numFmtId="0" fontId="42" fillId="16" borderId="0" applyNumberFormat="0" applyBorder="0" applyAlignment="0" applyProtection="0"/>
    <xf numFmtId="0" fontId="42" fillId="17" borderId="0" applyNumberFormat="0" applyBorder="0" applyAlignment="0" applyProtection="0"/>
    <xf numFmtId="0" fontId="18" fillId="18" borderId="0" applyNumberFormat="0" applyBorder="0" applyAlignment="0" applyProtection="0"/>
    <xf numFmtId="0" fontId="18" fillId="19" borderId="0" applyNumberFormat="0" applyBorder="0" applyAlignment="0" applyProtection="0"/>
    <xf numFmtId="0" fontId="42" fillId="20" borderId="0" applyNumberFormat="0" applyBorder="0" applyAlignment="0" applyProtection="0"/>
    <xf numFmtId="0" fontId="42" fillId="21" borderId="0" applyNumberFormat="0" applyBorder="0" applyAlignment="0" applyProtection="0"/>
    <xf numFmtId="0" fontId="18" fillId="22" borderId="0" applyNumberFormat="0" applyBorder="0" applyAlignment="0" applyProtection="0"/>
    <xf numFmtId="0" fontId="18" fillId="23" borderId="0" applyNumberFormat="0" applyBorder="0" applyAlignment="0" applyProtection="0"/>
    <xf numFmtId="0" fontId="42" fillId="24" borderId="0" applyNumberFormat="0" applyBorder="0" applyAlignment="0" applyProtection="0"/>
    <xf numFmtId="0" fontId="42" fillId="25" borderId="0" applyNumberFormat="0" applyBorder="0" applyAlignment="0" applyProtection="0"/>
    <xf numFmtId="0" fontId="18" fillId="26" borderId="0" applyNumberFormat="0" applyBorder="0" applyAlignment="0" applyProtection="0"/>
    <xf numFmtId="0" fontId="18" fillId="27" borderId="0" applyNumberFormat="0" applyBorder="0" applyAlignment="0" applyProtection="0"/>
    <xf numFmtId="0" fontId="42" fillId="28" borderId="0" applyNumberFormat="0" applyBorder="0" applyAlignment="0" applyProtection="0"/>
    <xf numFmtId="0" fontId="42" fillId="29" borderId="0" applyNumberFormat="0" applyBorder="0" applyAlignment="0" applyProtection="0"/>
    <xf numFmtId="0" fontId="18" fillId="30" borderId="0" applyNumberFormat="0" applyBorder="0" applyAlignment="0" applyProtection="0"/>
    <xf numFmtId="0" fontId="18" fillId="31" borderId="0" applyNumberFormat="0" applyBorder="0" applyAlignment="0" applyProtection="0"/>
    <xf numFmtId="0" fontId="42" fillId="32" borderId="0" applyNumberFormat="0" applyBorder="0" applyAlignment="0" applyProtection="0"/>
    <xf numFmtId="164" fontId="26" fillId="0" borderId="0" applyFont="0" applyFill="0" applyBorder="0" applyAlignment="0" applyProtection="0"/>
    <xf numFmtId="166" fontId="26" fillId="0" borderId="0" applyFont="0" applyFill="0" applyBorder="0" applyAlignment="0" applyProtection="0"/>
    <xf numFmtId="164" fontId="26" fillId="0" borderId="0" applyFont="0" applyFill="0" applyBorder="0" applyAlignment="0" applyProtection="0"/>
    <xf numFmtId="166" fontId="26" fillId="0" borderId="0" applyFont="0" applyFill="0" applyBorder="0" applyAlignment="0" applyProtection="0"/>
    <xf numFmtId="166" fontId="26" fillId="0" borderId="0" applyFont="0" applyFill="0" applyBorder="0" applyAlignment="0" applyProtection="0"/>
    <xf numFmtId="167" fontId="19" fillId="0" borderId="0" applyFont="0" applyFill="0" applyBorder="0" applyAlignment="0" applyProtection="0"/>
    <xf numFmtId="0" fontId="18" fillId="0" borderId="0"/>
    <xf numFmtId="0" fontId="18" fillId="0" borderId="0"/>
    <xf numFmtId="0" fontId="18" fillId="8" borderId="31" applyNumberFormat="0" applyFont="0" applyAlignment="0" applyProtection="0"/>
    <xf numFmtId="0" fontId="18" fillId="0" borderId="0"/>
    <xf numFmtId="0" fontId="18" fillId="0" borderId="0"/>
    <xf numFmtId="0" fontId="18" fillId="0" borderId="0"/>
    <xf numFmtId="0" fontId="18" fillId="8" borderId="31" applyNumberFormat="0" applyFont="0" applyAlignment="0" applyProtection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8" borderId="31" applyNumberFormat="0" applyFont="0" applyAlignment="0" applyProtection="0"/>
    <xf numFmtId="0" fontId="18" fillId="8" borderId="31" applyNumberFormat="0" applyFont="0" applyAlignment="0" applyProtection="0"/>
    <xf numFmtId="0" fontId="18" fillId="8" borderId="31" applyNumberFormat="0" applyFont="0" applyAlignment="0" applyProtection="0"/>
    <xf numFmtId="0" fontId="18" fillId="8" borderId="31" applyNumberFormat="0" applyFont="0" applyAlignment="0" applyProtection="0"/>
    <xf numFmtId="0" fontId="18" fillId="8" borderId="31" applyNumberFormat="0" applyFont="0" applyAlignment="0" applyProtection="0"/>
    <xf numFmtId="0" fontId="18" fillId="8" borderId="31" applyNumberFormat="0" applyFont="0" applyAlignment="0" applyProtection="0"/>
    <xf numFmtId="0" fontId="18" fillId="8" borderId="31" applyNumberFormat="0" applyFont="0" applyAlignment="0" applyProtection="0"/>
    <xf numFmtId="0" fontId="18" fillId="8" borderId="31" applyNumberFormat="0" applyFont="0" applyAlignment="0" applyProtection="0"/>
    <xf numFmtId="0" fontId="18" fillId="8" borderId="31" applyNumberFormat="0" applyFont="0" applyAlignment="0" applyProtection="0"/>
    <xf numFmtId="0" fontId="18" fillId="8" borderId="31" applyNumberFormat="0" applyFont="0" applyAlignment="0" applyProtection="0"/>
    <xf numFmtId="0" fontId="18" fillId="8" borderId="31" applyNumberFormat="0" applyFont="0" applyAlignment="0" applyProtection="0"/>
    <xf numFmtId="0" fontId="18" fillId="8" borderId="31" applyNumberFormat="0" applyFont="0" applyAlignment="0" applyProtection="0"/>
    <xf numFmtId="166" fontId="26" fillId="0" borderId="0" applyFont="0" applyFill="0" applyBorder="0" applyAlignment="0" applyProtection="0"/>
    <xf numFmtId="166" fontId="26" fillId="0" borderId="0" applyFont="0" applyFill="0" applyBorder="0" applyAlignment="0" applyProtection="0"/>
    <xf numFmtId="0" fontId="17" fillId="19" borderId="0" applyNumberFormat="0" applyBorder="0" applyAlignment="0" applyProtection="0"/>
    <xf numFmtId="0" fontId="17" fillId="10" borderId="0" applyNumberFormat="0" applyBorder="0" applyAlignment="0" applyProtection="0"/>
    <xf numFmtId="0" fontId="17" fillId="14" borderId="0" applyNumberFormat="0" applyBorder="0" applyAlignment="0" applyProtection="0"/>
    <xf numFmtId="0" fontId="17" fillId="18" borderId="0" applyNumberFormat="0" applyBorder="0" applyAlignment="0" applyProtection="0"/>
    <xf numFmtId="0" fontId="17" fillId="22" borderId="0" applyNumberFormat="0" applyBorder="0" applyAlignment="0" applyProtection="0"/>
    <xf numFmtId="0" fontId="17" fillId="26" borderId="0" applyNumberFormat="0" applyBorder="0" applyAlignment="0" applyProtection="0"/>
    <xf numFmtId="0" fontId="17" fillId="30" borderId="0" applyNumberFormat="0" applyBorder="0" applyAlignment="0" applyProtection="0"/>
    <xf numFmtId="0" fontId="17" fillId="11" borderId="0" applyNumberFormat="0" applyBorder="0" applyAlignment="0" applyProtection="0"/>
    <xf numFmtId="0" fontId="17" fillId="15" borderId="0" applyNumberFormat="0" applyBorder="0" applyAlignment="0" applyProtection="0"/>
    <xf numFmtId="0" fontId="17" fillId="19" borderId="0" applyNumberFormat="0" applyBorder="0" applyAlignment="0" applyProtection="0"/>
    <xf numFmtId="0" fontId="17" fillId="23" borderId="0" applyNumberFormat="0" applyBorder="0" applyAlignment="0" applyProtection="0"/>
    <xf numFmtId="0" fontId="17" fillId="27" borderId="0" applyNumberFormat="0" applyBorder="0" applyAlignment="0" applyProtection="0"/>
    <xf numFmtId="0" fontId="17" fillId="31" borderId="0" applyNumberFormat="0" applyBorder="0" applyAlignment="0" applyProtection="0"/>
    <xf numFmtId="166" fontId="26" fillId="0" borderId="0" applyFont="0" applyFill="0" applyBorder="0" applyAlignment="0" applyProtection="0"/>
    <xf numFmtId="0" fontId="17" fillId="31" borderId="0" applyNumberFormat="0" applyBorder="0" applyAlignment="0" applyProtection="0"/>
    <xf numFmtId="164" fontId="26" fillId="0" borderId="0" applyFont="0" applyFill="0" applyBorder="0" applyAlignment="0" applyProtection="0"/>
    <xf numFmtId="0" fontId="17" fillId="27" borderId="0" applyNumberFormat="0" applyBorder="0" applyAlignment="0" applyProtection="0"/>
    <xf numFmtId="0" fontId="17" fillId="23" borderId="0" applyNumberFormat="0" applyBorder="0" applyAlignment="0" applyProtection="0"/>
    <xf numFmtId="0" fontId="17" fillId="0" borderId="0"/>
    <xf numFmtId="0" fontId="17" fillId="0" borderId="0"/>
    <xf numFmtId="0" fontId="17" fillId="0" borderId="0"/>
    <xf numFmtId="0" fontId="17" fillId="15" borderId="0" applyNumberFormat="0" applyBorder="0" applyAlignment="0" applyProtection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11" borderId="0" applyNumberFormat="0" applyBorder="0" applyAlignment="0" applyProtection="0"/>
    <xf numFmtId="0" fontId="17" fillId="30" borderId="0" applyNumberFormat="0" applyBorder="0" applyAlignment="0" applyProtection="0"/>
    <xf numFmtId="0" fontId="17" fillId="26" borderId="0" applyNumberFormat="0" applyBorder="0" applyAlignment="0" applyProtection="0"/>
    <xf numFmtId="0" fontId="17" fillId="22" borderId="0" applyNumberFormat="0" applyBorder="0" applyAlignment="0" applyProtection="0"/>
    <xf numFmtId="0" fontId="17" fillId="18" borderId="0" applyNumberFormat="0" applyBorder="0" applyAlignment="0" applyProtection="0"/>
    <xf numFmtId="0" fontId="17" fillId="14" borderId="0" applyNumberFormat="0" applyBorder="0" applyAlignment="0" applyProtection="0"/>
    <xf numFmtId="0" fontId="17" fillId="10" borderId="0" applyNumberFormat="0" applyBorder="0" applyAlignment="0" applyProtection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166" fontId="26" fillId="0" borderId="0" applyFont="0" applyFill="0" applyBorder="0" applyAlignment="0" applyProtection="0"/>
    <xf numFmtId="164" fontId="26" fillId="0" borderId="0" applyFont="0" applyFill="0" applyBorder="0" applyAlignment="0" applyProtection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6" fillId="19" borderId="0" applyNumberFormat="0" applyBorder="0" applyAlignment="0" applyProtection="0"/>
    <xf numFmtId="0" fontId="16" fillId="10" borderId="0" applyNumberFormat="0" applyBorder="0" applyAlignment="0" applyProtection="0"/>
    <xf numFmtId="0" fontId="16" fillId="14" borderId="0" applyNumberFormat="0" applyBorder="0" applyAlignment="0" applyProtection="0"/>
    <xf numFmtId="0" fontId="16" fillId="18" borderId="0" applyNumberFormat="0" applyBorder="0" applyAlignment="0" applyProtection="0"/>
    <xf numFmtId="0" fontId="16" fillId="22" borderId="0" applyNumberFormat="0" applyBorder="0" applyAlignment="0" applyProtection="0"/>
    <xf numFmtId="0" fontId="16" fillId="26" borderId="0" applyNumberFormat="0" applyBorder="0" applyAlignment="0" applyProtection="0"/>
    <xf numFmtId="0" fontId="16" fillId="30" borderId="0" applyNumberFormat="0" applyBorder="0" applyAlignment="0" applyProtection="0"/>
    <xf numFmtId="0" fontId="16" fillId="11" borderId="0" applyNumberFormat="0" applyBorder="0" applyAlignment="0" applyProtection="0"/>
    <xf numFmtId="0" fontId="16" fillId="15" borderId="0" applyNumberFormat="0" applyBorder="0" applyAlignment="0" applyProtection="0"/>
    <xf numFmtId="0" fontId="16" fillId="19" borderId="0" applyNumberFormat="0" applyBorder="0" applyAlignment="0" applyProtection="0"/>
    <xf numFmtId="0" fontId="16" fillId="23" borderId="0" applyNumberFormat="0" applyBorder="0" applyAlignment="0" applyProtection="0"/>
    <xf numFmtId="0" fontId="16" fillId="27" borderId="0" applyNumberFormat="0" applyBorder="0" applyAlignment="0" applyProtection="0"/>
    <xf numFmtId="0" fontId="16" fillId="31" borderId="0" applyNumberFormat="0" applyBorder="0" applyAlignment="0" applyProtection="0"/>
    <xf numFmtId="166" fontId="26" fillId="0" borderId="0" applyFont="0" applyFill="0" applyBorder="0" applyAlignment="0" applyProtection="0"/>
    <xf numFmtId="166" fontId="26" fillId="0" borderId="0" applyFont="0" applyFill="0" applyBorder="0" applyAlignment="0" applyProtection="0"/>
    <xf numFmtId="0" fontId="16" fillId="31" borderId="0" applyNumberFormat="0" applyBorder="0" applyAlignment="0" applyProtection="0"/>
    <xf numFmtId="164" fontId="26" fillId="0" borderId="0" applyFont="0" applyFill="0" applyBorder="0" applyAlignment="0" applyProtection="0"/>
    <xf numFmtId="0" fontId="16" fillId="27" borderId="0" applyNumberFormat="0" applyBorder="0" applyAlignment="0" applyProtection="0"/>
    <xf numFmtId="0" fontId="16" fillId="23" borderId="0" applyNumberFormat="0" applyBorder="0" applyAlignment="0" applyProtection="0"/>
    <xf numFmtId="0" fontId="16" fillId="15" borderId="0" applyNumberFormat="0" applyBorder="0" applyAlignment="0" applyProtection="0"/>
    <xf numFmtId="0" fontId="16" fillId="0" borderId="0"/>
    <xf numFmtId="0" fontId="16" fillId="8" borderId="31" applyNumberFormat="0" applyFont="0" applyAlignment="0" applyProtection="0"/>
    <xf numFmtId="0" fontId="16" fillId="8" borderId="31" applyNumberFormat="0" applyFont="0" applyAlignment="0" applyProtection="0"/>
    <xf numFmtId="0" fontId="16" fillId="8" borderId="31" applyNumberFormat="0" applyFont="0" applyAlignment="0" applyProtection="0"/>
    <xf numFmtId="0" fontId="16" fillId="8" borderId="31" applyNumberFormat="0" applyFont="0" applyAlignment="0" applyProtection="0"/>
    <xf numFmtId="0" fontId="16" fillId="8" borderId="31" applyNumberFormat="0" applyFont="0" applyAlignment="0" applyProtection="0"/>
    <xf numFmtId="0" fontId="16" fillId="8" borderId="31" applyNumberFormat="0" applyFont="0" applyAlignment="0" applyProtection="0"/>
    <xf numFmtId="0" fontId="16" fillId="8" borderId="31" applyNumberFormat="0" applyFont="0" applyAlignment="0" applyProtection="0"/>
    <xf numFmtId="0" fontId="16" fillId="8" borderId="31" applyNumberFormat="0" applyFont="0" applyAlignment="0" applyProtection="0"/>
    <xf numFmtId="0" fontId="16" fillId="8" borderId="31" applyNumberFormat="0" applyFont="0" applyAlignment="0" applyProtection="0"/>
    <xf numFmtId="0" fontId="16" fillId="11" borderId="0" applyNumberFormat="0" applyBorder="0" applyAlignment="0" applyProtection="0"/>
    <xf numFmtId="0" fontId="16" fillId="30" borderId="0" applyNumberFormat="0" applyBorder="0" applyAlignment="0" applyProtection="0"/>
    <xf numFmtId="0" fontId="16" fillId="26" borderId="0" applyNumberFormat="0" applyBorder="0" applyAlignment="0" applyProtection="0"/>
    <xf numFmtId="0" fontId="16" fillId="22" borderId="0" applyNumberFormat="0" applyBorder="0" applyAlignment="0" applyProtection="0"/>
    <xf numFmtId="0" fontId="16" fillId="18" borderId="0" applyNumberFormat="0" applyBorder="0" applyAlignment="0" applyProtection="0"/>
    <xf numFmtId="0" fontId="16" fillId="14" borderId="0" applyNumberFormat="0" applyBorder="0" applyAlignment="0" applyProtection="0"/>
    <xf numFmtId="0" fontId="16" fillId="10" borderId="0" applyNumberFormat="0" applyBorder="0" applyAlignment="0" applyProtection="0"/>
    <xf numFmtId="0" fontId="16" fillId="23" borderId="0" applyNumberFormat="0" applyBorder="0" applyAlignment="0" applyProtection="0"/>
    <xf numFmtId="166" fontId="26" fillId="0" borderId="0" applyFont="0" applyFill="0" applyBorder="0" applyAlignment="0" applyProtection="0"/>
    <xf numFmtId="164" fontId="26" fillId="0" borderId="0" applyFont="0" applyFill="0" applyBorder="0" applyAlignment="0" applyProtection="0"/>
    <xf numFmtId="0" fontId="16" fillId="31" borderId="0" applyNumberFormat="0" applyBorder="0" applyAlignment="0" applyProtection="0"/>
    <xf numFmtId="0" fontId="16" fillId="27" borderId="0" applyNumberFormat="0" applyBorder="0" applyAlignment="0" applyProtection="0"/>
    <xf numFmtId="0" fontId="16" fillId="19" borderId="0" applyNumberFormat="0" applyBorder="0" applyAlignment="0" applyProtection="0"/>
    <xf numFmtId="0" fontId="16" fillId="15" borderId="0" applyNumberFormat="0" applyBorder="0" applyAlignment="0" applyProtection="0"/>
    <xf numFmtId="0" fontId="16" fillId="8" borderId="31" applyNumberFormat="0" applyFont="0" applyAlignment="0" applyProtection="0"/>
    <xf numFmtId="0" fontId="16" fillId="8" borderId="31" applyNumberFormat="0" applyFont="0" applyAlignment="0" applyProtection="0"/>
    <xf numFmtId="0" fontId="16" fillId="8" borderId="31" applyNumberFormat="0" applyFont="0" applyAlignment="0" applyProtection="0"/>
    <xf numFmtId="0" fontId="16" fillId="8" borderId="31" applyNumberFormat="0" applyFont="0" applyAlignment="0" applyProtection="0"/>
    <xf numFmtId="0" fontId="16" fillId="8" borderId="31" applyNumberFormat="0" applyFont="0" applyAlignment="0" applyProtection="0"/>
    <xf numFmtId="0" fontId="16" fillId="8" borderId="31" applyNumberFormat="0" applyFont="0" applyAlignment="0" applyProtection="0"/>
    <xf numFmtId="0" fontId="16" fillId="8" borderId="31" applyNumberFormat="0" applyFont="0" applyAlignment="0" applyProtection="0"/>
    <xf numFmtId="0" fontId="16" fillId="8" borderId="31" applyNumberFormat="0" applyFont="0" applyAlignment="0" applyProtection="0"/>
    <xf numFmtId="0" fontId="16" fillId="8" borderId="31" applyNumberFormat="0" applyFont="0" applyAlignment="0" applyProtection="0"/>
    <xf numFmtId="0" fontId="16" fillId="11" borderId="0" applyNumberFormat="0" applyBorder="0" applyAlignment="0" applyProtection="0"/>
    <xf numFmtId="0" fontId="16" fillId="30" borderId="0" applyNumberFormat="0" applyBorder="0" applyAlignment="0" applyProtection="0"/>
    <xf numFmtId="0" fontId="16" fillId="26" borderId="0" applyNumberFormat="0" applyBorder="0" applyAlignment="0" applyProtection="0"/>
    <xf numFmtId="0" fontId="16" fillId="22" borderId="0" applyNumberFormat="0" applyBorder="0" applyAlignment="0" applyProtection="0"/>
    <xf numFmtId="0" fontId="16" fillId="18" borderId="0" applyNumberFormat="0" applyBorder="0" applyAlignment="0" applyProtection="0"/>
    <xf numFmtId="0" fontId="16" fillId="14" borderId="0" applyNumberFormat="0" applyBorder="0" applyAlignment="0" applyProtection="0"/>
    <xf numFmtId="0" fontId="16" fillId="10" borderId="0" applyNumberFormat="0" applyBorder="0" applyAlignment="0" applyProtection="0"/>
    <xf numFmtId="164" fontId="26" fillId="0" borderId="0" applyFont="0" applyFill="0" applyBorder="0" applyAlignment="0" applyProtection="0"/>
    <xf numFmtId="0" fontId="16" fillId="8" borderId="31" applyNumberFormat="0" applyFont="0" applyAlignment="0" applyProtection="0"/>
    <xf numFmtId="0" fontId="16" fillId="8" borderId="31" applyNumberFormat="0" applyFont="0" applyAlignment="0" applyProtection="0"/>
    <xf numFmtId="0" fontId="16" fillId="8" borderId="31" applyNumberFormat="0" applyFont="0" applyAlignment="0" applyProtection="0"/>
    <xf numFmtId="0" fontId="16" fillId="8" borderId="31" applyNumberFormat="0" applyFont="0" applyAlignment="0" applyProtection="0"/>
    <xf numFmtId="0" fontId="16" fillId="8" borderId="31" applyNumberFormat="0" applyFont="0" applyAlignment="0" applyProtection="0"/>
    <xf numFmtId="0" fontId="16" fillId="8" borderId="31" applyNumberFormat="0" applyFont="0" applyAlignment="0" applyProtection="0"/>
    <xf numFmtId="0" fontId="16" fillId="8" borderId="31" applyNumberFormat="0" applyFont="0" applyAlignment="0" applyProtection="0"/>
    <xf numFmtId="0" fontId="16" fillId="8" borderId="31" applyNumberFormat="0" applyFont="0" applyAlignment="0" applyProtection="0"/>
    <xf numFmtId="0" fontId="16" fillId="8" borderId="31" applyNumberFormat="0" applyFont="0" applyAlignment="0" applyProtection="0"/>
    <xf numFmtId="0" fontId="15" fillId="11" borderId="0" applyNumberFormat="0" applyBorder="0" applyAlignment="0" applyProtection="0"/>
    <xf numFmtId="0" fontId="15" fillId="10" borderId="0" applyNumberFormat="0" applyBorder="0" applyAlignment="0" applyProtection="0"/>
    <xf numFmtId="0" fontId="15" fillId="14" borderId="0" applyNumberFormat="0" applyBorder="0" applyAlignment="0" applyProtection="0"/>
    <xf numFmtId="0" fontId="15" fillId="18" borderId="0" applyNumberFormat="0" applyBorder="0" applyAlignment="0" applyProtection="0"/>
    <xf numFmtId="0" fontId="15" fillId="22" borderId="0" applyNumberFormat="0" applyBorder="0" applyAlignment="0" applyProtection="0"/>
    <xf numFmtId="0" fontId="15" fillId="26" borderId="0" applyNumberFormat="0" applyBorder="0" applyAlignment="0" applyProtection="0"/>
    <xf numFmtId="0" fontId="15" fillId="30" borderId="0" applyNumberFormat="0" applyBorder="0" applyAlignment="0" applyProtection="0"/>
    <xf numFmtId="0" fontId="15" fillId="11" borderId="0" applyNumberFormat="0" applyBorder="0" applyAlignment="0" applyProtection="0"/>
    <xf numFmtId="0" fontId="15" fillId="15" borderId="0" applyNumberFormat="0" applyBorder="0" applyAlignment="0" applyProtection="0"/>
    <xf numFmtId="0" fontId="15" fillId="19" borderId="0" applyNumberFormat="0" applyBorder="0" applyAlignment="0" applyProtection="0"/>
    <xf numFmtId="0" fontId="15" fillId="23" borderId="0" applyNumberFormat="0" applyBorder="0" applyAlignment="0" applyProtection="0"/>
    <xf numFmtId="0" fontId="15" fillId="27" borderId="0" applyNumberFormat="0" applyBorder="0" applyAlignment="0" applyProtection="0"/>
    <xf numFmtId="0" fontId="15" fillId="31" borderId="0" applyNumberFormat="0" applyBorder="0" applyAlignment="0" applyProtection="0"/>
    <xf numFmtId="166" fontId="26" fillId="0" borderId="0" applyFont="0" applyFill="0" applyBorder="0" applyAlignment="0" applyProtection="0"/>
    <xf numFmtId="0" fontId="15" fillId="31" borderId="0" applyNumberFormat="0" applyBorder="0" applyAlignment="0" applyProtection="0"/>
    <xf numFmtId="0" fontId="15" fillId="27" borderId="0" applyNumberFormat="0" applyBorder="0" applyAlignment="0" applyProtection="0"/>
    <xf numFmtId="166" fontId="26" fillId="0" borderId="0" applyFont="0" applyFill="0" applyBorder="0" applyAlignment="0" applyProtection="0"/>
    <xf numFmtId="0" fontId="15" fillId="23" borderId="0" applyNumberFormat="0" applyBorder="0" applyAlignment="0" applyProtection="0"/>
    <xf numFmtId="0" fontId="15" fillId="19" borderId="0" applyNumberFormat="0" applyBorder="0" applyAlignment="0" applyProtection="0"/>
    <xf numFmtId="0" fontId="15" fillId="15" borderId="0" applyNumberFormat="0" applyBorder="0" applyAlignment="0" applyProtection="0"/>
    <xf numFmtId="0" fontId="15" fillId="30" borderId="0" applyNumberFormat="0" applyBorder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26" borderId="0" applyNumberFormat="0" applyBorder="0" applyAlignment="0" applyProtection="0"/>
    <xf numFmtId="0" fontId="15" fillId="22" borderId="0" applyNumberFormat="0" applyBorder="0" applyAlignment="0" applyProtection="0"/>
    <xf numFmtId="0" fontId="15" fillId="18" borderId="0" applyNumberFormat="0" applyBorder="0" applyAlignment="0" applyProtection="0"/>
    <xf numFmtId="0" fontId="15" fillId="14" borderId="0" applyNumberFormat="0" applyBorder="0" applyAlignment="0" applyProtection="0"/>
    <xf numFmtId="0" fontId="15" fillId="10" borderId="0" applyNumberFormat="0" applyBorder="0" applyAlignment="0" applyProtection="0"/>
    <xf numFmtId="0" fontId="15" fillId="19" borderId="0" applyNumberFormat="0" applyBorder="0" applyAlignment="0" applyProtection="0"/>
    <xf numFmtId="166" fontId="26" fillId="0" borderId="0" applyFont="0" applyFill="0" applyBorder="0" applyAlignment="0" applyProtection="0"/>
    <xf numFmtId="164" fontId="26" fillId="0" borderId="0" applyFont="0" applyFill="0" applyBorder="0" applyAlignment="0" applyProtection="0"/>
    <xf numFmtId="0" fontId="15" fillId="31" borderId="0" applyNumberFormat="0" applyBorder="0" applyAlignment="0" applyProtection="0"/>
    <xf numFmtId="0" fontId="15" fillId="27" borderId="0" applyNumberFormat="0" applyBorder="0" applyAlignment="0" applyProtection="0"/>
    <xf numFmtId="0" fontId="15" fillId="23" borderId="0" applyNumberFormat="0" applyBorder="0" applyAlignment="0" applyProtection="0"/>
    <xf numFmtId="0" fontId="15" fillId="15" borderId="0" applyNumberFormat="0" applyBorder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11" borderId="0" applyNumberFormat="0" applyBorder="0" applyAlignment="0" applyProtection="0"/>
    <xf numFmtId="0" fontId="15" fillId="30" borderId="0" applyNumberFormat="0" applyBorder="0" applyAlignment="0" applyProtection="0"/>
    <xf numFmtId="0" fontId="15" fillId="26" borderId="0" applyNumberFormat="0" applyBorder="0" applyAlignment="0" applyProtection="0"/>
    <xf numFmtId="0" fontId="15" fillId="22" borderId="0" applyNumberFormat="0" applyBorder="0" applyAlignment="0" applyProtection="0"/>
    <xf numFmtId="0" fontId="15" fillId="18" borderId="0" applyNumberFormat="0" applyBorder="0" applyAlignment="0" applyProtection="0"/>
    <xf numFmtId="0" fontId="15" fillId="14" borderId="0" applyNumberFormat="0" applyBorder="0" applyAlignment="0" applyProtection="0"/>
    <xf numFmtId="0" fontId="15" fillId="10" borderId="0" applyNumberFormat="0" applyBorder="0" applyAlignment="0" applyProtection="0"/>
    <xf numFmtId="164" fontId="26" fillId="0" borderId="0" applyFont="0" applyFill="0" applyBorder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43" fontId="43" fillId="0" borderId="0" applyFont="0" applyFill="0" applyBorder="0" applyAlignment="0" applyProtection="0"/>
    <xf numFmtId="0" fontId="14" fillId="10" borderId="0" applyNumberFormat="0" applyBorder="0" applyAlignment="0" applyProtection="0"/>
    <xf numFmtId="0" fontId="14" fillId="14" borderId="0" applyNumberFormat="0" applyBorder="0" applyAlignment="0" applyProtection="0"/>
    <xf numFmtId="0" fontId="14" fillId="18" borderId="0" applyNumberFormat="0" applyBorder="0" applyAlignment="0" applyProtection="0"/>
    <xf numFmtId="0" fontId="14" fillId="22" borderId="0" applyNumberFormat="0" applyBorder="0" applyAlignment="0" applyProtection="0"/>
    <xf numFmtId="0" fontId="14" fillId="26" borderId="0" applyNumberFormat="0" applyBorder="0" applyAlignment="0" applyProtection="0"/>
    <xf numFmtId="0" fontId="14" fillId="30" borderId="0" applyNumberFormat="0" applyBorder="0" applyAlignment="0" applyProtection="0"/>
    <xf numFmtId="0" fontId="14" fillId="11" borderId="0" applyNumberFormat="0" applyBorder="0" applyAlignment="0" applyProtection="0"/>
    <xf numFmtId="0" fontId="14" fillId="15" borderId="0" applyNumberFormat="0" applyBorder="0" applyAlignment="0" applyProtection="0"/>
    <xf numFmtId="0" fontId="14" fillId="19" borderId="0" applyNumberFormat="0" applyBorder="0" applyAlignment="0" applyProtection="0"/>
    <xf numFmtId="0" fontId="14" fillId="23" borderId="0" applyNumberFormat="0" applyBorder="0" applyAlignment="0" applyProtection="0"/>
    <xf numFmtId="0" fontId="14" fillId="27" borderId="0" applyNumberFormat="0" applyBorder="0" applyAlignment="0" applyProtection="0"/>
    <xf numFmtId="0" fontId="14" fillId="31" borderId="0" applyNumberFormat="0" applyBorder="0" applyAlignment="0" applyProtection="0"/>
    <xf numFmtId="166" fontId="43" fillId="0" borderId="0" applyFont="0" applyFill="0" applyBorder="0" applyAlignment="0" applyProtection="0"/>
    <xf numFmtId="166" fontId="19" fillId="0" borderId="0" applyFont="0" applyFill="0" applyBorder="0" applyAlignment="0" applyProtection="0"/>
    <xf numFmtId="166" fontId="19" fillId="0" borderId="0" applyFont="0" applyFill="0" applyBorder="0" applyAlignment="0" applyProtection="0"/>
    <xf numFmtId="164" fontId="43" fillId="0" borderId="0" applyFont="0" applyFill="0" applyBorder="0" applyAlignment="0" applyProtection="0"/>
    <xf numFmtId="167" fontId="19" fillId="0" borderId="0" applyFont="0" applyFill="0" applyBorder="0" applyAlignment="0" applyProtection="0"/>
    <xf numFmtId="164" fontId="19" fillId="0" borderId="0" applyFont="0" applyFill="0" applyBorder="0" applyAlignment="0" applyProtection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9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43" fontId="43" fillId="0" borderId="0" applyFont="0" applyFill="0" applyBorder="0" applyAlignment="0" applyProtection="0"/>
    <xf numFmtId="0" fontId="13" fillId="10" borderId="0" applyNumberFormat="0" applyBorder="0" applyAlignment="0" applyProtection="0"/>
    <xf numFmtId="0" fontId="13" fillId="14" borderId="0" applyNumberFormat="0" applyBorder="0" applyAlignment="0" applyProtection="0"/>
    <xf numFmtId="0" fontId="13" fillId="18" borderId="0" applyNumberFormat="0" applyBorder="0" applyAlignment="0" applyProtection="0"/>
    <xf numFmtId="0" fontId="13" fillId="22" borderId="0" applyNumberFormat="0" applyBorder="0" applyAlignment="0" applyProtection="0"/>
    <xf numFmtId="0" fontId="13" fillId="26" borderId="0" applyNumberFormat="0" applyBorder="0" applyAlignment="0" applyProtection="0"/>
    <xf numFmtId="0" fontId="13" fillId="30" borderId="0" applyNumberFormat="0" applyBorder="0" applyAlignment="0" applyProtection="0"/>
    <xf numFmtId="0" fontId="13" fillId="11" borderId="0" applyNumberFormat="0" applyBorder="0" applyAlignment="0" applyProtection="0"/>
    <xf numFmtId="0" fontId="13" fillId="15" borderId="0" applyNumberFormat="0" applyBorder="0" applyAlignment="0" applyProtection="0"/>
    <xf numFmtId="0" fontId="13" fillId="19" borderId="0" applyNumberFormat="0" applyBorder="0" applyAlignment="0" applyProtection="0"/>
    <xf numFmtId="0" fontId="13" fillId="23" borderId="0" applyNumberFormat="0" applyBorder="0" applyAlignment="0" applyProtection="0"/>
    <xf numFmtId="0" fontId="13" fillId="27" borderId="0" applyNumberFormat="0" applyBorder="0" applyAlignment="0" applyProtection="0"/>
    <xf numFmtId="0" fontId="13" fillId="31" borderId="0" applyNumberFormat="0" applyBorder="0" applyAlignment="0" applyProtection="0"/>
    <xf numFmtId="0" fontId="13" fillId="31" borderId="0" applyNumberFormat="0" applyBorder="0" applyAlignment="0" applyProtection="0"/>
    <xf numFmtId="0" fontId="13" fillId="27" borderId="0" applyNumberFormat="0" applyBorder="0" applyAlignment="0" applyProtection="0"/>
    <xf numFmtId="0" fontId="13" fillId="23" borderId="0" applyNumberFormat="0" applyBorder="0" applyAlignment="0" applyProtection="0"/>
    <xf numFmtId="0" fontId="13" fillId="19" borderId="0" applyNumberFormat="0" applyBorder="0" applyAlignment="0" applyProtection="0"/>
    <xf numFmtId="0" fontId="13" fillId="15" borderId="0" applyNumberFormat="0" applyBorder="0" applyAlignment="0" applyProtection="0"/>
    <xf numFmtId="0" fontId="13" fillId="11" borderId="0" applyNumberFormat="0" applyBorder="0" applyAlignment="0" applyProtection="0"/>
    <xf numFmtId="166" fontId="19" fillId="0" borderId="0" applyFont="0" applyFill="0" applyBorder="0" applyAlignment="0" applyProtection="0"/>
    <xf numFmtId="166" fontId="19" fillId="0" borderId="0" applyFont="0" applyFill="0" applyBorder="0" applyAlignment="0" applyProtection="0"/>
    <xf numFmtId="0" fontId="13" fillId="30" borderId="0" applyNumberFormat="0" applyBorder="0" applyAlignment="0" applyProtection="0"/>
    <xf numFmtId="167" fontId="19" fillId="0" borderId="0" applyFont="0" applyFill="0" applyBorder="0" applyAlignment="0" applyProtection="0"/>
    <xf numFmtId="164" fontId="19" fillId="0" borderId="0" applyFont="0" applyFill="0" applyBorder="0" applyAlignment="0" applyProtection="0"/>
    <xf numFmtId="0" fontId="13" fillId="26" borderId="0" applyNumberFormat="0" applyBorder="0" applyAlignment="0" applyProtection="0"/>
    <xf numFmtId="0" fontId="13" fillId="22" borderId="0" applyNumberFormat="0" applyBorder="0" applyAlignment="0" applyProtection="0"/>
    <xf numFmtId="0" fontId="13" fillId="18" borderId="0" applyNumberFormat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14" borderId="0" applyNumberFormat="0" applyBorder="0" applyAlignment="0" applyProtection="0"/>
    <xf numFmtId="0" fontId="13" fillId="10" borderId="0" applyNumberFormat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9" fillId="0" borderId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166" fontId="19" fillId="0" borderId="0" applyFont="0" applyFill="0" applyBorder="0" applyAlignment="0" applyProtection="0"/>
    <xf numFmtId="166" fontId="19" fillId="0" borderId="0" applyFont="0" applyFill="0" applyBorder="0" applyAlignment="0" applyProtection="0"/>
    <xf numFmtId="164" fontId="19" fillId="0" borderId="0" applyFont="0" applyFill="0" applyBorder="0" applyAlignment="0" applyProtection="0"/>
    <xf numFmtId="167" fontId="19" fillId="0" borderId="0" applyFont="0" applyFill="0" applyBorder="0" applyAlignment="0" applyProtection="0"/>
    <xf numFmtId="164" fontId="19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2" fillId="10" borderId="0" applyNumberFormat="0" applyBorder="0" applyAlignment="0" applyProtection="0"/>
    <xf numFmtId="0" fontId="12" fillId="14" borderId="0" applyNumberFormat="0" applyBorder="0" applyAlignment="0" applyProtection="0"/>
    <xf numFmtId="0" fontId="12" fillId="18" borderId="0" applyNumberFormat="0" applyBorder="0" applyAlignment="0" applyProtection="0"/>
    <xf numFmtId="0" fontId="12" fillId="22" borderId="0" applyNumberFormat="0" applyBorder="0" applyAlignment="0" applyProtection="0"/>
    <xf numFmtId="0" fontId="12" fillId="26" borderId="0" applyNumberFormat="0" applyBorder="0" applyAlignment="0" applyProtection="0"/>
    <xf numFmtId="0" fontId="12" fillId="30" borderId="0" applyNumberFormat="0" applyBorder="0" applyAlignment="0" applyProtection="0"/>
    <xf numFmtId="0" fontId="12" fillId="11" borderId="0" applyNumberFormat="0" applyBorder="0" applyAlignment="0" applyProtection="0"/>
    <xf numFmtId="0" fontId="12" fillId="15" borderId="0" applyNumberFormat="0" applyBorder="0" applyAlignment="0" applyProtection="0"/>
    <xf numFmtId="0" fontId="12" fillId="19" borderId="0" applyNumberFormat="0" applyBorder="0" applyAlignment="0" applyProtection="0"/>
    <xf numFmtId="0" fontId="12" fillId="23" borderId="0" applyNumberFormat="0" applyBorder="0" applyAlignment="0" applyProtection="0"/>
    <xf numFmtId="0" fontId="12" fillId="27" borderId="0" applyNumberFormat="0" applyBorder="0" applyAlignment="0" applyProtection="0"/>
    <xf numFmtId="0" fontId="12" fillId="31" borderId="0" applyNumberFormat="0" applyBorder="0" applyAlignment="0" applyProtection="0"/>
    <xf numFmtId="166" fontId="44" fillId="0" borderId="0" applyFont="0" applyFill="0" applyBorder="0" applyAlignment="0" applyProtection="0"/>
    <xf numFmtId="166" fontId="19" fillId="0" borderId="0" applyFont="0" applyFill="0" applyBorder="0" applyAlignment="0" applyProtection="0"/>
    <xf numFmtId="166" fontId="19" fillId="0" borderId="0" applyFont="0" applyFill="0" applyBorder="0" applyAlignment="0" applyProtection="0"/>
    <xf numFmtId="164" fontId="44" fillId="0" borderId="0" applyFont="0" applyFill="0" applyBorder="0" applyAlignment="0" applyProtection="0"/>
    <xf numFmtId="167" fontId="19" fillId="0" borderId="0" applyFont="0" applyFill="0" applyBorder="0" applyAlignment="0" applyProtection="0"/>
    <xf numFmtId="164" fontId="19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1" fillId="23" borderId="0" applyNumberFormat="0" applyBorder="0" applyAlignment="0" applyProtection="0"/>
    <xf numFmtId="0" fontId="11" fillId="10" borderId="0" applyNumberFormat="0" applyBorder="0" applyAlignment="0" applyProtection="0"/>
    <xf numFmtId="0" fontId="11" fillId="14" borderId="0" applyNumberFormat="0" applyBorder="0" applyAlignment="0" applyProtection="0"/>
    <xf numFmtId="0" fontId="11" fillId="18" borderId="0" applyNumberFormat="0" applyBorder="0" applyAlignment="0" applyProtection="0"/>
    <xf numFmtId="0" fontId="11" fillId="22" borderId="0" applyNumberFormat="0" applyBorder="0" applyAlignment="0" applyProtection="0"/>
    <xf numFmtId="0" fontId="11" fillId="26" borderId="0" applyNumberFormat="0" applyBorder="0" applyAlignment="0" applyProtection="0"/>
    <xf numFmtId="0" fontId="11" fillId="30" borderId="0" applyNumberFormat="0" applyBorder="0" applyAlignment="0" applyProtection="0"/>
    <xf numFmtId="0" fontId="11" fillId="11" borderId="0" applyNumberFormat="0" applyBorder="0" applyAlignment="0" applyProtection="0"/>
    <xf numFmtId="0" fontId="11" fillId="15" borderId="0" applyNumberFormat="0" applyBorder="0" applyAlignment="0" applyProtection="0"/>
    <xf numFmtId="0" fontId="11" fillId="19" borderId="0" applyNumberFormat="0" applyBorder="0" applyAlignment="0" applyProtection="0"/>
    <xf numFmtId="0" fontId="11" fillId="23" borderId="0" applyNumberFormat="0" applyBorder="0" applyAlignment="0" applyProtection="0"/>
    <xf numFmtId="0" fontId="11" fillId="27" borderId="0" applyNumberFormat="0" applyBorder="0" applyAlignment="0" applyProtection="0"/>
    <xf numFmtId="0" fontId="11" fillId="31" borderId="0" applyNumberFormat="0" applyBorder="0" applyAlignment="0" applyProtection="0"/>
    <xf numFmtId="166" fontId="44" fillId="0" borderId="0" applyFont="0" applyFill="0" applyBorder="0" applyAlignment="0" applyProtection="0"/>
    <xf numFmtId="166" fontId="44" fillId="0" borderId="0" applyFont="0" applyFill="0" applyBorder="0" applyAlignment="0" applyProtection="0"/>
    <xf numFmtId="166" fontId="19" fillId="0" borderId="0" applyFont="0" applyFill="0" applyBorder="0" applyAlignment="0" applyProtection="0"/>
    <xf numFmtId="166" fontId="19" fillId="0" borderId="0" applyFont="0" applyFill="0" applyBorder="0" applyAlignment="0" applyProtection="0"/>
    <xf numFmtId="164" fontId="44" fillId="0" borderId="0" applyFont="0" applyFill="0" applyBorder="0" applyAlignment="0" applyProtection="0"/>
    <xf numFmtId="167" fontId="19" fillId="0" borderId="0" applyFont="0" applyFill="0" applyBorder="0" applyAlignment="0" applyProtection="0"/>
    <xf numFmtId="164" fontId="19" fillId="0" borderId="0" applyFont="0" applyFill="0" applyBorder="0" applyAlignment="0" applyProtection="0"/>
    <xf numFmtId="0" fontId="11" fillId="31" borderId="0" applyNumberFormat="0" applyBorder="0" applyAlignment="0" applyProtection="0"/>
    <xf numFmtId="0" fontId="11" fillId="27" borderId="0" applyNumberFormat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19" borderId="0" applyNumberFormat="0" applyBorder="0" applyAlignment="0" applyProtection="0"/>
    <xf numFmtId="0" fontId="11" fillId="15" borderId="0" applyNumberFormat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11" borderId="0" applyNumberFormat="0" applyBorder="0" applyAlignment="0" applyProtection="0"/>
    <xf numFmtId="0" fontId="11" fillId="30" borderId="0" applyNumberFormat="0" applyBorder="0" applyAlignment="0" applyProtection="0"/>
    <xf numFmtId="0" fontId="11" fillId="26" borderId="0" applyNumberFormat="0" applyBorder="0" applyAlignment="0" applyProtection="0"/>
    <xf numFmtId="0" fontId="11" fillId="22" borderId="0" applyNumberFormat="0" applyBorder="0" applyAlignment="0" applyProtection="0"/>
    <xf numFmtId="0" fontId="11" fillId="18" borderId="0" applyNumberFormat="0" applyBorder="0" applyAlignment="0" applyProtection="0"/>
    <xf numFmtId="0" fontId="11" fillId="14" borderId="0" applyNumberFormat="0" applyBorder="0" applyAlignment="0" applyProtection="0"/>
    <xf numFmtId="0" fontId="11" fillId="10" borderId="0" applyNumberFormat="0" applyBorder="0" applyAlignment="0" applyProtection="0"/>
    <xf numFmtId="166" fontId="19" fillId="0" borderId="0" applyFont="0" applyFill="0" applyBorder="0" applyAlignment="0" applyProtection="0"/>
    <xf numFmtId="166" fontId="19" fillId="0" borderId="0" applyFont="0" applyFill="0" applyBorder="0" applyAlignment="0" applyProtection="0"/>
    <xf numFmtId="164" fontId="44" fillId="0" borderId="0" applyFont="0" applyFill="0" applyBorder="0" applyAlignment="0" applyProtection="0"/>
    <xf numFmtId="167" fontId="19" fillId="0" borderId="0" applyFont="0" applyFill="0" applyBorder="0" applyAlignment="0" applyProtection="0"/>
    <xf numFmtId="164" fontId="19" fillId="0" borderId="0" applyFon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0" fillId="19" borderId="0" applyNumberFormat="0" applyBorder="0" applyAlignment="0" applyProtection="0"/>
    <xf numFmtId="0" fontId="10" fillId="10" borderId="0" applyNumberFormat="0" applyBorder="0" applyAlignment="0" applyProtection="0"/>
    <xf numFmtId="0" fontId="10" fillId="14" borderId="0" applyNumberFormat="0" applyBorder="0" applyAlignment="0" applyProtection="0"/>
    <xf numFmtId="0" fontId="10" fillId="18" borderId="0" applyNumberFormat="0" applyBorder="0" applyAlignment="0" applyProtection="0"/>
    <xf numFmtId="0" fontId="10" fillId="22" borderId="0" applyNumberFormat="0" applyBorder="0" applyAlignment="0" applyProtection="0"/>
    <xf numFmtId="0" fontId="10" fillId="26" borderId="0" applyNumberFormat="0" applyBorder="0" applyAlignment="0" applyProtection="0"/>
    <xf numFmtId="0" fontId="10" fillId="30" borderId="0" applyNumberFormat="0" applyBorder="0" applyAlignment="0" applyProtection="0"/>
    <xf numFmtId="0" fontId="10" fillId="11" borderId="0" applyNumberFormat="0" applyBorder="0" applyAlignment="0" applyProtection="0"/>
    <xf numFmtId="0" fontId="10" fillId="15" borderId="0" applyNumberFormat="0" applyBorder="0" applyAlignment="0" applyProtection="0"/>
    <xf numFmtId="0" fontId="10" fillId="19" borderId="0" applyNumberFormat="0" applyBorder="0" applyAlignment="0" applyProtection="0"/>
    <xf numFmtId="0" fontId="10" fillId="23" borderId="0" applyNumberFormat="0" applyBorder="0" applyAlignment="0" applyProtection="0"/>
    <xf numFmtId="0" fontId="10" fillId="27" borderId="0" applyNumberFormat="0" applyBorder="0" applyAlignment="0" applyProtection="0"/>
    <xf numFmtId="0" fontId="10" fillId="31" borderId="0" applyNumberFormat="0" applyBorder="0" applyAlignment="0" applyProtection="0"/>
    <xf numFmtId="166" fontId="44" fillId="0" borderId="0" applyFont="0" applyFill="0" applyBorder="0" applyAlignment="0" applyProtection="0"/>
    <xf numFmtId="166" fontId="19" fillId="0" borderId="0" applyFont="0" applyFill="0" applyBorder="0" applyAlignment="0" applyProtection="0"/>
    <xf numFmtId="166" fontId="19" fillId="0" borderId="0" applyFont="0" applyFill="0" applyBorder="0" applyAlignment="0" applyProtection="0"/>
    <xf numFmtId="0" fontId="10" fillId="31" borderId="0" applyNumberFormat="0" applyBorder="0" applyAlignment="0" applyProtection="0"/>
    <xf numFmtId="167" fontId="19" fillId="0" borderId="0" applyFont="0" applyFill="0" applyBorder="0" applyAlignment="0" applyProtection="0"/>
    <xf numFmtId="164" fontId="19" fillId="0" borderId="0" applyFont="0" applyFill="0" applyBorder="0" applyAlignment="0" applyProtection="0"/>
    <xf numFmtId="0" fontId="10" fillId="27" borderId="0" applyNumberFormat="0" applyBorder="0" applyAlignment="0" applyProtection="0"/>
    <xf numFmtId="0" fontId="10" fillId="23" borderId="0" applyNumberFormat="0" applyBorder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15" borderId="0" applyNumberFormat="0" applyBorder="0" applyAlignment="0" applyProtection="0"/>
    <xf numFmtId="0" fontId="10" fillId="11" borderId="0" applyNumberFormat="0" applyBorder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30" borderId="0" applyNumberFormat="0" applyBorder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26" borderId="0" applyNumberFormat="0" applyBorder="0" applyAlignment="0" applyProtection="0"/>
    <xf numFmtId="0" fontId="10" fillId="22" borderId="0" applyNumberFormat="0" applyBorder="0" applyAlignment="0" applyProtection="0"/>
    <xf numFmtId="0" fontId="10" fillId="18" borderId="0" applyNumberFormat="0" applyBorder="0" applyAlignment="0" applyProtection="0"/>
    <xf numFmtId="0" fontId="10" fillId="14" borderId="0" applyNumberFormat="0" applyBorder="0" applyAlignment="0" applyProtection="0"/>
    <xf numFmtId="0" fontId="10" fillId="10" borderId="0" applyNumberFormat="0" applyBorder="0" applyAlignment="0" applyProtection="0"/>
    <xf numFmtId="166" fontId="44" fillId="0" borderId="0" applyFont="0" applyFill="0" applyBorder="0" applyAlignment="0" applyProtection="0"/>
    <xf numFmtId="166" fontId="19" fillId="0" borderId="0" applyFont="0" applyFill="0" applyBorder="0" applyAlignment="0" applyProtection="0"/>
    <xf numFmtId="166" fontId="19" fillId="0" borderId="0" applyFont="0" applyFill="0" applyBorder="0" applyAlignment="0" applyProtection="0"/>
    <xf numFmtId="164" fontId="44" fillId="0" borderId="0" applyFont="0" applyFill="0" applyBorder="0" applyAlignment="0" applyProtection="0"/>
    <xf numFmtId="167" fontId="19" fillId="0" borderId="0" applyFont="0" applyFill="0" applyBorder="0" applyAlignment="0" applyProtection="0"/>
    <xf numFmtId="164" fontId="19" fillId="0" borderId="0" applyFont="0" applyFill="0" applyBorder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9" fillId="0" borderId="0"/>
    <xf numFmtId="0" fontId="9" fillId="10" borderId="0" applyNumberFormat="0" applyBorder="0" applyAlignment="0" applyProtection="0"/>
    <xf numFmtId="0" fontId="9" fillId="14" borderId="0" applyNumberFormat="0" applyBorder="0" applyAlignment="0" applyProtection="0"/>
    <xf numFmtId="0" fontId="9" fillId="18" borderId="0" applyNumberFormat="0" applyBorder="0" applyAlignment="0" applyProtection="0"/>
    <xf numFmtId="0" fontId="9" fillId="22" borderId="0" applyNumberFormat="0" applyBorder="0" applyAlignment="0" applyProtection="0"/>
    <xf numFmtId="0" fontId="9" fillId="26" borderId="0" applyNumberFormat="0" applyBorder="0" applyAlignment="0" applyProtection="0"/>
    <xf numFmtId="0" fontId="9" fillId="30" borderId="0" applyNumberFormat="0" applyBorder="0" applyAlignment="0" applyProtection="0"/>
    <xf numFmtId="0" fontId="9" fillId="11" borderId="0" applyNumberFormat="0" applyBorder="0" applyAlignment="0" applyProtection="0"/>
    <xf numFmtId="0" fontId="9" fillId="15" borderId="0" applyNumberFormat="0" applyBorder="0" applyAlignment="0" applyProtection="0"/>
    <xf numFmtId="0" fontId="9" fillId="19" borderId="0" applyNumberFormat="0" applyBorder="0" applyAlignment="0" applyProtection="0"/>
    <xf numFmtId="0" fontId="9" fillId="23" borderId="0" applyNumberFormat="0" applyBorder="0" applyAlignment="0" applyProtection="0"/>
    <xf numFmtId="0" fontId="9" fillId="27" borderId="0" applyNumberFormat="0" applyBorder="0" applyAlignment="0" applyProtection="0"/>
    <xf numFmtId="0" fontId="9" fillId="31" borderId="0" applyNumberFormat="0" applyBorder="0" applyAlignment="0" applyProtection="0"/>
    <xf numFmtId="166" fontId="19" fillId="0" borderId="0" applyFont="0" applyFill="0" applyBorder="0" applyAlignment="0" applyProtection="0"/>
    <xf numFmtId="166" fontId="19" fillId="0" borderId="0" applyFont="0" applyFill="0" applyBorder="0" applyAlignment="0" applyProtection="0"/>
    <xf numFmtId="167" fontId="19" fillId="0" borderId="0" applyFont="0" applyFill="0" applyBorder="0" applyAlignment="0" applyProtection="0"/>
    <xf numFmtId="164" fontId="19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8" fillId="19" borderId="0" applyNumberFormat="0" applyBorder="0" applyAlignment="0" applyProtection="0"/>
    <xf numFmtId="0" fontId="8" fillId="10" borderId="0" applyNumberFormat="0" applyBorder="0" applyAlignment="0" applyProtection="0"/>
    <xf numFmtId="0" fontId="8" fillId="14" borderId="0" applyNumberFormat="0" applyBorder="0" applyAlignment="0" applyProtection="0"/>
    <xf numFmtId="0" fontId="8" fillId="18" borderId="0" applyNumberFormat="0" applyBorder="0" applyAlignment="0" applyProtection="0"/>
    <xf numFmtId="0" fontId="8" fillId="22" borderId="0" applyNumberFormat="0" applyBorder="0" applyAlignment="0" applyProtection="0"/>
    <xf numFmtId="0" fontId="8" fillId="26" borderId="0" applyNumberFormat="0" applyBorder="0" applyAlignment="0" applyProtection="0"/>
    <xf numFmtId="0" fontId="8" fillId="30" borderId="0" applyNumberFormat="0" applyBorder="0" applyAlignment="0" applyProtection="0"/>
    <xf numFmtId="0" fontId="8" fillId="11" borderId="0" applyNumberFormat="0" applyBorder="0" applyAlignment="0" applyProtection="0"/>
    <xf numFmtId="0" fontId="8" fillId="15" borderId="0" applyNumberFormat="0" applyBorder="0" applyAlignment="0" applyProtection="0"/>
    <xf numFmtId="0" fontId="8" fillId="19" borderId="0" applyNumberFormat="0" applyBorder="0" applyAlignment="0" applyProtection="0"/>
    <xf numFmtId="0" fontId="8" fillId="23" borderId="0" applyNumberFormat="0" applyBorder="0" applyAlignment="0" applyProtection="0"/>
    <xf numFmtId="0" fontId="8" fillId="27" borderId="0" applyNumberFormat="0" applyBorder="0" applyAlignment="0" applyProtection="0"/>
    <xf numFmtId="0" fontId="8" fillId="31" borderId="0" applyNumberFormat="0" applyBorder="0" applyAlignment="0" applyProtection="0"/>
    <xf numFmtId="166" fontId="45" fillId="0" borderId="0" applyFont="0" applyFill="0" applyBorder="0" applyAlignment="0" applyProtection="0"/>
    <xf numFmtId="166" fontId="19" fillId="0" borderId="0" applyFont="0" applyFill="0" applyBorder="0" applyAlignment="0" applyProtection="0"/>
    <xf numFmtId="166" fontId="45" fillId="0" borderId="0" applyFont="0" applyFill="0" applyBorder="0" applyAlignment="0" applyProtection="0"/>
    <xf numFmtId="166" fontId="19" fillId="0" borderId="0" applyFont="0" applyFill="0" applyBorder="0" applyAlignment="0" applyProtection="0"/>
    <xf numFmtId="166" fontId="19" fillId="0" borderId="0" applyFont="0" applyFill="0" applyBorder="0" applyAlignment="0" applyProtection="0"/>
    <xf numFmtId="0" fontId="8" fillId="31" borderId="0" applyNumberFormat="0" applyBorder="0" applyAlignment="0" applyProtection="0"/>
    <xf numFmtId="164" fontId="45" fillId="0" borderId="0" applyFont="0" applyFill="0" applyBorder="0" applyAlignment="0" applyProtection="0"/>
    <xf numFmtId="167" fontId="19" fillId="0" borderId="0" applyFont="0" applyFill="0" applyBorder="0" applyAlignment="0" applyProtection="0"/>
    <xf numFmtId="164" fontId="19" fillId="0" borderId="0" applyFont="0" applyFill="0" applyBorder="0" applyAlignment="0" applyProtection="0"/>
    <xf numFmtId="0" fontId="8" fillId="27" borderId="0" applyNumberFormat="0" applyBorder="0" applyAlignment="0" applyProtection="0"/>
    <xf numFmtId="0" fontId="8" fillId="23" borderId="0" applyNumberFormat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15" borderId="0" applyNumberFormat="0" applyBorder="0" applyAlignment="0" applyProtection="0"/>
    <xf numFmtId="0" fontId="8" fillId="11" borderId="0" applyNumberFormat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30" borderId="0" applyNumberFormat="0" applyBorder="0" applyAlignment="0" applyProtection="0"/>
    <xf numFmtId="0" fontId="8" fillId="26" borderId="0" applyNumberFormat="0" applyBorder="0" applyAlignment="0" applyProtection="0"/>
    <xf numFmtId="0" fontId="8" fillId="22" borderId="0" applyNumberFormat="0" applyBorder="0" applyAlignment="0" applyProtection="0"/>
    <xf numFmtId="0" fontId="8" fillId="18" borderId="0" applyNumberFormat="0" applyBorder="0" applyAlignment="0" applyProtection="0"/>
    <xf numFmtId="0" fontId="8" fillId="14" borderId="0" applyNumberFormat="0" applyBorder="0" applyAlignment="0" applyProtection="0"/>
    <xf numFmtId="0" fontId="8" fillId="10" borderId="0" applyNumberFormat="0" applyBorder="0" applyAlignment="0" applyProtection="0"/>
    <xf numFmtId="0" fontId="8" fillId="23" borderId="0" applyNumberFormat="0" applyBorder="0" applyAlignment="0" applyProtection="0"/>
    <xf numFmtId="166" fontId="45" fillId="0" borderId="0" applyFont="0" applyFill="0" applyBorder="0" applyAlignment="0" applyProtection="0"/>
    <xf numFmtId="166" fontId="19" fillId="0" borderId="0" applyFont="0" applyFill="0" applyBorder="0" applyAlignment="0" applyProtection="0"/>
    <xf numFmtId="166" fontId="19" fillId="0" borderId="0" applyFont="0" applyFill="0" applyBorder="0" applyAlignment="0" applyProtection="0"/>
    <xf numFmtId="167" fontId="19" fillId="0" borderId="0" applyFont="0" applyFill="0" applyBorder="0" applyAlignment="0" applyProtection="0"/>
    <xf numFmtId="164" fontId="19" fillId="0" borderId="0" applyFont="0" applyFill="0" applyBorder="0" applyAlignment="0" applyProtection="0"/>
    <xf numFmtId="0" fontId="8" fillId="31" borderId="0" applyNumberFormat="0" applyBorder="0" applyAlignment="0" applyProtection="0"/>
    <xf numFmtId="0" fontId="8" fillId="27" borderId="0" applyNumberFormat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19" borderId="0" applyNumberFormat="0" applyBorder="0" applyAlignment="0" applyProtection="0"/>
    <xf numFmtId="0" fontId="8" fillId="15" borderId="0" applyNumberFormat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11" borderId="0" applyNumberFormat="0" applyBorder="0" applyAlignment="0" applyProtection="0"/>
    <xf numFmtId="0" fontId="8" fillId="30" borderId="0" applyNumberFormat="0" applyBorder="0" applyAlignment="0" applyProtection="0"/>
    <xf numFmtId="0" fontId="8" fillId="26" borderId="0" applyNumberFormat="0" applyBorder="0" applyAlignment="0" applyProtection="0"/>
    <xf numFmtId="0" fontId="8" fillId="22" borderId="0" applyNumberFormat="0" applyBorder="0" applyAlignment="0" applyProtection="0"/>
    <xf numFmtId="0" fontId="8" fillId="18" borderId="0" applyNumberFormat="0" applyBorder="0" applyAlignment="0" applyProtection="0"/>
    <xf numFmtId="0" fontId="8" fillId="14" borderId="0" applyNumberFormat="0" applyBorder="0" applyAlignment="0" applyProtection="0"/>
    <xf numFmtId="0" fontId="8" fillId="10" borderId="0" applyNumberFormat="0" applyBorder="0" applyAlignment="0" applyProtection="0"/>
    <xf numFmtId="166" fontId="19" fillId="0" borderId="0" applyFont="0" applyFill="0" applyBorder="0" applyAlignment="0" applyProtection="0"/>
    <xf numFmtId="167" fontId="19" fillId="0" borderId="0" applyFont="0" applyFill="0" applyBorder="0" applyAlignment="0" applyProtection="0"/>
    <xf numFmtId="164" fontId="19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7" fillId="10" borderId="0" applyNumberFormat="0" applyBorder="0" applyAlignment="0" applyProtection="0"/>
    <xf numFmtId="0" fontId="7" fillId="14" borderId="0" applyNumberFormat="0" applyBorder="0" applyAlignment="0" applyProtection="0"/>
    <xf numFmtId="0" fontId="7" fillId="18" borderId="0" applyNumberFormat="0" applyBorder="0" applyAlignment="0" applyProtection="0"/>
    <xf numFmtId="0" fontId="7" fillId="22" borderId="0" applyNumberFormat="0" applyBorder="0" applyAlignment="0" applyProtection="0"/>
    <xf numFmtId="0" fontId="7" fillId="26" borderId="0" applyNumberFormat="0" applyBorder="0" applyAlignment="0" applyProtection="0"/>
    <xf numFmtId="0" fontId="7" fillId="30" borderId="0" applyNumberFormat="0" applyBorder="0" applyAlignment="0" applyProtection="0"/>
    <xf numFmtId="0" fontId="7" fillId="11" borderId="0" applyNumberFormat="0" applyBorder="0" applyAlignment="0" applyProtection="0"/>
    <xf numFmtId="0" fontId="7" fillId="15" borderId="0" applyNumberFormat="0" applyBorder="0" applyAlignment="0" applyProtection="0"/>
    <xf numFmtId="0" fontId="7" fillId="19" borderId="0" applyNumberFormat="0" applyBorder="0" applyAlignment="0" applyProtection="0"/>
    <xf numFmtId="0" fontId="7" fillId="23" borderId="0" applyNumberFormat="0" applyBorder="0" applyAlignment="0" applyProtection="0"/>
    <xf numFmtId="0" fontId="7" fillId="27" borderId="0" applyNumberFormat="0" applyBorder="0" applyAlignment="0" applyProtection="0"/>
    <xf numFmtId="0" fontId="7" fillId="31" borderId="0" applyNumberFormat="0" applyBorder="0" applyAlignment="0" applyProtection="0"/>
    <xf numFmtId="166" fontId="45" fillId="0" borderId="0" applyFont="0" applyFill="0" applyBorder="0" applyAlignment="0" applyProtection="0"/>
    <xf numFmtId="166" fontId="19" fillId="0" borderId="0" applyFont="0" applyFill="0" applyBorder="0" applyAlignment="0" applyProtection="0"/>
    <xf numFmtId="166" fontId="19" fillId="0" borderId="0" applyFont="0" applyFill="0" applyBorder="0" applyAlignment="0" applyProtection="0"/>
    <xf numFmtId="164" fontId="45" fillId="0" borderId="0" applyFont="0" applyFill="0" applyBorder="0" applyAlignment="0" applyProtection="0"/>
    <xf numFmtId="167" fontId="19" fillId="0" borderId="0" applyFont="0" applyFill="0" applyBorder="0" applyAlignment="0" applyProtection="0"/>
    <xf numFmtId="164" fontId="19" fillId="0" borderId="0" applyFont="0" applyFill="0" applyBorder="0" applyAlignment="0" applyProtection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6" fillId="10" borderId="0" applyNumberFormat="0" applyBorder="0" applyAlignment="0" applyProtection="0"/>
    <xf numFmtId="0" fontId="6" fillId="14" borderId="0" applyNumberFormat="0" applyBorder="0" applyAlignment="0" applyProtection="0"/>
    <xf numFmtId="0" fontId="6" fillId="18" borderId="0" applyNumberFormat="0" applyBorder="0" applyAlignment="0" applyProtection="0"/>
    <xf numFmtId="0" fontId="6" fillId="22" borderId="0" applyNumberFormat="0" applyBorder="0" applyAlignment="0" applyProtection="0"/>
    <xf numFmtId="0" fontId="6" fillId="26" borderId="0" applyNumberFormat="0" applyBorder="0" applyAlignment="0" applyProtection="0"/>
    <xf numFmtId="0" fontId="6" fillId="30" borderId="0" applyNumberFormat="0" applyBorder="0" applyAlignment="0" applyProtection="0"/>
    <xf numFmtId="0" fontId="6" fillId="11" borderId="0" applyNumberFormat="0" applyBorder="0" applyAlignment="0" applyProtection="0"/>
    <xf numFmtId="0" fontId="6" fillId="15" borderId="0" applyNumberFormat="0" applyBorder="0" applyAlignment="0" applyProtection="0"/>
    <xf numFmtId="0" fontId="6" fillId="19" borderId="0" applyNumberFormat="0" applyBorder="0" applyAlignment="0" applyProtection="0"/>
    <xf numFmtId="0" fontId="6" fillId="23" borderId="0" applyNumberFormat="0" applyBorder="0" applyAlignment="0" applyProtection="0"/>
    <xf numFmtId="0" fontId="6" fillId="27" borderId="0" applyNumberFormat="0" applyBorder="0" applyAlignment="0" applyProtection="0"/>
    <xf numFmtId="0" fontId="6" fillId="31" borderId="0" applyNumberFormat="0" applyBorder="0" applyAlignment="0" applyProtection="0"/>
    <xf numFmtId="166" fontId="46" fillId="0" borderId="0" applyFont="0" applyFill="0" applyBorder="0" applyAlignment="0" applyProtection="0"/>
    <xf numFmtId="164" fontId="46" fillId="0" borderId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5" fillId="10" borderId="0" applyNumberFormat="0" applyBorder="0" applyAlignment="0" applyProtection="0"/>
    <xf numFmtId="0" fontId="5" fillId="11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5" fillId="0" borderId="0"/>
    <xf numFmtId="0" fontId="5" fillId="8" borderId="31" applyNumberFormat="0" applyFont="0" applyAlignment="0" applyProtection="0"/>
    <xf numFmtId="43" fontId="19" fillId="0" borderId="0" applyFont="0" applyFill="0" applyBorder="0" applyAlignment="0" applyProtection="0"/>
    <xf numFmtId="43" fontId="47" fillId="0" borderId="0" applyFont="0" applyFill="0" applyBorder="0" applyAlignment="0" applyProtection="0"/>
    <xf numFmtId="168" fontId="19" fillId="0" borderId="0" applyFont="0" applyFill="0" applyBorder="0" applyAlignment="0" applyProtection="0"/>
    <xf numFmtId="41" fontId="47" fillId="0" borderId="0" applyFont="0" applyFill="0" applyBorder="0" applyAlignment="0" applyProtection="0"/>
    <xf numFmtId="43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0" fontId="19" fillId="0" borderId="0"/>
    <xf numFmtId="0" fontId="4" fillId="0" borderId="0"/>
    <xf numFmtId="41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3" fillId="0" borderId="0"/>
    <xf numFmtId="41" fontId="3" fillId="0" borderId="0" applyFont="0" applyFill="0" applyBorder="0" applyAlignment="0" applyProtection="0"/>
    <xf numFmtId="0" fontId="2" fillId="0" borderId="0"/>
    <xf numFmtId="41" fontId="2" fillId="0" borderId="0" applyFont="0" applyFill="0" applyBorder="0" applyAlignment="0" applyProtection="0"/>
    <xf numFmtId="0" fontId="1" fillId="0" borderId="0"/>
    <xf numFmtId="0" fontId="63" fillId="0" borderId="0"/>
    <xf numFmtId="43" fontId="64" fillId="0" borderId="0" applyFont="0" applyFill="0" applyBorder="0" applyAlignment="0" applyProtection="0"/>
    <xf numFmtId="0" fontId="19" fillId="0" borderId="0"/>
    <xf numFmtId="0" fontId="66" fillId="0" borderId="0"/>
  </cellStyleXfs>
  <cellXfs count="781">
    <xf numFmtId="0" fontId="0" fillId="0" borderId="0" xfId="0"/>
    <xf numFmtId="0" fontId="25" fillId="0" borderId="0" xfId="0" applyFont="1"/>
    <xf numFmtId="0" fontId="20" fillId="0" borderId="0" xfId="0" applyFont="1"/>
    <xf numFmtId="0" fontId="20" fillId="0" borderId="1" xfId="0" applyFont="1" applyBorder="1"/>
    <xf numFmtId="0" fontId="25" fillId="33" borderId="0" xfId="0" applyFont="1" applyFill="1"/>
    <xf numFmtId="0" fontId="20" fillId="0" borderId="7" xfId="0" applyFont="1" applyBorder="1"/>
    <xf numFmtId="14" fontId="20" fillId="0" borderId="1" xfId="0" applyNumberFormat="1" applyFont="1" applyBorder="1"/>
    <xf numFmtId="0" fontId="20" fillId="0" borderId="8" xfId="0" applyFont="1" applyBorder="1"/>
    <xf numFmtId="0" fontId="20" fillId="0" borderId="6" xfId="0" applyFont="1" applyBorder="1"/>
    <xf numFmtId="14" fontId="20" fillId="0" borderId="0" xfId="0" applyNumberFormat="1" applyFont="1"/>
    <xf numFmtId="0" fontId="20" fillId="0" borderId="9" xfId="0" applyFont="1" applyBorder="1"/>
    <xf numFmtId="0" fontId="20" fillId="0" borderId="19" xfId="0" applyFont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0" xfId="0" applyFont="1" applyAlignment="1">
      <alignment horizontal="center" vertical="center" wrapText="1"/>
    </xf>
    <xf numFmtId="0" fontId="20" fillId="0" borderId="15" xfId="0" applyFont="1" applyBorder="1" applyAlignment="1">
      <alignment horizontal="center"/>
    </xf>
    <xf numFmtId="165" fontId="25" fillId="0" borderId="4" xfId="2599" applyNumberFormat="1" applyFont="1" applyBorder="1"/>
    <xf numFmtId="0" fontId="20" fillId="0" borderId="16" xfId="0" applyFont="1" applyBorder="1" applyAlignment="1">
      <alignment horizontal="center"/>
    </xf>
    <xf numFmtId="0" fontId="20" fillId="0" borderId="3" xfId="0" applyFont="1" applyBorder="1"/>
    <xf numFmtId="165" fontId="25" fillId="0" borderId="3" xfId="2599" applyNumberFormat="1" applyFont="1" applyBorder="1"/>
    <xf numFmtId="0" fontId="20" fillId="0" borderId="17" xfId="0" applyFont="1" applyBorder="1" applyAlignment="1">
      <alignment horizontal="center"/>
    </xf>
    <xf numFmtId="0" fontId="20" fillId="0" borderId="18" xfId="0" applyFont="1" applyBorder="1"/>
    <xf numFmtId="0" fontId="20" fillId="0" borderId="5" xfId="0" applyFont="1" applyBorder="1"/>
    <xf numFmtId="0" fontId="20" fillId="0" borderId="11" xfId="0" applyFont="1" applyBorder="1" applyAlignment="1">
      <alignment horizontal="center"/>
    </xf>
    <xf numFmtId="165" fontId="20" fillId="0" borderId="14" xfId="2599" applyNumberFormat="1" applyFont="1" applyBorder="1"/>
    <xf numFmtId="165" fontId="25" fillId="0" borderId="0" xfId="2599" applyNumberFormat="1" applyFont="1"/>
    <xf numFmtId="0" fontId="24" fillId="0" borderId="0" xfId="0" applyFont="1"/>
    <xf numFmtId="0" fontId="48" fillId="0" borderId="0" xfId="0" applyFont="1"/>
    <xf numFmtId="0" fontId="20" fillId="0" borderId="33" xfId="0" applyFont="1" applyBorder="1" applyAlignment="1">
      <alignment horizontal="center" vertical="center" wrapText="1"/>
    </xf>
    <xf numFmtId="0" fontId="20" fillId="0" borderId="34" xfId="0" applyFont="1" applyBorder="1" applyAlignment="1">
      <alignment horizontal="center" vertical="center" wrapText="1"/>
    </xf>
    <xf numFmtId="0" fontId="20" fillId="35" borderId="11" xfId="0" applyFont="1" applyFill="1" applyBorder="1" applyAlignment="1">
      <alignment horizontal="center" vertical="center" wrapText="1"/>
    </xf>
    <xf numFmtId="165" fontId="20" fillId="35" borderId="21" xfId="2599" applyNumberFormat="1" applyFont="1" applyFill="1" applyBorder="1"/>
    <xf numFmtId="165" fontId="20" fillId="35" borderId="22" xfId="2599" applyNumberFormat="1" applyFont="1" applyFill="1" applyBorder="1"/>
    <xf numFmtId="165" fontId="20" fillId="35" borderId="11" xfId="2599" applyNumberFormat="1" applyFont="1" applyFill="1" applyBorder="1"/>
    <xf numFmtId="165" fontId="25" fillId="0" borderId="2" xfId="2599" applyNumberFormat="1" applyFont="1" applyBorder="1"/>
    <xf numFmtId="0" fontId="20" fillId="33" borderId="0" xfId="0" applyFont="1" applyFill="1"/>
    <xf numFmtId="165" fontId="25" fillId="33" borderId="0" xfId="2599" applyNumberFormat="1" applyFont="1" applyFill="1"/>
    <xf numFmtId="0" fontId="23" fillId="0" borderId="0" xfId="0" applyFont="1"/>
    <xf numFmtId="165" fontId="25" fillId="0" borderId="37" xfId="2599" applyNumberFormat="1" applyFont="1" applyBorder="1"/>
    <xf numFmtId="165" fontId="25" fillId="0" borderId="38" xfId="2599" applyNumberFormat="1" applyFont="1" applyBorder="1"/>
    <xf numFmtId="0" fontId="20" fillId="35" borderId="12" xfId="0" applyFont="1" applyFill="1" applyBorder="1" applyAlignment="1">
      <alignment horizontal="center" vertical="center" wrapText="1"/>
    </xf>
    <xf numFmtId="165" fontId="20" fillId="35" borderId="23" xfId="2599" applyNumberFormat="1" applyFont="1" applyFill="1" applyBorder="1"/>
    <xf numFmtId="0" fontId="49" fillId="0" borderId="0" xfId="0" applyFont="1"/>
    <xf numFmtId="165" fontId="20" fillId="0" borderId="0" xfId="2599" applyNumberFormat="1" applyFont="1"/>
    <xf numFmtId="165" fontId="20" fillId="0" borderId="11" xfId="2599" applyNumberFormat="1" applyFont="1" applyBorder="1"/>
    <xf numFmtId="0" fontId="25" fillId="0" borderId="9" xfId="0" applyFont="1" applyBorder="1"/>
    <xf numFmtId="0" fontId="25" fillId="0" borderId="2" xfId="0" applyFont="1" applyBorder="1"/>
    <xf numFmtId="0" fontId="25" fillId="0" borderId="10" xfId="0" applyFont="1" applyBorder="1"/>
    <xf numFmtId="165" fontId="20" fillId="34" borderId="11" xfId="2599" applyNumberFormat="1" applyFont="1" applyFill="1" applyBorder="1"/>
    <xf numFmtId="14" fontId="20" fillId="0" borderId="9" xfId="0" applyNumberFormat="1" applyFont="1" applyBorder="1"/>
    <xf numFmtId="0" fontId="50" fillId="0" borderId="0" xfId="0" applyFont="1"/>
    <xf numFmtId="0" fontId="51" fillId="0" borderId="0" xfId="0" applyFont="1"/>
    <xf numFmtId="0" fontId="20" fillId="35" borderId="20" xfId="0" applyFont="1" applyFill="1" applyBorder="1" applyAlignment="1">
      <alignment horizontal="center" vertical="center" wrapText="1"/>
    </xf>
    <xf numFmtId="0" fontId="25" fillId="37" borderId="0" xfId="0" applyFont="1" applyFill="1"/>
    <xf numFmtId="0" fontId="20" fillId="37" borderId="0" xfId="0" applyFont="1" applyFill="1"/>
    <xf numFmtId="165" fontId="25" fillId="37" borderId="0" xfId="2599" applyNumberFormat="1" applyFont="1" applyFill="1"/>
    <xf numFmtId="165" fontId="25" fillId="0" borderId="0" xfId="0" applyNumberFormat="1" applyFont="1"/>
    <xf numFmtId="0" fontId="52" fillId="0" borderId="0" xfId="0" applyFont="1"/>
    <xf numFmtId="21" fontId="20" fillId="0" borderId="0" xfId="0" applyNumberFormat="1" applyFont="1" applyAlignment="1">
      <alignment horizontal="right"/>
    </xf>
    <xf numFmtId="0" fontId="49" fillId="34" borderId="0" xfId="0" applyFont="1" applyFill="1"/>
    <xf numFmtId="0" fontId="20" fillId="34" borderId="0" xfId="0" applyFont="1" applyFill="1"/>
    <xf numFmtId="0" fontId="25" fillId="34" borderId="0" xfId="0" applyFont="1" applyFill="1"/>
    <xf numFmtId="0" fontId="20" fillId="0" borderId="35" xfId="0" applyFont="1" applyBorder="1"/>
    <xf numFmtId="0" fontId="20" fillId="0" borderId="36" xfId="0" applyFont="1" applyBorder="1"/>
    <xf numFmtId="0" fontId="20" fillId="0" borderId="39" xfId="0" applyFont="1" applyBorder="1"/>
    <xf numFmtId="165" fontId="25" fillId="34" borderId="0" xfId="2599" applyNumberFormat="1" applyFont="1" applyFill="1"/>
    <xf numFmtId="0" fontId="20" fillId="0" borderId="11" xfId="0" applyFont="1" applyBorder="1" applyAlignment="1">
      <alignment horizontal="center" vertical="center" wrapText="1"/>
    </xf>
    <xf numFmtId="165" fontId="25" fillId="0" borderId="15" xfId="2599" applyNumberFormat="1" applyFont="1" applyBorder="1"/>
    <xf numFmtId="165" fontId="25" fillId="0" borderId="22" xfId="2599" applyNumberFormat="1" applyFont="1" applyBorder="1"/>
    <xf numFmtId="165" fontId="20" fillId="38" borderId="11" xfId="2599" applyNumberFormat="1" applyFont="1" applyFill="1" applyBorder="1"/>
    <xf numFmtId="165" fontId="20" fillId="38" borderId="21" xfId="2599" applyNumberFormat="1" applyFont="1" applyFill="1" applyBorder="1"/>
    <xf numFmtId="165" fontId="20" fillId="38" borderId="22" xfId="2599" applyNumberFormat="1" applyFont="1" applyFill="1" applyBorder="1"/>
    <xf numFmtId="171" fontId="25" fillId="0" borderId="12" xfId="2601" applyNumberFormat="1" applyFont="1" applyBorder="1"/>
    <xf numFmtId="171" fontId="25" fillId="0" borderId="44" xfId="2601" applyNumberFormat="1" applyFont="1" applyBorder="1"/>
    <xf numFmtId="0" fontId="20" fillId="0" borderId="45" xfId="0" applyFont="1" applyBorder="1" applyAlignment="1">
      <alignment horizontal="center" vertical="center" wrapText="1"/>
    </xf>
    <xf numFmtId="165" fontId="25" fillId="0" borderId="41" xfId="2599" applyNumberFormat="1" applyFont="1" applyBorder="1"/>
    <xf numFmtId="43" fontId="25" fillId="0" borderId="21" xfId="2599" applyFont="1" applyBorder="1"/>
    <xf numFmtId="165" fontId="22" fillId="35" borderId="11" xfId="2599" applyNumberFormat="1" applyFont="1" applyFill="1" applyBorder="1"/>
    <xf numFmtId="165" fontId="25" fillId="0" borderId="17" xfId="2599" applyNumberFormat="1" applyFont="1" applyBorder="1"/>
    <xf numFmtId="165" fontId="25" fillId="0" borderId="18" xfId="2599" applyNumberFormat="1" applyFont="1" applyBorder="1"/>
    <xf numFmtId="165" fontId="25" fillId="0" borderId="46" xfId="2599" applyNumberFormat="1" applyFont="1" applyBorder="1"/>
    <xf numFmtId="0" fontId="20" fillId="35" borderId="19" xfId="0" applyFont="1" applyFill="1" applyBorder="1" applyAlignment="1">
      <alignment horizontal="center" vertical="center" wrapText="1"/>
    </xf>
    <xf numFmtId="0" fontId="20" fillId="35" borderId="45" xfId="0" applyFont="1" applyFill="1" applyBorder="1" applyAlignment="1">
      <alignment horizontal="center" vertical="center" wrapText="1"/>
    </xf>
    <xf numFmtId="165" fontId="25" fillId="0" borderId="16" xfId="2599" applyNumberFormat="1" applyFont="1" applyBorder="1"/>
    <xf numFmtId="165" fontId="25" fillId="0" borderId="49" xfId="2599" applyNumberFormat="1" applyFont="1" applyBorder="1"/>
    <xf numFmtId="0" fontId="51" fillId="0" borderId="0" xfId="0" applyFont="1" applyAlignment="1">
      <alignment horizontal="left"/>
    </xf>
    <xf numFmtId="0" fontId="20" fillId="0" borderId="14" xfId="0" applyFont="1" applyBorder="1" applyAlignment="1">
      <alignment horizontal="center" vertical="center" wrapText="1"/>
    </xf>
    <xf numFmtId="165" fontId="20" fillId="39" borderId="11" xfId="2599" applyNumberFormat="1" applyFont="1" applyFill="1" applyBorder="1"/>
    <xf numFmtId="165" fontId="25" fillId="0" borderId="47" xfId="2599" applyNumberFormat="1" applyFont="1" applyBorder="1"/>
    <xf numFmtId="165" fontId="25" fillId="0" borderId="48" xfId="2599" applyNumberFormat="1" applyFont="1" applyBorder="1"/>
    <xf numFmtId="0" fontId="0" fillId="0" borderId="0" xfId="0" applyAlignment="1">
      <alignment vertical="top"/>
    </xf>
    <xf numFmtId="4" fontId="0" fillId="0" borderId="0" xfId="0" applyNumberFormat="1" applyAlignment="1">
      <alignment vertical="top"/>
    </xf>
    <xf numFmtId="0" fontId="25" fillId="0" borderId="0" xfId="0" applyFont="1" applyAlignment="1">
      <alignment horizontal="center"/>
    </xf>
    <xf numFmtId="0" fontId="25" fillId="0" borderId="2" xfId="0" applyFont="1" applyBorder="1" applyAlignment="1">
      <alignment horizontal="center"/>
    </xf>
    <xf numFmtId="4" fontId="0" fillId="33" borderId="0" xfId="0" applyNumberFormat="1" applyFill="1" applyAlignment="1">
      <alignment vertical="top"/>
    </xf>
    <xf numFmtId="0" fontId="0" fillId="33" borderId="0" xfId="0" applyFill="1"/>
    <xf numFmtId="0" fontId="20" fillId="0" borderId="50" xfId="0" applyFont="1" applyBorder="1"/>
    <xf numFmtId="41" fontId="25" fillId="0" borderId="0" xfId="0" applyNumberFormat="1" applyFont="1"/>
    <xf numFmtId="0" fontId="22" fillId="0" borderId="0" xfId="0" applyFont="1"/>
    <xf numFmtId="0" fontId="0" fillId="41" borderId="0" xfId="0" applyFill="1" applyAlignment="1">
      <alignment vertical="top"/>
    </xf>
    <xf numFmtId="4" fontId="0" fillId="41" borderId="0" xfId="0" applyNumberFormat="1" applyFill="1"/>
    <xf numFmtId="4" fontId="0" fillId="41" borderId="0" xfId="0" applyNumberFormat="1" applyFill="1" applyAlignment="1">
      <alignment vertical="top"/>
    </xf>
    <xf numFmtId="0" fontId="0" fillId="33" borderId="0" xfId="0" applyFill="1" applyAlignment="1">
      <alignment vertical="top"/>
    </xf>
    <xf numFmtId="0" fontId="22" fillId="0" borderId="0" xfId="0" applyFont="1" applyAlignment="1">
      <alignment horizontal="center"/>
    </xf>
    <xf numFmtId="165" fontId="19" fillId="0" borderId="0" xfId="0" applyNumberFormat="1" applyFont="1"/>
    <xf numFmtId="0" fontId="20" fillId="0" borderId="56" xfId="0" applyFont="1" applyBorder="1" applyAlignment="1">
      <alignment horizontal="center" vertical="center" wrapText="1"/>
    </xf>
    <xf numFmtId="0" fontId="20" fillId="0" borderId="57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/>
    </xf>
    <xf numFmtId="165" fontId="20" fillId="34" borderId="13" xfId="2599" applyNumberFormat="1" applyFont="1" applyFill="1" applyBorder="1"/>
    <xf numFmtId="0" fontId="20" fillId="0" borderId="51" xfId="0" applyFont="1" applyBorder="1" applyAlignment="1">
      <alignment horizontal="center"/>
    </xf>
    <xf numFmtId="0" fontId="20" fillId="0" borderId="40" xfId="0" applyFont="1" applyBorder="1"/>
    <xf numFmtId="165" fontId="25" fillId="0" borderId="40" xfId="2599" applyNumberFormat="1" applyFont="1" applyBorder="1"/>
    <xf numFmtId="165" fontId="25" fillId="0" borderId="52" xfId="2599" applyNumberFormat="1" applyFont="1" applyBorder="1"/>
    <xf numFmtId="0" fontId="54" fillId="0" borderId="0" xfId="0" applyFont="1"/>
    <xf numFmtId="3" fontId="0" fillId="0" borderId="0" xfId="0" applyNumberFormat="1" applyAlignment="1">
      <alignment vertical="top"/>
    </xf>
    <xf numFmtId="0" fontId="0" fillId="34" borderId="0" xfId="0" applyFill="1" applyAlignment="1">
      <alignment vertical="top"/>
    </xf>
    <xf numFmtId="165" fontId="20" fillId="38" borderId="54" xfId="2599" applyNumberFormat="1" applyFont="1" applyFill="1" applyBorder="1"/>
    <xf numFmtId="165" fontId="20" fillId="38" borderId="55" xfId="2599" applyNumberFormat="1" applyFont="1" applyFill="1" applyBorder="1"/>
    <xf numFmtId="170" fontId="25" fillId="0" borderId="21" xfId="2601" applyNumberFormat="1" applyFont="1" applyBorder="1"/>
    <xf numFmtId="170" fontId="25" fillId="0" borderId="22" xfId="2601" applyNumberFormat="1" applyFont="1" applyBorder="1"/>
    <xf numFmtId="170" fontId="25" fillId="0" borderId="23" xfId="2601" applyNumberFormat="1" applyFont="1" applyBorder="1"/>
    <xf numFmtId="170" fontId="20" fillId="0" borderId="13" xfId="2601" applyNumberFormat="1" applyFont="1" applyBorder="1"/>
    <xf numFmtId="0" fontId="20" fillId="34" borderId="33" xfId="0" applyFont="1" applyFill="1" applyBorder="1" applyAlignment="1">
      <alignment horizontal="center" vertical="center" wrapText="1"/>
    </xf>
    <xf numFmtId="3" fontId="0" fillId="0" borderId="0" xfId="0" applyNumberFormat="1"/>
    <xf numFmtId="0" fontId="0" fillId="0" borderId="0" xfId="0" applyAlignment="1">
      <alignment horizontal="center"/>
    </xf>
    <xf numFmtId="0" fontId="0" fillId="0" borderId="16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15" xfId="0" applyBorder="1" applyAlignment="1">
      <alignment horizontal="center"/>
    </xf>
    <xf numFmtId="0" fontId="41" fillId="38" borderId="19" xfId="0" applyFont="1" applyFill="1" applyBorder="1" applyAlignment="1">
      <alignment horizontal="center"/>
    </xf>
    <xf numFmtId="41" fontId="41" fillId="38" borderId="20" xfId="2601" applyFont="1" applyFill="1" applyBorder="1" applyAlignment="1">
      <alignment horizontal="center"/>
    </xf>
    <xf numFmtId="41" fontId="41" fillId="38" borderId="45" xfId="2601" applyFont="1" applyFill="1" applyBorder="1" applyAlignment="1">
      <alignment horizontal="center"/>
    </xf>
    <xf numFmtId="43" fontId="25" fillId="0" borderId="0" xfId="0" applyNumberFormat="1" applyFont="1"/>
    <xf numFmtId="0" fontId="20" fillId="36" borderId="34" xfId="0" applyFont="1" applyFill="1" applyBorder="1" applyAlignment="1">
      <alignment horizontal="center" vertical="center" wrapText="1"/>
    </xf>
    <xf numFmtId="0" fontId="20" fillId="36" borderId="53" xfId="0" applyFont="1" applyFill="1" applyBorder="1" applyAlignment="1">
      <alignment horizontal="center" vertical="center" wrapText="1"/>
    </xf>
    <xf numFmtId="0" fontId="20" fillId="0" borderId="59" xfId="0" applyFont="1" applyBorder="1" applyAlignment="1">
      <alignment horizontal="center"/>
    </xf>
    <xf numFmtId="165" fontId="25" fillId="0" borderId="58" xfId="2599" applyNumberFormat="1" applyFont="1" applyBorder="1"/>
    <xf numFmtId="165" fontId="25" fillId="0" borderId="63" xfId="2599" applyNumberFormat="1" applyFont="1" applyBorder="1"/>
    <xf numFmtId="165" fontId="25" fillId="0" borderId="60" xfId="2599" applyNumberFormat="1" applyFont="1" applyBorder="1"/>
    <xf numFmtId="43" fontId="0" fillId="0" borderId="0" xfId="0" applyNumberFormat="1"/>
    <xf numFmtId="0" fontId="20" fillId="0" borderId="58" xfId="0" applyFont="1" applyBorder="1"/>
    <xf numFmtId="165" fontId="25" fillId="0" borderId="64" xfId="2599" applyNumberFormat="1" applyFont="1" applyBorder="1"/>
    <xf numFmtId="165" fontId="25" fillId="0" borderId="51" xfId="2599" applyNumberFormat="1" applyFont="1" applyBorder="1"/>
    <xf numFmtId="165" fontId="0" fillId="0" borderId="0" xfId="0" applyNumberFormat="1"/>
    <xf numFmtId="0" fontId="19" fillId="0" borderId="0" xfId="0" applyFont="1"/>
    <xf numFmtId="41" fontId="0" fillId="0" borderId="0" xfId="2601" applyFont="1"/>
    <xf numFmtId="171" fontId="0" fillId="0" borderId="0" xfId="2601" applyNumberFormat="1" applyFont="1"/>
    <xf numFmtId="171" fontId="0" fillId="41" borderId="0" xfId="2601" applyNumberFormat="1" applyFont="1" applyFill="1" applyAlignment="1">
      <alignment vertical="top"/>
    </xf>
    <xf numFmtId="171" fontId="0" fillId="33" borderId="0" xfId="2601" applyNumberFormat="1" applyFont="1" applyFill="1"/>
    <xf numFmtId="0" fontId="20" fillId="0" borderId="65" xfId="0" applyFont="1" applyBorder="1" applyAlignment="1">
      <alignment horizontal="center" vertical="center" wrapText="1"/>
    </xf>
    <xf numFmtId="0" fontId="0" fillId="44" borderId="0" xfId="0" applyFill="1" applyAlignment="1">
      <alignment vertical="top"/>
    </xf>
    <xf numFmtId="4" fontId="0" fillId="44" borderId="0" xfId="0" applyNumberFormat="1" applyFill="1" applyAlignment="1">
      <alignment vertical="top"/>
    </xf>
    <xf numFmtId="4" fontId="0" fillId="0" borderId="0" xfId="0" applyNumberFormat="1"/>
    <xf numFmtId="0" fontId="55" fillId="0" borderId="0" xfId="0" applyFont="1"/>
    <xf numFmtId="0" fontId="22" fillId="0" borderId="19" xfId="0" applyFont="1" applyBorder="1" applyAlignment="1">
      <alignment horizontal="center" vertical="center" wrapText="1"/>
    </xf>
    <xf numFmtId="0" fontId="22" fillId="0" borderId="20" xfId="0" applyFont="1" applyBorder="1" applyAlignment="1">
      <alignment horizontal="center" vertical="center" wrapText="1"/>
    </xf>
    <xf numFmtId="0" fontId="22" fillId="0" borderId="15" xfId="0" applyFont="1" applyBorder="1" applyAlignment="1">
      <alignment horizontal="center"/>
    </xf>
    <xf numFmtId="0" fontId="22" fillId="0" borderId="16" xfId="0" applyFont="1" applyBorder="1" applyAlignment="1">
      <alignment horizontal="center"/>
    </xf>
    <xf numFmtId="0" fontId="22" fillId="0" borderId="36" xfId="0" applyFont="1" applyBorder="1"/>
    <xf numFmtId="0" fontId="22" fillId="0" borderId="17" xfId="0" applyFont="1" applyBorder="1" applyAlignment="1">
      <alignment horizontal="center"/>
    </xf>
    <xf numFmtId="0" fontId="22" fillId="0" borderId="39" xfId="0" applyFont="1" applyBorder="1"/>
    <xf numFmtId="0" fontId="22" fillId="0" borderId="5" xfId="0" applyFont="1" applyBorder="1"/>
    <xf numFmtId="0" fontId="22" fillId="0" borderId="11" xfId="0" applyFont="1" applyBorder="1" applyAlignment="1">
      <alignment horizontal="center"/>
    </xf>
    <xf numFmtId="0" fontId="22" fillId="0" borderId="35" xfId="0" applyFont="1" applyBorder="1"/>
    <xf numFmtId="0" fontId="20" fillId="35" borderId="56" xfId="0" applyFont="1" applyFill="1" applyBorder="1" applyAlignment="1">
      <alignment horizontal="center" vertical="center" wrapText="1"/>
    </xf>
    <xf numFmtId="0" fontId="20" fillId="35" borderId="57" xfId="0" applyFont="1" applyFill="1" applyBorder="1" applyAlignment="1">
      <alignment horizontal="center" vertical="center" wrapText="1"/>
    </xf>
    <xf numFmtId="0" fontId="20" fillId="35" borderId="65" xfId="0" applyFont="1" applyFill="1" applyBorder="1" applyAlignment="1">
      <alignment horizontal="center" vertical="center" wrapText="1"/>
    </xf>
    <xf numFmtId="6" fontId="25" fillId="0" borderId="0" xfId="0" applyNumberFormat="1" applyFont="1"/>
    <xf numFmtId="0" fontId="19" fillId="0" borderId="0" xfId="2"/>
    <xf numFmtId="41" fontId="0" fillId="0" borderId="0" xfId="2604" applyFont="1"/>
    <xf numFmtId="0" fontId="22" fillId="0" borderId="0" xfId="2" applyFont="1" applyAlignment="1">
      <alignment horizontal="center"/>
    </xf>
    <xf numFmtId="0" fontId="22" fillId="40" borderId="19" xfId="2" applyFont="1" applyFill="1" applyBorder="1" applyAlignment="1">
      <alignment horizontal="center"/>
    </xf>
    <xf numFmtId="41" fontId="22" fillId="40" borderId="34" xfId="2604" applyFont="1" applyFill="1" applyBorder="1" applyAlignment="1">
      <alignment horizontal="center"/>
    </xf>
    <xf numFmtId="41" fontId="22" fillId="40" borderId="20" xfId="2604" applyFont="1" applyFill="1" applyBorder="1" applyAlignment="1">
      <alignment horizontal="center"/>
    </xf>
    <xf numFmtId="41" fontId="22" fillId="40" borderId="45" xfId="2604" applyFont="1" applyFill="1" applyBorder="1" applyAlignment="1">
      <alignment horizontal="center"/>
    </xf>
    <xf numFmtId="41" fontId="22" fillId="0" borderId="0" xfId="2604" applyFont="1" applyAlignment="1">
      <alignment horizontal="center"/>
    </xf>
    <xf numFmtId="41" fontId="0" fillId="0" borderId="21" xfId="2604" applyFont="1" applyBorder="1"/>
    <xf numFmtId="41" fontId="0" fillId="0" borderId="15" xfId="2604" applyFont="1" applyBorder="1"/>
    <xf numFmtId="41" fontId="0" fillId="0" borderId="4" xfId="2604" applyFont="1" applyBorder="1"/>
    <xf numFmtId="41" fontId="0" fillId="0" borderId="41" xfId="2604" applyFont="1" applyBorder="1"/>
    <xf numFmtId="41" fontId="0" fillId="0" borderId="22" xfId="2604" applyFont="1" applyBorder="1"/>
    <xf numFmtId="41" fontId="0" fillId="0" borderId="16" xfId="2604" applyFont="1" applyBorder="1"/>
    <xf numFmtId="41" fontId="0" fillId="0" borderId="3" xfId="2604" applyFont="1" applyBorder="1"/>
    <xf numFmtId="41" fontId="0" fillId="0" borderId="49" xfId="2604" applyFont="1" applyBorder="1"/>
    <xf numFmtId="41" fontId="0" fillId="0" borderId="23" xfId="2604" applyFont="1" applyBorder="1" applyAlignment="1">
      <alignment horizontal="right"/>
    </xf>
    <xf numFmtId="41" fontId="0" fillId="0" borderId="17" xfId="2604" applyFont="1" applyBorder="1"/>
    <xf numFmtId="41" fontId="0" fillId="0" borderId="18" xfId="2604" applyFont="1" applyBorder="1"/>
    <xf numFmtId="41" fontId="0" fillId="0" borderId="46" xfId="2604" applyFont="1" applyBorder="1"/>
    <xf numFmtId="41" fontId="22" fillId="40" borderId="11" xfId="2604" applyFont="1" applyFill="1" applyBorder="1"/>
    <xf numFmtId="41" fontId="22" fillId="40" borderId="57" xfId="2604" applyFont="1" applyFill="1" applyBorder="1" applyAlignment="1">
      <alignment horizontal="center"/>
    </xf>
    <xf numFmtId="41" fontId="22" fillId="40" borderId="65" xfId="2604" applyFont="1" applyFill="1" applyBorder="1" applyAlignment="1">
      <alignment horizontal="center"/>
    </xf>
    <xf numFmtId="0" fontId="22" fillId="0" borderId="0" xfId="2" applyFont="1"/>
    <xf numFmtId="41" fontId="0" fillId="0" borderId="54" xfId="2604" applyFont="1" applyBorder="1"/>
    <xf numFmtId="41" fontId="0" fillId="0" borderId="40" xfId="2604" applyFont="1" applyBorder="1"/>
    <xf numFmtId="41" fontId="0" fillId="0" borderId="52" xfId="2604" applyFont="1" applyBorder="1"/>
    <xf numFmtId="41" fontId="0" fillId="0" borderId="55" xfId="2604" applyFont="1" applyBorder="1"/>
    <xf numFmtId="41" fontId="0" fillId="0" borderId="68" xfId="2604" applyFont="1" applyBorder="1" applyAlignment="1">
      <alignment horizontal="right"/>
    </xf>
    <xf numFmtId="41" fontId="0" fillId="40" borderId="17" xfId="2604" applyFont="1" applyFill="1" applyBorder="1"/>
    <xf numFmtId="41" fontId="0" fillId="40" borderId="18" xfId="2604" applyFont="1" applyFill="1" applyBorder="1"/>
    <xf numFmtId="41" fontId="0" fillId="40" borderId="46" xfId="2604" applyFont="1" applyFill="1" applyBorder="1"/>
    <xf numFmtId="41" fontId="22" fillId="40" borderId="13" xfId="2604" applyFont="1" applyFill="1" applyBorder="1"/>
    <xf numFmtId="41" fontId="22" fillId="39" borderId="19" xfId="2604" applyFont="1" applyFill="1" applyBorder="1" applyAlignment="1">
      <alignment horizontal="center"/>
    </xf>
    <xf numFmtId="41" fontId="22" fillId="39" borderId="45" xfId="2604" applyFont="1" applyFill="1" applyBorder="1" applyAlignment="1">
      <alignment horizontal="center"/>
    </xf>
    <xf numFmtId="0" fontId="22" fillId="34" borderId="0" xfId="2" applyFont="1" applyFill="1"/>
    <xf numFmtId="41" fontId="0" fillId="0" borderId="59" xfId="2604" applyFont="1" applyBorder="1"/>
    <xf numFmtId="41" fontId="0" fillId="0" borderId="60" xfId="2604" applyFont="1" applyBorder="1"/>
    <xf numFmtId="41" fontId="22" fillId="39" borderId="19" xfId="2604" applyFont="1" applyFill="1" applyBorder="1"/>
    <xf numFmtId="41" fontId="22" fillId="39" borderId="45" xfId="2604" applyFont="1" applyFill="1" applyBorder="1"/>
    <xf numFmtId="0" fontId="22" fillId="40" borderId="19" xfId="0" applyFont="1" applyFill="1" applyBorder="1" applyAlignment="1">
      <alignment horizontal="center"/>
    </xf>
    <xf numFmtId="0" fontId="22" fillId="34" borderId="0" xfId="0" applyFont="1" applyFill="1"/>
    <xf numFmtId="0" fontId="41" fillId="34" borderId="0" xfId="0" applyFont="1" applyFill="1"/>
    <xf numFmtId="0" fontId="0" fillId="34" borderId="0" xfId="0" applyFill="1"/>
    <xf numFmtId="0" fontId="56" fillId="0" borderId="0" xfId="0" applyFont="1"/>
    <xf numFmtId="0" fontId="56" fillId="0" borderId="0" xfId="0" applyFont="1" applyAlignment="1">
      <alignment horizontal="center"/>
    </xf>
    <xf numFmtId="41" fontId="0" fillId="0" borderId="0" xfId="0" applyNumberFormat="1"/>
    <xf numFmtId="0" fontId="19" fillId="0" borderId="0" xfId="2605"/>
    <xf numFmtId="0" fontId="22" fillId="0" borderId="0" xfId="2605" applyFont="1" applyAlignment="1">
      <alignment horizontal="center"/>
    </xf>
    <xf numFmtId="0" fontId="22" fillId="40" borderId="19" xfId="2605" applyFont="1" applyFill="1" applyBorder="1" applyAlignment="1">
      <alignment horizontal="center"/>
    </xf>
    <xf numFmtId="0" fontId="22" fillId="0" borderId="0" xfId="2605" applyFont="1"/>
    <xf numFmtId="0" fontId="22" fillId="34" borderId="0" xfId="2605" applyFont="1" applyFill="1"/>
    <xf numFmtId="0" fontId="57" fillId="36" borderId="0" xfId="0" applyFont="1" applyFill="1" applyAlignment="1">
      <alignment wrapText="1"/>
    </xf>
    <xf numFmtId="0" fontId="19" fillId="36" borderId="0" xfId="0" applyFont="1" applyFill="1" applyAlignment="1">
      <alignment vertical="top"/>
    </xf>
    <xf numFmtId="0" fontId="0" fillId="0" borderId="0" xfId="0" applyAlignment="1">
      <alignment horizontal="center" vertical="center"/>
    </xf>
    <xf numFmtId="0" fontId="0" fillId="39" borderId="0" xfId="0" applyFill="1" applyAlignment="1">
      <alignment vertical="top"/>
    </xf>
    <xf numFmtId="4" fontId="0" fillId="39" borderId="0" xfId="0" applyNumberFormat="1" applyFill="1" applyAlignment="1">
      <alignment vertical="top"/>
    </xf>
    <xf numFmtId="0" fontId="0" fillId="46" borderId="0" xfId="0" applyFill="1" applyAlignment="1">
      <alignment vertical="top"/>
    </xf>
    <xf numFmtId="0" fontId="0" fillId="46" borderId="0" xfId="0" applyFill="1"/>
    <xf numFmtId="4" fontId="0" fillId="46" borderId="0" xfId="0" applyNumberFormat="1" applyFill="1" applyAlignment="1">
      <alignment vertical="top"/>
    </xf>
    <xf numFmtId="0" fontId="0" fillId="41" borderId="0" xfId="0" applyFill="1"/>
    <xf numFmtId="0" fontId="0" fillId="47" borderId="0" xfId="0" applyFill="1" applyAlignment="1">
      <alignment vertical="top"/>
    </xf>
    <xf numFmtId="4" fontId="0" fillId="47" borderId="0" xfId="0" applyNumberFormat="1" applyFill="1" applyAlignment="1">
      <alignment vertical="top"/>
    </xf>
    <xf numFmtId="0" fontId="0" fillId="35" borderId="0" xfId="0" applyFill="1" applyAlignment="1">
      <alignment vertical="top"/>
    </xf>
    <xf numFmtId="4" fontId="0" fillId="35" borderId="0" xfId="0" applyNumberFormat="1" applyFill="1" applyAlignment="1">
      <alignment vertical="top"/>
    </xf>
    <xf numFmtId="0" fontId="0" fillId="48" borderId="0" xfId="0" applyFill="1" applyAlignment="1">
      <alignment vertical="top"/>
    </xf>
    <xf numFmtId="4" fontId="0" fillId="48" borderId="0" xfId="0" applyNumberFormat="1" applyFill="1" applyAlignment="1">
      <alignment vertical="top"/>
    </xf>
    <xf numFmtId="0" fontId="0" fillId="49" borderId="0" xfId="0" applyFill="1" applyAlignment="1">
      <alignment vertical="top"/>
    </xf>
    <xf numFmtId="4" fontId="0" fillId="49" borderId="0" xfId="0" applyNumberFormat="1" applyFill="1" applyAlignment="1">
      <alignment vertical="top"/>
    </xf>
    <xf numFmtId="0" fontId="0" fillId="50" borderId="0" xfId="0" applyFill="1" applyAlignment="1">
      <alignment vertical="top"/>
    </xf>
    <xf numFmtId="4" fontId="0" fillId="50" borderId="0" xfId="0" applyNumberFormat="1" applyFill="1" applyAlignment="1">
      <alignment vertical="top"/>
    </xf>
    <xf numFmtId="0" fontId="0" fillId="39" borderId="0" xfId="0" applyFill="1"/>
    <xf numFmtId="0" fontId="0" fillId="37" borderId="0" xfId="0" applyFill="1"/>
    <xf numFmtId="0" fontId="0" fillId="37" borderId="0" xfId="0" applyFill="1" applyAlignment="1">
      <alignment vertical="top"/>
    </xf>
    <xf numFmtId="4" fontId="0" fillId="37" borderId="0" xfId="0" applyNumberFormat="1" applyFill="1" applyAlignment="1">
      <alignment vertical="top"/>
    </xf>
    <xf numFmtId="172" fontId="20" fillId="0" borderId="0" xfId="0" applyNumberFormat="1" applyFont="1" applyAlignment="1">
      <alignment horizontal="right"/>
    </xf>
    <xf numFmtId="0" fontId="0" fillId="43" borderId="0" xfId="0" applyFill="1" applyAlignment="1">
      <alignment vertical="top"/>
    </xf>
    <xf numFmtId="4" fontId="0" fillId="43" borderId="0" xfId="0" applyNumberFormat="1" applyFill="1" applyAlignment="1">
      <alignment vertical="top"/>
    </xf>
    <xf numFmtId="41" fontId="0" fillId="0" borderId="3" xfId="2601" applyFont="1" applyBorder="1" applyAlignment="1">
      <alignment vertical="top"/>
    </xf>
    <xf numFmtId="41" fontId="0" fillId="0" borderId="3" xfId="2601" applyFont="1" applyBorder="1"/>
    <xf numFmtId="41" fontId="0" fillId="51" borderId="3" xfId="2601" applyFont="1" applyFill="1" applyBorder="1" applyAlignment="1">
      <alignment vertical="top"/>
    </xf>
    <xf numFmtId="41" fontId="0" fillId="42" borderId="3" xfId="2601" applyFont="1" applyFill="1" applyBorder="1" applyAlignment="1">
      <alignment vertical="top"/>
    </xf>
    <xf numFmtId="0" fontId="22" fillId="0" borderId="0" xfId="0" applyFont="1" applyAlignment="1">
      <alignment vertical="top"/>
    </xf>
    <xf numFmtId="41" fontId="0" fillId="0" borderId="3" xfId="0" applyNumberFormat="1" applyBorder="1"/>
    <xf numFmtId="41" fontId="22" fillId="0" borderId="3" xfId="0" applyNumberFormat="1" applyFont="1" applyBorder="1"/>
    <xf numFmtId="41" fontId="0" fillId="34" borderId="0" xfId="0" applyNumberFormat="1" applyFill="1"/>
    <xf numFmtId="41" fontId="19" fillId="0" borderId="63" xfId="0" applyNumberFormat="1" applyFont="1" applyBorder="1"/>
    <xf numFmtId="41" fontId="22" fillId="0" borderId="19" xfId="0" applyNumberFormat="1" applyFont="1" applyBorder="1"/>
    <xf numFmtId="41" fontId="22" fillId="0" borderId="20" xfId="0" applyNumberFormat="1" applyFont="1" applyBorder="1"/>
    <xf numFmtId="41" fontId="22" fillId="0" borderId="45" xfId="0" applyNumberFormat="1" applyFont="1" applyBorder="1"/>
    <xf numFmtId="41" fontId="22" fillId="0" borderId="33" xfId="0" applyNumberFormat="1" applyFont="1" applyBorder="1"/>
    <xf numFmtId="0" fontId="56" fillId="0" borderId="7" xfId="0" applyFont="1" applyBorder="1"/>
    <xf numFmtId="0" fontId="56" fillId="0" borderId="8" xfId="0" applyFont="1" applyBorder="1"/>
    <xf numFmtId="41" fontId="22" fillId="0" borderId="16" xfId="0" applyNumberFormat="1" applyFont="1" applyBorder="1"/>
    <xf numFmtId="41" fontId="22" fillId="0" borderId="49" xfId="0" applyNumberFormat="1" applyFont="1" applyBorder="1"/>
    <xf numFmtId="171" fontId="0" fillId="0" borderId="49" xfId="2601" applyNumberFormat="1" applyFont="1" applyBorder="1"/>
    <xf numFmtId="171" fontId="0" fillId="0" borderId="46" xfId="2601" applyNumberFormat="1" applyFont="1" applyBorder="1"/>
    <xf numFmtId="171" fontId="0" fillId="0" borderId="11" xfId="2601" applyNumberFormat="1" applyFont="1" applyBorder="1"/>
    <xf numFmtId="171" fontId="22" fillId="0" borderId="11" xfId="2601" applyNumberFormat="1" applyFont="1" applyBorder="1"/>
    <xf numFmtId="171" fontId="0" fillId="34" borderId="0" xfId="2601" applyNumberFormat="1" applyFont="1" applyFill="1"/>
    <xf numFmtId="171" fontId="0" fillId="0" borderId="0" xfId="0" applyNumberFormat="1"/>
    <xf numFmtId="0" fontId="25" fillId="34" borderId="3" xfId="0" applyFont="1" applyFill="1" applyBorder="1"/>
    <xf numFmtId="0" fontId="20" fillId="51" borderId="33" xfId="0" applyFont="1" applyFill="1" applyBorder="1" applyAlignment="1">
      <alignment horizontal="center" vertical="center" wrapText="1"/>
    </xf>
    <xf numFmtId="0" fontId="20" fillId="52" borderId="33" xfId="0" applyFont="1" applyFill="1" applyBorder="1" applyAlignment="1">
      <alignment horizontal="center" vertical="center" wrapText="1"/>
    </xf>
    <xf numFmtId="169" fontId="0" fillId="0" borderId="0" xfId="0" applyNumberFormat="1"/>
    <xf numFmtId="170" fontId="25" fillId="0" borderId="0" xfId="2601" applyNumberFormat="1" applyFont="1"/>
    <xf numFmtId="170" fontId="20" fillId="0" borderId="0" xfId="2601" applyNumberFormat="1" applyFont="1"/>
    <xf numFmtId="170" fontId="20" fillId="0" borderId="0" xfId="2601" applyNumberFormat="1" applyFont="1" applyAlignment="1">
      <alignment horizontal="center" vertical="center" wrapText="1"/>
    </xf>
    <xf numFmtId="170" fontId="25" fillId="33" borderId="0" xfId="2601" applyNumberFormat="1" applyFont="1" applyFill="1"/>
    <xf numFmtId="170" fontId="25" fillId="37" borderId="0" xfId="2601" applyNumberFormat="1" applyFont="1" applyFill="1"/>
    <xf numFmtId="6" fontId="0" fillId="0" borderId="0" xfId="0" applyNumberFormat="1"/>
    <xf numFmtId="41" fontId="0" fillId="0" borderId="15" xfId="2604" applyFont="1" applyFill="1" applyBorder="1"/>
    <xf numFmtId="41" fontId="0" fillId="0" borderId="16" xfId="2604" applyFont="1" applyFill="1" applyBorder="1"/>
    <xf numFmtId="41" fontId="0" fillId="0" borderId="17" xfId="2604" applyFont="1" applyFill="1" applyBorder="1"/>
    <xf numFmtId="41" fontId="0" fillId="0" borderId="0" xfId="2604" applyFont="1" applyFill="1"/>
    <xf numFmtId="41" fontId="0" fillId="0" borderId="51" xfId="2604" applyFont="1" applyFill="1" applyBorder="1"/>
    <xf numFmtId="41" fontId="0" fillId="0" borderId="4" xfId="2604" applyFont="1" applyFill="1" applyBorder="1"/>
    <xf numFmtId="41" fontId="0" fillId="0" borderId="3" xfId="2604" applyFont="1" applyFill="1" applyBorder="1"/>
    <xf numFmtId="41" fontId="0" fillId="45" borderId="23" xfId="2604" applyFont="1" applyFill="1" applyBorder="1" applyAlignment="1">
      <alignment horizontal="right"/>
    </xf>
    <xf numFmtId="41" fontId="0" fillId="45" borderId="16" xfId="2604" applyFont="1" applyFill="1" applyBorder="1"/>
    <xf numFmtId="0" fontId="0" fillId="35" borderId="0" xfId="0" applyFill="1"/>
    <xf numFmtId="18" fontId="20" fillId="0" borderId="0" xfId="0" applyNumberFormat="1" applyFont="1" applyAlignment="1">
      <alignment horizontal="right"/>
    </xf>
    <xf numFmtId="173" fontId="25" fillId="0" borderId="41" xfId="2599" applyNumberFormat="1" applyFont="1" applyBorder="1"/>
    <xf numFmtId="173" fontId="25" fillId="0" borderId="46" xfId="2599" applyNumberFormat="1" applyFont="1" applyBorder="1"/>
    <xf numFmtId="173" fontId="20" fillId="0" borderId="11" xfId="2599" applyNumberFormat="1" applyFont="1" applyBorder="1"/>
    <xf numFmtId="173" fontId="25" fillId="0" borderId="15" xfId="2599" applyNumberFormat="1" applyFont="1" applyBorder="1"/>
    <xf numFmtId="173" fontId="25" fillId="0" borderId="4" xfId="2599" applyNumberFormat="1" applyFont="1" applyBorder="1"/>
    <xf numFmtId="173" fontId="20" fillId="35" borderId="21" xfId="2599" applyNumberFormat="1" applyFont="1" applyFill="1" applyBorder="1"/>
    <xf numFmtId="173" fontId="25" fillId="0" borderId="37" xfId="2599" applyNumberFormat="1" applyFont="1" applyBorder="1"/>
    <xf numFmtId="173" fontId="20" fillId="35" borderId="22" xfId="2599" applyNumberFormat="1" applyFont="1" applyFill="1" applyBorder="1"/>
    <xf numFmtId="173" fontId="25" fillId="0" borderId="17" xfId="2599" applyNumberFormat="1" applyFont="1" applyBorder="1"/>
    <xf numFmtId="173" fontId="25" fillId="0" borderId="18" xfId="2599" applyNumberFormat="1" applyFont="1" applyBorder="1"/>
    <xf numFmtId="173" fontId="20" fillId="35" borderId="23" xfId="2599" applyNumberFormat="1" applyFont="1" applyFill="1" applyBorder="1"/>
    <xf numFmtId="173" fontId="25" fillId="0" borderId="38" xfId="2599" applyNumberFormat="1" applyFont="1" applyBorder="1"/>
    <xf numFmtId="173" fontId="20" fillId="35" borderId="11" xfId="2599" applyNumberFormat="1" applyFont="1" applyFill="1" applyBorder="1"/>
    <xf numFmtId="173" fontId="20" fillId="0" borderId="14" xfId="2599" applyNumberFormat="1" applyFont="1" applyBorder="1"/>
    <xf numFmtId="173" fontId="22" fillId="35" borderId="11" xfId="2599" applyNumberFormat="1" applyFont="1" applyFill="1" applyBorder="1"/>
    <xf numFmtId="173" fontId="20" fillId="0" borderId="15" xfId="0" applyNumberFormat="1" applyFont="1" applyBorder="1" applyAlignment="1">
      <alignment horizontal="center"/>
    </xf>
    <xf numFmtId="173" fontId="20" fillId="0" borderId="35" xfId="0" applyNumberFormat="1" applyFont="1" applyBorder="1"/>
    <xf numFmtId="173" fontId="25" fillId="0" borderId="0" xfId="0" applyNumberFormat="1" applyFont="1"/>
    <xf numFmtId="173" fontId="25" fillId="33" borderId="0" xfId="0" applyNumberFormat="1" applyFont="1" applyFill="1"/>
    <xf numFmtId="173" fontId="25" fillId="0" borderId="51" xfId="2599" applyNumberFormat="1" applyFont="1" applyBorder="1"/>
    <xf numFmtId="173" fontId="25" fillId="0" borderId="40" xfId="2599" applyNumberFormat="1" applyFont="1" applyBorder="1"/>
    <xf numFmtId="173" fontId="25" fillId="0" borderId="52" xfId="2599" applyNumberFormat="1" applyFont="1" applyBorder="1"/>
    <xf numFmtId="173" fontId="25" fillId="0" borderId="47" xfId="2599" applyNumberFormat="1" applyFont="1" applyBorder="1"/>
    <xf numFmtId="173" fontId="25" fillId="0" borderId="21" xfId="2601" applyNumberFormat="1" applyFont="1" applyBorder="1"/>
    <xf numFmtId="173" fontId="25" fillId="0" borderId="21" xfId="2599" applyNumberFormat="1" applyFont="1" applyBorder="1"/>
    <xf numFmtId="173" fontId="20" fillId="38" borderId="54" xfId="2599" applyNumberFormat="1" applyFont="1" applyFill="1" applyBorder="1"/>
    <xf numFmtId="173" fontId="20" fillId="0" borderId="16" xfId="0" applyNumberFormat="1" applyFont="1" applyBorder="1" applyAlignment="1">
      <alignment horizontal="center"/>
    </xf>
    <xf numFmtId="173" fontId="20" fillId="0" borderId="36" xfId="0" applyNumberFormat="1" applyFont="1" applyBorder="1"/>
    <xf numFmtId="173" fontId="25" fillId="0" borderId="16" xfId="2599" applyNumberFormat="1" applyFont="1" applyBorder="1"/>
    <xf numFmtId="173" fontId="25" fillId="0" borderId="3" xfId="2599" applyNumberFormat="1" applyFont="1" applyBorder="1"/>
    <xf numFmtId="173" fontId="25" fillId="0" borderId="49" xfId="2599" applyNumberFormat="1" applyFont="1" applyBorder="1"/>
    <xf numFmtId="173" fontId="25" fillId="0" borderId="48" xfId="2599" applyNumberFormat="1" applyFont="1" applyBorder="1"/>
    <xf numFmtId="173" fontId="25" fillId="0" borderId="22" xfId="2599" applyNumberFormat="1" applyFont="1" applyBorder="1"/>
    <xf numFmtId="173" fontId="25" fillId="0" borderId="43" xfId="2599" applyNumberFormat="1" applyFont="1" applyBorder="1"/>
    <xf numFmtId="173" fontId="20" fillId="38" borderId="55" xfId="2599" applyNumberFormat="1" applyFont="1" applyFill="1" applyBorder="1"/>
    <xf numFmtId="173" fontId="25" fillId="0" borderId="22" xfId="2601" applyNumberFormat="1" applyFont="1" applyBorder="1"/>
    <xf numFmtId="173" fontId="20" fillId="0" borderId="17" xfId="0" applyNumberFormat="1" applyFont="1" applyBorder="1" applyAlignment="1">
      <alignment horizontal="center"/>
    </xf>
    <xf numFmtId="173" fontId="20" fillId="0" borderId="39" xfId="0" applyNumberFormat="1" applyFont="1" applyBorder="1"/>
    <xf numFmtId="173" fontId="25" fillId="0" borderId="23" xfId="2601" applyNumberFormat="1" applyFont="1" applyBorder="1"/>
    <xf numFmtId="173" fontId="20" fillId="0" borderId="5" xfId="0" applyNumberFormat="1" applyFont="1" applyBorder="1"/>
    <xf numFmtId="173" fontId="20" fillId="0" borderId="11" xfId="0" applyNumberFormat="1" applyFont="1" applyBorder="1" applyAlignment="1">
      <alignment horizontal="center"/>
    </xf>
    <xf numFmtId="173" fontId="20" fillId="0" borderId="0" xfId="0" applyNumberFormat="1" applyFont="1"/>
    <xf numFmtId="173" fontId="20" fillId="0" borderId="13" xfId="2599" applyNumberFormat="1" applyFont="1" applyBorder="1"/>
    <xf numFmtId="173" fontId="20" fillId="38" borderId="11" xfId="2599" applyNumberFormat="1" applyFont="1" applyFill="1" applyBorder="1"/>
    <xf numFmtId="173" fontId="20" fillId="0" borderId="13" xfId="2601" applyNumberFormat="1" applyFont="1" applyBorder="1"/>
    <xf numFmtId="173" fontId="25" fillId="0" borderId="0" xfId="2601" applyNumberFormat="1" applyFont="1"/>
    <xf numFmtId="173" fontId="20" fillId="0" borderId="51" xfId="0" applyNumberFormat="1" applyFont="1" applyBorder="1" applyAlignment="1">
      <alignment horizontal="center"/>
    </xf>
    <xf numFmtId="173" fontId="20" fillId="0" borderId="40" xfId="0" applyNumberFormat="1" applyFont="1" applyBorder="1"/>
    <xf numFmtId="173" fontId="25" fillId="0" borderId="21" xfId="2604" applyNumberFormat="1" applyFont="1" applyBorder="1"/>
    <xf numFmtId="173" fontId="25" fillId="0" borderId="9" xfId="0" applyNumberFormat="1" applyFont="1" applyBorder="1"/>
    <xf numFmtId="173" fontId="20" fillId="0" borderId="3" xfId="0" applyNumberFormat="1" applyFont="1" applyBorder="1"/>
    <xf numFmtId="173" fontId="25" fillId="0" borderId="22" xfId="2604" applyNumberFormat="1" applyFont="1" applyBorder="1"/>
    <xf numFmtId="173" fontId="25" fillId="0" borderId="61" xfId="2599" applyNumberFormat="1" applyFont="1" applyBorder="1"/>
    <xf numFmtId="173" fontId="20" fillId="0" borderId="59" xfId="0" applyNumberFormat="1" applyFont="1" applyBorder="1" applyAlignment="1">
      <alignment horizontal="center"/>
    </xf>
    <xf numFmtId="173" fontId="20" fillId="0" borderId="58" xfId="0" applyNumberFormat="1" applyFont="1" applyBorder="1"/>
    <xf numFmtId="173" fontId="25" fillId="0" borderId="63" xfId="2599" applyNumberFormat="1" applyFont="1" applyBorder="1"/>
    <xf numFmtId="173" fontId="25" fillId="0" borderId="64" xfId="2599" applyNumberFormat="1" applyFont="1" applyBorder="1"/>
    <xf numFmtId="173" fontId="20" fillId="0" borderId="18" xfId="0" applyNumberFormat="1" applyFont="1" applyBorder="1"/>
    <xf numFmtId="173" fontId="25" fillId="0" borderId="23" xfId="2599" applyNumberFormat="1" applyFont="1" applyBorder="1"/>
    <xf numFmtId="173" fontId="25" fillId="0" borderId="66" xfId="2599" applyNumberFormat="1" applyFont="1" applyBorder="1"/>
    <xf numFmtId="173" fontId="20" fillId="0" borderId="50" xfId="0" applyNumberFormat="1" applyFont="1" applyBorder="1"/>
    <xf numFmtId="173" fontId="20" fillId="0" borderId="13" xfId="0" applyNumberFormat="1" applyFont="1" applyBorder="1" applyAlignment="1">
      <alignment horizontal="center"/>
    </xf>
    <xf numFmtId="173" fontId="20" fillId="34" borderId="13" xfId="2599" applyNumberFormat="1" applyFont="1" applyFill="1" applyBorder="1"/>
    <xf numFmtId="173" fontId="25" fillId="0" borderId="2" xfId="0" applyNumberFormat="1" applyFont="1" applyBorder="1"/>
    <xf numFmtId="173" fontId="25" fillId="0" borderId="10" xfId="0" applyNumberFormat="1" applyFont="1" applyBorder="1"/>
    <xf numFmtId="173" fontId="25" fillId="0" borderId="35" xfId="2599" applyNumberFormat="1" applyFont="1" applyBorder="1"/>
    <xf numFmtId="173" fontId="53" fillId="34" borderId="0" xfId="0" applyNumberFormat="1" applyFont="1" applyFill="1"/>
    <xf numFmtId="173" fontId="0" fillId="0" borderId="0" xfId="0" applyNumberFormat="1"/>
    <xf numFmtId="173" fontId="25" fillId="0" borderId="58" xfId="2599" applyNumberFormat="1" applyFont="1" applyBorder="1"/>
    <xf numFmtId="173" fontId="25" fillId="0" borderId="62" xfId="2599" applyNumberFormat="1" applyFont="1" applyBorder="1"/>
    <xf numFmtId="173" fontId="25" fillId="0" borderId="60" xfId="2599" applyNumberFormat="1" applyFont="1" applyBorder="1"/>
    <xf numFmtId="173" fontId="20" fillId="36" borderId="11" xfId="2599" applyNumberFormat="1" applyFont="1" applyFill="1" applyBorder="1"/>
    <xf numFmtId="173" fontId="25" fillId="0" borderId="0" xfId="2599" applyNumberFormat="1" applyFont="1"/>
    <xf numFmtId="173" fontId="25" fillId="33" borderId="0" xfId="2599" applyNumberFormat="1" applyFont="1" applyFill="1"/>
    <xf numFmtId="173" fontId="20" fillId="34" borderId="11" xfId="2599" applyNumberFormat="1" applyFont="1" applyFill="1" applyBorder="1"/>
    <xf numFmtId="173" fontId="20" fillId="38" borderId="21" xfId="2599" applyNumberFormat="1" applyFont="1" applyFill="1" applyBorder="1"/>
    <xf numFmtId="173" fontId="25" fillId="0" borderId="12" xfId="2601" applyNumberFormat="1" applyFont="1" applyBorder="1"/>
    <xf numFmtId="173" fontId="20" fillId="38" borderId="22" xfId="2599" applyNumberFormat="1" applyFont="1" applyFill="1" applyBorder="1"/>
    <xf numFmtId="173" fontId="25" fillId="0" borderId="44" xfId="2601" applyNumberFormat="1" applyFont="1" applyBorder="1"/>
    <xf numFmtId="173" fontId="20" fillId="0" borderId="70" xfId="0" applyNumberFormat="1" applyFont="1" applyBorder="1"/>
    <xf numFmtId="173" fontId="20" fillId="0" borderId="69" xfId="0" applyNumberFormat="1" applyFont="1" applyBorder="1"/>
    <xf numFmtId="41" fontId="25" fillId="0" borderId="44" xfId="2601" applyFont="1" applyBorder="1"/>
    <xf numFmtId="0" fontId="20" fillId="0" borderId="53" xfId="0" applyFont="1" applyBorder="1" applyAlignment="1">
      <alignment horizontal="center" vertical="center" wrapText="1"/>
    </xf>
    <xf numFmtId="4" fontId="19" fillId="0" borderId="0" xfId="0" applyNumberFormat="1" applyFont="1" applyAlignment="1">
      <alignment vertical="top"/>
    </xf>
    <xf numFmtId="0" fontId="0" fillId="53" borderId="0" xfId="0" applyFill="1"/>
    <xf numFmtId="0" fontId="0" fillId="53" borderId="0" xfId="0" applyFill="1" applyAlignment="1">
      <alignment vertical="top"/>
    </xf>
    <xf numFmtId="4" fontId="0" fillId="53" borderId="0" xfId="0" applyNumberFormat="1" applyFill="1" applyAlignment="1">
      <alignment vertical="top"/>
    </xf>
    <xf numFmtId="0" fontId="0" fillId="36" borderId="0" xfId="0" applyFill="1" applyAlignment="1">
      <alignment vertical="top"/>
    </xf>
    <xf numFmtId="0" fontId="0" fillId="54" borderId="0" xfId="0" applyFill="1" applyAlignment="1">
      <alignment vertical="top"/>
    </xf>
    <xf numFmtId="4" fontId="0" fillId="54" borderId="0" xfId="0" applyNumberFormat="1" applyFill="1" applyAlignment="1">
      <alignment vertical="top"/>
    </xf>
    <xf numFmtId="0" fontId="0" fillId="54" borderId="0" xfId="0" applyFill="1"/>
    <xf numFmtId="165" fontId="25" fillId="0" borderId="71" xfId="2599" applyNumberFormat="1" applyFont="1" applyBorder="1"/>
    <xf numFmtId="0" fontId="20" fillId="0" borderId="12" xfId="0" applyFont="1" applyBorder="1" applyAlignment="1">
      <alignment horizontal="center" vertical="center" wrapText="1"/>
    </xf>
    <xf numFmtId="165" fontId="20" fillId="0" borderId="13" xfId="2599" applyNumberFormat="1" applyFont="1" applyBorder="1"/>
    <xf numFmtId="43" fontId="25" fillId="0" borderId="22" xfId="2599" applyFont="1" applyBorder="1"/>
    <xf numFmtId="43" fontId="25" fillId="0" borderId="23" xfId="2599" applyFont="1" applyBorder="1"/>
    <xf numFmtId="0" fontId="19" fillId="0" borderId="0" xfId="0" applyFont="1" applyAlignment="1">
      <alignment vertical="top"/>
    </xf>
    <xf numFmtId="173" fontId="25" fillId="0" borderId="40" xfId="2599" applyNumberFormat="1" applyFont="1" applyFill="1" applyBorder="1"/>
    <xf numFmtId="173" fontId="25" fillId="0" borderId="15" xfId="2599" applyNumberFormat="1" applyFont="1" applyFill="1" applyBorder="1"/>
    <xf numFmtId="173" fontId="25" fillId="0" borderId="37" xfId="2599" applyNumberFormat="1" applyFont="1" applyFill="1" applyBorder="1"/>
    <xf numFmtId="0" fontId="22" fillId="0" borderId="0" xfId="0" applyFont="1" applyAlignment="1">
      <alignment horizontal="center" vertical="center" wrapText="1"/>
    </xf>
    <xf numFmtId="0" fontId="25" fillId="0" borderId="0" xfId="2611" applyFont="1"/>
    <xf numFmtId="0" fontId="25" fillId="33" borderId="0" xfId="2611" applyFont="1" applyFill="1"/>
    <xf numFmtId="170" fontId="25" fillId="0" borderId="0" xfId="2612" applyNumberFormat="1" applyFont="1"/>
    <xf numFmtId="0" fontId="20" fillId="0" borderId="7" xfId="2611" applyFont="1" applyBorder="1"/>
    <xf numFmtId="0" fontId="20" fillId="0" borderId="1" xfId="2611" applyFont="1" applyBorder="1"/>
    <xf numFmtId="14" fontId="20" fillId="0" borderId="1" xfId="2611" applyNumberFormat="1" applyFont="1" applyBorder="1"/>
    <xf numFmtId="0" fontId="25" fillId="0" borderId="1" xfId="2611" applyFont="1" applyBorder="1"/>
    <xf numFmtId="0" fontId="20" fillId="0" borderId="8" xfId="2611" applyFont="1" applyBorder="1"/>
    <xf numFmtId="0" fontId="20" fillId="0" borderId="0" xfId="2611" applyFont="1"/>
    <xf numFmtId="170" fontId="20" fillId="0" borderId="0" xfId="2612" applyNumberFormat="1" applyFont="1"/>
    <xf numFmtId="0" fontId="20" fillId="0" borderId="6" xfId="2611" applyFont="1" applyBorder="1"/>
    <xf numFmtId="0" fontId="58" fillId="0" borderId="0" xfId="2611" applyFont="1"/>
    <xf numFmtId="0" fontId="48" fillId="0" borderId="0" xfId="2611" applyFont="1"/>
    <xf numFmtId="0" fontId="25" fillId="0" borderId="9" xfId="2611" applyFont="1" applyBorder="1"/>
    <xf numFmtId="14" fontId="20" fillId="0" borderId="9" xfId="2611" applyNumberFormat="1" applyFont="1" applyBorder="1"/>
    <xf numFmtId="0" fontId="51" fillId="0" borderId="0" xfId="2611" applyFont="1"/>
    <xf numFmtId="0" fontId="23" fillId="0" borderId="0" xfId="2611" applyFont="1"/>
    <xf numFmtId="0" fontId="20" fillId="0" borderId="9" xfId="2611" applyFont="1" applyBorder="1"/>
    <xf numFmtId="0" fontId="50" fillId="0" borderId="0" xfId="2611" applyFont="1"/>
    <xf numFmtId="14" fontId="20" fillId="0" borderId="0" xfId="2611" applyNumberFormat="1" applyFont="1"/>
    <xf numFmtId="0" fontId="49" fillId="0" borderId="0" xfId="2611" applyFont="1"/>
    <xf numFmtId="172" fontId="20" fillId="0" borderId="0" xfId="2611" applyNumberFormat="1" applyFont="1" applyAlignment="1">
      <alignment horizontal="right"/>
    </xf>
    <xf numFmtId="0" fontId="54" fillId="0" borderId="0" xfId="2611" applyFont="1"/>
    <xf numFmtId="0" fontId="20" fillId="0" borderId="19" xfId="2611" applyFont="1" applyBorder="1" applyAlignment="1">
      <alignment horizontal="center" vertical="center" wrapText="1"/>
    </xf>
    <xf numFmtId="0" fontId="20" fillId="0" borderId="33" xfId="2611" applyFont="1" applyBorder="1" applyAlignment="1">
      <alignment horizontal="center" vertical="center" wrapText="1"/>
    </xf>
    <xf numFmtId="0" fontId="20" fillId="0" borderId="20" xfId="2611" applyFont="1" applyBorder="1" applyAlignment="1">
      <alignment horizontal="center" vertical="center" wrapText="1"/>
    </xf>
    <xf numFmtId="0" fontId="20" fillId="51" borderId="33" xfId="2611" applyFont="1" applyFill="1" applyBorder="1" applyAlignment="1">
      <alignment horizontal="center" vertical="center" wrapText="1"/>
    </xf>
    <xf numFmtId="0" fontId="20" fillId="35" borderId="11" xfId="2611" applyFont="1" applyFill="1" applyBorder="1" applyAlignment="1">
      <alignment horizontal="center" vertical="center" wrapText="1"/>
    </xf>
    <xf numFmtId="0" fontId="20" fillId="0" borderId="0" xfId="2611" applyFont="1" applyAlignment="1">
      <alignment horizontal="center" vertical="center" wrapText="1"/>
    </xf>
    <xf numFmtId="0" fontId="20" fillId="35" borderId="56" xfId="2611" applyFont="1" applyFill="1" applyBorder="1" applyAlignment="1">
      <alignment horizontal="center" vertical="center" wrapText="1"/>
    </xf>
    <xf numFmtId="0" fontId="20" fillId="35" borderId="57" xfId="2611" applyFont="1" applyFill="1" applyBorder="1" applyAlignment="1">
      <alignment horizontal="center" vertical="center" wrapText="1"/>
    </xf>
    <xf numFmtId="0" fontId="20" fillId="35" borderId="65" xfId="2611" applyFont="1" applyFill="1" applyBorder="1" applyAlignment="1">
      <alignment horizontal="center" vertical="center" wrapText="1"/>
    </xf>
    <xf numFmtId="170" fontId="20" fillId="0" borderId="0" xfId="2612" applyNumberFormat="1" applyFont="1" applyAlignment="1">
      <alignment horizontal="center" vertical="center" wrapText="1"/>
    </xf>
    <xf numFmtId="173" fontId="20" fillId="0" borderId="15" xfId="2611" applyNumberFormat="1" applyFont="1" applyBorder="1" applyAlignment="1">
      <alignment horizontal="center"/>
    </xf>
    <xf numFmtId="173" fontId="20" fillId="0" borderId="35" xfId="2611" applyNumberFormat="1" applyFont="1" applyBorder="1"/>
    <xf numFmtId="173" fontId="25" fillId="0" borderId="15" xfId="2602" applyNumberFormat="1" applyFont="1" applyBorder="1"/>
    <xf numFmtId="173" fontId="25" fillId="0" borderId="4" xfId="2602" applyNumberFormat="1" applyFont="1" applyBorder="1"/>
    <xf numFmtId="173" fontId="20" fillId="35" borderId="22" xfId="2602" applyNumberFormat="1" applyFont="1" applyFill="1" applyBorder="1"/>
    <xf numFmtId="173" fontId="25" fillId="0" borderId="0" xfId="2611" applyNumberFormat="1" applyFont="1"/>
    <xf numFmtId="173" fontId="25" fillId="33" borderId="0" xfId="2611" applyNumberFormat="1" applyFont="1" applyFill="1"/>
    <xf numFmtId="173" fontId="25" fillId="0" borderId="51" xfId="2602" applyNumberFormat="1" applyFont="1" applyBorder="1"/>
    <xf numFmtId="173" fontId="25" fillId="0" borderId="40" xfId="2602" applyNumberFormat="1" applyFont="1" applyBorder="1"/>
    <xf numFmtId="173" fontId="25" fillId="0" borderId="0" xfId="2612" applyNumberFormat="1" applyFont="1"/>
    <xf numFmtId="173" fontId="20" fillId="0" borderId="16" xfId="2611" applyNumberFormat="1" applyFont="1" applyBorder="1" applyAlignment="1">
      <alignment horizontal="center"/>
    </xf>
    <xf numFmtId="173" fontId="20" fillId="0" borderId="36" xfId="2611" applyNumberFormat="1" applyFont="1" applyBorder="1"/>
    <xf numFmtId="173" fontId="25" fillId="0" borderId="16" xfId="2602" applyNumberFormat="1" applyFont="1" applyBorder="1"/>
    <xf numFmtId="173" fontId="25" fillId="0" borderId="3" xfId="2602" applyNumberFormat="1" applyFont="1" applyBorder="1"/>
    <xf numFmtId="173" fontId="20" fillId="0" borderId="17" xfId="2611" applyNumberFormat="1" applyFont="1" applyBorder="1" applyAlignment="1">
      <alignment horizontal="center"/>
    </xf>
    <xf numFmtId="173" fontId="20" fillId="0" borderId="39" xfId="2611" applyNumberFormat="1" applyFont="1" applyBorder="1"/>
    <xf numFmtId="173" fontId="25" fillId="0" borderId="17" xfId="2602" applyNumberFormat="1" applyFont="1" applyBorder="1"/>
    <xf numFmtId="173" fontId="25" fillId="0" borderId="18" xfId="2602" applyNumberFormat="1" applyFont="1" applyBorder="1"/>
    <xf numFmtId="173" fontId="20" fillId="0" borderId="5" xfId="2611" applyNumberFormat="1" applyFont="1" applyBorder="1"/>
    <xf numFmtId="173" fontId="20" fillId="0" borderId="11" xfId="2611" applyNumberFormat="1" applyFont="1" applyBorder="1" applyAlignment="1">
      <alignment horizontal="center"/>
    </xf>
    <xf numFmtId="173" fontId="20" fillId="0" borderId="11" xfId="2602" applyNumberFormat="1" applyFont="1" applyBorder="1"/>
    <xf numFmtId="173" fontId="20" fillId="35" borderId="11" xfId="2602" applyNumberFormat="1" applyFont="1" applyFill="1" applyBorder="1"/>
    <xf numFmtId="173" fontId="20" fillId="0" borderId="0" xfId="2611" applyNumberFormat="1" applyFont="1"/>
    <xf numFmtId="173" fontId="20" fillId="0" borderId="13" xfId="2602" applyNumberFormat="1" applyFont="1" applyBorder="1"/>
    <xf numFmtId="173" fontId="20" fillId="0" borderId="13" xfId="2612" applyNumberFormat="1" applyFont="1" applyBorder="1"/>
    <xf numFmtId="6" fontId="25" fillId="0" borderId="0" xfId="2611" applyNumberFormat="1" applyFont="1"/>
    <xf numFmtId="165" fontId="25" fillId="0" borderId="0" xfId="2602" applyNumberFormat="1" applyFont="1"/>
    <xf numFmtId="165" fontId="20" fillId="39" borderId="11" xfId="2602" applyNumberFormat="1" applyFont="1" applyFill="1" applyBorder="1"/>
    <xf numFmtId="165" fontId="25" fillId="0" borderId="2" xfId="2602" applyNumberFormat="1" applyFont="1" applyBorder="1"/>
    <xf numFmtId="165" fontId="25" fillId="0" borderId="0" xfId="2611" applyNumberFormat="1" applyFont="1"/>
    <xf numFmtId="0" fontId="25" fillId="37" borderId="0" xfId="2611" applyFont="1" applyFill="1"/>
    <xf numFmtId="0" fontId="20" fillId="37" borderId="0" xfId="2611" applyFont="1" applyFill="1"/>
    <xf numFmtId="165" fontId="25" fillId="37" borderId="0" xfId="2602" applyNumberFormat="1" applyFont="1" applyFill="1"/>
    <xf numFmtId="170" fontId="25" fillId="37" borderId="0" xfId="2612" applyNumberFormat="1" applyFont="1" applyFill="1"/>
    <xf numFmtId="0" fontId="25" fillId="56" borderId="0" xfId="2611" applyFont="1" applyFill="1"/>
    <xf numFmtId="14" fontId="25" fillId="0" borderId="0" xfId="2611" applyNumberFormat="1" applyFont="1"/>
    <xf numFmtId="0" fontId="0" fillId="57" borderId="0" xfId="0" applyFill="1"/>
    <xf numFmtId="0" fontId="0" fillId="57" borderId="0" xfId="0" applyFill="1" applyAlignment="1">
      <alignment vertical="top"/>
    </xf>
    <xf numFmtId="4" fontId="0" fillId="57" borderId="0" xfId="0" applyNumberFormat="1" applyFill="1" applyAlignment="1">
      <alignment vertical="top"/>
    </xf>
    <xf numFmtId="0" fontId="20" fillId="35" borderId="12" xfId="2611" applyFont="1" applyFill="1" applyBorder="1" applyAlignment="1">
      <alignment horizontal="center" vertical="center" wrapText="1"/>
    </xf>
    <xf numFmtId="173" fontId="20" fillId="34" borderId="13" xfId="2602" applyNumberFormat="1" applyFont="1" applyFill="1" applyBorder="1"/>
    <xf numFmtId="173" fontId="20" fillId="34" borderId="3" xfId="2602" applyNumberFormat="1" applyFont="1" applyFill="1" applyBorder="1"/>
    <xf numFmtId="173" fontId="20" fillId="34" borderId="40" xfId="2602" applyNumberFormat="1" applyFont="1" applyFill="1" applyBorder="1"/>
    <xf numFmtId="173" fontId="25" fillId="0" borderId="52" xfId="2612" applyNumberFormat="1" applyFont="1" applyBorder="1"/>
    <xf numFmtId="173" fontId="25" fillId="0" borderId="49" xfId="2612" applyNumberFormat="1" applyFont="1" applyBorder="1"/>
    <xf numFmtId="173" fontId="20" fillId="34" borderId="18" xfId="2602" applyNumberFormat="1" applyFont="1" applyFill="1" applyBorder="1"/>
    <xf numFmtId="173" fontId="25" fillId="0" borderId="46" xfId="2612" applyNumberFormat="1" applyFont="1" applyBorder="1"/>
    <xf numFmtId="0" fontId="25" fillId="34" borderId="0" xfId="0" applyFont="1" applyFill="1" applyAlignment="1">
      <alignment horizontal="center"/>
    </xf>
    <xf numFmtId="173" fontId="20" fillId="0" borderId="5" xfId="2599" applyNumberFormat="1" applyFont="1" applyBorder="1"/>
    <xf numFmtId="0" fontId="49" fillId="36" borderId="0" xfId="0" applyFont="1" applyFill="1"/>
    <xf numFmtId="0" fontId="20" fillId="36" borderId="0" xfId="0" applyFont="1" applyFill="1"/>
    <xf numFmtId="0" fontId="25" fillId="36" borderId="0" xfId="0" applyFont="1" applyFill="1"/>
    <xf numFmtId="165" fontId="25" fillId="33" borderId="0" xfId="2602" applyNumberFormat="1" applyFont="1" applyFill="1"/>
    <xf numFmtId="0" fontId="49" fillId="33" borderId="0" xfId="0" applyFont="1" applyFill="1"/>
    <xf numFmtId="0" fontId="59" fillId="58" borderId="0" xfId="0" applyFont="1" applyFill="1"/>
    <xf numFmtId="0" fontId="60" fillId="58" borderId="0" xfId="0" applyFont="1" applyFill="1"/>
    <xf numFmtId="0" fontId="61" fillId="58" borderId="0" xfId="0" applyFont="1" applyFill="1"/>
    <xf numFmtId="170" fontId="25" fillId="0" borderId="15" xfId="2604" applyNumberFormat="1" applyFont="1" applyBorder="1"/>
    <xf numFmtId="170" fontId="25" fillId="0" borderId="0" xfId="2604" applyNumberFormat="1" applyFont="1"/>
    <xf numFmtId="170" fontId="25" fillId="33" borderId="0" xfId="2604" applyNumberFormat="1" applyFont="1" applyFill="1"/>
    <xf numFmtId="170" fontId="20" fillId="0" borderId="15" xfId="2604" applyNumberFormat="1" applyFont="1" applyBorder="1" applyAlignment="1">
      <alignment horizontal="center"/>
    </xf>
    <xf numFmtId="170" fontId="20" fillId="0" borderId="35" xfId="2604" applyNumberFormat="1" applyFont="1" applyBorder="1"/>
    <xf numFmtId="170" fontId="20" fillId="0" borderId="16" xfId="2604" applyNumberFormat="1" applyFont="1" applyBorder="1" applyAlignment="1">
      <alignment horizontal="center"/>
    </xf>
    <xf numFmtId="170" fontId="20" fillId="0" borderId="36" xfId="2604" applyNumberFormat="1" applyFont="1" applyBorder="1"/>
    <xf numFmtId="170" fontId="20" fillId="0" borderId="17" xfId="2604" applyNumberFormat="1" applyFont="1" applyBorder="1" applyAlignment="1">
      <alignment horizontal="center"/>
    </xf>
    <xf numFmtId="170" fontId="20" fillId="0" borderId="39" xfId="2604" applyNumberFormat="1" applyFont="1" applyBorder="1"/>
    <xf numFmtId="170" fontId="20" fillId="0" borderId="0" xfId="2604" applyNumberFormat="1" applyFont="1"/>
    <xf numFmtId="170" fontId="20" fillId="0" borderId="5" xfId="2604" applyNumberFormat="1" applyFont="1" applyBorder="1"/>
    <xf numFmtId="170" fontId="20" fillId="0" borderId="11" xfId="2604" applyNumberFormat="1" applyFont="1" applyBorder="1" applyAlignment="1">
      <alignment horizontal="center"/>
    </xf>
    <xf numFmtId="0" fontId="59" fillId="37" borderId="0" xfId="0" applyFont="1" applyFill="1"/>
    <xf numFmtId="0" fontId="60" fillId="37" borderId="0" xfId="0" applyFont="1" applyFill="1"/>
    <xf numFmtId="0" fontId="61" fillId="37" borderId="0" xfId="0" applyFont="1" applyFill="1"/>
    <xf numFmtId="41" fontId="0" fillId="37" borderId="0" xfId="2604" applyFont="1" applyFill="1"/>
    <xf numFmtId="0" fontId="0" fillId="37" borderId="0" xfId="0" applyFill="1" applyAlignment="1">
      <alignment horizontal="center"/>
    </xf>
    <xf numFmtId="41" fontId="0" fillId="37" borderId="0" xfId="2601" applyFont="1" applyFill="1"/>
    <xf numFmtId="43" fontId="0" fillId="37" borderId="0" xfId="0" applyNumberFormat="1" applyFill="1"/>
    <xf numFmtId="41" fontId="41" fillId="0" borderId="0" xfId="2601" applyFont="1" applyFill="1" applyBorder="1" applyAlignment="1">
      <alignment horizontal="center"/>
    </xf>
    <xf numFmtId="171" fontId="0" fillId="0" borderId="0" xfId="2601" applyNumberFormat="1" applyFont="1" applyFill="1" applyBorder="1"/>
    <xf numFmtId="171" fontId="0" fillId="0" borderId="0" xfId="2601" applyNumberFormat="1" applyFont="1" applyFill="1"/>
    <xf numFmtId="171" fontId="22" fillId="0" borderId="0" xfId="2601" applyNumberFormat="1" applyFont="1" applyFill="1" applyBorder="1"/>
    <xf numFmtId="41" fontId="41" fillId="34" borderId="45" xfId="2601" applyFont="1" applyFill="1" applyBorder="1" applyAlignment="1">
      <alignment horizontal="center"/>
    </xf>
    <xf numFmtId="0" fontId="19" fillId="0" borderId="0" xfId="0" applyFont="1" applyAlignment="1">
      <alignment horizontal="center"/>
    </xf>
    <xf numFmtId="41" fontId="41" fillId="38" borderId="33" xfId="2601" applyFont="1" applyFill="1" applyBorder="1" applyAlignment="1">
      <alignment horizontal="center"/>
    </xf>
    <xf numFmtId="0" fontId="0" fillId="0" borderId="3" xfId="0" applyBorder="1"/>
    <xf numFmtId="0" fontId="22" fillId="0" borderId="19" xfId="0" applyFont="1" applyBorder="1"/>
    <xf numFmtId="0" fontId="22" fillId="0" borderId="45" xfId="0" applyFont="1" applyBorder="1"/>
    <xf numFmtId="41" fontId="41" fillId="38" borderId="19" xfId="2601" applyFont="1" applyFill="1" applyBorder="1" applyAlignment="1">
      <alignment horizontal="center"/>
    </xf>
    <xf numFmtId="41" fontId="41" fillId="38" borderId="11" xfId="2601" applyFont="1" applyFill="1" applyBorder="1" applyAlignment="1">
      <alignment horizontal="center"/>
    </xf>
    <xf numFmtId="0" fontId="0" fillId="0" borderId="72" xfId="0" applyBorder="1" applyAlignment="1">
      <alignment horizontal="center"/>
    </xf>
    <xf numFmtId="0" fontId="0" fillId="0" borderId="55" xfId="0" applyBorder="1" applyAlignment="1">
      <alignment horizontal="center"/>
    </xf>
    <xf numFmtId="0" fontId="0" fillId="0" borderId="68" xfId="0" applyBorder="1" applyAlignment="1">
      <alignment horizontal="center"/>
    </xf>
    <xf numFmtId="171" fontId="0" fillId="0" borderId="54" xfId="2601" applyNumberFormat="1" applyFont="1" applyBorder="1"/>
    <xf numFmtId="0" fontId="0" fillId="0" borderId="40" xfId="0" applyBorder="1"/>
    <xf numFmtId="171" fontId="0" fillId="0" borderId="52" xfId="2601" applyNumberFormat="1" applyFont="1" applyBorder="1"/>
    <xf numFmtId="171" fontId="0" fillId="0" borderId="55" xfId="2601" applyNumberFormat="1" applyFont="1" applyBorder="1"/>
    <xf numFmtId="171" fontId="0" fillId="0" borderId="68" xfId="2601" applyNumberFormat="1" applyFont="1" applyBorder="1"/>
    <xf numFmtId="0" fontId="0" fillId="0" borderId="18" xfId="0" applyBorder="1"/>
    <xf numFmtId="0" fontId="55" fillId="37" borderId="0" xfId="0" applyFont="1" applyFill="1"/>
    <xf numFmtId="17" fontId="41" fillId="0" borderId="3" xfId="0" applyNumberFormat="1" applyFont="1" applyBorder="1" applyAlignment="1">
      <alignment horizontal="center" vertical="center" wrapText="1"/>
    </xf>
    <xf numFmtId="174" fontId="25" fillId="0" borderId="21" xfId="2601" applyNumberFormat="1" applyFont="1" applyBorder="1"/>
    <xf numFmtId="174" fontId="25" fillId="0" borderId="22" xfId="2601" applyNumberFormat="1" applyFont="1" applyBorder="1"/>
    <xf numFmtId="174" fontId="25" fillId="0" borderId="23" xfId="2601" applyNumberFormat="1" applyFont="1" applyBorder="1"/>
    <xf numFmtId="174" fontId="20" fillId="0" borderId="13" xfId="2601" applyNumberFormat="1" applyFont="1" applyBorder="1"/>
    <xf numFmtId="176" fontId="25" fillId="0" borderId="0" xfId="0" applyNumberFormat="1" applyFont="1"/>
    <xf numFmtId="0" fontId="41" fillId="34" borderId="0" xfId="2601" applyNumberFormat="1" applyFont="1" applyFill="1" applyBorder="1" applyAlignment="1">
      <alignment horizontal="center"/>
    </xf>
    <xf numFmtId="41" fontId="0" fillId="0" borderId="11" xfId="2601" applyFont="1" applyBorder="1" applyAlignment="1">
      <alignment horizontal="center"/>
    </xf>
    <xf numFmtId="41" fontId="0" fillId="55" borderId="40" xfId="2601" applyFont="1" applyFill="1" applyBorder="1"/>
    <xf numFmtId="41" fontId="0" fillId="0" borderId="65" xfId="2601" applyFont="1" applyBorder="1"/>
    <xf numFmtId="41" fontId="0" fillId="55" borderId="3" xfId="2601" applyFont="1" applyFill="1" applyBorder="1"/>
    <xf numFmtId="41" fontId="0" fillId="0" borderId="4" xfId="2601" applyFont="1" applyBorder="1"/>
    <xf numFmtId="41" fontId="0" fillId="0" borderId="64" xfId="2601" applyFont="1" applyBorder="1"/>
    <xf numFmtId="41" fontId="0" fillId="0" borderId="58" xfId="2601" applyFont="1" applyBorder="1"/>
    <xf numFmtId="41" fontId="41" fillId="34" borderId="64" xfId="2601" applyFont="1" applyFill="1" applyBorder="1"/>
    <xf numFmtId="41" fontId="0" fillId="55" borderId="18" xfId="2601" applyFont="1" applyFill="1" applyBorder="1"/>
    <xf numFmtId="41" fontId="41" fillId="34" borderId="73" xfId="2601" applyFont="1" applyFill="1" applyBorder="1"/>
    <xf numFmtId="41" fontId="41" fillId="55" borderId="51" xfId="2601" applyFont="1" applyFill="1" applyBorder="1" applyAlignment="1">
      <alignment horizontal="left"/>
    </xf>
    <xf numFmtId="41" fontId="0" fillId="55" borderId="57" xfId="2601" applyFont="1" applyFill="1" applyBorder="1"/>
    <xf numFmtId="41" fontId="41" fillId="55" borderId="16" xfId="2601" applyFont="1" applyFill="1" applyBorder="1" applyAlignment="1">
      <alignment horizontal="left"/>
    </xf>
    <xf numFmtId="41" fontId="0" fillId="55" borderId="4" xfId="2601" applyFont="1" applyFill="1" applyBorder="1"/>
    <xf numFmtId="41" fontId="41" fillId="54" borderId="16" xfId="2601" applyFont="1" applyFill="1" applyBorder="1" applyAlignment="1">
      <alignment horizontal="left"/>
    </xf>
    <xf numFmtId="41" fontId="0" fillId="54" borderId="3" xfId="2601" applyFont="1" applyFill="1" applyBorder="1"/>
    <xf numFmtId="41" fontId="0" fillId="54" borderId="58" xfId="2601" applyFont="1" applyFill="1" applyBorder="1"/>
    <xf numFmtId="41" fontId="0" fillId="54" borderId="4" xfId="2601" applyFont="1" applyFill="1" applyBorder="1"/>
    <xf numFmtId="41" fontId="41" fillId="0" borderId="16" xfId="2601" applyFont="1" applyFill="1" applyBorder="1" applyAlignment="1">
      <alignment horizontal="left"/>
    </xf>
    <xf numFmtId="41" fontId="0" fillId="0" borderId="3" xfId="2601" applyFont="1" applyFill="1" applyBorder="1"/>
    <xf numFmtId="41" fontId="41" fillId="55" borderId="17" xfId="2601" applyFont="1" applyFill="1" applyBorder="1" applyAlignment="1">
      <alignment horizontal="left"/>
    </xf>
    <xf numFmtId="175" fontId="25" fillId="0" borderId="0" xfId="2599" applyNumberFormat="1" applyFont="1"/>
    <xf numFmtId="165" fontId="25" fillId="0" borderId="0" xfId="2602" applyNumberFormat="1" applyFont="1" applyFill="1"/>
    <xf numFmtId="0" fontId="20" fillId="0" borderId="74" xfId="0" applyFont="1" applyBorder="1" applyAlignment="1">
      <alignment horizontal="center" vertical="center" wrapText="1"/>
    </xf>
    <xf numFmtId="0" fontId="20" fillId="0" borderId="67" xfId="0" applyFont="1" applyBorder="1" applyAlignment="1">
      <alignment horizontal="center" vertical="center" wrapText="1"/>
    </xf>
    <xf numFmtId="170" fontId="25" fillId="0" borderId="51" xfId="2604" applyNumberFormat="1" applyFont="1" applyBorder="1"/>
    <xf numFmtId="170" fontId="25" fillId="0" borderId="75" xfId="2604" applyNumberFormat="1" applyFont="1" applyBorder="1"/>
    <xf numFmtId="0" fontId="20" fillId="0" borderId="1" xfId="0" applyFont="1" applyBorder="1" applyAlignment="1">
      <alignment horizontal="center" vertical="center" wrapText="1"/>
    </xf>
    <xf numFmtId="0" fontId="20" fillId="0" borderId="2" xfId="0" applyFont="1" applyBorder="1"/>
    <xf numFmtId="172" fontId="20" fillId="0" borderId="2" xfId="0" applyNumberFormat="1" applyFont="1" applyBorder="1" applyAlignment="1">
      <alignment horizontal="right"/>
    </xf>
    <xf numFmtId="14" fontId="20" fillId="0" borderId="2" xfId="0" applyNumberFormat="1" applyFont="1" applyBorder="1"/>
    <xf numFmtId="0" fontId="20" fillId="0" borderId="10" xfId="0" applyFont="1" applyBorder="1"/>
    <xf numFmtId="14" fontId="20" fillId="0" borderId="10" xfId="0" applyNumberFormat="1" applyFont="1" applyBorder="1"/>
    <xf numFmtId="0" fontId="62" fillId="0" borderId="33" xfId="0" applyFont="1" applyBorder="1" applyAlignment="1">
      <alignment horizontal="center" vertical="center" wrapText="1"/>
    </xf>
    <xf numFmtId="0" fontId="22" fillId="0" borderId="76" xfId="0" applyFont="1" applyBorder="1" applyAlignment="1">
      <alignment horizontal="center"/>
    </xf>
    <xf numFmtId="0" fontId="22" fillId="0" borderId="77" xfId="0" applyFont="1" applyBorder="1" applyAlignment="1">
      <alignment horizontal="center"/>
    </xf>
    <xf numFmtId="0" fontId="22" fillId="0" borderId="78" xfId="0" applyFont="1" applyBorder="1" applyAlignment="1">
      <alignment horizontal="center"/>
    </xf>
    <xf numFmtId="9" fontId="62" fillId="0" borderId="5" xfId="0" applyNumberFormat="1" applyFont="1" applyBorder="1" applyAlignment="1">
      <alignment horizontal="center"/>
    </xf>
    <xf numFmtId="9" fontId="62" fillId="0" borderId="11" xfId="0" applyNumberFormat="1" applyFont="1" applyBorder="1" applyAlignment="1">
      <alignment horizontal="center"/>
    </xf>
    <xf numFmtId="4" fontId="19" fillId="39" borderId="0" xfId="0" applyNumberFormat="1" applyFont="1" applyFill="1" applyAlignment="1">
      <alignment vertical="top"/>
    </xf>
    <xf numFmtId="173" fontId="20" fillId="0" borderId="5" xfId="0" applyNumberFormat="1" applyFont="1" applyBorder="1" applyAlignment="1">
      <alignment horizontal="center"/>
    </xf>
    <xf numFmtId="173" fontId="20" fillId="0" borderId="10" xfId="2599" applyNumberFormat="1" applyFont="1" applyBorder="1"/>
    <xf numFmtId="173" fontId="25" fillId="0" borderId="47" xfId="2601" applyNumberFormat="1" applyFont="1" applyBorder="1"/>
    <xf numFmtId="173" fontId="25" fillId="0" borderId="77" xfId="2601" applyNumberFormat="1" applyFont="1" applyBorder="1"/>
    <xf numFmtId="173" fontId="25" fillId="0" borderId="71" xfId="2601" applyNumberFormat="1" applyFont="1" applyBorder="1"/>
    <xf numFmtId="173" fontId="25" fillId="0" borderId="13" xfId="2599" applyNumberFormat="1" applyFont="1" applyBorder="1"/>
    <xf numFmtId="0" fontId="20" fillId="34" borderId="14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173" fontId="25" fillId="0" borderId="66" xfId="2601" applyNumberFormat="1" applyFont="1" applyBorder="1"/>
    <xf numFmtId="173" fontId="20" fillId="38" borderId="23" xfId="2599" applyNumberFormat="1" applyFont="1" applyFill="1" applyBorder="1"/>
    <xf numFmtId="0" fontId="0" fillId="0" borderId="21" xfId="0" applyBorder="1"/>
    <xf numFmtId="0" fontId="0" fillId="0" borderId="22" xfId="0" applyBorder="1"/>
    <xf numFmtId="0" fontId="0" fillId="0" borderId="23" xfId="0" applyBorder="1"/>
    <xf numFmtId="0" fontId="20" fillId="34" borderId="57" xfId="0" applyFont="1" applyFill="1" applyBorder="1" applyAlignment="1">
      <alignment horizontal="center" vertical="center" wrapText="1"/>
    </xf>
    <xf numFmtId="0" fontId="62" fillId="0" borderId="5" xfId="0" applyFont="1" applyBorder="1" applyAlignment="1">
      <alignment horizontal="center" vertical="center"/>
    </xf>
    <xf numFmtId="0" fontId="62" fillId="0" borderId="11" xfId="0" applyFont="1" applyBorder="1" applyAlignment="1">
      <alignment horizontal="center" vertical="center"/>
    </xf>
    <xf numFmtId="0" fontId="62" fillId="0" borderId="53" xfId="0" applyFont="1" applyBorder="1" applyAlignment="1">
      <alignment horizontal="center" vertical="center"/>
    </xf>
    <xf numFmtId="17" fontId="62" fillId="59" borderId="5" xfId="0" applyNumberFormat="1" applyFont="1" applyFill="1" applyBorder="1" applyAlignment="1">
      <alignment horizontal="center" vertical="center" wrapText="1"/>
    </xf>
    <xf numFmtId="17" fontId="62" fillId="59" borderId="11" xfId="0" applyNumberFormat="1" applyFont="1" applyFill="1" applyBorder="1" applyAlignment="1">
      <alignment horizontal="center" vertical="center" wrapText="1"/>
    </xf>
    <xf numFmtId="17" fontId="62" fillId="0" borderId="11" xfId="0" applyNumberFormat="1" applyFont="1" applyBorder="1" applyAlignment="1">
      <alignment horizontal="center" vertical="center" wrapText="1"/>
    </xf>
    <xf numFmtId="17" fontId="62" fillId="0" borderId="53" xfId="0" applyNumberFormat="1" applyFont="1" applyBorder="1" applyAlignment="1">
      <alignment horizontal="center" vertical="center" wrapText="1"/>
    </xf>
    <xf numFmtId="41" fontId="25" fillId="0" borderId="0" xfId="2601" applyFont="1"/>
    <xf numFmtId="177" fontId="25" fillId="0" borderId="0" xfId="0" applyNumberFormat="1" applyFont="1"/>
    <xf numFmtId="3" fontId="63" fillId="0" borderId="3" xfId="2614" applyNumberFormat="1" applyBorder="1" applyAlignment="1">
      <alignment vertical="top"/>
    </xf>
    <xf numFmtId="43" fontId="25" fillId="0" borderId="0" xfId="2615" applyFont="1"/>
    <xf numFmtId="171" fontId="0" fillId="0" borderId="4" xfId="2604" applyNumberFormat="1" applyFont="1" applyBorder="1" applyAlignment="1">
      <alignment vertical="top"/>
    </xf>
    <xf numFmtId="171" fontId="0" fillId="0" borderId="49" xfId="2604" applyNumberFormat="1" applyFont="1" applyBorder="1"/>
    <xf numFmtId="171" fontId="0" fillId="0" borderId="49" xfId="2604" applyNumberFormat="1" applyFont="1" applyFill="1" applyBorder="1"/>
    <xf numFmtId="171" fontId="0" fillId="0" borderId="46" xfId="2604" applyNumberFormat="1" applyFont="1" applyBorder="1"/>
    <xf numFmtId="179" fontId="0" fillId="34" borderId="0" xfId="2601" applyNumberFormat="1" applyFont="1" applyFill="1"/>
    <xf numFmtId="178" fontId="65" fillId="0" borderId="0" xfId="2601" applyNumberFormat="1" applyFont="1" applyFill="1"/>
    <xf numFmtId="180" fontId="25" fillId="0" borderId="0" xfId="0" applyNumberFormat="1" applyFont="1"/>
    <xf numFmtId="0" fontId="20" fillId="0" borderId="0" xfId="0" applyFont="1" applyAlignment="1">
      <alignment horizontal="right"/>
    </xf>
    <xf numFmtId="0" fontId="25" fillId="0" borderId="7" xfId="0" applyFont="1" applyBorder="1"/>
    <xf numFmtId="0" fontId="20" fillId="0" borderId="2" xfId="0" applyFont="1" applyBorder="1" applyAlignment="1">
      <alignment horizontal="right"/>
    </xf>
    <xf numFmtId="165" fontId="0" fillId="0" borderId="0" xfId="2615" applyNumberFormat="1" applyFont="1"/>
    <xf numFmtId="171" fontId="0" fillId="0" borderId="3" xfId="2604" applyNumberFormat="1" applyFont="1" applyFill="1" applyBorder="1" applyAlignment="1">
      <alignment vertical="top"/>
    </xf>
    <xf numFmtId="171" fontId="0" fillId="0" borderId="42" xfId="2604" applyNumberFormat="1" applyFont="1" applyFill="1" applyBorder="1" applyAlignment="1">
      <alignment vertical="top"/>
    </xf>
    <xf numFmtId="173" fontId="25" fillId="0" borderId="76" xfId="2599" applyNumberFormat="1" applyFont="1" applyBorder="1"/>
    <xf numFmtId="173" fontId="25" fillId="0" borderId="81" xfId="2599" applyNumberFormat="1" applyFont="1" applyBorder="1"/>
    <xf numFmtId="0" fontId="20" fillId="0" borderId="5" xfId="0" applyFont="1" applyBorder="1" applyAlignment="1">
      <alignment horizontal="center" vertical="center" wrapText="1"/>
    </xf>
    <xf numFmtId="173" fontId="20" fillId="0" borderId="53" xfId="2599" applyNumberFormat="1" applyFont="1" applyBorder="1"/>
    <xf numFmtId="173" fontId="25" fillId="0" borderId="10" xfId="2599" applyNumberFormat="1" applyFont="1" applyBorder="1"/>
    <xf numFmtId="0" fontId="66" fillId="0" borderId="0" xfId="2617"/>
    <xf numFmtId="49" fontId="66" fillId="0" borderId="3" xfId="2617" applyNumberFormat="1" applyBorder="1"/>
    <xf numFmtId="181" fontId="66" fillId="0" borderId="0" xfId="2617" applyNumberFormat="1"/>
    <xf numFmtId="171" fontId="0" fillId="0" borderId="41" xfId="2601" applyNumberFormat="1" applyFont="1" applyBorder="1" applyAlignment="1">
      <alignment horizontal="right"/>
    </xf>
    <xf numFmtId="171" fontId="0" fillId="0" borderId="49" xfId="2601" applyNumberFormat="1" applyFont="1" applyBorder="1" applyAlignment="1">
      <alignment horizontal="right"/>
    </xf>
    <xf numFmtId="171" fontId="0" fillId="0" borderId="46" xfId="2601" applyNumberFormat="1" applyFont="1" applyBorder="1" applyAlignment="1">
      <alignment horizontal="right"/>
    </xf>
    <xf numFmtId="41" fontId="0" fillId="0" borderId="0" xfId="2601" applyFont="1" applyAlignment="1">
      <alignment horizontal="right"/>
    </xf>
    <xf numFmtId="182" fontId="0" fillId="0" borderId="0" xfId="0" applyNumberFormat="1"/>
    <xf numFmtId="182" fontId="22" fillId="0" borderId="0" xfId="0" applyNumberFormat="1" applyFont="1"/>
    <xf numFmtId="182" fontId="0" fillId="0" borderId="0" xfId="0" applyNumberFormat="1" applyAlignment="1">
      <alignment vertical="top"/>
    </xf>
    <xf numFmtId="182" fontId="19" fillId="36" borderId="0" xfId="0" applyNumberFormat="1" applyFont="1" applyFill="1" applyAlignment="1">
      <alignment vertical="top"/>
    </xf>
    <xf numFmtId="182" fontId="19" fillId="0" borderId="0" xfId="0" applyNumberFormat="1" applyFont="1" applyAlignment="1">
      <alignment vertical="top"/>
    </xf>
    <xf numFmtId="182" fontId="0" fillId="55" borderId="0" xfId="0" applyNumberFormat="1" applyFill="1"/>
    <xf numFmtId="182" fontId="0" fillId="55" borderId="0" xfId="0" applyNumberFormat="1" applyFill="1" applyAlignment="1">
      <alignment vertical="top"/>
    </xf>
    <xf numFmtId="182" fontId="0" fillId="54" borderId="0" xfId="0" applyNumberFormat="1" applyFill="1"/>
    <xf numFmtId="182" fontId="0" fillId="54" borderId="0" xfId="0" applyNumberFormat="1" applyFill="1" applyAlignment="1">
      <alignment vertical="top"/>
    </xf>
    <xf numFmtId="182" fontId="0" fillId="38" borderId="0" xfId="0" applyNumberFormat="1" applyFill="1"/>
    <xf numFmtId="182" fontId="0" fillId="38" borderId="0" xfId="0" applyNumberFormat="1" applyFill="1" applyAlignment="1">
      <alignment vertical="top"/>
    </xf>
    <xf numFmtId="182" fontId="19" fillId="38" borderId="0" xfId="0" applyNumberFormat="1" applyFont="1" applyFill="1" applyAlignment="1">
      <alignment vertical="top"/>
    </xf>
    <xf numFmtId="182" fontId="0" fillId="33" borderId="0" xfId="0" applyNumberFormat="1" applyFill="1" applyAlignment="1">
      <alignment vertical="top"/>
    </xf>
    <xf numFmtId="182" fontId="19" fillId="33" borderId="0" xfId="0" applyNumberFormat="1" applyFont="1" applyFill="1" applyAlignment="1">
      <alignment vertical="top"/>
    </xf>
    <xf numFmtId="182" fontId="0" fillId="41" borderId="0" xfId="0" applyNumberFormat="1" applyFill="1" applyAlignment="1">
      <alignment vertical="top"/>
    </xf>
    <xf numFmtId="182" fontId="0" fillId="41" borderId="0" xfId="0" applyNumberFormat="1" applyFill="1"/>
    <xf numFmtId="182" fontId="0" fillId="46" borderId="0" xfId="0" applyNumberFormat="1" applyFill="1" applyAlignment="1">
      <alignment vertical="top"/>
    </xf>
    <xf numFmtId="182" fontId="0" fillId="39" borderId="0" xfId="0" applyNumberFormat="1" applyFill="1" applyAlignment="1">
      <alignment vertical="top"/>
    </xf>
    <xf numFmtId="182" fontId="0" fillId="48" borderId="0" xfId="0" applyNumberFormat="1" applyFill="1" applyAlignment="1">
      <alignment vertical="top"/>
    </xf>
    <xf numFmtId="182" fontId="0" fillId="37" borderId="0" xfId="0" applyNumberFormat="1" applyFill="1"/>
    <xf numFmtId="182" fontId="19" fillId="54" borderId="0" xfId="0" applyNumberFormat="1" applyFont="1" applyFill="1" applyAlignment="1">
      <alignment vertical="top"/>
    </xf>
    <xf numFmtId="182" fontId="0" fillId="39" borderId="0" xfId="0" applyNumberFormat="1" applyFill="1"/>
    <xf numFmtId="4" fontId="53" fillId="0" borderId="0" xfId="0" applyNumberFormat="1" applyFont="1"/>
    <xf numFmtId="165" fontId="25" fillId="0" borderId="0" xfId="2599" applyNumberFormat="1" applyFont="1" applyAlignment="1"/>
    <xf numFmtId="165" fontId="25" fillId="0" borderId="0" xfId="2602" applyNumberFormat="1" applyFont="1" applyBorder="1"/>
    <xf numFmtId="49" fontId="0" fillId="0" borderId="3" xfId="0" applyNumberFormat="1" applyBorder="1"/>
    <xf numFmtId="6" fontId="0" fillId="0" borderId="3" xfId="0" applyNumberFormat="1" applyBorder="1" applyAlignment="1">
      <alignment horizontal="center" vertical="center"/>
    </xf>
    <xf numFmtId="183" fontId="0" fillId="0" borderId="0" xfId="0" applyNumberFormat="1"/>
    <xf numFmtId="0" fontId="19" fillId="0" borderId="3" xfId="0" applyFont="1" applyBorder="1" applyAlignment="1">
      <alignment horizontal="center" vertical="center" wrapText="1"/>
    </xf>
    <xf numFmtId="169" fontId="22" fillId="0" borderId="0" xfId="0" applyNumberFormat="1" applyFont="1"/>
    <xf numFmtId="0" fontId="20" fillId="0" borderId="3" xfId="0" applyFont="1" applyBorder="1" applyAlignment="1">
      <alignment horizontal="center" vertical="center" wrapText="1"/>
    </xf>
    <xf numFmtId="0" fontId="20" fillId="35" borderId="3" xfId="0" applyFont="1" applyFill="1" applyBorder="1" applyAlignment="1">
      <alignment horizontal="center" vertical="center" wrapText="1"/>
    </xf>
    <xf numFmtId="4" fontId="66" fillId="0" borderId="3" xfId="2617" applyNumberFormat="1" applyBorder="1"/>
    <xf numFmtId="173" fontId="20" fillId="0" borderId="3" xfId="0" applyNumberFormat="1" applyFont="1" applyBorder="1" applyAlignment="1">
      <alignment horizontal="center"/>
    </xf>
    <xf numFmtId="4" fontId="67" fillId="0" borderId="3" xfId="2617" quotePrefix="1" applyNumberFormat="1" applyFont="1" applyBorder="1"/>
    <xf numFmtId="4" fontId="66" fillId="0" borderId="3" xfId="2617" quotePrefix="1" applyNumberFormat="1" applyBorder="1"/>
    <xf numFmtId="4" fontId="66" fillId="0" borderId="0" xfId="2617" applyNumberFormat="1"/>
    <xf numFmtId="6" fontId="66" fillId="0" borderId="0" xfId="2617" applyNumberFormat="1"/>
    <xf numFmtId="4" fontId="67" fillId="0" borderId="3" xfId="2617" applyNumberFormat="1" applyFont="1" applyBorder="1"/>
    <xf numFmtId="0" fontId="67" fillId="0" borderId="0" xfId="2617" applyFont="1"/>
    <xf numFmtId="0" fontId="0" fillId="38" borderId="0" xfId="0" applyFill="1"/>
    <xf numFmtId="0" fontId="0" fillId="38" borderId="0" xfId="0" applyFill="1" applyAlignment="1">
      <alignment vertical="top"/>
    </xf>
    <xf numFmtId="4" fontId="0" fillId="38" borderId="0" xfId="0" applyNumberFormat="1" applyFill="1" applyAlignment="1">
      <alignment vertical="top"/>
    </xf>
    <xf numFmtId="165" fontId="25" fillId="0" borderId="0" xfId="2615" applyNumberFormat="1" applyFont="1"/>
    <xf numFmtId="49" fontId="68" fillId="0" borderId="3" xfId="0" applyNumberFormat="1" applyFont="1" applyBorder="1" applyAlignment="1">
      <alignment horizontal="center" vertical="center"/>
    </xf>
    <xf numFmtId="49" fontId="68" fillId="60" borderId="3" xfId="0" applyNumberFormat="1" applyFont="1" applyFill="1" applyBorder="1" applyAlignment="1">
      <alignment horizontal="center" vertical="center" wrapText="1"/>
    </xf>
    <xf numFmtId="181" fontId="0" fillId="0" borderId="0" xfId="0" applyNumberFormat="1"/>
    <xf numFmtId="184" fontId="66" fillId="0" borderId="3" xfId="2617" applyNumberFormat="1" applyBorder="1"/>
    <xf numFmtId="0" fontId="69" fillId="0" borderId="0" xfId="0" applyFont="1" applyAlignment="1">
      <alignment wrapText="1"/>
    </xf>
    <xf numFmtId="171" fontId="55" fillId="0" borderId="0" xfId="2604" applyNumberFormat="1" applyFont="1"/>
    <xf numFmtId="171" fontId="62" fillId="0" borderId="12" xfId="2604" applyNumberFormat="1" applyFont="1" applyBorder="1" applyAlignment="1">
      <alignment horizontal="center" vertical="center" wrapText="1"/>
    </xf>
    <xf numFmtId="170" fontId="55" fillId="34" borderId="3" xfId="2604" applyNumberFormat="1" applyFont="1" applyFill="1" applyBorder="1"/>
    <xf numFmtId="9" fontId="55" fillId="0" borderId="54" xfId="2603" applyFont="1" applyBorder="1" applyAlignment="1">
      <alignment horizontal="center"/>
    </xf>
    <xf numFmtId="41" fontId="55" fillId="59" borderId="72" xfId="2604" applyFont="1" applyFill="1" applyBorder="1"/>
    <xf numFmtId="41" fontId="55" fillId="59" borderId="43" xfId="2604" applyFont="1" applyFill="1" applyBorder="1"/>
    <xf numFmtId="41" fontId="55" fillId="0" borderId="43" xfId="2604" applyFont="1" applyFill="1" applyBorder="1"/>
    <xf numFmtId="41" fontId="55" fillId="0" borderId="48" xfId="2604" applyFont="1" applyFill="1" applyBorder="1"/>
    <xf numFmtId="9" fontId="55" fillId="0" borderId="55" xfId="2603" applyFont="1" applyBorder="1" applyAlignment="1">
      <alignment horizontal="center"/>
    </xf>
    <xf numFmtId="41" fontId="55" fillId="59" borderId="55" xfId="2604" applyFont="1" applyFill="1" applyBorder="1"/>
    <xf numFmtId="41" fontId="55" fillId="59" borderId="22" xfId="2604" applyFont="1" applyFill="1" applyBorder="1"/>
    <xf numFmtId="41" fontId="55" fillId="0" borderId="22" xfId="2604" applyFont="1" applyFill="1" applyBorder="1"/>
    <xf numFmtId="9" fontId="55" fillId="0" borderId="68" xfId="2603" applyFont="1" applyBorder="1" applyAlignment="1">
      <alignment horizontal="center"/>
    </xf>
    <xf numFmtId="41" fontId="55" fillId="59" borderId="79" xfId="2604" applyFont="1" applyFill="1" applyBorder="1"/>
    <xf numFmtId="41" fontId="55" fillId="59" borderId="23" xfId="2604" applyFont="1" applyFill="1" applyBorder="1"/>
    <xf numFmtId="41" fontId="55" fillId="0" borderId="23" xfId="2604" applyFont="1" applyFill="1" applyBorder="1"/>
    <xf numFmtId="41" fontId="55" fillId="0" borderId="80" xfId="2604" applyFont="1" applyFill="1" applyBorder="1"/>
    <xf numFmtId="170" fontId="62" fillId="36" borderId="11" xfId="2604" applyNumberFormat="1" applyFont="1" applyFill="1" applyBorder="1"/>
    <xf numFmtId="41" fontId="62" fillId="59" borderId="11" xfId="2604" applyFont="1" applyFill="1" applyBorder="1"/>
    <xf numFmtId="41" fontId="62" fillId="0" borderId="11" xfId="2604" applyFont="1" applyFill="1" applyBorder="1"/>
    <xf numFmtId="9" fontId="55" fillId="0" borderId="21" xfId="2603" applyFont="1" applyBorder="1" applyAlignment="1">
      <alignment horizontal="center"/>
    </xf>
    <xf numFmtId="9" fontId="55" fillId="0" borderId="22" xfId="2603" applyFont="1" applyBorder="1" applyAlignment="1">
      <alignment horizontal="center"/>
    </xf>
    <xf numFmtId="9" fontId="55" fillId="0" borderId="23" xfId="2603" applyFont="1" applyBorder="1" applyAlignment="1">
      <alignment horizontal="center"/>
    </xf>
    <xf numFmtId="41" fontId="55" fillId="36" borderId="41" xfId="2604" applyFont="1" applyFill="1" applyBorder="1"/>
    <xf numFmtId="41" fontId="55" fillId="36" borderId="49" xfId="2604" applyFont="1" applyFill="1" applyBorder="1"/>
    <xf numFmtId="41" fontId="19" fillId="0" borderId="3" xfId="2604" applyFont="1" applyBorder="1"/>
    <xf numFmtId="41" fontId="55" fillId="36" borderId="46" xfId="2604" applyFont="1" applyFill="1" applyBorder="1"/>
    <xf numFmtId="41" fontId="19" fillId="0" borderId="3" xfId="2604" applyFont="1" applyFill="1" applyBorder="1"/>
    <xf numFmtId="41" fontId="62" fillId="36" borderId="11" xfId="2604" applyFont="1" applyFill="1" applyBorder="1"/>
    <xf numFmtId="41" fontId="22" fillId="0" borderId="3" xfId="2604" applyFont="1" applyBorder="1"/>
    <xf numFmtId="165" fontId="0" fillId="0" borderId="0" xfId="2598" applyNumberFormat="1" applyFont="1"/>
    <xf numFmtId="41" fontId="0" fillId="34" borderId="3" xfId="0" applyNumberFormat="1" applyFill="1" applyBorder="1"/>
    <xf numFmtId="41" fontId="66" fillId="0" borderId="0" xfId="2617" applyNumberFormat="1"/>
    <xf numFmtId="41" fontId="66" fillId="0" borderId="3" xfId="2617" applyNumberFormat="1" applyBorder="1"/>
    <xf numFmtId="8" fontId="66" fillId="0" borderId="0" xfId="2617" applyNumberFormat="1"/>
    <xf numFmtId="185" fontId="66" fillId="0" borderId="0" xfId="0" applyNumberFormat="1" applyFont="1" applyAlignment="1">
      <alignment vertical="center"/>
    </xf>
    <xf numFmtId="0" fontId="22" fillId="36" borderId="0" xfId="0" applyFont="1" applyFill="1"/>
    <xf numFmtId="165" fontId="0" fillId="42" borderId="0" xfId="0" applyNumberFormat="1" applyFill="1"/>
    <xf numFmtId="186" fontId="0" fillId="0" borderId="0" xfId="2598" applyNumberFormat="1" applyFont="1"/>
    <xf numFmtId="186" fontId="0" fillId="0" borderId="0" xfId="0" applyNumberFormat="1"/>
    <xf numFmtId="187" fontId="0" fillId="0" borderId="0" xfId="2598" applyNumberFormat="1" applyFont="1"/>
    <xf numFmtId="165" fontId="0" fillId="42" borderId="0" xfId="2598" applyNumberFormat="1" applyFont="1" applyFill="1"/>
    <xf numFmtId="187" fontId="0" fillId="53" borderId="0" xfId="2598" applyNumberFormat="1" applyFont="1" applyFill="1"/>
    <xf numFmtId="165" fontId="0" fillId="53" borderId="0" xfId="2598" applyNumberFormat="1" applyFont="1" applyFill="1"/>
    <xf numFmtId="0" fontId="20" fillId="34" borderId="3" xfId="0" applyFont="1" applyFill="1" applyBorder="1" applyAlignment="1">
      <alignment horizontal="center" vertical="center" wrapText="1"/>
    </xf>
    <xf numFmtId="4" fontId="19" fillId="54" borderId="0" xfId="0" applyNumberFormat="1" applyFont="1" applyFill="1" applyAlignment="1">
      <alignment vertical="top"/>
    </xf>
    <xf numFmtId="188" fontId="66" fillId="0" borderId="3" xfId="2617" applyNumberFormat="1" applyBorder="1"/>
    <xf numFmtId="189" fontId="66" fillId="0" borderId="3" xfId="2617" applyNumberFormat="1" applyBorder="1"/>
    <xf numFmtId="190" fontId="25" fillId="0" borderId="0" xfId="2599" applyNumberFormat="1" applyFont="1"/>
    <xf numFmtId="182" fontId="19" fillId="46" borderId="0" xfId="0" applyNumberFormat="1" applyFont="1" applyFill="1" applyAlignment="1">
      <alignment vertical="top"/>
    </xf>
    <xf numFmtId="191" fontId="66" fillId="0" borderId="3" xfId="2617" applyNumberFormat="1" applyBorder="1"/>
    <xf numFmtId="192" fontId="0" fillId="0" borderId="3" xfId="0" applyNumberFormat="1" applyBorder="1"/>
    <xf numFmtId="41" fontId="0" fillId="0" borderId="72" xfId="2604" applyFont="1" applyBorder="1"/>
    <xf numFmtId="171" fontId="62" fillId="34" borderId="11" xfId="2601" applyNumberFormat="1" applyFont="1" applyFill="1" applyBorder="1" applyAlignment="1">
      <alignment horizontal="center" vertical="center" wrapText="1"/>
    </xf>
    <xf numFmtId="0" fontId="22" fillId="0" borderId="0" xfId="0" applyFont="1" applyAlignment="1">
      <alignment horizontal="center" vertical="center"/>
    </xf>
    <xf numFmtId="182" fontId="0" fillId="53" borderId="0" xfId="0" applyNumberFormat="1" applyFill="1" applyAlignment="1">
      <alignment vertical="top"/>
    </xf>
    <xf numFmtId="182" fontId="0" fillId="0" borderId="0" xfId="0" applyNumberFormat="1" applyAlignment="1">
      <alignment horizontal="center" vertical="center"/>
    </xf>
    <xf numFmtId="182" fontId="22" fillId="0" borderId="0" xfId="0" applyNumberFormat="1" applyFont="1" applyAlignment="1">
      <alignment horizontal="center" vertical="center"/>
    </xf>
    <xf numFmtId="0" fontId="0" fillId="52" borderId="0" xfId="0" applyFill="1"/>
    <xf numFmtId="43" fontId="20" fillId="38" borderId="22" xfId="2599" applyFont="1" applyFill="1" applyBorder="1"/>
    <xf numFmtId="176" fontId="25" fillId="0" borderId="15" xfId="2599" applyNumberFormat="1" applyFont="1" applyBorder="1"/>
    <xf numFmtId="176" fontId="20" fillId="35" borderId="22" xfId="2599" applyNumberFormat="1" applyFont="1" applyFill="1" applyBorder="1"/>
    <xf numFmtId="41" fontId="22" fillId="0" borderId="0" xfId="2604" applyFont="1" applyAlignment="1"/>
    <xf numFmtId="41" fontId="0" fillId="0" borderId="0" xfId="2604" applyFont="1" applyAlignment="1"/>
    <xf numFmtId="0" fontId="22" fillId="0" borderId="0" xfId="0" applyFont="1" applyAlignment="1">
      <alignment horizontal="left"/>
    </xf>
    <xf numFmtId="41" fontId="0" fillId="0" borderId="17" xfId="0" applyNumberFormat="1" applyBorder="1"/>
    <xf numFmtId="41" fontId="0" fillId="0" borderId="18" xfId="0" applyNumberFormat="1" applyBorder="1"/>
    <xf numFmtId="0" fontId="56" fillId="0" borderId="1" xfId="0" applyFont="1" applyBorder="1"/>
    <xf numFmtId="41" fontId="0" fillId="0" borderId="16" xfId="0" applyNumberFormat="1" applyBorder="1"/>
    <xf numFmtId="41" fontId="22" fillId="0" borderId="17" xfId="0" applyNumberFormat="1" applyFont="1" applyBorder="1"/>
    <xf numFmtId="41" fontId="22" fillId="0" borderId="46" xfId="0" applyNumberFormat="1" applyFont="1" applyBorder="1"/>
    <xf numFmtId="0" fontId="19" fillId="38" borderId="0" xfId="0" applyFont="1" applyFill="1" applyAlignment="1">
      <alignment vertical="top"/>
    </xf>
    <xf numFmtId="0" fontId="69" fillId="38" borderId="0" xfId="0" applyFont="1" applyFill="1" applyAlignment="1">
      <alignment wrapText="1"/>
    </xf>
    <xf numFmtId="4" fontId="19" fillId="38" borderId="0" xfId="0" applyNumberFormat="1" applyFont="1" applyFill="1" applyAlignment="1">
      <alignment vertical="top"/>
    </xf>
    <xf numFmtId="0" fontId="0" fillId="48" borderId="0" xfId="0" applyFill="1"/>
    <xf numFmtId="4" fontId="19" fillId="48" borderId="0" xfId="0" applyNumberFormat="1" applyFont="1" applyFill="1" applyAlignment="1">
      <alignment vertical="top"/>
    </xf>
    <xf numFmtId="0" fontId="19" fillId="38" borderId="0" xfId="0" applyFont="1" applyFill="1"/>
    <xf numFmtId="0" fontId="0" fillId="49" borderId="0" xfId="0" applyFill="1"/>
    <xf numFmtId="0" fontId="0" fillId="34" borderId="0" xfId="0" applyFill="1" applyAlignment="1">
      <alignment horizontal="right"/>
    </xf>
    <xf numFmtId="0" fontId="72" fillId="0" borderId="0" xfId="0" applyFont="1"/>
    <xf numFmtId="0" fontId="0" fillId="61" borderId="3" xfId="0" applyFill="1" applyBorder="1"/>
    <xf numFmtId="41" fontId="0" fillId="61" borderId="3" xfId="2604" applyFont="1" applyFill="1" applyBorder="1"/>
    <xf numFmtId="41" fontId="0" fillId="61" borderId="3" xfId="0" applyNumberFormat="1" applyFill="1" applyBorder="1"/>
    <xf numFmtId="0" fontId="0" fillId="53" borderId="3" xfId="0" applyFill="1" applyBorder="1"/>
    <xf numFmtId="41" fontId="0" fillId="53" borderId="3" xfId="2604" applyFont="1" applyFill="1" applyBorder="1"/>
    <xf numFmtId="41" fontId="0" fillId="53" borderId="3" xfId="0" applyNumberFormat="1" applyFill="1" applyBorder="1"/>
    <xf numFmtId="0" fontId="19" fillId="35" borderId="0" xfId="0" applyFont="1" applyFill="1"/>
    <xf numFmtId="4" fontId="19" fillId="35" borderId="0" xfId="0" applyNumberFormat="1" applyFont="1" applyFill="1" applyAlignment="1">
      <alignment vertical="top"/>
    </xf>
    <xf numFmtId="0" fontId="19" fillId="35" borderId="0" xfId="0" applyFont="1" applyFill="1" applyAlignment="1">
      <alignment vertical="top"/>
    </xf>
    <xf numFmtId="182" fontId="0" fillId="33" borderId="0" xfId="0" applyNumberFormat="1" applyFill="1"/>
    <xf numFmtId="182" fontId="0" fillId="35" borderId="0" xfId="0" applyNumberFormat="1" applyFill="1"/>
    <xf numFmtId="182" fontId="19" fillId="35" borderId="0" xfId="0" applyNumberFormat="1" applyFont="1" applyFill="1" applyAlignment="1">
      <alignment vertical="top"/>
    </xf>
    <xf numFmtId="182" fontId="0" fillId="35" borderId="0" xfId="0" applyNumberFormat="1" applyFill="1" applyAlignment="1">
      <alignment vertical="top"/>
    </xf>
    <xf numFmtId="41" fontId="0" fillId="0" borderId="63" xfId="2601" applyFont="1" applyBorder="1"/>
    <xf numFmtId="41" fontId="19" fillId="51" borderId="0" xfId="2604" applyFont="1" applyFill="1"/>
    <xf numFmtId="165" fontId="19" fillId="0" borderId="0" xfId="2615" applyNumberFormat="1" applyFont="1"/>
    <xf numFmtId="0" fontId="62" fillId="50" borderId="11" xfId="0" applyFont="1" applyFill="1" applyBorder="1" applyAlignment="1">
      <alignment horizontal="center" vertical="center"/>
    </xf>
    <xf numFmtId="41" fontId="55" fillId="0" borderId="0" xfId="2601" applyFont="1"/>
    <xf numFmtId="182" fontId="0" fillId="47" borderId="0" xfId="0" applyNumberFormat="1" applyFill="1"/>
    <xf numFmtId="182" fontId="0" fillId="47" borderId="0" xfId="0" applyNumberFormat="1" applyFill="1" applyAlignment="1">
      <alignment vertical="top"/>
    </xf>
    <xf numFmtId="182" fontId="19" fillId="47" borderId="0" xfId="0" applyNumberFormat="1" applyFont="1" applyFill="1" applyAlignment="1">
      <alignment vertical="top"/>
    </xf>
    <xf numFmtId="182" fontId="0" fillId="42" borderId="0" xfId="0" applyNumberFormat="1" applyFill="1" applyAlignment="1">
      <alignment vertical="top"/>
    </xf>
    <xf numFmtId="182" fontId="19" fillId="42" borderId="0" xfId="0" applyNumberFormat="1" applyFont="1" applyFill="1" applyAlignment="1">
      <alignment vertical="top"/>
    </xf>
    <xf numFmtId="0" fontId="62" fillId="34" borderId="5" xfId="0" applyFont="1" applyFill="1" applyBorder="1" applyAlignment="1">
      <alignment horizontal="center" vertical="center"/>
    </xf>
    <xf numFmtId="0" fontId="56" fillId="0" borderId="0" xfId="0" applyFont="1" applyAlignment="1">
      <alignment horizontal="center"/>
    </xf>
    <xf numFmtId="0" fontId="0" fillId="0" borderId="0" xfId="0" applyAlignment="1">
      <alignment horizontal="center" vertical="center"/>
    </xf>
    <xf numFmtId="0" fontId="22" fillId="34" borderId="0" xfId="0" applyFont="1" applyFill="1" applyAlignment="1">
      <alignment horizontal="center" vertical="center"/>
    </xf>
    <xf numFmtId="0" fontId="22" fillId="0" borderId="0" xfId="0" applyFont="1" applyAlignment="1">
      <alignment horizontal="center" vertical="center" wrapText="1"/>
    </xf>
    <xf numFmtId="0" fontId="22" fillId="0" borderId="0" xfId="0" applyFont="1" applyAlignment="1">
      <alignment horizontal="center" vertical="center"/>
    </xf>
    <xf numFmtId="182" fontId="22" fillId="34" borderId="0" xfId="0" applyNumberFormat="1" applyFont="1" applyFill="1" applyAlignment="1">
      <alignment horizontal="center" vertical="center"/>
    </xf>
    <xf numFmtId="182" fontId="0" fillId="0" borderId="0" xfId="0" applyNumberFormat="1" applyAlignment="1">
      <alignment horizontal="center" vertical="center"/>
    </xf>
    <xf numFmtId="182" fontId="22" fillId="0" borderId="0" xfId="0" applyNumberFormat="1" applyFont="1" applyAlignment="1">
      <alignment horizontal="center" vertical="center"/>
    </xf>
    <xf numFmtId="182" fontId="22" fillId="0" borderId="0" xfId="0" applyNumberFormat="1" applyFont="1" applyAlignment="1">
      <alignment horizontal="center" vertical="center" wrapText="1"/>
    </xf>
    <xf numFmtId="41" fontId="62" fillId="0" borderId="5" xfId="0" applyNumberFormat="1" applyFont="1" applyBorder="1" applyAlignment="1">
      <alignment horizontal="center"/>
    </xf>
    <xf numFmtId="41" fontId="62" fillId="0" borderId="53" xfId="0" applyNumberFormat="1" applyFont="1" applyBorder="1" applyAlignment="1">
      <alignment horizontal="center"/>
    </xf>
  </cellXfs>
  <cellStyles count="2618">
    <cellStyle name="20% - Énfasis1" xfId="20" builtinId="30" customBuiltin="1"/>
    <cellStyle name="20% - Énfasis1 10" xfId="332" xr:uid="{00000000-0005-0000-0000-000001000000}"/>
    <cellStyle name="20% - Énfasis1 11" xfId="496" xr:uid="{00000000-0005-0000-0000-000002000000}"/>
    <cellStyle name="20% - Énfasis1 12" xfId="543" xr:uid="{00000000-0005-0000-0000-000003000000}"/>
    <cellStyle name="20% - Énfasis1 13" xfId="804" xr:uid="{00000000-0005-0000-0000-000004000000}"/>
    <cellStyle name="20% - Énfasis1 14" xfId="978" xr:uid="{00000000-0005-0000-0000-000005000000}"/>
    <cellStyle name="20% - Énfasis1 15" xfId="1161" xr:uid="{00000000-0005-0000-0000-000006000000}"/>
    <cellStyle name="20% - Énfasis1 16" xfId="1322" xr:uid="{00000000-0005-0000-0000-000007000000}"/>
    <cellStyle name="20% - Énfasis1 17" xfId="1528" xr:uid="{00000000-0005-0000-0000-000008000000}"/>
    <cellStyle name="20% - Énfasis1 18" xfId="1690" xr:uid="{00000000-0005-0000-0000-000009000000}"/>
    <cellStyle name="20% - Énfasis1 19" xfId="1838" xr:uid="{00000000-0005-0000-0000-00000A000000}"/>
    <cellStyle name="20% - Énfasis1 2" xfId="77" xr:uid="{00000000-0005-0000-0000-00000B000000}"/>
    <cellStyle name="20% - Énfasis1 20" xfId="1999" xr:uid="{00000000-0005-0000-0000-00000C000000}"/>
    <cellStyle name="20% - Énfasis1 21" xfId="2147" xr:uid="{00000000-0005-0000-0000-00000D000000}"/>
    <cellStyle name="20% - Énfasis1 22" xfId="2282" xr:uid="{00000000-0005-0000-0000-00000E000000}"/>
    <cellStyle name="20% - Énfasis1 23" xfId="2435" xr:uid="{00000000-0005-0000-0000-00000F000000}"/>
    <cellStyle name="20% - Énfasis1 24" xfId="2584" xr:uid="{00000000-0005-0000-0000-000010000000}"/>
    <cellStyle name="20% - Énfasis1 3" xfId="122" xr:uid="{00000000-0005-0000-0000-000011000000}"/>
    <cellStyle name="20% - Énfasis1 4" xfId="173" xr:uid="{00000000-0005-0000-0000-000012000000}"/>
    <cellStyle name="20% - Énfasis1 5" xfId="208" xr:uid="{00000000-0005-0000-0000-000013000000}"/>
    <cellStyle name="20% - Énfasis1 6" xfId="231" xr:uid="{00000000-0005-0000-0000-000014000000}"/>
    <cellStyle name="20% - Énfasis1 7" xfId="243" xr:uid="{00000000-0005-0000-0000-000015000000}"/>
    <cellStyle name="20% - Énfasis1 8" xfId="283" xr:uid="{00000000-0005-0000-0000-000016000000}"/>
    <cellStyle name="20% - Énfasis1 9" xfId="313" xr:uid="{00000000-0005-0000-0000-000017000000}"/>
    <cellStyle name="20% - Énfasis2" xfId="24" builtinId="34" customBuiltin="1"/>
    <cellStyle name="20% - Énfasis2 10" xfId="333" xr:uid="{00000000-0005-0000-0000-000019000000}"/>
    <cellStyle name="20% - Énfasis2 11" xfId="497" xr:uid="{00000000-0005-0000-0000-00001A000000}"/>
    <cellStyle name="20% - Énfasis2 12" xfId="542" xr:uid="{00000000-0005-0000-0000-00001B000000}"/>
    <cellStyle name="20% - Énfasis2 13" xfId="805" xr:uid="{00000000-0005-0000-0000-00001C000000}"/>
    <cellStyle name="20% - Énfasis2 14" xfId="979" xr:uid="{00000000-0005-0000-0000-00001D000000}"/>
    <cellStyle name="20% - Énfasis2 15" xfId="1160" xr:uid="{00000000-0005-0000-0000-00001E000000}"/>
    <cellStyle name="20% - Énfasis2 16" xfId="1323" xr:uid="{00000000-0005-0000-0000-00001F000000}"/>
    <cellStyle name="20% - Énfasis2 17" xfId="1527" xr:uid="{00000000-0005-0000-0000-000020000000}"/>
    <cellStyle name="20% - Énfasis2 18" xfId="1691" xr:uid="{00000000-0005-0000-0000-000021000000}"/>
    <cellStyle name="20% - Énfasis2 19" xfId="1839" xr:uid="{00000000-0005-0000-0000-000022000000}"/>
    <cellStyle name="20% - Énfasis2 2" xfId="78" xr:uid="{00000000-0005-0000-0000-000023000000}"/>
    <cellStyle name="20% - Énfasis2 20" xfId="1998" xr:uid="{00000000-0005-0000-0000-000024000000}"/>
    <cellStyle name="20% - Énfasis2 21" xfId="2146" xr:uid="{00000000-0005-0000-0000-000025000000}"/>
    <cellStyle name="20% - Énfasis2 22" xfId="2283" xr:uid="{00000000-0005-0000-0000-000026000000}"/>
    <cellStyle name="20% - Énfasis2 23" xfId="2436" xr:uid="{00000000-0005-0000-0000-000027000000}"/>
    <cellStyle name="20% - Énfasis2 24" xfId="2586" xr:uid="{00000000-0005-0000-0000-000028000000}"/>
    <cellStyle name="20% - Énfasis2 3" xfId="121" xr:uid="{00000000-0005-0000-0000-000029000000}"/>
    <cellStyle name="20% - Énfasis2 4" xfId="174" xr:uid="{00000000-0005-0000-0000-00002A000000}"/>
    <cellStyle name="20% - Énfasis2 5" xfId="207" xr:uid="{00000000-0005-0000-0000-00002B000000}"/>
    <cellStyle name="20% - Énfasis2 6" xfId="230" xr:uid="{00000000-0005-0000-0000-00002C000000}"/>
    <cellStyle name="20% - Énfasis2 7" xfId="244" xr:uid="{00000000-0005-0000-0000-00002D000000}"/>
    <cellStyle name="20% - Énfasis2 8" xfId="282" xr:uid="{00000000-0005-0000-0000-00002E000000}"/>
    <cellStyle name="20% - Énfasis2 9" xfId="312" xr:uid="{00000000-0005-0000-0000-00002F000000}"/>
    <cellStyle name="20% - Énfasis3" xfId="28" builtinId="38" customBuiltin="1"/>
    <cellStyle name="20% - Énfasis3 10" xfId="334" xr:uid="{00000000-0005-0000-0000-000031000000}"/>
    <cellStyle name="20% - Énfasis3 11" xfId="498" xr:uid="{00000000-0005-0000-0000-000032000000}"/>
    <cellStyle name="20% - Énfasis3 12" xfId="521" xr:uid="{00000000-0005-0000-0000-000033000000}"/>
    <cellStyle name="20% - Énfasis3 13" xfId="806" xr:uid="{00000000-0005-0000-0000-000034000000}"/>
    <cellStyle name="20% - Énfasis3 14" xfId="980" xr:uid="{00000000-0005-0000-0000-000035000000}"/>
    <cellStyle name="20% - Énfasis3 15" xfId="1159" xr:uid="{00000000-0005-0000-0000-000036000000}"/>
    <cellStyle name="20% - Énfasis3 16" xfId="1324" xr:uid="{00000000-0005-0000-0000-000037000000}"/>
    <cellStyle name="20% - Énfasis3 17" xfId="1526" xr:uid="{00000000-0005-0000-0000-000038000000}"/>
    <cellStyle name="20% - Énfasis3 18" xfId="1692" xr:uid="{00000000-0005-0000-0000-000039000000}"/>
    <cellStyle name="20% - Énfasis3 19" xfId="1840" xr:uid="{00000000-0005-0000-0000-00003A000000}"/>
    <cellStyle name="20% - Énfasis3 2" xfId="79" xr:uid="{00000000-0005-0000-0000-00003B000000}"/>
    <cellStyle name="20% - Énfasis3 20" xfId="1997" xr:uid="{00000000-0005-0000-0000-00003C000000}"/>
    <cellStyle name="20% - Énfasis3 21" xfId="2145" xr:uid="{00000000-0005-0000-0000-00003D000000}"/>
    <cellStyle name="20% - Énfasis3 22" xfId="2284" xr:uid="{00000000-0005-0000-0000-00003E000000}"/>
    <cellStyle name="20% - Énfasis3 23" xfId="2437" xr:uid="{00000000-0005-0000-0000-00003F000000}"/>
    <cellStyle name="20% - Énfasis3 24" xfId="2588" xr:uid="{00000000-0005-0000-0000-000040000000}"/>
    <cellStyle name="20% - Énfasis3 3" xfId="120" xr:uid="{00000000-0005-0000-0000-000041000000}"/>
    <cellStyle name="20% - Énfasis3 4" xfId="175" xr:uid="{00000000-0005-0000-0000-000042000000}"/>
    <cellStyle name="20% - Énfasis3 5" xfId="206" xr:uid="{00000000-0005-0000-0000-000043000000}"/>
    <cellStyle name="20% - Énfasis3 6" xfId="229" xr:uid="{00000000-0005-0000-0000-000044000000}"/>
    <cellStyle name="20% - Énfasis3 7" xfId="245" xr:uid="{00000000-0005-0000-0000-000045000000}"/>
    <cellStyle name="20% - Énfasis3 8" xfId="281" xr:uid="{00000000-0005-0000-0000-000046000000}"/>
    <cellStyle name="20% - Énfasis3 9" xfId="311" xr:uid="{00000000-0005-0000-0000-000047000000}"/>
    <cellStyle name="20% - Énfasis4" xfId="32" builtinId="42" customBuiltin="1"/>
    <cellStyle name="20% - Énfasis4 10" xfId="335" xr:uid="{00000000-0005-0000-0000-000049000000}"/>
    <cellStyle name="20% - Énfasis4 11" xfId="499" xr:uid="{00000000-0005-0000-0000-00004A000000}"/>
    <cellStyle name="20% - Énfasis4 12" xfId="520" xr:uid="{00000000-0005-0000-0000-00004B000000}"/>
    <cellStyle name="20% - Énfasis4 13" xfId="807" xr:uid="{00000000-0005-0000-0000-00004C000000}"/>
    <cellStyle name="20% - Énfasis4 14" xfId="981" xr:uid="{00000000-0005-0000-0000-00004D000000}"/>
    <cellStyle name="20% - Énfasis4 15" xfId="1158" xr:uid="{00000000-0005-0000-0000-00004E000000}"/>
    <cellStyle name="20% - Énfasis4 16" xfId="1325" xr:uid="{00000000-0005-0000-0000-00004F000000}"/>
    <cellStyle name="20% - Énfasis4 17" xfId="1525" xr:uid="{00000000-0005-0000-0000-000050000000}"/>
    <cellStyle name="20% - Énfasis4 18" xfId="1693" xr:uid="{00000000-0005-0000-0000-000051000000}"/>
    <cellStyle name="20% - Énfasis4 19" xfId="1841" xr:uid="{00000000-0005-0000-0000-000052000000}"/>
    <cellStyle name="20% - Énfasis4 2" xfId="80" xr:uid="{00000000-0005-0000-0000-000053000000}"/>
    <cellStyle name="20% - Énfasis4 20" xfId="1996" xr:uid="{00000000-0005-0000-0000-000054000000}"/>
    <cellStyle name="20% - Énfasis4 21" xfId="2144" xr:uid="{00000000-0005-0000-0000-000055000000}"/>
    <cellStyle name="20% - Énfasis4 22" xfId="2285" xr:uid="{00000000-0005-0000-0000-000056000000}"/>
    <cellStyle name="20% - Énfasis4 23" xfId="2438" xr:uid="{00000000-0005-0000-0000-000057000000}"/>
    <cellStyle name="20% - Énfasis4 24" xfId="2590" xr:uid="{00000000-0005-0000-0000-000058000000}"/>
    <cellStyle name="20% - Énfasis4 3" xfId="119" xr:uid="{00000000-0005-0000-0000-000059000000}"/>
    <cellStyle name="20% - Énfasis4 4" xfId="176" xr:uid="{00000000-0005-0000-0000-00005A000000}"/>
    <cellStyle name="20% - Énfasis4 5" xfId="205" xr:uid="{00000000-0005-0000-0000-00005B000000}"/>
    <cellStyle name="20% - Énfasis4 6" xfId="228" xr:uid="{00000000-0005-0000-0000-00005C000000}"/>
    <cellStyle name="20% - Énfasis4 7" xfId="246" xr:uid="{00000000-0005-0000-0000-00005D000000}"/>
    <cellStyle name="20% - Énfasis4 8" xfId="280" xr:uid="{00000000-0005-0000-0000-00005E000000}"/>
    <cellStyle name="20% - Énfasis4 9" xfId="310" xr:uid="{00000000-0005-0000-0000-00005F000000}"/>
    <cellStyle name="20% - Énfasis5" xfId="36" builtinId="46" customBuiltin="1"/>
    <cellStyle name="20% - Énfasis5 10" xfId="336" xr:uid="{00000000-0005-0000-0000-000061000000}"/>
    <cellStyle name="20% - Énfasis5 11" xfId="500" xr:uid="{00000000-0005-0000-0000-000062000000}"/>
    <cellStyle name="20% - Énfasis5 12" xfId="519" xr:uid="{00000000-0005-0000-0000-000063000000}"/>
    <cellStyle name="20% - Énfasis5 13" xfId="808" xr:uid="{00000000-0005-0000-0000-000064000000}"/>
    <cellStyle name="20% - Énfasis5 14" xfId="982" xr:uid="{00000000-0005-0000-0000-000065000000}"/>
    <cellStyle name="20% - Énfasis5 15" xfId="1157" xr:uid="{00000000-0005-0000-0000-000066000000}"/>
    <cellStyle name="20% - Énfasis5 16" xfId="1326" xr:uid="{00000000-0005-0000-0000-000067000000}"/>
    <cellStyle name="20% - Énfasis5 17" xfId="1524" xr:uid="{00000000-0005-0000-0000-000068000000}"/>
    <cellStyle name="20% - Énfasis5 18" xfId="1694" xr:uid="{00000000-0005-0000-0000-000069000000}"/>
    <cellStyle name="20% - Énfasis5 19" xfId="1842" xr:uid="{00000000-0005-0000-0000-00006A000000}"/>
    <cellStyle name="20% - Énfasis5 2" xfId="81" xr:uid="{00000000-0005-0000-0000-00006B000000}"/>
    <cellStyle name="20% - Énfasis5 20" xfId="1995" xr:uid="{00000000-0005-0000-0000-00006C000000}"/>
    <cellStyle name="20% - Énfasis5 21" xfId="2143" xr:uid="{00000000-0005-0000-0000-00006D000000}"/>
    <cellStyle name="20% - Énfasis5 22" xfId="2286" xr:uid="{00000000-0005-0000-0000-00006E000000}"/>
    <cellStyle name="20% - Énfasis5 23" xfId="2439" xr:uid="{00000000-0005-0000-0000-00006F000000}"/>
    <cellStyle name="20% - Énfasis5 24" xfId="2592" xr:uid="{00000000-0005-0000-0000-000070000000}"/>
    <cellStyle name="20% - Énfasis5 3" xfId="118" xr:uid="{00000000-0005-0000-0000-000071000000}"/>
    <cellStyle name="20% - Énfasis5 4" xfId="177" xr:uid="{00000000-0005-0000-0000-000072000000}"/>
    <cellStyle name="20% - Énfasis5 5" xfId="204" xr:uid="{00000000-0005-0000-0000-000073000000}"/>
    <cellStyle name="20% - Énfasis5 6" xfId="227" xr:uid="{00000000-0005-0000-0000-000074000000}"/>
    <cellStyle name="20% - Énfasis5 7" xfId="247" xr:uid="{00000000-0005-0000-0000-000075000000}"/>
    <cellStyle name="20% - Énfasis5 8" xfId="279" xr:uid="{00000000-0005-0000-0000-000076000000}"/>
    <cellStyle name="20% - Énfasis5 9" xfId="309" xr:uid="{00000000-0005-0000-0000-000077000000}"/>
    <cellStyle name="20% - Énfasis6" xfId="40" builtinId="50" customBuiltin="1"/>
    <cellStyle name="20% - Énfasis6 10" xfId="337" xr:uid="{00000000-0005-0000-0000-000079000000}"/>
    <cellStyle name="20% - Énfasis6 11" xfId="501" xr:uid="{00000000-0005-0000-0000-00007A000000}"/>
    <cellStyle name="20% - Énfasis6 12" xfId="516" xr:uid="{00000000-0005-0000-0000-00007B000000}"/>
    <cellStyle name="20% - Énfasis6 13" xfId="809" xr:uid="{00000000-0005-0000-0000-00007C000000}"/>
    <cellStyle name="20% - Énfasis6 14" xfId="983" xr:uid="{00000000-0005-0000-0000-00007D000000}"/>
    <cellStyle name="20% - Énfasis6 15" xfId="1156" xr:uid="{00000000-0005-0000-0000-00007E000000}"/>
    <cellStyle name="20% - Énfasis6 16" xfId="1327" xr:uid="{00000000-0005-0000-0000-00007F000000}"/>
    <cellStyle name="20% - Énfasis6 17" xfId="1398" xr:uid="{00000000-0005-0000-0000-000080000000}"/>
    <cellStyle name="20% - Énfasis6 18" xfId="1695" xr:uid="{00000000-0005-0000-0000-000081000000}"/>
    <cellStyle name="20% - Énfasis6 19" xfId="1843" xr:uid="{00000000-0005-0000-0000-000082000000}"/>
    <cellStyle name="20% - Énfasis6 2" xfId="82" xr:uid="{00000000-0005-0000-0000-000083000000}"/>
    <cellStyle name="20% - Énfasis6 20" xfId="1994" xr:uid="{00000000-0005-0000-0000-000084000000}"/>
    <cellStyle name="20% - Énfasis6 21" xfId="2142" xr:uid="{00000000-0005-0000-0000-000085000000}"/>
    <cellStyle name="20% - Énfasis6 22" xfId="2287" xr:uid="{00000000-0005-0000-0000-000086000000}"/>
    <cellStyle name="20% - Énfasis6 23" xfId="2440" xr:uid="{00000000-0005-0000-0000-000087000000}"/>
    <cellStyle name="20% - Énfasis6 24" xfId="2594" xr:uid="{00000000-0005-0000-0000-000088000000}"/>
    <cellStyle name="20% - Énfasis6 3" xfId="117" xr:uid="{00000000-0005-0000-0000-000089000000}"/>
    <cellStyle name="20% - Énfasis6 4" xfId="178" xr:uid="{00000000-0005-0000-0000-00008A000000}"/>
    <cellStyle name="20% - Énfasis6 5" xfId="203" xr:uid="{00000000-0005-0000-0000-00008B000000}"/>
    <cellStyle name="20% - Énfasis6 6" xfId="226" xr:uid="{00000000-0005-0000-0000-00008C000000}"/>
    <cellStyle name="20% - Énfasis6 7" xfId="248" xr:uid="{00000000-0005-0000-0000-00008D000000}"/>
    <cellStyle name="20% - Énfasis6 8" xfId="262" xr:uid="{00000000-0005-0000-0000-00008E000000}"/>
    <cellStyle name="20% - Énfasis6 9" xfId="308" xr:uid="{00000000-0005-0000-0000-00008F000000}"/>
    <cellStyle name="40% - Énfasis1" xfId="21" builtinId="31" customBuiltin="1"/>
    <cellStyle name="40% - Énfasis1 10" xfId="338" xr:uid="{00000000-0005-0000-0000-000091000000}"/>
    <cellStyle name="40% - Énfasis1 11" xfId="502" xr:uid="{00000000-0005-0000-0000-000092000000}"/>
    <cellStyle name="40% - Énfasis1 12" xfId="513" xr:uid="{00000000-0005-0000-0000-000093000000}"/>
    <cellStyle name="40% - Énfasis1 13" xfId="810" xr:uid="{00000000-0005-0000-0000-000094000000}"/>
    <cellStyle name="40% - Énfasis1 14" xfId="984" xr:uid="{00000000-0005-0000-0000-000095000000}"/>
    <cellStyle name="40% - Énfasis1 15" xfId="1155" xr:uid="{00000000-0005-0000-0000-000096000000}"/>
    <cellStyle name="40% - Énfasis1 16" xfId="1328" xr:uid="{00000000-0005-0000-0000-000097000000}"/>
    <cellStyle name="40% - Énfasis1 17" xfId="1363" xr:uid="{00000000-0005-0000-0000-000098000000}"/>
    <cellStyle name="40% - Énfasis1 18" xfId="1696" xr:uid="{00000000-0005-0000-0000-000099000000}"/>
    <cellStyle name="40% - Énfasis1 19" xfId="1844" xr:uid="{00000000-0005-0000-0000-00009A000000}"/>
    <cellStyle name="40% - Énfasis1 2" xfId="83" xr:uid="{00000000-0005-0000-0000-00009B000000}"/>
    <cellStyle name="40% - Énfasis1 20" xfId="1882" xr:uid="{00000000-0005-0000-0000-00009C000000}"/>
    <cellStyle name="40% - Énfasis1 21" xfId="2141" xr:uid="{00000000-0005-0000-0000-00009D000000}"/>
    <cellStyle name="40% - Énfasis1 22" xfId="2288" xr:uid="{00000000-0005-0000-0000-00009E000000}"/>
    <cellStyle name="40% - Énfasis1 23" xfId="2441" xr:uid="{00000000-0005-0000-0000-00009F000000}"/>
    <cellStyle name="40% - Énfasis1 24" xfId="2585" xr:uid="{00000000-0005-0000-0000-0000A0000000}"/>
    <cellStyle name="40% - Énfasis1 3" xfId="116" xr:uid="{00000000-0005-0000-0000-0000A1000000}"/>
    <cellStyle name="40% - Énfasis1 4" xfId="179" xr:uid="{00000000-0005-0000-0000-0000A2000000}"/>
    <cellStyle name="40% - Énfasis1 5" xfId="202" xr:uid="{00000000-0005-0000-0000-0000A3000000}"/>
    <cellStyle name="40% - Énfasis1 6" xfId="225" xr:uid="{00000000-0005-0000-0000-0000A4000000}"/>
    <cellStyle name="40% - Énfasis1 7" xfId="249" xr:uid="{00000000-0005-0000-0000-0000A5000000}"/>
    <cellStyle name="40% - Énfasis1 8" xfId="242" xr:uid="{00000000-0005-0000-0000-0000A6000000}"/>
    <cellStyle name="40% - Énfasis1 9" xfId="307" xr:uid="{00000000-0005-0000-0000-0000A7000000}"/>
    <cellStyle name="40% - Énfasis2" xfId="25" builtinId="35" customBuiltin="1"/>
    <cellStyle name="40% - Énfasis2 10" xfId="339" xr:uid="{00000000-0005-0000-0000-0000A9000000}"/>
    <cellStyle name="40% - Énfasis2 11" xfId="503" xr:uid="{00000000-0005-0000-0000-0000AA000000}"/>
    <cellStyle name="40% - Énfasis2 12" xfId="512" xr:uid="{00000000-0005-0000-0000-0000AB000000}"/>
    <cellStyle name="40% - Énfasis2 13" xfId="811" xr:uid="{00000000-0005-0000-0000-0000AC000000}"/>
    <cellStyle name="40% - Énfasis2 14" xfId="985" xr:uid="{00000000-0005-0000-0000-0000AD000000}"/>
    <cellStyle name="40% - Énfasis2 15" xfId="1020" xr:uid="{00000000-0005-0000-0000-0000AE000000}"/>
    <cellStyle name="40% - Énfasis2 16" xfId="1329" xr:uid="{00000000-0005-0000-0000-0000AF000000}"/>
    <cellStyle name="40% - Énfasis2 17" xfId="1362" xr:uid="{00000000-0005-0000-0000-0000B0000000}"/>
    <cellStyle name="40% - Énfasis2 18" xfId="1697" xr:uid="{00000000-0005-0000-0000-0000B1000000}"/>
    <cellStyle name="40% - Énfasis2 19" xfId="1845" xr:uid="{00000000-0005-0000-0000-0000B2000000}"/>
    <cellStyle name="40% - Énfasis2 2" xfId="84" xr:uid="{00000000-0005-0000-0000-0000B3000000}"/>
    <cellStyle name="40% - Énfasis2 20" xfId="1881" xr:uid="{00000000-0005-0000-0000-0000B4000000}"/>
    <cellStyle name="40% - Énfasis2 21" xfId="2029" xr:uid="{00000000-0005-0000-0000-0000B5000000}"/>
    <cellStyle name="40% - Énfasis2 22" xfId="2289" xr:uid="{00000000-0005-0000-0000-0000B6000000}"/>
    <cellStyle name="40% - Énfasis2 23" xfId="2442" xr:uid="{00000000-0005-0000-0000-0000B7000000}"/>
    <cellStyle name="40% - Énfasis2 24" xfId="2587" xr:uid="{00000000-0005-0000-0000-0000B8000000}"/>
    <cellStyle name="40% - Énfasis2 3" xfId="97" xr:uid="{00000000-0005-0000-0000-0000B9000000}"/>
    <cellStyle name="40% - Énfasis2 4" xfId="180" xr:uid="{00000000-0005-0000-0000-0000BA000000}"/>
    <cellStyle name="40% - Énfasis2 5" xfId="191" xr:uid="{00000000-0005-0000-0000-0000BB000000}"/>
    <cellStyle name="40% - Énfasis2 6" xfId="215" xr:uid="{00000000-0005-0000-0000-0000BC000000}"/>
    <cellStyle name="40% - Énfasis2 7" xfId="250" xr:uid="{00000000-0005-0000-0000-0000BD000000}"/>
    <cellStyle name="40% - Énfasis2 8" xfId="261" xr:uid="{00000000-0005-0000-0000-0000BE000000}"/>
    <cellStyle name="40% - Énfasis2 9" xfId="290" xr:uid="{00000000-0005-0000-0000-0000BF000000}"/>
    <cellStyle name="40% - Énfasis3" xfId="29" builtinId="39" customBuiltin="1"/>
    <cellStyle name="40% - Énfasis3 10" xfId="340" xr:uid="{00000000-0005-0000-0000-0000C1000000}"/>
    <cellStyle name="40% - Énfasis3 11" xfId="504" xr:uid="{00000000-0005-0000-0000-0000C2000000}"/>
    <cellStyle name="40% - Énfasis3 12" xfId="511" xr:uid="{00000000-0005-0000-0000-0000C3000000}"/>
    <cellStyle name="40% - Énfasis3 13" xfId="812" xr:uid="{00000000-0005-0000-0000-0000C4000000}"/>
    <cellStyle name="40% - Énfasis3 14" xfId="986" xr:uid="{00000000-0005-0000-0000-0000C5000000}"/>
    <cellStyle name="40% - Énfasis3 15" xfId="1019" xr:uid="{00000000-0005-0000-0000-0000C6000000}"/>
    <cellStyle name="40% - Énfasis3 16" xfId="1330" xr:uid="{00000000-0005-0000-0000-0000C7000000}"/>
    <cellStyle name="40% - Énfasis3 17" xfId="1321" xr:uid="{00000000-0005-0000-0000-0000C8000000}"/>
    <cellStyle name="40% - Énfasis3 18" xfId="1698" xr:uid="{00000000-0005-0000-0000-0000C9000000}"/>
    <cellStyle name="40% - Énfasis3 19" xfId="1846" xr:uid="{00000000-0005-0000-0000-0000CA000000}"/>
    <cellStyle name="40% - Énfasis3 2" xfId="85" xr:uid="{00000000-0005-0000-0000-0000CB000000}"/>
    <cellStyle name="40% - Énfasis3 20" xfId="1837" xr:uid="{00000000-0005-0000-0000-0000CC000000}"/>
    <cellStyle name="40% - Énfasis3 21" xfId="2028" xr:uid="{00000000-0005-0000-0000-0000CD000000}"/>
    <cellStyle name="40% - Énfasis3 22" xfId="2290" xr:uid="{00000000-0005-0000-0000-0000CE000000}"/>
    <cellStyle name="40% - Énfasis3 23" xfId="2443" xr:uid="{00000000-0005-0000-0000-0000CF000000}"/>
    <cellStyle name="40% - Énfasis3 24" xfId="2589" xr:uid="{00000000-0005-0000-0000-0000D0000000}"/>
    <cellStyle name="40% - Énfasis3 3" xfId="76" xr:uid="{00000000-0005-0000-0000-0000D1000000}"/>
    <cellStyle name="40% - Énfasis3 4" xfId="181" xr:uid="{00000000-0005-0000-0000-0000D2000000}"/>
    <cellStyle name="40% - Énfasis3 5" xfId="172" xr:uid="{00000000-0005-0000-0000-0000D3000000}"/>
    <cellStyle name="40% - Énfasis3 6" xfId="214" xr:uid="{00000000-0005-0000-0000-0000D4000000}"/>
    <cellStyle name="40% - Énfasis3 7" xfId="251" xr:uid="{00000000-0005-0000-0000-0000D5000000}"/>
    <cellStyle name="40% - Énfasis3 8" xfId="260" xr:uid="{00000000-0005-0000-0000-0000D6000000}"/>
    <cellStyle name="40% - Énfasis3 9" xfId="284" xr:uid="{00000000-0005-0000-0000-0000D7000000}"/>
    <cellStyle name="40% - Énfasis4" xfId="33" builtinId="43" customBuiltin="1"/>
    <cellStyle name="40% - Énfasis4 10" xfId="341" xr:uid="{00000000-0005-0000-0000-0000D9000000}"/>
    <cellStyle name="40% - Énfasis4 11" xfId="505" xr:uid="{00000000-0005-0000-0000-0000DA000000}"/>
    <cellStyle name="40% - Énfasis4 12" xfId="510" xr:uid="{00000000-0005-0000-0000-0000DB000000}"/>
    <cellStyle name="40% - Énfasis4 13" xfId="813" xr:uid="{00000000-0005-0000-0000-0000DC000000}"/>
    <cellStyle name="40% - Énfasis4 14" xfId="987" xr:uid="{00000000-0005-0000-0000-0000DD000000}"/>
    <cellStyle name="40% - Énfasis4 15" xfId="977" xr:uid="{00000000-0005-0000-0000-0000DE000000}"/>
    <cellStyle name="40% - Énfasis4 16" xfId="1331" xr:uid="{00000000-0005-0000-0000-0000DF000000}"/>
    <cellStyle name="40% - Énfasis4 17" xfId="1341" xr:uid="{00000000-0005-0000-0000-0000E0000000}"/>
    <cellStyle name="40% - Énfasis4 18" xfId="1699" xr:uid="{00000000-0005-0000-0000-0000E1000000}"/>
    <cellStyle name="40% - Énfasis4 19" xfId="1847" xr:uid="{00000000-0005-0000-0000-0000E2000000}"/>
    <cellStyle name="40% - Énfasis4 2" xfId="86" xr:uid="{00000000-0005-0000-0000-0000E3000000}"/>
    <cellStyle name="40% - Énfasis4 20" xfId="1860" xr:uid="{00000000-0005-0000-0000-0000E4000000}"/>
    <cellStyle name="40% - Énfasis4 21" xfId="2000" xr:uid="{00000000-0005-0000-0000-0000E5000000}"/>
    <cellStyle name="40% - Énfasis4 22" xfId="2291" xr:uid="{00000000-0005-0000-0000-0000E6000000}"/>
    <cellStyle name="40% - Énfasis4 23" xfId="2444" xr:uid="{00000000-0005-0000-0000-0000E7000000}"/>
    <cellStyle name="40% - Énfasis4 24" xfId="2591" xr:uid="{00000000-0005-0000-0000-0000E8000000}"/>
    <cellStyle name="40% - Énfasis4 3" xfId="93" xr:uid="{00000000-0005-0000-0000-0000E9000000}"/>
    <cellStyle name="40% - Énfasis4 4" xfId="182" xr:uid="{00000000-0005-0000-0000-0000EA000000}"/>
    <cellStyle name="40% - Énfasis4 5" xfId="190" xr:uid="{00000000-0005-0000-0000-0000EB000000}"/>
    <cellStyle name="40% - Énfasis4 6" xfId="209" xr:uid="{00000000-0005-0000-0000-0000EC000000}"/>
    <cellStyle name="40% - Énfasis4 7" xfId="252" xr:uid="{00000000-0005-0000-0000-0000ED000000}"/>
    <cellStyle name="40% - Énfasis4 8" xfId="259" xr:uid="{00000000-0005-0000-0000-0000EE000000}"/>
    <cellStyle name="40% - Énfasis4 9" xfId="289" xr:uid="{00000000-0005-0000-0000-0000EF000000}"/>
    <cellStyle name="40% - Énfasis5" xfId="37" builtinId="47" customBuiltin="1"/>
    <cellStyle name="40% - Énfasis5 10" xfId="342" xr:uid="{00000000-0005-0000-0000-0000F1000000}"/>
    <cellStyle name="40% - Énfasis5 11" xfId="506" xr:uid="{00000000-0005-0000-0000-0000F2000000}"/>
    <cellStyle name="40% - Énfasis5 12" xfId="509" xr:uid="{00000000-0005-0000-0000-0000F3000000}"/>
    <cellStyle name="40% - Énfasis5 13" xfId="814" xr:uid="{00000000-0005-0000-0000-0000F4000000}"/>
    <cellStyle name="40% - Énfasis5 14" xfId="988" xr:uid="{00000000-0005-0000-0000-0000F5000000}"/>
    <cellStyle name="40% - Énfasis5 15" xfId="998" xr:uid="{00000000-0005-0000-0000-0000F6000000}"/>
    <cellStyle name="40% - Énfasis5 16" xfId="1332" xr:uid="{00000000-0005-0000-0000-0000F7000000}"/>
    <cellStyle name="40% - Énfasis5 17" xfId="1340" xr:uid="{00000000-0005-0000-0000-0000F8000000}"/>
    <cellStyle name="40% - Énfasis5 18" xfId="1700" xr:uid="{00000000-0005-0000-0000-0000F9000000}"/>
    <cellStyle name="40% - Énfasis5 19" xfId="1848" xr:uid="{00000000-0005-0000-0000-0000FA000000}"/>
    <cellStyle name="40% - Énfasis5 2" xfId="87" xr:uid="{00000000-0005-0000-0000-0000FB000000}"/>
    <cellStyle name="40% - Énfasis5 20" xfId="1859" xr:uid="{00000000-0005-0000-0000-0000FC000000}"/>
    <cellStyle name="40% - Énfasis5 21" xfId="2007" xr:uid="{00000000-0005-0000-0000-0000FD000000}"/>
    <cellStyle name="40% - Énfasis5 22" xfId="2292" xr:uid="{00000000-0005-0000-0000-0000FE000000}"/>
    <cellStyle name="40% - Énfasis5 23" xfId="2445" xr:uid="{00000000-0005-0000-0000-0000FF000000}"/>
    <cellStyle name="40% - Énfasis5 24" xfId="2593" xr:uid="{00000000-0005-0000-0000-000000010000}"/>
    <cellStyle name="40% - Énfasis5 3" xfId="92" xr:uid="{00000000-0005-0000-0000-000001010000}"/>
    <cellStyle name="40% - Énfasis5 4" xfId="183" xr:uid="{00000000-0005-0000-0000-000002010000}"/>
    <cellStyle name="40% - Énfasis5 5" xfId="189" xr:uid="{00000000-0005-0000-0000-000003010000}"/>
    <cellStyle name="40% - Énfasis5 6" xfId="213" xr:uid="{00000000-0005-0000-0000-000004010000}"/>
    <cellStyle name="40% - Énfasis5 7" xfId="253" xr:uid="{00000000-0005-0000-0000-000005010000}"/>
    <cellStyle name="40% - Énfasis5 8" xfId="257" xr:uid="{00000000-0005-0000-0000-000006010000}"/>
    <cellStyle name="40% - Énfasis5 9" xfId="288" xr:uid="{00000000-0005-0000-0000-000007010000}"/>
    <cellStyle name="40% - Énfasis6" xfId="41" builtinId="51" customBuiltin="1"/>
    <cellStyle name="40% - Énfasis6 10" xfId="343" xr:uid="{00000000-0005-0000-0000-000009010000}"/>
    <cellStyle name="40% - Énfasis6 11" xfId="507" xr:uid="{00000000-0005-0000-0000-00000A010000}"/>
    <cellStyle name="40% - Énfasis6 12" xfId="508" xr:uid="{00000000-0005-0000-0000-00000B010000}"/>
    <cellStyle name="40% - Énfasis6 13" xfId="815" xr:uid="{00000000-0005-0000-0000-00000C010000}"/>
    <cellStyle name="40% - Énfasis6 14" xfId="989" xr:uid="{00000000-0005-0000-0000-00000D010000}"/>
    <cellStyle name="40% - Énfasis6 15" xfId="997" xr:uid="{00000000-0005-0000-0000-00000E010000}"/>
    <cellStyle name="40% - Énfasis6 16" xfId="1333" xr:uid="{00000000-0005-0000-0000-00000F010000}"/>
    <cellStyle name="40% - Énfasis6 17" xfId="1337" xr:uid="{00000000-0005-0000-0000-000010010000}"/>
    <cellStyle name="40% - Énfasis6 18" xfId="1701" xr:uid="{00000000-0005-0000-0000-000011010000}"/>
    <cellStyle name="40% - Énfasis6 19" xfId="1849" xr:uid="{00000000-0005-0000-0000-000012010000}"/>
    <cellStyle name="40% - Énfasis6 2" xfId="88" xr:uid="{00000000-0005-0000-0000-000013010000}"/>
    <cellStyle name="40% - Énfasis6 20" xfId="1855" xr:uid="{00000000-0005-0000-0000-000014010000}"/>
    <cellStyle name="40% - Énfasis6 21" xfId="2006" xr:uid="{00000000-0005-0000-0000-000015010000}"/>
    <cellStyle name="40% - Énfasis6 22" xfId="2293" xr:uid="{00000000-0005-0000-0000-000016010000}"/>
    <cellStyle name="40% - Énfasis6 23" xfId="2446" xr:uid="{00000000-0005-0000-0000-000017010000}"/>
    <cellStyle name="40% - Énfasis6 24" xfId="2595" xr:uid="{00000000-0005-0000-0000-000018010000}"/>
    <cellStyle name="40% - Énfasis6 3" xfId="90" xr:uid="{00000000-0005-0000-0000-000019010000}"/>
    <cellStyle name="40% - Énfasis6 4" xfId="184" xr:uid="{00000000-0005-0000-0000-00001A010000}"/>
    <cellStyle name="40% - Énfasis6 5" xfId="187" xr:uid="{00000000-0005-0000-0000-00001B010000}"/>
    <cellStyle name="40% - Énfasis6 6" xfId="212" xr:uid="{00000000-0005-0000-0000-00001C010000}"/>
    <cellStyle name="40% - Énfasis6 7" xfId="254" xr:uid="{00000000-0005-0000-0000-00001D010000}"/>
    <cellStyle name="40% - Énfasis6 8" xfId="256" xr:uid="{00000000-0005-0000-0000-00001E010000}"/>
    <cellStyle name="40% - Énfasis6 9" xfId="287" xr:uid="{00000000-0005-0000-0000-00001F010000}"/>
    <cellStyle name="60% - Énfasis1" xfId="22" builtinId="32" customBuiltin="1"/>
    <cellStyle name="60% - Énfasis2" xfId="26" builtinId="36" customBuiltin="1"/>
    <cellStyle name="60% - Énfasis3" xfId="30" builtinId="40" customBuiltin="1"/>
    <cellStyle name="60% - Énfasis4" xfId="34" builtinId="44" customBuiltin="1"/>
    <cellStyle name="60% - Énfasis5" xfId="38" builtinId="48" customBuiltin="1"/>
    <cellStyle name="60% - Énfasis6" xfId="42" builtinId="52" customBuiltin="1"/>
    <cellStyle name="Bueno" xfId="8" builtinId="26" customBuiltin="1"/>
    <cellStyle name="Cálculo" xfId="13" builtinId="22" customBuiltin="1"/>
    <cellStyle name="Celda de comprobación" xfId="15" builtinId="23" customBuiltin="1"/>
    <cellStyle name="Celda vinculada" xfId="14" builtinId="24" customBuiltin="1"/>
    <cellStyle name="Encabezado 1" xfId="4" builtinId="16" customBuiltin="1"/>
    <cellStyle name="Encabezado 4" xfId="7" builtinId="19" customBuiltin="1"/>
    <cellStyle name="Énfasis1" xfId="19" builtinId="29" customBuiltin="1"/>
    <cellStyle name="Énfasis2" xfId="23" builtinId="33" customBuiltin="1"/>
    <cellStyle name="Énfasis3" xfId="27" builtinId="37" customBuiltin="1"/>
    <cellStyle name="Énfasis4" xfId="31" builtinId="41" customBuiltin="1"/>
    <cellStyle name="Énfasis5" xfId="35" builtinId="45" customBuiltin="1"/>
    <cellStyle name="Énfasis6" xfId="39" builtinId="49" customBuiltin="1"/>
    <cellStyle name="Entrada" xfId="11" builtinId="20" customBuiltin="1"/>
    <cellStyle name="Euro" xfId="1" xr:uid="{00000000-0005-0000-0000-000033010000}"/>
    <cellStyle name="Euro 10" xfId="210" xr:uid="{00000000-0005-0000-0000-000034010000}"/>
    <cellStyle name="Euro 11" xfId="185" xr:uid="{00000000-0005-0000-0000-000035010000}"/>
    <cellStyle name="Euro 12" xfId="258" xr:uid="{00000000-0005-0000-0000-000036010000}"/>
    <cellStyle name="Euro 13" xfId="285" xr:uid="{00000000-0005-0000-0000-000037010000}"/>
    <cellStyle name="Euro 14" xfId="255" xr:uid="{00000000-0005-0000-0000-000038010000}"/>
    <cellStyle name="Euro 15" xfId="344" xr:uid="{00000000-0005-0000-0000-000039010000}"/>
    <cellStyle name="Euro 16" xfId="816" xr:uid="{00000000-0005-0000-0000-00003A010000}"/>
    <cellStyle name="Euro 17" xfId="991" xr:uid="{00000000-0005-0000-0000-00003B010000}"/>
    <cellStyle name="Euro 18" xfId="990" xr:uid="{00000000-0005-0000-0000-00003C010000}"/>
    <cellStyle name="Euro 19" xfId="1334" xr:uid="{00000000-0005-0000-0000-00003D010000}"/>
    <cellStyle name="Euro 2" xfId="47" xr:uid="{00000000-0005-0000-0000-00003E010000}"/>
    <cellStyle name="Euro 2 10" xfId="1702" xr:uid="{00000000-0005-0000-0000-00003F010000}"/>
    <cellStyle name="Euro 2 11" xfId="1853" xr:uid="{00000000-0005-0000-0000-000040010000}"/>
    <cellStyle name="Euro 2 12" xfId="2002" xr:uid="{00000000-0005-0000-0000-000041010000}"/>
    <cellStyle name="Euro 2 13" xfId="1851" xr:uid="{00000000-0005-0000-0000-000042010000}"/>
    <cellStyle name="Euro 2 14" xfId="2295" xr:uid="{00000000-0005-0000-0000-000043010000}"/>
    <cellStyle name="Euro 2 2" xfId="345" xr:uid="{00000000-0005-0000-0000-000044010000}"/>
    <cellStyle name="Euro 2 3" xfId="514" xr:uid="{00000000-0005-0000-0000-000045010000}"/>
    <cellStyle name="Euro 2 4" xfId="667" xr:uid="{00000000-0005-0000-0000-000046010000}"/>
    <cellStyle name="Euro 2 5" xfId="817" xr:uid="{00000000-0005-0000-0000-000047010000}"/>
    <cellStyle name="Euro 2 6" xfId="992" xr:uid="{00000000-0005-0000-0000-000048010000}"/>
    <cellStyle name="Euro 2 7" xfId="1162" xr:uid="{00000000-0005-0000-0000-000049010000}"/>
    <cellStyle name="Euro 2 8" xfId="1335" xr:uid="{00000000-0005-0000-0000-00004A010000}"/>
    <cellStyle name="Euro 2 9" xfId="1530" xr:uid="{00000000-0005-0000-0000-00004B010000}"/>
    <cellStyle name="Euro 20" xfId="1529" xr:uid="{00000000-0005-0000-0000-00004C010000}"/>
    <cellStyle name="Euro 21" xfId="1852" xr:uid="{00000000-0005-0000-0000-00004D010000}"/>
    <cellStyle name="Euro 22" xfId="2001" xr:uid="{00000000-0005-0000-0000-00004E010000}"/>
    <cellStyle name="Euro 23" xfId="1850" xr:uid="{00000000-0005-0000-0000-00004F010000}"/>
    <cellStyle name="Euro 24" xfId="2294" xr:uid="{00000000-0005-0000-0000-000050010000}"/>
    <cellStyle name="Euro 25" xfId="2447" xr:uid="{00000000-0005-0000-0000-000051010000}"/>
    <cellStyle name="Euro 3" xfId="44" xr:uid="{00000000-0005-0000-0000-000052010000}"/>
    <cellStyle name="Euro 3 10" xfId="1703" xr:uid="{00000000-0005-0000-0000-000053010000}"/>
    <cellStyle name="Euro 3 11" xfId="1854" xr:uid="{00000000-0005-0000-0000-000054010000}"/>
    <cellStyle name="Euro 3 12" xfId="2003" xr:uid="{00000000-0005-0000-0000-000055010000}"/>
    <cellStyle name="Euro 3 13" xfId="2148" xr:uid="{00000000-0005-0000-0000-000056010000}"/>
    <cellStyle name="Euro 3 14" xfId="2296" xr:uid="{00000000-0005-0000-0000-000057010000}"/>
    <cellStyle name="Euro 3 2" xfId="346" xr:uid="{00000000-0005-0000-0000-000058010000}"/>
    <cellStyle name="Euro 3 3" xfId="515" xr:uid="{00000000-0005-0000-0000-000059010000}"/>
    <cellStyle name="Euro 3 4" xfId="668" xr:uid="{00000000-0005-0000-0000-00005A010000}"/>
    <cellStyle name="Euro 3 5" xfId="818" xr:uid="{00000000-0005-0000-0000-00005B010000}"/>
    <cellStyle name="Euro 3 6" xfId="993" xr:uid="{00000000-0005-0000-0000-00005C010000}"/>
    <cellStyle name="Euro 3 7" xfId="1163" xr:uid="{00000000-0005-0000-0000-00005D010000}"/>
    <cellStyle name="Euro 3 8" xfId="1336" xr:uid="{00000000-0005-0000-0000-00005E010000}"/>
    <cellStyle name="Euro 3 9" xfId="1531" xr:uid="{00000000-0005-0000-0000-00005F010000}"/>
    <cellStyle name="Euro 4" xfId="74" xr:uid="{00000000-0005-0000-0000-000060010000}"/>
    <cellStyle name="Euro 5" xfId="46" xr:uid="{00000000-0005-0000-0000-000061010000}"/>
    <cellStyle name="Euro 6" xfId="75" xr:uid="{00000000-0005-0000-0000-000062010000}"/>
    <cellStyle name="Euro 7" xfId="89" xr:uid="{00000000-0005-0000-0000-000063010000}"/>
    <cellStyle name="Euro 8" xfId="149" xr:uid="{00000000-0005-0000-0000-000064010000}"/>
    <cellStyle name="Euro 9" xfId="186" xr:uid="{00000000-0005-0000-0000-000065010000}"/>
    <cellStyle name="Incorrecto" xfId="9" builtinId="27" customBuiltin="1"/>
    <cellStyle name="Millares" xfId="2615" builtinId="3"/>
    <cellStyle name="Millares [0]" xfId="2601" builtinId="6"/>
    <cellStyle name="Millares [0] 2" xfId="2604" xr:uid="{00000000-0005-0000-0000-000069010000}"/>
    <cellStyle name="Millares [0] 3" xfId="2607" xr:uid="{00000000-0005-0000-0000-00006A010000}"/>
    <cellStyle name="Millares [0] 4" xfId="2610" xr:uid="{00000000-0005-0000-0000-00006B010000}"/>
    <cellStyle name="Millares [0] 5" xfId="2612" xr:uid="{00000000-0005-0000-0000-00006C010000}"/>
    <cellStyle name="Millares 10" xfId="286" xr:uid="{00000000-0005-0000-0000-00006D010000}"/>
    <cellStyle name="Millares 10 10" xfId="1704" xr:uid="{00000000-0005-0000-0000-00006E010000}"/>
    <cellStyle name="Millares 10 11" xfId="1857" xr:uid="{00000000-0005-0000-0000-00006F010000}"/>
    <cellStyle name="Millares 10 12" xfId="2004" xr:uid="{00000000-0005-0000-0000-000070010000}"/>
    <cellStyle name="Millares 10 13" xfId="2149" xr:uid="{00000000-0005-0000-0000-000071010000}"/>
    <cellStyle name="Millares 10 14" xfId="2298" xr:uid="{00000000-0005-0000-0000-000072010000}"/>
    <cellStyle name="Millares 10 2" xfId="348" xr:uid="{00000000-0005-0000-0000-000073010000}"/>
    <cellStyle name="Millares 10 3" xfId="517" xr:uid="{00000000-0005-0000-0000-000074010000}"/>
    <cellStyle name="Millares 10 4" xfId="670" xr:uid="{00000000-0005-0000-0000-000075010000}"/>
    <cellStyle name="Millares 10 5" xfId="820" xr:uid="{00000000-0005-0000-0000-000076010000}"/>
    <cellStyle name="Millares 10 6" xfId="995" xr:uid="{00000000-0005-0000-0000-000077010000}"/>
    <cellStyle name="Millares 10 7" xfId="1165" xr:uid="{00000000-0005-0000-0000-000078010000}"/>
    <cellStyle name="Millares 10 8" xfId="1338" xr:uid="{00000000-0005-0000-0000-000079010000}"/>
    <cellStyle name="Millares 10 9" xfId="1533" xr:uid="{00000000-0005-0000-0000-00007A010000}"/>
    <cellStyle name="Millares 11" xfId="314" xr:uid="{00000000-0005-0000-0000-00007B010000}"/>
    <cellStyle name="Millares 12" xfId="347" xr:uid="{00000000-0005-0000-0000-00007C010000}"/>
    <cellStyle name="Millares 13" xfId="495" xr:uid="{00000000-0005-0000-0000-00007D010000}"/>
    <cellStyle name="Millares 14" xfId="819" xr:uid="{00000000-0005-0000-0000-00007E010000}"/>
    <cellStyle name="Millares 15" xfId="669" xr:uid="{00000000-0005-0000-0000-00007F010000}"/>
    <cellStyle name="Millares 16" xfId="994" xr:uid="{00000000-0005-0000-0000-000080010000}"/>
    <cellStyle name="Millares 17" xfId="1164" xr:uid="{00000000-0005-0000-0000-000081010000}"/>
    <cellStyle name="Millares 18" xfId="1856" xr:uid="{00000000-0005-0000-0000-000082010000}"/>
    <cellStyle name="Millares 19" xfId="1532" xr:uid="{00000000-0005-0000-0000-000083010000}"/>
    <cellStyle name="Millares 2" xfId="91" xr:uid="{00000000-0005-0000-0000-000084010000}"/>
    <cellStyle name="Millares 2 10" xfId="1705" xr:uid="{00000000-0005-0000-0000-000085010000}"/>
    <cellStyle name="Millares 2 11" xfId="1858" xr:uid="{00000000-0005-0000-0000-000086010000}"/>
    <cellStyle name="Millares 2 12" xfId="2005" xr:uid="{00000000-0005-0000-0000-000087010000}"/>
    <cellStyle name="Millares 2 13" xfId="2150" xr:uid="{00000000-0005-0000-0000-000088010000}"/>
    <cellStyle name="Millares 2 14" xfId="2299" xr:uid="{00000000-0005-0000-0000-000089010000}"/>
    <cellStyle name="Millares 2 15" xfId="2598" xr:uid="{00000000-0005-0000-0000-00008A010000}"/>
    <cellStyle name="Millares 2 2" xfId="349" xr:uid="{00000000-0005-0000-0000-00008B010000}"/>
    <cellStyle name="Millares 2 3" xfId="518" xr:uid="{00000000-0005-0000-0000-00008C010000}"/>
    <cellStyle name="Millares 2 4" xfId="671" xr:uid="{00000000-0005-0000-0000-00008D010000}"/>
    <cellStyle name="Millares 2 5" xfId="821" xr:uid="{00000000-0005-0000-0000-00008E010000}"/>
    <cellStyle name="Millares 2 6" xfId="996" xr:uid="{00000000-0005-0000-0000-00008F010000}"/>
    <cellStyle name="Millares 2 7" xfId="1166" xr:uid="{00000000-0005-0000-0000-000090010000}"/>
    <cellStyle name="Millares 2 8" xfId="1339" xr:uid="{00000000-0005-0000-0000-000091010000}"/>
    <cellStyle name="Millares 2 9" xfId="1534" xr:uid="{00000000-0005-0000-0000-000092010000}"/>
    <cellStyle name="Millares 20" xfId="2297" xr:uid="{00000000-0005-0000-0000-000093010000}"/>
    <cellStyle name="Millares 21" xfId="2448" xr:uid="{00000000-0005-0000-0000-000094010000}"/>
    <cellStyle name="Millares 22" xfId="2599" xr:uid="{00000000-0005-0000-0000-000095010000}"/>
    <cellStyle name="Millares 22 2" xfId="2602" xr:uid="{00000000-0005-0000-0000-000096010000}"/>
    <cellStyle name="Millares 3" xfId="150" xr:uid="{00000000-0005-0000-0000-000097010000}"/>
    <cellStyle name="Millares 4" xfId="188" xr:uid="{00000000-0005-0000-0000-000098010000}"/>
    <cellStyle name="Millares 5" xfId="43" xr:uid="{00000000-0005-0000-0000-000099010000}"/>
    <cellStyle name="Millares 6" xfId="45" xr:uid="{00000000-0005-0000-0000-00009A010000}"/>
    <cellStyle name="Millares 7" xfId="211" xr:uid="{00000000-0005-0000-0000-00009B010000}"/>
    <cellStyle name="Millares 8" xfId="232" xr:uid="{00000000-0005-0000-0000-00009C010000}"/>
    <cellStyle name="Millares 9" xfId="331" xr:uid="{00000000-0005-0000-0000-00009D010000}"/>
    <cellStyle name="Moneda 2" xfId="48" xr:uid="{00000000-0005-0000-0000-00009E010000}"/>
    <cellStyle name="Moneda 3" xfId="2600" xr:uid="{00000000-0005-0000-0000-00009F010000}"/>
    <cellStyle name="Neutral" xfId="10" builtinId="28" customBuiltin="1"/>
    <cellStyle name="Normal" xfId="0" builtinId="0"/>
    <cellStyle name="Normal 10" xfId="61" xr:uid="{00000000-0005-0000-0000-0000A2010000}"/>
    <cellStyle name="Normal 10 2" xfId="94" xr:uid="{00000000-0005-0000-0000-0000A3010000}"/>
    <cellStyle name="Normal 10 2 10" xfId="1706" xr:uid="{00000000-0005-0000-0000-0000A4010000}"/>
    <cellStyle name="Normal 10 2 11" xfId="1861" xr:uid="{00000000-0005-0000-0000-0000A5010000}"/>
    <cellStyle name="Normal 10 2 12" xfId="2008" xr:uid="{00000000-0005-0000-0000-0000A6010000}"/>
    <cellStyle name="Normal 10 2 13" xfId="2151" xr:uid="{00000000-0005-0000-0000-0000A7010000}"/>
    <cellStyle name="Normal 10 2 14" xfId="2300" xr:uid="{00000000-0005-0000-0000-0000A8010000}"/>
    <cellStyle name="Normal 10 2 15" xfId="2449" xr:uid="{00000000-0005-0000-0000-0000A9010000}"/>
    <cellStyle name="Normal 10 2 2" xfId="350" xr:uid="{00000000-0005-0000-0000-0000AA010000}"/>
    <cellStyle name="Normal 10 2 3" xfId="522" xr:uid="{00000000-0005-0000-0000-0000AB010000}"/>
    <cellStyle name="Normal 10 2 4" xfId="672" xr:uid="{00000000-0005-0000-0000-0000AC010000}"/>
    <cellStyle name="Normal 10 2 5" xfId="822" xr:uid="{00000000-0005-0000-0000-0000AD010000}"/>
    <cellStyle name="Normal 10 2 6" xfId="999" xr:uid="{00000000-0005-0000-0000-0000AE010000}"/>
    <cellStyle name="Normal 10 2 7" xfId="1167" xr:uid="{00000000-0005-0000-0000-0000AF010000}"/>
    <cellStyle name="Normal 10 2 8" xfId="1342" xr:uid="{00000000-0005-0000-0000-0000B0010000}"/>
    <cellStyle name="Normal 10 2 9" xfId="1535" xr:uid="{00000000-0005-0000-0000-0000B1010000}"/>
    <cellStyle name="Normal 10 3" xfId="151" xr:uid="{00000000-0005-0000-0000-0000B2010000}"/>
    <cellStyle name="Normal 10 3 10" xfId="1707" xr:uid="{00000000-0005-0000-0000-0000B3010000}"/>
    <cellStyle name="Normal 10 3 11" xfId="1862" xr:uid="{00000000-0005-0000-0000-0000B4010000}"/>
    <cellStyle name="Normal 10 3 12" xfId="2009" xr:uid="{00000000-0005-0000-0000-0000B5010000}"/>
    <cellStyle name="Normal 10 3 13" xfId="2152" xr:uid="{00000000-0005-0000-0000-0000B6010000}"/>
    <cellStyle name="Normal 10 3 14" xfId="2301" xr:uid="{00000000-0005-0000-0000-0000B7010000}"/>
    <cellStyle name="Normal 10 3 15" xfId="2450" xr:uid="{00000000-0005-0000-0000-0000B8010000}"/>
    <cellStyle name="Normal 10 3 2" xfId="351" xr:uid="{00000000-0005-0000-0000-0000B9010000}"/>
    <cellStyle name="Normal 10 3 3" xfId="523" xr:uid="{00000000-0005-0000-0000-0000BA010000}"/>
    <cellStyle name="Normal 10 3 4" xfId="673" xr:uid="{00000000-0005-0000-0000-0000BB010000}"/>
    <cellStyle name="Normal 10 3 5" xfId="823" xr:uid="{00000000-0005-0000-0000-0000BC010000}"/>
    <cellStyle name="Normal 10 3 6" xfId="1000" xr:uid="{00000000-0005-0000-0000-0000BD010000}"/>
    <cellStyle name="Normal 10 3 7" xfId="1168" xr:uid="{00000000-0005-0000-0000-0000BE010000}"/>
    <cellStyle name="Normal 10 3 8" xfId="1343" xr:uid="{00000000-0005-0000-0000-0000BF010000}"/>
    <cellStyle name="Normal 10 3 9" xfId="1536" xr:uid="{00000000-0005-0000-0000-0000C0010000}"/>
    <cellStyle name="Normal 11" xfId="54" xr:uid="{00000000-0005-0000-0000-0000C1010000}"/>
    <cellStyle name="Normal 11 2" xfId="95" xr:uid="{00000000-0005-0000-0000-0000C2010000}"/>
    <cellStyle name="Normal 11 2 10" xfId="1708" xr:uid="{00000000-0005-0000-0000-0000C3010000}"/>
    <cellStyle name="Normal 11 2 11" xfId="1863" xr:uid="{00000000-0005-0000-0000-0000C4010000}"/>
    <cellStyle name="Normal 11 2 12" xfId="2010" xr:uid="{00000000-0005-0000-0000-0000C5010000}"/>
    <cellStyle name="Normal 11 2 13" xfId="2153" xr:uid="{00000000-0005-0000-0000-0000C6010000}"/>
    <cellStyle name="Normal 11 2 14" xfId="2302" xr:uid="{00000000-0005-0000-0000-0000C7010000}"/>
    <cellStyle name="Normal 11 2 15" xfId="2451" xr:uid="{00000000-0005-0000-0000-0000C8010000}"/>
    <cellStyle name="Normal 11 2 2" xfId="352" xr:uid="{00000000-0005-0000-0000-0000C9010000}"/>
    <cellStyle name="Normal 11 2 3" xfId="524" xr:uid="{00000000-0005-0000-0000-0000CA010000}"/>
    <cellStyle name="Normal 11 2 4" xfId="674" xr:uid="{00000000-0005-0000-0000-0000CB010000}"/>
    <cellStyle name="Normal 11 2 5" xfId="824" xr:uid="{00000000-0005-0000-0000-0000CC010000}"/>
    <cellStyle name="Normal 11 2 6" xfId="1001" xr:uid="{00000000-0005-0000-0000-0000CD010000}"/>
    <cellStyle name="Normal 11 2 7" xfId="1169" xr:uid="{00000000-0005-0000-0000-0000CE010000}"/>
    <cellStyle name="Normal 11 2 8" xfId="1344" xr:uid="{00000000-0005-0000-0000-0000CF010000}"/>
    <cellStyle name="Normal 11 2 9" xfId="1537" xr:uid="{00000000-0005-0000-0000-0000D0010000}"/>
    <cellStyle name="Normal 11 3" xfId="152" xr:uid="{00000000-0005-0000-0000-0000D1010000}"/>
    <cellStyle name="Normal 11 3 10" xfId="1709" xr:uid="{00000000-0005-0000-0000-0000D2010000}"/>
    <cellStyle name="Normal 11 3 11" xfId="1864" xr:uid="{00000000-0005-0000-0000-0000D3010000}"/>
    <cellStyle name="Normal 11 3 12" xfId="2011" xr:uid="{00000000-0005-0000-0000-0000D4010000}"/>
    <cellStyle name="Normal 11 3 13" xfId="2154" xr:uid="{00000000-0005-0000-0000-0000D5010000}"/>
    <cellStyle name="Normal 11 3 14" xfId="2303" xr:uid="{00000000-0005-0000-0000-0000D6010000}"/>
    <cellStyle name="Normal 11 3 15" xfId="2452" xr:uid="{00000000-0005-0000-0000-0000D7010000}"/>
    <cellStyle name="Normal 11 3 2" xfId="353" xr:uid="{00000000-0005-0000-0000-0000D8010000}"/>
    <cellStyle name="Normal 11 3 3" xfId="525" xr:uid="{00000000-0005-0000-0000-0000D9010000}"/>
    <cellStyle name="Normal 11 3 4" xfId="675" xr:uid="{00000000-0005-0000-0000-0000DA010000}"/>
    <cellStyle name="Normal 11 3 5" xfId="825" xr:uid="{00000000-0005-0000-0000-0000DB010000}"/>
    <cellStyle name="Normal 11 3 6" xfId="1002" xr:uid="{00000000-0005-0000-0000-0000DC010000}"/>
    <cellStyle name="Normal 11 3 7" xfId="1170" xr:uid="{00000000-0005-0000-0000-0000DD010000}"/>
    <cellStyle name="Normal 11 3 8" xfId="1345" xr:uid="{00000000-0005-0000-0000-0000DE010000}"/>
    <cellStyle name="Normal 11 3 9" xfId="1538" xr:uid="{00000000-0005-0000-0000-0000DF010000}"/>
    <cellStyle name="Normal 12" xfId="50" xr:uid="{00000000-0005-0000-0000-0000E0010000}"/>
    <cellStyle name="Normal 12 2" xfId="354" xr:uid="{00000000-0005-0000-0000-0000E1010000}"/>
    <cellStyle name="Normal 12 2 10" xfId="1865" xr:uid="{00000000-0005-0000-0000-0000E2010000}"/>
    <cellStyle name="Normal 12 2 11" xfId="2012" xr:uid="{00000000-0005-0000-0000-0000E3010000}"/>
    <cellStyle name="Normal 12 2 12" xfId="2155" xr:uid="{00000000-0005-0000-0000-0000E4010000}"/>
    <cellStyle name="Normal 12 2 13" xfId="2304" xr:uid="{00000000-0005-0000-0000-0000E5010000}"/>
    <cellStyle name="Normal 12 2 14" xfId="2453" xr:uid="{00000000-0005-0000-0000-0000E6010000}"/>
    <cellStyle name="Normal 12 2 2" xfId="526" xr:uid="{00000000-0005-0000-0000-0000E7010000}"/>
    <cellStyle name="Normal 12 2 3" xfId="676" xr:uid="{00000000-0005-0000-0000-0000E8010000}"/>
    <cellStyle name="Normal 12 2 4" xfId="826" xr:uid="{00000000-0005-0000-0000-0000E9010000}"/>
    <cellStyle name="Normal 12 2 5" xfId="1003" xr:uid="{00000000-0005-0000-0000-0000EA010000}"/>
    <cellStyle name="Normal 12 2 6" xfId="1171" xr:uid="{00000000-0005-0000-0000-0000EB010000}"/>
    <cellStyle name="Normal 12 2 7" xfId="1346" xr:uid="{00000000-0005-0000-0000-0000EC010000}"/>
    <cellStyle name="Normal 12 2 8" xfId="1539" xr:uid="{00000000-0005-0000-0000-0000ED010000}"/>
    <cellStyle name="Normal 12 2 9" xfId="1710" xr:uid="{00000000-0005-0000-0000-0000EE010000}"/>
    <cellStyle name="Normal 12 3" xfId="355" xr:uid="{00000000-0005-0000-0000-0000EF010000}"/>
    <cellStyle name="Normal 12 3 10" xfId="1866" xr:uid="{00000000-0005-0000-0000-0000F0010000}"/>
    <cellStyle name="Normal 12 3 11" xfId="2013" xr:uid="{00000000-0005-0000-0000-0000F1010000}"/>
    <cellStyle name="Normal 12 3 12" xfId="2156" xr:uid="{00000000-0005-0000-0000-0000F2010000}"/>
    <cellStyle name="Normal 12 3 13" xfId="2305" xr:uid="{00000000-0005-0000-0000-0000F3010000}"/>
    <cellStyle name="Normal 12 3 14" xfId="2454" xr:uid="{00000000-0005-0000-0000-0000F4010000}"/>
    <cellStyle name="Normal 12 3 2" xfId="527" xr:uid="{00000000-0005-0000-0000-0000F5010000}"/>
    <cellStyle name="Normal 12 3 3" xfId="677" xr:uid="{00000000-0005-0000-0000-0000F6010000}"/>
    <cellStyle name="Normal 12 3 4" xfId="827" xr:uid="{00000000-0005-0000-0000-0000F7010000}"/>
    <cellStyle name="Normal 12 3 5" xfId="1004" xr:uid="{00000000-0005-0000-0000-0000F8010000}"/>
    <cellStyle name="Normal 12 3 6" xfId="1172" xr:uid="{00000000-0005-0000-0000-0000F9010000}"/>
    <cellStyle name="Normal 12 3 7" xfId="1347" xr:uid="{00000000-0005-0000-0000-0000FA010000}"/>
    <cellStyle name="Normal 12 3 8" xfId="1540" xr:uid="{00000000-0005-0000-0000-0000FB010000}"/>
    <cellStyle name="Normal 12 3 9" xfId="1711" xr:uid="{00000000-0005-0000-0000-0000FC010000}"/>
    <cellStyle name="Normal 13" xfId="57" xr:uid="{00000000-0005-0000-0000-0000FD010000}"/>
    <cellStyle name="Normal 13 2" xfId="356" xr:uid="{00000000-0005-0000-0000-0000FE010000}"/>
    <cellStyle name="Normal 13 2 10" xfId="1867" xr:uid="{00000000-0005-0000-0000-0000FF010000}"/>
    <cellStyle name="Normal 13 2 11" xfId="2014" xr:uid="{00000000-0005-0000-0000-000000020000}"/>
    <cellStyle name="Normal 13 2 12" xfId="2157" xr:uid="{00000000-0005-0000-0000-000001020000}"/>
    <cellStyle name="Normal 13 2 13" xfId="2306" xr:uid="{00000000-0005-0000-0000-000002020000}"/>
    <cellStyle name="Normal 13 2 14" xfId="2455" xr:uid="{00000000-0005-0000-0000-000003020000}"/>
    <cellStyle name="Normal 13 2 2" xfId="528" xr:uid="{00000000-0005-0000-0000-000004020000}"/>
    <cellStyle name="Normal 13 2 3" xfId="678" xr:uid="{00000000-0005-0000-0000-000005020000}"/>
    <cellStyle name="Normal 13 2 4" xfId="828" xr:uid="{00000000-0005-0000-0000-000006020000}"/>
    <cellStyle name="Normal 13 2 5" xfId="1005" xr:uid="{00000000-0005-0000-0000-000007020000}"/>
    <cellStyle name="Normal 13 2 6" xfId="1173" xr:uid="{00000000-0005-0000-0000-000008020000}"/>
    <cellStyle name="Normal 13 2 7" xfId="1348" xr:uid="{00000000-0005-0000-0000-000009020000}"/>
    <cellStyle name="Normal 13 2 8" xfId="1541" xr:uid="{00000000-0005-0000-0000-00000A020000}"/>
    <cellStyle name="Normal 13 2 9" xfId="1712" xr:uid="{00000000-0005-0000-0000-00000B020000}"/>
    <cellStyle name="Normal 13 3" xfId="357" xr:uid="{00000000-0005-0000-0000-00000C020000}"/>
    <cellStyle name="Normal 13 3 10" xfId="1868" xr:uid="{00000000-0005-0000-0000-00000D020000}"/>
    <cellStyle name="Normal 13 3 11" xfId="2015" xr:uid="{00000000-0005-0000-0000-00000E020000}"/>
    <cellStyle name="Normal 13 3 12" xfId="2158" xr:uid="{00000000-0005-0000-0000-00000F020000}"/>
    <cellStyle name="Normal 13 3 13" xfId="2307" xr:uid="{00000000-0005-0000-0000-000010020000}"/>
    <cellStyle name="Normal 13 3 14" xfId="2456" xr:uid="{00000000-0005-0000-0000-000011020000}"/>
    <cellStyle name="Normal 13 3 2" xfId="529" xr:uid="{00000000-0005-0000-0000-000012020000}"/>
    <cellStyle name="Normal 13 3 3" xfId="679" xr:uid="{00000000-0005-0000-0000-000013020000}"/>
    <cellStyle name="Normal 13 3 4" xfId="829" xr:uid="{00000000-0005-0000-0000-000014020000}"/>
    <cellStyle name="Normal 13 3 5" xfId="1006" xr:uid="{00000000-0005-0000-0000-000015020000}"/>
    <cellStyle name="Normal 13 3 6" xfId="1174" xr:uid="{00000000-0005-0000-0000-000016020000}"/>
    <cellStyle name="Normal 13 3 7" xfId="1349" xr:uid="{00000000-0005-0000-0000-000017020000}"/>
    <cellStyle name="Normal 13 3 8" xfId="1542" xr:uid="{00000000-0005-0000-0000-000018020000}"/>
    <cellStyle name="Normal 13 3 9" xfId="1713" xr:uid="{00000000-0005-0000-0000-000019020000}"/>
    <cellStyle name="Normal 14" xfId="58" xr:uid="{00000000-0005-0000-0000-00001A020000}"/>
    <cellStyle name="Normal 14 2" xfId="96" xr:uid="{00000000-0005-0000-0000-00001B020000}"/>
    <cellStyle name="Normal 14 2 10" xfId="1714" xr:uid="{00000000-0005-0000-0000-00001C020000}"/>
    <cellStyle name="Normal 14 2 11" xfId="1869" xr:uid="{00000000-0005-0000-0000-00001D020000}"/>
    <cellStyle name="Normal 14 2 12" xfId="2016" xr:uid="{00000000-0005-0000-0000-00001E020000}"/>
    <cellStyle name="Normal 14 2 13" xfId="2159" xr:uid="{00000000-0005-0000-0000-00001F020000}"/>
    <cellStyle name="Normal 14 2 14" xfId="2308" xr:uid="{00000000-0005-0000-0000-000020020000}"/>
    <cellStyle name="Normal 14 2 15" xfId="2457" xr:uid="{00000000-0005-0000-0000-000021020000}"/>
    <cellStyle name="Normal 14 2 2" xfId="358" xr:uid="{00000000-0005-0000-0000-000022020000}"/>
    <cellStyle name="Normal 14 2 3" xfId="530" xr:uid="{00000000-0005-0000-0000-000023020000}"/>
    <cellStyle name="Normal 14 2 4" xfId="680" xr:uid="{00000000-0005-0000-0000-000024020000}"/>
    <cellStyle name="Normal 14 2 5" xfId="830" xr:uid="{00000000-0005-0000-0000-000025020000}"/>
    <cellStyle name="Normal 14 2 6" xfId="1007" xr:uid="{00000000-0005-0000-0000-000026020000}"/>
    <cellStyle name="Normal 14 2 7" xfId="1175" xr:uid="{00000000-0005-0000-0000-000027020000}"/>
    <cellStyle name="Normal 14 2 8" xfId="1350" xr:uid="{00000000-0005-0000-0000-000028020000}"/>
    <cellStyle name="Normal 14 2 9" xfId="1543" xr:uid="{00000000-0005-0000-0000-000029020000}"/>
    <cellStyle name="Normal 14 3" xfId="153" xr:uid="{00000000-0005-0000-0000-00002A020000}"/>
    <cellStyle name="Normal 14 3 10" xfId="1715" xr:uid="{00000000-0005-0000-0000-00002B020000}"/>
    <cellStyle name="Normal 14 3 11" xfId="1870" xr:uid="{00000000-0005-0000-0000-00002C020000}"/>
    <cellStyle name="Normal 14 3 12" xfId="2017" xr:uid="{00000000-0005-0000-0000-00002D020000}"/>
    <cellStyle name="Normal 14 3 13" xfId="2160" xr:uid="{00000000-0005-0000-0000-00002E020000}"/>
    <cellStyle name="Normal 14 3 14" xfId="2309" xr:uid="{00000000-0005-0000-0000-00002F020000}"/>
    <cellStyle name="Normal 14 3 15" xfId="2458" xr:uid="{00000000-0005-0000-0000-000030020000}"/>
    <cellStyle name="Normal 14 3 2" xfId="359" xr:uid="{00000000-0005-0000-0000-000031020000}"/>
    <cellStyle name="Normal 14 3 3" xfId="531" xr:uid="{00000000-0005-0000-0000-000032020000}"/>
    <cellStyle name="Normal 14 3 4" xfId="681" xr:uid="{00000000-0005-0000-0000-000033020000}"/>
    <cellStyle name="Normal 14 3 5" xfId="831" xr:uid="{00000000-0005-0000-0000-000034020000}"/>
    <cellStyle name="Normal 14 3 6" xfId="1008" xr:uid="{00000000-0005-0000-0000-000035020000}"/>
    <cellStyle name="Normal 14 3 7" xfId="1176" xr:uid="{00000000-0005-0000-0000-000036020000}"/>
    <cellStyle name="Normal 14 3 8" xfId="1351" xr:uid="{00000000-0005-0000-0000-000037020000}"/>
    <cellStyle name="Normal 14 3 9" xfId="1544" xr:uid="{00000000-0005-0000-0000-000038020000}"/>
    <cellStyle name="Normal 15" xfId="56" xr:uid="{00000000-0005-0000-0000-000039020000}"/>
    <cellStyle name="Normal 15 2" xfId="360" xr:uid="{00000000-0005-0000-0000-00003A020000}"/>
    <cellStyle name="Normal 15 2 10" xfId="1871" xr:uid="{00000000-0005-0000-0000-00003B020000}"/>
    <cellStyle name="Normal 15 2 11" xfId="2018" xr:uid="{00000000-0005-0000-0000-00003C020000}"/>
    <cellStyle name="Normal 15 2 12" xfId="2161" xr:uid="{00000000-0005-0000-0000-00003D020000}"/>
    <cellStyle name="Normal 15 2 13" xfId="2310" xr:uid="{00000000-0005-0000-0000-00003E020000}"/>
    <cellStyle name="Normal 15 2 14" xfId="2459" xr:uid="{00000000-0005-0000-0000-00003F020000}"/>
    <cellStyle name="Normal 15 2 2" xfId="532" xr:uid="{00000000-0005-0000-0000-000040020000}"/>
    <cellStyle name="Normal 15 2 3" xfId="682" xr:uid="{00000000-0005-0000-0000-000041020000}"/>
    <cellStyle name="Normal 15 2 4" xfId="832" xr:uid="{00000000-0005-0000-0000-000042020000}"/>
    <cellStyle name="Normal 15 2 5" xfId="1009" xr:uid="{00000000-0005-0000-0000-000043020000}"/>
    <cellStyle name="Normal 15 2 6" xfId="1177" xr:uid="{00000000-0005-0000-0000-000044020000}"/>
    <cellStyle name="Normal 15 2 7" xfId="1352" xr:uid="{00000000-0005-0000-0000-000045020000}"/>
    <cellStyle name="Normal 15 2 8" xfId="1545" xr:uid="{00000000-0005-0000-0000-000046020000}"/>
    <cellStyle name="Normal 15 2 9" xfId="1716" xr:uid="{00000000-0005-0000-0000-000047020000}"/>
    <cellStyle name="Normal 15 3" xfId="361" xr:uid="{00000000-0005-0000-0000-000048020000}"/>
    <cellStyle name="Normal 15 3 10" xfId="1872" xr:uid="{00000000-0005-0000-0000-000049020000}"/>
    <cellStyle name="Normal 15 3 11" xfId="2019" xr:uid="{00000000-0005-0000-0000-00004A020000}"/>
    <cellStyle name="Normal 15 3 12" xfId="2162" xr:uid="{00000000-0005-0000-0000-00004B020000}"/>
    <cellStyle name="Normal 15 3 13" xfId="2311" xr:uid="{00000000-0005-0000-0000-00004C020000}"/>
    <cellStyle name="Normal 15 3 14" xfId="2460" xr:uid="{00000000-0005-0000-0000-00004D020000}"/>
    <cellStyle name="Normal 15 3 2" xfId="533" xr:uid="{00000000-0005-0000-0000-00004E020000}"/>
    <cellStyle name="Normal 15 3 3" xfId="683" xr:uid="{00000000-0005-0000-0000-00004F020000}"/>
    <cellStyle name="Normal 15 3 4" xfId="833" xr:uid="{00000000-0005-0000-0000-000050020000}"/>
    <cellStyle name="Normal 15 3 5" xfId="1010" xr:uid="{00000000-0005-0000-0000-000051020000}"/>
    <cellStyle name="Normal 15 3 6" xfId="1178" xr:uid="{00000000-0005-0000-0000-000052020000}"/>
    <cellStyle name="Normal 15 3 7" xfId="1353" xr:uid="{00000000-0005-0000-0000-000053020000}"/>
    <cellStyle name="Normal 15 3 8" xfId="1546" xr:uid="{00000000-0005-0000-0000-000054020000}"/>
    <cellStyle name="Normal 15 3 9" xfId="1717" xr:uid="{00000000-0005-0000-0000-000055020000}"/>
    <cellStyle name="Normal 16" xfId="59" xr:uid="{00000000-0005-0000-0000-000056020000}"/>
    <cellStyle name="Normal 16 2" xfId="362" xr:uid="{00000000-0005-0000-0000-000057020000}"/>
    <cellStyle name="Normal 16 2 10" xfId="1873" xr:uid="{00000000-0005-0000-0000-000058020000}"/>
    <cellStyle name="Normal 16 2 11" xfId="2020" xr:uid="{00000000-0005-0000-0000-000059020000}"/>
    <cellStyle name="Normal 16 2 12" xfId="2163" xr:uid="{00000000-0005-0000-0000-00005A020000}"/>
    <cellStyle name="Normal 16 2 13" xfId="2312" xr:uid="{00000000-0005-0000-0000-00005B020000}"/>
    <cellStyle name="Normal 16 2 14" xfId="2461" xr:uid="{00000000-0005-0000-0000-00005C020000}"/>
    <cellStyle name="Normal 16 2 2" xfId="534" xr:uid="{00000000-0005-0000-0000-00005D020000}"/>
    <cellStyle name="Normal 16 2 3" xfId="684" xr:uid="{00000000-0005-0000-0000-00005E020000}"/>
    <cellStyle name="Normal 16 2 4" xfId="834" xr:uid="{00000000-0005-0000-0000-00005F020000}"/>
    <cellStyle name="Normal 16 2 5" xfId="1011" xr:uid="{00000000-0005-0000-0000-000060020000}"/>
    <cellStyle name="Normal 16 2 6" xfId="1179" xr:uid="{00000000-0005-0000-0000-000061020000}"/>
    <cellStyle name="Normal 16 2 7" xfId="1354" xr:uid="{00000000-0005-0000-0000-000062020000}"/>
    <cellStyle name="Normal 16 2 8" xfId="1547" xr:uid="{00000000-0005-0000-0000-000063020000}"/>
    <cellStyle name="Normal 16 2 9" xfId="1718" xr:uid="{00000000-0005-0000-0000-000064020000}"/>
    <cellStyle name="Normal 16 3" xfId="363" xr:uid="{00000000-0005-0000-0000-000065020000}"/>
    <cellStyle name="Normal 16 3 10" xfId="1874" xr:uid="{00000000-0005-0000-0000-000066020000}"/>
    <cellStyle name="Normal 16 3 11" xfId="2021" xr:uid="{00000000-0005-0000-0000-000067020000}"/>
    <cellStyle name="Normal 16 3 12" xfId="2164" xr:uid="{00000000-0005-0000-0000-000068020000}"/>
    <cellStyle name="Normal 16 3 13" xfId="2313" xr:uid="{00000000-0005-0000-0000-000069020000}"/>
    <cellStyle name="Normal 16 3 14" xfId="2462" xr:uid="{00000000-0005-0000-0000-00006A020000}"/>
    <cellStyle name="Normal 16 3 2" xfId="535" xr:uid="{00000000-0005-0000-0000-00006B020000}"/>
    <cellStyle name="Normal 16 3 3" xfId="685" xr:uid="{00000000-0005-0000-0000-00006C020000}"/>
    <cellStyle name="Normal 16 3 4" xfId="835" xr:uid="{00000000-0005-0000-0000-00006D020000}"/>
    <cellStyle name="Normal 16 3 5" xfId="1012" xr:uid="{00000000-0005-0000-0000-00006E020000}"/>
    <cellStyle name="Normal 16 3 6" xfId="1180" xr:uid="{00000000-0005-0000-0000-00006F020000}"/>
    <cellStyle name="Normal 16 3 7" xfId="1355" xr:uid="{00000000-0005-0000-0000-000070020000}"/>
    <cellStyle name="Normal 16 3 8" xfId="1548" xr:uid="{00000000-0005-0000-0000-000071020000}"/>
    <cellStyle name="Normal 16 3 9" xfId="1719" xr:uid="{00000000-0005-0000-0000-000072020000}"/>
    <cellStyle name="Normal 17" xfId="2605" xr:uid="{00000000-0005-0000-0000-000073020000}"/>
    <cellStyle name="Normal 17 2" xfId="364" xr:uid="{00000000-0005-0000-0000-000074020000}"/>
    <cellStyle name="Normal 17 2 10" xfId="1875" xr:uid="{00000000-0005-0000-0000-000075020000}"/>
    <cellStyle name="Normal 17 2 11" xfId="2022" xr:uid="{00000000-0005-0000-0000-000076020000}"/>
    <cellStyle name="Normal 17 2 12" xfId="2165" xr:uid="{00000000-0005-0000-0000-000077020000}"/>
    <cellStyle name="Normal 17 2 13" xfId="2314" xr:uid="{00000000-0005-0000-0000-000078020000}"/>
    <cellStyle name="Normal 17 2 14" xfId="2463" xr:uid="{00000000-0005-0000-0000-000079020000}"/>
    <cellStyle name="Normal 17 2 2" xfId="536" xr:uid="{00000000-0005-0000-0000-00007A020000}"/>
    <cellStyle name="Normal 17 2 3" xfId="686" xr:uid="{00000000-0005-0000-0000-00007B020000}"/>
    <cellStyle name="Normal 17 2 4" xfId="836" xr:uid="{00000000-0005-0000-0000-00007C020000}"/>
    <cellStyle name="Normal 17 2 5" xfId="1013" xr:uid="{00000000-0005-0000-0000-00007D020000}"/>
    <cellStyle name="Normal 17 2 6" xfId="1181" xr:uid="{00000000-0005-0000-0000-00007E020000}"/>
    <cellStyle name="Normal 17 2 7" xfId="1356" xr:uid="{00000000-0005-0000-0000-00007F020000}"/>
    <cellStyle name="Normal 17 2 8" xfId="1549" xr:uid="{00000000-0005-0000-0000-000080020000}"/>
    <cellStyle name="Normal 17 2 9" xfId="1720" xr:uid="{00000000-0005-0000-0000-000081020000}"/>
    <cellStyle name="Normal 17 3" xfId="365" xr:uid="{00000000-0005-0000-0000-000082020000}"/>
    <cellStyle name="Normal 17 3 10" xfId="1876" xr:uid="{00000000-0005-0000-0000-000083020000}"/>
    <cellStyle name="Normal 17 3 11" xfId="2023" xr:uid="{00000000-0005-0000-0000-000084020000}"/>
    <cellStyle name="Normal 17 3 12" xfId="2166" xr:uid="{00000000-0005-0000-0000-000085020000}"/>
    <cellStyle name="Normal 17 3 13" xfId="2315" xr:uid="{00000000-0005-0000-0000-000086020000}"/>
    <cellStyle name="Normal 17 3 14" xfId="2464" xr:uid="{00000000-0005-0000-0000-000087020000}"/>
    <cellStyle name="Normal 17 3 2" xfId="537" xr:uid="{00000000-0005-0000-0000-000088020000}"/>
    <cellStyle name="Normal 17 3 3" xfId="687" xr:uid="{00000000-0005-0000-0000-000089020000}"/>
    <cellStyle name="Normal 17 3 4" xfId="837" xr:uid="{00000000-0005-0000-0000-00008A020000}"/>
    <cellStyle name="Normal 17 3 5" xfId="1014" xr:uid="{00000000-0005-0000-0000-00008B020000}"/>
    <cellStyle name="Normal 17 3 6" xfId="1182" xr:uid="{00000000-0005-0000-0000-00008C020000}"/>
    <cellStyle name="Normal 17 3 7" xfId="1357" xr:uid="{00000000-0005-0000-0000-00008D020000}"/>
    <cellStyle name="Normal 17 3 8" xfId="1550" xr:uid="{00000000-0005-0000-0000-00008E020000}"/>
    <cellStyle name="Normal 17 3 9" xfId="1721" xr:uid="{00000000-0005-0000-0000-00008F020000}"/>
    <cellStyle name="Normal 18" xfId="123" xr:uid="{00000000-0005-0000-0000-000090020000}"/>
    <cellStyle name="Normal 18 2" xfId="366" xr:uid="{00000000-0005-0000-0000-000091020000}"/>
    <cellStyle name="Normal 18 2 10" xfId="1877" xr:uid="{00000000-0005-0000-0000-000092020000}"/>
    <cellStyle name="Normal 18 2 11" xfId="2024" xr:uid="{00000000-0005-0000-0000-000093020000}"/>
    <cellStyle name="Normal 18 2 12" xfId="2167" xr:uid="{00000000-0005-0000-0000-000094020000}"/>
    <cellStyle name="Normal 18 2 13" xfId="2316" xr:uid="{00000000-0005-0000-0000-000095020000}"/>
    <cellStyle name="Normal 18 2 14" xfId="2465" xr:uid="{00000000-0005-0000-0000-000096020000}"/>
    <cellStyle name="Normal 18 2 2" xfId="538" xr:uid="{00000000-0005-0000-0000-000097020000}"/>
    <cellStyle name="Normal 18 2 3" xfId="688" xr:uid="{00000000-0005-0000-0000-000098020000}"/>
    <cellStyle name="Normal 18 2 4" xfId="838" xr:uid="{00000000-0005-0000-0000-000099020000}"/>
    <cellStyle name="Normal 18 2 5" xfId="1015" xr:uid="{00000000-0005-0000-0000-00009A020000}"/>
    <cellStyle name="Normal 18 2 6" xfId="1183" xr:uid="{00000000-0005-0000-0000-00009B020000}"/>
    <cellStyle name="Normal 18 2 7" xfId="1358" xr:uid="{00000000-0005-0000-0000-00009C020000}"/>
    <cellStyle name="Normal 18 2 8" xfId="1551" xr:uid="{00000000-0005-0000-0000-00009D020000}"/>
    <cellStyle name="Normal 18 2 9" xfId="1722" xr:uid="{00000000-0005-0000-0000-00009E020000}"/>
    <cellStyle name="Normal 18 3" xfId="367" xr:uid="{00000000-0005-0000-0000-00009F020000}"/>
    <cellStyle name="Normal 18 3 10" xfId="1878" xr:uid="{00000000-0005-0000-0000-0000A0020000}"/>
    <cellStyle name="Normal 18 3 11" xfId="2025" xr:uid="{00000000-0005-0000-0000-0000A1020000}"/>
    <cellStyle name="Normal 18 3 12" xfId="2168" xr:uid="{00000000-0005-0000-0000-0000A2020000}"/>
    <cellStyle name="Normal 18 3 13" xfId="2317" xr:uid="{00000000-0005-0000-0000-0000A3020000}"/>
    <cellStyle name="Normal 18 3 14" xfId="2466" xr:uid="{00000000-0005-0000-0000-0000A4020000}"/>
    <cellStyle name="Normal 18 3 2" xfId="539" xr:uid="{00000000-0005-0000-0000-0000A5020000}"/>
    <cellStyle name="Normal 18 3 3" xfId="689" xr:uid="{00000000-0005-0000-0000-0000A6020000}"/>
    <cellStyle name="Normal 18 3 4" xfId="839" xr:uid="{00000000-0005-0000-0000-0000A7020000}"/>
    <cellStyle name="Normal 18 3 5" xfId="1016" xr:uid="{00000000-0005-0000-0000-0000A8020000}"/>
    <cellStyle name="Normal 18 3 6" xfId="1184" xr:uid="{00000000-0005-0000-0000-0000A9020000}"/>
    <cellStyle name="Normal 18 3 7" xfId="1359" xr:uid="{00000000-0005-0000-0000-0000AA020000}"/>
    <cellStyle name="Normal 18 3 8" xfId="1552" xr:uid="{00000000-0005-0000-0000-0000AB020000}"/>
    <cellStyle name="Normal 18 3 9" xfId="1723" xr:uid="{00000000-0005-0000-0000-0000AC020000}"/>
    <cellStyle name="Normal 19" xfId="125" xr:uid="{00000000-0005-0000-0000-0000AD020000}"/>
    <cellStyle name="Normal 19 2" xfId="369" xr:uid="{00000000-0005-0000-0000-0000AE020000}"/>
    <cellStyle name="Normal 19 2 10" xfId="1879" xr:uid="{00000000-0005-0000-0000-0000AF020000}"/>
    <cellStyle name="Normal 19 2 11" xfId="2026" xr:uid="{00000000-0005-0000-0000-0000B0020000}"/>
    <cellStyle name="Normal 19 2 12" xfId="2169" xr:uid="{00000000-0005-0000-0000-0000B1020000}"/>
    <cellStyle name="Normal 19 2 13" xfId="2318" xr:uid="{00000000-0005-0000-0000-0000B2020000}"/>
    <cellStyle name="Normal 19 2 14" xfId="2467" xr:uid="{00000000-0005-0000-0000-0000B3020000}"/>
    <cellStyle name="Normal 19 2 2" xfId="540" xr:uid="{00000000-0005-0000-0000-0000B4020000}"/>
    <cellStyle name="Normal 19 2 3" xfId="690" xr:uid="{00000000-0005-0000-0000-0000B5020000}"/>
    <cellStyle name="Normal 19 2 4" xfId="840" xr:uid="{00000000-0005-0000-0000-0000B6020000}"/>
    <cellStyle name="Normal 19 2 5" xfId="1017" xr:uid="{00000000-0005-0000-0000-0000B7020000}"/>
    <cellStyle name="Normal 19 2 6" xfId="1185" xr:uid="{00000000-0005-0000-0000-0000B8020000}"/>
    <cellStyle name="Normal 19 2 7" xfId="1360" xr:uid="{00000000-0005-0000-0000-0000B9020000}"/>
    <cellStyle name="Normal 19 2 8" xfId="1553" xr:uid="{00000000-0005-0000-0000-0000BA020000}"/>
    <cellStyle name="Normal 19 2 9" xfId="1724" xr:uid="{00000000-0005-0000-0000-0000BB020000}"/>
    <cellStyle name="Normal 19 3" xfId="370" xr:uid="{00000000-0005-0000-0000-0000BC020000}"/>
    <cellStyle name="Normal 19 3 10" xfId="1880" xr:uid="{00000000-0005-0000-0000-0000BD020000}"/>
    <cellStyle name="Normal 19 3 11" xfId="2027" xr:uid="{00000000-0005-0000-0000-0000BE020000}"/>
    <cellStyle name="Normal 19 3 12" xfId="2170" xr:uid="{00000000-0005-0000-0000-0000BF020000}"/>
    <cellStyle name="Normal 19 3 13" xfId="2319" xr:uid="{00000000-0005-0000-0000-0000C0020000}"/>
    <cellStyle name="Normal 19 3 14" xfId="2468" xr:uid="{00000000-0005-0000-0000-0000C1020000}"/>
    <cellStyle name="Normal 19 3 2" xfId="541" xr:uid="{00000000-0005-0000-0000-0000C2020000}"/>
    <cellStyle name="Normal 19 3 3" xfId="691" xr:uid="{00000000-0005-0000-0000-0000C3020000}"/>
    <cellStyle name="Normal 19 3 4" xfId="841" xr:uid="{00000000-0005-0000-0000-0000C4020000}"/>
    <cellStyle name="Normal 19 3 5" xfId="1018" xr:uid="{00000000-0005-0000-0000-0000C5020000}"/>
    <cellStyle name="Normal 19 3 6" xfId="1186" xr:uid="{00000000-0005-0000-0000-0000C6020000}"/>
    <cellStyle name="Normal 19 3 7" xfId="1361" xr:uid="{00000000-0005-0000-0000-0000C7020000}"/>
    <cellStyle name="Normal 19 3 8" xfId="1554" xr:uid="{00000000-0005-0000-0000-0000C8020000}"/>
    <cellStyle name="Normal 19 3 9" xfId="1725" xr:uid="{00000000-0005-0000-0000-0000C9020000}"/>
    <cellStyle name="Normal 19 4" xfId="368" xr:uid="{00000000-0005-0000-0000-0000CA020000}"/>
    <cellStyle name="Normal 2" xfId="2" xr:uid="{00000000-0005-0000-0000-0000CB020000}"/>
    <cellStyle name="Normal 2 2" xfId="371" xr:uid="{00000000-0005-0000-0000-0000CC020000}"/>
    <cellStyle name="Normal 2 2 2" xfId="2616" xr:uid="{00000000-0005-0000-0000-0000CD020000}"/>
    <cellStyle name="Normal 2 3" xfId="2596" xr:uid="{00000000-0005-0000-0000-0000CE020000}"/>
    <cellStyle name="Normal 20" xfId="127" xr:uid="{00000000-0005-0000-0000-0000CF020000}"/>
    <cellStyle name="Normal 20 2" xfId="373" xr:uid="{00000000-0005-0000-0000-0000D0020000}"/>
    <cellStyle name="Normal 20 2 10" xfId="1883" xr:uid="{00000000-0005-0000-0000-0000D1020000}"/>
    <cellStyle name="Normal 20 2 11" xfId="2030" xr:uid="{00000000-0005-0000-0000-0000D2020000}"/>
    <cellStyle name="Normal 20 2 12" xfId="2171" xr:uid="{00000000-0005-0000-0000-0000D3020000}"/>
    <cellStyle name="Normal 20 2 13" xfId="2320" xr:uid="{00000000-0005-0000-0000-0000D4020000}"/>
    <cellStyle name="Normal 20 2 14" xfId="2469" xr:uid="{00000000-0005-0000-0000-0000D5020000}"/>
    <cellStyle name="Normal 20 2 2" xfId="544" xr:uid="{00000000-0005-0000-0000-0000D6020000}"/>
    <cellStyle name="Normal 20 2 3" xfId="692" xr:uid="{00000000-0005-0000-0000-0000D7020000}"/>
    <cellStyle name="Normal 20 2 4" xfId="842" xr:uid="{00000000-0005-0000-0000-0000D8020000}"/>
    <cellStyle name="Normal 20 2 5" xfId="1021" xr:uid="{00000000-0005-0000-0000-0000D9020000}"/>
    <cellStyle name="Normal 20 2 6" xfId="1187" xr:uid="{00000000-0005-0000-0000-0000DA020000}"/>
    <cellStyle name="Normal 20 2 7" xfId="1364" xr:uid="{00000000-0005-0000-0000-0000DB020000}"/>
    <cellStyle name="Normal 20 2 8" xfId="1555" xr:uid="{00000000-0005-0000-0000-0000DC020000}"/>
    <cellStyle name="Normal 20 2 9" xfId="1726" xr:uid="{00000000-0005-0000-0000-0000DD020000}"/>
    <cellStyle name="Normal 20 3" xfId="374" xr:uid="{00000000-0005-0000-0000-0000DE020000}"/>
    <cellStyle name="Normal 20 3 10" xfId="1884" xr:uid="{00000000-0005-0000-0000-0000DF020000}"/>
    <cellStyle name="Normal 20 3 11" xfId="2031" xr:uid="{00000000-0005-0000-0000-0000E0020000}"/>
    <cellStyle name="Normal 20 3 12" xfId="2172" xr:uid="{00000000-0005-0000-0000-0000E1020000}"/>
    <cellStyle name="Normal 20 3 13" xfId="2321" xr:uid="{00000000-0005-0000-0000-0000E2020000}"/>
    <cellStyle name="Normal 20 3 14" xfId="2470" xr:uid="{00000000-0005-0000-0000-0000E3020000}"/>
    <cellStyle name="Normal 20 3 2" xfId="545" xr:uid="{00000000-0005-0000-0000-0000E4020000}"/>
    <cellStyle name="Normal 20 3 3" xfId="693" xr:uid="{00000000-0005-0000-0000-0000E5020000}"/>
    <cellStyle name="Normal 20 3 4" xfId="843" xr:uid="{00000000-0005-0000-0000-0000E6020000}"/>
    <cellStyle name="Normal 20 3 5" xfId="1022" xr:uid="{00000000-0005-0000-0000-0000E7020000}"/>
    <cellStyle name="Normal 20 3 6" xfId="1188" xr:uid="{00000000-0005-0000-0000-0000E8020000}"/>
    <cellStyle name="Normal 20 3 7" xfId="1365" xr:uid="{00000000-0005-0000-0000-0000E9020000}"/>
    <cellStyle name="Normal 20 3 8" xfId="1556" xr:uid="{00000000-0005-0000-0000-0000EA020000}"/>
    <cellStyle name="Normal 20 3 9" xfId="1727" xr:uid="{00000000-0005-0000-0000-0000EB020000}"/>
    <cellStyle name="Normal 20 4" xfId="372" xr:uid="{00000000-0005-0000-0000-0000EC020000}"/>
    <cellStyle name="Normal 21" xfId="124" xr:uid="{00000000-0005-0000-0000-0000ED020000}"/>
    <cellStyle name="Normal 21 2" xfId="375" xr:uid="{00000000-0005-0000-0000-0000EE020000}"/>
    <cellStyle name="Normal 21 2 10" xfId="1885" xr:uid="{00000000-0005-0000-0000-0000EF020000}"/>
    <cellStyle name="Normal 21 2 11" xfId="2032" xr:uid="{00000000-0005-0000-0000-0000F0020000}"/>
    <cellStyle name="Normal 21 2 12" xfId="2173" xr:uid="{00000000-0005-0000-0000-0000F1020000}"/>
    <cellStyle name="Normal 21 2 13" xfId="2322" xr:uid="{00000000-0005-0000-0000-0000F2020000}"/>
    <cellStyle name="Normal 21 2 14" xfId="2471" xr:uid="{00000000-0005-0000-0000-0000F3020000}"/>
    <cellStyle name="Normal 21 2 2" xfId="546" xr:uid="{00000000-0005-0000-0000-0000F4020000}"/>
    <cellStyle name="Normal 21 2 3" xfId="694" xr:uid="{00000000-0005-0000-0000-0000F5020000}"/>
    <cellStyle name="Normal 21 2 4" xfId="844" xr:uid="{00000000-0005-0000-0000-0000F6020000}"/>
    <cellStyle name="Normal 21 2 5" xfId="1023" xr:uid="{00000000-0005-0000-0000-0000F7020000}"/>
    <cellStyle name="Normal 21 2 6" xfId="1189" xr:uid="{00000000-0005-0000-0000-0000F8020000}"/>
    <cellStyle name="Normal 21 2 7" xfId="1366" xr:uid="{00000000-0005-0000-0000-0000F9020000}"/>
    <cellStyle name="Normal 21 2 8" xfId="1557" xr:uid="{00000000-0005-0000-0000-0000FA020000}"/>
    <cellStyle name="Normal 21 2 9" xfId="1728" xr:uid="{00000000-0005-0000-0000-0000FB020000}"/>
    <cellStyle name="Normal 21 3" xfId="376" xr:uid="{00000000-0005-0000-0000-0000FC020000}"/>
    <cellStyle name="Normal 21 3 10" xfId="1886" xr:uid="{00000000-0005-0000-0000-0000FD020000}"/>
    <cellStyle name="Normal 21 3 11" xfId="2033" xr:uid="{00000000-0005-0000-0000-0000FE020000}"/>
    <cellStyle name="Normal 21 3 12" xfId="2174" xr:uid="{00000000-0005-0000-0000-0000FF020000}"/>
    <cellStyle name="Normal 21 3 13" xfId="2323" xr:uid="{00000000-0005-0000-0000-000000030000}"/>
    <cellStyle name="Normal 21 3 14" xfId="2472" xr:uid="{00000000-0005-0000-0000-000001030000}"/>
    <cellStyle name="Normal 21 3 2" xfId="547" xr:uid="{00000000-0005-0000-0000-000002030000}"/>
    <cellStyle name="Normal 21 3 3" xfId="695" xr:uid="{00000000-0005-0000-0000-000003030000}"/>
    <cellStyle name="Normal 21 3 4" xfId="845" xr:uid="{00000000-0005-0000-0000-000004030000}"/>
    <cellStyle name="Normal 21 3 5" xfId="1024" xr:uid="{00000000-0005-0000-0000-000005030000}"/>
    <cellStyle name="Normal 21 3 6" xfId="1190" xr:uid="{00000000-0005-0000-0000-000006030000}"/>
    <cellStyle name="Normal 21 3 7" xfId="1367" xr:uid="{00000000-0005-0000-0000-000007030000}"/>
    <cellStyle name="Normal 21 3 8" xfId="1558" xr:uid="{00000000-0005-0000-0000-000008030000}"/>
    <cellStyle name="Normal 21 3 9" xfId="1729" xr:uid="{00000000-0005-0000-0000-000009030000}"/>
    <cellStyle name="Normal 22" xfId="126" xr:uid="{00000000-0005-0000-0000-00000A030000}"/>
    <cellStyle name="Normal 22 2" xfId="377" xr:uid="{00000000-0005-0000-0000-00000B030000}"/>
    <cellStyle name="Normal 22 2 10" xfId="1887" xr:uid="{00000000-0005-0000-0000-00000C030000}"/>
    <cellStyle name="Normal 22 2 11" xfId="2034" xr:uid="{00000000-0005-0000-0000-00000D030000}"/>
    <cellStyle name="Normal 22 2 12" xfId="2175" xr:uid="{00000000-0005-0000-0000-00000E030000}"/>
    <cellStyle name="Normal 22 2 13" xfId="2324" xr:uid="{00000000-0005-0000-0000-00000F030000}"/>
    <cellStyle name="Normal 22 2 14" xfId="2473" xr:uid="{00000000-0005-0000-0000-000010030000}"/>
    <cellStyle name="Normal 22 2 2" xfId="548" xr:uid="{00000000-0005-0000-0000-000011030000}"/>
    <cellStyle name="Normal 22 2 3" xfId="696" xr:uid="{00000000-0005-0000-0000-000012030000}"/>
    <cellStyle name="Normal 22 2 4" xfId="846" xr:uid="{00000000-0005-0000-0000-000013030000}"/>
    <cellStyle name="Normal 22 2 5" xfId="1025" xr:uid="{00000000-0005-0000-0000-000014030000}"/>
    <cellStyle name="Normal 22 2 6" xfId="1191" xr:uid="{00000000-0005-0000-0000-000015030000}"/>
    <cellStyle name="Normal 22 2 7" xfId="1368" xr:uid="{00000000-0005-0000-0000-000016030000}"/>
    <cellStyle name="Normal 22 2 8" xfId="1559" xr:uid="{00000000-0005-0000-0000-000017030000}"/>
    <cellStyle name="Normal 22 2 9" xfId="1730" xr:uid="{00000000-0005-0000-0000-000018030000}"/>
    <cellStyle name="Normal 22 3" xfId="378" xr:uid="{00000000-0005-0000-0000-000019030000}"/>
    <cellStyle name="Normal 22 3 10" xfId="1888" xr:uid="{00000000-0005-0000-0000-00001A030000}"/>
    <cellStyle name="Normal 22 3 11" xfId="2035" xr:uid="{00000000-0005-0000-0000-00001B030000}"/>
    <cellStyle name="Normal 22 3 12" xfId="2176" xr:uid="{00000000-0005-0000-0000-00001C030000}"/>
    <cellStyle name="Normal 22 3 13" xfId="2325" xr:uid="{00000000-0005-0000-0000-00001D030000}"/>
    <cellStyle name="Normal 22 3 14" xfId="2474" xr:uid="{00000000-0005-0000-0000-00001E030000}"/>
    <cellStyle name="Normal 22 3 2" xfId="549" xr:uid="{00000000-0005-0000-0000-00001F030000}"/>
    <cellStyle name="Normal 22 3 3" xfId="697" xr:uid="{00000000-0005-0000-0000-000020030000}"/>
    <cellStyle name="Normal 22 3 4" xfId="847" xr:uid="{00000000-0005-0000-0000-000021030000}"/>
    <cellStyle name="Normal 22 3 5" xfId="1026" xr:uid="{00000000-0005-0000-0000-000022030000}"/>
    <cellStyle name="Normal 22 3 6" xfId="1192" xr:uid="{00000000-0005-0000-0000-000023030000}"/>
    <cellStyle name="Normal 22 3 7" xfId="1369" xr:uid="{00000000-0005-0000-0000-000024030000}"/>
    <cellStyle name="Normal 22 3 8" xfId="1560" xr:uid="{00000000-0005-0000-0000-000025030000}"/>
    <cellStyle name="Normal 22 3 9" xfId="1731" xr:uid="{00000000-0005-0000-0000-000026030000}"/>
    <cellStyle name="Normal 23" xfId="134" xr:uid="{00000000-0005-0000-0000-000027030000}"/>
    <cellStyle name="Normal 23 2" xfId="379" xr:uid="{00000000-0005-0000-0000-000028030000}"/>
    <cellStyle name="Normal 23 2 10" xfId="1889" xr:uid="{00000000-0005-0000-0000-000029030000}"/>
    <cellStyle name="Normal 23 2 11" xfId="2036" xr:uid="{00000000-0005-0000-0000-00002A030000}"/>
    <cellStyle name="Normal 23 2 12" xfId="2177" xr:uid="{00000000-0005-0000-0000-00002B030000}"/>
    <cellStyle name="Normal 23 2 13" xfId="2326" xr:uid="{00000000-0005-0000-0000-00002C030000}"/>
    <cellStyle name="Normal 23 2 14" xfId="2475" xr:uid="{00000000-0005-0000-0000-00002D030000}"/>
    <cellStyle name="Normal 23 2 2" xfId="550" xr:uid="{00000000-0005-0000-0000-00002E030000}"/>
    <cellStyle name="Normal 23 2 3" xfId="698" xr:uid="{00000000-0005-0000-0000-00002F030000}"/>
    <cellStyle name="Normal 23 2 4" xfId="848" xr:uid="{00000000-0005-0000-0000-000030030000}"/>
    <cellStyle name="Normal 23 2 5" xfId="1027" xr:uid="{00000000-0005-0000-0000-000031030000}"/>
    <cellStyle name="Normal 23 2 6" xfId="1193" xr:uid="{00000000-0005-0000-0000-000032030000}"/>
    <cellStyle name="Normal 23 2 7" xfId="1370" xr:uid="{00000000-0005-0000-0000-000033030000}"/>
    <cellStyle name="Normal 23 2 8" xfId="1561" xr:uid="{00000000-0005-0000-0000-000034030000}"/>
    <cellStyle name="Normal 23 2 9" xfId="1732" xr:uid="{00000000-0005-0000-0000-000035030000}"/>
    <cellStyle name="Normal 23 3" xfId="380" xr:uid="{00000000-0005-0000-0000-000036030000}"/>
    <cellStyle name="Normal 23 3 10" xfId="1890" xr:uid="{00000000-0005-0000-0000-000037030000}"/>
    <cellStyle name="Normal 23 3 11" xfId="2037" xr:uid="{00000000-0005-0000-0000-000038030000}"/>
    <cellStyle name="Normal 23 3 12" xfId="2178" xr:uid="{00000000-0005-0000-0000-000039030000}"/>
    <cellStyle name="Normal 23 3 13" xfId="2327" xr:uid="{00000000-0005-0000-0000-00003A030000}"/>
    <cellStyle name="Normal 23 3 14" xfId="2476" xr:uid="{00000000-0005-0000-0000-00003B030000}"/>
    <cellStyle name="Normal 23 3 2" xfId="551" xr:uid="{00000000-0005-0000-0000-00003C030000}"/>
    <cellStyle name="Normal 23 3 3" xfId="699" xr:uid="{00000000-0005-0000-0000-00003D030000}"/>
    <cellStyle name="Normal 23 3 4" xfId="849" xr:uid="{00000000-0005-0000-0000-00003E030000}"/>
    <cellStyle name="Normal 23 3 5" xfId="1028" xr:uid="{00000000-0005-0000-0000-00003F030000}"/>
    <cellStyle name="Normal 23 3 6" xfId="1194" xr:uid="{00000000-0005-0000-0000-000040030000}"/>
    <cellStyle name="Normal 23 3 7" xfId="1371" xr:uid="{00000000-0005-0000-0000-000041030000}"/>
    <cellStyle name="Normal 23 3 8" xfId="1562" xr:uid="{00000000-0005-0000-0000-000042030000}"/>
    <cellStyle name="Normal 23 3 9" xfId="1733" xr:uid="{00000000-0005-0000-0000-000043030000}"/>
    <cellStyle name="Normal 24" xfId="2606" xr:uid="{00000000-0005-0000-0000-000044030000}"/>
    <cellStyle name="Normal 25" xfId="381" xr:uid="{00000000-0005-0000-0000-000045030000}"/>
    <cellStyle name="Normal 26" xfId="552" xr:uid="{00000000-0005-0000-0000-000046030000}"/>
    <cellStyle name="Normal 27" xfId="131" xr:uid="{00000000-0005-0000-0000-000047030000}"/>
    <cellStyle name="Normal 27 2" xfId="382" xr:uid="{00000000-0005-0000-0000-000048030000}"/>
    <cellStyle name="Normal 27 3" xfId="553" xr:uid="{00000000-0005-0000-0000-000049030000}"/>
    <cellStyle name="Normal 27 4" xfId="700" xr:uid="{00000000-0005-0000-0000-00004A030000}"/>
    <cellStyle name="Normal 28" xfId="132" xr:uid="{00000000-0005-0000-0000-00004B030000}"/>
    <cellStyle name="Normal 28 2" xfId="383" xr:uid="{00000000-0005-0000-0000-00004C030000}"/>
    <cellStyle name="Normal 28 3" xfId="554" xr:uid="{00000000-0005-0000-0000-00004D030000}"/>
    <cellStyle name="Normal 28 4" xfId="701" xr:uid="{00000000-0005-0000-0000-00004E030000}"/>
    <cellStyle name="Normal 28 5" xfId="850" xr:uid="{00000000-0005-0000-0000-00004F030000}"/>
    <cellStyle name="Normal 28 6" xfId="1029" xr:uid="{00000000-0005-0000-0000-000050030000}"/>
    <cellStyle name="Normal 28 7" xfId="1195" xr:uid="{00000000-0005-0000-0000-000051030000}"/>
    <cellStyle name="Normal 28 8" xfId="1372" xr:uid="{00000000-0005-0000-0000-000052030000}"/>
    <cellStyle name="Normal 28 9" xfId="1563" xr:uid="{00000000-0005-0000-0000-000053030000}"/>
    <cellStyle name="Normal 29" xfId="130" xr:uid="{00000000-0005-0000-0000-000054030000}"/>
    <cellStyle name="Normal 29 2" xfId="384" xr:uid="{00000000-0005-0000-0000-000055030000}"/>
    <cellStyle name="Normal 29 3" xfId="555" xr:uid="{00000000-0005-0000-0000-000056030000}"/>
    <cellStyle name="Normal 29 4" xfId="702" xr:uid="{00000000-0005-0000-0000-000057030000}"/>
    <cellStyle name="Normal 29 5" xfId="851" xr:uid="{00000000-0005-0000-0000-000058030000}"/>
    <cellStyle name="Normal 3" xfId="192" xr:uid="{00000000-0005-0000-0000-000059030000}"/>
    <cellStyle name="Normal 3 2" xfId="385" xr:uid="{00000000-0005-0000-0000-00005A030000}"/>
    <cellStyle name="Normal 3 2 10" xfId="1891" xr:uid="{00000000-0005-0000-0000-00005B030000}"/>
    <cellStyle name="Normal 3 2 11" xfId="2038" xr:uid="{00000000-0005-0000-0000-00005C030000}"/>
    <cellStyle name="Normal 3 2 12" xfId="2179" xr:uid="{00000000-0005-0000-0000-00005D030000}"/>
    <cellStyle name="Normal 3 2 13" xfId="2328" xr:uid="{00000000-0005-0000-0000-00005E030000}"/>
    <cellStyle name="Normal 3 2 14" xfId="2477" xr:uid="{00000000-0005-0000-0000-00005F030000}"/>
    <cellStyle name="Normal 3 2 2" xfId="557" xr:uid="{00000000-0005-0000-0000-000060030000}"/>
    <cellStyle name="Normal 3 2 3" xfId="704" xr:uid="{00000000-0005-0000-0000-000061030000}"/>
    <cellStyle name="Normal 3 2 4" xfId="852" xr:uid="{00000000-0005-0000-0000-000062030000}"/>
    <cellStyle name="Normal 3 2 5" xfId="1030" xr:uid="{00000000-0005-0000-0000-000063030000}"/>
    <cellStyle name="Normal 3 2 6" xfId="1196" xr:uid="{00000000-0005-0000-0000-000064030000}"/>
    <cellStyle name="Normal 3 2 7" xfId="1373" xr:uid="{00000000-0005-0000-0000-000065030000}"/>
    <cellStyle name="Normal 3 2 8" xfId="1564" xr:uid="{00000000-0005-0000-0000-000066030000}"/>
    <cellStyle name="Normal 3 2 9" xfId="1734" xr:uid="{00000000-0005-0000-0000-000067030000}"/>
    <cellStyle name="Normal 3 3" xfId="386" xr:uid="{00000000-0005-0000-0000-000068030000}"/>
    <cellStyle name="Normal 3 3 10" xfId="1892" xr:uid="{00000000-0005-0000-0000-000069030000}"/>
    <cellStyle name="Normal 3 3 11" xfId="2039" xr:uid="{00000000-0005-0000-0000-00006A030000}"/>
    <cellStyle name="Normal 3 3 12" xfId="2180" xr:uid="{00000000-0005-0000-0000-00006B030000}"/>
    <cellStyle name="Normal 3 3 13" xfId="2329" xr:uid="{00000000-0005-0000-0000-00006C030000}"/>
    <cellStyle name="Normal 3 3 14" xfId="2478" xr:uid="{00000000-0005-0000-0000-00006D030000}"/>
    <cellStyle name="Normal 3 3 2" xfId="558" xr:uid="{00000000-0005-0000-0000-00006E030000}"/>
    <cellStyle name="Normal 3 3 3" xfId="705" xr:uid="{00000000-0005-0000-0000-00006F030000}"/>
    <cellStyle name="Normal 3 3 4" xfId="853" xr:uid="{00000000-0005-0000-0000-000070030000}"/>
    <cellStyle name="Normal 3 3 5" xfId="1031" xr:uid="{00000000-0005-0000-0000-000071030000}"/>
    <cellStyle name="Normal 3 3 6" xfId="1197" xr:uid="{00000000-0005-0000-0000-000072030000}"/>
    <cellStyle name="Normal 3 3 7" xfId="1374" xr:uid="{00000000-0005-0000-0000-000073030000}"/>
    <cellStyle name="Normal 3 3 8" xfId="1565" xr:uid="{00000000-0005-0000-0000-000074030000}"/>
    <cellStyle name="Normal 3 3 9" xfId="1735" xr:uid="{00000000-0005-0000-0000-000075030000}"/>
    <cellStyle name="Normal 3 4" xfId="556" xr:uid="{00000000-0005-0000-0000-000076030000}"/>
    <cellStyle name="Normal 3 5" xfId="703" xr:uid="{00000000-0005-0000-0000-000077030000}"/>
    <cellStyle name="Normal 30" xfId="133" xr:uid="{00000000-0005-0000-0000-000078030000}"/>
    <cellStyle name="Normal 30 2" xfId="387" xr:uid="{00000000-0005-0000-0000-000079030000}"/>
    <cellStyle name="Normal 30 3" xfId="559" xr:uid="{00000000-0005-0000-0000-00007A030000}"/>
    <cellStyle name="Normal 30 4" xfId="706" xr:uid="{00000000-0005-0000-0000-00007B030000}"/>
    <cellStyle name="Normal 31" xfId="388" xr:uid="{00000000-0005-0000-0000-00007C030000}"/>
    <cellStyle name="Normal 32" xfId="2609" xr:uid="{00000000-0005-0000-0000-00007D030000}"/>
    <cellStyle name="Normal 33" xfId="389" xr:uid="{00000000-0005-0000-0000-00007E030000}"/>
    <cellStyle name="Normal 34" xfId="390" xr:uid="{00000000-0005-0000-0000-00007F030000}"/>
    <cellStyle name="Normal 35" xfId="391" xr:uid="{00000000-0005-0000-0000-000080030000}"/>
    <cellStyle name="Normal 36" xfId="392" xr:uid="{00000000-0005-0000-0000-000081030000}"/>
    <cellStyle name="Normal 37" xfId="393" xr:uid="{00000000-0005-0000-0000-000082030000}"/>
    <cellStyle name="Normal 38" xfId="394" xr:uid="{00000000-0005-0000-0000-000083030000}"/>
    <cellStyle name="Normal 39" xfId="395" xr:uid="{00000000-0005-0000-0000-000084030000}"/>
    <cellStyle name="Normal 4" xfId="1689" xr:uid="{00000000-0005-0000-0000-000085030000}"/>
    <cellStyle name="Normal 4 2" xfId="396" xr:uid="{00000000-0005-0000-0000-000086030000}"/>
    <cellStyle name="Normal 4 2 10" xfId="1893" xr:uid="{00000000-0005-0000-0000-000087030000}"/>
    <cellStyle name="Normal 4 2 11" xfId="2040" xr:uid="{00000000-0005-0000-0000-000088030000}"/>
    <cellStyle name="Normal 4 2 12" xfId="2181" xr:uid="{00000000-0005-0000-0000-000089030000}"/>
    <cellStyle name="Normal 4 2 13" xfId="2330" xr:uid="{00000000-0005-0000-0000-00008A030000}"/>
    <cellStyle name="Normal 4 2 14" xfId="2479" xr:uid="{00000000-0005-0000-0000-00008B030000}"/>
    <cellStyle name="Normal 4 2 2" xfId="560" xr:uid="{00000000-0005-0000-0000-00008C030000}"/>
    <cellStyle name="Normal 4 2 3" xfId="707" xr:uid="{00000000-0005-0000-0000-00008D030000}"/>
    <cellStyle name="Normal 4 2 4" xfId="854" xr:uid="{00000000-0005-0000-0000-00008E030000}"/>
    <cellStyle name="Normal 4 2 5" xfId="1032" xr:uid="{00000000-0005-0000-0000-00008F030000}"/>
    <cellStyle name="Normal 4 2 6" xfId="1198" xr:uid="{00000000-0005-0000-0000-000090030000}"/>
    <cellStyle name="Normal 4 2 7" xfId="1375" xr:uid="{00000000-0005-0000-0000-000091030000}"/>
    <cellStyle name="Normal 4 2 8" xfId="1566" xr:uid="{00000000-0005-0000-0000-000092030000}"/>
    <cellStyle name="Normal 4 2 9" xfId="1736" xr:uid="{00000000-0005-0000-0000-000093030000}"/>
    <cellStyle name="Normal 4 3" xfId="397" xr:uid="{00000000-0005-0000-0000-000094030000}"/>
    <cellStyle name="Normal 4 3 10" xfId="1894" xr:uid="{00000000-0005-0000-0000-000095030000}"/>
    <cellStyle name="Normal 4 3 11" xfId="2041" xr:uid="{00000000-0005-0000-0000-000096030000}"/>
    <cellStyle name="Normal 4 3 12" xfId="2182" xr:uid="{00000000-0005-0000-0000-000097030000}"/>
    <cellStyle name="Normal 4 3 13" xfId="2331" xr:uid="{00000000-0005-0000-0000-000098030000}"/>
    <cellStyle name="Normal 4 3 14" xfId="2480" xr:uid="{00000000-0005-0000-0000-000099030000}"/>
    <cellStyle name="Normal 4 3 2" xfId="561" xr:uid="{00000000-0005-0000-0000-00009A030000}"/>
    <cellStyle name="Normal 4 3 3" xfId="708" xr:uid="{00000000-0005-0000-0000-00009B030000}"/>
    <cellStyle name="Normal 4 3 4" xfId="855" xr:uid="{00000000-0005-0000-0000-00009C030000}"/>
    <cellStyle name="Normal 4 3 5" xfId="1033" xr:uid="{00000000-0005-0000-0000-00009D030000}"/>
    <cellStyle name="Normal 4 3 6" xfId="1199" xr:uid="{00000000-0005-0000-0000-00009E030000}"/>
    <cellStyle name="Normal 4 3 7" xfId="1376" xr:uid="{00000000-0005-0000-0000-00009F030000}"/>
    <cellStyle name="Normal 4 3 8" xfId="1567" xr:uid="{00000000-0005-0000-0000-0000A0030000}"/>
    <cellStyle name="Normal 4 3 9" xfId="1737" xr:uid="{00000000-0005-0000-0000-0000A1030000}"/>
    <cellStyle name="Normal 40" xfId="398" xr:uid="{00000000-0005-0000-0000-0000A2030000}"/>
    <cellStyle name="Normal 41" xfId="399" xr:uid="{00000000-0005-0000-0000-0000A3030000}"/>
    <cellStyle name="Normal 42" xfId="400" xr:uid="{00000000-0005-0000-0000-0000A4030000}"/>
    <cellStyle name="Normal 43" xfId="401" xr:uid="{00000000-0005-0000-0000-0000A5030000}"/>
    <cellStyle name="Normal 44" xfId="2611" xr:uid="{00000000-0005-0000-0000-0000A6030000}"/>
    <cellStyle name="Normal 45" xfId="2614" xr:uid="{00000000-0005-0000-0000-0000A7030000}"/>
    <cellStyle name="Normal 46" xfId="2613" xr:uid="{00000000-0005-0000-0000-0000A8030000}"/>
    <cellStyle name="Normal 47" xfId="2617" xr:uid="{461B376A-31E1-4E99-837C-6F7A97540CF3}"/>
    <cellStyle name="Normal 5" xfId="574" xr:uid="{00000000-0005-0000-0000-0000A9030000}"/>
    <cellStyle name="Normal 5 2" xfId="402" xr:uid="{00000000-0005-0000-0000-0000AA030000}"/>
    <cellStyle name="Normal 5 2 10" xfId="1895" xr:uid="{00000000-0005-0000-0000-0000AB030000}"/>
    <cellStyle name="Normal 5 2 11" xfId="2042" xr:uid="{00000000-0005-0000-0000-0000AC030000}"/>
    <cellStyle name="Normal 5 2 12" xfId="2183" xr:uid="{00000000-0005-0000-0000-0000AD030000}"/>
    <cellStyle name="Normal 5 2 13" xfId="2332" xr:uid="{00000000-0005-0000-0000-0000AE030000}"/>
    <cellStyle name="Normal 5 2 14" xfId="2481" xr:uid="{00000000-0005-0000-0000-0000AF030000}"/>
    <cellStyle name="Normal 5 2 2" xfId="562" xr:uid="{00000000-0005-0000-0000-0000B0030000}"/>
    <cellStyle name="Normal 5 2 3" xfId="709" xr:uid="{00000000-0005-0000-0000-0000B1030000}"/>
    <cellStyle name="Normal 5 2 4" xfId="856" xr:uid="{00000000-0005-0000-0000-0000B2030000}"/>
    <cellStyle name="Normal 5 2 5" xfId="1034" xr:uid="{00000000-0005-0000-0000-0000B3030000}"/>
    <cellStyle name="Normal 5 2 6" xfId="1200" xr:uid="{00000000-0005-0000-0000-0000B4030000}"/>
    <cellStyle name="Normal 5 2 7" xfId="1377" xr:uid="{00000000-0005-0000-0000-0000B5030000}"/>
    <cellStyle name="Normal 5 2 8" xfId="1568" xr:uid="{00000000-0005-0000-0000-0000B6030000}"/>
    <cellStyle name="Normal 5 2 9" xfId="1738" xr:uid="{00000000-0005-0000-0000-0000B7030000}"/>
    <cellStyle name="Normal 5 3" xfId="403" xr:uid="{00000000-0005-0000-0000-0000B8030000}"/>
    <cellStyle name="Normal 5 3 10" xfId="1896" xr:uid="{00000000-0005-0000-0000-0000B9030000}"/>
    <cellStyle name="Normal 5 3 11" xfId="2043" xr:uid="{00000000-0005-0000-0000-0000BA030000}"/>
    <cellStyle name="Normal 5 3 12" xfId="2184" xr:uid="{00000000-0005-0000-0000-0000BB030000}"/>
    <cellStyle name="Normal 5 3 13" xfId="2333" xr:uid="{00000000-0005-0000-0000-0000BC030000}"/>
    <cellStyle name="Normal 5 3 14" xfId="2482" xr:uid="{00000000-0005-0000-0000-0000BD030000}"/>
    <cellStyle name="Normal 5 3 2" xfId="563" xr:uid="{00000000-0005-0000-0000-0000BE030000}"/>
    <cellStyle name="Normal 5 3 3" xfId="710" xr:uid="{00000000-0005-0000-0000-0000BF030000}"/>
    <cellStyle name="Normal 5 3 4" xfId="857" xr:uid="{00000000-0005-0000-0000-0000C0030000}"/>
    <cellStyle name="Normal 5 3 5" xfId="1035" xr:uid="{00000000-0005-0000-0000-0000C1030000}"/>
    <cellStyle name="Normal 5 3 6" xfId="1201" xr:uid="{00000000-0005-0000-0000-0000C2030000}"/>
    <cellStyle name="Normal 5 3 7" xfId="1378" xr:uid="{00000000-0005-0000-0000-0000C3030000}"/>
    <cellStyle name="Normal 5 3 8" xfId="1569" xr:uid="{00000000-0005-0000-0000-0000C4030000}"/>
    <cellStyle name="Normal 5 3 9" xfId="1739" xr:uid="{00000000-0005-0000-0000-0000C5030000}"/>
    <cellStyle name="Normal 6" xfId="52" xr:uid="{00000000-0005-0000-0000-0000C6030000}"/>
    <cellStyle name="Normal 6 2" xfId="98" xr:uid="{00000000-0005-0000-0000-0000C7030000}"/>
    <cellStyle name="Normal 6 2 10" xfId="1740" xr:uid="{00000000-0005-0000-0000-0000C8030000}"/>
    <cellStyle name="Normal 6 2 11" xfId="1897" xr:uid="{00000000-0005-0000-0000-0000C9030000}"/>
    <cellStyle name="Normal 6 2 12" xfId="2044" xr:uid="{00000000-0005-0000-0000-0000CA030000}"/>
    <cellStyle name="Normal 6 2 13" xfId="2185" xr:uid="{00000000-0005-0000-0000-0000CB030000}"/>
    <cellStyle name="Normal 6 2 14" xfId="2334" xr:uid="{00000000-0005-0000-0000-0000CC030000}"/>
    <cellStyle name="Normal 6 2 15" xfId="2483" xr:uid="{00000000-0005-0000-0000-0000CD030000}"/>
    <cellStyle name="Normal 6 2 2" xfId="404" xr:uid="{00000000-0005-0000-0000-0000CE030000}"/>
    <cellStyle name="Normal 6 2 3" xfId="565" xr:uid="{00000000-0005-0000-0000-0000CF030000}"/>
    <cellStyle name="Normal 6 2 4" xfId="712" xr:uid="{00000000-0005-0000-0000-0000D0030000}"/>
    <cellStyle name="Normal 6 2 5" xfId="858" xr:uid="{00000000-0005-0000-0000-0000D1030000}"/>
    <cellStyle name="Normal 6 2 6" xfId="1036" xr:uid="{00000000-0005-0000-0000-0000D2030000}"/>
    <cellStyle name="Normal 6 2 7" xfId="1202" xr:uid="{00000000-0005-0000-0000-0000D3030000}"/>
    <cellStyle name="Normal 6 2 8" xfId="1379" xr:uid="{00000000-0005-0000-0000-0000D4030000}"/>
    <cellStyle name="Normal 6 2 9" xfId="1570" xr:uid="{00000000-0005-0000-0000-0000D5030000}"/>
    <cellStyle name="Normal 6 3" xfId="154" xr:uid="{00000000-0005-0000-0000-0000D6030000}"/>
    <cellStyle name="Normal 6 3 10" xfId="1741" xr:uid="{00000000-0005-0000-0000-0000D7030000}"/>
    <cellStyle name="Normal 6 3 11" xfId="1898" xr:uid="{00000000-0005-0000-0000-0000D8030000}"/>
    <cellStyle name="Normal 6 3 12" xfId="2045" xr:uid="{00000000-0005-0000-0000-0000D9030000}"/>
    <cellStyle name="Normal 6 3 13" xfId="2186" xr:uid="{00000000-0005-0000-0000-0000DA030000}"/>
    <cellStyle name="Normal 6 3 14" xfId="2335" xr:uid="{00000000-0005-0000-0000-0000DB030000}"/>
    <cellStyle name="Normal 6 3 15" xfId="2484" xr:uid="{00000000-0005-0000-0000-0000DC030000}"/>
    <cellStyle name="Normal 6 3 2" xfId="405" xr:uid="{00000000-0005-0000-0000-0000DD030000}"/>
    <cellStyle name="Normal 6 3 3" xfId="566" xr:uid="{00000000-0005-0000-0000-0000DE030000}"/>
    <cellStyle name="Normal 6 3 4" xfId="713" xr:uid="{00000000-0005-0000-0000-0000DF030000}"/>
    <cellStyle name="Normal 6 3 5" xfId="859" xr:uid="{00000000-0005-0000-0000-0000E0030000}"/>
    <cellStyle name="Normal 6 3 6" xfId="1037" xr:uid="{00000000-0005-0000-0000-0000E1030000}"/>
    <cellStyle name="Normal 6 3 7" xfId="1203" xr:uid="{00000000-0005-0000-0000-0000E2030000}"/>
    <cellStyle name="Normal 6 3 8" xfId="1380" xr:uid="{00000000-0005-0000-0000-0000E3030000}"/>
    <cellStyle name="Normal 6 3 9" xfId="1571" xr:uid="{00000000-0005-0000-0000-0000E4030000}"/>
    <cellStyle name="Normal 6 4" xfId="564" xr:uid="{00000000-0005-0000-0000-0000E5030000}"/>
    <cellStyle name="Normal 6 5" xfId="711" xr:uid="{00000000-0005-0000-0000-0000E6030000}"/>
    <cellStyle name="Normal 7" xfId="53" xr:uid="{00000000-0005-0000-0000-0000E7030000}"/>
    <cellStyle name="Normal 7 2" xfId="99" xr:uid="{00000000-0005-0000-0000-0000E8030000}"/>
    <cellStyle name="Normal 7 2 10" xfId="1742" xr:uid="{00000000-0005-0000-0000-0000E9030000}"/>
    <cellStyle name="Normal 7 2 11" xfId="1899" xr:uid="{00000000-0005-0000-0000-0000EA030000}"/>
    <cellStyle name="Normal 7 2 12" xfId="2046" xr:uid="{00000000-0005-0000-0000-0000EB030000}"/>
    <cellStyle name="Normal 7 2 13" xfId="2187" xr:uid="{00000000-0005-0000-0000-0000EC030000}"/>
    <cellStyle name="Normal 7 2 14" xfId="2336" xr:uid="{00000000-0005-0000-0000-0000ED030000}"/>
    <cellStyle name="Normal 7 2 15" xfId="2485" xr:uid="{00000000-0005-0000-0000-0000EE030000}"/>
    <cellStyle name="Normal 7 2 2" xfId="406" xr:uid="{00000000-0005-0000-0000-0000EF030000}"/>
    <cellStyle name="Normal 7 2 3" xfId="568" xr:uid="{00000000-0005-0000-0000-0000F0030000}"/>
    <cellStyle name="Normal 7 2 4" xfId="715" xr:uid="{00000000-0005-0000-0000-0000F1030000}"/>
    <cellStyle name="Normal 7 2 5" xfId="860" xr:uid="{00000000-0005-0000-0000-0000F2030000}"/>
    <cellStyle name="Normal 7 2 6" xfId="1038" xr:uid="{00000000-0005-0000-0000-0000F3030000}"/>
    <cellStyle name="Normal 7 2 7" xfId="1204" xr:uid="{00000000-0005-0000-0000-0000F4030000}"/>
    <cellStyle name="Normal 7 2 8" xfId="1381" xr:uid="{00000000-0005-0000-0000-0000F5030000}"/>
    <cellStyle name="Normal 7 2 9" xfId="1572" xr:uid="{00000000-0005-0000-0000-0000F6030000}"/>
    <cellStyle name="Normal 7 3" xfId="155" xr:uid="{00000000-0005-0000-0000-0000F7030000}"/>
    <cellStyle name="Normal 7 3 10" xfId="1743" xr:uid="{00000000-0005-0000-0000-0000F8030000}"/>
    <cellStyle name="Normal 7 3 11" xfId="1900" xr:uid="{00000000-0005-0000-0000-0000F9030000}"/>
    <cellStyle name="Normal 7 3 12" xfId="2047" xr:uid="{00000000-0005-0000-0000-0000FA030000}"/>
    <cellStyle name="Normal 7 3 13" xfId="2188" xr:uid="{00000000-0005-0000-0000-0000FB030000}"/>
    <cellStyle name="Normal 7 3 14" xfId="2337" xr:uid="{00000000-0005-0000-0000-0000FC030000}"/>
    <cellStyle name="Normal 7 3 15" xfId="2486" xr:uid="{00000000-0005-0000-0000-0000FD030000}"/>
    <cellStyle name="Normal 7 3 2" xfId="407" xr:uid="{00000000-0005-0000-0000-0000FE030000}"/>
    <cellStyle name="Normal 7 3 3" xfId="569" xr:uid="{00000000-0005-0000-0000-0000FF030000}"/>
    <cellStyle name="Normal 7 3 4" xfId="716" xr:uid="{00000000-0005-0000-0000-000000040000}"/>
    <cellStyle name="Normal 7 3 5" xfId="861" xr:uid="{00000000-0005-0000-0000-000001040000}"/>
    <cellStyle name="Normal 7 3 6" xfId="1039" xr:uid="{00000000-0005-0000-0000-000002040000}"/>
    <cellStyle name="Normal 7 3 7" xfId="1205" xr:uid="{00000000-0005-0000-0000-000003040000}"/>
    <cellStyle name="Normal 7 3 8" xfId="1382" xr:uid="{00000000-0005-0000-0000-000004040000}"/>
    <cellStyle name="Normal 7 3 9" xfId="1573" xr:uid="{00000000-0005-0000-0000-000005040000}"/>
    <cellStyle name="Normal 7 4" xfId="567" xr:uid="{00000000-0005-0000-0000-000006040000}"/>
    <cellStyle name="Normal 7 5" xfId="714" xr:uid="{00000000-0005-0000-0000-000007040000}"/>
    <cellStyle name="Normal 75" xfId="1383" xr:uid="{00000000-0005-0000-0000-000008040000}"/>
    <cellStyle name="Normal 76" xfId="1384" xr:uid="{00000000-0005-0000-0000-000009040000}"/>
    <cellStyle name="Normal 77" xfId="1385" xr:uid="{00000000-0005-0000-0000-00000A040000}"/>
    <cellStyle name="Normal 78" xfId="1386" xr:uid="{00000000-0005-0000-0000-00000B040000}"/>
    <cellStyle name="Normal 79" xfId="1387" xr:uid="{00000000-0005-0000-0000-00000C040000}"/>
    <cellStyle name="Normal 8" xfId="49" xr:uid="{00000000-0005-0000-0000-00000D040000}"/>
    <cellStyle name="Normal 8 2" xfId="100" xr:uid="{00000000-0005-0000-0000-00000E040000}"/>
    <cellStyle name="Normal 8 2 10" xfId="1744" xr:uid="{00000000-0005-0000-0000-00000F040000}"/>
    <cellStyle name="Normal 8 2 11" xfId="1901" xr:uid="{00000000-0005-0000-0000-000010040000}"/>
    <cellStyle name="Normal 8 2 12" xfId="2048" xr:uid="{00000000-0005-0000-0000-000011040000}"/>
    <cellStyle name="Normal 8 2 13" xfId="2189" xr:uid="{00000000-0005-0000-0000-000012040000}"/>
    <cellStyle name="Normal 8 2 14" xfId="2338" xr:uid="{00000000-0005-0000-0000-000013040000}"/>
    <cellStyle name="Normal 8 2 15" xfId="2487" xr:uid="{00000000-0005-0000-0000-000014040000}"/>
    <cellStyle name="Normal 8 2 2" xfId="408" xr:uid="{00000000-0005-0000-0000-000015040000}"/>
    <cellStyle name="Normal 8 2 3" xfId="570" xr:uid="{00000000-0005-0000-0000-000016040000}"/>
    <cellStyle name="Normal 8 2 4" xfId="717" xr:uid="{00000000-0005-0000-0000-000017040000}"/>
    <cellStyle name="Normal 8 2 5" xfId="862" xr:uid="{00000000-0005-0000-0000-000018040000}"/>
    <cellStyle name="Normal 8 2 6" xfId="1040" xr:uid="{00000000-0005-0000-0000-000019040000}"/>
    <cellStyle name="Normal 8 2 7" xfId="1206" xr:uid="{00000000-0005-0000-0000-00001A040000}"/>
    <cellStyle name="Normal 8 2 8" xfId="1388" xr:uid="{00000000-0005-0000-0000-00001B040000}"/>
    <cellStyle name="Normal 8 2 9" xfId="1574" xr:uid="{00000000-0005-0000-0000-00001C040000}"/>
    <cellStyle name="Normal 8 3" xfId="156" xr:uid="{00000000-0005-0000-0000-00001D040000}"/>
    <cellStyle name="Normal 8 3 10" xfId="1745" xr:uid="{00000000-0005-0000-0000-00001E040000}"/>
    <cellStyle name="Normal 8 3 11" xfId="1902" xr:uid="{00000000-0005-0000-0000-00001F040000}"/>
    <cellStyle name="Normal 8 3 12" xfId="2049" xr:uid="{00000000-0005-0000-0000-000020040000}"/>
    <cellStyle name="Normal 8 3 13" xfId="2190" xr:uid="{00000000-0005-0000-0000-000021040000}"/>
    <cellStyle name="Normal 8 3 14" xfId="2339" xr:uid="{00000000-0005-0000-0000-000022040000}"/>
    <cellStyle name="Normal 8 3 15" xfId="2488" xr:uid="{00000000-0005-0000-0000-000023040000}"/>
    <cellStyle name="Normal 8 3 2" xfId="409" xr:uid="{00000000-0005-0000-0000-000024040000}"/>
    <cellStyle name="Normal 8 3 3" xfId="571" xr:uid="{00000000-0005-0000-0000-000025040000}"/>
    <cellStyle name="Normal 8 3 4" xfId="718" xr:uid="{00000000-0005-0000-0000-000026040000}"/>
    <cellStyle name="Normal 8 3 5" xfId="863" xr:uid="{00000000-0005-0000-0000-000027040000}"/>
    <cellStyle name="Normal 8 3 6" xfId="1041" xr:uid="{00000000-0005-0000-0000-000028040000}"/>
    <cellStyle name="Normal 8 3 7" xfId="1207" xr:uid="{00000000-0005-0000-0000-000029040000}"/>
    <cellStyle name="Normal 8 3 8" xfId="1389" xr:uid="{00000000-0005-0000-0000-00002A040000}"/>
    <cellStyle name="Normal 8 3 9" xfId="1575" xr:uid="{00000000-0005-0000-0000-00002B040000}"/>
    <cellStyle name="Normal 80" xfId="1390" xr:uid="{00000000-0005-0000-0000-00002C040000}"/>
    <cellStyle name="Normal 81" xfId="1391" xr:uid="{00000000-0005-0000-0000-00002D040000}"/>
    <cellStyle name="Normal 82" xfId="1392" xr:uid="{00000000-0005-0000-0000-00002E040000}"/>
    <cellStyle name="Normal 83" xfId="1393" xr:uid="{00000000-0005-0000-0000-00002F040000}"/>
    <cellStyle name="Normal 84" xfId="1394" xr:uid="{00000000-0005-0000-0000-000030040000}"/>
    <cellStyle name="Normal 85" xfId="1395" xr:uid="{00000000-0005-0000-0000-000031040000}"/>
    <cellStyle name="Normal 9" xfId="60" xr:uid="{00000000-0005-0000-0000-000032040000}"/>
    <cellStyle name="Normal 9 2" xfId="101" xr:uid="{00000000-0005-0000-0000-000033040000}"/>
    <cellStyle name="Normal 9 2 10" xfId="1746" xr:uid="{00000000-0005-0000-0000-000034040000}"/>
    <cellStyle name="Normal 9 2 11" xfId="1903" xr:uid="{00000000-0005-0000-0000-000035040000}"/>
    <cellStyle name="Normal 9 2 12" xfId="2050" xr:uid="{00000000-0005-0000-0000-000036040000}"/>
    <cellStyle name="Normal 9 2 13" xfId="2191" xr:uid="{00000000-0005-0000-0000-000037040000}"/>
    <cellStyle name="Normal 9 2 14" xfId="2340" xr:uid="{00000000-0005-0000-0000-000038040000}"/>
    <cellStyle name="Normal 9 2 15" xfId="2489" xr:uid="{00000000-0005-0000-0000-000039040000}"/>
    <cellStyle name="Normal 9 2 2" xfId="410" xr:uid="{00000000-0005-0000-0000-00003A040000}"/>
    <cellStyle name="Normal 9 2 3" xfId="572" xr:uid="{00000000-0005-0000-0000-00003B040000}"/>
    <cellStyle name="Normal 9 2 4" xfId="719" xr:uid="{00000000-0005-0000-0000-00003C040000}"/>
    <cellStyle name="Normal 9 2 5" xfId="864" xr:uid="{00000000-0005-0000-0000-00003D040000}"/>
    <cellStyle name="Normal 9 2 6" xfId="1042" xr:uid="{00000000-0005-0000-0000-00003E040000}"/>
    <cellStyle name="Normal 9 2 7" xfId="1208" xr:uid="{00000000-0005-0000-0000-00003F040000}"/>
    <cellStyle name="Normal 9 2 8" xfId="1396" xr:uid="{00000000-0005-0000-0000-000040040000}"/>
    <cellStyle name="Normal 9 2 9" xfId="1576" xr:uid="{00000000-0005-0000-0000-000041040000}"/>
    <cellStyle name="Normal 9 3" xfId="157" xr:uid="{00000000-0005-0000-0000-000042040000}"/>
    <cellStyle name="Normal 9 3 10" xfId="1747" xr:uid="{00000000-0005-0000-0000-000043040000}"/>
    <cellStyle name="Normal 9 3 11" xfId="1904" xr:uid="{00000000-0005-0000-0000-000044040000}"/>
    <cellStyle name="Normal 9 3 12" xfId="2051" xr:uid="{00000000-0005-0000-0000-000045040000}"/>
    <cellStyle name="Normal 9 3 13" xfId="2192" xr:uid="{00000000-0005-0000-0000-000046040000}"/>
    <cellStyle name="Normal 9 3 14" xfId="2341" xr:uid="{00000000-0005-0000-0000-000047040000}"/>
    <cellStyle name="Normal 9 3 15" xfId="2490" xr:uid="{00000000-0005-0000-0000-000048040000}"/>
    <cellStyle name="Normal 9 3 2" xfId="411" xr:uid="{00000000-0005-0000-0000-000049040000}"/>
    <cellStyle name="Normal 9 3 3" xfId="573" xr:uid="{00000000-0005-0000-0000-00004A040000}"/>
    <cellStyle name="Normal 9 3 4" xfId="720" xr:uid="{00000000-0005-0000-0000-00004B040000}"/>
    <cellStyle name="Normal 9 3 5" xfId="865" xr:uid="{00000000-0005-0000-0000-00004C040000}"/>
    <cellStyle name="Normal 9 3 6" xfId="1043" xr:uid="{00000000-0005-0000-0000-00004D040000}"/>
    <cellStyle name="Normal 9 3 7" xfId="1209" xr:uid="{00000000-0005-0000-0000-00004E040000}"/>
    <cellStyle name="Normal 9 3 8" xfId="1397" xr:uid="{00000000-0005-0000-0000-00004F040000}"/>
    <cellStyle name="Normal 9 3 9" xfId="1577" xr:uid="{00000000-0005-0000-0000-000050040000}"/>
    <cellStyle name="Notas 10" xfId="68" xr:uid="{00000000-0005-0000-0000-000051040000}"/>
    <cellStyle name="Notas 10 10" xfId="412" xr:uid="{00000000-0005-0000-0000-000052040000}"/>
    <cellStyle name="Notas 10 11" xfId="575" xr:uid="{00000000-0005-0000-0000-000053040000}"/>
    <cellStyle name="Notas 10 12" xfId="721" xr:uid="{00000000-0005-0000-0000-000054040000}"/>
    <cellStyle name="Notas 10 13" xfId="866" xr:uid="{00000000-0005-0000-0000-000055040000}"/>
    <cellStyle name="Notas 10 14" xfId="1044" xr:uid="{00000000-0005-0000-0000-000056040000}"/>
    <cellStyle name="Notas 10 15" xfId="1210" xr:uid="{00000000-0005-0000-0000-000057040000}"/>
    <cellStyle name="Notas 10 16" xfId="1399" xr:uid="{00000000-0005-0000-0000-000058040000}"/>
    <cellStyle name="Notas 10 17" xfId="1578" xr:uid="{00000000-0005-0000-0000-000059040000}"/>
    <cellStyle name="Notas 10 18" xfId="1748" xr:uid="{00000000-0005-0000-0000-00005A040000}"/>
    <cellStyle name="Notas 10 19" xfId="1905" xr:uid="{00000000-0005-0000-0000-00005B040000}"/>
    <cellStyle name="Notas 10 2" xfId="102" xr:uid="{00000000-0005-0000-0000-00005C040000}"/>
    <cellStyle name="Notas 10 2 10" xfId="1749" xr:uid="{00000000-0005-0000-0000-00005D040000}"/>
    <cellStyle name="Notas 10 2 11" xfId="1906" xr:uid="{00000000-0005-0000-0000-00005E040000}"/>
    <cellStyle name="Notas 10 2 12" xfId="2053" xr:uid="{00000000-0005-0000-0000-00005F040000}"/>
    <cellStyle name="Notas 10 2 13" xfId="2194" xr:uid="{00000000-0005-0000-0000-000060040000}"/>
    <cellStyle name="Notas 10 2 14" xfId="2343" xr:uid="{00000000-0005-0000-0000-000061040000}"/>
    <cellStyle name="Notas 10 2 15" xfId="2492" xr:uid="{00000000-0005-0000-0000-000062040000}"/>
    <cellStyle name="Notas 10 2 2" xfId="413" xr:uid="{00000000-0005-0000-0000-000063040000}"/>
    <cellStyle name="Notas 10 2 3" xfId="576" xr:uid="{00000000-0005-0000-0000-000064040000}"/>
    <cellStyle name="Notas 10 2 4" xfId="722" xr:uid="{00000000-0005-0000-0000-000065040000}"/>
    <cellStyle name="Notas 10 2 5" xfId="867" xr:uid="{00000000-0005-0000-0000-000066040000}"/>
    <cellStyle name="Notas 10 2 6" xfId="1045" xr:uid="{00000000-0005-0000-0000-000067040000}"/>
    <cellStyle name="Notas 10 2 7" xfId="1211" xr:uid="{00000000-0005-0000-0000-000068040000}"/>
    <cellStyle name="Notas 10 2 8" xfId="1400" xr:uid="{00000000-0005-0000-0000-000069040000}"/>
    <cellStyle name="Notas 10 2 9" xfId="1579" xr:uid="{00000000-0005-0000-0000-00006A040000}"/>
    <cellStyle name="Notas 10 20" xfId="2052" xr:uid="{00000000-0005-0000-0000-00006B040000}"/>
    <cellStyle name="Notas 10 21" xfId="2193" xr:uid="{00000000-0005-0000-0000-00006C040000}"/>
    <cellStyle name="Notas 10 22" xfId="2342" xr:uid="{00000000-0005-0000-0000-00006D040000}"/>
    <cellStyle name="Notas 10 23" xfId="2491" xr:uid="{00000000-0005-0000-0000-00006E040000}"/>
    <cellStyle name="Notas 10 3" xfId="158" xr:uid="{00000000-0005-0000-0000-00006F040000}"/>
    <cellStyle name="Notas 10 3 10" xfId="1750" xr:uid="{00000000-0005-0000-0000-000070040000}"/>
    <cellStyle name="Notas 10 3 11" xfId="1907" xr:uid="{00000000-0005-0000-0000-000071040000}"/>
    <cellStyle name="Notas 10 3 12" xfId="2054" xr:uid="{00000000-0005-0000-0000-000072040000}"/>
    <cellStyle name="Notas 10 3 13" xfId="2195" xr:uid="{00000000-0005-0000-0000-000073040000}"/>
    <cellStyle name="Notas 10 3 14" xfId="2344" xr:uid="{00000000-0005-0000-0000-000074040000}"/>
    <cellStyle name="Notas 10 3 15" xfId="2493" xr:uid="{00000000-0005-0000-0000-000075040000}"/>
    <cellStyle name="Notas 10 3 2" xfId="414" xr:uid="{00000000-0005-0000-0000-000076040000}"/>
    <cellStyle name="Notas 10 3 3" xfId="577" xr:uid="{00000000-0005-0000-0000-000077040000}"/>
    <cellStyle name="Notas 10 3 4" xfId="723" xr:uid="{00000000-0005-0000-0000-000078040000}"/>
    <cellStyle name="Notas 10 3 5" xfId="868" xr:uid="{00000000-0005-0000-0000-000079040000}"/>
    <cellStyle name="Notas 10 3 6" xfId="1046" xr:uid="{00000000-0005-0000-0000-00007A040000}"/>
    <cellStyle name="Notas 10 3 7" xfId="1212" xr:uid="{00000000-0005-0000-0000-00007B040000}"/>
    <cellStyle name="Notas 10 3 8" xfId="1401" xr:uid="{00000000-0005-0000-0000-00007C040000}"/>
    <cellStyle name="Notas 10 3 9" xfId="1580" xr:uid="{00000000-0005-0000-0000-00007D040000}"/>
    <cellStyle name="Notas 10 4" xfId="193" xr:uid="{00000000-0005-0000-0000-00007E040000}"/>
    <cellStyle name="Notas 10 5" xfId="216" xr:uid="{00000000-0005-0000-0000-00007F040000}"/>
    <cellStyle name="Notas 10 6" xfId="233" xr:uid="{00000000-0005-0000-0000-000080040000}"/>
    <cellStyle name="Notas 10 7" xfId="263" xr:uid="{00000000-0005-0000-0000-000081040000}"/>
    <cellStyle name="Notas 10 8" xfId="291" xr:uid="{00000000-0005-0000-0000-000082040000}"/>
    <cellStyle name="Notas 10 9" xfId="315" xr:uid="{00000000-0005-0000-0000-000083040000}"/>
    <cellStyle name="Notas 11" xfId="69" xr:uid="{00000000-0005-0000-0000-000084040000}"/>
    <cellStyle name="Notas 11 10" xfId="869" xr:uid="{00000000-0005-0000-0000-000085040000}"/>
    <cellStyle name="Notas 11 11" xfId="1047" xr:uid="{00000000-0005-0000-0000-000086040000}"/>
    <cellStyle name="Notas 11 12" xfId="1213" xr:uid="{00000000-0005-0000-0000-000087040000}"/>
    <cellStyle name="Notas 11 13" xfId="1402" xr:uid="{00000000-0005-0000-0000-000088040000}"/>
    <cellStyle name="Notas 11 14" xfId="1581" xr:uid="{00000000-0005-0000-0000-000089040000}"/>
    <cellStyle name="Notas 11 15" xfId="1751" xr:uid="{00000000-0005-0000-0000-00008A040000}"/>
    <cellStyle name="Notas 11 16" xfId="1908" xr:uid="{00000000-0005-0000-0000-00008B040000}"/>
    <cellStyle name="Notas 11 17" xfId="2055" xr:uid="{00000000-0005-0000-0000-00008C040000}"/>
    <cellStyle name="Notas 11 18" xfId="2196" xr:uid="{00000000-0005-0000-0000-00008D040000}"/>
    <cellStyle name="Notas 11 19" xfId="2345" xr:uid="{00000000-0005-0000-0000-00008E040000}"/>
    <cellStyle name="Notas 11 2" xfId="103" xr:uid="{00000000-0005-0000-0000-00008F040000}"/>
    <cellStyle name="Notas 11 2 10" xfId="1752" xr:uid="{00000000-0005-0000-0000-000090040000}"/>
    <cellStyle name="Notas 11 2 11" xfId="1909" xr:uid="{00000000-0005-0000-0000-000091040000}"/>
    <cellStyle name="Notas 11 2 12" xfId="2056" xr:uid="{00000000-0005-0000-0000-000092040000}"/>
    <cellStyle name="Notas 11 2 13" xfId="2197" xr:uid="{00000000-0005-0000-0000-000093040000}"/>
    <cellStyle name="Notas 11 2 14" xfId="2346" xr:uid="{00000000-0005-0000-0000-000094040000}"/>
    <cellStyle name="Notas 11 2 15" xfId="2495" xr:uid="{00000000-0005-0000-0000-000095040000}"/>
    <cellStyle name="Notas 11 2 2" xfId="416" xr:uid="{00000000-0005-0000-0000-000096040000}"/>
    <cellStyle name="Notas 11 2 3" xfId="579" xr:uid="{00000000-0005-0000-0000-000097040000}"/>
    <cellStyle name="Notas 11 2 4" xfId="725" xr:uid="{00000000-0005-0000-0000-000098040000}"/>
    <cellStyle name="Notas 11 2 5" xfId="870" xr:uid="{00000000-0005-0000-0000-000099040000}"/>
    <cellStyle name="Notas 11 2 6" xfId="1048" xr:uid="{00000000-0005-0000-0000-00009A040000}"/>
    <cellStyle name="Notas 11 2 7" xfId="1214" xr:uid="{00000000-0005-0000-0000-00009B040000}"/>
    <cellStyle name="Notas 11 2 8" xfId="1403" xr:uid="{00000000-0005-0000-0000-00009C040000}"/>
    <cellStyle name="Notas 11 2 9" xfId="1582" xr:uid="{00000000-0005-0000-0000-00009D040000}"/>
    <cellStyle name="Notas 11 20" xfId="2494" xr:uid="{00000000-0005-0000-0000-00009E040000}"/>
    <cellStyle name="Notas 11 3" xfId="159" xr:uid="{00000000-0005-0000-0000-00009F040000}"/>
    <cellStyle name="Notas 11 3 10" xfId="1753" xr:uid="{00000000-0005-0000-0000-0000A0040000}"/>
    <cellStyle name="Notas 11 3 11" xfId="1910" xr:uid="{00000000-0005-0000-0000-0000A1040000}"/>
    <cellStyle name="Notas 11 3 12" xfId="2057" xr:uid="{00000000-0005-0000-0000-0000A2040000}"/>
    <cellStyle name="Notas 11 3 13" xfId="2198" xr:uid="{00000000-0005-0000-0000-0000A3040000}"/>
    <cellStyle name="Notas 11 3 14" xfId="2347" xr:uid="{00000000-0005-0000-0000-0000A4040000}"/>
    <cellStyle name="Notas 11 3 15" xfId="2496" xr:uid="{00000000-0005-0000-0000-0000A5040000}"/>
    <cellStyle name="Notas 11 3 2" xfId="417" xr:uid="{00000000-0005-0000-0000-0000A6040000}"/>
    <cellStyle name="Notas 11 3 3" xfId="580" xr:uid="{00000000-0005-0000-0000-0000A7040000}"/>
    <cellStyle name="Notas 11 3 4" xfId="726" xr:uid="{00000000-0005-0000-0000-0000A8040000}"/>
    <cellStyle name="Notas 11 3 5" xfId="871" xr:uid="{00000000-0005-0000-0000-0000A9040000}"/>
    <cellStyle name="Notas 11 3 6" xfId="1049" xr:uid="{00000000-0005-0000-0000-0000AA040000}"/>
    <cellStyle name="Notas 11 3 7" xfId="1215" xr:uid="{00000000-0005-0000-0000-0000AB040000}"/>
    <cellStyle name="Notas 11 3 8" xfId="1404" xr:uid="{00000000-0005-0000-0000-0000AC040000}"/>
    <cellStyle name="Notas 11 3 9" xfId="1583" xr:uid="{00000000-0005-0000-0000-0000AD040000}"/>
    <cellStyle name="Notas 11 4" xfId="264" xr:uid="{00000000-0005-0000-0000-0000AE040000}"/>
    <cellStyle name="Notas 11 5" xfId="292" xr:uid="{00000000-0005-0000-0000-0000AF040000}"/>
    <cellStyle name="Notas 11 6" xfId="316" xr:uid="{00000000-0005-0000-0000-0000B0040000}"/>
    <cellStyle name="Notas 11 7" xfId="415" xr:uid="{00000000-0005-0000-0000-0000B1040000}"/>
    <cellStyle name="Notas 11 8" xfId="578" xr:uid="{00000000-0005-0000-0000-0000B2040000}"/>
    <cellStyle name="Notas 11 9" xfId="724" xr:uid="{00000000-0005-0000-0000-0000B3040000}"/>
    <cellStyle name="Notas 12" xfId="70" xr:uid="{00000000-0005-0000-0000-0000B4040000}"/>
    <cellStyle name="Notas 12 10" xfId="872" xr:uid="{00000000-0005-0000-0000-0000B5040000}"/>
    <cellStyle name="Notas 12 11" xfId="1050" xr:uid="{00000000-0005-0000-0000-0000B6040000}"/>
    <cellStyle name="Notas 12 12" xfId="1216" xr:uid="{00000000-0005-0000-0000-0000B7040000}"/>
    <cellStyle name="Notas 12 13" xfId="1405" xr:uid="{00000000-0005-0000-0000-0000B8040000}"/>
    <cellStyle name="Notas 12 14" xfId="1584" xr:uid="{00000000-0005-0000-0000-0000B9040000}"/>
    <cellStyle name="Notas 12 15" xfId="1754" xr:uid="{00000000-0005-0000-0000-0000BA040000}"/>
    <cellStyle name="Notas 12 16" xfId="1911" xr:uid="{00000000-0005-0000-0000-0000BB040000}"/>
    <cellStyle name="Notas 12 17" xfId="2058" xr:uid="{00000000-0005-0000-0000-0000BC040000}"/>
    <cellStyle name="Notas 12 18" xfId="2199" xr:uid="{00000000-0005-0000-0000-0000BD040000}"/>
    <cellStyle name="Notas 12 19" xfId="2348" xr:uid="{00000000-0005-0000-0000-0000BE040000}"/>
    <cellStyle name="Notas 12 2" xfId="104" xr:uid="{00000000-0005-0000-0000-0000BF040000}"/>
    <cellStyle name="Notas 12 2 10" xfId="1755" xr:uid="{00000000-0005-0000-0000-0000C0040000}"/>
    <cellStyle name="Notas 12 2 11" xfId="1912" xr:uid="{00000000-0005-0000-0000-0000C1040000}"/>
    <cellStyle name="Notas 12 2 12" xfId="2059" xr:uid="{00000000-0005-0000-0000-0000C2040000}"/>
    <cellStyle name="Notas 12 2 13" xfId="2200" xr:uid="{00000000-0005-0000-0000-0000C3040000}"/>
    <cellStyle name="Notas 12 2 14" xfId="2349" xr:uid="{00000000-0005-0000-0000-0000C4040000}"/>
    <cellStyle name="Notas 12 2 15" xfId="2498" xr:uid="{00000000-0005-0000-0000-0000C5040000}"/>
    <cellStyle name="Notas 12 2 2" xfId="419" xr:uid="{00000000-0005-0000-0000-0000C6040000}"/>
    <cellStyle name="Notas 12 2 3" xfId="582" xr:uid="{00000000-0005-0000-0000-0000C7040000}"/>
    <cellStyle name="Notas 12 2 4" xfId="728" xr:uid="{00000000-0005-0000-0000-0000C8040000}"/>
    <cellStyle name="Notas 12 2 5" xfId="873" xr:uid="{00000000-0005-0000-0000-0000C9040000}"/>
    <cellStyle name="Notas 12 2 6" xfId="1051" xr:uid="{00000000-0005-0000-0000-0000CA040000}"/>
    <cellStyle name="Notas 12 2 7" xfId="1217" xr:uid="{00000000-0005-0000-0000-0000CB040000}"/>
    <cellStyle name="Notas 12 2 8" xfId="1406" xr:uid="{00000000-0005-0000-0000-0000CC040000}"/>
    <cellStyle name="Notas 12 2 9" xfId="1585" xr:uid="{00000000-0005-0000-0000-0000CD040000}"/>
    <cellStyle name="Notas 12 20" xfId="2497" xr:uid="{00000000-0005-0000-0000-0000CE040000}"/>
    <cellStyle name="Notas 12 3" xfId="160" xr:uid="{00000000-0005-0000-0000-0000CF040000}"/>
    <cellStyle name="Notas 12 3 10" xfId="1756" xr:uid="{00000000-0005-0000-0000-0000D0040000}"/>
    <cellStyle name="Notas 12 3 11" xfId="1913" xr:uid="{00000000-0005-0000-0000-0000D1040000}"/>
    <cellStyle name="Notas 12 3 12" xfId="2060" xr:uid="{00000000-0005-0000-0000-0000D2040000}"/>
    <cellStyle name="Notas 12 3 13" xfId="2201" xr:uid="{00000000-0005-0000-0000-0000D3040000}"/>
    <cellStyle name="Notas 12 3 14" xfId="2350" xr:uid="{00000000-0005-0000-0000-0000D4040000}"/>
    <cellStyle name="Notas 12 3 15" xfId="2499" xr:uid="{00000000-0005-0000-0000-0000D5040000}"/>
    <cellStyle name="Notas 12 3 2" xfId="420" xr:uid="{00000000-0005-0000-0000-0000D6040000}"/>
    <cellStyle name="Notas 12 3 3" xfId="583" xr:uid="{00000000-0005-0000-0000-0000D7040000}"/>
    <cellStyle name="Notas 12 3 4" xfId="729" xr:uid="{00000000-0005-0000-0000-0000D8040000}"/>
    <cellStyle name="Notas 12 3 5" xfId="874" xr:uid="{00000000-0005-0000-0000-0000D9040000}"/>
    <cellStyle name="Notas 12 3 6" xfId="1052" xr:uid="{00000000-0005-0000-0000-0000DA040000}"/>
    <cellStyle name="Notas 12 3 7" xfId="1218" xr:uid="{00000000-0005-0000-0000-0000DB040000}"/>
    <cellStyle name="Notas 12 3 8" xfId="1407" xr:uid="{00000000-0005-0000-0000-0000DC040000}"/>
    <cellStyle name="Notas 12 3 9" xfId="1586" xr:uid="{00000000-0005-0000-0000-0000DD040000}"/>
    <cellStyle name="Notas 12 4" xfId="265" xr:uid="{00000000-0005-0000-0000-0000DE040000}"/>
    <cellStyle name="Notas 12 5" xfId="293" xr:uid="{00000000-0005-0000-0000-0000DF040000}"/>
    <cellStyle name="Notas 12 6" xfId="317" xr:uid="{00000000-0005-0000-0000-0000E0040000}"/>
    <cellStyle name="Notas 12 7" xfId="418" xr:uid="{00000000-0005-0000-0000-0000E1040000}"/>
    <cellStyle name="Notas 12 8" xfId="581" xr:uid="{00000000-0005-0000-0000-0000E2040000}"/>
    <cellStyle name="Notas 12 9" xfId="727" xr:uid="{00000000-0005-0000-0000-0000E3040000}"/>
    <cellStyle name="Notas 13" xfId="71" xr:uid="{00000000-0005-0000-0000-0000E4040000}"/>
    <cellStyle name="Notas 13 10" xfId="875" xr:uid="{00000000-0005-0000-0000-0000E5040000}"/>
    <cellStyle name="Notas 13 11" xfId="1053" xr:uid="{00000000-0005-0000-0000-0000E6040000}"/>
    <cellStyle name="Notas 13 12" xfId="1219" xr:uid="{00000000-0005-0000-0000-0000E7040000}"/>
    <cellStyle name="Notas 13 13" xfId="1408" xr:uid="{00000000-0005-0000-0000-0000E8040000}"/>
    <cellStyle name="Notas 13 14" xfId="1587" xr:uid="{00000000-0005-0000-0000-0000E9040000}"/>
    <cellStyle name="Notas 13 15" xfId="1757" xr:uid="{00000000-0005-0000-0000-0000EA040000}"/>
    <cellStyle name="Notas 13 16" xfId="1914" xr:uid="{00000000-0005-0000-0000-0000EB040000}"/>
    <cellStyle name="Notas 13 17" xfId="2061" xr:uid="{00000000-0005-0000-0000-0000EC040000}"/>
    <cellStyle name="Notas 13 18" xfId="2202" xr:uid="{00000000-0005-0000-0000-0000ED040000}"/>
    <cellStyle name="Notas 13 19" xfId="2351" xr:uid="{00000000-0005-0000-0000-0000EE040000}"/>
    <cellStyle name="Notas 13 2" xfId="105" xr:uid="{00000000-0005-0000-0000-0000EF040000}"/>
    <cellStyle name="Notas 13 2 10" xfId="1758" xr:uid="{00000000-0005-0000-0000-0000F0040000}"/>
    <cellStyle name="Notas 13 2 11" xfId="1915" xr:uid="{00000000-0005-0000-0000-0000F1040000}"/>
    <cellStyle name="Notas 13 2 12" xfId="2062" xr:uid="{00000000-0005-0000-0000-0000F2040000}"/>
    <cellStyle name="Notas 13 2 13" xfId="2203" xr:uid="{00000000-0005-0000-0000-0000F3040000}"/>
    <cellStyle name="Notas 13 2 14" xfId="2352" xr:uid="{00000000-0005-0000-0000-0000F4040000}"/>
    <cellStyle name="Notas 13 2 15" xfId="2501" xr:uid="{00000000-0005-0000-0000-0000F5040000}"/>
    <cellStyle name="Notas 13 2 2" xfId="422" xr:uid="{00000000-0005-0000-0000-0000F6040000}"/>
    <cellStyle name="Notas 13 2 3" xfId="585" xr:uid="{00000000-0005-0000-0000-0000F7040000}"/>
    <cellStyle name="Notas 13 2 4" xfId="731" xr:uid="{00000000-0005-0000-0000-0000F8040000}"/>
    <cellStyle name="Notas 13 2 5" xfId="876" xr:uid="{00000000-0005-0000-0000-0000F9040000}"/>
    <cellStyle name="Notas 13 2 6" xfId="1054" xr:uid="{00000000-0005-0000-0000-0000FA040000}"/>
    <cellStyle name="Notas 13 2 7" xfId="1220" xr:uid="{00000000-0005-0000-0000-0000FB040000}"/>
    <cellStyle name="Notas 13 2 8" xfId="1409" xr:uid="{00000000-0005-0000-0000-0000FC040000}"/>
    <cellStyle name="Notas 13 2 9" xfId="1588" xr:uid="{00000000-0005-0000-0000-0000FD040000}"/>
    <cellStyle name="Notas 13 20" xfId="2500" xr:uid="{00000000-0005-0000-0000-0000FE040000}"/>
    <cellStyle name="Notas 13 3" xfId="161" xr:uid="{00000000-0005-0000-0000-0000FF040000}"/>
    <cellStyle name="Notas 13 3 10" xfId="1759" xr:uid="{00000000-0005-0000-0000-000000050000}"/>
    <cellStyle name="Notas 13 3 11" xfId="1916" xr:uid="{00000000-0005-0000-0000-000001050000}"/>
    <cellStyle name="Notas 13 3 12" xfId="2063" xr:uid="{00000000-0005-0000-0000-000002050000}"/>
    <cellStyle name="Notas 13 3 13" xfId="2204" xr:uid="{00000000-0005-0000-0000-000003050000}"/>
    <cellStyle name="Notas 13 3 14" xfId="2353" xr:uid="{00000000-0005-0000-0000-000004050000}"/>
    <cellStyle name="Notas 13 3 15" xfId="2502" xr:uid="{00000000-0005-0000-0000-000005050000}"/>
    <cellStyle name="Notas 13 3 2" xfId="423" xr:uid="{00000000-0005-0000-0000-000006050000}"/>
    <cellStyle name="Notas 13 3 3" xfId="586" xr:uid="{00000000-0005-0000-0000-000007050000}"/>
    <cellStyle name="Notas 13 3 4" xfId="732" xr:uid="{00000000-0005-0000-0000-000008050000}"/>
    <cellStyle name="Notas 13 3 5" xfId="877" xr:uid="{00000000-0005-0000-0000-000009050000}"/>
    <cellStyle name="Notas 13 3 6" xfId="1055" xr:uid="{00000000-0005-0000-0000-00000A050000}"/>
    <cellStyle name="Notas 13 3 7" xfId="1221" xr:uid="{00000000-0005-0000-0000-00000B050000}"/>
    <cellStyle name="Notas 13 3 8" xfId="1410" xr:uid="{00000000-0005-0000-0000-00000C050000}"/>
    <cellStyle name="Notas 13 3 9" xfId="1589" xr:uid="{00000000-0005-0000-0000-00000D050000}"/>
    <cellStyle name="Notas 13 4" xfId="266" xr:uid="{00000000-0005-0000-0000-00000E050000}"/>
    <cellStyle name="Notas 13 5" xfId="294" xr:uid="{00000000-0005-0000-0000-00000F050000}"/>
    <cellStyle name="Notas 13 6" xfId="318" xr:uid="{00000000-0005-0000-0000-000010050000}"/>
    <cellStyle name="Notas 13 7" xfId="421" xr:uid="{00000000-0005-0000-0000-000011050000}"/>
    <cellStyle name="Notas 13 8" xfId="584" xr:uid="{00000000-0005-0000-0000-000012050000}"/>
    <cellStyle name="Notas 13 9" xfId="730" xr:uid="{00000000-0005-0000-0000-000013050000}"/>
    <cellStyle name="Notas 14" xfId="72" xr:uid="{00000000-0005-0000-0000-000014050000}"/>
    <cellStyle name="Notas 14 10" xfId="878" xr:uid="{00000000-0005-0000-0000-000015050000}"/>
    <cellStyle name="Notas 14 11" xfId="1056" xr:uid="{00000000-0005-0000-0000-000016050000}"/>
    <cellStyle name="Notas 14 12" xfId="1222" xr:uid="{00000000-0005-0000-0000-000017050000}"/>
    <cellStyle name="Notas 14 13" xfId="1411" xr:uid="{00000000-0005-0000-0000-000018050000}"/>
    <cellStyle name="Notas 14 14" xfId="1590" xr:uid="{00000000-0005-0000-0000-000019050000}"/>
    <cellStyle name="Notas 14 15" xfId="1760" xr:uid="{00000000-0005-0000-0000-00001A050000}"/>
    <cellStyle name="Notas 14 16" xfId="1917" xr:uid="{00000000-0005-0000-0000-00001B050000}"/>
    <cellStyle name="Notas 14 17" xfId="2064" xr:uid="{00000000-0005-0000-0000-00001C050000}"/>
    <cellStyle name="Notas 14 18" xfId="2205" xr:uid="{00000000-0005-0000-0000-00001D050000}"/>
    <cellStyle name="Notas 14 19" xfId="2354" xr:uid="{00000000-0005-0000-0000-00001E050000}"/>
    <cellStyle name="Notas 14 2" xfId="106" xr:uid="{00000000-0005-0000-0000-00001F050000}"/>
    <cellStyle name="Notas 14 2 10" xfId="1761" xr:uid="{00000000-0005-0000-0000-000020050000}"/>
    <cellStyle name="Notas 14 2 11" xfId="1918" xr:uid="{00000000-0005-0000-0000-000021050000}"/>
    <cellStyle name="Notas 14 2 12" xfId="2065" xr:uid="{00000000-0005-0000-0000-000022050000}"/>
    <cellStyle name="Notas 14 2 13" xfId="2206" xr:uid="{00000000-0005-0000-0000-000023050000}"/>
    <cellStyle name="Notas 14 2 14" xfId="2355" xr:uid="{00000000-0005-0000-0000-000024050000}"/>
    <cellStyle name="Notas 14 2 15" xfId="2504" xr:uid="{00000000-0005-0000-0000-000025050000}"/>
    <cellStyle name="Notas 14 2 2" xfId="425" xr:uid="{00000000-0005-0000-0000-000026050000}"/>
    <cellStyle name="Notas 14 2 3" xfId="588" xr:uid="{00000000-0005-0000-0000-000027050000}"/>
    <cellStyle name="Notas 14 2 4" xfId="734" xr:uid="{00000000-0005-0000-0000-000028050000}"/>
    <cellStyle name="Notas 14 2 5" xfId="879" xr:uid="{00000000-0005-0000-0000-000029050000}"/>
    <cellStyle name="Notas 14 2 6" xfId="1057" xr:uid="{00000000-0005-0000-0000-00002A050000}"/>
    <cellStyle name="Notas 14 2 7" xfId="1223" xr:uid="{00000000-0005-0000-0000-00002B050000}"/>
    <cellStyle name="Notas 14 2 8" xfId="1412" xr:uid="{00000000-0005-0000-0000-00002C050000}"/>
    <cellStyle name="Notas 14 2 9" xfId="1591" xr:uid="{00000000-0005-0000-0000-00002D050000}"/>
    <cellStyle name="Notas 14 20" xfId="2503" xr:uid="{00000000-0005-0000-0000-00002E050000}"/>
    <cellStyle name="Notas 14 3" xfId="162" xr:uid="{00000000-0005-0000-0000-00002F050000}"/>
    <cellStyle name="Notas 14 3 10" xfId="1762" xr:uid="{00000000-0005-0000-0000-000030050000}"/>
    <cellStyle name="Notas 14 3 11" xfId="1919" xr:uid="{00000000-0005-0000-0000-000031050000}"/>
    <cellStyle name="Notas 14 3 12" xfId="2066" xr:uid="{00000000-0005-0000-0000-000032050000}"/>
    <cellStyle name="Notas 14 3 13" xfId="2207" xr:uid="{00000000-0005-0000-0000-000033050000}"/>
    <cellStyle name="Notas 14 3 14" xfId="2356" xr:uid="{00000000-0005-0000-0000-000034050000}"/>
    <cellStyle name="Notas 14 3 15" xfId="2505" xr:uid="{00000000-0005-0000-0000-000035050000}"/>
    <cellStyle name="Notas 14 3 2" xfId="426" xr:uid="{00000000-0005-0000-0000-000036050000}"/>
    <cellStyle name="Notas 14 3 3" xfId="589" xr:uid="{00000000-0005-0000-0000-000037050000}"/>
    <cellStyle name="Notas 14 3 4" xfId="735" xr:uid="{00000000-0005-0000-0000-000038050000}"/>
    <cellStyle name="Notas 14 3 5" xfId="880" xr:uid="{00000000-0005-0000-0000-000039050000}"/>
    <cellStyle name="Notas 14 3 6" xfId="1058" xr:uid="{00000000-0005-0000-0000-00003A050000}"/>
    <cellStyle name="Notas 14 3 7" xfId="1224" xr:uid="{00000000-0005-0000-0000-00003B050000}"/>
    <cellStyle name="Notas 14 3 8" xfId="1413" xr:uid="{00000000-0005-0000-0000-00003C050000}"/>
    <cellStyle name="Notas 14 3 9" xfId="1592" xr:uid="{00000000-0005-0000-0000-00003D050000}"/>
    <cellStyle name="Notas 14 4" xfId="267" xr:uid="{00000000-0005-0000-0000-00003E050000}"/>
    <cellStyle name="Notas 14 5" xfId="295" xr:uid="{00000000-0005-0000-0000-00003F050000}"/>
    <cellStyle name="Notas 14 6" xfId="319" xr:uid="{00000000-0005-0000-0000-000040050000}"/>
    <cellStyle name="Notas 14 7" xfId="424" xr:uid="{00000000-0005-0000-0000-000041050000}"/>
    <cellStyle name="Notas 14 8" xfId="587" xr:uid="{00000000-0005-0000-0000-000042050000}"/>
    <cellStyle name="Notas 14 9" xfId="733" xr:uid="{00000000-0005-0000-0000-000043050000}"/>
    <cellStyle name="Notas 15" xfId="73" xr:uid="{00000000-0005-0000-0000-000044050000}"/>
    <cellStyle name="Notas 15 10" xfId="881" xr:uid="{00000000-0005-0000-0000-000045050000}"/>
    <cellStyle name="Notas 15 11" xfId="1059" xr:uid="{00000000-0005-0000-0000-000046050000}"/>
    <cellStyle name="Notas 15 12" xfId="1225" xr:uid="{00000000-0005-0000-0000-000047050000}"/>
    <cellStyle name="Notas 15 13" xfId="1414" xr:uid="{00000000-0005-0000-0000-000048050000}"/>
    <cellStyle name="Notas 15 14" xfId="1593" xr:uid="{00000000-0005-0000-0000-000049050000}"/>
    <cellStyle name="Notas 15 15" xfId="1763" xr:uid="{00000000-0005-0000-0000-00004A050000}"/>
    <cellStyle name="Notas 15 16" xfId="1920" xr:uid="{00000000-0005-0000-0000-00004B050000}"/>
    <cellStyle name="Notas 15 17" xfId="2067" xr:uid="{00000000-0005-0000-0000-00004C050000}"/>
    <cellStyle name="Notas 15 18" xfId="2208" xr:uid="{00000000-0005-0000-0000-00004D050000}"/>
    <cellStyle name="Notas 15 19" xfId="2357" xr:uid="{00000000-0005-0000-0000-00004E050000}"/>
    <cellStyle name="Notas 15 2" xfId="107" xr:uid="{00000000-0005-0000-0000-00004F050000}"/>
    <cellStyle name="Notas 15 2 10" xfId="1764" xr:uid="{00000000-0005-0000-0000-000050050000}"/>
    <cellStyle name="Notas 15 2 11" xfId="1921" xr:uid="{00000000-0005-0000-0000-000051050000}"/>
    <cellStyle name="Notas 15 2 12" xfId="2068" xr:uid="{00000000-0005-0000-0000-000052050000}"/>
    <cellStyle name="Notas 15 2 13" xfId="2209" xr:uid="{00000000-0005-0000-0000-000053050000}"/>
    <cellStyle name="Notas 15 2 14" xfId="2358" xr:uid="{00000000-0005-0000-0000-000054050000}"/>
    <cellStyle name="Notas 15 2 15" xfId="2507" xr:uid="{00000000-0005-0000-0000-000055050000}"/>
    <cellStyle name="Notas 15 2 2" xfId="428" xr:uid="{00000000-0005-0000-0000-000056050000}"/>
    <cellStyle name="Notas 15 2 3" xfId="591" xr:uid="{00000000-0005-0000-0000-000057050000}"/>
    <cellStyle name="Notas 15 2 4" xfId="737" xr:uid="{00000000-0005-0000-0000-000058050000}"/>
    <cellStyle name="Notas 15 2 5" xfId="882" xr:uid="{00000000-0005-0000-0000-000059050000}"/>
    <cellStyle name="Notas 15 2 6" xfId="1060" xr:uid="{00000000-0005-0000-0000-00005A050000}"/>
    <cellStyle name="Notas 15 2 7" xfId="1226" xr:uid="{00000000-0005-0000-0000-00005B050000}"/>
    <cellStyle name="Notas 15 2 8" xfId="1415" xr:uid="{00000000-0005-0000-0000-00005C050000}"/>
    <cellStyle name="Notas 15 2 9" xfId="1594" xr:uid="{00000000-0005-0000-0000-00005D050000}"/>
    <cellStyle name="Notas 15 20" xfId="2506" xr:uid="{00000000-0005-0000-0000-00005E050000}"/>
    <cellStyle name="Notas 15 3" xfId="163" xr:uid="{00000000-0005-0000-0000-00005F050000}"/>
    <cellStyle name="Notas 15 3 10" xfId="1765" xr:uid="{00000000-0005-0000-0000-000060050000}"/>
    <cellStyle name="Notas 15 3 11" xfId="1922" xr:uid="{00000000-0005-0000-0000-000061050000}"/>
    <cellStyle name="Notas 15 3 12" xfId="2069" xr:uid="{00000000-0005-0000-0000-000062050000}"/>
    <cellStyle name="Notas 15 3 13" xfId="2210" xr:uid="{00000000-0005-0000-0000-000063050000}"/>
    <cellStyle name="Notas 15 3 14" xfId="2359" xr:uid="{00000000-0005-0000-0000-000064050000}"/>
    <cellStyle name="Notas 15 3 15" xfId="2508" xr:uid="{00000000-0005-0000-0000-000065050000}"/>
    <cellStyle name="Notas 15 3 2" xfId="429" xr:uid="{00000000-0005-0000-0000-000066050000}"/>
    <cellStyle name="Notas 15 3 3" xfId="592" xr:uid="{00000000-0005-0000-0000-000067050000}"/>
    <cellStyle name="Notas 15 3 4" xfId="738" xr:uid="{00000000-0005-0000-0000-000068050000}"/>
    <cellStyle name="Notas 15 3 5" xfId="883" xr:uid="{00000000-0005-0000-0000-000069050000}"/>
    <cellStyle name="Notas 15 3 6" xfId="1061" xr:uid="{00000000-0005-0000-0000-00006A050000}"/>
    <cellStyle name="Notas 15 3 7" xfId="1227" xr:uid="{00000000-0005-0000-0000-00006B050000}"/>
    <cellStyle name="Notas 15 3 8" xfId="1416" xr:uid="{00000000-0005-0000-0000-00006C050000}"/>
    <cellStyle name="Notas 15 3 9" xfId="1595" xr:uid="{00000000-0005-0000-0000-00006D050000}"/>
    <cellStyle name="Notas 15 4" xfId="268" xr:uid="{00000000-0005-0000-0000-00006E050000}"/>
    <cellStyle name="Notas 15 5" xfId="296" xr:uid="{00000000-0005-0000-0000-00006F050000}"/>
    <cellStyle name="Notas 15 6" xfId="320" xr:uid="{00000000-0005-0000-0000-000070050000}"/>
    <cellStyle name="Notas 15 7" xfId="427" xr:uid="{00000000-0005-0000-0000-000071050000}"/>
    <cellStyle name="Notas 15 8" xfId="590" xr:uid="{00000000-0005-0000-0000-000072050000}"/>
    <cellStyle name="Notas 15 9" xfId="736" xr:uid="{00000000-0005-0000-0000-000073050000}"/>
    <cellStyle name="Notas 16" xfId="128" xr:uid="{00000000-0005-0000-0000-000074050000}"/>
    <cellStyle name="Notas 16 10" xfId="1228" xr:uid="{00000000-0005-0000-0000-000075050000}"/>
    <cellStyle name="Notas 16 11" xfId="1417" xr:uid="{00000000-0005-0000-0000-000076050000}"/>
    <cellStyle name="Notas 16 12" xfId="1596" xr:uid="{00000000-0005-0000-0000-000077050000}"/>
    <cellStyle name="Notas 16 13" xfId="1766" xr:uid="{00000000-0005-0000-0000-000078050000}"/>
    <cellStyle name="Notas 16 14" xfId="1923" xr:uid="{00000000-0005-0000-0000-000079050000}"/>
    <cellStyle name="Notas 16 15" xfId="2070" xr:uid="{00000000-0005-0000-0000-00007A050000}"/>
    <cellStyle name="Notas 16 16" xfId="2211" xr:uid="{00000000-0005-0000-0000-00007B050000}"/>
    <cellStyle name="Notas 16 17" xfId="2360" xr:uid="{00000000-0005-0000-0000-00007C050000}"/>
    <cellStyle name="Notas 16 18" xfId="2509" xr:uid="{00000000-0005-0000-0000-00007D050000}"/>
    <cellStyle name="Notas 16 2" xfId="269" xr:uid="{00000000-0005-0000-0000-00007E050000}"/>
    <cellStyle name="Notas 16 2 10" xfId="1767" xr:uid="{00000000-0005-0000-0000-00007F050000}"/>
    <cellStyle name="Notas 16 2 11" xfId="1924" xr:uid="{00000000-0005-0000-0000-000080050000}"/>
    <cellStyle name="Notas 16 2 12" xfId="2071" xr:uid="{00000000-0005-0000-0000-000081050000}"/>
    <cellStyle name="Notas 16 2 13" xfId="2212" xr:uid="{00000000-0005-0000-0000-000082050000}"/>
    <cellStyle name="Notas 16 2 14" xfId="2361" xr:uid="{00000000-0005-0000-0000-000083050000}"/>
    <cellStyle name="Notas 16 2 15" xfId="2510" xr:uid="{00000000-0005-0000-0000-000084050000}"/>
    <cellStyle name="Notas 16 2 2" xfId="431" xr:uid="{00000000-0005-0000-0000-000085050000}"/>
    <cellStyle name="Notas 16 2 3" xfId="594" xr:uid="{00000000-0005-0000-0000-000086050000}"/>
    <cellStyle name="Notas 16 2 4" xfId="740" xr:uid="{00000000-0005-0000-0000-000087050000}"/>
    <cellStyle name="Notas 16 2 5" xfId="885" xr:uid="{00000000-0005-0000-0000-000088050000}"/>
    <cellStyle name="Notas 16 2 6" xfId="1063" xr:uid="{00000000-0005-0000-0000-000089050000}"/>
    <cellStyle name="Notas 16 2 7" xfId="1229" xr:uid="{00000000-0005-0000-0000-00008A050000}"/>
    <cellStyle name="Notas 16 2 8" xfId="1418" xr:uid="{00000000-0005-0000-0000-00008B050000}"/>
    <cellStyle name="Notas 16 2 9" xfId="1597" xr:uid="{00000000-0005-0000-0000-00008C050000}"/>
    <cellStyle name="Notas 16 3" xfId="297" xr:uid="{00000000-0005-0000-0000-00008D050000}"/>
    <cellStyle name="Notas 16 3 10" xfId="1768" xr:uid="{00000000-0005-0000-0000-00008E050000}"/>
    <cellStyle name="Notas 16 3 11" xfId="1925" xr:uid="{00000000-0005-0000-0000-00008F050000}"/>
    <cellStyle name="Notas 16 3 12" xfId="2072" xr:uid="{00000000-0005-0000-0000-000090050000}"/>
    <cellStyle name="Notas 16 3 13" xfId="2213" xr:uid="{00000000-0005-0000-0000-000091050000}"/>
    <cellStyle name="Notas 16 3 14" xfId="2362" xr:uid="{00000000-0005-0000-0000-000092050000}"/>
    <cellStyle name="Notas 16 3 15" xfId="2511" xr:uid="{00000000-0005-0000-0000-000093050000}"/>
    <cellStyle name="Notas 16 3 2" xfId="432" xr:uid="{00000000-0005-0000-0000-000094050000}"/>
    <cellStyle name="Notas 16 3 3" xfId="595" xr:uid="{00000000-0005-0000-0000-000095050000}"/>
    <cellStyle name="Notas 16 3 4" xfId="741" xr:uid="{00000000-0005-0000-0000-000096050000}"/>
    <cellStyle name="Notas 16 3 5" xfId="886" xr:uid="{00000000-0005-0000-0000-000097050000}"/>
    <cellStyle name="Notas 16 3 6" xfId="1064" xr:uid="{00000000-0005-0000-0000-000098050000}"/>
    <cellStyle name="Notas 16 3 7" xfId="1230" xr:uid="{00000000-0005-0000-0000-000099050000}"/>
    <cellStyle name="Notas 16 3 8" xfId="1419" xr:uid="{00000000-0005-0000-0000-00009A050000}"/>
    <cellStyle name="Notas 16 3 9" xfId="1598" xr:uid="{00000000-0005-0000-0000-00009B050000}"/>
    <cellStyle name="Notas 16 4" xfId="321" xr:uid="{00000000-0005-0000-0000-00009C050000}"/>
    <cellStyle name="Notas 16 5" xfId="430" xr:uid="{00000000-0005-0000-0000-00009D050000}"/>
    <cellStyle name="Notas 16 6" xfId="593" xr:uid="{00000000-0005-0000-0000-00009E050000}"/>
    <cellStyle name="Notas 16 7" xfId="739" xr:uid="{00000000-0005-0000-0000-00009F050000}"/>
    <cellStyle name="Notas 16 8" xfId="884" xr:uid="{00000000-0005-0000-0000-0000A0050000}"/>
    <cellStyle name="Notas 16 9" xfId="1062" xr:uid="{00000000-0005-0000-0000-0000A1050000}"/>
    <cellStyle name="Notas 17" xfId="129" xr:uid="{00000000-0005-0000-0000-0000A2050000}"/>
    <cellStyle name="Notas 17 10" xfId="1231" xr:uid="{00000000-0005-0000-0000-0000A3050000}"/>
    <cellStyle name="Notas 17 11" xfId="1420" xr:uid="{00000000-0005-0000-0000-0000A4050000}"/>
    <cellStyle name="Notas 17 12" xfId="1599" xr:uid="{00000000-0005-0000-0000-0000A5050000}"/>
    <cellStyle name="Notas 17 13" xfId="1769" xr:uid="{00000000-0005-0000-0000-0000A6050000}"/>
    <cellStyle name="Notas 17 14" xfId="1926" xr:uid="{00000000-0005-0000-0000-0000A7050000}"/>
    <cellStyle name="Notas 17 15" xfId="2073" xr:uid="{00000000-0005-0000-0000-0000A8050000}"/>
    <cellStyle name="Notas 17 16" xfId="2214" xr:uid="{00000000-0005-0000-0000-0000A9050000}"/>
    <cellStyle name="Notas 17 17" xfId="2363" xr:uid="{00000000-0005-0000-0000-0000AA050000}"/>
    <cellStyle name="Notas 17 18" xfId="2512" xr:uid="{00000000-0005-0000-0000-0000AB050000}"/>
    <cellStyle name="Notas 17 2" xfId="270" xr:uid="{00000000-0005-0000-0000-0000AC050000}"/>
    <cellStyle name="Notas 17 2 10" xfId="1770" xr:uid="{00000000-0005-0000-0000-0000AD050000}"/>
    <cellStyle name="Notas 17 2 11" xfId="1927" xr:uid="{00000000-0005-0000-0000-0000AE050000}"/>
    <cellStyle name="Notas 17 2 12" xfId="2074" xr:uid="{00000000-0005-0000-0000-0000AF050000}"/>
    <cellStyle name="Notas 17 2 13" xfId="2215" xr:uid="{00000000-0005-0000-0000-0000B0050000}"/>
    <cellStyle name="Notas 17 2 14" xfId="2364" xr:uid="{00000000-0005-0000-0000-0000B1050000}"/>
    <cellStyle name="Notas 17 2 15" xfId="2513" xr:uid="{00000000-0005-0000-0000-0000B2050000}"/>
    <cellStyle name="Notas 17 2 2" xfId="434" xr:uid="{00000000-0005-0000-0000-0000B3050000}"/>
    <cellStyle name="Notas 17 2 3" xfId="597" xr:uid="{00000000-0005-0000-0000-0000B4050000}"/>
    <cellStyle name="Notas 17 2 4" xfId="743" xr:uid="{00000000-0005-0000-0000-0000B5050000}"/>
    <cellStyle name="Notas 17 2 5" xfId="888" xr:uid="{00000000-0005-0000-0000-0000B6050000}"/>
    <cellStyle name="Notas 17 2 6" xfId="1066" xr:uid="{00000000-0005-0000-0000-0000B7050000}"/>
    <cellStyle name="Notas 17 2 7" xfId="1232" xr:uid="{00000000-0005-0000-0000-0000B8050000}"/>
    <cellStyle name="Notas 17 2 8" xfId="1421" xr:uid="{00000000-0005-0000-0000-0000B9050000}"/>
    <cellStyle name="Notas 17 2 9" xfId="1600" xr:uid="{00000000-0005-0000-0000-0000BA050000}"/>
    <cellStyle name="Notas 17 3" xfId="298" xr:uid="{00000000-0005-0000-0000-0000BB050000}"/>
    <cellStyle name="Notas 17 3 10" xfId="1771" xr:uid="{00000000-0005-0000-0000-0000BC050000}"/>
    <cellStyle name="Notas 17 3 11" xfId="1928" xr:uid="{00000000-0005-0000-0000-0000BD050000}"/>
    <cellStyle name="Notas 17 3 12" xfId="2075" xr:uid="{00000000-0005-0000-0000-0000BE050000}"/>
    <cellStyle name="Notas 17 3 13" xfId="2216" xr:uid="{00000000-0005-0000-0000-0000BF050000}"/>
    <cellStyle name="Notas 17 3 14" xfId="2365" xr:uid="{00000000-0005-0000-0000-0000C0050000}"/>
    <cellStyle name="Notas 17 3 15" xfId="2514" xr:uid="{00000000-0005-0000-0000-0000C1050000}"/>
    <cellStyle name="Notas 17 3 2" xfId="435" xr:uid="{00000000-0005-0000-0000-0000C2050000}"/>
    <cellStyle name="Notas 17 3 3" xfId="598" xr:uid="{00000000-0005-0000-0000-0000C3050000}"/>
    <cellStyle name="Notas 17 3 4" xfId="744" xr:uid="{00000000-0005-0000-0000-0000C4050000}"/>
    <cellStyle name="Notas 17 3 5" xfId="889" xr:uid="{00000000-0005-0000-0000-0000C5050000}"/>
    <cellStyle name="Notas 17 3 6" xfId="1067" xr:uid="{00000000-0005-0000-0000-0000C6050000}"/>
    <cellStyle name="Notas 17 3 7" xfId="1233" xr:uid="{00000000-0005-0000-0000-0000C7050000}"/>
    <cellStyle name="Notas 17 3 8" xfId="1422" xr:uid="{00000000-0005-0000-0000-0000C8050000}"/>
    <cellStyle name="Notas 17 3 9" xfId="1601" xr:uid="{00000000-0005-0000-0000-0000C9050000}"/>
    <cellStyle name="Notas 17 4" xfId="322" xr:uid="{00000000-0005-0000-0000-0000CA050000}"/>
    <cellStyle name="Notas 17 5" xfId="433" xr:uid="{00000000-0005-0000-0000-0000CB050000}"/>
    <cellStyle name="Notas 17 6" xfId="596" xr:uid="{00000000-0005-0000-0000-0000CC050000}"/>
    <cellStyle name="Notas 17 7" xfId="742" xr:uid="{00000000-0005-0000-0000-0000CD050000}"/>
    <cellStyle name="Notas 17 8" xfId="887" xr:uid="{00000000-0005-0000-0000-0000CE050000}"/>
    <cellStyle name="Notas 17 9" xfId="1065" xr:uid="{00000000-0005-0000-0000-0000CF050000}"/>
    <cellStyle name="Notas 18" xfId="135" xr:uid="{00000000-0005-0000-0000-0000D0050000}"/>
    <cellStyle name="Notas 18 10" xfId="1423" xr:uid="{00000000-0005-0000-0000-0000D1050000}"/>
    <cellStyle name="Notas 18 11" xfId="1602" xr:uid="{00000000-0005-0000-0000-0000D2050000}"/>
    <cellStyle name="Notas 18 12" xfId="1772" xr:uid="{00000000-0005-0000-0000-0000D3050000}"/>
    <cellStyle name="Notas 18 13" xfId="1929" xr:uid="{00000000-0005-0000-0000-0000D4050000}"/>
    <cellStyle name="Notas 18 14" xfId="2076" xr:uid="{00000000-0005-0000-0000-0000D5050000}"/>
    <cellStyle name="Notas 18 15" xfId="2217" xr:uid="{00000000-0005-0000-0000-0000D6050000}"/>
    <cellStyle name="Notas 18 16" xfId="2366" xr:uid="{00000000-0005-0000-0000-0000D7050000}"/>
    <cellStyle name="Notas 18 17" xfId="2515" xr:uid="{00000000-0005-0000-0000-0000D8050000}"/>
    <cellStyle name="Notas 18 2" xfId="437" xr:uid="{00000000-0005-0000-0000-0000D9050000}"/>
    <cellStyle name="Notas 18 2 10" xfId="1930" xr:uid="{00000000-0005-0000-0000-0000DA050000}"/>
    <cellStyle name="Notas 18 2 11" xfId="2077" xr:uid="{00000000-0005-0000-0000-0000DB050000}"/>
    <cellStyle name="Notas 18 2 12" xfId="2218" xr:uid="{00000000-0005-0000-0000-0000DC050000}"/>
    <cellStyle name="Notas 18 2 13" xfId="2367" xr:uid="{00000000-0005-0000-0000-0000DD050000}"/>
    <cellStyle name="Notas 18 2 14" xfId="2516" xr:uid="{00000000-0005-0000-0000-0000DE050000}"/>
    <cellStyle name="Notas 18 2 2" xfId="600" xr:uid="{00000000-0005-0000-0000-0000DF050000}"/>
    <cellStyle name="Notas 18 2 3" xfId="746" xr:uid="{00000000-0005-0000-0000-0000E0050000}"/>
    <cellStyle name="Notas 18 2 4" xfId="891" xr:uid="{00000000-0005-0000-0000-0000E1050000}"/>
    <cellStyle name="Notas 18 2 5" xfId="1069" xr:uid="{00000000-0005-0000-0000-0000E2050000}"/>
    <cellStyle name="Notas 18 2 6" xfId="1235" xr:uid="{00000000-0005-0000-0000-0000E3050000}"/>
    <cellStyle name="Notas 18 2 7" xfId="1424" xr:uid="{00000000-0005-0000-0000-0000E4050000}"/>
    <cellStyle name="Notas 18 2 8" xfId="1603" xr:uid="{00000000-0005-0000-0000-0000E5050000}"/>
    <cellStyle name="Notas 18 2 9" xfId="1773" xr:uid="{00000000-0005-0000-0000-0000E6050000}"/>
    <cellStyle name="Notas 18 3" xfId="438" xr:uid="{00000000-0005-0000-0000-0000E7050000}"/>
    <cellStyle name="Notas 18 3 10" xfId="1931" xr:uid="{00000000-0005-0000-0000-0000E8050000}"/>
    <cellStyle name="Notas 18 3 11" xfId="2078" xr:uid="{00000000-0005-0000-0000-0000E9050000}"/>
    <cellStyle name="Notas 18 3 12" xfId="2219" xr:uid="{00000000-0005-0000-0000-0000EA050000}"/>
    <cellStyle name="Notas 18 3 13" xfId="2368" xr:uid="{00000000-0005-0000-0000-0000EB050000}"/>
    <cellStyle name="Notas 18 3 14" xfId="2517" xr:uid="{00000000-0005-0000-0000-0000EC050000}"/>
    <cellStyle name="Notas 18 3 2" xfId="601" xr:uid="{00000000-0005-0000-0000-0000ED050000}"/>
    <cellStyle name="Notas 18 3 3" xfId="747" xr:uid="{00000000-0005-0000-0000-0000EE050000}"/>
    <cellStyle name="Notas 18 3 4" xfId="892" xr:uid="{00000000-0005-0000-0000-0000EF050000}"/>
    <cellStyle name="Notas 18 3 5" xfId="1070" xr:uid="{00000000-0005-0000-0000-0000F0050000}"/>
    <cellStyle name="Notas 18 3 6" xfId="1236" xr:uid="{00000000-0005-0000-0000-0000F1050000}"/>
    <cellStyle name="Notas 18 3 7" xfId="1425" xr:uid="{00000000-0005-0000-0000-0000F2050000}"/>
    <cellStyle name="Notas 18 3 8" xfId="1604" xr:uid="{00000000-0005-0000-0000-0000F3050000}"/>
    <cellStyle name="Notas 18 3 9" xfId="1774" xr:uid="{00000000-0005-0000-0000-0000F4050000}"/>
    <cellStyle name="Notas 18 4" xfId="436" xr:uid="{00000000-0005-0000-0000-0000F5050000}"/>
    <cellStyle name="Notas 18 5" xfId="599" xr:uid="{00000000-0005-0000-0000-0000F6050000}"/>
    <cellStyle name="Notas 18 6" xfId="745" xr:uid="{00000000-0005-0000-0000-0000F7050000}"/>
    <cellStyle name="Notas 18 7" xfId="890" xr:uid="{00000000-0005-0000-0000-0000F8050000}"/>
    <cellStyle name="Notas 18 8" xfId="1068" xr:uid="{00000000-0005-0000-0000-0000F9050000}"/>
    <cellStyle name="Notas 18 9" xfId="1234" xr:uid="{00000000-0005-0000-0000-0000FA050000}"/>
    <cellStyle name="Notas 19" xfId="136" xr:uid="{00000000-0005-0000-0000-0000FB050000}"/>
    <cellStyle name="Notas 19 10" xfId="1426" xr:uid="{00000000-0005-0000-0000-0000FC050000}"/>
    <cellStyle name="Notas 19 11" xfId="1605" xr:uid="{00000000-0005-0000-0000-0000FD050000}"/>
    <cellStyle name="Notas 19 12" xfId="1775" xr:uid="{00000000-0005-0000-0000-0000FE050000}"/>
    <cellStyle name="Notas 19 13" xfId="1932" xr:uid="{00000000-0005-0000-0000-0000FF050000}"/>
    <cellStyle name="Notas 19 14" xfId="2079" xr:uid="{00000000-0005-0000-0000-000000060000}"/>
    <cellStyle name="Notas 19 15" xfId="2220" xr:uid="{00000000-0005-0000-0000-000001060000}"/>
    <cellStyle name="Notas 19 16" xfId="2369" xr:uid="{00000000-0005-0000-0000-000002060000}"/>
    <cellStyle name="Notas 19 17" xfId="2518" xr:uid="{00000000-0005-0000-0000-000003060000}"/>
    <cellStyle name="Notas 19 2" xfId="440" xr:uid="{00000000-0005-0000-0000-000004060000}"/>
    <cellStyle name="Notas 19 2 10" xfId="1933" xr:uid="{00000000-0005-0000-0000-000005060000}"/>
    <cellStyle name="Notas 19 2 11" xfId="2080" xr:uid="{00000000-0005-0000-0000-000006060000}"/>
    <cellStyle name="Notas 19 2 12" xfId="2221" xr:uid="{00000000-0005-0000-0000-000007060000}"/>
    <cellStyle name="Notas 19 2 13" xfId="2370" xr:uid="{00000000-0005-0000-0000-000008060000}"/>
    <cellStyle name="Notas 19 2 14" xfId="2519" xr:uid="{00000000-0005-0000-0000-000009060000}"/>
    <cellStyle name="Notas 19 2 2" xfId="603" xr:uid="{00000000-0005-0000-0000-00000A060000}"/>
    <cellStyle name="Notas 19 2 3" xfId="749" xr:uid="{00000000-0005-0000-0000-00000B060000}"/>
    <cellStyle name="Notas 19 2 4" xfId="894" xr:uid="{00000000-0005-0000-0000-00000C060000}"/>
    <cellStyle name="Notas 19 2 5" xfId="1072" xr:uid="{00000000-0005-0000-0000-00000D060000}"/>
    <cellStyle name="Notas 19 2 6" xfId="1238" xr:uid="{00000000-0005-0000-0000-00000E060000}"/>
    <cellStyle name="Notas 19 2 7" xfId="1427" xr:uid="{00000000-0005-0000-0000-00000F060000}"/>
    <cellStyle name="Notas 19 2 8" xfId="1606" xr:uid="{00000000-0005-0000-0000-000010060000}"/>
    <cellStyle name="Notas 19 2 9" xfId="1776" xr:uid="{00000000-0005-0000-0000-000011060000}"/>
    <cellStyle name="Notas 19 3" xfId="441" xr:uid="{00000000-0005-0000-0000-000012060000}"/>
    <cellStyle name="Notas 19 3 10" xfId="1934" xr:uid="{00000000-0005-0000-0000-000013060000}"/>
    <cellStyle name="Notas 19 3 11" xfId="2081" xr:uid="{00000000-0005-0000-0000-000014060000}"/>
    <cellStyle name="Notas 19 3 12" xfId="2222" xr:uid="{00000000-0005-0000-0000-000015060000}"/>
    <cellStyle name="Notas 19 3 13" xfId="2371" xr:uid="{00000000-0005-0000-0000-000016060000}"/>
    <cellStyle name="Notas 19 3 14" xfId="2520" xr:uid="{00000000-0005-0000-0000-000017060000}"/>
    <cellStyle name="Notas 19 3 2" xfId="604" xr:uid="{00000000-0005-0000-0000-000018060000}"/>
    <cellStyle name="Notas 19 3 3" xfId="750" xr:uid="{00000000-0005-0000-0000-000019060000}"/>
    <cellStyle name="Notas 19 3 4" xfId="895" xr:uid="{00000000-0005-0000-0000-00001A060000}"/>
    <cellStyle name="Notas 19 3 5" xfId="1073" xr:uid="{00000000-0005-0000-0000-00001B060000}"/>
    <cellStyle name="Notas 19 3 6" xfId="1239" xr:uid="{00000000-0005-0000-0000-00001C060000}"/>
    <cellStyle name="Notas 19 3 7" xfId="1428" xr:uid="{00000000-0005-0000-0000-00001D060000}"/>
    <cellStyle name="Notas 19 3 8" xfId="1607" xr:uid="{00000000-0005-0000-0000-00001E060000}"/>
    <cellStyle name="Notas 19 3 9" xfId="1777" xr:uid="{00000000-0005-0000-0000-00001F060000}"/>
    <cellStyle name="Notas 19 4" xfId="439" xr:uid="{00000000-0005-0000-0000-000020060000}"/>
    <cellStyle name="Notas 19 5" xfId="602" xr:uid="{00000000-0005-0000-0000-000021060000}"/>
    <cellStyle name="Notas 19 6" xfId="748" xr:uid="{00000000-0005-0000-0000-000022060000}"/>
    <cellStyle name="Notas 19 7" xfId="893" xr:uid="{00000000-0005-0000-0000-000023060000}"/>
    <cellStyle name="Notas 19 8" xfId="1071" xr:uid="{00000000-0005-0000-0000-000024060000}"/>
    <cellStyle name="Notas 19 9" xfId="1237" xr:uid="{00000000-0005-0000-0000-000025060000}"/>
    <cellStyle name="Notas 2" xfId="51" xr:uid="{00000000-0005-0000-0000-000026060000}"/>
    <cellStyle name="Notas 2 10" xfId="442" xr:uid="{00000000-0005-0000-0000-000027060000}"/>
    <cellStyle name="Notas 2 11" xfId="605" xr:uid="{00000000-0005-0000-0000-000028060000}"/>
    <cellStyle name="Notas 2 12" xfId="751" xr:uid="{00000000-0005-0000-0000-000029060000}"/>
    <cellStyle name="Notas 2 13" xfId="896" xr:uid="{00000000-0005-0000-0000-00002A060000}"/>
    <cellStyle name="Notas 2 14" xfId="1074" xr:uid="{00000000-0005-0000-0000-00002B060000}"/>
    <cellStyle name="Notas 2 15" xfId="1240" xr:uid="{00000000-0005-0000-0000-00002C060000}"/>
    <cellStyle name="Notas 2 16" xfId="1429" xr:uid="{00000000-0005-0000-0000-00002D060000}"/>
    <cellStyle name="Notas 2 17" xfId="1608" xr:uid="{00000000-0005-0000-0000-00002E060000}"/>
    <cellStyle name="Notas 2 18" xfId="1778" xr:uid="{00000000-0005-0000-0000-00002F060000}"/>
    <cellStyle name="Notas 2 19" xfId="1935" xr:uid="{00000000-0005-0000-0000-000030060000}"/>
    <cellStyle name="Notas 2 2" xfId="108" xr:uid="{00000000-0005-0000-0000-000031060000}"/>
    <cellStyle name="Notas 2 2 10" xfId="1779" xr:uid="{00000000-0005-0000-0000-000032060000}"/>
    <cellStyle name="Notas 2 2 11" xfId="1936" xr:uid="{00000000-0005-0000-0000-000033060000}"/>
    <cellStyle name="Notas 2 2 12" xfId="2083" xr:uid="{00000000-0005-0000-0000-000034060000}"/>
    <cellStyle name="Notas 2 2 13" xfId="2224" xr:uid="{00000000-0005-0000-0000-000035060000}"/>
    <cellStyle name="Notas 2 2 14" xfId="2373" xr:uid="{00000000-0005-0000-0000-000036060000}"/>
    <cellStyle name="Notas 2 2 15" xfId="2522" xr:uid="{00000000-0005-0000-0000-000037060000}"/>
    <cellStyle name="Notas 2 2 2" xfId="443" xr:uid="{00000000-0005-0000-0000-000038060000}"/>
    <cellStyle name="Notas 2 2 3" xfId="606" xr:uid="{00000000-0005-0000-0000-000039060000}"/>
    <cellStyle name="Notas 2 2 4" xfId="752" xr:uid="{00000000-0005-0000-0000-00003A060000}"/>
    <cellStyle name="Notas 2 2 5" xfId="897" xr:uid="{00000000-0005-0000-0000-00003B060000}"/>
    <cellStyle name="Notas 2 2 6" xfId="1075" xr:uid="{00000000-0005-0000-0000-00003C060000}"/>
    <cellStyle name="Notas 2 2 7" xfId="1241" xr:uid="{00000000-0005-0000-0000-00003D060000}"/>
    <cellStyle name="Notas 2 2 8" xfId="1430" xr:uid="{00000000-0005-0000-0000-00003E060000}"/>
    <cellStyle name="Notas 2 2 9" xfId="1609" xr:uid="{00000000-0005-0000-0000-00003F060000}"/>
    <cellStyle name="Notas 2 20" xfId="2082" xr:uid="{00000000-0005-0000-0000-000040060000}"/>
    <cellStyle name="Notas 2 21" xfId="2223" xr:uid="{00000000-0005-0000-0000-000041060000}"/>
    <cellStyle name="Notas 2 22" xfId="2372" xr:uid="{00000000-0005-0000-0000-000042060000}"/>
    <cellStyle name="Notas 2 23" xfId="2521" xr:uid="{00000000-0005-0000-0000-000043060000}"/>
    <cellStyle name="Notas 2 24" xfId="2597" xr:uid="{00000000-0005-0000-0000-000044060000}"/>
    <cellStyle name="Notas 2 3" xfId="164" xr:uid="{00000000-0005-0000-0000-000045060000}"/>
    <cellStyle name="Notas 2 3 10" xfId="1780" xr:uid="{00000000-0005-0000-0000-000046060000}"/>
    <cellStyle name="Notas 2 3 11" xfId="1937" xr:uid="{00000000-0005-0000-0000-000047060000}"/>
    <cellStyle name="Notas 2 3 12" xfId="2084" xr:uid="{00000000-0005-0000-0000-000048060000}"/>
    <cellStyle name="Notas 2 3 13" xfId="2225" xr:uid="{00000000-0005-0000-0000-000049060000}"/>
    <cellStyle name="Notas 2 3 14" xfId="2374" xr:uid="{00000000-0005-0000-0000-00004A060000}"/>
    <cellStyle name="Notas 2 3 15" xfId="2523" xr:uid="{00000000-0005-0000-0000-00004B060000}"/>
    <cellStyle name="Notas 2 3 2" xfId="444" xr:uid="{00000000-0005-0000-0000-00004C060000}"/>
    <cellStyle name="Notas 2 3 3" xfId="607" xr:uid="{00000000-0005-0000-0000-00004D060000}"/>
    <cellStyle name="Notas 2 3 4" xfId="753" xr:uid="{00000000-0005-0000-0000-00004E060000}"/>
    <cellStyle name="Notas 2 3 5" xfId="898" xr:uid="{00000000-0005-0000-0000-00004F060000}"/>
    <cellStyle name="Notas 2 3 6" xfId="1076" xr:uid="{00000000-0005-0000-0000-000050060000}"/>
    <cellStyle name="Notas 2 3 7" xfId="1242" xr:uid="{00000000-0005-0000-0000-000051060000}"/>
    <cellStyle name="Notas 2 3 8" xfId="1431" xr:uid="{00000000-0005-0000-0000-000052060000}"/>
    <cellStyle name="Notas 2 3 9" xfId="1610" xr:uid="{00000000-0005-0000-0000-000053060000}"/>
    <cellStyle name="Notas 2 4" xfId="194" xr:uid="{00000000-0005-0000-0000-000054060000}"/>
    <cellStyle name="Notas 2 5" xfId="217" xr:uid="{00000000-0005-0000-0000-000055060000}"/>
    <cellStyle name="Notas 2 6" xfId="234" xr:uid="{00000000-0005-0000-0000-000056060000}"/>
    <cellStyle name="Notas 2 7" xfId="271" xr:uid="{00000000-0005-0000-0000-000057060000}"/>
    <cellStyle name="Notas 2 8" xfId="299" xr:uid="{00000000-0005-0000-0000-000058060000}"/>
    <cellStyle name="Notas 2 9" xfId="323" xr:uid="{00000000-0005-0000-0000-000059060000}"/>
    <cellStyle name="Notas 20" xfId="137" xr:uid="{00000000-0005-0000-0000-00005A060000}"/>
    <cellStyle name="Notas 20 10" xfId="1432" xr:uid="{00000000-0005-0000-0000-00005B060000}"/>
    <cellStyle name="Notas 20 11" xfId="1611" xr:uid="{00000000-0005-0000-0000-00005C060000}"/>
    <cellStyle name="Notas 20 12" xfId="1781" xr:uid="{00000000-0005-0000-0000-00005D060000}"/>
    <cellStyle name="Notas 20 13" xfId="1938" xr:uid="{00000000-0005-0000-0000-00005E060000}"/>
    <cellStyle name="Notas 20 14" xfId="2085" xr:uid="{00000000-0005-0000-0000-00005F060000}"/>
    <cellStyle name="Notas 20 15" xfId="2226" xr:uid="{00000000-0005-0000-0000-000060060000}"/>
    <cellStyle name="Notas 20 16" xfId="2375" xr:uid="{00000000-0005-0000-0000-000061060000}"/>
    <cellStyle name="Notas 20 17" xfId="2524" xr:uid="{00000000-0005-0000-0000-000062060000}"/>
    <cellStyle name="Notas 20 2" xfId="446" xr:uid="{00000000-0005-0000-0000-000063060000}"/>
    <cellStyle name="Notas 20 2 10" xfId="1939" xr:uid="{00000000-0005-0000-0000-000064060000}"/>
    <cellStyle name="Notas 20 2 11" xfId="2086" xr:uid="{00000000-0005-0000-0000-000065060000}"/>
    <cellStyle name="Notas 20 2 12" xfId="2227" xr:uid="{00000000-0005-0000-0000-000066060000}"/>
    <cellStyle name="Notas 20 2 13" xfId="2376" xr:uid="{00000000-0005-0000-0000-000067060000}"/>
    <cellStyle name="Notas 20 2 14" xfId="2525" xr:uid="{00000000-0005-0000-0000-000068060000}"/>
    <cellStyle name="Notas 20 2 2" xfId="609" xr:uid="{00000000-0005-0000-0000-000069060000}"/>
    <cellStyle name="Notas 20 2 3" xfId="755" xr:uid="{00000000-0005-0000-0000-00006A060000}"/>
    <cellStyle name="Notas 20 2 4" xfId="900" xr:uid="{00000000-0005-0000-0000-00006B060000}"/>
    <cellStyle name="Notas 20 2 5" xfId="1078" xr:uid="{00000000-0005-0000-0000-00006C060000}"/>
    <cellStyle name="Notas 20 2 6" xfId="1244" xr:uid="{00000000-0005-0000-0000-00006D060000}"/>
    <cellStyle name="Notas 20 2 7" xfId="1433" xr:uid="{00000000-0005-0000-0000-00006E060000}"/>
    <cellStyle name="Notas 20 2 8" xfId="1612" xr:uid="{00000000-0005-0000-0000-00006F060000}"/>
    <cellStyle name="Notas 20 2 9" xfId="1782" xr:uid="{00000000-0005-0000-0000-000070060000}"/>
    <cellStyle name="Notas 20 3" xfId="447" xr:uid="{00000000-0005-0000-0000-000071060000}"/>
    <cellStyle name="Notas 20 3 10" xfId="1940" xr:uid="{00000000-0005-0000-0000-000072060000}"/>
    <cellStyle name="Notas 20 3 11" xfId="2087" xr:uid="{00000000-0005-0000-0000-000073060000}"/>
    <cellStyle name="Notas 20 3 12" xfId="2228" xr:uid="{00000000-0005-0000-0000-000074060000}"/>
    <cellStyle name="Notas 20 3 13" xfId="2377" xr:uid="{00000000-0005-0000-0000-000075060000}"/>
    <cellStyle name="Notas 20 3 14" xfId="2526" xr:uid="{00000000-0005-0000-0000-000076060000}"/>
    <cellStyle name="Notas 20 3 2" xfId="610" xr:uid="{00000000-0005-0000-0000-000077060000}"/>
    <cellStyle name="Notas 20 3 3" xfId="756" xr:uid="{00000000-0005-0000-0000-000078060000}"/>
    <cellStyle name="Notas 20 3 4" xfId="901" xr:uid="{00000000-0005-0000-0000-000079060000}"/>
    <cellStyle name="Notas 20 3 5" xfId="1079" xr:uid="{00000000-0005-0000-0000-00007A060000}"/>
    <cellStyle name="Notas 20 3 6" xfId="1245" xr:uid="{00000000-0005-0000-0000-00007B060000}"/>
    <cellStyle name="Notas 20 3 7" xfId="1434" xr:uid="{00000000-0005-0000-0000-00007C060000}"/>
    <cellStyle name="Notas 20 3 8" xfId="1613" xr:uid="{00000000-0005-0000-0000-00007D060000}"/>
    <cellStyle name="Notas 20 3 9" xfId="1783" xr:uid="{00000000-0005-0000-0000-00007E060000}"/>
    <cellStyle name="Notas 20 4" xfId="445" xr:uid="{00000000-0005-0000-0000-00007F060000}"/>
    <cellStyle name="Notas 20 5" xfId="608" xr:uid="{00000000-0005-0000-0000-000080060000}"/>
    <cellStyle name="Notas 20 6" xfId="754" xr:uid="{00000000-0005-0000-0000-000081060000}"/>
    <cellStyle name="Notas 20 7" xfId="899" xr:uid="{00000000-0005-0000-0000-000082060000}"/>
    <cellStyle name="Notas 20 8" xfId="1077" xr:uid="{00000000-0005-0000-0000-000083060000}"/>
    <cellStyle name="Notas 20 9" xfId="1243" xr:uid="{00000000-0005-0000-0000-000084060000}"/>
    <cellStyle name="Notas 21" xfId="138" xr:uid="{00000000-0005-0000-0000-000085060000}"/>
    <cellStyle name="Notas 21 10" xfId="1435" xr:uid="{00000000-0005-0000-0000-000086060000}"/>
    <cellStyle name="Notas 21 11" xfId="1614" xr:uid="{00000000-0005-0000-0000-000087060000}"/>
    <cellStyle name="Notas 21 12" xfId="1784" xr:uid="{00000000-0005-0000-0000-000088060000}"/>
    <cellStyle name="Notas 21 13" xfId="1941" xr:uid="{00000000-0005-0000-0000-000089060000}"/>
    <cellStyle name="Notas 21 14" xfId="2088" xr:uid="{00000000-0005-0000-0000-00008A060000}"/>
    <cellStyle name="Notas 21 15" xfId="2229" xr:uid="{00000000-0005-0000-0000-00008B060000}"/>
    <cellStyle name="Notas 21 16" xfId="2378" xr:uid="{00000000-0005-0000-0000-00008C060000}"/>
    <cellStyle name="Notas 21 17" xfId="2527" xr:uid="{00000000-0005-0000-0000-00008D060000}"/>
    <cellStyle name="Notas 21 2" xfId="449" xr:uid="{00000000-0005-0000-0000-00008E060000}"/>
    <cellStyle name="Notas 21 2 10" xfId="1942" xr:uid="{00000000-0005-0000-0000-00008F060000}"/>
    <cellStyle name="Notas 21 2 11" xfId="2089" xr:uid="{00000000-0005-0000-0000-000090060000}"/>
    <cellStyle name="Notas 21 2 12" xfId="2230" xr:uid="{00000000-0005-0000-0000-000091060000}"/>
    <cellStyle name="Notas 21 2 13" xfId="2379" xr:uid="{00000000-0005-0000-0000-000092060000}"/>
    <cellStyle name="Notas 21 2 14" xfId="2528" xr:uid="{00000000-0005-0000-0000-000093060000}"/>
    <cellStyle name="Notas 21 2 2" xfId="612" xr:uid="{00000000-0005-0000-0000-000094060000}"/>
    <cellStyle name="Notas 21 2 3" xfId="758" xr:uid="{00000000-0005-0000-0000-000095060000}"/>
    <cellStyle name="Notas 21 2 4" xfId="903" xr:uid="{00000000-0005-0000-0000-000096060000}"/>
    <cellStyle name="Notas 21 2 5" xfId="1081" xr:uid="{00000000-0005-0000-0000-000097060000}"/>
    <cellStyle name="Notas 21 2 6" xfId="1247" xr:uid="{00000000-0005-0000-0000-000098060000}"/>
    <cellStyle name="Notas 21 2 7" xfId="1436" xr:uid="{00000000-0005-0000-0000-000099060000}"/>
    <cellStyle name="Notas 21 2 8" xfId="1615" xr:uid="{00000000-0005-0000-0000-00009A060000}"/>
    <cellStyle name="Notas 21 2 9" xfId="1785" xr:uid="{00000000-0005-0000-0000-00009B060000}"/>
    <cellStyle name="Notas 21 3" xfId="450" xr:uid="{00000000-0005-0000-0000-00009C060000}"/>
    <cellStyle name="Notas 21 3 10" xfId="1943" xr:uid="{00000000-0005-0000-0000-00009D060000}"/>
    <cellStyle name="Notas 21 3 11" xfId="2090" xr:uid="{00000000-0005-0000-0000-00009E060000}"/>
    <cellStyle name="Notas 21 3 12" xfId="2231" xr:uid="{00000000-0005-0000-0000-00009F060000}"/>
    <cellStyle name="Notas 21 3 13" xfId="2380" xr:uid="{00000000-0005-0000-0000-0000A0060000}"/>
    <cellStyle name="Notas 21 3 14" xfId="2529" xr:uid="{00000000-0005-0000-0000-0000A1060000}"/>
    <cellStyle name="Notas 21 3 2" xfId="613" xr:uid="{00000000-0005-0000-0000-0000A2060000}"/>
    <cellStyle name="Notas 21 3 3" xfId="759" xr:uid="{00000000-0005-0000-0000-0000A3060000}"/>
    <cellStyle name="Notas 21 3 4" xfId="904" xr:uid="{00000000-0005-0000-0000-0000A4060000}"/>
    <cellStyle name="Notas 21 3 5" xfId="1082" xr:uid="{00000000-0005-0000-0000-0000A5060000}"/>
    <cellStyle name="Notas 21 3 6" xfId="1248" xr:uid="{00000000-0005-0000-0000-0000A6060000}"/>
    <cellStyle name="Notas 21 3 7" xfId="1437" xr:uid="{00000000-0005-0000-0000-0000A7060000}"/>
    <cellStyle name="Notas 21 3 8" xfId="1616" xr:uid="{00000000-0005-0000-0000-0000A8060000}"/>
    <cellStyle name="Notas 21 3 9" xfId="1786" xr:uid="{00000000-0005-0000-0000-0000A9060000}"/>
    <cellStyle name="Notas 21 4" xfId="448" xr:uid="{00000000-0005-0000-0000-0000AA060000}"/>
    <cellStyle name="Notas 21 5" xfId="611" xr:uid="{00000000-0005-0000-0000-0000AB060000}"/>
    <cellStyle name="Notas 21 6" xfId="757" xr:uid="{00000000-0005-0000-0000-0000AC060000}"/>
    <cellStyle name="Notas 21 7" xfId="902" xr:uid="{00000000-0005-0000-0000-0000AD060000}"/>
    <cellStyle name="Notas 21 8" xfId="1080" xr:uid="{00000000-0005-0000-0000-0000AE060000}"/>
    <cellStyle name="Notas 21 9" xfId="1246" xr:uid="{00000000-0005-0000-0000-0000AF060000}"/>
    <cellStyle name="Notas 22" xfId="139" xr:uid="{00000000-0005-0000-0000-0000B0060000}"/>
    <cellStyle name="Notas 22 10" xfId="1438" xr:uid="{00000000-0005-0000-0000-0000B1060000}"/>
    <cellStyle name="Notas 22 11" xfId="1617" xr:uid="{00000000-0005-0000-0000-0000B2060000}"/>
    <cellStyle name="Notas 22 12" xfId="1787" xr:uid="{00000000-0005-0000-0000-0000B3060000}"/>
    <cellStyle name="Notas 22 13" xfId="1944" xr:uid="{00000000-0005-0000-0000-0000B4060000}"/>
    <cellStyle name="Notas 22 14" xfId="2091" xr:uid="{00000000-0005-0000-0000-0000B5060000}"/>
    <cellStyle name="Notas 22 15" xfId="2232" xr:uid="{00000000-0005-0000-0000-0000B6060000}"/>
    <cellStyle name="Notas 22 16" xfId="2381" xr:uid="{00000000-0005-0000-0000-0000B7060000}"/>
    <cellStyle name="Notas 22 17" xfId="2530" xr:uid="{00000000-0005-0000-0000-0000B8060000}"/>
    <cellStyle name="Notas 22 2" xfId="452" xr:uid="{00000000-0005-0000-0000-0000B9060000}"/>
    <cellStyle name="Notas 22 2 10" xfId="1945" xr:uid="{00000000-0005-0000-0000-0000BA060000}"/>
    <cellStyle name="Notas 22 2 11" xfId="2092" xr:uid="{00000000-0005-0000-0000-0000BB060000}"/>
    <cellStyle name="Notas 22 2 12" xfId="2233" xr:uid="{00000000-0005-0000-0000-0000BC060000}"/>
    <cellStyle name="Notas 22 2 13" xfId="2382" xr:uid="{00000000-0005-0000-0000-0000BD060000}"/>
    <cellStyle name="Notas 22 2 14" xfId="2531" xr:uid="{00000000-0005-0000-0000-0000BE060000}"/>
    <cellStyle name="Notas 22 2 2" xfId="615" xr:uid="{00000000-0005-0000-0000-0000BF060000}"/>
    <cellStyle name="Notas 22 2 3" xfId="761" xr:uid="{00000000-0005-0000-0000-0000C0060000}"/>
    <cellStyle name="Notas 22 2 4" xfId="906" xr:uid="{00000000-0005-0000-0000-0000C1060000}"/>
    <cellStyle name="Notas 22 2 5" xfId="1084" xr:uid="{00000000-0005-0000-0000-0000C2060000}"/>
    <cellStyle name="Notas 22 2 6" xfId="1250" xr:uid="{00000000-0005-0000-0000-0000C3060000}"/>
    <cellStyle name="Notas 22 2 7" xfId="1439" xr:uid="{00000000-0005-0000-0000-0000C4060000}"/>
    <cellStyle name="Notas 22 2 8" xfId="1618" xr:uid="{00000000-0005-0000-0000-0000C5060000}"/>
    <cellStyle name="Notas 22 2 9" xfId="1788" xr:uid="{00000000-0005-0000-0000-0000C6060000}"/>
    <cellStyle name="Notas 22 3" xfId="453" xr:uid="{00000000-0005-0000-0000-0000C7060000}"/>
    <cellStyle name="Notas 22 3 10" xfId="1946" xr:uid="{00000000-0005-0000-0000-0000C8060000}"/>
    <cellStyle name="Notas 22 3 11" xfId="2093" xr:uid="{00000000-0005-0000-0000-0000C9060000}"/>
    <cellStyle name="Notas 22 3 12" xfId="2234" xr:uid="{00000000-0005-0000-0000-0000CA060000}"/>
    <cellStyle name="Notas 22 3 13" xfId="2383" xr:uid="{00000000-0005-0000-0000-0000CB060000}"/>
    <cellStyle name="Notas 22 3 14" xfId="2532" xr:uid="{00000000-0005-0000-0000-0000CC060000}"/>
    <cellStyle name="Notas 22 3 2" xfId="616" xr:uid="{00000000-0005-0000-0000-0000CD060000}"/>
    <cellStyle name="Notas 22 3 3" xfId="762" xr:uid="{00000000-0005-0000-0000-0000CE060000}"/>
    <cellStyle name="Notas 22 3 4" xfId="907" xr:uid="{00000000-0005-0000-0000-0000CF060000}"/>
    <cellStyle name="Notas 22 3 5" xfId="1085" xr:uid="{00000000-0005-0000-0000-0000D0060000}"/>
    <cellStyle name="Notas 22 3 6" xfId="1251" xr:uid="{00000000-0005-0000-0000-0000D1060000}"/>
    <cellStyle name="Notas 22 3 7" xfId="1440" xr:uid="{00000000-0005-0000-0000-0000D2060000}"/>
    <cellStyle name="Notas 22 3 8" xfId="1619" xr:uid="{00000000-0005-0000-0000-0000D3060000}"/>
    <cellStyle name="Notas 22 3 9" xfId="1789" xr:uid="{00000000-0005-0000-0000-0000D4060000}"/>
    <cellStyle name="Notas 22 4" xfId="451" xr:uid="{00000000-0005-0000-0000-0000D5060000}"/>
    <cellStyle name="Notas 22 5" xfId="614" xr:uid="{00000000-0005-0000-0000-0000D6060000}"/>
    <cellStyle name="Notas 22 6" xfId="760" xr:uid="{00000000-0005-0000-0000-0000D7060000}"/>
    <cellStyle name="Notas 22 7" xfId="905" xr:uid="{00000000-0005-0000-0000-0000D8060000}"/>
    <cellStyle name="Notas 22 8" xfId="1083" xr:uid="{00000000-0005-0000-0000-0000D9060000}"/>
    <cellStyle name="Notas 22 9" xfId="1249" xr:uid="{00000000-0005-0000-0000-0000DA060000}"/>
    <cellStyle name="Notas 23" xfId="140" xr:uid="{00000000-0005-0000-0000-0000DB060000}"/>
    <cellStyle name="Notas 23 10" xfId="1790" xr:uid="{00000000-0005-0000-0000-0000DC060000}"/>
    <cellStyle name="Notas 23 11" xfId="1947" xr:uid="{00000000-0005-0000-0000-0000DD060000}"/>
    <cellStyle name="Notas 23 12" xfId="2094" xr:uid="{00000000-0005-0000-0000-0000DE060000}"/>
    <cellStyle name="Notas 23 13" xfId="2235" xr:uid="{00000000-0005-0000-0000-0000DF060000}"/>
    <cellStyle name="Notas 23 14" xfId="2384" xr:uid="{00000000-0005-0000-0000-0000E0060000}"/>
    <cellStyle name="Notas 23 15" xfId="2533" xr:uid="{00000000-0005-0000-0000-0000E1060000}"/>
    <cellStyle name="Notas 23 2" xfId="454" xr:uid="{00000000-0005-0000-0000-0000E2060000}"/>
    <cellStyle name="Notas 23 3" xfId="617" xr:uid="{00000000-0005-0000-0000-0000E3060000}"/>
    <cellStyle name="Notas 23 4" xfId="763" xr:uid="{00000000-0005-0000-0000-0000E4060000}"/>
    <cellStyle name="Notas 23 5" xfId="908" xr:uid="{00000000-0005-0000-0000-0000E5060000}"/>
    <cellStyle name="Notas 23 6" xfId="1086" xr:uid="{00000000-0005-0000-0000-0000E6060000}"/>
    <cellStyle name="Notas 23 7" xfId="1252" xr:uid="{00000000-0005-0000-0000-0000E7060000}"/>
    <cellStyle name="Notas 23 8" xfId="1441" xr:uid="{00000000-0005-0000-0000-0000E8060000}"/>
    <cellStyle name="Notas 23 9" xfId="1620" xr:uid="{00000000-0005-0000-0000-0000E9060000}"/>
    <cellStyle name="Notas 24" xfId="141" xr:uid="{00000000-0005-0000-0000-0000EA060000}"/>
    <cellStyle name="Notas 24 10" xfId="1791" xr:uid="{00000000-0005-0000-0000-0000EB060000}"/>
    <cellStyle name="Notas 24 11" xfId="1948" xr:uid="{00000000-0005-0000-0000-0000EC060000}"/>
    <cellStyle name="Notas 24 12" xfId="2095" xr:uid="{00000000-0005-0000-0000-0000ED060000}"/>
    <cellStyle name="Notas 24 13" xfId="2236" xr:uid="{00000000-0005-0000-0000-0000EE060000}"/>
    <cellStyle name="Notas 24 14" xfId="2385" xr:uid="{00000000-0005-0000-0000-0000EF060000}"/>
    <cellStyle name="Notas 24 15" xfId="2534" xr:uid="{00000000-0005-0000-0000-0000F0060000}"/>
    <cellStyle name="Notas 24 2" xfId="455" xr:uid="{00000000-0005-0000-0000-0000F1060000}"/>
    <cellStyle name="Notas 24 3" xfId="618" xr:uid="{00000000-0005-0000-0000-0000F2060000}"/>
    <cellStyle name="Notas 24 4" xfId="764" xr:uid="{00000000-0005-0000-0000-0000F3060000}"/>
    <cellStyle name="Notas 24 5" xfId="909" xr:uid="{00000000-0005-0000-0000-0000F4060000}"/>
    <cellStyle name="Notas 24 6" xfId="1087" xr:uid="{00000000-0005-0000-0000-0000F5060000}"/>
    <cellStyle name="Notas 24 7" xfId="1253" xr:uid="{00000000-0005-0000-0000-0000F6060000}"/>
    <cellStyle name="Notas 24 8" xfId="1442" xr:uid="{00000000-0005-0000-0000-0000F7060000}"/>
    <cellStyle name="Notas 24 9" xfId="1621" xr:uid="{00000000-0005-0000-0000-0000F8060000}"/>
    <cellStyle name="Notas 25" xfId="142" xr:uid="{00000000-0005-0000-0000-0000F9060000}"/>
    <cellStyle name="Notas 25 10" xfId="1792" xr:uid="{00000000-0005-0000-0000-0000FA060000}"/>
    <cellStyle name="Notas 25 11" xfId="1949" xr:uid="{00000000-0005-0000-0000-0000FB060000}"/>
    <cellStyle name="Notas 25 12" xfId="2096" xr:uid="{00000000-0005-0000-0000-0000FC060000}"/>
    <cellStyle name="Notas 25 13" xfId="2237" xr:uid="{00000000-0005-0000-0000-0000FD060000}"/>
    <cellStyle name="Notas 25 14" xfId="2386" xr:uid="{00000000-0005-0000-0000-0000FE060000}"/>
    <cellStyle name="Notas 25 15" xfId="2535" xr:uid="{00000000-0005-0000-0000-0000FF060000}"/>
    <cellStyle name="Notas 25 2" xfId="456" xr:uid="{00000000-0005-0000-0000-000000070000}"/>
    <cellStyle name="Notas 25 3" xfId="619" xr:uid="{00000000-0005-0000-0000-000001070000}"/>
    <cellStyle name="Notas 25 4" xfId="765" xr:uid="{00000000-0005-0000-0000-000002070000}"/>
    <cellStyle name="Notas 25 5" xfId="910" xr:uid="{00000000-0005-0000-0000-000003070000}"/>
    <cellStyle name="Notas 25 6" xfId="1088" xr:uid="{00000000-0005-0000-0000-000004070000}"/>
    <cellStyle name="Notas 25 7" xfId="1254" xr:uid="{00000000-0005-0000-0000-000005070000}"/>
    <cellStyle name="Notas 25 8" xfId="1443" xr:uid="{00000000-0005-0000-0000-000006070000}"/>
    <cellStyle name="Notas 25 9" xfId="1622" xr:uid="{00000000-0005-0000-0000-000007070000}"/>
    <cellStyle name="Notas 26" xfId="143" xr:uid="{00000000-0005-0000-0000-000008070000}"/>
    <cellStyle name="Notas 26 10" xfId="1793" xr:uid="{00000000-0005-0000-0000-000009070000}"/>
    <cellStyle name="Notas 26 11" xfId="1950" xr:uid="{00000000-0005-0000-0000-00000A070000}"/>
    <cellStyle name="Notas 26 12" xfId="2097" xr:uid="{00000000-0005-0000-0000-00000B070000}"/>
    <cellStyle name="Notas 26 13" xfId="2238" xr:uid="{00000000-0005-0000-0000-00000C070000}"/>
    <cellStyle name="Notas 26 14" xfId="2387" xr:uid="{00000000-0005-0000-0000-00000D070000}"/>
    <cellStyle name="Notas 26 15" xfId="2536" xr:uid="{00000000-0005-0000-0000-00000E070000}"/>
    <cellStyle name="Notas 26 2" xfId="457" xr:uid="{00000000-0005-0000-0000-00000F070000}"/>
    <cellStyle name="Notas 26 3" xfId="620" xr:uid="{00000000-0005-0000-0000-000010070000}"/>
    <cellStyle name="Notas 26 4" xfId="766" xr:uid="{00000000-0005-0000-0000-000011070000}"/>
    <cellStyle name="Notas 26 5" xfId="911" xr:uid="{00000000-0005-0000-0000-000012070000}"/>
    <cellStyle name="Notas 26 6" xfId="1089" xr:uid="{00000000-0005-0000-0000-000013070000}"/>
    <cellStyle name="Notas 26 7" xfId="1255" xr:uid="{00000000-0005-0000-0000-000014070000}"/>
    <cellStyle name="Notas 26 8" xfId="1444" xr:uid="{00000000-0005-0000-0000-000015070000}"/>
    <cellStyle name="Notas 26 9" xfId="1623" xr:uid="{00000000-0005-0000-0000-000016070000}"/>
    <cellStyle name="Notas 27" xfId="144" xr:uid="{00000000-0005-0000-0000-000017070000}"/>
    <cellStyle name="Notas 27 10" xfId="1794" xr:uid="{00000000-0005-0000-0000-000018070000}"/>
    <cellStyle name="Notas 27 11" xfId="1951" xr:uid="{00000000-0005-0000-0000-000019070000}"/>
    <cellStyle name="Notas 27 12" xfId="2098" xr:uid="{00000000-0005-0000-0000-00001A070000}"/>
    <cellStyle name="Notas 27 13" xfId="2239" xr:uid="{00000000-0005-0000-0000-00001B070000}"/>
    <cellStyle name="Notas 27 14" xfId="2388" xr:uid="{00000000-0005-0000-0000-00001C070000}"/>
    <cellStyle name="Notas 27 15" xfId="2537" xr:uid="{00000000-0005-0000-0000-00001D070000}"/>
    <cellStyle name="Notas 27 2" xfId="458" xr:uid="{00000000-0005-0000-0000-00001E070000}"/>
    <cellStyle name="Notas 27 3" xfId="621" xr:uid="{00000000-0005-0000-0000-00001F070000}"/>
    <cellStyle name="Notas 27 4" xfId="767" xr:uid="{00000000-0005-0000-0000-000020070000}"/>
    <cellStyle name="Notas 27 5" xfId="912" xr:uid="{00000000-0005-0000-0000-000021070000}"/>
    <cellStyle name="Notas 27 6" xfId="1090" xr:uid="{00000000-0005-0000-0000-000022070000}"/>
    <cellStyle name="Notas 27 7" xfId="1256" xr:uid="{00000000-0005-0000-0000-000023070000}"/>
    <cellStyle name="Notas 27 8" xfId="1445" xr:uid="{00000000-0005-0000-0000-000024070000}"/>
    <cellStyle name="Notas 27 9" xfId="1624" xr:uid="{00000000-0005-0000-0000-000025070000}"/>
    <cellStyle name="Notas 28" xfId="145" xr:uid="{00000000-0005-0000-0000-000026070000}"/>
    <cellStyle name="Notas 28 10" xfId="1795" xr:uid="{00000000-0005-0000-0000-000027070000}"/>
    <cellStyle name="Notas 28 11" xfId="1952" xr:uid="{00000000-0005-0000-0000-000028070000}"/>
    <cellStyle name="Notas 28 12" xfId="2099" xr:uid="{00000000-0005-0000-0000-000029070000}"/>
    <cellStyle name="Notas 28 13" xfId="2240" xr:uid="{00000000-0005-0000-0000-00002A070000}"/>
    <cellStyle name="Notas 28 14" xfId="2389" xr:uid="{00000000-0005-0000-0000-00002B070000}"/>
    <cellStyle name="Notas 28 15" xfId="2538" xr:uid="{00000000-0005-0000-0000-00002C070000}"/>
    <cellStyle name="Notas 28 2" xfId="459" xr:uid="{00000000-0005-0000-0000-00002D070000}"/>
    <cellStyle name="Notas 28 3" xfId="622" xr:uid="{00000000-0005-0000-0000-00002E070000}"/>
    <cellStyle name="Notas 28 4" xfId="768" xr:uid="{00000000-0005-0000-0000-00002F070000}"/>
    <cellStyle name="Notas 28 5" xfId="913" xr:uid="{00000000-0005-0000-0000-000030070000}"/>
    <cellStyle name="Notas 28 6" xfId="1091" xr:uid="{00000000-0005-0000-0000-000031070000}"/>
    <cellStyle name="Notas 28 7" xfId="1257" xr:uid="{00000000-0005-0000-0000-000032070000}"/>
    <cellStyle name="Notas 28 8" xfId="1446" xr:uid="{00000000-0005-0000-0000-000033070000}"/>
    <cellStyle name="Notas 28 9" xfId="1625" xr:uid="{00000000-0005-0000-0000-000034070000}"/>
    <cellStyle name="Notas 29" xfId="146" xr:uid="{00000000-0005-0000-0000-000035070000}"/>
    <cellStyle name="Notas 29 10" xfId="1796" xr:uid="{00000000-0005-0000-0000-000036070000}"/>
    <cellStyle name="Notas 29 11" xfId="1953" xr:uid="{00000000-0005-0000-0000-000037070000}"/>
    <cellStyle name="Notas 29 12" xfId="2100" xr:uid="{00000000-0005-0000-0000-000038070000}"/>
    <cellStyle name="Notas 29 13" xfId="2241" xr:uid="{00000000-0005-0000-0000-000039070000}"/>
    <cellStyle name="Notas 29 14" xfId="2390" xr:uid="{00000000-0005-0000-0000-00003A070000}"/>
    <cellStyle name="Notas 29 15" xfId="2539" xr:uid="{00000000-0005-0000-0000-00003B070000}"/>
    <cellStyle name="Notas 29 2" xfId="460" xr:uid="{00000000-0005-0000-0000-00003C070000}"/>
    <cellStyle name="Notas 29 3" xfId="623" xr:uid="{00000000-0005-0000-0000-00003D070000}"/>
    <cellStyle name="Notas 29 4" xfId="769" xr:uid="{00000000-0005-0000-0000-00003E070000}"/>
    <cellStyle name="Notas 29 5" xfId="914" xr:uid="{00000000-0005-0000-0000-00003F070000}"/>
    <cellStyle name="Notas 29 6" xfId="1092" xr:uid="{00000000-0005-0000-0000-000040070000}"/>
    <cellStyle name="Notas 29 7" xfId="1258" xr:uid="{00000000-0005-0000-0000-000041070000}"/>
    <cellStyle name="Notas 29 8" xfId="1447" xr:uid="{00000000-0005-0000-0000-000042070000}"/>
    <cellStyle name="Notas 29 9" xfId="1626" xr:uid="{00000000-0005-0000-0000-000043070000}"/>
    <cellStyle name="Notas 3" xfId="55" xr:uid="{00000000-0005-0000-0000-000044070000}"/>
    <cellStyle name="Notas 3 10" xfId="461" xr:uid="{00000000-0005-0000-0000-000045070000}"/>
    <cellStyle name="Notas 3 11" xfId="624" xr:uid="{00000000-0005-0000-0000-000046070000}"/>
    <cellStyle name="Notas 3 12" xfId="770" xr:uid="{00000000-0005-0000-0000-000047070000}"/>
    <cellStyle name="Notas 3 13" xfId="915" xr:uid="{00000000-0005-0000-0000-000048070000}"/>
    <cellStyle name="Notas 3 14" xfId="1093" xr:uid="{00000000-0005-0000-0000-000049070000}"/>
    <cellStyle name="Notas 3 15" xfId="1259" xr:uid="{00000000-0005-0000-0000-00004A070000}"/>
    <cellStyle name="Notas 3 16" xfId="1448" xr:uid="{00000000-0005-0000-0000-00004B070000}"/>
    <cellStyle name="Notas 3 17" xfId="1627" xr:uid="{00000000-0005-0000-0000-00004C070000}"/>
    <cellStyle name="Notas 3 18" xfId="1797" xr:uid="{00000000-0005-0000-0000-00004D070000}"/>
    <cellStyle name="Notas 3 19" xfId="1954" xr:uid="{00000000-0005-0000-0000-00004E070000}"/>
    <cellStyle name="Notas 3 2" xfId="109" xr:uid="{00000000-0005-0000-0000-00004F070000}"/>
    <cellStyle name="Notas 3 2 10" xfId="1798" xr:uid="{00000000-0005-0000-0000-000050070000}"/>
    <cellStyle name="Notas 3 2 11" xfId="1955" xr:uid="{00000000-0005-0000-0000-000051070000}"/>
    <cellStyle name="Notas 3 2 12" xfId="2102" xr:uid="{00000000-0005-0000-0000-000052070000}"/>
    <cellStyle name="Notas 3 2 13" xfId="2243" xr:uid="{00000000-0005-0000-0000-000053070000}"/>
    <cellStyle name="Notas 3 2 14" xfId="2392" xr:uid="{00000000-0005-0000-0000-000054070000}"/>
    <cellStyle name="Notas 3 2 15" xfId="2541" xr:uid="{00000000-0005-0000-0000-000055070000}"/>
    <cellStyle name="Notas 3 2 2" xfId="462" xr:uid="{00000000-0005-0000-0000-000056070000}"/>
    <cellStyle name="Notas 3 2 3" xfId="625" xr:uid="{00000000-0005-0000-0000-000057070000}"/>
    <cellStyle name="Notas 3 2 4" xfId="771" xr:uid="{00000000-0005-0000-0000-000058070000}"/>
    <cellStyle name="Notas 3 2 5" xfId="916" xr:uid="{00000000-0005-0000-0000-000059070000}"/>
    <cellStyle name="Notas 3 2 6" xfId="1094" xr:uid="{00000000-0005-0000-0000-00005A070000}"/>
    <cellStyle name="Notas 3 2 7" xfId="1260" xr:uid="{00000000-0005-0000-0000-00005B070000}"/>
    <cellStyle name="Notas 3 2 8" xfId="1449" xr:uid="{00000000-0005-0000-0000-00005C070000}"/>
    <cellStyle name="Notas 3 2 9" xfId="1628" xr:uid="{00000000-0005-0000-0000-00005D070000}"/>
    <cellStyle name="Notas 3 20" xfId="2101" xr:uid="{00000000-0005-0000-0000-00005E070000}"/>
    <cellStyle name="Notas 3 21" xfId="2242" xr:uid="{00000000-0005-0000-0000-00005F070000}"/>
    <cellStyle name="Notas 3 22" xfId="2391" xr:uid="{00000000-0005-0000-0000-000060070000}"/>
    <cellStyle name="Notas 3 23" xfId="2540" xr:uid="{00000000-0005-0000-0000-000061070000}"/>
    <cellStyle name="Notas 3 3" xfId="165" xr:uid="{00000000-0005-0000-0000-000062070000}"/>
    <cellStyle name="Notas 3 3 10" xfId="1799" xr:uid="{00000000-0005-0000-0000-000063070000}"/>
    <cellStyle name="Notas 3 3 11" xfId="1956" xr:uid="{00000000-0005-0000-0000-000064070000}"/>
    <cellStyle name="Notas 3 3 12" xfId="2103" xr:uid="{00000000-0005-0000-0000-000065070000}"/>
    <cellStyle name="Notas 3 3 13" xfId="2244" xr:uid="{00000000-0005-0000-0000-000066070000}"/>
    <cellStyle name="Notas 3 3 14" xfId="2393" xr:uid="{00000000-0005-0000-0000-000067070000}"/>
    <cellStyle name="Notas 3 3 15" xfId="2542" xr:uid="{00000000-0005-0000-0000-000068070000}"/>
    <cellStyle name="Notas 3 3 2" xfId="463" xr:uid="{00000000-0005-0000-0000-000069070000}"/>
    <cellStyle name="Notas 3 3 3" xfId="626" xr:uid="{00000000-0005-0000-0000-00006A070000}"/>
    <cellStyle name="Notas 3 3 4" xfId="772" xr:uid="{00000000-0005-0000-0000-00006B070000}"/>
    <cellStyle name="Notas 3 3 5" xfId="917" xr:uid="{00000000-0005-0000-0000-00006C070000}"/>
    <cellStyle name="Notas 3 3 6" xfId="1095" xr:uid="{00000000-0005-0000-0000-00006D070000}"/>
    <cellStyle name="Notas 3 3 7" xfId="1261" xr:uid="{00000000-0005-0000-0000-00006E070000}"/>
    <cellStyle name="Notas 3 3 8" xfId="1450" xr:uid="{00000000-0005-0000-0000-00006F070000}"/>
    <cellStyle name="Notas 3 3 9" xfId="1629" xr:uid="{00000000-0005-0000-0000-000070070000}"/>
    <cellStyle name="Notas 3 4" xfId="195" xr:uid="{00000000-0005-0000-0000-000071070000}"/>
    <cellStyle name="Notas 3 5" xfId="218" xr:uid="{00000000-0005-0000-0000-000072070000}"/>
    <cellStyle name="Notas 3 6" xfId="235" xr:uid="{00000000-0005-0000-0000-000073070000}"/>
    <cellStyle name="Notas 3 7" xfId="272" xr:uid="{00000000-0005-0000-0000-000074070000}"/>
    <cellStyle name="Notas 3 8" xfId="300" xr:uid="{00000000-0005-0000-0000-000075070000}"/>
    <cellStyle name="Notas 3 9" xfId="324" xr:uid="{00000000-0005-0000-0000-000076070000}"/>
    <cellStyle name="Notas 30" xfId="147" xr:uid="{00000000-0005-0000-0000-000077070000}"/>
    <cellStyle name="Notas 30 10" xfId="1800" xr:uid="{00000000-0005-0000-0000-000078070000}"/>
    <cellStyle name="Notas 30 11" xfId="1957" xr:uid="{00000000-0005-0000-0000-000079070000}"/>
    <cellStyle name="Notas 30 12" xfId="2104" xr:uid="{00000000-0005-0000-0000-00007A070000}"/>
    <cellStyle name="Notas 30 13" xfId="2245" xr:uid="{00000000-0005-0000-0000-00007B070000}"/>
    <cellStyle name="Notas 30 14" xfId="2394" xr:uid="{00000000-0005-0000-0000-00007C070000}"/>
    <cellStyle name="Notas 30 15" xfId="2543" xr:uid="{00000000-0005-0000-0000-00007D070000}"/>
    <cellStyle name="Notas 30 2" xfId="464" xr:uid="{00000000-0005-0000-0000-00007E070000}"/>
    <cellStyle name="Notas 30 3" xfId="627" xr:uid="{00000000-0005-0000-0000-00007F070000}"/>
    <cellStyle name="Notas 30 4" xfId="773" xr:uid="{00000000-0005-0000-0000-000080070000}"/>
    <cellStyle name="Notas 30 5" xfId="918" xr:uid="{00000000-0005-0000-0000-000081070000}"/>
    <cellStyle name="Notas 30 6" xfId="1096" xr:uid="{00000000-0005-0000-0000-000082070000}"/>
    <cellStyle name="Notas 30 7" xfId="1262" xr:uid="{00000000-0005-0000-0000-000083070000}"/>
    <cellStyle name="Notas 30 8" xfId="1451" xr:uid="{00000000-0005-0000-0000-000084070000}"/>
    <cellStyle name="Notas 30 9" xfId="1630" xr:uid="{00000000-0005-0000-0000-000085070000}"/>
    <cellStyle name="Notas 31" xfId="148" xr:uid="{00000000-0005-0000-0000-000086070000}"/>
    <cellStyle name="Notas 31 10" xfId="1801" xr:uid="{00000000-0005-0000-0000-000087070000}"/>
    <cellStyle name="Notas 31 11" xfId="1958" xr:uid="{00000000-0005-0000-0000-000088070000}"/>
    <cellStyle name="Notas 31 12" xfId="2105" xr:uid="{00000000-0005-0000-0000-000089070000}"/>
    <cellStyle name="Notas 31 13" xfId="2246" xr:uid="{00000000-0005-0000-0000-00008A070000}"/>
    <cellStyle name="Notas 31 14" xfId="2395" xr:uid="{00000000-0005-0000-0000-00008B070000}"/>
    <cellStyle name="Notas 31 15" xfId="2544" xr:uid="{00000000-0005-0000-0000-00008C070000}"/>
    <cellStyle name="Notas 31 2" xfId="465" xr:uid="{00000000-0005-0000-0000-00008D070000}"/>
    <cellStyle name="Notas 31 3" xfId="628" xr:uid="{00000000-0005-0000-0000-00008E070000}"/>
    <cellStyle name="Notas 31 4" xfId="774" xr:uid="{00000000-0005-0000-0000-00008F070000}"/>
    <cellStyle name="Notas 31 5" xfId="919" xr:uid="{00000000-0005-0000-0000-000090070000}"/>
    <cellStyle name="Notas 31 6" xfId="1097" xr:uid="{00000000-0005-0000-0000-000091070000}"/>
    <cellStyle name="Notas 31 7" xfId="1263" xr:uid="{00000000-0005-0000-0000-000092070000}"/>
    <cellStyle name="Notas 31 8" xfId="1452" xr:uid="{00000000-0005-0000-0000-000093070000}"/>
    <cellStyle name="Notas 31 9" xfId="1631" xr:uid="{00000000-0005-0000-0000-000094070000}"/>
    <cellStyle name="Notas 32" xfId="466" xr:uid="{00000000-0005-0000-0000-000095070000}"/>
    <cellStyle name="Notas 32 10" xfId="1959" xr:uid="{00000000-0005-0000-0000-000096070000}"/>
    <cellStyle name="Notas 32 11" xfId="2106" xr:uid="{00000000-0005-0000-0000-000097070000}"/>
    <cellStyle name="Notas 32 12" xfId="2247" xr:uid="{00000000-0005-0000-0000-000098070000}"/>
    <cellStyle name="Notas 32 13" xfId="2396" xr:uid="{00000000-0005-0000-0000-000099070000}"/>
    <cellStyle name="Notas 32 14" xfId="2545" xr:uid="{00000000-0005-0000-0000-00009A070000}"/>
    <cellStyle name="Notas 32 2" xfId="629" xr:uid="{00000000-0005-0000-0000-00009B070000}"/>
    <cellStyle name="Notas 32 3" xfId="775" xr:uid="{00000000-0005-0000-0000-00009C070000}"/>
    <cellStyle name="Notas 32 4" xfId="920" xr:uid="{00000000-0005-0000-0000-00009D070000}"/>
    <cellStyle name="Notas 32 5" xfId="1098" xr:uid="{00000000-0005-0000-0000-00009E070000}"/>
    <cellStyle name="Notas 32 6" xfId="1264" xr:uid="{00000000-0005-0000-0000-00009F070000}"/>
    <cellStyle name="Notas 32 7" xfId="1453" xr:uid="{00000000-0005-0000-0000-0000A0070000}"/>
    <cellStyle name="Notas 32 8" xfId="1632" xr:uid="{00000000-0005-0000-0000-0000A1070000}"/>
    <cellStyle name="Notas 32 9" xfId="1802" xr:uid="{00000000-0005-0000-0000-0000A2070000}"/>
    <cellStyle name="Notas 33" xfId="467" xr:uid="{00000000-0005-0000-0000-0000A3070000}"/>
    <cellStyle name="Notas 33 10" xfId="1960" xr:uid="{00000000-0005-0000-0000-0000A4070000}"/>
    <cellStyle name="Notas 33 11" xfId="2107" xr:uid="{00000000-0005-0000-0000-0000A5070000}"/>
    <cellStyle name="Notas 33 12" xfId="2248" xr:uid="{00000000-0005-0000-0000-0000A6070000}"/>
    <cellStyle name="Notas 33 13" xfId="2397" xr:uid="{00000000-0005-0000-0000-0000A7070000}"/>
    <cellStyle name="Notas 33 14" xfId="2546" xr:uid="{00000000-0005-0000-0000-0000A8070000}"/>
    <cellStyle name="Notas 33 2" xfId="630" xr:uid="{00000000-0005-0000-0000-0000A9070000}"/>
    <cellStyle name="Notas 33 3" xfId="776" xr:uid="{00000000-0005-0000-0000-0000AA070000}"/>
    <cellStyle name="Notas 33 4" xfId="921" xr:uid="{00000000-0005-0000-0000-0000AB070000}"/>
    <cellStyle name="Notas 33 5" xfId="1099" xr:uid="{00000000-0005-0000-0000-0000AC070000}"/>
    <cellStyle name="Notas 33 6" xfId="1265" xr:uid="{00000000-0005-0000-0000-0000AD070000}"/>
    <cellStyle name="Notas 33 7" xfId="1454" xr:uid="{00000000-0005-0000-0000-0000AE070000}"/>
    <cellStyle name="Notas 33 8" xfId="1633" xr:uid="{00000000-0005-0000-0000-0000AF070000}"/>
    <cellStyle name="Notas 33 9" xfId="1803" xr:uid="{00000000-0005-0000-0000-0000B0070000}"/>
    <cellStyle name="Notas 34" xfId="468" xr:uid="{00000000-0005-0000-0000-0000B1070000}"/>
    <cellStyle name="Notas 34 10" xfId="1961" xr:uid="{00000000-0005-0000-0000-0000B2070000}"/>
    <cellStyle name="Notas 34 11" xfId="2108" xr:uid="{00000000-0005-0000-0000-0000B3070000}"/>
    <cellStyle name="Notas 34 12" xfId="2249" xr:uid="{00000000-0005-0000-0000-0000B4070000}"/>
    <cellStyle name="Notas 34 13" xfId="2398" xr:uid="{00000000-0005-0000-0000-0000B5070000}"/>
    <cellStyle name="Notas 34 14" xfId="2547" xr:uid="{00000000-0005-0000-0000-0000B6070000}"/>
    <cellStyle name="Notas 34 2" xfId="631" xr:uid="{00000000-0005-0000-0000-0000B7070000}"/>
    <cellStyle name="Notas 34 3" xfId="777" xr:uid="{00000000-0005-0000-0000-0000B8070000}"/>
    <cellStyle name="Notas 34 4" xfId="922" xr:uid="{00000000-0005-0000-0000-0000B9070000}"/>
    <cellStyle name="Notas 34 5" xfId="1100" xr:uid="{00000000-0005-0000-0000-0000BA070000}"/>
    <cellStyle name="Notas 34 6" xfId="1266" xr:uid="{00000000-0005-0000-0000-0000BB070000}"/>
    <cellStyle name="Notas 34 7" xfId="1455" xr:uid="{00000000-0005-0000-0000-0000BC070000}"/>
    <cellStyle name="Notas 34 8" xfId="1634" xr:uid="{00000000-0005-0000-0000-0000BD070000}"/>
    <cellStyle name="Notas 34 9" xfId="1804" xr:uid="{00000000-0005-0000-0000-0000BE070000}"/>
    <cellStyle name="Notas 35" xfId="469" xr:uid="{00000000-0005-0000-0000-0000BF070000}"/>
    <cellStyle name="Notas 35 10" xfId="1962" xr:uid="{00000000-0005-0000-0000-0000C0070000}"/>
    <cellStyle name="Notas 35 11" xfId="2109" xr:uid="{00000000-0005-0000-0000-0000C1070000}"/>
    <cellStyle name="Notas 35 12" xfId="2250" xr:uid="{00000000-0005-0000-0000-0000C2070000}"/>
    <cellStyle name="Notas 35 13" xfId="2399" xr:uid="{00000000-0005-0000-0000-0000C3070000}"/>
    <cellStyle name="Notas 35 14" xfId="2548" xr:uid="{00000000-0005-0000-0000-0000C4070000}"/>
    <cellStyle name="Notas 35 2" xfId="632" xr:uid="{00000000-0005-0000-0000-0000C5070000}"/>
    <cellStyle name="Notas 35 3" xfId="778" xr:uid="{00000000-0005-0000-0000-0000C6070000}"/>
    <cellStyle name="Notas 35 4" xfId="923" xr:uid="{00000000-0005-0000-0000-0000C7070000}"/>
    <cellStyle name="Notas 35 5" xfId="1101" xr:uid="{00000000-0005-0000-0000-0000C8070000}"/>
    <cellStyle name="Notas 35 6" xfId="1267" xr:uid="{00000000-0005-0000-0000-0000C9070000}"/>
    <cellStyle name="Notas 35 7" xfId="1456" xr:uid="{00000000-0005-0000-0000-0000CA070000}"/>
    <cellStyle name="Notas 35 8" xfId="1635" xr:uid="{00000000-0005-0000-0000-0000CB070000}"/>
    <cellStyle name="Notas 35 9" xfId="1805" xr:uid="{00000000-0005-0000-0000-0000CC070000}"/>
    <cellStyle name="Notas 36" xfId="470" xr:uid="{00000000-0005-0000-0000-0000CD070000}"/>
    <cellStyle name="Notas 36 10" xfId="1963" xr:uid="{00000000-0005-0000-0000-0000CE070000}"/>
    <cellStyle name="Notas 36 11" xfId="2110" xr:uid="{00000000-0005-0000-0000-0000CF070000}"/>
    <cellStyle name="Notas 36 12" xfId="2251" xr:uid="{00000000-0005-0000-0000-0000D0070000}"/>
    <cellStyle name="Notas 36 13" xfId="2400" xr:uid="{00000000-0005-0000-0000-0000D1070000}"/>
    <cellStyle name="Notas 36 14" xfId="2549" xr:uid="{00000000-0005-0000-0000-0000D2070000}"/>
    <cellStyle name="Notas 36 2" xfId="633" xr:uid="{00000000-0005-0000-0000-0000D3070000}"/>
    <cellStyle name="Notas 36 3" xfId="779" xr:uid="{00000000-0005-0000-0000-0000D4070000}"/>
    <cellStyle name="Notas 36 4" xfId="924" xr:uid="{00000000-0005-0000-0000-0000D5070000}"/>
    <cellStyle name="Notas 36 5" xfId="1102" xr:uid="{00000000-0005-0000-0000-0000D6070000}"/>
    <cellStyle name="Notas 36 6" xfId="1268" xr:uid="{00000000-0005-0000-0000-0000D7070000}"/>
    <cellStyle name="Notas 36 7" xfId="1457" xr:uid="{00000000-0005-0000-0000-0000D8070000}"/>
    <cellStyle name="Notas 36 8" xfId="1636" xr:uid="{00000000-0005-0000-0000-0000D9070000}"/>
    <cellStyle name="Notas 36 9" xfId="1806" xr:uid="{00000000-0005-0000-0000-0000DA070000}"/>
    <cellStyle name="Notas 37" xfId="471" xr:uid="{00000000-0005-0000-0000-0000DB070000}"/>
    <cellStyle name="Notas 37 10" xfId="1964" xr:uid="{00000000-0005-0000-0000-0000DC070000}"/>
    <cellStyle name="Notas 37 11" xfId="2111" xr:uid="{00000000-0005-0000-0000-0000DD070000}"/>
    <cellStyle name="Notas 37 12" xfId="2252" xr:uid="{00000000-0005-0000-0000-0000DE070000}"/>
    <cellStyle name="Notas 37 13" xfId="2401" xr:uid="{00000000-0005-0000-0000-0000DF070000}"/>
    <cellStyle name="Notas 37 14" xfId="2550" xr:uid="{00000000-0005-0000-0000-0000E0070000}"/>
    <cellStyle name="Notas 37 2" xfId="634" xr:uid="{00000000-0005-0000-0000-0000E1070000}"/>
    <cellStyle name="Notas 37 3" xfId="780" xr:uid="{00000000-0005-0000-0000-0000E2070000}"/>
    <cellStyle name="Notas 37 4" xfId="925" xr:uid="{00000000-0005-0000-0000-0000E3070000}"/>
    <cellStyle name="Notas 37 5" xfId="1103" xr:uid="{00000000-0005-0000-0000-0000E4070000}"/>
    <cellStyle name="Notas 37 6" xfId="1269" xr:uid="{00000000-0005-0000-0000-0000E5070000}"/>
    <cellStyle name="Notas 37 7" xfId="1458" xr:uid="{00000000-0005-0000-0000-0000E6070000}"/>
    <cellStyle name="Notas 37 8" xfId="1637" xr:uid="{00000000-0005-0000-0000-0000E7070000}"/>
    <cellStyle name="Notas 37 9" xfId="1807" xr:uid="{00000000-0005-0000-0000-0000E8070000}"/>
    <cellStyle name="Notas 38" xfId="472" xr:uid="{00000000-0005-0000-0000-0000E9070000}"/>
    <cellStyle name="Notas 38 10" xfId="1965" xr:uid="{00000000-0005-0000-0000-0000EA070000}"/>
    <cellStyle name="Notas 38 11" xfId="2112" xr:uid="{00000000-0005-0000-0000-0000EB070000}"/>
    <cellStyle name="Notas 38 12" xfId="2253" xr:uid="{00000000-0005-0000-0000-0000EC070000}"/>
    <cellStyle name="Notas 38 13" xfId="2402" xr:uid="{00000000-0005-0000-0000-0000ED070000}"/>
    <cellStyle name="Notas 38 14" xfId="2551" xr:uid="{00000000-0005-0000-0000-0000EE070000}"/>
    <cellStyle name="Notas 38 2" xfId="635" xr:uid="{00000000-0005-0000-0000-0000EF070000}"/>
    <cellStyle name="Notas 38 3" xfId="781" xr:uid="{00000000-0005-0000-0000-0000F0070000}"/>
    <cellStyle name="Notas 38 4" xfId="926" xr:uid="{00000000-0005-0000-0000-0000F1070000}"/>
    <cellStyle name="Notas 38 5" xfId="1104" xr:uid="{00000000-0005-0000-0000-0000F2070000}"/>
    <cellStyle name="Notas 38 6" xfId="1270" xr:uid="{00000000-0005-0000-0000-0000F3070000}"/>
    <cellStyle name="Notas 38 7" xfId="1459" xr:uid="{00000000-0005-0000-0000-0000F4070000}"/>
    <cellStyle name="Notas 38 8" xfId="1638" xr:uid="{00000000-0005-0000-0000-0000F5070000}"/>
    <cellStyle name="Notas 38 9" xfId="1808" xr:uid="{00000000-0005-0000-0000-0000F6070000}"/>
    <cellStyle name="Notas 39" xfId="473" xr:uid="{00000000-0005-0000-0000-0000F7070000}"/>
    <cellStyle name="Notas 39 10" xfId="1966" xr:uid="{00000000-0005-0000-0000-0000F8070000}"/>
    <cellStyle name="Notas 39 11" xfId="2113" xr:uid="{00000000-0005-0000-0000-0000F9070000}"/>
    <cellStyle name="Notas 39 12" xfId="2254" xr:uid="{00000000-0005-0000-0000-0000FA070000}"/>
    <cellStyle name="Notas 39 13" xfId="2403" xr:uid="{00000000-0005-0000-0000-0000FB070000}"/>
    <cellStyle name="Notas 39 14" xfId="2552" xr:uid="{00000000-0005-0000-0000-0000FC070000}"/>
    <cellStyle name="Notas 39 2" xfId="636" xr:uid="{00000000-0005-0000-0000-0000FD070000}"/>
    <cellStyle name="Notas 39 3" xfId="782" xr:uid="{00000000-0005-0000-0000-0000FE070000}"/>
    <cellStyle name="Notas 39 4" xfId="927" xr:uid="{00000000-0005-0000-0000-0000FF070000}"/>
    <cellStyle name="Notas 39 5" xfId="1105" xr:uid="{00000000-0005-0000-0000-000000080000}"/>
    <cellStyle name="Notas 39 6" xfId="1271" xr:uid="{00000000-0005-0000-0000-000001080000}"/>
    <cellStyle name="Notas 39 7" xfId="1460" xr:uid="{00000000-0005-0000-0000-000002080000}"/>
    <cellStyle name="Notas 39 8" xfId="1639" xr:uid="{00000000-0005-0000-0000-000003080000}"/>
    <cellStyle name="Notas 39 9" xfId="1809" xr:uid="{00000000-0005-0000-0000-000004080000}"/>
    <cellStyle name="Notas 4" xfId="62" xr:uid="{00000000-0005-0000-0000-000005080000}"/>
    <cellStyle name="Notas 4 10" xfId="474" xr:uid="{00000000-0005-0000-0000-000006080000}"/>
    <cellStyle name="Notas 4 11" xfId="637" xr:uid="{00000000-0005-0000-0000-000007080000}"/>
    <cellStyle name="Notas 4 12" xfId="783" xr:uid="{00000000-0005-0000-0000-000008080000}"/>
    <cellStyle name="Notas 4 13" xfId="928" xr:uid="{00000000-0005-0000-0000-000009080000}"/>
    <cellStyle name="Notas 4 14" xfId="1106" xr:uid="{00000000-0005-0000-0000-00000A080000}"/>
    <cellStyle name="Notas 4 15" xfId="1272" xr:uid="{00000000-0005-0000-0000-00000B080000}"/>
    <cellStyle name="Notas 4 16" xfId="1461" xr:uid="{00000000-0005-0000-0000-00000C080000}"/>
    <cellStyle name="Notas 4 17" xfId="1640" xr:uid="{00000000-0005-0000-0000-00000D080000}"/>
    <cellStyle name="Notas 4 18" xfId="1810" xr:uid="{00000000-0005-0000-0000-00000E080000}"/>
    <cellStyle name="Notas 4 19" xfId="1967" xr:uid="{00000000-0005-0000-0000-00000F080000}"/>
    <cellStyle name="Notas 4 2" xfId="110" xr:uid="{00000000-0005-0000-0000-000010080000}"/>
    <cellStyle name="Notas 4 2 10" xfId="1811" xr:uid="{00000000-0005-0000-0000-000011080000}"/>
    <cellStyle name="Notas 4 2 11" xfId="1968" xr:uid="{00000000-0005-0000-0000-000012080000}"/>
    <cellStyle name="Notas 4 2 12" xfId="2115" xr:uid="{00000000-0005-0000-0000-000013080000}"/>
    <cellStyle name="Notas 4 2 13" xfId="2256" xr:uid="{00000000-0005-0000-0000-000014080000}"/>
    <cellStyle name="Notas 4 2 14" xfId="2405" xr:uid="{00000000-0005-0000-0000-000015080000}"/>
    <cellStyle name="Notas 4 2 15" xfId="2554" xr:uid="{00000000-0005-0000-0000-000016080000}"/>
    <cellStyle name="Notas 4 2 2" xfId="475" xr:uid="{00000000-0005-0000-0000-000017080000}"/>
    <cellStyle name="Notas 4 2 3" xfId="638" xr:uid="{00000000-0005-0000-0000-000018080000}"/>
    <cellStyle name="Notas 4 2 4" xfId="784" xr:uid="{00000000-0005-0000-0000-000019080000}"/>
    <cellStyle name="Notas 4 2 5" xfId="929" xr:uid="{00000000-0005-0000-0000-00001A080000}"/>
    <cellStyle name="Notas 4 2 6" xfId="1107" xr:uid="{00000000-0005-0000-0000-00001B080000}"/>
    <cellStyle name="Notas 4 2 7" xfId="1273" xr:uid="{00000000-0005-0000-0000-00001C080000}"/>
    <cellStyle name="Notas 4 2 8" xfId="1462" xr:uid="{00000000-0005-0000-0000-00001D080000}"/>
    <cellStyle name="Notas 4 2 9" xfId="1641" xr:uid="{00000000-0005-0000-0000-00001E080000}"/>
    <cellStyle name="Notas 4 20" xfId="2114" xr:uid="{00000000-0005-0000-0000-00001F080000}"/>
    <cellStyle name="Notas 4 21" xfId="2255" xr:uid="{00000000-0005-0000-0000-000020080000}"/>
    <cellStyle name="Notas 4 22" xfId="2404" xr:uid="{00000000-0005-0000-0000-000021080000}"/>
    <cellStyle name="Notas 4 23" xfId="2553" xr:uid="{00000000-0005-0000-0000-000022080000}"/>
    <cellStyle name="Notas 4 3" xfId="166" xr:uid="{00000000-0005-0000-0000-000023080000}"/>
    <cellStyle name="Notas 4 3 10" xfId="1812" xr:uid="{00000000-0005-0000-0000-000024080000}"/>
    <cellStyle name="Notas 4 3 11" xfId="1969" xr:uid="{00000000-0005-0000-0000-000025080000}"/>
    <cellStyle name="Notas 4 3 12" xfId="2116" xr:uid="{00000000-0005-0000-0000-000026080000}"/>
    <cellStyle name="Notas 4 3 13" xfId="2257" xr:uid="{00000000-0005-0000-0000-000027080000}"/>
    <cellStyle name="Notas 4 3 14" xfId="2406" xr:uid="{00000000-0005-0000-0000-000028080000}"/>
    <cellStyle name="Notas 4 3 15" xfId="2555" xr:uid="{00000000-0005-0000-0000-000029080000}"/>
    <cellStyle name="Notas 4 3 2" xfId="476" xr:uid="{00000000-0005-0000-0000-00002A080000}"/>
    <cellStyle name="Notas 4 3 3" xfId="639" xr:uid="{00000000-0005-0000-0000-00002B080000}"/>
    <cellStyle name="Notas 4 3 4" xfId="785" xr:uid="{00000000-0005-0000-0000-00002C080000}"/>
    <cellStyle name="Notas 4 3 5" xfId="930" xr:uid="{00000000-0005-0000-0000-00002D080000}"/>
    <cellStyle name="Notas 4 3 6" xfId="1108" xr:uid="{00000000-0005-0000-0000-00002E080000}"/>
    <cellStyle name="Notas 4 3 7" xfId="1274" xr:uid="{00000000-0005-0000-0000-00002F080000}"/>
    <cellStyle name="Notas 4 3 8" xfId="1463" xr:uid="{00000000-0005-0000-0000-000030080000}"/>
    <cellStyle name="Notas 4 3 9" xfId="1642" xr:uid="{00000000-0005-0000-0000-000031080000}"/>
    <cellStyle name="Notas 4 4" xfId="196" xr:uid="{00000000-0005-0000-0000-000032080000}"/>
    <cellStyle name="Notas 4 5" xfId="219" xr:uid="{00000000-0005-0000-0000-000033080000}"/>
    <cellStyle name="Notas 4 6" xfId="236" xr:uid="{00000000-0005-0000-0000-000034080000}"/>
    <cellStyle name="Notas 4 7" xfId="273" xr:uid="{00000000-0005-0000-0000-000035080000}"/>
    <cellStyle name="Notas 4 8" xfId="301" xr:uid="{00000000-0005-0000-0000-000036080000}"/>
    <cellStyle name="Notas 4 9" xfId="325" xr:uid="{00000000-0005-0000-0000-000037080000}"/>
    <cellStyle name="Notas 40" xfId="477" xr:uid="{00000000-0005-0000-0000-000038080000}"/>
    <cellStyle name="Notas 40 10" xfId="1970" xr:uid="{00000000-0005-0000-0000-000039080000}"/>
    <cellStyle name="Notas 40 11" xfId="2117" xr:uid="{00000000-0005-0000-0000-00003A080000}"/>
    <cellStyle name="Notas 40 12" xfId="2258" xr:uid="{00000000-0005-0000-0000-00003B080000}"/>
    <cellStyle name="Notas 40 13" xfId="2407" xr:uid="{00000000-0005-0000-0000-00003C080000}"/>
    <cellStyle name="Notas 40 14" xfId="2556" xr:uid="{00000000-0005-0000-0000-00003D080000}"/>
    <cellStyle name="Notas 40 2" xfId="640" xr:uid="{00000000-0005-0000-0000-00003E080000}"/>
    <cellStyle name="Notas 40 3" xfId="786" xr:uid="{00000000-0005-0000-0000-00003F080000}"/>
    <cellStyle name="Notas 40 4" xfId="931" xr:uid="{00000000-0005-0000-0000-000040080000}"/>
    <cellStyle name="Notas 40 5" xfId="1109" xr:uid="{00000000-0005-0000-0000-000041080000}"/>
    <cellStyle name="Notas 40 6" xfId="1275" xr:uid="{00000000-0005-0000-0000-000042080000}"/>
    <cellStyle name="Notas 40 7" xfId="1464" xr:uid="{00000000-0005-0000-0000-000043080000}"/>
    <cellStyle name="Notas 40 8" xfId="1643" xr:uid="{00000000-0005-0000-0000-000044080000}"/>
    <cellStyle name="Notas 40 9" xfId="1813" xr:uid="{00000000-0005-0000-0000-000045080000}"/>
    <cellStyle name="Notas 41" xfId="478" xr:uid="{00000000-0005-0000-0000-000046080000}"/>
    <cellStyle name="Notas 41 10" xfId="1971" xr:uid="{00000000-0005-0000-0000-000047080000}"/>
    <cellStyle name="Notas 41 11" xfId="2118" xr:uid="{00000000-0005-0000-0000-000048080000}"/>
    <cellStyle name="Notas 41 12" xfId="2259" xr:uid="{00000000-0005-0000-0000-000049080000}"/>
    <cellStyle name="Notas 41 13" xfId="2408" xr:uid="{00000000-0005-0000-0000-00004A080000}"/>
    <cellStyle name="Notas 41 14" xfId="2557" xr:uid="{00000000-0005-0000-0000-00004B080000}"/>
    <cellStyle name="Notas 41 2" xfId="641" xr:uid="{00000000-0005-0000-0000-00004C080000}"/>
    <cellStyle name="Notas 41 3" xfId="787" xr:uid="{00000000-0005-0000-0000-00004D080000}"/>
    <cellStyle name="Notas 41 4" xfId="932" xr:uid="{00000000-0005-0000-0000-00004E080000}"/>
    <cellStyle name="Notas 41 5" xfId="1110" xr:uid="{00000000-0005-0000-0000-00004F080000}"/>
    <cellStyle name="Notas 41 6" xfId="1276" xr:uid="{00000000-0005-0000-0000-000050080000}"/>
    <cellStyle name="Notas 41 7" xfId="1465" xr:uid="{00000000-0005-0000-0000-000051080000}"/>
    <cellStyle name="Notas 41 8" xfId="1644" xr:uid="{00000000-0005-0000-0000-000052080000}"/>
    <cellStyle name="Notas 41 9" xfId="1814" xr:uid="{00000000-0005-0000-0000-000053080000}"/>
    <cellStyle name="Notas 42" xfId="479" xr:uid="{00000000-0005-0000-0000-000054080000}"/>
    <cellStyle name="Notas 42 10" xfId="1972" xr:uid="{00000000-0005-0000-0000-000055080000}"/>
    <cellStyle name="Notas 42 11" xfId="2119" xr:uid="{00000000-0005-0000-0000-000056080000}"/>
    <cellStyle name="Notas 42 12" xfId="2260" xr:uid="{00000000-0005-0000-0000-000057080000}"/>
    <cellStyle name="Notas 42 13" xfId="2409" xr:uid="{00000000-0005-0000-0000-000058080000}"/>
    <cellStyle name="Notas 42 14" xfId="2558" xr:uid="{00000000-0005-0000-0000-000059080000}"/>
    <cellStyle name="Notas 42 2" xfId="642" xr:uid="{00000000-0005-0000-0000-00005A080000}"/>
    <cellStyle name="Notas 42 3" xfId="788" xr:uid="{00000000-0005-0000-0000-00005B080000}"/>
    <cellStyle name="Notas 42 4" xfId="933" xr:uid="{00000000-0005-0000-0000-00005C080000}"/>
    <cellStyle name="Notas 42 5" xfId="1111" xr:uid="{00000000-0005-0000-0000-00005D080000}"/>
    <cellStyle name="Notas 42 6" xfId="1277" xr:uid="{00000000-0005-0000-0000-00005E080000}"/>
    <cellStyle name="Notas 42 7" xfId="1466" xr:uid="{00000000-0005-0000-0000-00005F080000}"/>
    <cellStyle name="Notas 42 8" xfId="1645" xr:uid="{00000000-0005-0000-0000-000060080000}"/>
    <cellStyle name="Notas 42 9" xfId="1815" xr:uid="{00000000-0005-0000-0000-000061080000}"/>
    <cellStyle name="Notas 43" xfId="643" xr:uid="{00000000-0005-0000-0000-000062080000}"/>
    <cellStyle name="Notas 43 10" xfId="2261" xr:uid="{00000000-0005-0000-0000-000063080000}"/>
    <cellStyle name="Notas 43 11" xfId="2410" xr:uid="{00000000-0005-0000-0000-000064080000}"/>
    <cellStyle name="Notas 43 12" xfId="2559" xr:uid="{00000000-0005-0000-0000-000065080000}"/>
    <cellStyle name="Notas 43 2" xfId="934" xr:uid="{00000000-0005-0000-0000-000066080000}"/>
    <cellStyle name="Notas 43 3" xfId="1112" xr:uid="{00000000-0005-0000-0000-000067080000}"/>
    <cellStyle name="Notas 43 4" xfId="1278" xr:uid="{00000000-0005-0000-0000-000068080000}"/>
    <cellStyle name="Notas 43 5" xfId="1467" xr:uid="{00000000-0005-0000-0000-000069080000}"/>
    <cellStyle name="Notas 43 6" xfId="1646" xr:uid="{00000000-0005-0000-0000-00006A080000}"/>
    <cellStyle name="Notas 43 7" xfId="1816" xr:uid="{00000000-0005-0000-0000-00006B080000}"/>
    <cellStyle name="Notas 43 8" xfId="1973" xr:uid="{00000000-0005-0000-0000-00006C080000}"/>
    <cellStyle name="Notas 43 9" xfId="2120" xr:uid="{00000000-0005-0000-0000-00006D080000}"/>
    <cellStyle name="Notas 44" xfId="644" xr:uid="{00000000-0005-0000-0000-00006E080000}"/>
    <cellStyle name="Notas 44 10" xfId="2262" xr:uid="{00000000-0005-0000-0000-00006F080000}"/>
    <cellStyle name="Notas 44 11" xfId="2411" xr:uid="{00000000-0005-0000-0000-000070080000}"/>
    <cellStyle name="Notas 44 12" xfId="2560" xr:uid="{00000000-0005-0000-0000-000071080000}"/>
    <cellStyle name="Notas 44 2" xfId="935" xr:uid="{00000000-0005-0000-0000-000072080000}"/>
    <cellStyle name="Notas 44 3" xfId="1113" xr:uid="{00000000-0005-0000-0000-000073080000}"/>
    <cellStyle name="Notas 44 4" xfId="1279" xr:uid="{00000000-0005-0000-0000-000074080000}"/>
    <cellStyle name="Notas 44 5" xfId="1468" xr:uid="{00000000-0005-0000-0000-000075080000}"/>
    <cellStyle name="Notas 44 6" xfId="1647" xr:uid="{00000000-0005-0000-0000-000076080000}"/>
    <cellStyle name="Notas 44 7" xfId="1817" xr:uid="{00000000-0005-0000-0000-000077080000}"/>
    <cellStyle name="Notas 44 8" xfId="1974" xr:uid="{00000000-0005-0000-0000-000078080000}"/>
    <cellStyle name="Notas 44 9" xfId="2121" xr:uid="{00000000-0005-0000-0000-000079080000}"/>
    <cellStyle name="Notas 45" xfId="645" xr:uid="{00000000-0005-0000-0000-00007A080000}"/>
    <cellStyle name="Notas 45 10" xfId="2263" xr:uid="{00000000-0005-0000-0000-00007B080000}"/>
    <cellStyle name="Notas 45 11" xfId="2412" xr:uid="{00000000-0005-0000-0000-00007C080000}"/>
    <cellStyle name="Notas 45 12" xfId="2561" xr:uid="{00000000-0005-0000-0000-00007D080000}"/>
    <cellStyle name="Notas 45 2" xfId="936" xr:uid="{00000000-0005-0000-0000-00007E080000}"/>
    <cellStyle name="Notas 45 3" xfId="1114" xr:uid="{00000000-0005-0000-0000-00007F080000}"/>
    <cellStyle name="Notas 45 4" xfId="1280" xr:uid="{00000000-0005-0000-0000-000080080000}"/>
    <cellStyle name="Notas 45 5" xfId="1469" xr:uid="{00000000-0005-0000-0000-000081080000}"/>
    <cellStyle name="Notas 45 6" xfId="1648" xr:uid="{00000000-0005-0000-0000-000082080000}"/>
    <cellStyle name="Notas 45 7" xfId="1818" xr:uid="{00000000-0005-0000-0000-000083080000}"/>
    <cellStyle name="Notas 45 8" xfId="1975" xr:uid="{00000000-0005-0000-0000-000084080000}"/>
    <cellStyle name="Notas 45 9" xfId="2122" xr:uid="{00000000-0005-0000-0000-000085080000}"/>
    <cellStyle name="Notas 46" xfId="646" xr:uid="{00000000-0005-0000-0000-000086080000}"/>
    <cellStyle name="Notas 46 10" xfId="2264" xr:uid="{00000000-0005-0000-0000-000087080000}"/>
    <cellStyle name="Notas 46 11" xfId="2413" xr:uid="{00000000-0005-0000-0000-000088080000}"/>
    <cellStyle name="Notas 46 12" xfId="2562" xr:uid="{00000000-0005-0000-0000-000089080000}"/>
    <cellStyle name="Notas 46 2" xfId="937" xr:uid="{00000000-0005-0000-0000-00008A080000}"/>
    <cellStyle name="Notas 46 3" xfId="1115" xr:uid="{00000000-0005-0000-0000-00008B080000}"/>
    <cellStyle name="Notas 46 4" xfId="1281" xr:uid="{00000000-0005-0000-0000-00008C080000}"/>
    <cellStyle name="Notas 46 5" xfId="1470" xr:uid="{00000000-0005-0000-0000-00008D080000}"/>
    <cellStyle name="Notas 46 6" xfId="1649" xr:uid="{00000000-0005-0000-0000-00008E080000}"/>
    <cellStyle name="Notas 46 7" xfId="1819" xr:uid="{00000000-0005-0000-0000-00008F080000}"/>
    <cellStyle name="Notas 46 8" xfId="1976" xr:uid="{00000000-0005-0000-0000-000090080000}"/>
    <cellStyle name="Notas 46 9" xfId="2123" xr:uid="{00000000-0005-0000-0000-000091080000}"/>
    <cellStyle name="Notas 47" xfId="647" xr:uid="{00000000-0005-0000-0000-000092080000}"/>
    <cellStyle name="Notas 47 10" xfId="2265" xr:uid="{00000000-0005-0000-0000-000093080000}"/>
    <cellStyle name="Notas 47 11" xfId="2414" xr:uid="{00000000-0005-0000-0000-000094080000}"/>
    <cellStyle name="Notas 47 12" xfId="2563" xr:uid="{00000000-0005-0000-0000-000095080000}"/>
    <cellStyle name="Notas 47 2" xfId="938" xr:uid="{00000000-0005-0000-0000-000096080000}"/>
    <cellStyle name="Notas 47 3" xfId="1116" xr:uid="{00000000-0005-0000-0000-000097080000}"/>
    <cellStyle name="Notas 47 4" xfId="1282" xr:uid="{00000000-0005-0000-0000-000098080000}"/>
    <cellStyle name="Notas 47 5" xfId="1471" xr:uid="{00000000-0005-0000-0000-000099080000}"/>
    <cellStyle name="Notas 47 6" xfId="1650" xr:uid="{00000000-0005-0000-0000-00009A080000}"/>
    <cellStyle name="Notas 47 7" xfId="1820" xr:uid="{00000000-0005-0000-0000-00009B080000}"/>
    <cellStyle name="Notas 47 8" xfId="1977" xr:uid="{00000000-0005-0000-0000-00009C080000}"/>
    <cellStyle name="Notas 47 9" xfId="2124" xr:uid="{00000000-0005-0000-0000-00009D080000}"/>
    <cellStyle name="Notas 48" xfId="648" xr:uid="{00000000-0005-0000-0000-00009E080000}"/>
    <cellStyle name="Notas 48 10" xfId="2266" xr:uid="{00000000-0005-0000-0000-00009F080000}"/>
    <cellStyle name="Notas 48 11" xfId="2415" xr:uid="{00000000-0005-0000-0000-0000A0080000}"/>
    <cellStyle name="Notas 48 12" xfId="2564" xr:uid="{00000000-0005-0000-0000-0000A1080000}"/>
    <cellStyle name="Notas 48 2" xfId="939" xr:uid="{00000000-0005-0000-0000-0000A2080000}"/>
    <cellStyle name="Notas 48 3" xfId="1117" xr:uid="{00000000-0005-0000-0000-0000A3080000}"/>
    <cellStyle name="Notas 48 4" xfId="1283" xr:uid="{00000000-0005-0000-0000-0000A4080000}"/>
    <cellStyle name="Notas 48 5" xfId="1472" xr:uid="{00000000-0005-0000-0000-0000A5080000}"/>
    <cellStyle name="Notas 48 6" xfId="1651" xr:uid="{00000000-0005-0000-0000-0000A6080000}"/>
    <cellStyle name="Notas 48 7" xfId="1821" xr:uid="{00000000-0005-0000-0000-0000A7080000}"/>
    <cellStyle name="Notas 48 8" xfId="1978" xr:uid="{00000000-0005-0000-0000-0000A8080000}"/>
    <cellStyle name="Notas 48 9" xfId="2125" xr:uid="{00000000-0005-0000-0000-0000A9080000}"/>
    <cellStyle name="Notas 49" xfId="649" xr:uid="{00000000-0005-0000-0000-0000AA080000}"/>
    <cellStyle name="Notas 49 2" xfId="940" xr:uid="{00000000-0005-0000-0000-0000AB080000}"/>
    <cellStyle name="Notas 49 3" xfId="1118" xr:uid="{00000000-0005-0000-0000-0000AC080000}"/>
    <cellStyle name="Notas 49 4" xfId="1284" xr:uid="{00000000-0005-0000-0000-0000AD080000}"/>
    <cellStyle name="Notas 49 5" xfId="1473" xr:uid="{00000000-0005-0000-0000-0000AE080000}"/>
    <cellStyle name="Notas 49 6" xfId="1652" xr:uid="{00000000-0005-0000-0000-0000AF080000}"/>
    <cellStyle name="Notas 49 7" xfId="2416" xr:uid="{00000000-0005-0000-0000-0000B0080000}"/>
    <cellStyle name="Notas 49 8" xfId="2565" xr:uid="{00000000-0005-0000-0000-0000B1080000}"/>
    <cellStyle name="Notas 5" xfId="63" xr:uid="{00000000-0005-0000-0000-0000B2080000}"/>
    <cellStyle name="Notas 5 10" xfId="480" xr:uid="{00000000-0005-0000-0000-0000B3080000}"/>
    <cellStyle name="Notas 5 11" xfId="650" xr:uid="{00000000-0005-0000-0000-0000B4080000}"/>
    <cellStyle name="Notas 5 12" xfId="789" xr:uid="{00000000-0005-0000-0000-0000B5080000}"/>
    <cellStyle name="Notas 5 13" xfId="941" xr:uid="{00000000-0005-0000-0000-0000B6080000}"/>
    <cellStyle name="Notas 5 14" xfId="1119" xr:uid="{00000000-0005-0000-0000-0000B7080000}"/>
    <cellStyle name="Notas 5 15" xfId="1285" xr:uid="{00000000-0005-0000-0000-0000B8080000}"/>
    <cellStyle name="Notas 5 16" xfId="1474" xr:uid="{00000000-0005-0000-0000-0000B9080000}"/>
    <cellStyle name="Notas 5 17" xfId="1653" xr:uid="{00000000-0005-0000-0000-0000BA080000}"/>
    <cellStyle name="Notas 5 18" xfId="1822" xr:uid="{00000000-0005-0000-0000-0000BB080000}"/>
    <cellStyle name="Notas 5 19" xfId="1979" xr:uid="{00000000-0005-0000-0000-0000BC080000}"/>
    <cellStyle name="Notas 5 2" xfId="111" xr:uid="{00000000-0005-0000-0000-0000BD080000}"/>
    <cellStyle name="Notas 5 2 10" xfId="1823" xr:uid="{00000000-0005-0000-0000-0000BE080000}"/>
    <cellStyle name="Notas 5 2 11" xfId="1980" xr:uid="{00000000-0005-0000-0000-0000BF080000}"/>
    <cellStyle name="Notas 5 2 12" xfId="2127" xr:uid="{00000000-0005-0000-0000-0000C0080000}"/>
    <cellStyle name="Notas 5 2 13" xfId="2268" xr:uid="{00000000-0005-0000-0000-0000C1080000}"/>
    <cellStyle name="Notas 5 2 14" xfId="2418" xr:uid="{00000000-0005-0000-0000-0000C2080000}"/>
    <cellStyle name="Notas 5 2 15" xfId="2567" xr:uid="{00000000-0005-0000-0000-0000C3080000}"/>
    <cellStyle name="Notas 5 2 2" xfId="481" xr:uid="{00000000-0005-0000-0000-0000C4080000}"/>
    <cellStyle name="Notas 5 2 3" xfId="651" xr:uid="{00000000-0005-0000-0000-0000C5080000}"/>
    <cellStyle name="Notas 5 2 4" xfId="790" xr:uid="{00000000-0005-0000-0000-0000C6080000}"/>
    <cellStyle name="Notas 5 2 5" xfId="942" xr:uid="{00000000-0005-0000-0000-0000C7080000}"/>
    <cellStyle name="Notas 5 2 6" xfId="1120" xr:uid="{00000000-0005-0000-0000-0000C8080000}"/>
    <cellStyle name="Notas 5 2 7" xfId="1286" xr:uid="{00000000-0005-0000-0000-0000C9080000}"/>
    <cellStyle name="Notas 5 2 8" xfId="1475" xr:uid="{00000000-0005-0000-0000-0000CA080000}"/>
    <cellStyle name="Notas 5 2 9" xfId="1654" xr:uid="{00000000-0005-0000-0000-0000CB080000}"/>
    <cellStyle name="Notas 5 20" xfId="2126" xr:uid="{00000000-0005-0000-0000-0000CC080000}"/>
    <cellStyle name="Notas 5 21" xfId="2267" xr:uid="{00000000-0005-0000-0000-0000CD080000}"/>
    <cellStyle name="Notas 5 22" xfId="2417" xr:uid="{00000000-0005-0000-0000-0000CE080000}"/>
    <cellStyle name="Notas 5 23" xfId="2566" xr:uid="{00000000-0005-0000-0000-0000CF080000}"/>
    <cellStyle name="Notas 5 3" xfId="167" xr:uid="{00000000-0005-0000-0000-0000D0080000}"/>
    <cellStyle name="Notas 5 3 10" xfId="1824" xr:uid="{00000000-0005-0000-0000-0000D1080000}"/>
    <cellStyle name="Notas 5 3 11" xfId="1981" xr:uid="{00000000-0005-0000-0000-0000D2080000}"/>
    <cellStyle name="Notas 5 3 12" xfId="2128" xr:uid="{00000000-0005-0000-0000-0000D3080000}"/>
    <cellStyle name="Notas 5 3 13" xfId="2269" xr:uid="{00000000-0005-0000-0000-0000D4080000}"/>
    <cellStyle name="Notas 5 3 14" xfId="2419" xr:uid="{00000000-0005-0000-0000-0000D5080000}"/>
    <cellStyle name="Notas 5 3 15" xfId="2568" xr:uid="{00000000-0005-0000-0000-0000D6080000}"/>
    <cellStyle name="Notas 5 3 2" xfId="482" xr:uid="{00000000-0005-0000-0000-0000D7080000}"/>
    <cellStyle name="Notas 5 3 3" xfId="652" xr:uid="{00000000-0005-0000-0000-0000D8080000}"/>
    <cellStyle name="Notas 5 3 4" xfId="791" xr:uid="{00000000-0005-0000-0000-0000D9080000}"/>
    <cellStyle name="Notas 5 3 5" xfId="943" xr:uid="{00000000-0005-0000-0000-0000DA080000}"/>
    <cellStyle name="Notas 5 3 6" xfId="1121" xr:uid="{00000000-0005-0000-0000-0000DB080000}"/>
    <cellStyle name="Notas 5 3 7" xfId="1287" xr:uid="{00000000-0005-0000-0000-0000DC080000}"/>
    <cellStyle name="Notas 5 3 8" xfId="1476" xr:uid="{00000000-0005-0000-0000-0000DD080000}"/>
    <cellStyle name="Notas 5 3 9" xfId="1655" xr:uid="{00000000-0005-0000-0000-0000DE080000}"/>
    <cellStyle name="Notas 5 4" xfId="197" xr:uid="{00000000-0005-0000-0000-0000DF080000}"/>
    <cellStyle name="Notas 5 5" xfId="220" xr:uid="{00000000-0005-0000-0000-0000E0080000}"/>
    <cellStyle name="Notas 5 6" xfId="237" xr:uid="{00000000-0005-0000-0000-0000E1080000}"/>
    <cellStyle name="Notas 5 7" xfId="274" xr:uid="{00000000-0005-0000-0000-0000E2080000}"/>
    <cellStyle name="Notas 5 8" xfId="302" xr:uid="{00000000-0005-0000-0000-0000E3080000}"/>
    <cellStyle name="Notas 5 9" xfId="326" xr:uid="{00000000-0005-0000-0000-0000E4080000}"/>
    <cellStyle name="Notas 50" xfId="653" xr:uid="{00000000-0005-0000-0000-0000E5080000}"/>
    <cellStyle name="Notas 50 2" xfId="944" xr:uid="{00000000-0005-0000-0000-0000E6080000}"/>
    <cellStyle name="Notas 50 3" xfId="1122" xr:uid="{00000000-0005-0000-0000-0000E7080000}"/>
    <cellStyle name="Notas 50 4" xfId="1288" xr:uid="{00000000-0005-0000-0000-0000E8080000}"/>
    <cellStyle name="Notas 50 5" xfId="1477" xr:uid="{00000000-0005-0000-0000-0000E9080000}"/>
    <cellStyle name="Notas 50 6" xfId="1656" xr:uid="{00000000-0005-0000-0000-0000EA080000}"/>
    <cellStyle name="Notas 50 7" xfId="2420" xr:uid="{00000000-0005-0000-0000-0000EB080000}"/>
    <cellStyle name="Notas 50 8" xfId="2569" xr:uid="{00000000-0005-0000-0000-0000EC080000}"/>
    <cellStyle name="Notas 51" xfId="654" xr:uid="{00000000-0005-0000-0000-0000ED080000}"/>
    <cellStyle name="Notas 51 2" xfId="945" xr:uid="{00000000-0005-0000-0000-0000EE080000}"/>
    <cellStyle name="Notas 51 3" xfId="1123" xr:uid="{00000000-0005-0000-0000-0000EF080000}"/>
    <cellStyle name="Notas 51 4" xfId="1289" xr:uid="{00000000-0005-0000-0000-0000F0080000}"/>
    <cellStyle name="Notas 51 5" xfId="1478" xr:uid="{00000000-0005-0000-0000-0000F1080000}"/>
    <cellStyle name="Notas 51 6" xfId="1657" xr:uid="{00000000-0005-0000-0000-0000F2080000}"/>
    <cellStyle name="Notas 51 7" xfId="2421" xr:uid="{00000000-0005-0000-0000-0000F3080000}"/>
    <cellStyle name="Notas 51 8" xfId="2570" xr:uid="{00000000-0005-0000-0000-0000F4080000}"/>
    <cellStyle name="Notas 52" xfId="946" xr:uid="{00000000-0005-0000-0000-0000F5080000}"/>
    <cellStyle name="Notas 52 2" xfId="1124" xr:uid="{00000000-0005-0000-0000-0000F6080000}"/>
    <cellStyle name="Notas 52 3" xfId="1290" xr:uid="{00000000-0005-0000-0000-0000F7080000}"/>
    <cellStyle name="Notas 52 4" xfId="1479" xr:uid="{00000000-0005-0000-0000-0000F8080000}"/>
    <cellStyle name="Notas 52 5" xfId="1658" xr:uid="{00000000-0005-0000-0000-0000F9080000}"/>
    <cellStyle name="Notas 52 6" xfId="2422" xr:uid="{00000000-0005-0000-0000-0000FA080000}"/>
    <cellStyle name="Notas 52 7" xfId="2571" xr:uid="{00000000-0005-0000-0000-0000FB080000}"/>
    <cellStyle name="Notas 53" xfId="947" xr:uid="{00000000-0005-0000-0000-0000FC080000}"/>
    <cellStyle name="Notas 53 2" xfId="1125" xr:uid="{00000000-0005-0000-0000-0000FD080000}"/>
    <cellStyle name="Notas 53 3" xfId="1291" xr:uid="{00000000-0005-0000-0000-0000FE080000}"/>
    <cellStyle name="Notas 53 4" xfId="1480" xr:uid="{00000000-0005-0000-0000-0000FF080000}"/>
    <cellStyle name="Notas 53 5" xfId="1659" xr:uid="{00000000-0005-0000-0000-000000090000}"/>
    <cellStyle name="Notas 54" xfId="948" xr:uid="{00000000-0005-0000-0000-000001090000}"/>
    <cellStyle name="Notas 54 2" xfId="1126" xr:uid="{00000000-0005-0000-0000-000002090000}"/>
    <cellStyle name="Notas 54 3" xfId="1292" xr:uid="{00000000-0005-0000-0000-000003090000}"/>
    <cellStyle name="Notas 54 4" xfId="1481" xr:uid="{00000000-0005-0000-0000-000004090000}"/>
    <cellStyle name="Notas 54 5" xfId="1660" xr:uid="{00000000-0005-0000-0000-000005090000}"/>
    <cellStyle name="Notas 55" xfId="949" xr:uid="{00000000-0005-0000-0000-000006090000}"/>
    <cellStyle name="Notas 55 2" xfId="1127" xr:uid="{00000000-0005-0000-0000-000007090000}"/>
    <cellStyle name="Notas 55 3" xfId="1293" xr:uid="{00000000-0005-0000-0000-000008090000}"/>
    <cellStyle name="Notas 55 4" xfId="1482" xr:uid="{00000000-0005-0000-0000-000009090000}"/>
    <cellStyle name="Notas 55 5" xfId="1661" xr:uid="{00000000-0005-0000-0000-00000A090000}"/>
    <cellStyle name="Notas 56" xfId="950" xr:uid="{00000000-0005-0000-0000-00000B090000}"/>
    <cellStyle name="Notas 56 2" xfId="1128" xr:uid="{00000000-0005-0000-0000-00000C090000}"/>
    <cellStyle name="Notas 56 3" xfId="1294" xr:uid="{00000000-0005-0000-0000-00000D090000}"/>
    <cellStyle name="Notas 56 4" xfId="1483" xr:uid="{00000000-0005-0000-0000-00000E090000}"/>
    <cellStyle name="Notas 56 5" xfId="1662" xr:uid="{00000000-0005-0000-0000-00000F090000}"/>
    <cellStyle name="Notas 57" xfId="951" xr:uid="{00000000-0005-0000-0000-000010090000}"/>
    <cellStyle name="Notas 57 2" xfId="1129" xr:uid="{00000000-0005-0000-0000-000011090000}"/>
    <cellStyle name="Notas 57 3" xfId="1295" xr:uid="{00000000-0005-0000-0000-000012090000}"/>
    <cellStyle name="Notas 57 4" xfId="1484" xr:uid="{00000000-0005-0000-0000-000013090000}"/>
    <cellStyle name="Notas 57 5" xfId="1663" xr:uid="{00000000-0005-0000-0000-000014090000}"/>
    <cellStyle name="Notas 58" xfId="952" xr:uid="{00000000-0005-0000-0000-000015090000}"/>
    <cellStyle name="Notas 58 2" xfId="1130" xr:uid="{00000000-0005-0000-0000-000016090000}"/>
    <cellStyle name="Notas 58 3" xfId="1296" xr:uid="{00000000-0005-0000-0000-000017090000}"/>
    <cellStyle name="Notas 58 4" xfId="1485" xr:uid="{00000000-0005-0000-0000-000018090000}"/>
    <cellStyle name="Notas 58 5" xfId="1664" xr:uid="{00000000-0005-0000-0000-000019090000}"/>
    <cellStyle name="Notas 59" xfId="953" xr:uid="{00000000-0005-0000-0000-00001A090000}"/>
    <cellStyle name="Notas 59 2" xfId="1131" xr:uid="{00000000-0005-0000-0000-00001B090000}"/>
    <cellStyle name="Notas 59 3" xfId="1297" xr:uid="{00000000-0005-0000-0000-00001C090000}"/>
    <cellStyle name="Notas 59 4" xfId="1486" xr:uid="{00000000-0005-0000-0000-00001D090000}"/>
    <cellStyle name="Notas 59 5" xfId="1665" xr:uid="{00000000-0005-0000-0000-00001E090000}"/>
    <cellStyle name="Notas 6" xfId="64" xr:uid="{00000000-0005-0000-0000-00001F090000}"/>
    <cellStyle name="Notas 6 10" xfId="483" xr:uid="{00000000-0005-0000-0000-000020090000}"/>
    <cellStyle name="Notas 6 11" xfId="655" xr:uid="{00000000-0005-0000-0000-000021090000}"/>
    <cellStyle name="Notas 6 12" xfId="792" xr:uid="{00000000-0005-0000-0000-000022090000}"/>
    <cellStyle name="Notas 6 13" xfId="954" xr:uid="{00000000-0005-0000-0000-000023090000}"/>
    <cellStyle name="Notas 6 14" xfId="1132" xr:uid="{00000000-0005-0000-0000-000024090000}"/>
    <cellStyle name="Notas 6 15" xfId="1298" xr:uid="{00000000-0005-0000-0000-000025090000}"/>
    <cellStyle name="Notas 6 16" xfId="1487" xr:uid="{00000000-0005-0000-0000-000026090000}"/>
    <cellStyle name="Notas 6 17" xfId="1666" xr:uid="{00000000-0005-0000-0000-000027090000}"/>
    <cellStyle name="Notas 6 18" xfId="1825" xr:uid="{00000000-0005-0000-0000-000028090000}"/>
    <cellStyle name="Notas 6 19" xfId="1982" xr:uid="{00000000-0005-0000-0000-000029090000}"/>
    <cellStyle name="Notas 6 2" xfId="112" xr:uid="{00000000-0005-0000-0000-00002A090000}"/>
    <cellStyle name="Notas 6 2 10" xfId="1826" xr:uid="{00000000-0005-0000-0000-00002B090000}"/>
    <cellStyle name="Notas 6 2 11" xfId="1983" xr:uid="{00000000-0005-0000-0000-00002C090000}"/>
    <cellStyle name="Notas 6 2 12" xfId="2130" xr:uid="{00000000-0005-0000-0000-00002D090000}"/>
    <cellStyle name="Notas 6 2 13" xfId="2271" xr:uid="{00000000-0005-0000-0000-00002E090000}"/>
    <cellStyle name="Notas 6 2 14" xfId="2424" xr:uid="{00000000-0005-0000-0000-00002F090000}"/>
    <cellStyle name="Notas 6 2 15" xfId="2573" xr:uid="{00000000-0005-0000-0000-000030090000}"/>
    <cellStyle name="Notas 6 2 2" xfId="484" xr:uid="{00000000-0005-0000-0000-000031090000}"/>
    <cellStyle name="Notas 6 2 3" xfId="656" xr:uid="{00000000-0005-0000-0000-000032090000}"/>
    <cellStyle name="Notas 6 2 4" xfId="793" xr:uid="{00000000-0005-0000-0000-000033090000}"/>
    <cellStyle name="Notas 6 2 5" xfId="955" xr:uid="{00000000-0005-0000-0000-000034090000}"/>
    <cellStyle name="Notas 6 2 6" xfId="1133" xr:uid="{00000000-0005-0000-0000-000035090000}"/>
    <cellStyle name="Notas 6 2 7" xfId="1299" xr:uid="{00000000-0005-0000-0000-000036090000}"/>
    <cellStyle name="Notas 6 2 8" xfId="1488" xr:uid="{00000000-0005-0000-0000-000037090000}"/>
    <cellStyle name="Notas 6 2 9" xfId="1667" xr:uid="{00000000-0005-0000-0000-000038090000}"/>
    <cellStyle name="Notas 6 20" xfId="2129" xr:uid="{00000000-0005-0000-0000-000039090000}"/>
    <cellStyle name="Notas 6 21" xfId="2270" xr:uid="{00000000-0005-0000-0000-00003A090000}"/>
    <cellStyle name="Notas 6 22" xfId="2423" xr:uid="{00000000-0005-0000-0000-00003B090000}"/>
    <cellStyle name="Notas 6 23" xfId="2572" xr:uid="{00000000-0005-0000-0000-00003C090000}"/>
    <cellStyle name="Notas 6 3" xfId="168" xr:uid="{00000000-0005-0000-0000-00003D090000}"/>
    <cellStyle name="Notas 6 3 10" xfId="1827" xr:uid="{00000000-0005-0000-0000-00003E090000}"/>
    <cellStyle name="Notas 6 3 11" xfId="1984" xr:uid="{00000000-0005-0000-0000-00003F090000}"/>
    <cellStyle name="Notas 6 3 12" xfId="2131" xr:uid="{00000000-0005-0000-0000-000040090000}"/>
    <cellStyle name="Notas 6 3 13" xfId="2272" xr:uid="{00000000-0005-0000-0000-000041090000}"/>
    <cellStyle name="Notas 6 3 14" xfId="2425" xr:uid="{00000000-0005-0000-0000-000042090000}"/>
    <cellStyle name="Notas 6 3 15" xfId="2574" xr:uid="{00000000-0005-0000-0000-000043090000}"/>
    <cellStyle name="Notas 6 3 2" xfId="485" xr:uid="{00000000-0005-0000-0000-000044090000}"/>
    <cellStyle name="Notas 6 3 3" xfId="657" xr:uid="{00000000-0005-0000-0000-000045090000}"/>
    <cellStyle name="Notas 6 3 4" xfId="794" xr:uid="{00000000-0005-0000-0000-000046090000}"/>
    <cellStyle name="Notas 6 3 5" xfId="956" xr:uid="{00000000-0005-0000-0000-000047090000}"/>
    <cellStyle name="Notas 6 3 6" xfId="1134" xr:uid="{00000000-0005-0000-0000-000048090000}"/>
    <cellStyle name="Notas 6 3 7" xfId="1300" xr:uid="{00000000-0005-0000-0000-000049090000}"/>
    <cellStyle name="Notas 6 3 8" xfId="1489" xr:uid="{00000000-0005-0000-0000-00004A090000}"/>
    <cellStyle name="Notas 6 3 9" xfId="1668" xr:uid="{00000000-0005-0000-0000-00004B090000}"/>
    <cellStyle name="Notas 6 4" xfId="198" xr:uid="{00000000-0005-0000-0000-00004C090000}"/>
    <cellStyle name="Notas 6 5" xfId="221" xr:uid="{00000000-0005-0000-0000-00004D090000}"/>
    <cellStyle name="Notas 6 6" xfId="238" xr:uid="{00000000-0005-0000-0000-00004E090000}"/>
    <cellStyle name="Notas 6 7" xfId="275" xr:uid="{00000000-0005-0000-0000-00004F090000}"/>
    <cellStyle name="Notas 6 8" xfId="303" xr:uid="{00000000-0005-0000-0000-000050090000}"/>
    <cellStyle name="Notas 6 9" xfId="327" xr:uid="{00000000-0005-0000-0000-000051090000}"/>
    <cellStyle name="Notas 60" xfId="957" xr:uid="{00000000-0005-0000-0000-000052090000}"/>
    <cellStyle name="Notas 60 2" xfId="1135" xr:uid="{00000000-0005-0000-0000-000053090000}"/>
    <cellStyle name="Notas 60 3" xfId="1301" xr:uid="{00000000-0005-0000-0000-000054090000}"/>
    <cellStyle name="Notas 60 4" xfId="1490" xr:uid="{00000000-0005-0000-0000-000055090000}"/>
    <cellStyle name="Notas 60 5" xfId="1669" xr:uid="{00000000-0005-0000-0000-000056090000}"/>
    <cellStyle name="Notas 61" xfId="958" xr:uid="{00000000-0005-0000-0000-000057090000}"/>
    <cellStyle name="Notas 61 2" xfId="1136" xr:uid="{00000000-0005-0000-0000-000058090000}"/>
    <cellStyle name="Notas 61 3" xfId="1302" xr:uid="{00000000-0005-0000-0000-000059090000}"/>
    <cellStyle name="Notas 61 4" xfId="1491" xr:uid="{00000000-0005-0000-0000-00005A090000}"/>
    <cellStyle name="Notas 61 5" xfId="1670" xr:uid="{00000000-0005-0000-0000-00005B090000}"/>
    <cellStyle name="Notas 62" xfId="959" xr:uid="{00000000-0005-0000-0000-00005C090000}"/>
    <cellStyle name="Notas 62 2" xfId="1137" xr:uid="{00000000-0005-0000-0000-00005D090000}"/>
    <cellStyle name="Notas 62 3" xfId="1303" xr:uid="{00000000-0005-0000-0000-00005E090000}"/>
    <cellStyle name="Notas 62 4" xfId="1492" xr:uid="{00000000-0005-0000-0000-00005F090000}"/>
    <cellStyle name="Notas 62 5" xfId="1671" xr:uid="{00000000-0005-0000-0000-000060090000}"/>
    <cellStyle name="Notas 63" xfId="960" xr:uid="{00000000-0005-0000-0000-000061090000}"/>
    <cellStyle name="Notas 63 2" xfId="1138" xr:uid="{00000000-0005-0000-0000-000062090000}"/>
    <cellStyle name="Notas 63 3" xfId="1304" xr:uid="{00000000-0005-0000-0000-000063090000}"/>
    <cellStyle name="Notas 63 4" xfId="1493" xr:uid="{00000000-0005-0000-0000-000064090000}"/>
    <cellStyle name="Notas 63 5" xfId="1672" xr:uid="{00000000-0005-0000-0000-000065090000}"/>
    <cellStyle name="Notas 64" xfId="961" xr:uid="{00000000-0005-0000-0000-000066090000}"/>
    <cellStyle name="Notas 64 2" xfId="1139" xr:uid="{00000000-0005-0000-0000-000067090000}"/>
    <cellStyle name="Notas 64 3" xfId="1305" xr:uid="{00000000-0005-0000-0000-000068090000}"/>
    <cellStyle name="Notas 64 4" xfId="1494" xr:uid="{00000000-0005-0000-0000-000069090000}"/>
    <cellStyle name="Notas 64 5" xfId="1673" xr:uid="{00000000-0005-0000-0000-00006A090000}"/>
    <cellStyle name="Notas 65" xfId="962" xr:uid="{00000000-0005-0000-0000-00006B090000}"/>
    <cellStyle name="Notas 65 2" xfId="1140" xr:uid="{00000000-0005-0000-0000-00006C090000}"/>
    <cellStyle name="Notas 65 3" xfId="1306" xr:uid="{00000000-0005-0000-0000-00006D090000}"/>
    <cellStyle name="Notas 65 4" xfId="1495" xr:uid="{00000000-0005-0000-0000-00006E090000}"/>
    <cellStyle name="Notas 65 5" xfId="1674" xr:uid="{00000000-0005-0000-0000-00006F090000}"/>
    <cellStyle name="Notas 66" xfId="963" xr:uid="{00000000-0005-0000-0000-000070090000}"/>
    <cellStyle name="Notas 66 2" xfId="1141" xr:uid="{00000000-0005-0000-0000-000071090000}"/>
    <cellStyle name="Notas 66 3" xfId="1307" xr:uid="{00000000-0005-0000-0000-000072090000}"/>
    <cellStyle name="Notas 66 4" xfId="1496" xr:uid="{00000000-0005-0000-0000-000073090000}"/>
    <cellStyle name="Notas 66 5" xfId="1675" xr:uid="{00000000-0005-0000-0000-000074090000}"/>
    <cellStyle name="Notas 67" xfId="964" xr:uid="{00000000-0005-0000-0000-000075090000}"/>
    <cellStyle name="Notas 67 2" xfId="1142" xr:uid="{00000000-0005-0000-0000-000076090000}"/>
    <cellStyle name="Notas 67 3" xfId="1308" xr:uid="{00000000-0005-0000-0000-000077090000}"/>
    <cellStyle name="Notas 67 4" xfId="1497" xr:uid="{00000000-0005-0000-0000-000078090000}"/>
    <cellStyle name="Notas 67 5" xfId="1676" xr:uid="{00000000-0005-0000-0000-000079090000}"/>
    <cellStyle name="Notas 68" xfId="965" xr:uid="{00000000-0005-0000-0000-00007A090000}"/>
    <cellStyle name="Notas 68 2" xfId="1143" xr:uid="{00000000-0005-0000-0000-00007B090000}"/>
    <cellStyle name="Notas 68 3" xfId="1309" xr:uid="{00000000-0005-0000-0000-00007C090000}"/>
    <cellStyle name="Notas 68 4" xfId="1498" xr:uid="{00000000-0005-0000-0000-00007D090000}"/>
    <cellStyle name="Notas 68 5" xfId="1677" xr:uid="{00000000-0005-0000-0000-00007E090000}"/>
    <cellStyle name="Notas 69" xfId="966" xr:uid="{00000000-0005-0000-0000-00007F090000}"/>
    <cellStyle name="Notas 69 2" xfId="1144" xr:uid="{00000000-0005-0000-0000-000080090000}"/>
    <cellStyle name="Notas 69 3" xfId="1310" xr:uid="{00000000-0005-0000-0000-000081090000}"/>
    <cellStyle name="Notas 69 4" xfId="1499" xr:uid="{00000000-0005-0000-0000-000082090000}"/>
    <cellStyle name="Notas 69 5" xfId="1678" xr:uid="{00000000-0005-0000-0000-000083090000}"/>
    <cellStyle name="Notas 7" xfId="65" xr:uid="{00000000-0005-0000-0000-000084090000}"/>
    <cellStyle name="Notas 7 10" xfId="486" xr:uid="{00000000-0005-0000-0000-000085090000}"/>
    <cellStyle name="Notas 7 11" xfId="658" xr:uid="{00000000-0005-0000-0000-000086090000}"/>
    <cellStyle name="Notas 7 12" xfId="795" xr:uid="{00000000-0005-0000-0000-000087090000}"/>
    <cellStyle name="Notas 7 13" xfId="967" xr:uid="{00000000-0005-0000-0000-000088090000}"/>
    <cellStyle name="Notas 7 14" xfId="1145" xr:uid="{00000000-0005-0000-0000-000089090000}"/>
    <cellStyle name="Notas 7 15" xfId="1311" xr:uid="{00000000-0005-0000-0000-00008A090000}"/>
    <cellStyle name="Notas 7 16" xfId="1500" xr:uid="{00000000-0005-0000-0000-00008B090000}"/>
    <cellStyle name="Notas 7 17" xfId="1679" xr:uid="{00000000-0005-0000-0000-00008C090000}"/>
    <cellStyle name="Notas 7 18" xfId="1828" xr:uid="{00000000-0005-0000-0000-00008D090000}"/>
    <cellStyle name="Notas 7 19" xfId="1985" xr:uid="{00000000-0005-0000-0000-00008E090000}"/>
    <cellStyle name="Notas 7 2" xfId="113" xr:uid="{00000000-0005-0000-0000-00008F090000}"/>
    <cellStyle name="Notas 7 2 10" xfId="1829" xr:uid="{00000000-0005-0000-0000-000090090000}"/>
    <cellStyle name="Notas 7 2 11" xfId="1986" xr:uid="{00000000-0005-0000-0000-000091090000}"/>
    <cellStyle name="Notas 7 2 12" xfId="2133" xr:uid="{00000000-0005-0000-0000-000092090000}"/>
    <cellStyle name="Notas 7 2 13" xfId="2274" xr:uid="{00000000-0005-0000-0000-000093090000}"/>
    <cellStyle name="Notas 7 2 14" xfId="2427" xr:uid="{00000000-0005-0000-0000-000094090000}"/>
    <cellStyle name="Notas 7 2 15" xfId="2576" xr:uid="{00000000-0005-0000-0000-000095090000}"/>
    <cellStyle name="Notas 7 2 2" xfId="487" xr:uid="{00000000-0005-0000-0000-000096090000}"/>
    <cellStyle name="Notas 7 2 3" xfId="659" xr:uid="{00000000-0005-0000-0000-000097090000}"/>
    <cellStyle name="Notas 7 2 4" xfId="796" xr:uid="{00000000-0005-0000-0000-000098090000}"/>
    <cellStyle name="Notas 7 2 5" xfId="968" xr:uid="{00000000-0005-0000-0000-000099090000}"/>
    <cellStyle name="Notas 7 2 6" xfId="1146" xr:uid="{00000000-0005-0000-0000-00009A090000}"/>
    <cellStyle name="Notas 7 2 7" xfId="1312" xr:uid="{00000000-0005-0000-0000-00009B090000}"/>
    <cellStyle name="Notas 7 2 8" xfId="1501" xr:uid="{00000000-0005-0000-0000-00009C090000}"/>
    <cellStyle name="Notas 7 2 9" xfId="1680" xr:uid="{00000000-0005-0000-0000-00009D090000}"/>
    <cellStyle name="Notas 7 20" xfId="2132" xr:uid="{00000000-0005-0000-0000-00009E090000}"/>
    <cellStyle name="Notas 7 21" xfId="2273" xr:uid="{00000000-0005-0000-0000-00009F090000}"/>
    <cellStyle name="Notas 7 22" xfId="2426" xr:uid="{00000000-0005-0000-0000-0000A0090000}"/>
    <cellStyle name="Notas 7 23" xfId="2575" xr:uid="{00000000-0005-0000-0000-0000A1090000}"/>
    <cellStyle name="Notas 7 3" xfId="169" xr:uid="{00000000-0005-0000-0000-0000A2090000}"/>
    <cellStyle name="Notas 7 3 10" xfId="1830" xr:uid="{00000000-0005-0000-0000-0000A3090000}"/>
    <cellStyle name="Notas 7 3 11" xfId="1987" xr:uid="{00000000-0005-0000-0000-0000A4090000}"/>
    <cellStyle name="Notas 7 3 12" xfId="2134" xr:uid="{00000000-0005-0000-0000-0000A5090000}"/>
    <cellStyle name="Notas 7 3 13" xfId="2275" xr:uid="{00000000-0005-0000-0000-0000A6090000}"/>
    <cellStyle name="Notas 7 3 14" xfId="2428" xr:uid="{00000000-0005-0000-0000-0000A7090000}"/>
    <cellStyle name="Notas 7 3 15" xfId="2577" xr:uid="{00000000-0005-0000-0000-0000A8090000}"/>
    <cellStyle name="Notas 7 3 2" xfId="488" xr:uid="{00000000-0005-0000-0000-0000A9090000}"/>
    <cellStyle name="Notas 7 3 3" xfId="660" xr:uid="{00000000-0005-0000-0000-0000AA090000}"/>
    <cellStyle name="Notas 7 3 4" xfId="797" xr:uid="{00000000-0005-0000-0000-0000AB090000}"/>
    <cellStyle name="Notas 7 3 5" xfId="969" xr:uid="{00000000-0005-0000-0000-0000AC090000}"/>
    <cellStyle name="Notas 7 3 6" xfId="1147" xr:uid="{00000000-0005-0000-0000-0000AD090000}"/>
    <cellStyle name="Notas 7 3 7" xfId="1313" xr:uid="{00000000-0005-0000-0000-0000AE090000}"/>
    <cellStyle name="Notas 7 3 8" xfId="1502" xr:uid="{00000000-0005-0000-0000-0000AF090000}"/>
    <cellStyle name="Notas 7 3 9" xfId="1681" xr:uid="{00000000-0005-0000-0000-0000B0090000}"/>
    <cellStyle name="Notas 7 4" xfId="199" xr:uid="{00000000-0005-0000-0000-0000B1090000}"/>
    <cellStyle name="Notas 7 5" xfId="222" xr:uid="{00000000-0005-0000-0000-0000B2090000}"/>
    <cellStyle name="Notas 7 6" xfId="239" xr:uid="{00000000-0005-0000-0000-0000B3090000}"/>
    <cellStyle name="Notas 7 7" xfId="276" xr:uid="{00000000-0005-0000-0000-0000B4090000}"/>
    <cellStyle name="Notas 7 8" xfId="304" xr:uid="{00000000-0005-0000-0000-0000B5090000}"/>
    <cellStyle name="Notas 7 9" xfId="328" xr:uid="{00000000-0005-0000-0000-0000B6090000}"/>
    <cellStyle name="Notas 70" xfId="970" xr:uid="{00000000-0005-0000-0000-0000B7090000}"/>
    <cellStyle name="Notas 70 2" xfId="1148" xr:uid="{00000000-0005-0000-0000-0000B8090000}"/>
    <cellStyle name="Notas 70 3" xfId="1314" xr:uid="{00000000-0005-0000-0000-0000B9090000}"/>
    <cellStyle name="Notas 70 4" xfId="1503" xr:uid="{00000000-0005-0000-0000-0000BA090000}"/>
    <cellStyle name="Notas 70 5" xfId="1682" xr:uid="{00000000-0005-0000-0000-0000BB090000}"/>
    <cellStyle name="Notas 71" xfId="1504" xr:uid="{00000000-0005-0000-0000-0000BC090000}"/>
    <cellStyle name="Notas 72" xfId="1505" xr:uid="{00000000-0005-0000-0000-0000BD090000}"/>
    <cellStyle name="Notas 73" xfId="1506" xr:uid="{00000000-0005-0000-0000-0000BE090000}"/>
    <cellStyle name="Notas 74" xfId="1507" xr:uid="{00000000-0005-0000-0000-0000BF090000}"/>
    <cellStyle name="Notas 75" xfId="1508" xr:uid="{00000000-0005-0000-0000-0000C0090000}"/>
    <cellStyle name="Notas 76" xfId="1509" xr:uid="{00000000-0005-0000-0000-0000C1090000}"/>
    <cellStyle name="Notas 77" xfId="1510" xr:uid="{00000000-0005-0000-0000-0000C2090000}"/>
    <cellStyle name="Notas 78" xfId="1511" xr:uid="{00000000-0005-0000-0000-0000C3090000}"/>
    <cellStyle name="Notas 79" xfId="1512" xr:uid="{00000000-0005-0000-0000-0000C4090000}"/>
    <cellStyle name="Notas 8" xfId="66" xr:uid="{00000000-0005-0000-0000-0000C5090000}"/>
    <cellStyle name="Notas 8 10" xfId="489" xr:uid="{00000000-0005-0000-0000-0000C6090000}"/>
    <cellStyle name="Notas 8 11" xfId="661" xr:uid="{00000000-0005-0000-0000-0000C7090000}"/>
    <cellStyle name="Notas 8 12" xfId="798" xr:uid="{00000000-0005-0000-0000-0000C8090000}"/>
    <cellStyle name="Notas 8 13" xfId="971" xr:uid="{00000000-0005-0000-0000-0000C9090000}"/>
    <cellStyle name="Notas 8 14" xfId="1149" xr:uid="{00000000-0005-0000-0000-0000CA090000}"/>
    <cellStyle name="Notas 8 15" xfId="1315" xr:uid="{00000000-0005-0000-0000-0000CB090000}"/>
    <cellStyle name="Notas 8 16" xfId="1513" xr:uid="{00000000-0005-0000-0000-0000CC090000}"/>
    <cellStyle name="Notas 8 17" xfId="1683" xr:uid="{00000000-0005-0000-0000-0000CD090000}"/>
    <cellStyle name="Notas 8 18" xfId="1831" xr:uid="{00000000-0005-0000-0000-0000CE090000}"/>
    <cellStyle name="Notas 8 19" xfId="1988" xr:uid="{00000000-0005-0000-0000-0000CF090000}"/>
    <cellStyle name="Notas 8 2" xfId="114" xr:uid="{00000000-0005-0000-0000-0000D0090000}"/>
    <cellStyle name="Notas 8 2 10" xfId="1832" xr:uid="{00000000-0005-0000-0000-0000D1090000}"/>
    <cellStyle name="Notas 8 2 11" xfId="1989" xr:uid="{00000000-0005-0000-0000-0000D2090000}"/>
    <cellStyle name="Notas 8 2 12" xfId="2136" xr:uid="{00000000-0005-0000-0000-0000D3090000}"/>
    <cellStyle name="Notas 8 2 13" xfId="2277" xr:uid="{00000000-0005-0000-0000-0000D4090000}"/>
    <cellStyle name="Notas 8 2 14" xfId="2430" xr:uid="{00000000-0005-0000-0000-0000D5090000}"/>
    <cellStyle name="Notas 8 2 15" xfId="2579" xr:uid="{00000000-0005-0000-0000-0000D6090000}"/>
    <cellStyle name="Notas 8 2 2" xfId="490" xr:uid="{00000000-0005-0000-0000-0000D7090000}"/>
    <cellStyle name="Notas 8 2 3" xfId="662" xr:uid="{00000000-0005-0000-0000-0000D8090000}"/>
    <cellStyle name="Notas 8 2 4" xfId="799" xr:uid="{00000000-0005-0000-0000-0000D9090000}"/>
    <cellStyle name="Notas 8 2 5" xfId="972" xr:uid="{00000000-0005-0000-0000-0000DA090000}"/>
    <cellStyle name="Notas 8 2 6" xfId="1150" xr:uid="{00000000-0005-0000-0000-0000DB090000}"/>
    <cellStyle name="Notas 8 2 7" xfId="1316" xr:uid="{00000000-0005-0000-0000-0000DC090000}"/>
    <cellStyle name="Notas 8 2 8" xfId="1514" xr:uid="{00000000-0005-0000-0000-0000DD090000}"/>
    <cellStyle name="Notas 8 2 9" xfId="1684" xr:uid="{00000000-0005-0000-0000-0000DE090000}"/>
    <cellStyle name="Notas 8 20" xfId="2135" xr:uid="{00000000-0005-0000-0000-0000DF090000}"/>
    <cellStyle name="Notas 8 21" xfId="2276" xr:uid="{00000000-0005-0000-0000-0000E0090000}"/>
    <cellStyle name="Notas 8 22" xfId="2429" xr:uid="{00000000-0005-0000-0000-0000E1090000}"/>
    <cellStyle name="Notas 8 23" xfId="2578" xr:uid="{00000000-0005-0000-0000-0000E2090000}"/>
    <cellStyle name="Notas 8 3" xfId="170" xr:uid="{00000000-0005-0000-0000-0000E3090000}"/>
    <cellStyle name="Notas 8 3 10" xfId="1833" xr:uid="{00000000-0005-0000-0000-0000E4090000}"/>
    <cellStyle name="Notas 8 3 11" xfId="1990" xr:uid="{00000000-0005-0000-0000-0000E5090000}"/>
    <cellStyle name="Notas 8 3 12" xfId="2137" xr:uid="{00000000-0005-0000-0000-0000E6090000}"/>
    <cellStyle name="Notas 8 3 13" xfId="2278" xr:uid="{00000000-0005-0000-0000-0000E7090000}"/>
    <cellStyle name="Notas 8 3 14" xfId="2431" xr:uid="{00000000-0005-0000-0000-0000E8090000}"/>
    <cellStyle name="Notas 8 3 15" xfId="2580" xr:uid="{00000000-0005-0000-0000-0000E9090000}"/>
    <cellStyle name="Notas 8 3 2" xfId="491" xr:uid="{00000000-0005-0000-0000-0000EA090000}"/>
    <cellStyle name="Notas 8 3 3" xfId="663" xr:uid="{00000000-0005-0000-0000-0000EB090000}"/>
    <cellStyle name="Notas 8 3 4" xfId="800" xr:uid="{00000000-0005-0000-0000-0000EC090000}"/>
    <cellStyle name="Notas 8 3 5" xfId="973" xr:uid="{00000000-0005-0000-0000-0000ED090000}"/>
    <cellStyle name="Notas 8 3 6" xfId="1151" xr:uid="{00000000-0005-0000-0000-0000EE090000}"/>
    <cellStyle name="Notas 8 3 7" xfId="1317" xr:uid="{00000000-0005-0000-0000-0000EF090000}"/>
    <cellStyle name="Notas 8 3 8" xfId="1515" xr:uid="{00000000-0005-0000-0000-0000F0090000}"/>
    <cellStyle name="Notas 8 3 9" xfId="1685" xr:uid="{00000000-0005-0000-0000-0000F1090000}"/>
    <cellStyle name="Notas 8 4" xfId="200" xr:uid="{00000000-0005-0000-0000-0000F2090000}"/>
    <cellStyle name="Notas 8 5" xfId="223" xr:uid="{00000000-0005-0000-0000-0000F3090000}"/>
    <cellStyle name="Notas 8 6" xfId="240" xr:uid="{00000000-0005-0000-0000-0000F4090000}"/>
    <cellStyle name="Notas 8 7" xfId="277" xr:uid="{00000000-0005-0000-0000-0000F5090000}"/>
    <cellStyle name="Notas 8 8" xfId="305" xr:uid="{00000000-0005-0000-0000-0000F6090000}"/>
    <cellStyle name="Notas 8 9" xfId="329" xr:uid="{00000000-0005-0000-0000-0000F7090000}"/>
    <cellStyle name="Notas 80" xfId="1516" xr:uid="{00000000-0005-0000-0000-0000F8090000}"/>
    <cellStyle name="Notas 81" xfId="1517" xr:uid="{00000000-0005-0000-0000-0000F9090000}"/>
    <cellStyle name="Notas 82" xfId="1518" xr:uid="{00000000-0005-0000-0000-0000FA090000}"/>
    <cellStyle name="Notas 83" xfId="1519" xr:uid="{00000000-0005-0000-0000-0000FB090000}"/>
    <cellStyle name="Notas 84" xfId="1520" xr:uid="{00000000-0005-0000-0000-0000FC090000}"/>
    <cellStyle name="Notas 9" xfId="67" xr:uid="{00000000-0005-0000-0000-0000FD090000}"/>
    <cellStyle name="Notas 9 10" xfId="492" xr:uid="{00000000-0005-0000-0000-0000FE090000}"/>
    <cellStyle name="Notas 9 11" xfId="664" xr:uid="{00000000-0005-0000-0000-0000FF090000}"/>
    <cellStyle name="Notas 9 12" xfId="801" xr:uid="{00000000-0005-0000-0000-0000000A0000}"/>
    <cellStyle name="Notas 9 13" xfId="974" xr:uid="{00000000-0005-0000-0000-0000010A0000}"/>
    <cellStyle name="Notas 9 14" xfId="1152" xr:uid="{00000000-0005-0000-0000-0000020A0000}"/>
    <cellStyle name="Notas 9 15" xfId="1318" xr:uid="{00000000-0005-0000-0000-0000030A0000}"/>
    <cellStyle name="Notas 9 16" xfId="1521" xr:uid="{00000000-0005-0000-0000-0000040A0000}"/>
    <cellStyle name="Notas 9 17" xfId="1686" xr:uid="{00000000-0005-0000-0000-0000050A0000}"/>
    <cellStyle name="Notas 9 18" xfId="1834" xr:uid="{00000000-0005-0000-0000-0000060A0000}"/>
    <cellStyle name="Notas 9 19" xfId="1991" xr:uid="{00000000-0005-0000-0000-0000070A0000}"/>
    <cellStyle name="Notas 9 2" xfId="115" xr:uid="{00000000-0005-0000-0000-0000080A0000}"/>
    <cellStyle name="Notas 9 2 10" xfId="1835" xr:uid="{00000000-0005-0000-0000-0000090A0000}"/>
    <cellStyle name="Notas 9 2 11" xfId="1992" xr:uid="{00000000-0005-0000-0000-00000A0A0000}"/>
    <cellStyle name="Notas 9 2 12" xfId="2139" xr:uid="{00000000-0005-0000-0000-00000B0A0000}"/>
    <cellStyle name="Notas 9 2 13" xfId="2280" xr:uid="{00000000-0005-0000-0000-00000C0A0000}"/>
    <cellStyle name="Notas 9 2 14" xfId="2433" xr:uid="{00000000-0005-0000-0000-00000D0A0000}"/>
    <cellStyle name="Notas 9 2 15" xfId="2582" xr:uid="{00000000-0005-0000-0000-00000E0A0000}"/>
    <cellStyle name="Notas 9 2 2" xfId="493" xr:uid="{00000000-0005-0000-0000-00000F0A0000}"/>
    <cellStyle name="Notas 9 2 3" xfId="665" xr:uid="{00000000-0005-0000-0000-0000100A0000}"/>
    <cellStyle name="Notas 9 2 4" xfId="802" xr:uid="{00000000-0005-0000-0000-0000110A0000}"/>
    <cellStyle name="Notas 9 2 5" xfId="975" xr:uid="{00000000-0005-0000-0000-0000120A0000}"/>
    <cellStyle name="Notas 9 2 6" xfId="1153" xr:uid="{00000000-0005-0000-0000-0000130A0000}"/>
    <cellStyle name="Notas 9 2 7" xfId="1319" xr:uid="{00000000-0005-0000-0000-0000140A0000}"/>
    <cellStyle name="Notas 9 2 8" xfId="1522" xr:uid="{00000000-0005-0000-0000-0000150A0000}"/>
    <cellStyle name="Notas 9 2 9" xfId="1687" xr:uid="{00000000-0005-0000-0000-0000160A0000}"/>
    <cellStyle name="Notas 9 20" xfId="2138" xr:uid="{00000000-0005-0000-0000-0000170A0000}"/>
    <cellStyle name="Notas 9 21" xfId="2279" xr:uid="{00000000-0005-0000-0000-0000180A0000}"/>
    <cellStyle name="Notas 9 22" xfId="2432" xr:uid="{00000000-0005-0000-0000-0000190A0000}"/>
    <cellStyle name="Notas 9 23" xfId="2581" xr:uid="{00000000-0005-0000-0000-00001A0A0000}"/>
    <cellStyle name="Notas 9 3" xfId="171" xr:uid="{00000000-0005-0000-0000-00001B0A0000}"/>
    <cellStyle name="Notas 9 3 10" xfId="1836" xr:uid="{00000000-0005-0000-0000-00001C0A0000}"/>
    <cellStyle name="Notas 9 3 11" xfId="1993" xr:uid="{00000000-0005-0000-0000-00001D0A0000}"/>
    <cellStyle name="Notas 9 3 12" xfId="2140" xr:uid="{00000000-0005-0000-0000-00001E0A0000}"/>
    <cellStyle name="Notas 9 3 13" xfId="2281" xr:uid="{00000000-0005-0000-0000-00001F0A0000}"/>
    <cellStyle name="Notas 9 3 14" xfId="2434" xr:uid="{00000000-0005-0000-0000-0000200A0000}"/>
    <cellStyle name="Notas 9 3 15" xfId="2583" xr:uid="{00000000-0005-0000-0000-0000210A0000}"/>
    <cellStyle name="Notas 9 3 2" xfId="494" xr:uid="{00000000-0005-0000-0000-0000220A0000}"/>
    <cellStyle name="Notas 9 3 3" xfId="666" xr:uid="{00000000-0005-0000-0000-0000230A0000}"/>
    <cellStyle name="Notas 9 3 4" xfId="803" xr:uid="{00000000-0005-0000-0000-0000240A0000}"/>
    <cellStyle name="Notas 9 3 5" xfId="976" xr:uid="{00000000-0005-0000-0000-0000250A0000}"/>
    <cellStyle name="Notas 9 3 6" xfId="1154" xr:uid="{00000000-0005-0000-0000-0000260A0000}"/>
    <cellStyle name="Notas 9 3 7" xfId="1320" xr:uid="{00000000-0005-0000-0000-0000270A0000}"/>
    <cellStyle name="Notas 9 3 8" xfId="1523" xr:uid="{00000000-0005-0000-0000-0000280A0000}"/>
    <cellStyle name="Notas 9 3 9" xfId="1688" xr:uid="{00000000-0005-0000-0000-0000290A0000}"/>
    <cellStyle name="Notas 9 4" xfId="201" xr:uid="{00000000-0005-0000-0000-00002A0A0000}"/>
    <cellStyle name="Notas 9 5" xfId="224" xr:uid="{00000000-0005-0000-0000-00002B0A0000}"/>
    <cellStyle name="Notas 9 6" xfId="241" xr:uid="{00000000-0005-0000-0000-00002C0A0000}"/>
    <cellStyle name="Notas 9 7" xfId="278" xr:uid="{00000000-0005-0000-0000-00002D0A0000}"/>
    <cellStyle name="Notas 9 8" xfId="306" xr:uid="{00000000-0005-0000-0000-00002E0A0000}"/>
    <cellStyle name="Notas 9 9" xfId="330" xr:uid="{00000000-0005-0000-0000-00002F0A0000}"/>
    <cellStyle name="Porcentaje 2" xfId="2603" xr:uid="{00000000-0005-0000-0000-0000310A0000}"/>
    <cellStyle name="Porcentaje 3" xfId="2608" xr:uid="{00000000-0005-0000-0000-0000320A0000}"/>
    <cellStyle name="Salida" xfId="12" builtinId="21" customBuiltin="1"/>
    <cellStyle name="Texto de advertencia" xfId="16" builtinId="11" customBuiltin="1"/>
    <cellStyle name="Texto explicativo" xfId="17" builtinId="53" customBuiltin="1"/>
    <cellStyle name="Título" xfId="3" builtinId="15" customBuiltin="1"/>
    <cellStyle name="Título 2" xfId="5" builtinId="17" customBuiltin="1"/>
    <cellStyle name="Título 3" xfId="6" builtinId="18" customBuiltin="1"/>
    <cellStyle name="Total" xfId="18" builtinId="25" customBuiltin="1"/>
  </cellStyles>
  <dxfs count="104"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ont>
        <b/>
        <i val="0"/>
      </font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</dxfs>
  <tableStyles count="0" defaultTableStyle="TableStyleMedium9" defaultPivotStyle="PivotStyleLight16"/>
  <colors>
    <mruColors>
      <color rgb="FF9966FF"/>
      <color rgb="FF9ACDD4"/>
      <color rgb="FFCCFFCC"/>
      <color rgb="FFFFFF00"/>
      <color rgb="FF00FF99"/>
      <color rgb="FF00FF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externalLink" Target="externalLinks/externalLink2.xml"/><Relationship Id="rId47" Type="http://schemas.openxmlformats.org/officeDocument/2006/relationships/styles" Target="styles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externalLink" Target="externalLinks/externalLink5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externalLink" Target="externalLinks/externalLink4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externalLink" Target="externalLinks/externalLink3.xml"/><Relationship Id="rId48" Type="http://schemas.openxmlformats.org/officeDocument/2006/relationships/sharedStrings" Target="sharedStrings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theme" Target="theme/theme1.xml"/><Relationship Id="rId20" Type="http://schemas.openxmlformats.org/officeDocument/2006/relationships/worksheet" Target="worksheets/sheet20.xml"/><Relationship Id="rId41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15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png"/><Relationship Id="rId1" Type="http://schemas.openxmlformats.org/officeDocument/2006/relationships/image" Target="../media/image3.jpg"/></Relationships>
</file>

<file path=xl/drawings/_rels/drawing16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20</xdr:col>
      <xdr:colOff>333375</xdr:colOff>
      <xdr:row>5</xdr:row>
      <xdr:rowOff>76200</xdr:rowOff>
    </xdr:from>
    <xdr:ext cx="2619375" cy="495300"/>
    <xdr:pic>
      <xdr:nvPicPr>
        <xdr:cNvPr id="11" name="image2.png">
          <a:extLst>
            <a:ext uri="{FF2B5EF4-FFF2-40B4-BE49-F238E27FC236}">
              <a16:creationId xmlns:a16="http://schemas.microsoft.com/office/drawing/2014/main" id="{00000000-0008-0000-0300-00000B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3849350" y="1009650"/>
          <a:ext cx="2619375" cy="495300"/>
        </a:xfrm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8987</xdr:colOff>
      <xdr:row>4</xdr:row>
      <xdr:rowOff>17972</xdr:rowOff>
    </xdr:from>
    <xdr:to>
      <xdr:col>2</xdr:col>
      <xdr:colOff>1504412</xdr:colOff>
      <xdr:row>8</xdr:row>
      <xdr:rowOff>135830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00000000-0008-0000-0F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03209" y="637996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13</xdr:col>
      <xdr:colOff>197688</xdr:colOff>
      <xdr:row>4</xdr:row>
      <xdr:rowOff>80872</xdr:rowOff>
    </xdr:from>
    <xdr:to>
      <xdr:col>14</xdr:col>
      <xdr:colOff>947288</xdr:colOff>
      <xdr:row>9</xdr:row>
      <xdr:rowOff>1041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00000000-0008-0000-0F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349127" y="700896"/>
          <a:ext cx="1495425" cy="908612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57149</xdr:colOff>
      <xdr:row>1</xdr:row>
      <xdr:rowOff>85726</xdr:rowOff>
    </xdr:from>
    <xdr:to>
      <xdr:col>2</xdr:col>
      <xdr:colOff>1257299</xdr:colOff>
      <xdr:row>6</xdr:row>
      <xdr:rowOff>67238</xdr:rowOff>
    </xdr:to>
    <xdr:pic>
      <xdr:nvPicPr>
        <xdr:cNvPr id="16" name="Imagen 15">
          <a:extLst>
            <a:ext uri="{FF2B5EF4-FFF2-40B4-BE49-F238E27FC236}">
              <a16:creationId xmlns:a16="http://schemas.microsoft.com/office/drawing/2014/main" id="{00000000-0008-0000-1000-00001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7174" y="247651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2</xdr:col>
      <xdr:colOff>19050</xdr:colOff>
      <xdr:row>20</xdr:row>
      <xdr:rowOff>93133</xdr:rowOff>
    </xdr:from>
    <xdr:to>
      <xdr:col>2</xdr:col>
      <xdr:colOff>1456267</xdr:colOff>
      <xdr:row>25</xdr:row>
      <xdr:rowOff>29021</xdr:rowOff>
    </xdr:to>
    <xdr:pic>
      <xdr:nvPicPr>
        <xdr:cNvPr id="17" name="Imagen 16">
          <a:extLst>
            <a:ext uri="{FF2B5EF4-FFF2-40B4-BE49-F238E27FC236}">
              <a16:creationId xmlns:a16="http://schemas.microsoft.com/office/drawing/2014/main" id="{00000000-0008-0000-1000-00001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27050" y="4106333"/>
          <a:ext cx="1437217" cy="833355"/>
        </a:xfrm>
        <a:prstGeom prst="rect">
          <a:avLst/>
        </a:prstGeom>
      </xdr:spPr>
    </xdr:pic>
    <xdr:clientData/>
  </xdr:twoCellAnchor>
  <xdr:twoCellAnchor editAs="oneCell">
    <xdr:from>
      <xdr:col>1</xdr:col>
      <xdr:colOff>76200</xdr:colOff>
      <xdr:row>39</xdr:row>
      <xdr:rowOff>66675</xdr:rowOff>
    </xdr:from>
    <xdr:to>
      <xdr:col>2</xdr:col>
      <xdr:colOff>1276350</xdr:colOff>
      <xdr:row>44</xdr:row>
      <xdr:rowOff>48187</xdr:rowOff>
    </xdr:to>
    <xdr:pic>
      <xdr:nvPicPr>
        <xdr:cNvPr id="18" name="Imagen 17">
          <a:extLst>
            <a:ext uri="{FF2B5EF4-FFF2-40B4-BE49-F238E27FC236}">
              <a16:creationId xmlns:a16="http://schemas.microsoft.com/office/drawing/2014/main" id="{00000000-0008-0000-1000-00001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6225" y="8039100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</xdr:col>
      <xdr:colOff>76200</xdr:colOff>
      <xdr:row>58</xdr:row>
      <xdr:rowOff>114300</xdr:rowOff>
    </xdr:from>
    <xdr:to>
      <xdr:col>2</xdr:col>
      <xdr:colOff>1276350</xdr:colOff>
      <xdr:row>63</xdr:row>
      <xdr:rowOff>83112</xdr:rowOff>
    </xdr:to>
    <xdr:pic>
      <xdr:nvPicPr>
        <xdr:cNvPr id="19" name="Imagen 18">
          <a:extLst>
            <a:ext uri="{FF2B5EF4-FFF2-40B4-BE49-F238E27FC236}">
              <a16:creationId xmlns:a16="http://schemas.microsoft.com/office/drawing/2014/main" id="{00000000-0008-0000-1000-00001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6225" y="11991975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</xdr:col>
      <xdr:colOff>133350</xdr:colOff>
      <xdr:row>77</xdr:row>
      <xdr:rowOff>85725</xdr:rowOff>
    </xdr:from>
    <xdr:to>
      <xdr:col>2</xdr:col>
      <xdr:colOff>1333500</xdr:colOff>
      <xdr:row>82</xdr:row>
      <xdr:rowOff>67237</xdr:rowOff>
    </xdr:to>
    <xdr:pic>
      <xdr:nvPicPr>
        <xdr:cNvPr id="20" name="Imagen 19">
          <a:extLst>
            <a:ext uri="{FF2B5EF4-FFF2-40B4-BE49-F238E27FC236}">
              <a16:creationId xmlns:a16="http://schemas.microsoft.com/office/drawing/2014/main" id="{00000000-0008-0000-1000-00001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33375" y="15868650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</xdr:col>
      <xdr:colOff>85725</xdr:colOff>
      <xdr:row>96</xdr:row>
      <xdr:rowOff>133350</xdr:rowOff>
    </xdr:from>
    <xdr:to>
      <xdr:col>2</xdr:col>
      <xdr:colOff>1285875</xdr:colOff>
      <xdr:row>101</xdr:row>
      <xdr:rowOff>102162</xdr:rowOff>
    </xdr:to>
    <xdr:pic>
      <xdr:nvPicPr>
        <xdr:cNvPr id="21" name="Imagen 20">
          <a:extLst>
            <a:ext uri="{FF2B5EF4-FFF2-40B4-BE49-F238E27FC236}">
              <a16:creationId xmlns:a16="http://schemas.microsoft.com/office/drawing/2014/main" id="{00000000-0008-0000-1000-00001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5750" y="19821525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</xdr:col>
      <xdr:colOff>76200</xdr:colOff>
      <xdr:row>115</xdr:row>
      <xdr:rowOff>85725</xdr:rowOff>
    </xdr:from>
    <xdr:to>
      <xdr:col>2</xdr:col>
      <xdr:colOff>1276350</xdr:colOff>
      <xdr:row>120</xdr:row>
      <xdr:rowOff>140262</xdr:rowOff>
    </xdr:to>
    <xdr:pic>
      <xdr:nvPicPr>
        <xdr:cNvPr id="22" name="Imagen 21">
          <a:extLst>
            <a:ext uri="{FF2B5EF4-FFF2-40B4-BE49-F238E27FC236}">
              <a16:creationId xmlns:a16="http://schemas.microsoft.com/office/drawing/2014/main" id="{00000000-0008-0000-1000-00001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6225" y="23745825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18</xdr:col>
      <xdr:colOff>228600</xdr:colOff>
      <xdr:row>0</xdr:row>
      <xdr:rowOff>114300</xdr:rowOff>
    </xdr:from>
    <xdr:to>
      <xdr:col>19</xdr:col>
      <xdr:colOff>977900</xdr:colOff>
      <xdr:row>5</xdr:row>
      <xdr:rowOff>130737</xdr:rowOff>
    </xdr:to>
    <xdr:pic>
      <xdr:nvPicPr>
        <xdr:cNvPr id="23" name="Imagen 22">
          <a:extLst>
            <a:ext uri="{FF2B5EF4-FFF2-40B4-BE49-F238E27FC236}">
              <a16:creationId xmlns:a16="http://schemas.microsoft.com/office/drawing/2014/main" id="{00000000-0008-0000-1000-00001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059275" y="114300"/>
          <a:ext cx="1495425" cy="911787"/>
        </a:xfrm>
        <a:prstGeom prst="rect">
          <a:avLst/>
        </a:prstGeom>
      </xdr:spPr>
    </xdr:pic>
    <xdr:clientData/>
  </xdr:twoCellAnchor>
  <xdr:twoCellAnchor editAs="oneCell">
    <xdr:from>
      <xdr:col>18</xdr:col>
      <xdr:colOff>104775</xdr:colOff>
      <xdr:row>20</xdr:row>
      <xdr:rowOff>76200</xdr:rowOff>
    </xdr:from>
    <xdr:to>
      <xdr:col>19</xdr:col>
      <xdr:colOff>857250</xdr:colOff>
      <xdr:row>25</xdr:row>
      <xdr:rowOff>45012</xdr:rowOff>
    </xdr:to>
    <xdr:pic>
      <xdr:nvPicPr>
        <xdr:cNvPr id="24" name="Imagen 23">
          <a:extLst>
            <a:ext uri="{FF2B5EF4-FFF2-40B4-BE49-F238E27FC236}">
              <a16:creationId xmlns:a16="http://schemas.microsoft.com/office/drawing/2014/main" id="{00000000-0008-0000-1000-00001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25925" y="4143375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18</xdr:col>
      <xdr:colOff>76200</xdr:colOff>
      <xdr:row>39</xdr:row>
      <xdr:rowOff>28575</xdr:rowOff>
    </xdr:from>
    <xdr:to>
      <xdr:col>19</xdr:col>
      <xdr:colOff>828675</xdr:colOff>
      <xdr:row>44</xdr:row>
      <xdr:rowOff>10087</xdr:rowOff>
    </xdr:to>
    <xdr:pic>
      <xdr:nvPicPr>
        <xdr:cNvPr id="25" name="Imagen 24">
          <a:extLst>
            <a:ext uri="{FF2B5EF4-FFF2-40B4-BE49-F238E27FC236}">
              <a16:creationId xmlns:a16="http://schemas.microsoft.com/office/drawing/2014/main" id="{00000000-0008-0000-1000-00001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06875" y="8001000"/>
          <a:ext cx="1492250" cy="911787"/>
        </a:xfrm>
        <a:prstGeom prst="rect">
          <a:avLst/>
        </a:prstGeom>
      </xdr:spPr>
    </xdr:pic>
    <xdr:clientData/>
  </xdr:twoCellAnchor>
  <xdr:twoCellAnchor editAs="oneCell">
    <xdr:from>
      <xdr:col>18</xdr:col>
      <xdr:colOff>85725</xdr:colOff>
      <xdr:row>58</xdr:row>
      <xdr:rowOff>114300</xdr:rowOff>
    </xdr:from>
    <xdr:to>
      <xdr:col>19</xdr:col>
      <xdr:colOff>838200</xdr:colOff>
      <xdr:row>63</xdr:row>
      <xdr:rowOff>83112</xdr:rowOff>
    </xdr:to>
    <xdr:pic>
      <xdr:nvPicPr>
        <xdr:cNvPr id="26" name="Imagen 25">
          <a:extLst>
            <a:ext uri="{FF2B5EF4-FFF2-40B4-BE49-F238E27FC236}">
              <a16:creationId xmlns:a16="http://schemas.microsoft.com/office/drawing/2014/main" id="{00000000-0008-0000-1000-00001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06875" y="11991975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18</xdr:col>
      <xdr:colOff>47625</xdr:colOff>
      <xdr:row>77</xdr:row>
      <xdr:rowOff>104775</xdr:rowOff>
    </xdr:from>
    <xdr:to>
      <xdr:col>19</xdr:col>
      <xdr:colOff>800100</xdr:colOff>
      <xdr:row>82</xdr:row>
      <xdr:rowOff>86287</xdr:rowOff>
    </xdr:to>
    <xdr:pic>
      <xdr:nvPicPr>
        <xdr:cNvPr id="27" name="Imagen 26">
          <a:extLst>
            <a:ext uri="{FF2B5EF4-FFF2-40B4-BE49-F238E27FC236}">
              <a16:creationId xmlns:a16="http://schemas.microsoft.com/office/drawing/2014/main" id="{00000000-0008-0000-1000-00001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868775" y="15887700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18</xdr:col>
      <xdr:colOff>38100</xdr:colOff>
      <xdr:row>96</xdr:row>
      <xdr:rowOff>142875</xdr:rowOff>
    </xdr:from>
    <xdr:to>
      <xdr:col>19</xdr:col>
      <xdr:colOff>790575</xdr:colOff>
      <xdr:row>101</xdr:row>
      <xdr:rowOff>124387</xdr:rowOff>
    </xdr:to>
    <xdr:pic>
      <xdr:nvPicPr>
        <xdr:cNvPr id="28" name="Imagen 27">
          <a:extLst>
            <a:ext uri="{FF2B5EF4-FFF2-40B4-BE49-F238E27FC236}">
              <a16:creationId xmlns:a16="http://schemas.microsoft.com/office/drawing/2014/main" id="{00000000-0008-0000-1000-00001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859250" y="19831050"/>
          <a:ext cx="1495425" cy="908612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141390</xdr:colOff>
      <xdr:row>1</xdr:row>
      <xdr:rowOff>106913</xdr:rowOff>
    </xdr:from>
    <xdr:to>
      <xdr:col>2</xdr:col>
      <xdr:colOff>1345233</xdr:colOff>
      <xdr:row>6</xdr:row>
      <xdr:rowOff>63025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0000000-0008-0000-12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39079" y="268658"/>
          <a:ext cx="1500376" cy="881655"/>
        </a:xfrm>
        <a:prstGeom prst="rect">
          <a:avLst/>
        </a:prstGeom>
      </xdr:spPr>
    </xdr:pic>
    <xdr:clientData/>
  </xdr:twoCellAnchor>
  <xdr:twoCellAnchor editAs="oneCell">
    <xdr:from>
      <xdr:col>1</xdr:col>
      <xdr:colOff>87474</xdr:colOff>
      <xdr:row>20</xdr:row>
      <xdr:rowOff>116633</xdr:rowOff>
    </xdr:from>
    <xdr:to>
      <xdr:col>2</xdr:col>
      <xdr:colOff>1291317</xdr:colOff>
      <xdr:row>25</xdr:row>
      <xdr:rowOff>160219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00000000-0008-0000-12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91581" y="4908291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18</xdr:col>
      <xdr:colOff>77755</xdr:colOff>
      <xdr:row>1</xdr:row>
      <xdr:rowOff>145791</xdr:rowOff>
    </xdr:from>
    <xdr:to>
      <xdr:col>19</xdr:col>
      <xdr:colOff>834506</xdr:colOff>
      <xdr:row>6</xdr:row>
      <xdr:rowOff>101903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00000000-0008-0000-12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79770" y="311021"/>
          <a:ext cx="1495425" cy="908612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95250</xdr:colOff>
      <xdr:row>1</xdr:row>
      <xdr:rowOff>76200</xdr:rowOff>
    </xdr:from>
    <xdr:to>
      <xdr:col>2</xdr:col>
      <xdr:colOff>1295400</xdr:colOff>
      <xdr:row>6</xdr:row>
      <xdr:rowOff>48187</xdr:rowOff>
    </xdr:to>
    <xdr:pic>
      <xdr:nvPicPr>
        <xdr:cNvPr id="15" name="Imagen 14">
          <a:extLst>
            <a:ext uri="{FF2B5EF4-FFF2-40B4-BE49-F238E27FC236}">
              <a16:creationId xmlns:a16="http://schemas.microsoft.com/office/drawing/2014/main" id="{00000000-0008-0000-1300-00000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95275" y="238125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</xdr:col>
      <xdr:colOff>85725</xdr:colOff>
      <xdr:row>20</xdr:row>
      <xdr:rowOff>85725</xdr:rowOff>
    </xdr:from>
    <xdr:to>
      <xdr:col>2</xdr:col>
      <xdr:colOff>1282700</xdr:colOff>
      <xdr:row>25</xdr:row>
      <xdr:rowOff>64062</xdr:rowOff>
    </xdr:to>
    <xdr:pic>
      <xdr:nvPicPr>
        <xdr:cNvPr id="16" name="Imagen 15">
          <a:extLst>
            <a:ext uri="{FF2B5EF4-FFF2-40B4-BE49-F238E27FC236}">
              <a16:creationId xmlns:a16="http://schemas.microsoft.com/office/drawing/2014/main" id="{00000000-0008-0000-1300-00001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5750" y="4152900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</xdr:col>
      <xdr:colOff>76200</xdr:colOff>
      <xdr:row>39</xdr:row>
      <xdr:rowOff>104775</xdr:rowOff>
    </xdr:from>
    <xdr:to>
      <xdr:col>2</xdr:col>
      <xdr:colOff>1276350</xdr:colOff>
      <xdr:row>44</xdr:row>
      <xdr:rowOff>83112</xdr:rowOff>
    </xdr:to>
    <xdr:pic>
      <xdr:nvPicPr>
        <xdr:cNvPr id="17" name="Imagen 16">
          <a:extLst>
            <a:ext uri="{FF2B5EF4-FFF2-40B4-BE49-F238E27FC236}">
              <a16:creationId xmlns:a16="http://schemas.microsoft.com/office/drawing/2014/main" id="{00000000-0008-0000-1300-00001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6225" y="8077200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</xdr:col>
      <xdr:colOff>66675</xdr:colOff>
      <xdr:row>58</xdr:row>
      <xdr:rowOff>85725</xdr:rowOff>
    </xdr:from>
    <xdr:to>
      <xdr:col>2</xdr:col>
      <xdr:colOff>1263650</xdr:colOff>
      <xdr:row>63</xdr:row>
      <xdr:rowOff>64062</xdr:rowOff>
    </xdr:to>
    <xdr:pic>
      <xdr:nvPicPr>
        <xdr:cNvPr id="18" name="Imagen 17">
          <a:extLst>
            <a:ext uri="{FF2B5EF4-FFF2-40B4-BE49-F238E27FC236}">
              <a16:creationId xmlns:a16="http://schemas.microsoft.com/office/drawing/2014/main" id="{00000000-0008-0000-1300-00001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6700" y="11963400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</xdr:col>
      <xdr:colOff>57150</xdr:colOff>
      <xdr:row>77</xdr:row>
      <xdr:rowOff>104775</xdr:rowOff>
    </xdr:from>
    <xdr:to>
      <xdr:col>2</xdr:col>
      <xdr:colOff>1257300</xdr:colOff>
      <xdr:row>82</xdr:row>
      <xdr:rowOff>83112</xdr:rowOff>
    </xdr:to>
    <xdr:pic>
      <xdr:nvPicPr>
        <xdr:cNvPr id="19" name="Imagen 18">
          <a:extLst>
            <a:ext uri="{FF2B5EF4-FFF2-40B4-BE49-F238E27FC236}">
              <a16:creationId xmlns:a16="http://schemas.microsoft.com/office/drawing/2014/main" id="{00000000-0008-0000-1300-00001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7175" y="15887700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</xdr:col>
      <xdr:colOff>57150</xdr:colOff>
      <xdr:row>96</xdr:row>
      <xdr:rowOff>133350</xdr:rowOff>
    </xdr:from>
    <xdr:to>
      <xdr:col>2</xdr:col>
      <xdr:colOff>1257300</xdr:colOff>
      <xdr:row>101</xdr:row>
      <xdr:rowOff>105337</xdr:rowOff>
    </xdr:to>
    <xdr:pic>
      <xdr:nvPicPr>
        <xdr:cNvPr id="20" name="Imagen 19">
          <a:extLst>
            <a:ext uri="{FF2B5EF4-FFF2-40B4-BE49-F238E27FC236}">
              <a16:creationId xmlns:a16="http://schemas.microsoft.com/office/drawing/2014/main" id="{00000000-0008-0000-1300-00001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7175" y="19821525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</xdr:col>
      <xdr:colOff>85725</xdr:colOff>
      <xdr:row>115</xdr:row>
      <xdr:rowOff>142875</xdr:rowOff>
    </xdr:from>
    <xdr:to>
      <xdr:col>2</xdr:col>
      <xdr:colOff>1282700</xdr:colOff>
      <xdr:row>121</xdr:row>
      <xdr:rowOff>6912</xdr:rowOff>
    </xdr:to>
    <xdr:pic>
      <xdr:nvPicPr>
        <xdr:cNvPr id="21" name="Imagen 20">
          <a:extLst>
            <a:ext uri="{FF2B5EF4-FFF2-40B4-BE49-F238E27FC236}">
              <a16:creationId xmlns:a16="http://schemas.microsoft.com/office/drawing/2014/main" id="{00000000-0008-0000-1300-00001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5750" y="23802975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18</xdr:col>
      <xdr:colOff>76200</xdr:colOff>
      <xdr:row>1</xdr:row>
      <xdr:rowOff>114300</xdr:rowOff>
    </xdr:from>
    <xdr:to>
      <xdr:col>19</xdr:col>
      <xdr:colOff>825500</xdr:colOff>
      <xdr:row>6</xdr:row>
      <xdr:rowOff>86287</xdr:rowOff>
    </xdr:to>
    <xdr:pic>
      <xdr:nvPicPr>
        <xdr:cNvPr id="22" name="Imagen 21">
          <a:extLst>
            <a:ext uri="{FF2B5EF4-FFF2-40B4-BE49-F238E27FC236}">
              <a16:creationId xmlns:a16="http://schemas.microsoft.com/office/drawing/2014/main" id="{00000000-0008-0000-1300-00001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744950" y="276225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18</xdr:col>
      <xdr:colOff>66675</xdr:colOff>
      <xdr:row>20</xdr:row>
      <xdr:rowOff>104775</xdr:rowOff>
    </xdr:from>
    <xdr:to>
      <xdr:col>19</xdr:col>
      <xdr:colOff>819150</xdr:colOff>
      <xdr:row>25</xdr:row>
      <xdr:rowOff>83112</xdr:rowOff>
    </xdr:to>
    <xdr:pic>
      <xdr:nvPicPr>
        <xdr:cNvPr id="23" name="Imagen 22">
          <a:extLst>
            <a:ext uri="{FF2B5EF4-FFF2-40B4-BE49-F238E27FC236}">
              <a16:creationId xmlns:a16="http://schemas.microsoft.com/office/drawing/2014/main" id="{00000000-0008-0000-1300-00001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735425" y="4171950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18</xdr:col>
      <xdr:colOff>57150</xdr:colOff>
      <xdr:row>39</xdr:row>
      <xdr:rowOff>133350</xdr:rowOff>
    </xdr:from>
    <xdr:to>
      <xdr:col>19</xdr:col>
      <xdr:colOff>806450</xdr:colOff>
      <xdr:row>44</xdr:row>
      <xdr:rowOff>105337</xdr:rowOff>
    </xdr:to>
    <xdr:pic>
      <xdr:nvPicPr>
        <xdr:cNvPr id="24" name="Imagen 23">
          <a:extLst>
            <a:ext uri="{FF2B5EF4-FFF2-40B4-BE49-F238E27FC236}">
              <a16:creationId xmlns:a16="http://schemas.microsoft.com/office/drawing/2014/main" id="{00000000-0008-0000-1300-00001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725900" y="8105775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18</xdr:col>
      <xdr:colOff>57150</xdr:colOff>
      <xdr:row>58</xdr:row>
      <xdr:rowOff>114300</xdr:rowOff>
    </xdr:from>
    <xdr:to>
      <xdr:col>19</xdr:col>
      <xdr:colOff>806450</xdr:colOff>
      <xdr:row>63</xdr:row>
      <xdr:rowOff>86287</xdr:rowOff>
    </xdr:to>
    <xdr:pic>
      <xdr:nvPicPr>
        <xdr:cNvPr id="25" name="Imagen 24">
          <a:extLst>
            <a:ext uri="{FF2B5EF4-FFF2-40B4-BE49-F238E27FC236}">
              <a16:creationId xmlns:a16="http://schemas.microsoft.com/office/drawing/2014/main" id="{00000000-0008-0000-1300-00001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725900" y="11991975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18</xdr:col>
      <xdr:colOff>95250</xdr:colOff>
      <xdr:row>77</xdr:row>
      <xdr:rowOff>95250</xdr:rowOff>
    </xdr:from>
    <xdr:to>
      <xdr:col>19</xdr:col>
      <xdr:colOff>844550</xdr:colOff>
      <xdr:row>82</xdr:row>
      <xdr:rowOff>67237</xdr:rowOff>
    </xdr:to>
    <xdr:pic>
      <xdr:nvPicPr>
        <xdr:cNvPr id="26" name="Imagen 25">
          <a:extLst>
            <a:ext uri="{FF2B5EF4-FFF2-40B4-BE49-F238E27FC236}">
              <a16:creationId xmlns:a16="http://schemas.microsoft.com/office/drawing/2014/main" id="{00000000-0008-0000-1300-00001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764000" y="15878175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18</xdr:col>
      <xdr:colOff>66675</xdr:colOff>
      <xdr:row>96</xdr:row>
      <xdr:rowOff>123825</xdr:rowOff>
    </xdr:from>
    <xdr:to>
      <xdr:col>19</xdr:col>
      <xdr:colOff>819150</xdr:colOff>
      <xdr:row>101</xdr:row>
      <xdr:rowOff>102162</xdr:rowOff>
    </xdr:to>
    <xdr:pic>
      <xdr:nvPicPr>
        <xdr:cNvPr id="27" name="Imagen 26">
          <a:extLst>
            <a:ext uri="{FF2B5EF4-FFF2-40B4-BE49-F238E27FC236}">
              <a16:creationId xmlns:a16="http://schemas.microsoft.com/office/drawing/2014/main" id="{00000000-0008-0000-1300-00001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735425" y="19812000"/>
          <a:ext cx="1495425" cy="908612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87475</xdr:colOff>
      <xdr:row>20</xdr:row>
      <xdr:rowOff>68036</xdr:rowOff>
    </xdr:from>
    <xdr:to>
      <xdr:col>2</xdr:col>
      <xdr:colOff>1291318</xdr:colOff>
      <xdr:row>25</xdr:row>
      <xdr:rowOff>111622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00000000-0008-0000-15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91582" y="4859694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</xdr:col>
      <xdr:colOff>48597</xdr:colOff>
      <xdr:row>1</xdr:row>
      <xdr:rowOff>136072</xdr:rowOff>
    </xdr:from>
    <xdr:to>
      <xdr:col>2</xdr:col>
      <xdr:colOff>1252440</xdr:colOff>
      <xdr:row>6</xdr:row>
      <xdr:rowOff>92184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00000000-0008-0000-15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2704" y="301302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18</xdr:col>
      <xdr:colOff>81642</xdr:colOff>
      <xdr:row>1</xdr:row>
      <xdr:rowOff>136071</xdr:rowOff>
    </xdr:from>
    <xdr:to>
      <xdr:col>19</xdr:col>
      <xdr:colOff>838393</xdr:colOff>
      <xdr:row>6</xdr:row>
      <xdr:rowOff>92183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00000000-0008-0000-15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036142" y="299357"/>
          <a:ext cx="1505144" cy="895005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28575</xdr:colOff>
      <xdr:row>1</xdr:row>
      <xdr:rowOff>95250</xdr:rowOff>
    </xdr:from>
    <xdr:to>
      <xdr:col>2</xdr:col>
      <xdr:colOff>1228725</xdr:colOff>
      <xdr:row>6</xdr:row>
      <xdr:rowOff>64062</xdr:rowOff>
    </xdr:to>
    <xdr:pic>
      <xdr:nvPicPr>
        <xdr:cNvPr id="15" name="Imagen 14">
          <a:extLst>
            <a:ext uri="{FF2B5EF4-FFF2-40B4-BE49-F238E27FC236}">
              <a16:creationId xmlns:a16="http://schemas.microsoft.com/office/drawing/2014/main" id="{00000000-0008-0000-1600-00000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8600" y="257175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</xdr:col>
      <xdr:colOff>76200</xdr:colOff>
      <xdr:row>20</xdr:row>
      <xdr:rowOff>123825</xdr:rowOff>
    </xdr:from>
    <xdr:to>
      <xdr:col>2</xdr:col>
      <xdr:colOff>1276350</xdr:colOff>
      <xdr:row>25</xdr:row>
      <xdr:rowOff>105337</xdr:rowOff>
    </xdr:to>
    <xdr:pic>
      <xdr:nvPicPr>
        <xdr:cNvPr id="16" name="Imagen 15">
          <a:extLst>
            <a:ext uri="{FF2B5EF4-FFF2-40B4-BE49-F238E27FC236}">
              <a16:creationId xmlns:a16="http://schemas.microsoft.com/office/drawing/2014/main" id="{00000000-0008-0000-1600-00001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6225" y="4191000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</xdr:col>
      <xdr:colOff>47625</xdr:colOff>
      <xdr:row>39</xdr:row>
      <xdr:rowOff>133350</xdr:rowOff>
    </xdr:from>
    <xdr:to>
      <xdr:col>2</xdr:col>
      <xdr:colOff>1247775</xdr:colOff>
      <xdr:row>44</xdr:row>
      <xdr:rowOff>102162</xdr:rowOff>
    </xdr:to>
    <xdr:pic>
      <xdr:nvPicPr>
        <xdr:cNvPr id="17" name="Imagen 16">
          <a:extLst>
            <a:ext uri="{FF2B5EF4-FFF2-40B4-BE49-F238E27FC236}">
              <a16:creationId xmlns:a16="http://schemas.microsoft.com/office/drawing/2014/main" id="{00000000-0008-0000-1600-00001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8115300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</xdr:col>
      <xdr:colOff>47625</xdr:colOff>
      <xdr:row>58</xdr:row>
      <xdr:rowOff>104775</xdr:rowOff>
    </xdr:from>
    <xdr:to>
      <xdr:col>2</xdr:col>
      <xdr:colOff>1247775</xdr:colOff>
      <xdr:row>63</xdr:row>
      <xdr:rowOff>86287</xdr:rowOff>
    </xdr:to>
    <xdr:pic>
      <xdr:nvPicPr>
        <xdr:cNvPr id="18" name="Imagen 17">
          <a:extLst>
            <a:ext uri="{FF2B5EF4-FFF2-40B4-BE49-F238E27FC236}">
              <a16:creationId xmlns:a16="http://schemas.microsoft.com/office/drawing/2014/main" id="{00000000-0008-0000-1600-00001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2001500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</xdr:col>
      <xdr:colOff>95250</xdr:colOff>
      <xdr:row>77</xdr:row>
      <xdr:rowOff>104775</xdr:rowOff>
    </xdr:from>
    <xdr:to>
      <xdr:col>2</xdr:col>
      <xdr:colOff>1295400</xdr:colOff>
      <xdr:row>82</xdr:row>
      <xdr:rowOff>86287</xdr:rowOff>
    </xdr:to>
    <xdr:pic>
      <xdr:nvPicPr>
        <xdr:cNvPr id="19" name="Imagen 18">
          <a:extLst>
            <a:ext uri="{FF2B5EF4-FFF2-40B4-BE49-F238E27FC236}">
              <a16:creationId xmlns:a16="http://schemas.microsoft.com/office/drawing/2014/main" id="{00000000-0008-0000-1600-00001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95275" y="15906750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</xdr:col>
      <xdr:colOff>38100</xdr:colOff>
      <xdr:row>96</xdr:row>
      <xdr:rowOff>133350</xdr:rowOff>
    </xdr:from>
    <xdr:to>
      <xdr:col>2</xdr:col>
      <xdr:colOff>1238250</xdr:colOff>
      <xdr:row>101</xdr:row>
      <xdr:rowOff>102162</xdr:rowOff>
    </xdr:to>
    <xdr:pic>
      <xdr:nvPicPr>
        <xdr:cNvPr id="20" name="Imagen 19">
          <a:extLst>
            <a:ext uri="{FF2B5EF4-FFF2-40B4-BE49-F238E27FC236}">
              <a16:creationId xmlns:a16="http://schemas.microsoft.com/office/drawing/2014/main" id="{00000000-0008-0000-1600-00001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8125" y="19840575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</xdr:col>
      <xdr:colOff>85725</xdr:colOff>
      <xdr:row>115</xdr:row>
      <xdr:rowOff>85725</xdr:rowOff>
    </xdr:from>
    <xdr:to>
      <xdr:col>2</xdr:col>
      <xdr:colOff>1285875</xdr:colOff>
      <xdr:row>120</xdr:row>
      <xdr:rowOff>140262</xdr:rowOff>
    </xdr:to>
    <xdr:pic>
      <xdr:nvPicPr>
        <xdr:cNvPr id="21" name="Imagen 20">
          <a:extLst>
            <a:ext uri="{FF2B5EF4-FFF2-40B4-BE49-F238E27FC236}">
              <a16:creationId xmlns:a16="http://schemas.microsoft.com/office/drawing/2014/main" id="{00000000-0008-0000-1600-00001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5750" y="23764875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18</xdr:col>
      <xdr:colOff>47625</xdr:colOff>
      <xdr:row>1</xdr:row>
      <xdr:rowOff>85725</xdr:rowOff>
    </xdr:from>
    <xdr:to>
      <xdr:col>19</xdr:col>
      <xdr:colOff>800100</xdr:colOff>
      <xdr:row>6</xdr:row>
      <xdr:rowOff>67237</xdr:rowOff>
    </xdr:to>
    <xdr:pic>
      <xdr:nvPicPr>
        <xdr:cNvPr id="22" name="Imagen 21">
          <a:extLst>
            <a:ext uri="{FF2B5EF4-FFF2-40B4-BE49-F238E27FC236}">
              <a16:creationId xmlns:a16="http://schemas.microsoft.com/office/drawing/2014/main" id="{00000000-0008-0000-1600-00001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002125" y="247650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18</xdr:col>
      <xdr:colOff>66675</xdr:colOff>
      <xdr:row>20</xdr:row>
      <xdr:rowOff>104775</xdr:rowOff>
    </xdr:from>
    <xdr:to>
      <xdr:col>19</xdr:col>
      <xdr:colOff>819150</xdr:colOff>
      <xdr:row>25</xdr:row>
      <xdr:rowOff>86287</xdr:rowOff>
    </xdr:to>
    <xdr:pic>
      <xdr:nvPicPr>
        <xdr:cNvPr id="23" name="Imagen 22">
          <a:extLst>
            <a:ext uri="{FF2B5EF4-FFF2-40B4-BE49-F238E27FC236}">
              <a16:creationId xmlns:a16="http://schemas.microsoft.com/office/drawing/2014/main" id="{00000000-0008-0000-1600-00001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021175" y="4171950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18</xdr:col>
      <xdr:colOff>38100</xdr:colOff>
      <xdr:row>39</xdr:row>
      <xdr:rowOff>28575</xdr:rowOff>
    </xdr:from>
    <xdr:to>
      <xdr:col>19</xdr:col>
      <xdr:colOff>790575</xdr:colOff>
      <xdr:row>44</xdr:row>
      <xdr:rowOff>10087</xdr:rowOff>
    </xdr:to>
    <xdr:pic>
      <xdr:nvPicPr>
        <xdr:cNvPr id="24" name="Imagen 23">
          <a:extLst>
            <a:ext uri="{FF2B5EF4-FFF2-40B4-BE49-F238E27FC236}">
              <a16:creationId xmlns:a16="http://schemas.microsoft.com/office/drawing/2014/main" id="{00000000-0008-0000-1600-00001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92600" y="8010525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18</xdr:col>
      <xdr:colOff>28575</xdr:colOff>
      <xdr:row>58</xdr:row>
      <xdr:rowOff>85725</xdr:rowOff>
    </xdr:from>
    <xdr:to>
      <xdr:col>19</xdr:col>
      <xdr:colOff>781050</xdr:colOff>
      <xdr:row>63</xdr:row>
      <xdr:rowOff>67237</xdr:rowOff>
    </xdr:to>
    <xdr:pic>
      <xdr:nvPicPr>
        <xdr:cNvPr id="25" name="Imagen 24">
          <a:extLst>
            <a:ext uri="{FF2B5EF4-FFF2-40B4-BE49-F238E27FC236}">
              <a16:creationId xmlns:a16="http://schemas.microsoft.com/office/drawing/2014/main" id="{00000000-0008-0000-1600-00001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83075" y="11982450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18</xdr:col>
      <xdr:colOff>57150</xdr:colOff>
      <xdr:row>77</xdr:row>
      <xdr:rowOff>66675</xdr:rowOff>
    </xdr:from>
    <xdr:to>
      <xdr:col>19</xdr:col>
      <xdr:colOff>809625</xdr:colOff>
      <xdr:row>82</xdr:row>
      <xdr:rowOff>48187</xdr:rowOff>
    </xdr:to>
    <xdr:pic>
      <xdr:nvPicPr>
        <xdr:cNvPr id="26" name="Imagen 25">
          <a:extLst>
            <a:ext uri="{FF2B5EF4-FFF2-40B4-BE49-F238E27FC236}">
              <a16:creationId xmlns:a16="http://schemas.microsoft.com/office/drawing/2014/main" id="{00000000-0008-0000-1600-00001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011650" y="15868650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18</xdr:col>
      <xdr:colOff>38100</xdr:colOff>
      <xdr:row>96</xdr:row>
      <xdr:rowOff>123825</xdr:rowOff>
    </xdr:from>
    <xdr:to>
      <xdr:col>19</xdr:col>
      <xdr:colOff>790575</xdr:colOff>
      <xdr:row>101</xdr:row>
      <xdr:rowOff>105337</xdr:rowOff>
    </xdr:to>
    <xdr:pic>
      <xdr:nvPicPr>
        <xdr:cNvPr id="27" name="Imagen 26">
          <a:extLst>
            <a:ext uri="{FF2B5EF4-FFF2-40B4-BE49-F238E27FC236}">
              <a16:creationId xmlns:a16="http://schemas.microsoft.com/office/drawing/2014/main" id="{00000000-0008-0000-1600-00001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92600" y="19831050"/>
          <a:ext cx="1495425" cy="908612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68035</xdr:colOff>
      <xdr:row>1</xdr:row>
      <xdr:rowOff>116633</xdr:rowOff>
    </xdr:from>
    <xdr:to>
      <xdr:col>2</xdr:col>
      <xdr:colOff>1271878</xdr:colOff>
      <xdr:row>6</xdr:row>
      <xdr:rowOff>72745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00000000-0008-0000-18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2142" y="281863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</xdr:col>
      <xdr:colOff>174949</xdr:colOff>
      <xdr:row>20</xdr:row>
      <xdr:rowOff>145791</xdr:rowOff>
    </xdr:from>
    <xdr:to>
      <xdr:col>2</xdr:col>
      <xdr:colOff>1378792</xdr:colOff>
      <xdr:row>25</xdr:row>
      <xdr:rowOff>189377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00000000-0008-0000-18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9056" y="4937449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18</xdr:col>
      <xdr:colOff>87475</xdr:colOff>
      <xdr:row>1</xdr:row>
      <xdr:rowOff>87475</xdr:rowOff>
    </xdr:from>
    <xdr:to>
      <xdr:col>19</xdr:col>
      <xdr:colOff>844226</xdr:colOff>
      <xdr:row>6</xdr:row>
      <xdr:rowOff>43587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00000000-0008-0000-18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067245" y="252705"/>
          <a:ext cx="1495425" cy="908612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28575</xdr:colOff>
      <xdr:row>1</xdr:row>
      <xdr:rowOff>95250</xdr:rowOff>
    </xdr:from>
    <xdr:to>
      <xdr:col>2</xdr:col>
      <xdr:colOff>1228725</xdr:colOff>
      <xdr:row>6</xdr:row>
      <xdr:rowOff>64062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76CE724B-CE46-489F-BE31-7B5160E859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4950" y="247650"/>
          <a:ext cx="1514475" cy="876862"/>
        </a:xfrm>
        <a:prstGeom prst="rect">
          <a:avLst/>
        </a:prstGeom>
      </xdr:spPr>
    </xdr:pic>
    <xdr:clientData/>
  </xdr:twoCellAnchor>
  <xdr:twoCellAnchor editAs="oneCell">
    <xdr:from>
      <xdr:col>1</xdr:col>
      <xdr:colOff>76200</xdr:colOff>
      <xdr:row>20</xdr:row>
      <xdr:rowOff>123825</xdr:rowOff>
    </xdr:from>
    <xdr:to>
      <xdr:col>2</xdr:col>
      <xdr:colOff>1276350</xdr:colOff>
      <xdr:row>25</xdr:row>
      <xdr:rowOff>105337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B0BD5F05-FCEE-42A5-A436-76D6A2EE014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5750" y="4035425"/>
          <a:ext cx="1514475" cy="886387"/>
        </a:xfrm>
        <a:prstGeom prst="rect">
          <a:avLst/>
        </a:prstGeom>
      </xdr:spPr>
    </xdr:pic>
    <xdr:clientData/>
  </xdr:twoCellAnchor>
  <xdr:twoCellAnchor editAs="oneCell">
    <xdr:from>
      <xdr:col>1</xdr:col>
      <xdr:colOff>47625</xdr:colOff>
      <xdr:row>39</xdr:row>
      <xdr:rowOff>133350</xdr:rowOff>
    </xdr:from>
    <xdr:to>
      <xdr:col>2</xdr:col>
      <xdr:colOff>1247775</xdr:colOff>
      <xdr:row>44</xdr:row>
      <xdr:rowOff>102162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804123F7-8419-4699-8DED-66E3F48A39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4000" y="7820025"/>
          <a:ext cx="1514475" cy="876862"/>
        </a:xfrm>
        <a:prstGeom prst="rect">
          <a:avLst/>
        </a:prstGeom>
      </xdr:spPr>
    </xdr:pic>
    <xdr:clientData/>
  </xdr:twoCellAnchor>
  <xdr:twoCellAnchor editAs="oneCell">
    <xdr:from>
      <xdr:col>1</xdr:col>
      <xdr:colOff>47625</xdr:colOff>
      <xdr:row>58</xdr:row>
      <xdr:rowOff>104775</xdr:rowOff>
    </xdr:from>
    <xdr:to>
      <xdr:col>2</xdr:col>
      <xdr:colOff>1247775</xdr:colOff>
      <xdr:row>63</xdr:row>
      <xdr:rowOff>86287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6C46CE13-D795-475E-8788-C3F638BFE27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4000" y="11560175"/>
          <a:ext cx="1514475" cy="886387"/>
        </a:xfrm>
        <a:prstGeom prst="rect">
          <a:avLst/>
        </a:prstGeom>
      </xdr:spPr>
    </xdr:pic>
    <xdr:clientData/>
  </xdr:twoCellAnchor>
  <xdr:twoCellAnchor editAs="oneCell">
    <xdr:from>
      <xdr:col>1</xdr:col>
      <xdr:colOff>95250</xdr:colOff>
      <xdr:row>77</xdr:row>
      <xdr:rowOff>104775</xdr:rowOff>
    </xdr:from>
    <xdr:to>
      <xdr:col>2</xdr:col>
      <xdr:colOff>1295400</xdr:colOff>
      <xdr:row>82</xdr:row>
      <xdr:rowOff>86287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F6F6FCF3-B16E-4BC1-8F9B-0479CEEDA6F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04800" y="15322550"/>
          <a:ext cx="1514475" cy="886387"/>
        </a:xfrm>
        <a:prstGeom prst="rect">
          <a:avLst/>
        </a:prstGeom>
      </xdr:spPr>
    </xdr:pic>
    <xdr:clientData/>
  </xdr:twoCellAnchor>
  <xdr:twoCellAnchor editAs="oneCell">
    <xdr:from>
      <xdr:col>1</xdr:col>
      <xdr:colOff>38100</xdr:colOff>
      <xdr:row>96</xdr:row>
      <xdr:rowOff>133350</xdr:rowOff>
    </xdr:from>
    <xdr:to>
      <xdr:col>2</xdr:col>
      <xdr:colOff>1238250</xdr:colOff>
      <xdr:row>101</xdr:row>
      <xdr:rowOff>102162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7D4E2B21-2CE2-4028-842C-2E6EE9EF41F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9116675"/>
          <a:ext cx="1514475" cy="876862"/>
        </a:xfrm>
        <a:prstGeom prst="rect">
          <a:avLst/>
        </a:prstGeom>
      </xdr:spPr>
    </xdr:pic>
    <xdr:clientData/>
  </xdr:twoCellAnchor>
  <xdr:twoCellAnchor editAs="oneCell">
    <xdr:from>
      <xdr:col>1</xdr:col>
      <xdr:colOff>85725</xdr:colOff>
      <xdr:row>115</xdr:row>
      <xdr:rowOff>85725</xdr:rowOff>
    </xdr:from>
    <xdr:to>
      <xdr:col>2</xdr:col>
      <xdr:colOff>1285875</xdr:colOff>
      <xdr:row>120</xdr:row>
      <xdr:rowOff>140262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id="{0C8D5054-D83D-4583-BD7F-9D3DE3C27FF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92100" y="22904450"/>
          <a:ext cx="1514475" cy="870512"/>
        </a:xfrm>
        <a:prstGeom prst="rect">
          <a:avLst/>
        </a:prstGeom>
      </xdr:spPr>
    </xdr:pic>
    <xdr:clientData/>
  </xdr:twoCellAnchor>
  <xdr:twoCellAnchor editAs="oneCell">
    <xdr:from>
      <xdr:col>18</xdr:col>
      <xdr:colOff>47625</xdr:colOff>
      <xdr:row>1</xdr:row>
      <xdr:rowOff>85725</xdr:rowOff>
    </xdr:from>
    <xdr:to>
      <xdr:col>19</xdr:col>
      <xdr:colOff>800100</xdr:colOff>
      <xdr:row>6</xdr:row>
      <xdr:rowOff>67237</xdr:rowOff>
    </xdr:to>
    <xdr:pic>
      <xdr:nvPicPr>
        <xdr:cNvPr id="9" name="Imagen 8">
          <a:extLst>
            <a:ext uri="{FF2B5EF4-FFF2-40B4-BE49-F238E27FC236}">
              <a16:creationId xmlns:a16="http://schemas.microsoft.com/office/drawing/2014/main" id="{6E698FAC-A40D-45AF-95CD-9B8AA33DB5C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789525" y="234950"/>
          <a:ext cx="1536700" cy="886387"/>
        </a:xfrm>
        <a:prstGeom prst="rect">
          <a:avLst/>
        </a:prstGeom>
      </xdr:spPr>
    </xdr:pic>
    <xdr:clientData/>
  </xdr:twoCellAnchor>
  <xdr:twoCellAnchor editAs="oneCell">
    <xdr:from>
      <xdr:col>18</xdr:col>
      <xdr:colOff>66675</xdr:colOff>
      <xdr:row>20</xdr:row>
      <xdr:rowOff>104775</xdr:rowOff>
    </xdr:from>
    <xdr:to>
      <xdr:col>19</xdr:col>
      <xdr:colOff>819150</xdr:colOff>
      <xdr:row>25</xdr:row>
      <xdr:rowOff>86287</xdr:rowOff>
    </xdr:to>
    <xdr:pic>
      <xdr:nvPicPr>
        <xdr:cNvPr id="10" name="Imagen 9">
          <a:extLst>
            <a:ext uri="{FF2B5EF4-FFF2-40B4-BE49-F238E27FC236}">
              <a16:creationId xmlns:a16="http://schemas.microsoft.com/office/drawing/2014/main" id="{EF56020C-0792-4A51-8675-94E96E03A0E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808575" y="4016375"/>
          <a:ext cx="1536700" cy="886387"/>
        </a:xfrm>
        <a:prstGeom prst="rect">
          <a:avLst/>
        </a:prstGeom>
      </xdr:spPr>
    </xdr:pic>
    <xdr:clientData/>
  </xdr:twoCellAnchor>
  <xdr:twoCellAnchor editAs="oneCell">
    <xdr:from>
      <xdr:col>18</xdr:col>
      <xdr:colOff>38100</xdr:colOff>
      <xdr:row>39</xdr:row>
      <xdr:rowOff>28575</xdr:rowOff>
    </xdr:from>
    <xdr:to>
      <xdr:col>19</xdr:col>
      <xdr:colOff>790575</xdr:colOff>
      <xdr:row>44</xdr:row>
      <xdr:rowOff>10087</xdr:rowOff>
    </xdr:to>
    <xdr:pic>
      <xdr:nvPicPr>
        <xdr:cNvPr id="11" name="Imagen 10">
          <a:extLst>
            <a:ext uri="{FF2B5EF4-FFF2-40B4-BE49-F238E27FC236}">
              <a16:creationId xmlns:a16="http://schemas.microsoft.com/office/drawing/2014/main" id="{CA412CE7-731C-474B-A10D-5C3DF04AEFB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783175" y="7712075"/>
          <a:ext cx="1530350" cy="886387"/>
        </a:xfrm>
        <a:prstGeom prst="rect">
          <a:avLst/>
        </a:prstGeom>
      </xdr:spPr>
    </xdr:pic>
    <xdr:clientData/>
  </xdr:twoCellAnchor>
  <xdr:twoCellAnchor editAs="oneCell">
    <xdr:from>
      <xdr:col>18</xdr:col>
      <xdr:colOff>28575</xdr:colOff>
      <xdr:row>58</xdr:row>
      <xdr:rowOff>85725</xdr:rowOff>
    </xdr:from>
    <xdr:to>
      <xdr:col>19</xdr:col>
      <xdr:colOff>781050</xdr:colOff>
      <xdr:row>63</xdr:row>
      <xdr:rowOff>67237</xdr:rowOff>
    </xdr:to>
    <xdr:pic>
      <xdr:nvPicPr>
        <xdr:cNvPr id="12" name="Imagen 11">
          <a:extLst>
            <a:ext uri="{FF2B5EF4-FFF2-40B4-BE49-F238E27FC236}">
              <a16:creationId xmlns:a16="http://schemas.microsoft.com/office/drawing/2014/main" id="{7862BF5A-B454-400A-8F27-AA54D994708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770475" y="11541125"/>
          <a:ext cx="1536700" cy="886387"/>
        </a:xfrm>
        <a:prstGeom prst="rect">
          <a:avLst/>
        </a:prstGeom>
      </xdr:spPr>
    </xdr:pic>
    <xdr:clientData/>
  </xdr:twoCellAnchor>
  <xdr:twoCellAnchor editAs="oneCell">
    <xdr:from>
      <xdr:col>18</xdr:col>
      <xdr:colOff>57150</xdr:colOff>
      <xdr:row>77</xdr:row>
      <xdr:rowOff>66675</xdr:rowOff>
    </xdr:from>
    <xdr:to>
      <xdr:col>19</xdr:col>
      <xdr:colOff>809625</xdr:colOff>
      <xdr:row>82</xdr:row>
      <xdr:rowOff>48187</xdr:rowOff>
    </xdr:to>
    <xdr:pic>
      <xdr:nvPicPr>
        <xdr:cNvPr id="13" name="Imagen 12">
          <a:extLst>
            <a:ext uri="{FF2B5EF4-FFF2-40B4-BE49-F238E27FC236}">
              <a16:creationId xmlns:a16="http://schemas.microsoft.com/office/drawing/2014/main" id="{89DC5C3F-A21B-4AFF-92E5-EF3B4001F25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802225" y="15284450"/>
          <a:ext cx="1530350" cy="886387"/>
        </a:xfrm>
        <a:prstGeom prst="rect">
          <a:avLst/>
        </a:prstGeom>
      </xdr:spPr>
    </xdr:pic>
    <xdr:clientData/>
  </xdr:twoCellAnchor>
  <xdr:twoCellAnchor editAs="oneCell">
    <xdr:from>
      <xdr:col>18</xdr:col>
      <xdr:colOff>38100</xdr:colOff>
      <xdr:row>96</xdr:row>
      <xdr:rowOff>123825</xdr:rowOff>
    </xdr:from>
    <xdr:to>
      <xdr:col>19</xdr:col>
      <xdr:colOff>790575</xdr:colOff>
      <xdr:row>101</xdr:row>
      <xdr:rowOff>105337</xdr:rowOff>
    </xdr:to>
    <xdr:pic>
      <xdr:nvPicPr>
        <xdr:cNvPr id="14" name="Imagen 13">
          <a:extLst>
            <a:ext uri="{FF2B5EF4-FFF2-40B4-BE49-F238E27FC236}">
              <a16:creationId xmlns:a16="http://schemas.microsoft.com/office/drawing/2014/main" id="{4E23E018-286C-4EF8-9237-252062B19ED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783175" y="19103975"/>
          <a:ext cx="1530350" cy="886387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68035</xdr:colOff>
      <xdr:row>1</xdr:row>
      <xdr:rowOff>116633</xdr:rowOff>
    </xdr:from>
    <xdr:to>
      <xdr:col>2</xdr:col>
      <xdr:colOff>1268703</xdr:colOff>
      <xdr:row>6</xdr:row>
      <xdr:rowOff>69570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BCA7ABED-C9B5-4606-A6C7-D26C4E15136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4410" y="269033"/>
          <a:ext cx="1518168" cy="857812"/>
        </a:xfrm>
        <a:prstGeom prst="rect">
          <a:avLst/>
        </a:prstGeom>
      </xdr:spPr>
    </xdr:pic>
    <xdr:clientData/>
  </xdr:twoCellAnchor>
  <xdr:twoCellAnchor editAs="oneCell">
    <xdr:from>
      <xdr:col>1</xdr:col>
      <xdr:colOff>174949</xdr:colOff>
      <xdr:row>20</xdr:row>
      <xdr:rowOff>145791</xdr:rowOff>
    </xdr:from>
    <xdr:to>
      <xdr:col>2</xdr:col>
      <xdr:colOff>1381967</xdr:colOff>
      <xdr:row>25</xdr:row>
      <xdr:rowOff>189377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47EE53EA-5B8A-497C-A104-97B404CB698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7674" y="4695566"/>
          <a:ext cx="1518168" cy="856386"/>
        </a:xfrm>
        <a:prstGeom prst="rect">
          <a:avLst/>
        </a:prstGeom>
      </xdr:spPr>
    </xdr:pic>
    <xdr:clientData/>
  </xdr:twoCellAnchor>
  <xdr:twoCellAnchor editAs="oneCell">
    <xdr:from>
      <xdr:col>18</xdr:col>
      <xdr:colOff>87475</xdr:colOff>
      <xdr:row>1</xdr:row>
      <xdr:rowOff>87475</xdr:rowOff>
    </xdr:from>
    <xdr:to>
      <xdr:col>19</xdr:col>
      <xdr:colOff>847401</xdr:colOff>
      <xdr:row>6</xdr:row>
      <xdr:rowOff>46762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C35AE321-9017-459D-9AEE-1A3425E2095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829375" y="236700"/>
          <a:ext cx="1544151" cy="867337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66675</xdr:colOff>
      <xdr:row>1</xdr:row>
      <xdr:rowOff>114300</xdr:rowOff>
    </xdr:from>
    <xdr:to>
      <xdr:col>2</xdr:col>
      <xdr:colOff>1263650</xdr:colOff>
      <xdr:row>6</xdr:row>
      <xdr:rowOff>86287</xdr:rowOff>
    </xdr:to>
    <xdr:pic>
      <xdr:nvPicPr>
        <xdr:cNvPr id="15" name="Imagen 14">
          <a:extLst>
            <a:ext uri="{FF2B5EF4-FFF2-40B4-BE49-F238E27FC236}">
              <a16:creationId xmlns:a16="http://schemas.microsoft.com/office/drawing/2014/main" id="{00000000-0008-0000-1900-00000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6700" y="276225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</xdr:col>
      <xdr:colOff>57150</xdr:colOff>
      <xdr:row>20</xdr:row>
      <xdr:rowOff>104775</xdr:rowOff>
    </xdr:from>
    <xdr:to>
      <xdr:col>2</xdr:col>
      <xdr:colOff>1257300</xdr:colOff>
      <xdr:row>25</xdr:row>
      <xdr:rowOff>83112</xdr:rowOff>
    </xdr:to>
    <xdr:pic>
      <xdr:nvPicPr>
        <xdr:cNvPr id="16" name="Imagen 15">
          <a:extLst>
            <a:ext uri="{FF2B5EF4-FFF2-40B4-BE49-F238E27FC236}">
              <a16:creationId xmlns:a16="http://schemas.microsoft.com/office/drawing/2014/main" id="{00000000-0008-0000-1900-00001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7175" y="4171950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</xdr:col>
      <xdr:colOff>76200</xdr:colOff>
      <xdr:row>39</xdr:row>
      <xdr:rowOff>114300</xdr:rowOff>
    </xdr:from>
    <xdr:to>
      <xdr:col>2</xdr:col>
      <xdr:colOff>1276350</xdr:colOff>
      <xdr:row>44</xdr:row>
      <xdr:rowOff>86287</xdr:rowOff>
    </xdr:to>
    <xdr:pic>
      <xdr:nvPicPr>
        <xdr:cNvPr id="17" name="Imagen 16">
          <a:extLst>
            <a:ext uri="{FF2B5EF4-FFF2-40B4-BE49-F238E27FC236}">
              <a16:creationId xmlns:a16="http://schemas.microsoft.com/office/drawing/2014/main" id="{00000000-0008-0000-1900-00001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6225" y="8086725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</xdr:col>
      <xdr:colOff>57150</xdr:colOff>
      <xdr:row>58</xdr:row>
      <xdr:rowOff>76200</xdr:rowOff>
    </xdr:from>
    <xdr:to>
      <xdr:col>2</xdr:col>
      <xdr:colOff>1257300</xdr:colOff>
      <xdr:row>63</xdr:row>
      <xdr:rowOff>48187</xdr:rowOff>
    </xdr:to>
    <xdr:pic>
      <xdr:nvPicPr>
        <xdr:cNvPr id="18" name="Imagen 17">
          <a:extLst>
            <a:ext uri="{FF2B5EF4-FFF2-40B4-BE49-F238E27FC236}">
              <a16:creationId xmlns:a16="http://schemas.microsoft.com/office/drawing/2014/main" id="{00000000-0008-0000-1900-00001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7175" y="11953875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</xdr:col>
      <xdr:colOff>76200</xdr:colOff>
      <xdr:row>77</xdr:row>
      <xdr:rowOff>114300</xdr:rowOff>
    </xdr:from>
    <xdr:to>
      <xdr:col>2</xdr:col>
      <xdr:colOff>1276350</xdr:colOff>
      <xdr:row>82</xdr:row>
      <xdr:rowOff>86287</xdr:rowOff>
    </xdr:to>
    <xdr:pic>
      <xdr:nvPicPr>
        <xdr:cNvPr id="19" name="Imagen 18">
          <a:extLst>
            <a:ext uri="{FF2B5EF4-FFF2-40B4-BE49-F238E27FC236}">
              <a16:creationId xmlns:a16="http://schemas.microsoft.com/office/drawing/2014/main" id="{00000000-0008-0000-1900-00001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6225" y="15897225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</xdr:col>
      <xdr:colOff>57150</xdr:colOff>
      <xdr:row>96</xdr:row>
      <xdr:rowOff>123825</xdr:rowOff>
    </xdr:from>
    <xdr:to>
      <xdr:col>2</xdr:col>
      <xdr:colOff>1257300</xdr:colOff>
      <xdr:row>101</xdr:row>
      <xdr:rowOff>102162</xdr:rowOff>
    </xdr:to>
    <xdr:pic>
      <xdr:nvPicPr>
        <xdr:cNvPr id="20" name="Imagen 19">
          <a:extLst>
            <a:ext uri="{FF2B5EF4-FFF2-40B4-BE49-F238E27FC236}">
              <a16:creationId xmlns:a16="http://schemas.microsoft.com/office/drawing/2014/main" id="{00000000-0008-0000-1900-00001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7175" y="19812000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</xdr:col>
      <xdr:colOff>76200</xdr:colOff>
      <xdr:row>115</xdr:row>
      <xdr:rowOff>114300</xdr:rowOff>
    </xdr:from>
    <xdr:to>
      <xdr:col>2</xdr:col>
      <xdr:colOff>1276350</xdr:colOff>
      <xdr:row>120</xdr:row>
      <xdr:rowOff>178362</xdr:rowOff>
    </xdr:to>
    <xdr:pic>
      <xdr:nvPicPr>
        <xdr:cNvPr id="21" name="Imagen 20">
          <a:extLst>
            <a:ext uri="{FF2B5EF4-FFF2-40B4-BE49-F238E27FC236}">
              <a16:creationId xmlns:a16="http://schemas.microsoft.com/office/drawing/2014/main" id="{00000000-0008-0000-1900-00001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6225" y="23774400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18</xdr:col>
      <xdr:colOff>38100</xdr:colOff>
      <xdr:row>1</xdr:row>
      <xdr:rowOff>85725</xdr:rowOff>
    </xdr:from>
    <xdr:to>
      <xdr:col>19</xdr:col>
      <xdr:colOff>787400</xdr:colOff>
      <xdr:row>6</xdr:row>
      <xdr:rowOff>64062</xdr:rowOff>
    </xdr:to>
    <xdr:pic>
      <xdr:nvPicPr>
        <xdr:cNvPr id="22" name="Imagen 21">
          <a:extLst>
            <a:ext uri="{FF2B5EF4-FFF2-40B4-BE49-F238E27FC236}">
              <a16:creationId xmlns:a16="http://schemas.microsoft.com/office/drawing/2014/main" id="{00000000-0008-0000-1900-00001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002125" y="247650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18</xdr:col>
      <xdr:colOff>57150</xdr:colOff>
      <xdr:row>20</xdr:row>
      <xdr:rowOff>66675</xdr:rowOff>
    </xdr:from>
    <xdr:to>
      <xdr:col>19</xdr:col>
      <xdr:colOff>806450</xdr:colOff>
      <xdr:row>25</xdr:row>
      <xdr:rowOff>45012</xdr:rowOff>
    </xdr:to>
    <xdr:pic>
      <xdr:nvPicPr>
        <xdr:cNvPr id="23" name="Imagen 22">
          <a:extLst>
            <a:ext uri="{FF2B5EF4-FFF2-40B4-BE49-F238E27FC236}">
              <a16:creationId xmlns:a16="http://schemas.microsoft.com/office/drawing/2014/main" id="{00000000-0008-0000-1900-00001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021175" y="4133850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18</xdr:col>
      <xdr:colOff>38100</xdr:colOff>
      <xdr:row>39</xdr:row>
      <xdr:rowOff>114300</xdr:rowOff>
    </xdr:from>
    <xdr:to>
      <xdr:col>19</xdr:col>
      <xdr:colOff>787400</xdr:colOff>
      <xdr:row>44</xdr:row>
      <xdr:rowOff>86287</xdr:rowOff>
    </xdr:to>
    <xdr:pic>
      <xdr:nvPicPr>
        <xdr:cNvPr id="24" name="Imagen 23">
          <a:extLst>
            <a:ext uri="{FF2B5EF4-FFF2-40B4-BE49-F238E27FC236}">
              <a16:creationId xmlns:a16="http://schemas.microsoft.com/office/drawing/2014/main" id="{00000000-0008-0000-1900-00001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002125" y="8086725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18</xdr:col>
      <xdr:colOff>38100</xdr:colOff>
      <xdr:row>58</xdr:row>
      <xdr:rowOff>85725</xdr:rowOff>
    </xdr:from>
    <xdr:to>
      <xdr:col>19</xdr:col>
      <xdr:colOff>787400</xdr:colOff>
      <xdr:row>63</xdr:row>
      <xdr:rowOff>64062</xdr:rowOff>
    </xdr:to>
    <xdr:pic>
      <xdr:nvPicPr>
        <xdr:cNvPr id="25" name="Imagen 24">
          <a:extLst>
            <a:ext uri="{FF2B5EF4-FFF2-40B4-BE49-F238E27FC236}">
              <a16:creationId xmlns:a16="http://schemas.microsoft.com/office/drawing/2014/main" id="{00000000-0008-0000-1900-00001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002125" y="11963400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18</xdr:col>
      <xdr:colOff>38100</xdr:colOff>
      <xdr:row>77</xdr:row>
      <xdr:rowOff>66675</xdr:rowOff>
    </xdr:from>
    <xdr:to>
      <xdr:col>19</xdr:col>
      <xdr:colOff>787400</xdr:colOff>
      <xdr:row>82</xdr:row>
      <xdr:rowOff>45012</xdr:rowOff>
    </xdr:to>
    <xdr:pic>
      <xdr:nvPicPr>
        <xdr:cNvPr id="26" name="Imagen 25">
          <a:extLst>
            <a:ext uri="{FF2B5EF4-FFF2-40B4-BE49-F238E27FC236}">
              <a16:creationId xmlns:a16="http://schemas.microsoft.com/office/drawing/2014/main" id="{00000000-0008-0000-1900-00001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002125" y="15849600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18</xdr:col>
      <xdr:colOff>57150</xdr:colOff>
      <xdr:row>96</xdr:row>
      <xdr:rowOff>95250</xdr:rowOff>
    </xdr:from>
    <xdr:to>
      <xdr:col>19</xdr:col>
      <xdr:colOff>806450</xdr:colOff>
      <xdr:row>101</xdr:row>
      <xdr:rowOff>67237</xdr:rowOff>
    </xdr:to>
    <xdr:pic>
      <xdr:nvPicPr>
        <xdr:cNvPr id="27" name="Imagen 26">
          <a:extLst>
            <a:ext uri="{FF2B5EF4-FFF2-40B4-BE49-F238E27FC236}">
              <a16:creationId xmlns:a16="http://schemas.microsoft.com/office/drawing/2014/main" id="{00000000-0008-0000-1900-00001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021175" y="19783425"/>
          <a:ext cx="1495425" cy="908612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68036</xdr:colOff>
      <xdr:row>2</xdr:row>
      <xdr:rowOff>0</xdr:rowOff>
    </xdr:from>
    <xdr:to>
      <xdr:col>2</xdr:col>
      <xdr:colOff>1271879</xdr:colOff>
      <xdr:row>6</xdr:row>
      <xdr:rowOff>111622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00000000-0008-0000-1B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2143" y="320740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</xdr:col>
      <xdr:colOff>106914</xdr:colOff>
      <xdr:row>20</xdr:row>
      <xdr:rowOff>106913</xdr:rowOff>
    </xdr:from>
    <xdr:to>
      <xdr:col>2</xdr:col>
      <xdr:colOff>1310757</xdr:colOff>
      <xdr:row>25</xdr:row>
      <xdr:rowOff>150499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00000000-0008-0000-1B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11021" y="4898571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18</xdr:col>
      <xdr:colOff>77755</xdr:colOff>
      <xdr:row>1</xdr:row>
      <xdr:rowOff>106913</xdr:rowOff>
    </xdr:from>
    <xdr:to>
      <xdr:col>19</xdr:col>
      <xdr:colOff>834506</xdr:colOff>
      <xdr:row>6</xdr:row>
      <xdr:rowOff>63025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00000000-0008-0000-1B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057525" y="272143"/>
          <a:ext cx="1495425" cy="908612"/>
        </a:xfrm>
        <a:prstGeom prst="rect">
          <a:avLst/>
        </a:prstGeom>
      </xdr:spPr>
    </xdr:pic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47625</xdr:colOff>
      <xdr:row>1</xdr:row>
      <xdr:rowOff>104775</xdr:rowOff>
    </xdr:from>
    <xdr:to>
      <xdr:col>2</xdr:col>
      <xdr:colOff>1247775</xdr:colOff>
      <xdr:row>6</xdr:row>
      <xdr:rowOff>79937</xdr:rowOff>
    </xdr:to>
    <xdr:pic>
      <xdr:nvPicPr>
        <xdr:cNvPr id="15" name="Imagen 14">
          <a:extLst>
            <a:ext uri="{FF2B5EF4-FFF2-40B4-BE49-F238E27FC236}">
              <a16:creationId xmlns:a16="http://schemas.microsoft.com/office/drawing/2014/main" id="{00000000-0008-0000-1C00-00000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266700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</xdr:col>
      <xdr:colOff>57150</xdr:colOff>
      <xdr:row>20</xdr:row>
      <xdr:rowOff>95250</xdr:rowOff>
    </xdr:from>
    <xdr:to>
      <xdr:col>2</xdr:col>
      <xdr:colOff>1257300</xdr:colOff>
      <xdr:row>25</xdr:row>
      <xdr:rowOff>70412</xdr:rowOff>
    </xdr:to>
    <xdr:pic>
      <xdr:nvPicPr>
        <xdr:cNvPr id="16" name="Imagen 15">
          <a:extLst>
            <a:ext uri="{FF2B5EF4-FFF2-40B4-BE49-F238E27FC236}">
              <a16:creationId xmlns:a16="http://schemas.microsoft.com/office/drawing/2014/main" id="{00000000-0008-0000-1C00-00001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7175" y="4162425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</xdr:col>
      <xdr:colOff>38100</xdr:colOff>
      <xdr:row>39</xdr:row>
      <xdr:rowOff>114300</xdr:rowOff>
    </xdr:from>
    <xdr:to>
      <xdr:col>2</xdr:col>
      <xdr:colOff>1238250</xdr:colOff>
      <xdr:row>44</xdr:row>
      <xdr:rowOff>89462</xdr:rowOff>
    </xdr:to>
    <xdr:pic>
      <xdr:nvPicPr>
        <xdr:cNvPr id="17" name="Imagen 16">
          <a:extLst>
            <a:ext uri="{FF2B5EF4-FFF2-40B4-BE49-F238E27FC236}">
              <a16:creationId xmlns:a16="http://schemas.microsoft.com/office/drawing/2014/main" id="{00000000-0008-0000-1C00-00001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8125" y="8086725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</xdr:col>
      <xdr:colOff>57150</xdr:colOff>
      <xdr:row>58</xdr:row>
      <xdr:rowOff>114300</xdr:rowOff>
    </xdr:from>
    <xdr:to>
      <xdr:col>2</xdr:col>
      <xdr:colOff>1257300</xdr:colOff>
      <xdr:row>63</xdr:row>
      <xdr:rowOff>89462</xdr:rowOff>
    </xdr:to>
    <xdr:pic>
      <xdr:nvPicPr>
        <xdr:cNvPr id="18" name="Imagen 17">
          <a:extLst>
            <a:ext uri="{FF2B5EF4-FFF2-40B4-BE49-F238E27FC236}">
              <a16:creationId xmlns:a16="http://schemas.microsoft.com/office/drawing/2014/main" id="{00000000-0008-0000-1C00-00001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7175" y="11991975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</xdr:col>
      <xdr:colOff>38100</xdr:colOff>
      <xdr:row>77</xdr:row>
      <xdr:rowOff>104775</xdr:rowOff>
    </xdr:from>
    <xdr:to>
      <xdr:col>2</xdr:col>
      <xdr:colOff>1238250</xdr:colOff>
      <xdr:row>82</xdr:row>
      <xdr:rowOff>79937</xdr:rowOff>
    </xdr:to>
    <xdr:pic>
      <xdr:nvPicPr>
        <xdr:cNvPr id="19" name="Imagen 18">
          <a:extLst>
            <a:ext uri="{FF2B5EF4-FFF2-40B4-BE49-F238E27FC236}">
              <a16:creationId xmlns:a16="http://schemas.microsoft.com/office/drawing/2014/main" id="{00000000-0008-0000-1C00-00001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8125" y="15887700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</xdr:col>
      <xdr:colOff>47625</xdr:colOff>
      <xdr:row>96</xdr:row>
      <xdr:rowOff>104775</xdr:rowOff>
    </xdr:from>
    <xdr:to>
      <xdr:col>2</xdr:col>
      <xdr:colOff>1247775</xdr:colOff>
      <xdr:row>101</xdr:row>
      <xdr:rowOff>79937</xdr:rowOff>
    </xdr:to>
    <xdr:pic>
      <xdr:nvPicPr>
        <xdr:cNvPr id="20" name="Imagen 19">
          <a:extLst>
            <a:ext uri="{FF2B5EF4-FFF2-40B4-BE49-F238E27FC236}">
              <a16:creationId xmlns:a16="http://schemas.microsoft.com/office/drawing/2014/main" id="{00000000-0008-0000-1C00-00001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9792950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</xdr:col>
      <xdr:colOff>85725</xdr:colOff>
      <xdr:row>115</xdr:row>
      <xdr:rowOff>85725</xdr:rowOff>
    </xdr:from>
    <xdr:to>
      <xdr:col>2</xdr:col>
      <xdr:colOff>1285875</xdr:colOff>
      <xdr:row>120</xdr:row>
      <xdr:rowOff>146612</xdr:rowOff>
    </xdr:to>
    <xdr:pic>
      <xdr:nvPicPr>
        <xdr:cNvPr id="21" name="Imagen 20">
          <a:extLst>
            <a:ext uri="{FF2B5EF4-FFF2-40B4-BE49-F238E27FC236}">
              <a16:creationId xmlns:a16="http://schemas.microsoft.com/office/drawing/2014/main" id="{00000000-0008-0000-1C00-00001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5750" y="23745825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18</xdr:col>
      <xdr:colOff>47625</xdr:colOff>
      <xdr:row>1</xdr:row>
      <xdr:rowOff>114300</xdr:rowOff>
    </xdr:from>
    <xdr:to>
      <xdr:col>19</xdr:col>
      <xdr:colOff>800100</xdr:colOff>
      <xdr:row>6</xdr:row>
      <xdr:rowOff>89462</xdr:rowOff>
    </xdr:to>
    <xdr:pic>
      <xdr:nvPicPr>
        <xdr:cNvPr id="23" name="Imagen 22">
          <a:extLst>
            <a:ext uri="{FF2B5EF4-FFF2-40B4-BE49-F238E27FC236}">
              <a16:creationId xmlns:a16="http://schemas.microsoft.com/office/drawing/2014/main" id="{00000000-0008-0000-1C00-00001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011650" y="276225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18</xdr:col>
      <xdr:colOff>76200</xdr:colOff>
      <xdr:row>20</xdr:row>
      <xdr:rowOff>104775</xdr:rowOff>
    </xdr:from>
    <xdr:to>
      <xdr:col>19</xdr:col>
      <xdr:colOff>828675</xdr:colOff>
      <xdr:row>25</xdr:row>
      <xdr:rowOff>79937</xdr:rowOff>
    </xdr:to>
    <xdr:pic>
      <xdr:nvPicPr>
        <xdr:cNvPr id="24" name="Imagen 23">
          <a:extLst>
            <a:ext uri="{FF2B5EF4-FFF2-40B4-BE49-F238E27FC236}">
              <a16:creationId xmlns:a16="http://schemas.microsoft.com/office/drawing/2014/main" id="{00000000-0008-0000-1C00-00001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040225" y="4171950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18</xdr:col>
      <xdr:colOff>114300</xdr:colOff>
      <xdr:row>39</xdr:row>
      <xdr:rowOff>123825</xdr:rowOff>
    </xdr:from>
    <xdr:to>
      <xdr:col>19</xdr:col>
      <xdr:colOff>866775</xdr:colOff>
      <xdr:row>44</xdr:row>
      <xdr:rowOff>98987</xdr:rowOff>
    </xdr:to>
    <xdr:pic>
      <xdr:nvPicPr>
        <xdr:cNvPr id="25" name="Imagen 24">
          <a:extLst>
            <a:ext uri="{FF2B5EF4-FFF2-40B4-BE49-F238E27FC236}">
              <a16:creationId xmlns:a16="http://schemas.microsoft.com/office/drawing/2014/main" id="{00000000-0008-0000-1C00-00001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078325" y="8096250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18</xdr:col>
      <xdr:colOff>123825</xdr:colOff>
      <xdr:row>58</xdr:row>
      <xdr:rowOff>123825</xdr:rowOff>
    </xdr:from>
    <xdr:to>
      <xdr:col>19</xdr:col>
      <xdr:colOff>876300</xdr:colOff>
      <xdr:row>63</xdr:row>
      <xdr:rowOff>98987</xdr:rowOff>
    </xdr:to>
    <xdr:pic>
      <xdr:nvPicPr>
        <xdr:cNvPr id="26" name="Imagen 25">
          <a:extLst>
            <a:ext uri="{FF2B5EF4-FFF2-40B4-BE49-F238E27FC236}">
              <a16:creationId xmlns:a16="http://schemas.microsoft.com/office/drawing/2014/main" id="{00000000-0008-0000-1C00-00001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087850" y="12001500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18</xdr:col>
      <xdr:colOff>66675</xdr:colOff>
      <xdr:row>77</xdr:row>
      <xdr:rowOff>104775</xdr:rowOff>
    </xdr:from>
    <xdr:to>
      <xdr:col>19</xdr:col>
      <xdr:colOff>819150</xdr:colOff>
      <xdr:row>82</xdr:row>
      <xdr:rowOff>79937</xdr:rowOff>
    </xdr:to>
    <xdr:pic>
      <xdr:nvPicPr>
        <xdr:cNvPr id="27" name="Imagen 26">
          <a:extLst>
            <a:ext uri="{FF2B5EF4-FFF2-40B4-BE49-F238E27FC236}">
              <a16:creationId xmlns:a16="http://schemas.microsoft.com/office/drawing/2014/main" id="{00000000-0008-0000-1C00-00001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030700" y="15887700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18</xdr:col>
      <xdr:colOff>76200</xdr:colOff>
      <xdr:row>96</xdr:row>
      <xdr:rowOff>123825</xdr:rowOff>
    </xdr:from>
    <xdr:to>
      <xdr:col>19</xdr:col>
      <xdr:colOff>828675</xdr:colOff>
      <xdr:row>101</xdr:row>
      <xdr:rowOff>98987</xdr:rowOff>
    </xdr:to>
    <xdr:pic>
      <xdr:nvPicPr>
        <xdr:cNvPr id="28" name="Imagen 27">
          <a:extLst>
            <a:ext uri="{FF2B5EF4-FFF2-40B4-BE49-F238E27FC236}">
              <a16:creationId xmlns:a16="http://schemas.microsoft.com/office/drawing/2014/main" id="{00000000-0008-0000-1C00-00001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040225" y="19812000"/>
          <a:ext cx="1495425" cy="908612"/>
        </a:xfrm>
        <a:prstGeom prst="rect">
          <a:avLst/>
        </a:prstGeom>
      </xdr:spPr>
    </xdr:pic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58316</xdr:colOff>
      <xdr:row>1</xdr:row>
      <xdr:rowOff>38878</xdr:rowOff>
    </xdr:from>
    <xdr:to>
      <xdr:col>2</xdr:col>
      <xdr:colOff>1263417</xdr:colOff>
      <xdr:row>5</xdr:row>
      <xdr:rowOff>191191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00000000-0008-0000-1E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2423" y="204108"/>
          <a:ext cx="1496683" cy="900705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1496683</xdr:colOff>
      <xdr:row>25</xdr:row>
      <xdr:rowOff>191189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00000000-0008-0000-1E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5689" y="4947168"/>
          <a:ext cx="1496683" cy="900705"/>
        </a:xfrm>
        <a:prstGeom prst="rect">
          <a:avLst/>
        </a:prstGeom>
      </xdr:spPr>
    </xdr:pic>
    <xdr:clientData/>
  </xdr:twoCellAnchor>
  <xdr:twoCellAnchor editAs="oneCell">
    <xdr:from>
      <xdr:col>18</xdr:col>
      <xdr:colOff>311021</xdr:colOff>
      <xdr:row>1</xdr:row>
      <xdr:rowOff>126352</xdr:rowOff>
    </xdr:from>
    <xdr:to>
      <xdr:col>19</xdr:col>
      <xdr:colOff>1069030</xdr:colOff>
      <xdr:row>6</xdr:row>
      <xdr:rowOff>74557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00000000-0008-0000-1E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290791" y="291582"/>
          <a:ext cx="1496683" cy="900705"/>
        </a:xfrm>
        <a:prstGeom prst="rect">
          <a:avLst/>
        </a:prstGeom>
      </xdr:spPr>
    </xdr:pic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absoluteAnchor>
    <xdr:pos x="254000" y="127000"/>
    <xdr:ext cx="3095625" cy="571500"/>
    <xdr:pic>
      <xdr:nvPicPr>
        <xdr:cNvPr id="2" name="Picture 1">
          <a:extLst>
            <a:ext uri="{FF2B5EF4-FFF2-40B4-BE49-F238E27FC236}">
              <a16:creationId xmlns:a16="http://schemas.microsoft.com/office/drawing/2014/main" id="{7DD8B201-7E44-4396-8D3A-0F4A223FC87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54000" y="127000"/>
          <a:ext cx="3095625" cy="571500"/>
        </a:xfrm>
        <a:prstGeom prst="rect">
          <a:avLst/>
        </a:prstGeom>
        <a:noFill/>
      </xdr:spPr>
    </xdr:pic>
    <xdr:clientData/>
  </xdr:absoluteAnchor>
  <xdr:twoCellAnchor editAs="oneCell">
    <xdr:from>
      <xdr:col>19</xdr:col>
      <xdr:colOff>152400</xdr:colOff>
      <xdr:row>7</xdr:row>
      <xdr:rowOff>257629</xdr:rowOff>
    </xdr:from>
    <xdr:to>
      <xdr:col>25</xdr:col>
      <xdr:colOff>382284</xdr:colOff>
      <xdr:row>21</xdr:row>
      <xdr:rowOff>371003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A4CCADF5-D5AE-8DD5-59D2-2AF3625DEE9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0937200" y="1486354"/>
          <a:ext cx="5030484" cy="2869274"/>
        </a:xfrm>
        <a:prstGeom prst="rect">
          <a:avLst/>
        </a:prstGeom>
      </xdr:spPr>
    </xdr:pic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absoluteAnchor>
    <xdr:pos x="756920" y="149860"/>
    <xdr:ext cx="3095625" cy="571500"/>
    <xdr:pic>
      <xdr:nvPicPr>
        <xdr:cNvPr id="2" name="Picture 1">
          <a:extLst>
            <a:ext uri="{FF2B5EF4-FFF2-40B4-BE49-F238E27FC236}">
              <a16:creationId xmlns:a16="http://schemas.microsoft.com/office/drawing/2014/main" id="{FD2702D1-B595-4D57-8BF2-5E67337AFB1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756920" y="149860"/>
          <a:ext cx="3095625" cy="571500"/>
        </a:xfrm>
        <a:prstGeom prst="rect">
          <a:avLst/>
        </a:prstGeom>
        <a:noFill/>
      </xdr:spPr>
    </xdr:pic>
    <xdr:clientData/>
  </xdr:absolute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C:\NTDATCAL\Comercial\Mis%20documentos\Comercial%20Aseo\Estudio%20Tarifa\Buga\BUGAASEO7000CRA%20decisi&#243;n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C:\INFORMACION%20DOS%20EMPRESAS\TARIFAS%20SICO\A&#209;O%202011\TARIFAS_PERIODO_DE_FACTURACION_ENERO_2011%20DOS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Cupic03\recaudo\INFORME%20GENERAL\2008\ENERO%202008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C:\W3datcal\comercial\Comercial%20Aseo\Marco%20regulario2006\ESTIMACION%20TARIFAS\Modelo%20TARIFARIO%20Palmira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C:\NTNETPAL\Operaciones\HOJAS%202003\MARZO%20%202003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UGAASEO7000CRA decisión"/>
    </sheetNames>
    <definedNames>
      <definedName name="ADM"/>
      <definedName name="InformacionGeneral"/>
      <definedName name="INV"/>
      <definedName name="OYM"/>
      <definedName name="parametros"/>
      <definedName name="RES"/>
      <definedName name="SUBSIDIOS"/>
      <definedName name="TAR"/>
    </defined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FMR 04"/>
      <sheetName val="CVMR 04"/>
      <sheetName val="resúmen actualización"/>
      <sheetName val="inf. base"/>
      <sheetName val="Variables"/>
      <sheetName val="TARIFA no aforos"/>
      <sheetName val="TARIFA no reco. pta pta"/>
      <sheetName val="TARIFA inm. desocupado"/>
      <sheetName val="TARIFA aforo ord. extra."/>
      <sheetName val="TARIFA aforo permanen"/>
      <sheetName val="resúmen con subsidios"/>
      <sheetName val="Informe de compatibilidad"/>
    </sheetNames>
    <sheetDataSet>
      <sheetData sheetId="0"/>
      <sheetData sheetId="1"/>
      <sheetData sheetId="2"/>
      <sheetData sheetId="3"/>
      <sheetData sheetId="4"/>
      <sheetData sheetId="5" refreshError="1">
        <row r="9">
          <cell r="C9">
            <v>44114.7065</v>
          </cell>
        </row>
        <row r="10">
          <cell r="C10">
            <v>3342.9475000000002</v>
          </cell>
        </row>
        <row r="11">
          <cell r="C11">
            <v>8929.9432375000142</v>
          </cell>
        </row>
        <row r="12">
          <cell r="C12">
            <v>5360.8834375000006</v>
          </cell>
        </row>
        <row r="39">
          <cell r="C39">
            <v>44095</v>
          </cell>
        </row>
        <row r="40">
          <cell r="C40">
            <v>3569.0598000000141</v>
          </cell>
        </row>
      </sheetData>
      <sheetData sheetId="6"/>
      <sheetData sheetId="7"/>
      <sheetData sheetId="8"/>
      <sheetData sheetId="9"/>
      <sheetData sheetId="10"/>
      <sheetData sheetId="1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x"/>
      <sheetName val="DIARIO"/>
      <sheetName val="CONSOLIDADO"/>
      <sheetName val="SEMANAL"/>
      <sheetName val="BOGOTA"/>
      <sheetName val="POPULAR"/>
      <sheetName val="SERVIBANCA"/>
      <sheetName val="SANTANDER"/>
      <sheetName val="BANCOLOMBIA"/>
      <sheetName val="ABN AMRO BANK"/>
      <sheetName val="CITIBANK"/>
      <sheetName val="HSBC"/>
      <sheetName val="SUDAMERIS"/>
      <sheetName val="CREDITO"/>
      <sheetName val="COLPATRIA 131"/>
      <sheetName val="CAJA SOCIAL"/>
      <sheetName val="BANCAFE"/>
      <sheetName val="DAVIVIENDA"/>
      <sheetName val="COLMENA"/>
      <sheetName val="CONSOL.MENSUAL"/>
      <sheetName val="BANITSMO-LLOYDS"/>
    </sheetNames>
    <sheetDataSet>
      <sheetData sheetId="0">
        <row r="2">
          <cell r="C2" t="str">
            <v>BOGOTA</v>
          </cell>
        </row>
        <row r="3">
          <cell r="C3" t="str">
            <v xml:space="preserve">POPULAR  </v>
          </cell>
        </row>
        <row r="4">
          <cell r="C4" t="str">
            <v>ATH POPULAR</v>
          </cell>
        </row>
        <row r="5">
          <cell r="C5" t="str">
            <v>SERVIBANCA POPULAR</v>
          </cell>
        </row>
        <row r="6">
          <cell r="C6" t="str">
            <v>SANTANDER</v>
          </cell>
        </row>
        <row r="7">
          <cell r="C7" t="str">
            <v>REDEBAN</v>
          </cell>
        </row>
        <row r="8">
          <cell r="C8" t="str">
            <v>ABN AMBRO</v>
          </cell>
        </row>
        <row r="9">
          <cell r="C9" t="str">
            <v>CITIBANK</v>
          </cell>
        </row>
        <row r="10">
          <cell r="C10" t="str">
            <v>CITIBANK PAGOS</v>
          </cell>
        </row>
        <row r="11">
          <cell r="C11" t="str">
            <v>CITIBANK BALOTO</v>
          </cell>
        </row>
        <row r="12">
          <cell r="C12" t="str">
            <v>BANITSMO</v>
          </cell>
        </row>
        <row r="13">
          <cell r="C13" t="str">
            <v>SUDAMERIS</v>
          </cell>
        </row>
        <row r="14">
          <cell r="C14" t="str">
            <v>CREDITO</v>
          </cell>
        </row>
        <row r="15">
          <cell r="C15" t="str">
            <v>COLPATRIA OFICINA</v>
          </cell>
        </row>
        <row r="16">
          <cell r="C16" t="str">
            <v>COLPATRIA CADES</v>
          </cell>
        </row>
        <row r="17">
          <cell r="C17" t="str">
            <v>COLPATRIA ELECTRONICO</v>
          </cell>
        </row>
        <row r="18">
          <cell r="C18" t="str">
            <v>COLPATRIA DOMICILIARIO</v>
          </cell>
        </row>
        <row r="19">
          <cell r="C19" t="str">
            <v>CAJA SOCIAL</v>
          </cell>
        </row>
        <row r="20">
          <cell r="C20" t="str">
            <v>BANCAFE</v>
          </cell>
        </row>
        <row r="21">
          <cell r="C21" t="str">
            <v>DAVIVIENDA OFICINA</v>
          </cell>
        </row>
        <row r="22">
          <cell r="C22" t="str">
            <v>DAVIVIENDA CADES</v>
          </cell>
        </row>
        <row r="23">
          <cell r="C23" t="str">
            <v>COLMENA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DT"/>
      <sheetName val="COSTOS AJUSTADOS"/>
      <sheetName val="CTE"/>
    </sheetNames>
    <sheetDataSet>
      <sheetData sheetId="0" refreshError="1"/>
      <sheetData sheetId="1" refreshError="1"/>
      <sheetData sheetId="2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NTRA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6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9.bin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0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11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13.bin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14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2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16.bin"/></Relationships>
</file>

<file path=xl/worksheets/_rels/sheet2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17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19.bin"/></Relationships>
</file>

<file path=xl/worksheets/_rels/sheet2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20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22.bin"/></Relationships>
</file>

<file path=xl/worksheets/_rels/sheet3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23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3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25.bin"/></Relationships>
</file>

<file path=xl/worksheets/_rels/sheet3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26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3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.xml"/><Relationship Id="rId1" Type="http://schemas.openxmlformats.org/officeDocument/2006/relationships/printerSettings" Target="../printerSettings/printerSettings28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3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6.xml"/><Relationship Id="rId1" Type="http://schemas.openxmlformats.org/officeDocument/2006/relationships/printerSettings" Target="../printerSettings/printerSettings29.bin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69"/>
  <sheetViews>
    <sheetView workbookViewId="0"/>
  </sheetViews>
  <sheetFormatPr baseColWidth="10" defaultRowHeight="12.5" x14ac:dyDescent="0.25"/>
  <cols>
    <col min="1" max="1" width="2.1796875" customWidth="1"/>
    <col min="2" max="2" width="12.81640625" bestFit="1" customWidth="1"/>
    <col min="3" max="3" width="7.1796875" customWidth="1"/>
    <col min="4" max="4" width="15.1796875" style="167" customWidth="1"/>
    <col min="5" max="5" width="20.453125" style="167" customWidth="1"/>
    <col min="6" max="6" width="15.1796875" style="167" customWidth="1"/>
    <col min="7" max="7" width="20.1796875" style="167" customWidth="1"/>
    <col min="8" max="8" width="3.81640625" style="167" customWidth="1"/>
    <col min="9" max="10" width="26.54296875" style="167" bestFit="1" customWidth="1"/>
    <col min="11" max="13" width="19.81640625" style="167" customWidth="1"/>
  </cols>
  <sheetData>
    <row r="1" spans="2:13" ht="13" thickBot="1" x14ac:dyDescent="0.3"/>
    <row r="2" spans="2:13" s="102" customFormat="1" ht="13.5" thickBot="1" x14ac:dyDescent="0.35">
      <c r="B2" s="102" t="s">
        <v>132</v>
      </c>
      <c r="C2" s="206" t="s">
        <v>3</v>
      </c>
      <c r="D2" s="170" t="s">
        <v>136</v>
      </c>
      <c r="E2" s="171" t="s">
        <v>137</v>
      </c>
      <c r="F2" s="171" t="s">
        <v>138</v>
      </c>
      <c r="G2" s="172" t="s">
        <v>139</v>
      </c>
      <c r="H2" s="173"/>
      <c r="I2" s="173"/>
      <c r="J2" s="728"/>
      <c r="K2" s="173"/>
      <c r="L2" s="173"/>
      <c r="M2" s="173"/>
    </row>
    <row r="3" spans="2:13" x14ac:dyDescent="0.25">
      <c r="C3" s="174">
        <v>1</v>
      </c>
      <c r="D3" s="175">
        <v>0</v>
      </c>
      <c r="E3" s="176">
        <v>0</v>
      </c>
      <c r="F3" s="176">
        <v>0</v>
      </c>
      <c r="G3" s="177">
        <v>0</v>
      </c>
      <c r="J3" s="729"/>
    </row>
    <row r="4" spans="2:13" x14ac:dyDescent="0.25">
      <c r="C4" s="178">
        <v>2</v>
      </c>
      <c r="D4" s="179">
        <v>29345550</v>
      </c>
      <c r="E4" s="180">
        <v>341</v>
      </c>
      <c r="F4" s="180">
        <v>24173030</v>
      </c>
      <c r="G4" s="181">
        <v>330</v>
      </c>
      <c r="J4" s="729"/>
    </row>
    <row r="5" spans="2:13" x14ac:dyDescent="0.25">
      <c r="C5" s="178">
        <v>3</v>
      </c>
      <c r="D5" s="179">
        <v>0</v>
      </c>
      <c r="E5" s="180">
        <v>0</v>
      </c>
      <c r="F5" s="180">
        <v>0</v>
      </c>
      <c r="G5" s="181">
        <v>0</v>
      </c>
      <c r="J5" s="729"/>
    </row>
    <row r="6" spans="2:13" ht="13.5" customHeight="1" x14ac:dyDescent="0.25">
      <c r="C6" s="178">
        <v>4</v>
      </c>
      <c r="D6" s="179">
        <v>15240310</v>
      </c>
      <c r="E6" s="180">
        <v>108</v>
      </c>
      <c r="F6" s="180">
        <v>15822520</v>
      </c>
      <c r="G6" s="181">
        <v>133</v>
      </c>
      <c r="J6" s="729"/>
    </row>
    <row r="7" spans="2:13" ht="13.5" customHeight="1" x14ac:dyDescent="0.25">
      <c r="C7" s="178">
        <v>5</v>
      </c>
      <c r="D7" s="179">
        <v>0</v>
      </c>
      <c r="E7" s="180">
        <v>0</v>
      </c>
      <c r="F7" s="180">
        <v>0</v>
      </c>
      <c r="G7" s="181">
        <v>0</v>
      </c>
      <c r="J7" s="729"/>
    </row>
    <row r="8" spans="2:13" ht="13" thickBot="1" x14ac:dyDescent="0.3">
      <c r="C8" s="182" t="s">
        <v>89</v>
      </c>
      <c r="D8" s="183"/>
      <c r="E8" s="184"/>
      <c r="F8" s="184"/>
      <c r="G8" s="185"/>
      <c r="J8" s="729"/>
    </row>
    <row r="9" spans="2:13" ht="13.5" thickBot="1" x14ac:dyDescent="0.35">
      <c r="D9" s="186">
        <v>44585860</v>
      </c>
      <c r="E9" s="186">
        <v>449</v>
      </c>
      <c r="F9" s="186">
        <v>39995550</v>
      </c>
      <c r="G9" s="186">
        <v>463</v>
      </c>
      <c r="J9" s="729"/>
    </row>
    <row r="10" spans="2:13" ht="13" thickBot="1" x14ac:dyDescent="0.3"/>
    <row r="11" spans="2:13" s="102" customFormat="1" ht="13.5" thickBot="1" x14ac:dyDescent="0.35">
      <c r="C11" s="206" t="s">
        <v>3</v>
      </c>
      <c r="D11" s="170" t="s">
        <v>136</v>
      </c>
      <c r="E11" s="171" t="s">
        <v>137</v>
      </c>
      <c r="F11" s="171" t="s">
        <v>138</v>
      </c>
      <c r="G11" s="172" t="s">
        <v>139</v>
      </c>
      <c r="H11" s="173"/>
      <c r="I11" s="173"/>
      <c r="J11" s="173"/>
      <c r="K11" s="173"/>
      <c r="L11" s="173"/>
      <c r="M11" s="173"/>
    </row>
    <row r="12" spans="2:13" ht="13" x14ac:dyDescent="0.3">
      <c r="B12" s="97" t="s">
        <v>140</v>
      </c>
      <c r="C12" s="174">
        <v>1</v>
      </c>
      <c r="D12" s="175">
        <v>0</v>
      </c>
      <c r="E12" s="176">
        <v>0</v>
      </c>
      <c r="F12" s="176">
        <v>0</v>
      </c>
      <c r="G12" s="177">
        <v>0</v>
      </c>
    </row>
    <row r="13" spans="2:13" x14ac:dyDescent="0.25">
      <c r="C13" s="178">
        <v>2</v>
      </c>
      <c r="D13" s="179">
        <v>0</v>
      </c>
      <c r="E13" s="180">
        <v>0</v>
      </c>
      <c r="F13" s="180">
        <v>58730</v>
      </c>
      <c r="G13" s="181">
        <v>1</v>
      </c>
    </row>
    <row r="14" spans="2:13" x14ac:dyDescent="0.25">
      <c r="C14" s="178">
        <v>3</v>
      </c>
      <c r="D14" s="179">
        <v>0</v>
      </c>
      <c r="E14" s="180">
        <v>0</v>
      </c>
      <c r="F14" s="180">
        <v>0</v>
      </c>
      <c r="G14" s="181">
        <v>0</v>
      </c>
    </row>
    <row r="15" spans="2:13" x14ac:dyDescent="0.25">
      <c r="C15" s="178">
        <v>4</v>
      </c>
      <c r="D15" s="179">
        <v>0</v>
      </c>
      <c r="E15" s="180">
        <v>0</v>
      </c>
      <c r="F15" s="180">
        <v>63120</v>
      </c>
      <c r="G15" s="181">
        <v>1</v>
      </c>
    </row>
    <row r="16" spans="2:13" x14ac:dyDescent="0.25">
      <c r="C16" s="178">
        <v>5</v>
      </c>
      <c r="D16" s="179">
        <v>0</v>
      </c>
      <c r="E16" s="180">
        <v>0</v>
      </c>
      <c r="F16" s="180">
        <v>0</v>
      </c>
      <c r="G16" s="181">
        <v>0</v>
      </c>
    </row>
    <row r="17" spans="1:11" ht="13" thickBot="1" x14ac:dyDescent="0.3">
      <c r="C17" s="182" t="s">
        <v>89</v>
      </c>
      <c r="D17" s="183"/>
      <c r="E17" s="184"/>
      <c r="F17" s="184"/>
      <c r="G17" s="185"/>
    </row>
    <row r="18" spans="1:11" ht="13.5" thickBot="1" x14ac:dyDescent="0.35">
      <c r="D18" s="186">
        <v>0</v>
      </c>
      <c r="E18" s="186">
        <v>0</v>
      </c>
      <c r="F18" s="186">
        <v>121850</v>
      </c>
      <c r="G18" s="186">
        <v>2</v>
      </c>
    </row>
    <row r="19" spans="1:11" ht="13" thickBot="1" x14ac:dyDescent="0.3"/>
    <row r="20" spans="1:11" ht="13.5" thickBot="1" x14ac:dyDescent="0.35">
      <c r="C20" s="206" t="s">
        <v>3</v>
      </c>
      <c r="D20" s="170" t="s">
        <v>136</v>
      </c>
      <c r="E20" s="171" t="s">
        <v>137</v>
      </c>
      <c r="F20" s="171" t="s">
        <v>138</v>
      </c>
      <c r="G20" s="172" t="s">
        <v>139</v>
      </c>
      <c r="I20" s="199" t="s">
        <v>141</v>
      </c>
      <c r="J20" s="200" t="s">
        <v>142</v>
      </c>
    </row>
    <row r="21" spans="1:11" s="167" customFormat="1" ht="13" x14ac:dyDescent="0.3">
      <c r="B21" s="207" t="s">
        <v>2</v>
      </c>
      <c r="C21" s="174">
        <v>1</v>
      </c>
      <c r="D21" s="175">
        <v>0</v>
      </c>
      <c r="E21" s="176">
        <v>0</v>
      </c>
      <c r="F21" s="176">
        <v>0</v>
      </c>
      <c r="G21" s="177">
        <v>0</v>
      </c>
      <c r="I21" s="175">
        <v>0</v>
      </c>
      <c r="J21" s="177">
        <v>0</v>
      </c>
    </row>
    <row r="22" spans="1:11" s="167" customFormat="1" x14ac:dyDescent="0.25">
      <c r="B22"/>
      <c r="C22" s="178">
        <v>2</v>
      </c>
      <c r="D22" s="179">
        <v>29345550</v>
      </c>
      <c r="E22" s="180">
        <v>341</v>
      </c>
      <c r="F22" s="180">
        <v>24231760</v>
      </c>
      <c r="G22" s="181">
        <v>331</v>
      </c>
      <c r="I22" s="179">
        <v>53577310</v>
      </c>
      <c r="J22" s="181">
        <v>672</v>
      </c>
    </row>
    <row r="23" spans="1:11" s="167" customFormat="1" x14ac:dyDescent="0.25">
      <c r="B23"/>
      <c r="C23" s="178">
        <v>3</v>
      </c>
      <c r="D23" s="179">
        <v>0</v>
      </c>
      <c r="E23" s="180">
        <v>0</v>
      </c>
      <c r="F23" s="180">
        <v>0</v>
      </c>
      <c r="G23" s="181">
        <v>0</v>
      </c>
      <c r="I23" s="179">
        <v>0</v>
      </c>
      <c r="J23" s="181">
        <v>0</v>
      </c>
    </row>
    <row r="24" spans="1:11" s="167" customFormat="1" x14ac:dyDescent="0.25">
      <c r="B24"/>
      <c r="C24" s="178">
        <v>4</v>
      </c>
      <c r="D24" s="179">
        <v>15240310</v>
      </c>
      <c r="E24" s="180">
        <v>108</v>
      </c>
      <c r="F24" s="180">
        <v>15885640</v>
      </c>
      <c r="G24" s="181">
        <v>134</v>
      </c>
      <c r="I24" s="179">
        <v>31125950</v>
      </c>
      <c r="J24" s="181">
        <v>242</v>
      </c>
    </row>
    <row r="25" spans="1:11" s="167" customFormat="1" x14ac:dyDescent="0.25">
      <c r="B25"/>
      <c r="C25" s="178">
        <v>5</v>
      </c>
      <c r="D25" s="179">
        <v>0</v>
      </c>
      <c r="E25" s="180">
        <v>0</v>
      </c>
      <c r="F25" s="180">
        <v>0</v>
      </c>
      <c r="G25" s="181">
        <v>0</v>
      </c>
      <c r="I25" s="179">
        <v>0</v>
      </c>
      <c r="J25" s="181">
        <v>0</v>
      </c>
    </row>
    <row r="26" spans="1:11" ht="13" thickBot="1" x14ac:dyDescent="0.3">
      <c r="C26" s="182" t="s">
        <v>89</v>
      </c>
      <c r="D26" s="183"/>
      <c r="E26" s="184"/>
      <c r="F26" s="184"/>
      <c r="G26" s="185"/>
      <c r="I26" s="202">
        <v>0</v>
      </c>
      <c r="J26" s="203">
        <v>0</v>
      </c>
    </row>
    <row r="27" spans="1:11" ht="13.5" thickBot="1" x14ac:dyDescent="0.35">
      <c r="D27" s="186">
        <v>44585860</v>
      </c>
      <c r="E27" s="186">
        <v>449</v>
      </c>
      <c r="F27" s="186">
        <v>40117400</v>
      </c>
      <c r="G27" s="186">
        <v>465</v>
      </c>
      <c r="I27" s="204">
        <v>84703260</v>
      </c>
      <c r="J27" s="205">
        <v>914</v>
      </c>
    </row>
    <row r="29" spans="1:11" x14ac:dyDescent="0.25">
      <c r="A29" s="238"/>
      <c r="B29" s="238"/>
      <c r="C29" s="238"/>
      <c r="D29" s="494"/>
      <c r="E29" s="494"/>
      <c r="F29" s="494"/>
      <c r="G29" s="494"/>
      <c r="H29" s="494"/>
      <c r="I29" s="494"/>
      <c r="J29" s="494"/>
      <c r="K29" s="494"/>
    </row>
    <row r="31" spans="1:11" ht="13" x14ac:dyDescent="0.3">
      <c r="B31" s="102" t="s">
        <v>132</v>
      </c>
      <c r="D31" s="167" t="b">
        <f>D9=SUM(D3:D8)</f>
        <v>1</v>
      </c>
      <c r="E31" s="167" t="b">
        <f t="shared" ref="E31:F31" si="0">E9=SUM(E3:E8)</f>
        <v>1</v>
      </c>
      <c r="F31" s="167" t="b">
        <f t="shared" si="0"/>
        <v>1</v>
      </c>
      <c r="G31" s="167" t="b">
        <f>G9=SUM(G3:G8)</f>
        <v>1</v>
      </c>
    </row>
    <row r="33" spans="2:10" ht="13" x14ac:dyDescent="0.3">
      <c r="B33" s="97" t="s">
        <v>140</v>
      </c>
      <c r="D33" s="167" t="b">
        <f>D18=SUM(D12:D17)</f>
        <v>1</v>
      </c>
      <c r="E33" s="167" t="b">
        <f t="shared" ref="E33:G33" si="1">E18=SUM(E12:E17)</f>
        <v>1</v>
      </c>
      <c r="F33" s="167" t="b">
        <f t="shared" si="1"/>
        <v>1</v>
      </c>
      <c r="G33" s="167" t="b">
        <f t="shared" si="1"/>
        <v>1</v>
      </c>
    </row>
    <row r="35" spans="2:10" ht="13" x14ac:dyDescent="0.3">
      <c r="B35" s="97" t="s">
        <v>2</v>
      </c>
      <c r="D35" s="167" t="b">
        <f>D27=SUM(D21:D26)</f>
        <v>1</v>
      </c>
      <c r="E35" s="167" t="b">
        <f t="shared" ref="E35:J35" si="2">E27=SUM(E21:E26)</f>
        <v>1</v>
      </c>
      <c r="F35" s="167" t="b">
        <f t="shared" si="2"/>
        <v>1</v>
      </c>
      <c r="G35" s="167" t="b">
        <f t="shared" si="2"/>
        <v>1</v>
      </c>
      <c r="I35" s="167" t="b">
        <f t="shared" si="2"/>
        <v>1</v>
      </c>
      <c r="J35" s="167" t="b">
        <f t="shared" si="2"/>
        <v>1</v>
      </c>
    </row>
    <row r="69" spans="5:5" x14ac:dyDescent="0.25">
      <c r="E69" s="167">
        <f>C69-G17</f>
        <v>0</v>
      </c>
    </row>
  </sheetData>
  <conditionalFormatting sqref="D31:G31">
    <cfRule type="cellIs" dxfId="103" priority="5" operator="notEqual">
      <formula>TRUE</formula>
    </cfRule>
  </conditionalFormatting>
  <conditionalFormatting sqref="D33:G33">
    <cfRule type="cellIs" dxfId="102" priority="4" operator="notEqual">
      <formula>TRUE</formula>
    </cfRule>
  </conditionalFormatting>
  <conditionalFormatting sqref="D35:G35">
    <cfRule type="cellIs" dxfId="101" priority="3" operator="notEqual">
      <formula>TRUE</formula>
    </cfRule>
  </conditionalFormatting>
  <conditionalFormatting sqref="I35:J35">
    <cfRule type="cellIs" dxfId="100" priority="1" operator="notEqual">
      <formula>TRUE</formula>
    </cfRule>
  </conditionalFormatting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69"/>
  <sheetViews>
    <sheetView zoomScaleNormal="100" workbookViewId="0"/>
  </sheetViews>
  <sheetFormatPr baseColWidth="10" defaultRowHeight="12.5" x14ac:dyDescent="0.25"/>
  <cols>
    <col min="1" max="1" width="2.1796875" customWidth="1"/>
    <col min="2" max="2" width="12.81640625" bestFit="1" customWidth="1"/>
    <col min="3" max="3" width="7.1796875" customWidth="1"/>
    <col min="4" max="4" width="16" style="167" bestFit="1" customWidth="1"/>
    <col min="5" max="5" width="20.453125" style="167" customWidth="1"/>
    <col min="6" max="6" width="16" style="167" bestFit="1" customWidth="1"/>
    <col min="7" max="7" width="20.1796875" style="167" customWidth="1"/>
    <col min="8" max="8" width="3.81640625" style="167" customWidth="1"/>
    <col min="9" max="10" width="26.54296875" style="167" bestFit="1" customWidth="1"/>
    <col min="11" max="13" width="19.81640625" style="167" customWidth="1"/>
  </cols>
  <sheetData>
    <row r="1" spans="2:13" ht="14.5" customHeight="1" thickBot="1" x14ac:dyDescent="0.3"/>
    <row r="2" spans="2:13" s="102" customFormat="1" ht="12.65" customHeight="1" thickBot="1" x14ac:dyDescent="0.35">
      <c r="B2" s="102" t="s">
        <v>132</v>
      </c>
      <c r="C2" s="206" t="s">
        <v>3</v>
      </c>
      <c r="D2" s="170" t="s">
        <v>136</v>
      </c>
      <c r="E2" s="171" t="s">
        <v>137</v>
      </c>
      <c r="F2" s="171" t="s">
        <v>138</v>
      </c>
      <c r="G2" s="172" t="s">
        <v>139</v>
      </c>
      <c r="H2" s="173"/>
      <c r="I2" s="173"/>
      <c r="J2" s="728"/>
      <c r="K2" s="173"/>
      <c r="L2" s="173"/>
      <c r="M2" s="173"/>
    </row>
    <row r="3" spans="2:13" ht="12.65" customHeight="1" x14ac:dyDescent="0.25">
      <c r="C3" s="174">
        <v>1</v>
      </c>
      <c r="D3" s="175">
        <v>16020970408</v>
      </c>
      <c r="E3" s="176">
        <v>330319</v>
      </c>
      <c r="F3" s="176">
        <v>16467129562</v>
      </c>
      <c r="G3" s="177">
        <v>273797</v>
      </c>
      <c r="J3" s="729"/>
    </row>
    <row r="4" spans="2:13" ht="12.65" customHeight="1" x14ac:dyDescent="0.25">
      <c r="C4" s="178">
        <v>2</v>
      </c>
      <c r="D4" s="179">
        <v>11733539858</v>
      </c>
      <c r="E4" s="180">
        <v>232298</v>
      </c>
      <c r="F4" s="180">
        <v>19037496395</v>
      </c>
      <c r="G4" s="181">
        <v>406215</v>
      </c>
      <c r="J4" s="729"/>
    </row>
    <row r="5" spans="2:13" ht="12.65" customHeight="1" x14ac:dyDescent="0.25">
      <c r="C5" s="178">
        <v>3</v>
      </c>
      <c r="D5" s="179">
        <v>9618825681</v>
      </c>
      <c r="E5" s="180">
        <v>222340</v>
      </c>
      <c r="F5" s="180">
        <v>13952517350</v>
      </c>
      <c r="G5" s="181">
        <v>269668</v>
      </c>
      <c r="J5" s="729"/>
    </row>
    <row r="6" spans="2:13" ht="12.65" customHeight="1" x14ac:dyDescent="0.25">
      <c r="C6" s="178">
        <v>4</v>
      </c>
      <c r="D6" s="179">
        <v>10290225466</v>
      </c>
      <c r="E6" s="180">
        <v>177955</v>
      </c>
      <c r="F6" s="180">
        <v>6579568126</v>
      </c>
      <c r="G6" s="181">
        <v>120492</v>
      </c>
    </row>
    <row r="7" spans="2:13" ht="12.65" customHeight="1" x14ac:dyDescent="0.25">
      <c r="C7" s="178">
        <v>5</v>
      </c>
      <c r="D7" s="179">
        <v>8111886280</v>
      </c>
      <c r="E7" s="180">
        <v>159077</v>
      </c>
      <c r="F7" s="180">
        <v>11684535987</v>
      </c>
      <c r="G7" s="181">
        <v>242618</v>
      </c>
    </row>
    <row r="8" spans="2:13" ht="12.65" customHeight="1" thickBot="1" x14ac:dyDescent="0.3">
      <c r="C8" s="182" t="s">
        <v>89</v>
      </c>
      <c r="D8" s="183"/>
      <c r="E8" s="184"/>
      <c r="F8" s="184"/>
      <c r="G8" s="185"/>
    </row>
    <row r="9" spans="2:13" ht="12.65" customHeight="1" thickBot="1" x14ac:dyDescent="0.35">
      <c r="D9" s="186">
        <v>55775447693</v>
      </c>
      <c r="E9" s="186">
        <v>1121989</v>
      </c>
      <c r="F9" s="186">
        <v>67721247420</v>
      </c>
      <c r="G9" s="186">
        <v>1312790</v>
      </c>
    </row>
    <row r="10" spans="2:13" ht="12.65" customHeight="1" thickBot="1" x14ac:dyDescent="0.3"/>
    <row r="11" spans="2:13" s="102" customFormat="1" ht="12.65" customHeight="1" thickBot="1" x14ac:dyDescent="0.35">
      <c r="C11" s="206" t="s">
        <v>3</v>
      </c>
      <c r="D11" s="170" t="s">
        <v>136</v>
      </c>
      <c r="E11" s="171" t="s">
        <v>137</v>
      </c>
      <c r="F11" s="171" t="s">
        <v>138</v>
      </c>
      <c r="G11" s="172" t="s">
        <v>139</v>
      </c>
      <c r="H11" s="173"/>
      <c r="I11" s="173"/>
      <c r="J11" s="173"/>
      <c r="K11" s="173"/>
      <c r="L11" s="173"/>
      <c r="M11" s="173"/>
    </row>
    <row r="12" spans="2:13" ht="12.65" customHeight="1" x14ac:dyDescent="0.3">
      <c r="B12" s="97" t="s">
        <v>140</v>
      </c>
      <c r="C12" s="174">
        <v>1</v>
      </c>
      <c r="D12" s="175">
        <v>223833110</v>
      </c>
      <c r="E12" s="176">
        <v>3064</v>
      </c>
      <c r="F12" s="176">
        <v>193558629</v>
      </c>
      <c r="G12" s="177">
        <v>3299</v>
      </c>
    </row>
    <row r="13" spans="2:13" ht="12.65" customHeight="1" x14ac:dyDescent="0.25">
      <c r="C13" s="178">
        <v>2</v>
      </c>
      <c r="D13" s="179">
        <v>99273804</v>
      </c>
      <c r="E13" s="180">
        <v>1926</v>
      </c>
      <c r="F13" s="180">
        <v>53213747</v>
      </c>
      <c r="G13" s="181">
        <v>918</v>
      </c>
    </row>
    <row r="14" spans="2:13" ht="12.65" customHeight="1" x14ac:dyDescent="0.25">
      <c r="C14" s="178">
        <v>3</v>
      </c>
      <c r="D14" s="179">
        <v>66145670</v>
      </c>
      <c r="E14" s="180">
        <v>1462</v>
      </c>
      <c r="F14" s="180">
        <v>74684472</v>
      </c>
      <c r="G14" s="181">
        <v>1206</v>
      </c>
    </row>
    <row r="15" spans="2:13" ht="12.65" customHeight="1" x14ac:dyDescent="0.25">
      <c r="C15" s="178">
        <v>4</v>
      </c>
      <c r="D15" s="179">
        <v>85892126</v>
      </c>
      <c r="E15" s="180">
        <v>1255</v>
      </c>
      <c r="F15" s="180">
        <v>60823284</v>
      </c>
      <c r="G15" s="181">
        <v>1331</v>
      </c>
    </row>
    <row r="16" spans="2:13" ht="12.65" customHeight="1" x14ac:dyDescent="0.25">
      <c r="C16" s="178">
        <v>5</v>
      </c>
      <c r="D16" s="179">
        <v>166326259</v>
      </c>
      <c r="E16" s="180">
        <v>2744</v>
      </c>
      <c r="F16" s="180">
        <v>41090640</v>
      </c>
      <c r="G16" s="181">
        <v>830</v>
      </c>
    </row>
    <row r="17" spans="1:11" ht="12.65" customHeight="1" thickBot="1" x14ac:dyDescent="0.3">
      <c r="C17" s="182" t="s">
        <v>89</v>
      </c>
      <c r="D17" s="183"/>
      <c r="E17" s="184"/>
      <c r="F17" s="184"/>
      <c r="G17" s="185"/>
    </row>
    <row r="18" spans="1:11" ht="12.65" customHeight="1" thickBot="1" x14ac:dyDescent="0.35">
      <c r="D18" s="186">
        <v>641470969</v>
      </c>
      <c r="E18" s="186">
        <v>10451</v>
      </c>
      <c r="F18" s="186">
        <v>423370772</v>
      </c>
      <c r="G18" s="186">
        <v>7584</v>
      </c>
    </row>
    <row r="19" spans="1:11" ht="12.65" customHeight="1" thickBot="1" x14ac:dyDescent="0.3"/>
    <row r="20" spans="1:11" ht="12.65" customHeight="1" thickBot="1" x14ac:dyDescent="0.35">
      <c r="C20" s="206" t="s">
        <v>3</v>
      </c>
      <c r="D20" s="170" t="s">
        <v>136</v>
      </c>
      <c r="E20" s="171" t="s">
        <v>137</v>
      </c>
      <c r="F20" s="171" t="s">
        <v>138</v>
      </c>
      <c r="G20" s="172" t="s">
        <v>139</v>
      </c>
      <c r="I20" s="199" t="s">
        <v>141</v>
      </c>
      <c r="J20" s="200" t="s">
        <v>142</v>
      </c>
    </row>
    <row r="21" spans="1:11" s="167" customFormat="1" ht="12.65" customHeight="1" x14ac:dyDescent="0.3">
      <c r="B21" s="207" t="s">
        <v>2</v>
      </c>
      <c r="C21" s="174">
        <v>1</v>
      </c>
      <c r="D21" s="175">
        <v>16244803518</v>
      </c>
      <c r="E21" s="176">
        <v>333383</v>
      </c>
      <c r="F21" s="176">
        <v>16660688191</v>
      </c>
      <c r="G21" s="177">
        <v>277096</v>
      </c>
      <c r="I21" s="175">
        <v>32905491709</v>
      </c>
      <c r="J21" s="177">
        <v>610479</v>
      </c>
    </row>
    <row r="22" spans="1:11" s="167" customFormat="1" ht="12.65" customHeight="1" x14ac:dyDescent="0.25">
      <c r="B22"/>
      <c r="C22" s="178">
        <v>2</v>
      </c>
      <c r="D22" s="179">
        <v>11832813662</v>
      </c>
      <c r="E22" s="180">
        <v>234224</v>
      </c>
      <c r="F22" s="180">
        <v>19090710142</v>
      </c>
      <c r="G22" s="181">
        <v>407133</v>
      </c>
      <c r="I22" s="179">
        <v>30923523804</v>
      </c>
      <c r="J22" s="181">
        <v>641357</v>
      </c>
    </row>
    <row r="23" spans="1:11" s="167" customFormat="1" ht="12.65" customHeight="1" x14ac:dyDescent="0.25">
      <c r="B23"/>
      <c r="C23" s="178">
        <v>3</v>
      </c>
      <c r="D23" s="179">
        <v>9684971351</v>
      </c>
      <c r="E23" s="180">
        <v>223802</v>
      </c>
      <c r="F23" s="180">
        <v>14027201822</v>
      </c>
      <c r="G23" s="181">
        <v>270874</v>
      </c>
      <c r="I23" s="179">
        <v>23712173173</v>
      </c>
      <c r="J23" s="181">
        <v>494676</v>
      </c>
    </row>
    <row r="24" spans="1:11" s="167" customFormat="1" ht="12.65" customHeight="1" x14ac:dyDescent="0.25">
      <c r="B24"/>
      <c r="C24" s="178">
        <v>4</v>
      </c>
      <c r="D24" s="179">
        <v>10376117592</v>
      </c>
      <c r="E24" s="180">
        <v>179210</v>
      </c>
      <c r="F24" s="180">
        <v>6640391410</v>
      </c>
      <c r="G24" s="181">
        <v>121823</v>
      </c>
      <c r="I24" s="179">
        <v>17016509002</v>
      </c>
      <c r="J24" s="181">
        <v>301033</v>
      </c>
    </row>
    <row r="25" spans="1:11" s="167" customFormat="1" ht="12.65" customHeight="1" x14ac:dyDescent="0.25">
      <c r="B25"/>
      <c r="C25" s="178">
        <v>5</v>
      </c>
      <c r="D25" s="179">
        <v>8278212539</v>
      </c>
      <c r="E25" s="180">
        <v>161821</v>
      </c>
      <c r="F25" s="180">
        <v>11725626627</v>
      </c>
      <c r="G25" s="181">
        <v>243448</v>
      </c>
      <c r="I25" s="179">
        <v>20003839166</v>
      </c>
      <c r="J25" s="181">
        <v>405269</v>
      </c>
    </row>
    <row r="26" spans="1:11" ht="12.65" customHeight="1" thickBot="1" x14ac:dyDescent="0.3">
      <c r="C26" s="182" t="s">
        <v>89</v>
      </c>
      <c r="D26" s="183"/>
      <c r="E26" s="184"/>
      <c r="F26" s="184"/>
      <c r="G26" s="185"/>
      <c r="I26" s="202">
        <v>0</v>
      </c>
      <c r="J26" s="203">
        <v>0</v>
      </c>
    </row>
    <row r="27" spans="1:11" ht="12.65" customHeight="1" thickBot="1" x14ac:dyDescent="0.35">
      <c r="D27" s="186">
        <v>56416918662</v>
      </c>
      <c r="E27" s="186">
        <v>1132440</v>
      </c>
      <c r="F27" s="186">
        <v>68144618192</v>
      </c>
      <c r="G27" s="186">
        <v>1320374</v>
      </c>
      <c r="I27" s="204">
        <v>124561536854</v>
      </c>
      <c r="J27" s="205">
        <v>2452814</v>
      </c>
    </row>
    <row r="29" spans="1:11" x14ac:dyDescent="0.25">
      <c r="A29" s="238"/>
      <c r="B29" s="238"/>
      <c r="C29" s="238"/>
      <c r="D29" s="494"/>
      <c r="E29" s="494"/>
      <c r="F29" s="494"/>
      <c r="G29" s="494"/>
      <c r="H29" s="494"/>
      <c r="I29" s="494"/>
      <c r="J29" s="494"/>
      <c r="K29" s="494"/>
    </row>
    <row r="31" spans="1:11" ht="13" x14ac:dyDescent="0.3">
      <c r="B31" s="102" t="s">
        <v>132</v>
      </c>
      <c r="D31" s="167" t="b">
        <f>D9=SUM(D3:D8)</f>
        <v>1</v>
      </c>
      <c r="E31" s="167" t="b">
        <f t="shared" ref="E31:G31" si="0">E9=SUM(E3:E8)</f>
        <v>1</v>
      </c>
      <c r="F31" s="167" t="b">
        <f t="shared" si="0"/>
        <v>1</v>
      </c>
      <c r="G31" s="167" t="b">
        <f t="shared" si="0"/>
        <v>1</v>
      </c>
    </row>
    <row r="33" spans="2:10" ht="13" x14ac:dyDescent="0.3">
      <c r="B33" s="97" t="s">
        <v>140</v>
      </c>
      <c r="D33" s="167" t="b">
        <f>D18=SUM(D12:D17)</f>
        <v>1</v>
      </c>
      <c r="E33" s="167" t="b">
        <f t="shared" ref="E33:G33" si="1">E18=SUM(E12:E17)</f>
        <v>1</v>
      </c>
      <c r="F33" s="167" t="b">
        <f t="shared" si="1"/>
        <v>1</v>
      </c>
      <c r="G33" s="167" t="b">
        <f t="shared" si="1"/>
        <v>1</v>
      </c>
    </row>
    <row r="35" spans="2:10" ht="13" x14ac:dyDescent="0.3">
      <c r="B35" s="97" t="s">
        <v>2</v>
      </c>
      <c r="D35" s="167" t="b">
        <f>D27=SUM(D21:D26)</f>
        <v>1</v>
      </c>
      <c r="E35" s="167" t="b">
        <f t="shared" ref="E35:J35" si="2">E27=SUM(E21:E26)</f>
        <v>1</v>
      </c>
      <c r="F35" s="167" t="b">
        <f>F27=SUM(F21:F26)</f>
        <v>1</v>
      </c>
      <c r="G35" s="167" t="b">
        <f t="shared" si="2"/>
        <v>1</v>
      </c>
      <c r="I35" s="167" t="b">
        <f t="shared" si="2"/>
        <v>1</v>
      </c>
      <c r="J35" s="167" t="b">
        <f t="shared" si="2"/>
        <v>1</v>
      </c>
    </row>
    <row r="69" spans="5:5" x14ac:dyDescent="0.25">
      <c r="E69" s="167">
        <f>C69-G17</f>
        <v>0</v>
      </c>
    </row>
  </sheetData>
  <conditionalFormatting sqref="D31:G31">
    <cfRule type="cellIs" dxfId="99" priority="5" operator="notEqual">
      <formula>TRUE</formula>
    </cfRule>
  </conditionalFormatting>
  <conditionalFormatting sqref="D33:G33">
    <cfRule type="cellIs" dxfId="98" priority="4" operator="notEqual">
      <formula>TRUE</formula>
    </cfRule>
  </conditionalFormatting>
  <conditionalFormatting sqref="D35:G35">
    <cfRule type="cellIs" dxfId="97" priority="3" operator="notEqual">
      <formula>TRUE</formula>
    </cfRule>
  </conditionalFormatting>
  <conditionalFormatting sqref="I35:J35">
    <cfRule type="cellIs" dxfId="96" priority="1" operator="notEqual">
      <formula>TRUE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D0F965-C917-49F6-90EC-EEF6E0E10FCD}">
  <dimension ref="A1:M69"/>
  <sheetViews>
    <sheetView zoomScaleNormal="100" workbookViewId="0"/>
  </sheetViews>
  <sheetFormatPr baseColWidth="10" defaultRowHeight="12.5" x14ac:dyDescent="0.25"/>
  <cols>
    <col min="1" max="1" width="2.1796875" customWidth="1"/>
    <col min="2" max="2" width="12.81640625" bestFit="1" customWidth="1"/>
    <col min="3" max="3" width="7.1796875" customWidth="1"/>
    <col min="4" max="4" width="16" style="167" bestFit="1" customWidth="1"/>
    <col min="5" max="5" width="20.453125" style="167" customWidth="1"/>
    <col min="6" max="6" width="16" style="167" bestFit="1" customWidth="1"/>
    <col min="7" max="7" width="20.1796875" style="167" customWidth="1"/>
    <col min="8" max="8" width="3.81640625" style="167" customWidth="1"/>
    <col min="9" max="10" width="26.54296875" style="167" bestFit="1" customWidth="1"/>
    <col min="11" max="13" width="19.81640625" style="167" customWidth="1"/>
  </cols>
  <sheetData>
    <row r="1" spans="2:13" ht="14.5" customHeight="1" thickBot="1" x14ac:dyDescent="0.3"/>
    <row r="2" spans="2:13" s="102" customFormat="1" ht="12.65" customHeight="1" thickBot="1" x14ac:dyDescent="0.35">
      <c r="B2" s="102" t="s">
        <v>132</v>
      </c>
      <c r="C2" s="206" t="s">
        <v>3</v>
      </c>
      <c r="D2" s="170" t="s">
        <v>136</v>
      </c>
      <c r="E2" s="171" t="s">
        <v>137</v>
      </c>
      <c r="F2" s="171" t="s">
        <v>138</v>
      </c>
      <c r="G2" s="172" t="s">
        <v>139</v>
      </c>
      <c r="H2" s="173"/>
      <c r="I2" s="173"/>
      <c r="J2" s="728"/>
      <c r="K2" s="173"/>
      <c r="L2" s="173"/>
      <c r="M2" s="173"/>
    </row>
    <row r="3" spans="2:13" ht="12.65" customHeight="1" x14ac:dyDescent="0.25">
      <c r="C3" s="174">
        <v>1</v>
      </c>
      <c r="D3" s="175">
        <v>0</v>
      </c>
      <c r="E3" s="176">
        <v>0</v>
      </c>
      <c r="F3" s="176">
        <v>0</v>
      </c>
      <c r="G3" s="177">
        <v>0</v>
      </c>
      <c r="J3" s="729"/>
    </row>
    <row r="4" spans="2:13" ht="12.65" customHeight="1" x14ac:dyDescent="0.25">
      <c r="C4" s="178">
        <v>2</v>
      </c>
      <c r="D4" s="179">
        <v>0</v>
      </c>
      <c r="E4" s="180">
        <v>0</v>
      </c>
      <c r="F4" s="180">
        <v>0</v>
      </c>
      <c r="G4" s="181">
        <v>0</v>
      </c>
      <c r="J4" s="729"/>
    </row>
    <row r="5" spans="2:13" ht="12.65" customHeight="1" x14ac:dyDescent="0.25">
      <c r="C5" s="178">
        <v>3</v>
      </c>
      <c r="D5" s="179">
        <v>0</v>
      </c>
      <c r="E5" s="180">
        <v>0</v>
      </c>
      <c r="F5" s="180">
        <v>0</v>
      </c>
      <c r="G5" s="181">
        <v>0</v>
      </c>
      <c r="J5" s="729"/>
    </row>
    <row r="6" spans="2:13" ht="12.65" customHeight="1" x14ac:dyDescent="0.25">
      <c r="C6" s="178">
        <v>4</v>
      </c>
      <c r="D6" s="179">
        <v>0</v>
      </c>
      <c r="E6" s="180">
        <v>0</v>
      </c>
      <c r="F6" s="180">
        <v>0</v>
      </c>
      <c r="G6" s="181">
        <v>0</v>
      </c>
    </row>
    <row r="7" spans="2:13" ht="12.65" customHeight="1" x14ac:dyDescent="0.25">
      <c r="C7" s="178">
        <v>5</v>
      </c>
      <c r="D7" s="179">
        <v>129429946</v>
      </c>
      <c r="E7" s="180">
        <v>2854</v>
      </c>
      <c r="F7" s="180">
        <v>28645323</v>
      </c>
      <c r="G7" s="181">
        <v>545</v>
      </c>
    </row>
    <row r="8" spans="2:13" ht="12.65" customHeight="1" thickBot="1" x14ac:dyDescent="0.3">
      <c r="C8" s="182" t="s">
        <v>89</v>
      </c>
      <c r="D8" s="183"/>
      <c r="E8" s="184"/>
      <c r="F8" s="184"/>
      <c r="G8" s="185"/>
    </row>
    <row r="9" spans="2:13" ht="12.65" customHeight="1" thickBot="1" x14ac:dyDescent="0.35">
      <c r="D9" s="186">
        <v>129429946</v>
      </c>
      <c r="E9" s="186">
        <v>2854</v>
      </c>
      <c r="F9" s="186">
        <v>28645323</v>
      </c>
      <c r="G9" s="186">
        <v>545</v>
      </c>
    </row>
    <row r="10" spans="2:13" ht="12.65" customHeight="1" thickBot="1" x14ac:dyDescent="0.3"/>
    <row r="11" spans="2:13" s="102" customFormat="1" ht="12.65" customHeight="1" thickBot="1" x14ac:dyDescent="0.35">
      <c r="C11" s="206" t="s">
        <v>3</v>
      </c>
      <c r="D11" s="170" t="s">
        <v>136</v>
      </c>
      <c r="E11" s="171" t="s">
        <v>137</v>
      </c>
      <c r="F11" s="171" t="s">
        <v>138</v>
      </c>
      <c r="G11" s="172" t="s">
        <v>139</v>
      </c>
      <c r="H11" s="173"/>
      <c r="I11" s="173"/>
      <c r="J11" s="173"/>
      <c r="K11" s="173"/>
      <c r="L11" s="173"/>
      <c r="M11" s="173"/>
    </row>
    <row r="12" spans="2:13" ht="12.65" customHeight="1" x14ac:dyDescent="0.3">
      <c r="B12" s="97" t="s">
        <v>140</v>
      </c>
      <c r="C12" s="174">
        <v>1</v>
      </c>
      <c r="D12" s="175">
        <v>0</v>
      </c>
      <c r="E12" s="176">
        <v>0</v>
      </c>
      <c r="F12" s="176">
        <v>0</v>
      </c>
      <c r="G12" s="177">
        <v>0</v>
      </c>
    </row>
    <row r="13" spans="2:13" ht="12.65" customHeight="1" x14ac:dyDescent="0.25">
      <c r="C13" s="178">
        <v>2</v>
      </c>
      <c r="D13" s="179">
        <v>0</v>
      </c>
      <c r="E13" s="180">
        <v>0</v>
      </c>
      <c r="F13" s="180">
        <v>0</v>
      </c>
      <c r="G13" s="181">
        <v>0</v>
      </c>
    </row>
    <row r="14" spans="2:13" ht="12.65" customHeight="1" x14ac:dyDescent="0.25">
      <c r="C14" s="178">
        <v>3</v>
      </c>
      <c r="D14" s="179">
        <v>0</v>
      </c>
      <c r="E14" s="180">
        <v>0</v>
      </c>
      <c r="F14" s="180">
        <v>0</v>
      </c>
      <c r="G14" s="181">
        <v>0</v>
      </c>
    </row>
    <row r="15" spans="2:13" ht="12.65" customHeight="1" x14ac:dyDescent="0.25">
      <c r="C15" s="178">
        <v>4</v>
      </c>
      <c r="D15" s="179">
        <v>0</v>
      </c>
      <c r="E15" s="180">
        <v>0</v>
      </c>
      <c r="F15" s="180">
        <v>0</v>
      </c>
      <c r="G15" s="181">
        <v>0</v>
      </c>
    </row>
    <row r="16" spans="2:13" ht="12.65" customHeight="1" x14ac:dyDescent="0.25">
      <c r="C16" s="178">
        <v>5</v>
      </c>
      <c r="D16" s="179">
        <v>106710</v>
      </c>
      <c r="E16" s="180">
        <v>1</v>
      </c>
      <c r="F16" s="180">
        <v>0</v>
      </c>
      <c r="G16" s="181">
        <v>0</v>
      </c>
    </row>
    <row r="17" spans="1:11" ht="12.65" customHeight="1" thickBot="1" x14ac:dyDescent="0.3">
      <c r="C17" s="182" t="s">
        <v>89</v>
      </c>
      <c r="D17" s="183"/>
      <c r="E17" s="184"/>
      <c r="F17" s="184"/>
      <c r="G17" s="185"/>
    </row>
    <row r="18" spans="1:11" ht="12.65" customHeight="1" thickBot="1" x14ac:dyDescent="0.35">
      <c r="D18" s="186">
        <v>106710</v>
      </c>
      <c r="E18" s="186">
        <v>1</v>
      </c>
      <c r="F18" s="186">
        <v>0</v>
      </c>
      <c r="G18" s="186">
        <v>0</v>
      </c>
    </row>
    <row r="19" spans="1:11" ht="12.65" customHeight="1" thickBot="1" x14ac:dyDescent="0.3"/>
    <row r="20" spans="1:11" ht="12.65" customHeight="1" thickBot="1" x14ac:dyDescent="0.35">
      <c r="C20" s="206" t="s">
        <v>3</v>
      </c>
      <c r="D20" s="170" t="s">
        <v>136</v>
      </c>
      <c r="E20" s="171" t="s">
        <v>137</v>
      </c>
      <c r="F20" s="171" t="s">
        <v>138</v>
      </c>
      <c r="G20" s="172" t="s">
        <v>139</v>
      </c>
      <c r="I20" s="199" t="s">
        <v>141</v>
      </c>
      <c r="J20" s="200" t="s">
        <v>142</v>
      </c>
    </row>
    <row r="21" spans="1:11" s="167" customFormat="1" ht="12.65" customHeight="1" x14ac:dyDescent="0.3">
      <c r="B21" s="207" t="s">
        <v>2</v>
      </c>
      <c r="C21" s="174">
        <v>1</v>
      </c>
      <c r="D21" s="175">
        <v>0</v>
      </c>
      <c r="E21" s="176">
        <v>0</v>
      </c>
      <c r="F21" s="176">
        <v>0</v>
      </c>
      <c r="G21" s="177">
        <v>0</v>
      </c>
      <c r="I21" s="175">
        <v>0</v>
      </c>
      <c r="J21" s="177">
        <v>0</v>
      </c>
    </row>
    <row r="22" spans="1:11" s="167" customFormat="1" ht="12.65" customHeight="1" x14ac:dyDescent="0.25">
      <c r="B22"/>
      <c r="C22" s="178">
        <v>2</v>
      </c>
      <c r="D22" s="179">
        <v>0</v>
      </c>
      <c r="E22" s="180">
        <v>0</v>
      </c>
      <c r="F22" s="180">
        <v>0</v>
      </c>
      <c r="G22" s="181">
        <v>0</v>
      </c>
      <c r="I22" s="179">
        <v>0</v>
      </c>
      <c r="J22" s="181">
        <v>0</v>
      </c>
    </row>
    <row r="23" spans="1:11" s="167" customFormat="1" ht="12.65" customHeight="1" x14ac:dyDescent="0.25">
      <c r="B23"/>
      <c r="C23" s="178">
        <v>3</v>
      </c>
      <c r="D23" s="179">
        <v>0</v>
      </c>
      <c r="E23" s="180">
        <v>0</v>
      </c>
      <c r="F23" s="180">
        <v>0</v>
      </c>
      <c r="G23" s="181">
        <v>0</v>
      </c>
      <c r="I23" s="179">
        <v>0</v>
      </c>
      <c r="J23" s="181">
        <v>0</v>
      </c>
    </row>
    <row r="24" spans="1:11" s="167" customFormat="1" ht="12.65" customHeight="1" x14ac:dyDescent="0.25">
      <c r="B24"/>
      <c r="C24" s="178">
        <v>4</v>
      </c>
      <c r="D24" s="179">
        <v>0</v>
      </c>
      <c r="E24" s="180">
        <v>0</v>
      </c>
      <c r="F24" s="180">
        <v>0</v>
      </c>
      <c r="G24" s="181">
        <v>0</v>
      </c>
      <c r="I24" s="179">
        <v>0</v>
      </c>
      <c r="J24" s="181">
        <v>0</v>
      </c>
    </row>
    <row r="25" spans="1:11" s="167" customFormat="1" ht="12.65" customHeight="1" x14ac:dyDescent="0.25">
      <c r="B25"/>
      <c r="C25" s="178">
        <v>5</v>
      </c>
      <c r="D25" s="179">
        <v>129536656</v>
      </c>
      <c r="E25" s="180">
        <v>2855</v>
      </c>
      <c r="F25" s="180">
        <v>28645323</v>
      </c>
      <c r="G25" s="181">
        <v>545</v>
      </c>
      <c r="I25" s="179">
        <v>158181979</v>
      </c>
      <c r="J25" s="181">
        <v>3400</v>
      </c>
    </row>
    <row r="26" spans="1:11" ht="12.65" customHeight="1" thickBot="1" x14ac:dyDescent="0.3">
      <c r="C26" s="182" t="s">
        <v>89</v>
      </c>
      <c r="D26" s="183"/>
      <c r="E26" s="184"/>
      <c r="F26" s="184"/>
      <c r="G26" s="185"/>
      <c r="I26" s="202">
        <v>0</v>
      </c>
      <c r="J26" s="203">
        <v>0</v>
      </c>
    </row>
    <row r="27" spans="1:11" ht="12.65" customHeight="1" thickBot="1" x14ac:dyDescent="0.35">
      <c r="D27" s="186">
        <v>129536656</v>
      </c>
      <c r="E27" s="186">
        <v>2855</v>
      </c>
      <c r="F27" s="186">
        <v>28645323</v>
      </c>
      <c r="G27" s="186">
        <v>545</v>
      </c>
      <c r="I27" s="204">
        <v>158181979</v>
      </c>
      <c r="J27" s="205">
        <v>3400</v>
      </c>
    </row>
    <row r="29" spans="1:11" x14ac:dyDescent="0.25">
      <c r="A29" s="238"/>
      <c r="B29" s="238"/>
      <c r="C29" s="238"/>
      <c r="D29" s="494"/>
      <c r="E29" s="494"/>
      <c r="F29" s="494"/>
      <c r="G29" s="494"/>
      <c r="H29" s="494"/>
      <c r="I29" s="494"/>
      <c r="J29" s="494"/>
      <c r="K29" s="494"/>
    </row>
    <row r="31" spans="1:11" ht="13" x14ac:dyDescent="0.3">
      <c r="B31" s="102" t="s">
        <v>132</v>
      </c>
      <c r="D31" s="167" t="b">
        <f>D9=SUM(D3:D8)</f>
        <v>1</v>
      </c>
      <c r="E31" s="167" t="b">
        <f t="shared" ref="E31:G31" si="0">E9=SUM(E3:E8)</f>
        <v>1</v>
      </c>
      <c r="F31" s="167" t="b">
        <f t="shared" si="0"/>
        <v>1</v>
      </c>
      <c r="G31" s="167" t="b">
        <f t="shared" si="0"/>
        <v>1</v>
      </c>
    </row>
    <row r="33" spans="2:10" ht="13" x14ac:dyDescent="0.3">
      <c r="B33" s="97" t="s">
        <v>140</v>
      </c>
      <c r="D33" s="167" t="b">
        <f>D18=SUM(D12:D17)</f>
        <v>1</v>
      </c>
      <c r="E33" s="167" t="b">
        <f t="shared" ref="E33:G33" si="1">E18=SUM(E12:E17)</f>
        <v>1</v>
      </c>
      <c r="F33" s="167" t="b">
        <f t="shared" si="1"/>
        <v>1</v>
      </c>
      <c r="G33" s="167" t="b">
        <f t="shared" si="1"/>
        <v>1</v>
      </c>
    </row>
    <row r="35" spans="2:10" ht="13" x14ac:dyDescent="0.3">
      <c r="B35" s="97" t="s">
        <v>2</v>
      </c>
      <c r="D35" s="167" t="b">
        <f>D27=SUM(D21:D26)</f>
        <v>1</v>
      </c>
      <c r="E35" s="167" t="b">
        <f t="shared" ref="E35:J35" si="2">E27=SUM(E21:E26)</f>
        <v>1</v>
      </c>
      <c r="F35" s="167" t="b">
        <f>F27=SUM(F21:F26)</f>
        <v>1</v>
      </c>
      <c r="G35" s="167" t="b">
        <f t="shared" si="2"/>
        <v>1</v>
      </c>
      <c r="I35" s="167" t="b">
        <f>I27=SUM(I21:I26)</f>
        <v>1</v>
      </c>
      <c r="J35" s="167" t="b">
        <f t="shared" si="2"/>
        <v>1</v>
      </c>
    </row>
    <row r="69" spans="5:5" x14ac:dyDescent="0.25">
      <c r="E69" s="167">
        <f>C69-G17</f>
        <v>0</v>
      </c>
    </row>
  </sheetData>
  <conditionalFormatting sqref="D31:G31">
    <cfRule type="cellIs" dxfId="95" priority="4" operator="notEqual">
      <formula>TRUE</formula>
    </cfRule>
  </conditionalFormatting>
  <conditionalFormatting sqref="D33:G33">
    <cfRule type="cellIs" dxfId="94" priority="3" operator="notEqual">
      <formula>TRUE</formula>
    </cfRule>
  </conditionalFormatting>
  <conditionalFormatting sqref="D35:G35">
    <cfRule type="cellIs" dxfId="93" priority="2" operator="notEqual">
      <formula>TRUE</formula>
    </cfRule>
  </conditionalFormatting>
  <conditionalFormatting sqref="I35:J35">
    <cfRule type="cellIs" dxfId="92" priority="1" operator="notEqual">
      <formula>TRUE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37"/>
  <sheetViews>
    <sheetView workbookViewId="0">
      <selection activeCell="G41" sqref="G41"/>
    </sheetView>
  </sheetViews>
  <sheetFormatPr baseColWidth="10" defaultColWidth="11.453125" defaultRowHeight="12.5" x14ac:dyDescent="0.25"/>
  <cols>
    <col min="1" max="1" width="2.1796875" style="213" customWidth="1"/>
    <col min="2" max="2" width="25" style="213" bestFit="1" customWidth="1"/>
    <col min="3" max="3" width="4.81640625" style="213" bestFit="1" customWidth="1"/>
    <col min="4" max="4" width="13.81640625" style="167" bestFit="1" customWidth="1"/>
    <col min="5" max="5" width="19" style="167" bestFit="1" customWidth="1"/>
    <col min="6" max="6" width="13.81640625" style="167" bestFit="1" customWidth="1"/>
    <col min="7" max="7" width="19" style="167" bestFit="1" customWidth="1"/>
    <col min="8" max="8" width="3.81640625" style="167" customWidth="1"/>
    <col min="9" max="9" width="20" style="167" bestFit="1" customWidth="1"/>
    <col min="10" max="10" width="26.54296875" style="167" bestFit="1" customWidth="1"/>
    <col min="11" max="13" width="19.81640625" style="167" customWidth="1"/>
    <col min="14" max="16384" width="11.453125" style="213"/>
  </cols>
  <sheetData>
    <row r="1" spans="2:13" ht="13" thickBot="1" x14ac:dyDescent="0.3"/>
    <row r="2" spans="2:13" s="214" customFormat="1" ht="13.5" thickBot="1" x14ac:dyDescent="0.35">
      <c r="B2" s="214" t="s">
        <v>157</v>
      </c>
      <c r="C2" s="215" t="s">
        <v>3</v>
      </c>
      <c r="D2" s="170" t="s">
        <v>136</v>
      </c>
      <c r="E2" s="171" t="s">
        <v>137</v>
      </c>
      <c r="F2" s="171" t="s">
        <v>138</v>
      </c>
      <c r="G2" s="172" t="s">
        <v>139</v>
      </c>
      <c r="H2" s="173"/>
      <c r="I2" s="173"/>
      <c r="J2" s="173"/>
      <c r="K2" s="173"/>
      <c r="L2" s="173"/>
      <c r="M2" s="173"/>
    </row>
    <row r="3" spans="2:13" x14ac:dyDescent="0.25">
      <c r="C3" s="174">
        <v>1</v>
      </c>
      <c r="D3" s="175">
        <v>0</v>
      </c>
      <c r="E3" s="180">
        <v>0</v>
      </c>
      <c r="F3" s="176">
        <v>0</v>
      </c>
      <c r="G3" s="177">
        <v>0</v>
      </c>
    </row>
    <row r="4" spans="2:13" x14ac:dyDescent="0.25">
      <c r="C4" s="178">
        <v>2</v>
      </c>
      <c r="D4" s="180">
        <v>0</v>
      </c>
      <c r="E4" s="180">
        <v>0</v>
      </c>
      <c r="F4" s="180">
        <v>0</v>
      </c>
      <c r="G4" s="181">
        <v>0</v>
      </c>
    </row>
    <row r="5" spans="2:13" x14ac:dyDescent="0.25">
      <c r="C5" s="178">
        <v>3</v>
      </c>
      <c r="D5" s="180">
        <v>0</v>
      </c>
      <c r="E5" s="180">
        <v>0</v>
      </c>
      <c r="F5" s="180">
        <v>0</v>
      </c>
      <c r="G5" s="181">
        <v>0</v>
      </c>
    </row>
    <row r="6" spans="2:13" ht="13.5" customHeight="1" x14ac:dyDescent="0.25">
      <c r="C6" s="178">
        <v>4</v>
      </c>
      <c r="D6" s="180">
        <v>0</v>
      </c>
      <c r="E6" s="180">
        <v>0</v>
      </c>
      <c r="F6" s="180">
        <v>0</v>
      </c>
      <c r="G6" s="181">
        <v>0</v>
      </c>
    </row>
    <row r="7" spans="2:13" ht="13.5" customHeight="1" x14ac:dyDescent="0.25">
      <c r="C7" s="178">
        <v>5</v>
      </c>
      <c r="D7" s="180">
        <v>0</v>
      </c>
      <c r="E7" s="180">
        <v>0</v>
      </c>
      <c r="F7" s="180">
        <v>0</v>
      </c>
      <c r="G7" s="181">
        <v>0</v>
      </c>
    </row>
    <row r="8" spans="2:13" ht="13" thickBot="1" x14ac:dyDescent="0.3">
      <c r="C8" s="182" t="s">
        <v>89</v>
      </c>
      <c r="D8" s="183"/>
      <c r="E8" s="184"/>
      <c r="F8" s="184"/>
      <c r="G8" s="185"/>
    </row>
    <row r="9" spans="2:13" ht="13.5" thickBot="1" x14ac:dyDescent="0.35">
      <c r="D9" s="186">
        <v>0</v>
      </c>
      <c r="E9" s="186">
        <v>0</v>
      </c>
      <c r="F9" s="186">
        <v>0</v>
      </c>
      <c r="G9" s="186">
        <v>0</v>
      </c>
    </row>
    <row r="10" spans="2:13" ht="13" thickBot="1" x14ac:dyDescent="0.3"/>
    <row r="11" spans="2:13" s="214" customFormat="1" ht="13.5" thickBot="1" x14ac:dyDescent="0.35">
      <c r="C11" s="215" t="s">
        <v>3</v>
      </c>
      <c r="D11" s="170" t="s">
        <v>136</v>
      </c>
      <c r="E11" s="171" t="s">
        <v>137</v>
      </c>
      <c r="F11" s="171" t="s">
        <v>138</v>
      </c>
      <c r="G11" s="172" t="s">
        <v>139</v>
      </c>
      <c r="H11" s="173"/>
      <c r="I11" s="173"/>
      <c r="J11" s="173"/>
      <c r="K11" s="173"/>
      <c r="L11" s="173"/>
      <c r="M11" s="173"/>
    </row>
    <row r="12" spans="2:13" ht="13" x14ac:dyDescent="0.3">
      <c r="B12" s="216" t="s">
        <v>158</v>
      </c>
      <c r="C12" s="174">
        <v>1</v>
      </c>
      <c r="D12" s="175">
        <v>0</v>
      </c>
      <c r="E12" s="180">
        <v>0</v>
      </c>
      <c r="F12" s="176">
        <v>0</v>
      </c>
      <c r="G12" s="177">
        <v>0</v>
      </c>
    </row>
    <row r="13" spans="2:13" x14ac:dyDescent="0.25">
      <c r="C13" s="178">
        <v>2</v>
      </c>
      <c r="D13" s="180">
        <v>0</v>
      </c>
      <c r="E13" s="180">
        <v>0</v>
      </c>
      <c r="F13" s="180">
        <v>0</v>
      </c>
      <c r="G13" s="181">
        <v>0</v>
      </c>
    </row>
    <row r="14" spans="2:13" x14ac:dyDescent="0.25">
      <c r="C14" s="178">
        <v>3</v>
      </c>
      <c r="D14" s="180">
        <v>0</v>
      </c>
      <c r="E14" s="180">
        <v>0</v>
      </c>
      <c r="F14" s="180">
        <v>0</v>
      </c>
      <c r="G14" s="181">
        <v>0</v>
      </c>
    </row>
    <row r="15" spans="2:13" x14ac:dyDescent="0.25">
      <c r="C15" s="178">
        <v>4</v>
      </c>
      <c r="D15" s="180">
        <v>0</v>
      </c>
      <c r="E15" s="180">
        <v>0</v>
      </c>
      <c r="F15" s="180">
        <v>0</v>
      </c>
      <c r="G15" s="181">
        <v>0</v>
      </c>
    </row>
    <row r="16" spans="2:13" x14ac:dyDescent="0.25">
      <c r="C16" s="178">
        <v>5</v>
      </c>
      <c r="D16" s="180">
        <v>0</v>
      </c>
      <c r="E16" s="180">
        <v>0</v>
      </c>
      <c r="F16" s="180">
        <v>0</v>
      </c>
      <c r="G16" s="181">
        <v>0</v>
      </c>
    </row>
    <row r="17" spans="1:13" ht="13" thickBot="1" x14ac:dyDescent="0.3">
      <c r="C17" s="182" t="s">
        <v>89</v>
      </c>
      <c r="D17" s="183"/>
      <c r="E17" s="184"/>
      <c r="F17" s="184"/>
      <c r="G17" s="185"/>
    </row>
    <row r="18" spans="1:13" ht="13.5" thickBot="1" x14ac:dyDescent="0.35">
      <c r="D18" s="186">
        <v>0</v>
      </c>
      <c r="E18" s="186">
        <v>0</v>
      </c>
      <c r="F18" s="186">
        <v>0</v>
      </c>
      <c r="G18" s="186">
        <v>0</v>
      </c>
    </row>
    <row r="19" spans="1:13" ht="13" thickBot="1" x14ac:dyDescent="0.3"/>
    <row r="20" spans="1:13" ht="13.5" thickBot="1" x14ac:dyDescent="0.35">
      <c r="C20" s="215" t="s">
        <v>3</v>
      </c>
      <c r="D20" s="170" t="s">
        <v>136</v>
      </c>
      <c r="E20" s="171" t="s">
        <v>137</v>
      </c>
      <c r="F20" s="171" t="s">
        <v>138</v>
      </c>
      <c r="G20" s="172" t="s">
        <v>139</v>
      </c>
      <c r="I20" s="199" t="s">
        <v>141</v>
      </c>
      <c r="J20" s="200" t="s">
        <v>142</v>
      </c>
    </row>
    <row r="21" spans="1:13" s="167" customFormat="1" ht="13" x14ac:dyDescent="0.3">
      <c r="B21" s="217" t="s">
        <v>2</v>
      </c>
      <c r="C21" s="174">
        <v>1</v>
      </c>
      <c r="D21" s="175">
        <v>0</v>
      </c>
      <c r="E21" s="176">
        <v>0</v>
      </c>
      <c r="F21" s="176">
        <v>0</v>
      </c>
      <c r="G21" s="177">
        <v>0</v>
      </c>
      <c r="I21" s="175">
        <v>0</v>
      </c>
      <c r="J21" s="177">
        <v>0</v>
      </c>
    </row>
    <row r="22" spans="1:13" s="167" customFormat="1" x14ac:dyDescent="0.25">
      <c r="B22" s="213"/>
      <c r="C22" s="178">
        <v>2</v>
      </c>
      <c r="D22" s="179">
        <v>0</v>
      </c>
      <c r="E22" s="180">
        <v>0</v>
      </c>
      <c r="F22" s="180">
        <v>0</v>
      </c>
      <c r="G22" s="181">
        <v>0</v>
      </c>
      <c r="I22" s="179">
        <v>0</v>
      </c>
      <c r="J22" s="181">
        <v>0</v>
      </c>
    </row>
    <row r="23" spans="1:13" s="167" customFormat="1" x14ac:dyDescent="0.25">
      <c r="B23" s="213"/>
      <c r="C23" s="178">
        <v>3</v>
      </c>
      <c r="D23" s="179">
        <v>0</v>
      </c>
      <c r="E23" s="180">
        <v>0</v>
      </c>
      <c r="F23" s="180">
        <v>0</v>
      </c>
      <c r="G23" s="181">
        <v>0</v>
      </c>
      <c r="I23" s="179">
        <v>0</v>
      </c>
      <c r="J23" s="181">
        <v>0</v>
      </c>
    </row>
    <row r="24" spans="1:13" s="167" customFormat="1" x14ac:dyDescent="0.25">
      <c r="B24" s="213"/>
      <c r="C24" s="178">
        <v>4</v>
      </c>
      <c r="D24" s="179">
        <v>0</v>
      </c>
      <c r="E24" s="180">
        <v>0</v>
      </c>
      <c r="F24" s="180">
        <v>0</v>
      </c>
      <c r="G24" s="181">
        <v>0</v>
      </c>
      <c r="I24" s="179">
        <v>0</v>
      </c>
      <c r="J24" s="181">
        <v>0</v>
      </c>
    </row>
    <row r="25" spans="1:13" s="167" customFormat="1" x14ac:dyDescent="0.25">
      <c r="B25" s="213"/>
      <c r="C25" s="178">
        <v>5</v>
      </c>
      <c r="D25" s="179">
        <v>0</v>
      </c>
      <c r="E25" s="180">
        <v>0</v>
      </c>
      <c r="F25" s="180">
        <v>0</v>
      </c>
      <c r="G25" s="181">
        <v>0</v>
      </c>
      <c r="I25" s="179">
        <v>0</v>
      </c>
      <c r="J25" s="181">
        <v>0</v>
      </c>
    </row>
    <row r="26" spans="1:13" ht="13" thickBot="1" x14ac:dyDescent="0.3">
      <c r="C26" s="182" t="s">
        <v>89</v>
      </c>
      <c r="D26" s="183"/>
      <c r="E26" s="184"/>
      <c r="F26" s="184"/>
      <c r="G26" s="185"/>
      <c r="I26" s="202">
        <v>0</v>
      </c>
      <c r="J26" s="203">
        <v>0</v>
      </c>
    </row>
    <row r="27" spans="1:13" ht="13.5" thickBot="1" x14ac:dyDescent="0.35">
      <c r="D27" s="186">
        <v>0</v>
      </c>
      <c r="E27" s="186">
        <v>0</v>
      </c>
      <c r="F27" s="186">
        <v>0</v>
      </c>
      <c r="G27" s="186">
        <v>0</v>
      </c>
      <c r="I27" s="204">
        <v>0</v>
      </c>
      <c r="J27" s="205">
        <v>0</v>
      </c>
    </row>
    <row r="29" spans="1:13" customFormat="1" x14ac:dyDescent="0.25">
      <c r="A29" s="238"/>
      <c r="B29" s="238"/>
      <c r="C29" s="238"/>
      <c r="D29" s="494"/>
      <c r="E29" s="494"/>
      <c r="F29" s="494"/>
      <c r="G29" s="494"/>
      <c r="H29" s="494"/>
      <c r="I29" s="494"/>
      <c r="J29" s="494"/>
      <c r="K29" s="494"/>
      <c r="L29" s="167"/>
      <c r="M29" s="167"/>
    </row>
    <row r="30" spans="1:13" customFormat="1" x14ac:dyDescent="0.25">
      <c r="D30" s="167"/>
      <c r="E30" s="167"/>
      <c r="F30" s="167"/>
      <c r="G30" s="167"/>
      <c r="H30" s="167"/>
      <c r="I30" s="167"/>
      <c r="J30" s="167"/>
      <c r="K30" s="167"/>
      <c r="L30" s="167"/>
      <c r="M30" s="167"/>
    </row>
    <row r="31" spans="1:13" customFormat="1" ht="13" x14ac:dyDescent="0.3">
      <c r="B31" s="102" t="s">
        <v>132</v>
      </c>
      <c r="D31" s="167" t="b">
        <f>D9=SUM(D3:D8)</f>
        <v>1</v>
      </c>
      <c r="E31" s="167" t="b">
        <f t="shared" ref="E31:G31" si="0">E9=SUM(E3:E8)</f>
        <v>1</v>
      </c>
      <c r="F31" s="167" t="b">
        <f t="shared" si="0"/>
        <v>1</v>
      </c>
      <c r="G31" s="167" t="b">
        <f t="shared" si="0"/>
        <v>1</v>
      </c>
      <c r="H31" s="167"/>
      <c r="I31" s="167"/>
      <c r="J31" s="167"/>
      <c r="K31" s="167"/>
      <c r="L31" s="167"/>
      <c r="M31" s="167"/>
    </row>
    <row r="32" spans="1:13" customFormat="1" x14ac:dyDescent="0.25">
      <c r="D32" s="167"/>
      <c r="E32" s="167"/>
      <c r="F32" s="167"/>
      <c r="G32" s="167"/>
      <c r="H32" s="167"/>
      <c r="I32" s="167"/>
      <c r="J32" s="167"/>
      <c r="K32" s="167"/>
      <c r="L32" s="167"/>
      <c r="M32" s="167"/>
    </row>
    <row r="33" spans="2:13" customFormat="1" ht="13" x14ac:dyDescent="0.3">
      <c r="B33" s="97" t="s">
        <v>140</v>
      </c>
      <c r="D33" s="167" t="b">
        <f>D18=SUM(D12:D17)</f>
        <v>1</v>
      </c>
      <c r="E33" s="167" t="b">
        <f t="shared" ref="E33:G33" si="1">E18=SUM(E12:E17)</f>
        <v>1</v>
      </c>
      <c r="F33" s="167" t="b">
        <f t="shared" si="1"/>
        <v>1</v>
      </c>
      <c r="G33" s="167" t="b">
        <f t="shared" si="1"/>
        <v>1</v>
      </c>
      <c r="H33" s="167"/>
      <c r="I33" s="167"/>
      <c r="J33" s="167"/>
      <c r="K33" s="167"/>
      <c r="L33" s="167"/>
      <c r="M33" s="167"/>
    </row>
    <row r="34" spans="2:13" customFormat="1" x14ac:dyDescent="0.25">
      <c r="D34" s="167"/>
      <c r="E34" s="167"/>
      <c r="F34" s="167"/>
      <c r="G34" s="167"/>
      <c r="H34" s="167"/>
      <c r="I34" s="167"/>
      <c r="J34" s="167"/>
      <c r="K34" s="167"/>
      <c r="L34" s="167"/>
      <c r="M34" s="167"/>
    </row>
    <row r="35" spans="2:13" customFormat="1" ht="13" x14ac:dyDescent="0.3">
      <c r="B35" s="97" t="s">
        <v>2</v>
      </c>
      <c r="D35" s="167" t="b">
        <f>D27=SUM(D21:D26)</f>
        <v>1</v>
      </c>
      <c r="E35" s="167" t="b">
        <f t="shared" ref="E35:J35" si="2">E27=SUM(E21:E26)</f>
        <v>1</v>
      </c>
      <c r="F35" s="167" t="b">
        <f t="shared" si="2"/>
        <v>1</v>
      </c>
      <c r="G35" s="167" t="b">
        <f t="shared" si="2"/>
        <v>1</v>
      </c>
      <c r="H35" s="167"/>
      <c r="I35" s="167" t="b">
        <f t="shared" si="2"/>
        <v>1</v>
      </c>
      <c r="J35" s="167" t="b">
        <f t="shared" si="2"/>
        <v>1</v>
      </c>
      <c r="K35" s="167"/>
      <c r="L35" s="167"/>
      <c r="M35" s="167"/>
    </row>
    <row r="36" spans="2:13" customFormat="1" x14ac:dyDescent="0.25">
      <c r="D36" s="167"/>
      <c r="E36" s="167"/>
      <c r="F36" s="167"/>
      <c r="G36" s="167"/>
      <c r="H36" s="167"/>
      <c r="I36" s="167"/>
      <c r="J36" s="167"/>
      <c r="K36" s="167"/>
      <c r="L36" s="167"/>
      <c r="M36" s="167"/>
    </row>
    <row r="37" spans="2:13" customFormat="1" x14ac:dyDescent="0.25">
      <c r="D37" s="167"/>
      <c r="E37" s="167"/>
      <c r="F37" s="167"/>
      <c r="G37" s="167"/>
      <c r="H37" s="167"/>
      <c r="I37" s="167"/>
      <c r="J37" s="167"/>
      <c r="K37" s="167"/>
      <c r="L37" s="167"/>
      <c r="M37" s="167"/>
    </row>
  </sheetData>
  <conditionalFormatting sqref="D31:G31">
    <cfRule type="cellIs" dxfId="91" priority="5" operator="notEqual">
      <formula>TRUE</formula>
    </cfRule>
  </conditionalFormatting>
  <conditionalFormatting sqref="D33:G33">
    <cfRule type="cellIs" dxfId="90" priority="4" operator="notEqual">
      <formula>TRUE</formula>
    </cfRule>
  </conditionalFormatting>
  <conditionalFormatting sqref="D35:G35">
    <cfRule type="cellIs" dxfId="89" priority="3" operator="notEqual">
      <formula>TRUE</formula>
    </cfRule>
  </conditionalFormatting>
  <conditionalFormatting sqref="I35:J35">
    <cfRule type="cellIs" dxfId="88" priority="1" operator="notEqual">
      <formula>TRUE</formula>
    </cfRule>
  </conditionalFormatting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M69"/>
  <sheetViews>
    <sheetView zoomScaleNormal="100" workbookViewId="0"/>
  </sheetViews>
  <sheetFormatPr baseColWidth="10" defaultColWidth="11.453125" defaultRowHeight="12.5" x14ac:dyDescent="0.25"/>
  <cols>
    <col min="1" max="1" width="2.1796875" style="166" customWidth="1"/>
    <col min="2" max="2" width="12.81640625" style="166" bestFit="1" customWidth="1"/>
    <col min="3" max="3" width="7.1796875" style="166" customWidth="1"/>
    <col min="4" max="4" width="15.1796875" style="167" customWidth="1"/>
    <col min="5" max="5" width="20.453125" style="167" customWidth="1"/>
    <col min="6" max="6" width="15.1796875" style="167" customWidth="1"/>
    <col min="7" max="7" width="20.1796875" style="167" customWidth="1"/>
    <col min="8" max="8" width="3.81640625" style="167" customWidth="1"/>
    <col min="9" max="10" width="26.54296875" style="167" bestFit="1" customWidth="1"/>
    <col min="11" max="13" width="19.81640625" style="167" customWidth="1"/>
    <col min="14" max="16384" width="11.453125" style="166"/>
  </cols>
  <sheetData>
    <row r="1" spans="2:13" ht="13" thickBot="1" x14ac:dyDescent="0.3"/>
    <row r="2" spans="2:13" s="168" customFormat="1" ht="13.5" thickBot="1" x14ac:dyDescent="0.35">
      <c r="B2" s="168" t="s">
        <v>132</v>
      </c>
      <c r="C2" s="169" t="s">
        <v>3</v>
      </c>
      <c r="D2" s="170" t="s">
        <v>136</v>
      </c>
      <c r="E2" s="171" t="s">
        <v>137</v>
      </c>
      <c r="F2" s="171" t="s">
        <v>138</v>
      </c>
      <c r="G2" s="172" t="s">
        <v>139</v>
      </c>
      <c r="H2" s="173"/>
      <c r="I2" s="173"/>
      <c r="J2" s="728"/>
      <c r="K2" s="173"/>
      <c r="L2" s="173"/>
      <c r="M2" s="173"/>
    </row>
    <row r="3" spans="2:13" x14ac:dyDescent="0.25">
      <c r="C3" s="174">
        <v>1</v>
      </c>
      <c r="D3" s="277">
        <v>335015748</v>
      </c>
      <c r="E3" s="176">
        <v>1590</v>
      </c>
      <c r="F3" s="176">
        <v>644977472</v>
      </c>
      <c r="G3" s="177">
        <v>2386</v>
      </c>
      <c r="J3" s="729"/>
    </row>
    <row r="4" spans="2:13" x14ac:dyDescent="0.25">
      <c r="C4" s="178">
        <v>2</v>
      </c>
      <c r="D4" s="278">
        <v>389025865</v>
      </c>
      <c r="E4" s="180">
        <v>2713</v>
      </c>
      <c r="F4" s="180">
        <v>1127716979</v>
      </c>
      <c r="G4" s="181">
        <v>9079</v>
      </c>
      <c r="J4" s="729"/>
    </row>
    <row r="5" spans="2:13" x14ac:dyDescent="0.25">
      <c r="C5" s="178">
        <v>3</v>
      </c>
      <c r="D5" s="278">
        <v>346289622</v>
      </c>
      <c r="E5" s="180">
        <v>1123</v>
      </c>
      <c r="F5" s="180">
        <v>858037220</v>
      </c>
      <c r="G5" s="181">
        <v>2287</v>
      </c>
      <c r="J5" s="729"/>
    </row>
    <row r="6" spans="2:13" x14ac:dyDescent="0.25">
      <c r="C6" s="178">
        <v>4</v>
      </c>
      <c r="D6" s="278">
        <v>236541566</v>
      </c>
      <c r="E6" s="180">
        <v>1643</v>
      </c>
      <c r="F6" s="180">
        <v>362907055</v>
      </c>
      <c r="G6" s="181">
        <v>2213</v>
      </c>
    </row>
    <row r="7" spans="2:13" x14ac:dyDescent="0.25">
      <c r="C7" s="178">
        <v>5</v>
      </c>
      <c r="D7" s="278">
        <v>155743651</v>
      </c>
      <c r="E7" s="180">
        <v>776</v>
      </c>
      <c r="F7" s="180">
        <v>271576031</v>
      </c>
      <c r="G7" s="181">
        <v>1257</v>
      </c>
    </row>
    <row r="8" spans="2:13" ht="13" thickBot="1" x14ac:dyDescent="0.3">
      <c r="C8" s="182" t="s">
        <v>89</v>
      </c>
      <c r="D8" s="279">
        <v>0</v>
      </c>
      <c r="E8" s="184">
        <v>0</v>
      </c>
      <c r="F8" s="184">
        <v>0</v>
      </c>
      <c r="G8" s="185">
        <v>0</v>
      </c>
    </row>
    <row r="9" spans="2:13" ht="13.5" thickBot="1" x14ac:dyDescent="0.35">
      <c r="D9" s="186">
        <v>1462616452</v>
      </c>
      <c r="E9" s="186">
        <v>7845</v>
      </c>
      <c r="F9" s="186">
        <v>3265214757</v>
      </c>
      <c r="G9" s="186">
        <v>17222</v>
      </c>
    </row>
    <row r="10" spans="2:13" ht="13" thickBot="1" x14ac:dyDescent="0.3">
      <c r="D10" s="280"/>
    </row>
    <row r="11" spans="2:13" s="168" customFormat="1" ht="13.5" thickBot="1" x14ac:dyDescent="0.35">
      <c r="C11" s="169" t="s">
        <v>3</v>
      </c>
      <c r="D11" s="169" t="s">
        <v>136</v>
      </c>
      <c r="E11" s="187" t="s">
        <v>137</v>
      </c>
      <c r="F11" s="187" t="s">
        <v>138</v>
      </c>
      <c r="G11" s="188" t="s">
        <v>139</v>
      </c>
      <c r="H11" s="173"/>
      <c r="I11" s="173"/>
      <c r="J11" s="173"/>
      <c r="K11" s="173"/>
      <c r="L11" s="173"/>
      <c r="M11" s="173"/>
    </row>
    <row r="12" spans="2:13" ht="13" x14ac:dyDescent="0.3">
      <c r="B12" s="189" t="s">
        <v>140</v>
      </c>
      <c r="C12" s="190">
        <v>1</v>
      </c>
      <c r="D12" s="281">
        <v>205459944</v>
      </c>
      <c r="E12" s="191">
        <v>70</v>
      </c>
      <c r="F12" s="191">
        <v>160336245</v>
      </c>
      <c r="G12" s="192">
        <v>481</v>
      </c>
    </row>
    <row r="13" spans="2:13" x14ac:dyDescent="0.25">
      <c r="C13" s="193">
        <v>2</v>
      </c>
      <c r="D13" s="278">
        <v>33195420</v>
      </c>
      <c r="E13" s="180">
        <v>58</v>
      </c>
      <c r="F13" s="180">
        <v>298229199</v>
      </c>
      <c r="G13" s="181">
        <v>665</v>
      </c>
    </row>
    <row r="14" spans="2:13" x14ac:dyDescent="0.25">
      <c r="C14" s="193">
        <v>3</v>
      </c>
      <c r="D14" s="278">
        <v>126229443</v>
      </c>
      <c r="E14" s="180">
        <v>55</v>
      </c>
      <c r="F14" s="180">
        <v>387133299</v>
      </c>
      <c r="G14" s="181">
        <v>251</v>
      </c>
    </row>
    <row r="15" spans="2:13" x14ac:dyDescent="0.25">
      <c r="C15" s="193">
        <v>4</v>
      </c>
      <c r="D15" s="278">
        <v>2600820</v>
      </c>
      <c r="E15" s="180">
        <v>21</v>
      </c>
      <c r="F15" s="180">
        <v>123732462</v>
      </c>
      <c r="G15" s="181">
        <v>270</v>
      </c>
    </row>
    <row r="16" spans="2:13" x14ac:dyDescent="0.25">
      <c r="C16" s="193">
        <v>5</v>
      </c>
      <c r="D16" s="278">
        <v>25989911</v>
      </c>
      <c r="E16" s="180">
        <v>18</v>
      </c>
      <c r="F16" s="180">
        <v>49923090</v>
      </c>
      <c r="G16" s="181">
        <v>176</v>
      </c>
    </row>
    <row r="17" spans="1:13" ht="13" thickBot="1" x14ac:dyDescent="0.3">
      <c r="C17" s="194" t="s">
        <v>89</v>
      </c>
      <c r="D17" s="195">
        <v>0</v>
      </c>
      <c r="E17" s="196">
        <v>0</v>
      </c>
      <c r="F17" s="196">
        <v>0</v>
      </c>
      <c r="G17" s="197">
        <v>0</v>
      </c>
    </row>
    <row r="18" spans="1:13" ht="13.5" thickBot="1" x14ac:dyDescent="0.35">
      <c r="D18" s="198">
        <v>393475538</v>
      </c>
      <c r="E18" s="198">
        <v>222</v>
      </c>
      <c r="F18" s="198">
        <v>1019354295</v>
      </c>
      <c r="G18" s="198">
        <v>1843</v>
      </c>
    </row>
    <row r="19" spans="1:13" ht="13" thickBot="1" x14ac:dyDescent="0.3"/>
    <row r="20" spans="1:13" ht="13.5" thickBot="1" x14ac:dyDescent="0.35">
      <c r="C20" s="169" t="s">
        <v>3</v>
      </c>
      <c r="D20" s="170" t="s">
        <v>136</v>
      </c>
      <c r="E20" s="171" t="s">
        <v>137</v>
      </c>
      <c r="F20" s="171" t="s">
        <v>138</v>
      </c>
      <c r="G20" s="172" t="s">
        <v>139</v>
      </c>
      <c r="I20" s="199" t="s">
        <v>141</v>
      </c>
      <c r="J20" s="200" t="s">
        <v>142</v>
      </c>
    </row>
    <row r="21" spans="1:13" s="167" customFormat="1" ht="13" x14ac:dyDescent="0.3">
      <c r="B21" s="201" t="s">
        <v>2</v>
      </c>
      <c r="C21" s="174">
        <v>1</v>
      </c>
      <c r="D21" s="277">
        <v>540475692</v>
      </c>
      <c r="E21" s="282">
        <v>1660</v>
      </c>
      <c r="F21" s="176">
        <v>805313717</v>
      </c>
      <c r="G21" s="177">
        <v>2867</v>
      </c>
      <c r="I21" s="175">
        <v>1345789409</v>
      </c>
      <c r="J21" s="177">
        <v>4527</v>
      </c>
    </row>
    <row r="22" spans="1:13" s="167" customFormat="1" x14ac:dyDescent="0.25">
      <c r="B22" s="166"/>
      <c r="C22" s="178">
        <v>2</v>
      </c>
      <c r="D22" s="278">
        <v>422221285</v>
      </c>
      <c r="E22" s="283">
        <v>2771</v>
      </c>
      <c r="F22" s="180">
        <v>1425946178</v>
      </c>
      <c r="G22" s="181">
        <v>9744</v>
      </c>
      <c r="I22" s="179">
        <v>1848167463</v>
      </c>
      <c r="J22" s="181">
        <v>12515</v>
      </c>
    </row>
    <row r="23" spans="1:13" s="167" customFormat="1" x14ac:dyDescent="0.25">
      <c r="B23" s="166"/>
      <c r="C23" s="178">
        <v>3</v>
      </c>
      <c r="D23" s="278">
        <v>472519065</v>
      </c>
      <c r="E23" s="283">
        <v>1178</v>
      </c>
      <c r="F23" s="180">
        <v>1245170519</v>
      </c>
      <c r="G23" s="181">
        <v>2538</v>
      </c>
      <c r="I23" s="179">
        <v>1717689584</v>
      </c>
      <c r="J23" s="181">
        <v>3716</v>
      </c>
    </row>
    <row r="24" spans="1:13" s="167" customFormat="1" x14ac:dyDescent="0.25">
      <c r="B24" s="166"/>
      <c r="C24" s="178">
        <v>4</v>
      </c>
      <c r="D24" s="278">
        <v>239142386</v>
      </c>
      <c r="E24" s="283">
        <v>1664</v>
      </c>
      <c r="F24" s="180">
        <v>486639517</v>
      </c>
      <c r="G24" s="181">
        <v>2483</v>
      </c>
      <c r="I24" s="179">
        <v>725781903</v>
      </c>
      <c r="J24" s="181">
        <v>4147</v>
      </c>
    </row>
    <row r="25" spans="1:13" s="167" customFormat="1" x14ac:dyDescent="0.25">
      <c r="B25" s="166"/>
      <c r="C25" s="178">
        <v>5</v>
      </c>
      <c r="D25" s="278">
        <v>181733562</v>
      </c>
      <c r="E25" s="283">
        <v>794</v>
      </c>
      <c r="F25" s="180">
        <v>321499121</v>
      </c>
      <c r="G25" s="181">
        <v>1433</v>
      </c>
      <c r="I25" s="179">
        <v>503232683</v>
      </c>
      <c r="J25" s="181">
        <v>2227</v>
      </c>
    </row>
    <row r="26" spans="1:13" ht="13" thickBot="1" x14ac:dyDescent="0.3">
      <c r="C26" s="284" t="s">
        <v>89</v>
      </c>
      <c r="D26" s="285">
        <v>0</v>
      </c>
      <c r="E26" s="283">
        <v>0</v>
      </c>
      <c r="F26" s="180">
        <v>0</v>
      </c>
      <c r="G26" s="181">
        <v>0</v>
      </c>
      <c r="I26" s="202">
        <v>0</v>
      </c>
      <c r="J26" s="203">
        <v>0</v>
      </c>
    </row>
    <row r="27" spans="1:13" ht="13.5" thickBot="1" x14ac:dyDescent="0.35">
      <c r="D27" s="186">
        <v>1856091990</v>
      </c>
      <c r="E27" s="186">
        <v>8067</v>
      </c>
      <c r="F27" s="186">
        <v>4284569052</v>
      </c>
      <c r="G27" s="186">
        <v>19065</v>
      </c>
      <c r="I27" s="204">
        <v>6140661042</v>
      </c>
      <c r="J27" s="205">
        <v>27132</v>
      </c>
    </row>
    <row r="29" spans="1:13" customFormat="1" x14ac:dyDescent="0.25">
      <c r="A29" s="238"/>
      <c r="B29" s="238"/>
      <c r="C29" s="238"/>
      <c r="D29" s="494"/>
      <c r="E29" s="494"/>
      <c r="F29" s="494"/>
      <c r="G29" s="494"/>
      <c r="H29" s="494"/>
      <c r="I29" s="494"/>
      <c r="J29" s="494"/>
      <c r="K29" s="494"/>
      <c r="L29" s="167"/>
      <c r="M29" s="167"/>
    </row>
    <row r="30" spans="1:13" customFormat="1" x14ac:dyDescent="0.25">
      <c r="D30" s="167"/>
      <c r="E30" s="167"/>
      <c r="F30" s="167"/>
      <c r="G30" s="167"/>
      <c r="H30" s="167"/>
      <c r="I30" s="167"/>
      <c r="J30" s="167"/>
      <c r="K30" s="167"/>
      <c r="L30" s="167"/>
      <c r="M30" s="167"/>
    </row>
    <row r="31" spans="1:13" customFormat="1" ht="13" x14ac:dyDescent="0.3">
      <c r="B31" s="102" t="s">
        <v>132</v>
      </c>
      <c r="D31" s="167" t="b">
        <f>D9=SUM(D3:D8)</f>
        <v>1</v>
      </c>
      <c r="E31" s="167" t="b">
        <f t="shared" ref="E31:G31" si="0">E9=SUM(E3:E8)</f>
        <v>1</v>
      </c>
      <c r="F31" s="167" t="b">
        <f t="shared" si="0"/>
        <v>1</v>
      </c>
      <c r="G31" s="167" t="b">
        <f t="shared" si="0"/>
        <v>1</v>
      </c>
      <c r="H31" s="167"/>
      <c r="I31" s="167"/>
      <c r="J31" s="167"/>
      <c r="K31" s="167"/>
      <c r="L31" s="167"/>
      <c r="M31" s="167"/>
    </row>
    <row r="32" spans="1:13" customFormat="1" x14ac:dyDescent="0.25">
      <c r="D32" s="167"/>
      <c r="E32" s="167"/>
      <c r="F32" s="167"/>
      <c r="G32" s="167"/>
      <c r="H32" s="167"/>
      <c r="I32" s="167"/>
      <c r="J32" s="167"/>
      <c r="K32" s="167"/>
      <c r="L32" s="167"/>
      <c r="M32" s="167"/>
    </row>
    <row r="33" spans="2:13" customFormat="1" ht="13" x14ac:dyDescent="0.3">
      <c r="B33" s="97" t="s">
        <v>140</v>
      </c>
      <c r="D33" s="167" t="b">
        <f>D18=SUM(D12:D17)</f>
        <v>1</v>
      </c>
      <c r="E33" s="167" t="b">
        <f t="shared" ref="E33:F33" si="1">E18=SUM(E12:E17)</f>
        <v>1</v>
      </c>
      <c r="F33" s="167" t="b">
        <f t="shared" si="1"/>
        <v>1</v>
      </c>
      <c r="G33" s="167" t="b">
        <f>G18=SUM(G12:G17)</f>
        <v>1</v>
      </c>
      <c r="H33" s="167"/>
      <c r="I33" s="167"/>
      <c r="J33" s="167"/>
      <c r="K33" s="167"/>
      <c r="L33" s="167"/>
      <c r="M33" s="167"/>
    </row>
    <row r="34" spans="2:13" customFormat="1" x14ac:dyDescent="0.25">
      <c r="D34" s="167"/>
      <c r="E34" s="167"/>
      <c r="F34" s="167"/>
      <c r="G34" s="167"/>
      <c r="H34" s="167"/>
      <c r="I34" s="167"/>
      <c r="J34" s="167"/>
      <c r="K34" s="167"/>
      <c r="L34" s="167"/>
      <c r="M34" s="167"/>
    </row>
    <row r="35" spans="2:13" customFormat="1" ht="13" x14ac:dyDescent="0.3">
      <c r="B35" s="97" t="s">
        <v>2</v>
      </c>
      <c r="D35" s="167" t="b">
        <f>D27=SUM(D21:D26)</f>
        <v>1</v>
      </c>
      <c r="E35" s="167" t="b">
        <f t="shared" ref="E35:J35" si="2">E27=SUM(E21:E26)</f>
        <v>1</v>
      </c>
      <c r="F35" s="167" t="b">
        <f>F27=SUM(F21:F26)</f>
        <v>1</v>
      </c>
      <c r="G35" s="167" t="b">
        <f t="shared" si="2"/>
        <v>1</v>
      </c>
      <c r="H35" s="167"/>
      <c r="I35" s="167" t="b">
        <f t="shared" si="2"/>
        <v>1</v>
      </c>
      <c r="J35" s="167" t="b">
        <f t="shared" si="2"/>
        <v>1</v>
      </c>
      <c r="K35" s="167"/>
      <c r="L35" s="167"/>
      <c r="M35" s="167"/>
    </row>
    <row r="36" spans="2:13" customFormat="1" x14ac:dyDescent="0.25">
      <c r="D36" s="167"/>
      <c r="E36" s="167"/>
      <c r="F36" s="167"/>
      <c r="G36" s="167"/>
      <c r="H36" s="167"/>
      <c r="I36" s="167"/>
      <c r="J36" s="167"/>
      <c r="K36" s="167"/>
      <c r="L36" s="167"/>
      <c r="M36" s="167"/>
    </row>
    <row r="37" spans="2:13" customFormat="1" x14ac:dyDescent="0.25">
      <c r="D37" s="167"/>
      <c r="E37" s="167"/>
      <c r="F37" s="167"/>
      <c r="G37" s="167"/>
      <c r="H37" s="167"/>
      <c r="I37" s="167"/>
      <c r="J37" s="167"/>
      <c r="K37" s="167"/>
      <c r="L37" s="167"/>
      <c r="M37" s="167"/>
    </row>
    <row r="69" spans="5:5" x14ac:dyDescent="0.25">
      <c r="E69" s="167">
        <f>C69-G17</f>
        <v>0</v>
      </c>
    </row>
  </sheetData>
  <conditionalFormatting sqref="D31:G31">
    <cfRule type="cellIs" dxfId="87" priority="5" operator="notEqual">
      <formula>TRUE</formula>
    </cfRule>
  </conditionalFormatting>
  <conditionalFormatting sqref="D33:G33">
    <cfRule type="cellIs" dxfId="86" priority="4" operator="notEqual">
      <formula>TRUE</formula>
    </cfRule>
  </conditionalFormatting>
  <conditionalFormatting sqref="D35:G35">
    <cfRule type="cellIs" dxfId="85" priority="3" operator="notEqual">
      <formula>TRUE</formula>
    </cfRule>
  </conditionalFormatting>
  <conditionalFormatting sqref="I35:J35">
    <cfRule type="cellIs" dxfId="84" priority="1" operator="notEqual">
      <formula>TRUE</formula>
    </cfRule>
  </conditionalFormatting>
  <printOptions horizontalCentered="1" verticalCentered="1"/>
  <pageMargins left="0.70866141732283472" right="0.70866141732283472" top="0.74803149606299213" bottom="0.74803149606299213" header="0.31496062992125984" footer="0.31496062992125984"/>
  <pageSetup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K79"/>
  <sheetViews>
    <sheetView topLeftCell="A33" zoomScale="90" zoomScaleNormal="90" workbookViewId="0"/>
  </sheetViews>
  <sheetFormatPr baseColWidth="10" defaultRowHeight="12.5" x14ac:dyDescent="0.25"/>
  <cols>
    <col min="1" max="1" width="6" customWidth="1"/>
    <col min="2" max="2" width="47.81640625" bestFit="1" customWidth="1"/>
    <col min="3" max="9" width="22.7265625" customWidth="1"/>
    <col min="10" max="10" width="17.81640625" customWidth="1"/>
  </cols>
  <sheetData>
    <row r="1" spans="1:10" ht="13" x14ac:dyDescent="0.25">
      <c r="C1" s="248" t="s">
        <v>155</v>
      </c>
      <c r="D1" s="248" t="s">
        <v>76</v>
      </c>
      <c r="E1" s="248" t="s">
        <v>85</v>
      </c>
      <c r="F1" s="248" t="s">
        <v>120</v>
      </c>
      <c r="G1" s="248" t="s">
        <v>328</v>
      </c>
      <c r="H1" s="248" t="s">
        <v>119</v>
      </c>
      <c r="I1" s="248" t="s">
        <v>70</v>
      </c>
    </row>
    <row r="2" spans="1:10" ht="13" x14ac:dyDescent="0.3">
      <c r="B2" t="s">
        <v>97</v>
      </c>
      <c r="C2" s="249">
        <f>C13+C23+C32+C41+C51</f>
        <v>67949267697.75</v>
      </c>
      <c r="D2" s="249">
        <f t="shared" ref="D2:H2" si="0">D13+D23+D32+D41+D51</f>
        <v>0</v>
      </c>
      <c r="E2" s="249">
        <f t="shared" si="0"/>
        <v>0</v>
      </c>
      <c r="F2" s="249">
        <f t="shared" si="0"/>
        <v>17028090</v>
      </c>
      <c r="G2" s="249">
        <f t="shared" si="0"/>
        <v>26864220</v>
      </c>
      <c r="H2" s="249">
        <f t="shared" si="0"/>
        <v>4106855179.5799994</v>
      </c>
      <c r="I2" s="250">
        <f>SUM(C2:H2)</f>
        <v>72100015187.330002</v>
      </c>
    </row>
    <row r="3" spans="1:10" ht="13" x14ac:dyDescent="0.3">
      <c r="B3" t="s">
        <v>98</v>
      </c>
      <c r="C3" s="249">
        <f>C14+C24+C33+C42+C52</f>
        <v>236717169.25</v>
      </c>
      <c r="D3" s="249">
        <f t="shared" ref="D3:H5" si="1">D14+D24+D33+D42+D52</f>
        <v>0</v>
      </c>
      <c r="E3" s="249">
        <f t="shared" si="1"/>
        <v>0</v>
      </c>
      <c r="F3" s="249">
        <f t="shared" si="1"/>
        <v>23089310</v>
      </c>
      <c r="G3" s="249">
        <f t="shared" ref="G3" si="2">G14+G24+G33+G42+G52</f>
        <v>1781103</v>
      </c>
      <c r="H3" s="249">
        <f t="shared" si="1"/>
        <v>136872738.84999999</v>
      </c>
      <c r="I3" s="250">
        <f>SUM(C3:H3)</f>
        <v>398460321.10000002</v>
      </c>
      <c r="J3" s="252" t="s">
        <v>1</v>
      </c>
    </row>
    <row r="4" spans="1:10" ht="13" x14ac:dyDescent="0.3">
      <c r="B4" t="s">
        <v>131</v>
      </c>
      <c r="C4" s="249">
        <f>C15+C25+C34+C43+C53</f>
        <v>0</v>
      </c>
      <c r="D4" s="249">
        <f t="shared" si="1"/>
        <v>0</v>
      </c>
      <c r="E4" s="249">
        <f t="shared" si="1"/>
        <v>0</v>
      </c>
      <c r="F4" s="249">
        <f t="shared" si="1"/>
        <v>0</v>
      </c>
      <c r="G4" s="249">
        <f t="shared" ref="G4" si="3">G15+G25+G34+G43+G53</f>
        <v>0</v>
      </c>
      <c r="H4" s="249">
        <f t="shared" si="1"/>
        <v>40841133.569999993</v>
      </c>
      <c r="I4" s="250">
        <f>SUM(C4:H4)</f>
        <v>40841133.569999993</v>
      </c>
    </row>
    <row r="5" spans="1:10" ht="13" x14ac:dyDescent="0.3">
      <c r="B5" t="s">
        <v>169</v>
      </c>
      <c r="C5" s="249">
        <f>C16+C26+C35+C44+C54</f>
        <v>0</v>
      </c>
      <c r="D5" s="249">
        <f t="shared" si="1"/>
        <v>0</v>
      </c>
      <c r="E5" s="249">
        <f t="shared" si="1"/>
        <v>0</v>
      </c>
      <c r="F5" s="249">
        <f t="shared" si="1"/>
        <v>0</v>
      </c>
      <c r="G5" s="249">
        <f t="shared" ref="G5" si="4">G16+G26+G35+G44+G54</f>
        <v>0</v>
      </c>
      <c r="H5" s="249">
        <f t="shared" si="1"/>
        <v>0</v>
      </c>
      <c r="I5" s="250">
        <f>SUM(C5:H5)</f>
        <v>0</v>
      </c>
    </row>
    <row r="6" spans="1:10" ht="13" x14ac:dyDescent="0.3">
      <c r="B6" t="s">
        <v>70</v>
      </c>
      <c r="C6" s="250">
        <f>SUM(C2:C5)</f>
        <v>68185984867</v>
      </c>
      <c r="D6" s="250">
        <f t="shared" ref="D6:H6" si="5">SUM(D2:D5)</f>
        <v>0</v>
      </c>
      <c r="E6" s="250">
        <f t="shared" si="5"/>
        <v>0</v>
      </c>
      <c r="F6" s="250">
        <f t="shared" si="5"/>
        <v>40117400</v>
      </c>
      <c r="G6" s="250">
        <f t="shared" si="5"/>
        <v>28645323</v>
      </c>
      <c r="H6" s="250">
        <f t="shared" si="5"/>
        <v>4284569051.9999995</v>
      </c>
      <c r="I6" s="250">
        <f>SUM(I2:I5)</f>
        <v>72539316642.000015</v>
      </c>
    </row>
    <row r="7" spans="1:10" x14ac:dyDescent="0.25">
      <c r="C7" s="251" t="b">
        <f>C6=(C17+C27+C36+C45+C55)</f>
        <v>1</v>
      </c>
      <c r="D7" s="251" t="b">
        <f t="shared" ref="D7:H7" si="6">D6=(D17+D27+D36+D45+D55)</f>
        <v>1</v>
      </c>
      <c r="E7" s="251" t="b">
        <f t="shared" si="6"/>
        <v>1</v>
      </c>
      <c r="F7" s="251" t="b">
        <f t="shared" si="6"/>
        <v>1</v>
      </c>
      <c r="G7" s="251"/>
      <c r="H7" s="251" t="b">
        <f t="shared" si="6"/>
        <v>1</v>
      </c>
      <c r="I7" s="251" t="b">
        <f>I6=(I17+I27+I36+I45+I55)</f>
        <v>1</v>
      </c>
    </row>
    <row r="8" spans="1:10" x14ac:dyDescent="0.25">
      <c r="A8" s="238"/>
      <c r="B8" s="238"/>
      <c r="C8" s="238"/>
      <c r="D8" s="238"/>
      <c r="E8" s="238"/>
      <c r="F8" s="238"/>
      <c r="G8" s="238"/>
      <c r="H8" s="238"/>
      <c r="I8" s="238"/>
      <c r="J8" s="238"/>
    </row>
    <row r="10" spans="1:10" ht="13" x14ac:dyDescent="0.3">
      <c r="B10" s="97" t="s">
        <v>99</v>
      </c>
      <c r="H10" s="212"/>
    </row>
    <row r="11" spans="1:10" x14ac:dyDescent="0.25">
      <c r="B11" s="114" t="s">
        <v>96</v>
      </c>
    </row>
    <row r="12" spans="1:10" x14ac:dyDescent="0.25">
      <c r="C12" s="89" t="s">
        <v>155</v>
      </c>
      <c r="D12" s="89" t="s">
        <v>76</v>
      </c>
      <c r="E12" s="89" t="s">
        <v>85</v>
      </c>
      <c r="F12" s="89" t="s">
        <v>120</v>
      </c>
      <c r="G12" s="89" t="s">
        <v>328</v>
      </c>
      <c r="H12" s="89" t="s">
        <v>119</v>
      </c>
      <c r="I12" s="89" t="s">
        <v>70</v>
      </c>
    </row>
    <row r="13" spans="1:10" x14ac:dyDescent="0.25">
      <c r="B13" t="s">
        <v>97</v>
      </c>
      <c r="C13" s="244">
        <v>16577115642.75</v>
      </c>
      <c r="D13" s="244"/>
      <c r="E13" s="244"/>
      <c r="F13" s="244"/>
      <c r="G13" s="244"/>
      <c r="H13" s="244">
        <v>776222233.37</v>
      </c>
      <c r="I13" s="246">
        <f>SUM(C13:H13)</f>
        <v>17353337876.119999</v>
      </c>
      <c r="J13" s="251" t="b">
        <f>SUM(C13:H13)=I13</f>
        <v>1</v>
      </c>
    </row>
    <row r="14" spans="1:10" x14ac:dyDescent="0.25">
      <c r="B14" s="89" t="s">
        <v>98</v>
      </c>
      <c r="C14" s="244">
        <v>83572548.25</v>
      </c>
      <c r="D14" s="244"/>
      <c r="E14" s="244"/>
      <c r="F14" s="244"/>
      <c r="G14" s="244"/>
      <c r="H14" s="244">
        <v>17358483.629999999</v>
      </c>
      <c r="I14" s="246">
        <f t="shared" ref="I14:I16" si="7">SUM(C14:H14)</f>
        <v>100931031.88</v>
      </c>
      <c r="J14" s="251" t="b">
        <f t="shared" ref="J14:J17" si="8">SUM(C14:H14)=I14</f>
        <v>1</v>
      </c>
    </row>
    <row r="15" spans="1:10" x14ac:dyDescent="0.25">
      <c r="B15" t="s">
        <v>131</v>
      </c>
      <c r="C15" s="244">
        <v>0</v>
      </c>
      <c r="D15" s="244"/>
      <c r="E15" s="244"/>
      <c r="F15" s="244"/>
      <c r="G15" s="244"/>
      <c r="H15" s="244">
        <v>11733000</v>
      </c>
      <c r="I15" s="246">
        <f t="shared" si="7"/>
        <v>11733000</v>
      </c>
      <c r="J15" s="251" t="b">
        <f t="shared" si="8"/>
        <v>1</v>
      </c>
    </row>
    <row r="16" spans="1:10" x14ac:dyDescent="0.25">
      <c r="B16" t="s">
        <v>169</v>
      </c>
      <c r="C16" s="244">
        <v>0</v>
      </c>
      <c r="D16" s="244"/>
      <c r="E16" s="244"/>
      <c r="F16" s="244"/>
      <c r="G16" s="244"/>
      <c r="H16" s="244"/>
      <c r="I16" s="246">
        <f t="shared" si="7"/>
        <v>0</v>
      </c>
      <c r="J16" s="251" t="b">
        <f t="shared" si="8"/>
        <v>1</v>
      </c>
    </row>
    <row r="17" spans="2:11" x14ac:dyDescent="0.25">
      <c r="B17" s="89" t="s">
        <v>70</v>
      </c>
      <c r="C17" s="244">
        <f>SUM(C13:C16)</f>
        <v>16660688191</v>
      </c>
      <c r="D17" s="244">
        <f t="shared" ref="D17:I17" si="9">SUM(D13:D16)</f>
        <v>0</v>
      </c>
      <c r="E17" s="244">
        <f t="shared" si="9"/>
        <v>0</v>
      </c>
      <c r="F17" s="244">
        <f t="shared" si="9"/>
        <v>0</v>
      </c>
      <c r="G17" s="244">
        <f t="shared" si="9"/>
        <v>0</v>
      </c>
      <c r="H17" s="244">
        <f>SUM(H13:H16)</f>
        <v>805313717</v>
      </c>
      <c r="I17" s="247">
        <f t="shared" si="9"/>
        <v>17466001908</v>
      </c>
      <c r="J17" s="251" t="b">
        <f t="shared" si="8"/>
        <v>1</v>
      </c>
      <c r="K17" s="122"/>
    </row>
    <row r="18" spans="2:11" x14ac:dyDescent="0.25">
      <c r="B18" s="89"/>
      <c r="C18" s="113"/>
      <c r="D18" s="113"/>
      <c r="E18" s="113"/>
      <c r="F18" s="113"/>
      <c r="G18" s="113"/>
      <c r="H18" s="113"/>
      <c r="I18" s="113"/>
    </row>
    <row r="19" spans="2:11" x14ac:dyDescent="0.25">
      <c r="C19" s="143"/>
      <c r="D19" s="212"/>
      <c r="I19" s="212"/>
    </row>
    <row r="20" spans="2:11" x14ac:dyDescent="0.25">
      <c r="B20" t="s">
        <v>100</v>
      </c>
    </row>
    <row r="21" spans="2:11" x14ac:dyDescent="0.25">
      <c r="B21" s="114" t="s">
        <v>96</v>
      </c>
    </row>
    <row r="22" spans="2:11" x14ac:dyDescent="0.25">
      <c r="C22" s="89" t="s">
        <v>155</v>
      </c>
      <c r="D22" s="89" t="s">
        <v>76</v>
      </c>
      <c r="E22" s="89" t="s">
        <v>85</v>
      </c>
      <c r="F22" s="89" t="s">
        <v>120</v>
      </c>
      <c r="G22" s="89" t="s">
        <v>328</v>
      </c>
      <c r="H22" s="89" t="s">
        <v>119</v>
      </c>
      <c r="I22" t="s">
        <v>70</v>
      </c>
    </row>
    <row r="23" spans="2:11" x14ac:dyDescent="0.25">
      <c r="B23" t="s">
        <v>97</v>
      </c>
      <c r="C23" s="244">
        <v>19047798453</v>
      </c>
      <c r="D23" s="244"/>
      <c r="E23" s="244">
        <v>0</v>
      </c>
      <c r="F23" s="244">
        <v>11411240</v>
      </c>
      <c r="G23" s="244"/>
      <c r="H23" s="244">
        <v>1346513069</v>
      </c>
      <c r="I23" s="246">
        <f>SUM(C23:H23)</f>
        <v>20405722762</v>
      </c>
      <c r="J23" s="251" t="b">
        <f t="shared" ref="J23:J26" si="10">SUM(C23:H23)=I23</f>
        <v>1</v>
      </c>
    </row>
    <row r="24" spans="2:11" x14ac:dyDescent="0.25">
      <c r="B24" s="89" t="s">
        <v>98</v>
      </c>
      <c r="C24" s="244">
        <v>44281124</v>
      </c>
      <c r="D24" s="244"/>
      <c r="E24" s="244">
        <v>0</v>
      </c>
      <c r="F24" s="244">
        <v>12820520</v>
      </c>
      <c r="G24" s="244"/>
      <c r="H24" s="244">
        <v>79433109</v>
      </c>
      <c r="I24" s="246">
        <f t="shared" ref="I24:I26" si="11">SUM(C24:H24)</f>
        <v>136534753</v>
      </c>
      <c r="J24" s="251" t="b">
        <f t="shared" si="10"/>
        <v>1</v>
      </c>
    </row>
    <row r="25" spans="2:11" x14ac:dyDescent="0.25">
      <c r="B25" s="89" t="s">
        <v>131</v>
      </c>
      <c r="C25" s="244">
        <v>0</v>
      </c>
      <c r="D25" s="244"/>
      <c r="E25" s="244">
        <v>0</v>
      </c>
      <c r="F25" s="244">
        <v>0</v>
      </c>
      <c r="G25" s="244"/>
      <c r="H25" s="244">
        <v>0</v>
      </c>
      <c r="I25" s="246">
        <f t="shared" si="11"/>
        <v>0</v>
      </c>
      <c r="J25" s="251" t="b">
        <f t="shared" si="10"/>
        <v>1</v>
      </c>
    </row>
    <row r="26" spans="2:11" x14ac:dyDescent="0.25">
      <c r="B26" s="89" t="s">
        <v>169</v>
      </c>
      <c r="C26" s="244"/>
      <c r="D26" s="244"/>
      <c r="E26" s="244"/>
      <c r="F26" s="244">
        <v>0</v>
      </c>
      <c r="G26" s="244"/>
      <c r="H26" s="244">
        <v>0</v>
      </c>
      <c r="I26" s="246">
        <f t="shared" si="11"/>
        <v>0</v>
      </c>
      <c r="J26" s="251" t="b">
        <f t="shared" si="10"/>
        <v>1</v>
      </c>
    </row>
    <row r="27" spans="2:11" x14ac:dyDescent="0.25">
      <c r="B27" s="89" t="s">
        <v>70</v>
      </c>
      <c r="C27" s="244">
        <f>SUM(C23:C26)</f>
        <v>19092079577</v>
      </c>
      <c r="D27" s="244">
        <f t="shared" ref="D27:E27" si="12">SUM(D23:D26)</f>
        <v>0</v>
      </c>
      <c r="E27" s="244">
        <f t="shared" si="12"/>
        <v>0</v>
      </c>
      <c r="F27" s="244">
        <f>SUM(F23:F26)</f>
        <v>24231760</v>
      </c>
      <c r="G27" s="244">
        <f>SUM(G23:G26)</f>
        <v>0</v>
      </c>
      <c r="H27" s="244">
        <f>SUM(H23:H26)</f>
        <v>1425946178</v>
      </c>
      <c r="I27" s="247">
        <f>SUM(I23:I26)</f>
        <v>20542257515</v>
      </c>
      <c r="J27" s="251" t="b">
        <f>SUM(C27:H27)=I27</f>
        <v>1</v>
      </c>
    </row>
    <row r="29" spans="2:11" x14ac:dyDescent="0.25">
      <c r="B29" t="s">
        <v>101</v>
      </c>
      <c r="H29" s="212"/>
      <c r="I29" s="212"/>
    </row>
    <row r="30" spans="2:11" x14ac:dyDescent="0.25">
      <c r="B30" s="114" t="s">
        <v>96</v>
      </c>
    </row>
    <row r="31" spans="2:11" x14ac:dyDescent="0.25">
      <c r="C31" s="89" t="s">
        <v>155</v>
      </c>
      <c r="D31" s="89" t="s">
        <v>76</v>
      </c>
      <c r="E31" s="89" t="s">
        <v>85</v>
      </c>
      <c r="F31" s="89" t="s">
        <v>120</v>
      </c>
      <c r="G31" s="89" t="s">
        <v>328</v>
      </c>
      <c r="H31" s="89" t="s">
        <v>119</v>
      </c>
      <c r="I31" t="s">
        <v>70</v>
      </c>
    </row>
    <row r="32" spans="2:11" x14ac:dyDescent="0.25">
      <c r="B32" s="89" t="s">
        <v>97</v>
      </c>
      <c r="C32" s="244">
        <v>14010202412</v>
      </c>
      <c r="D32" s="244"/>
      <c r="E32" s="244"/>
      <c r="F32" s="244">
        <v>0</v>
      </c>
      <c r="G32" s="244"/>
      <c r="H32" s="244">
        <v>1227843817.3499999</v>
      </c>
      <c r="I32" s="246">
        <f>SUM(C32:H32)</f>
        <v>15238046229.35</v>
      </c>
      <c r="J32" s="251" t="b">
        <f>SUM(C32:H32)=I32</f>
        <v>1</v>
      </c>
    </row>
    <row r="33" spans="2:10" x14ac:dyDescent="0.25">
      <c r="B33" s="89" t="s">
        <v>98</v>
      </c>
      <c r="C33" s="244">
        <v>44039530</v>
      </c>
      <c r="D33" s="244"/>
      <c r="E33" s="244"/>
      <c r="F33" s="244">
        <v>0</v>
      </c>
      <c r="G33" s="244"/>
      <c r="H33" s="244">
        <v>14844502.92</v>
      </c>
      <c r="I33" s="246">
        <f>SUM(C33:H33)</f>
        <v>58884032.920000002</v>
      </c>
      <c r="J33" s="251" t="b">
        <f t="shared" ref="J33:J36" si="13">SUM(C33:H33)=I33</f>
        <v>1</v>
      </c>
    </row>
    <row r="34" spans="2:10" x14ac:dyDescent="0.25">
      <c r="B34" s="89" t="s">
        <v>131</v>
      </c>
      <c r="C34" s="244">
        <v>0</v>
      </c>
      <c r="D34" s="244"/>
      <c r="E34" s="244"/>
      <c r="F34" s="244">
        <v>0</v>
      </c>
      <c r="G34" s="244"/>
      <c r="H34" s="244">
        <v>2482198.73</v>
      </c>
      <c r="I34" s="246">
        <f t="shared" ref="I34:I35" si="14">SUM(C34:H34)</f>
        <v>2482198.73</v>
      </c>
      <c r="J34" s="251" t="b">
        <f t="shared" si="13"/>
        <v>1</v>
      </c>
    </row>
    <row r="35" spans="2:10" x14ac:dyDescent="0.25">
      <c r="B35" s="89" t="s">
        <v>169</v>
      </c>
      <c r="C35" s="244">
        <v>0</v>
      </c>
      <c r="D35" s="244"/>
      <c r="E35" s="244"/>
      <c r="F35" s="244">
        <v>0</v>
      </c>
      <c r="G35" s="244"/>
      <c r="H35" s="244"/>
      <c r="I35" s="246">
        <f t="shared" si="14"/>
        <v>0</v>
      </c>
      <c r="J35" s="251" t="b">
        <f t="shared" si="13"/>
        <v>1</v>
      </c>
    </row>
    <row r="36" spans="2:10" x14ac:dyDescent="0.25">
      <c r="B36" s="89" t="s">
        <v>70</v>
      </c>
      <c r="C36" s="244">
        <f>SUM(C32:C35)</f>
        <v>14054241942</v>
      </c>
      <c r="D36" s="244">
        <f t="shared" ref="D36:G36" si="15">SUM(D32:D35)</f>
        <v>0</v>
      </c>
      <c r="E36" s="244">
        <f t="shared" si="15"/>
        <v>0</v>
      </c>
      <c r="F36" s="244">
        <f t="shared" si="15"/>
        <v>0</v>
      </c>
      <c r="G36" s="244">
        <f t="shared" si="15"/>
        <v>0</v>
      </c>
      <c r="H36" s="244">
        <f>SUM(H32:H35)</f>
        <v>1245170519</v>
      </c>
      <c r="I36" s="247">
        <f>SUM(I32:I35)</f>
        <v>15299412461</v>
      </c>
      <c r="J36" s="251" t="b">
        <f t="shared" si="13"/>
        <v>1</v>
      </c>
    </row>
    <row r="38" spans="2:10" x14ac:dyDescent="0.25">
      <c r="B38" t="s">
        <v>102</v>
      </c>
    </row>
    <row r="39" spans="2:10" x14ac:dyDescent="0.25">
      <c r="B39" s="114" t="s">
        <v>96</v>
      </c>
    </row>
    <row r="40" spans="2:10" x14ac:dyDescent="0.25">
      <c r="C40" s="89" t="s">
        <v>155</v>
      </c>
      <c r="D40" s="89" t="s">
        <v>76</v>
      </c>
      <c r="E40" s="89" t="s">
        <v>85</v>
      </c>
      <c r="F40" s="89" t="s">
        <v>120</v>
      </c>
      <c r="G40" s="89" t="s">
        <v>328</v>
      </c>
      <c r="H40" s="89" t="s">
        <v>119</v>
      </c>
      <c r="I40" s="89" t="s">
        <v>70</v>
      </c>
    </row>
    <row r="41" spans="2:10" x14ac:dyDescent="0.25">
      <c r="B41" s="89" t="s">
        <v>97</v>
      </c>
      <c r="C41" s="244">
        <v>6603996268</v>
      </c>
      <c r="D41" s="244"/>
      <c r="E41" s="244">
        <v>0</v>
      </c>
      <c r="F41" s="244">
        <v>5616850</v>
      </c>
      <c r="G41" s="244"/>
      <c r="H41" s="244">
        <v>446040213.25999999</v>
      </c>
      <c r="I41" s="246">
        <f t="shared" ref="I41:I44" si="16">SUM(C41:H41)</f>
        <v>7055653331.2600002</v>
      </c>
      <c r="J41" s="251" t="b">
        <f>SUM(C41:H41)=I41</f>
        <v>1</v>
      </c>
    </row>
    <row r="42" spans="2:10" x14ac:dyDescent="0.25">
      <c r="B42" s="89" t="s">
        <v>98</v>
      </c>
      <c r="C42" s="244">
        <v>48826052</v>
      </c>
      <c r="D42" s="244"/>
      <c r="E42" s="244">
        <v>0</v>
      </c>
      <c r="F42" s="244">
        <v>10268790</v>
      </c>
      <c r="G42" s="244"/>
      <c r="H42" s="244">
        <v>14631795.34</v>
      </c>
      <c r="I42" s="246">
        <f t="shared" si="16"/>
        <v>73726637.340000004</v>
      </c>
      <c r="J42" s="251" t="b">
        <f t="shared" ref="J42:J45" si="17">SUM(C42:H42)=I42</f>
        <v>1</v>
      </c>
    </row>
    <row r="43" spans="2:10" x14ac:dyDescent="0.25">
      <c r="B43" s="89" t="s">
        <v>131</v>
      </c>
      <c r="C43" s="244">
        <v>0</v>
      </c>
      <c r="D43" s="244"/>
      <c r="E43" s="244">
        <v>0</v>
      </c>
      <c r="F43" s="244">
        <v>0</v>
      </c>
      <c r="G43" s="244"/>
      <c r="H43" s="244">
        <v>25967508.399999999</v>
      </c>
      <c r="I43" s="246">
        <f t="shared" si="16"/>
        <v>25967508.399999999</v>
      </c>
      <c r="J43" s="251" t="b">
        <f t="shared" si="17"/>
        <v>1</v>
      </c>
    </row>
    <row r="44" spans="2:10" x14ac:dyDescent="0.25">
      <c r="B44" s="89" t="s">
        <v>169</v>
      </c>
      <c r="C44" s="244"/>
      <c r="D44" s="244"/>
      <c r="E44" s="244"/>
      <c r="F44" s="244"/>
      <c r="G44" s="244"/>
      <c r="H44" s="244"/>
      <c r="I44" s="246">
        <f t="shared" si="16"/>
        <v>0</v>
      </c>
      <c r="J44" s="251" t="b">
        <f t="shared" si="17"/>
        <v>1</v>
      </c>
    </row>
    <row r="45" spans="2:10" x14ac:dyDescent="0.25">
      <c r="B45" s="89" t="s">
        <v>70</v>
      </c>
      <c r="C45" s="244">
        <f>SUM(C41:C44)</f>
        <v>6652822320</v>
      </c>
      <c r="D45" s="244">
        <f t="shared" ref="D45:E45" si="18">SUM(D41:D44)</f>
        <v>0</v>
      </c>
      <c r="E45" s="244">
        <f t="shared" si="18"/>
        <v>0</v>
      </c>
      <c r="F45" s="244">
        <f>SUM(F41:F44)</f>
        <v>15885640</v>
      </c>
      <c r="G45" s="244">
        <f>SUM(G41:G44)</f>
        <v>0</v>
      </c>
      <c r="H45" s="244">
        <f>SUM(H41:H44)</f>
        <v>486639516.99999994</v>
      </c>
      <c r="I45" s="247">
        <f>SUM(I41:I44)</f>
        <v>7155347477</v>
      </c>
      <c r="J45" s="251" t="b">
        <f t="shared" si="17"/>
        <v>1</v>
      </c>
    </row>
    <row r="46" spans="2:10" x14ac:dyDescent="0.25">
      <c r="B46" s="89"/>
      <c r="C46" s="113"/>
      <c r="D46" s="113"/>
      <c r="E46" s="113"/>
      <c r="F46" s="113"/>
      <c r="G46" s="113"/>
      <c r="H46" s="113"/>
    </row>
    <row r="47" spans="2:10" x14ac:dyDescent="0.25">
      <c r="F47" s="212"/>
      <c r="G47" s="212"/>
    </row>
    <row r="48" spans="2:10" x14ac:dyDescent="0.25">
      <c r="B48" t="s">
        <v>103</v>
      </c>
    </row>
    <row r="49" spans="2:10" x14ac:dyDescent="0.25">
      <c r="B49" s="114" t="s">
        <v>96</v>
      </c>
    </row>
    <row r="50" spans="2:10" x14ac:dyDescent="0.25">
      <c r="C50" s="89" t="s">
        <v>155</v>
      </c>
      <c r="D50" s="89" t="s">
        <v>76</v>
      </c>
      <c r="E50" s="89" t="s">
        <v>85</v>
      </c>
      <c r="F50" s="89" t="s">
        <v>120</v>
      </c>
      <c r="G50" s="89" t="s">
        <v>328</v>
      </c>
      <c r="H50" s="89" t="s">
        <v>119</v>
      </c>
      <c r="I50" s="89" t="s">
        <v>70</v>
      </c>
    </row>
    <row r="51" spans="2:10" x14ac:dyDescent="0.25">
      <c r="B51" t="s">
        <v>97</v>
      </c>
      <c r="C51" s="590">
        <v>11710154922</v>
      </c>
      <c r="D51" s="244"/>
      <c r="E51" s="244"/>
      <c r="F51" s="244"/>
      <c r="G51" s="244">
        <v>26864220</v>
      </c>
      <c r="H51" s="590">
        <v>310235846.60000002</v>
      </c>
      <c r="I51" s="246">
        <f t="shared" ref="I51:I54" si="19">SUM(C51:H51)</f>
        <v>12047254988.6</v>
      </c>
      <c r="J51" s="251" t="b">
        <f>SUM(C51:H51)=I51</f>
        <v>1</v>
      </c>
    </row>
    <row r="52" spans="2:10" x14ac:dyDescent="0.25">
      <c r="B52" s="89" t="s">
        <v>98</v>
      </c>
      <c r="C52" s="590">
        <v>15997915</v>
      </c>
      <c r="D52" s="244"/>
      <c r="E52" s="244"/>
      <c r="F52" s="244"/>
      <c r="G52" s="244">
        <v>1781103</v>
      </c>
      <c r="H52" s="590">
        <v>10604847.960000001</v>
      </c>
      <c r="I52" s="246">
        <f>SUM(C52:H52)</f>
        <v>28383865.960000001</v>
      </c>
      <c r="J52" s="251" t="b">
        <f t="shared" ref="J52:J55" si="20">SUM(C52:H52)=I52</f>
        <v>1</v>
      </c>
    </row>
    <row r="53" spans="2:10" x14ac:dyDescent="0.25">
      <c r="B53" s="89" t="s">
        <v>131</v>
      </c>
      <c r="C53" s="590">
        <v>0</v>
      </c>
      <c r="D53" s="244"/>
      <c r="E53" s="244"/>
      <c r="F53" s="244"/>
      <c r="G53" s="244">
        <v>0</v>
      </c>
      <c r="H53" s="590">
        <v>658426.43999999994</v>
      </c>
      <c r="I53" s="246">
        <f t="shared" si="19"/>
        <v>658426.43999999994</v>
      </c>
      <c r="J53" s="251" t="b">
        <f t="shared" si="20"/>
        <v>1</v>
      </c>
    </row>
    <row r="54" spans="2:10" x14ac:dyDescent="0.25">
      <c r="B54" s="89" t="s">
        <v>169</v>
      </c>
      <c r="C54" s="244">
        <v>0</v>
      </c>
      <c r="D54" s="244"/>
      <c r="E54" s="244"/>
      <c r="F54" s="244"/>
      <c r="G54" s="244"/>
      <c r="H54" s="244"/>
      <c r="I54" s="246">
        <f t="shared" si="19"/>
        <v>0</v>
      </c>
      <c r="J54" s="251" t="b">
        <f t="shared" si="20"/>
        <v>1</v>
      </c>
    </row>
    <row r="55" spans="2:10" x14ac:dyDescent="0.25">
      <c r="B55" s="89" t="s">
        <v>70</v>
      </c>
      <c r="C55" s="244">
        <f>SUM(C51:C54)</f>
        <v>11726152837</v>
      </c>
      <c r="D55" s="244">
        <f t="shared" ref="D55:G55" si="21">SUM(D51:D54)</f>
        <v>0</v>
      </c>
      <c r="E55" s="244">
        <f t="shared" si="21"/>
        <v>0</v>
      </c>
      <c r="F55" s="244">
        <f t="shared" si="21"/>
        <v>0</v>
      </c>
      <c r="G55" s="244">
        <f t="shared" si="21"/>
        <v>28645323</v>
      </c>
      <c r="H55" s="244">
        <f>SUM(H51:H54)</f>
        <v>321499121</v>
      </c>
      <c r="I55" s="247">
        <f>SUM(I51:I54)</f>
        <v>12076297281</v>
      </c>
      <c r="J55" s="251" t="b">
        <f t="shared" si="20"/>
        <v>1</v>
      </c>
    </row>
    <row r="57" spans="2:10" x14ac:dyDescent="0.25">
      <c r="H57" s="212"/>
      <c r="I57" s="212"/>
    </row>
    <row r="58" spans="2:10" x14ac:dyDescent="0.25">
      <c r="F58" s="212"/>
      <c r="G58" s="212"/>
      <c r="H58" s="212"/>
      <c r="I58" s="212"/>
    </row>
    <row r="59" spans="2:10" ht="13" x14ac:dyDescent="0.3">
      <c r="B59" s="744" t="s">
        <v>336</v>
      </c>
      <c r="C59" s="209">
        <v>2</v>
      </c>
      <c r="D59" s="745" t="s">
        <v>337</v>
      </c>
      <c r="H59" s="167"/>
    </row>
    <row r="60" spans="2:10" x14ac:dyDescent="0.25">
      <c r="H60" s="212"/>
    </row>
    <row r="61" spans="2:10" x14ac:dyDescent="0.25">
      <c r="B61" t="s">
        <v>1</v>
      </c>
      <c r="C61" s="143"/>
      <c r="E61" s="142"/>
    </row>
    <row r="62" spans="2:10" x14ac:dyDescent="0.25">
      <c r="B62" s="746" t="s">
        <v>208</v>
      </c>
      <c r="C62" s="747">
        <f>IF($C$59=1,'Recaudo ENEL'!D21,'Recaudo ENEL'!F21)</f>
        <v>16660688191</v>
      </c>
      <c r="D62" s="746" t="b">
        <f>C17=C62</f>
        <v>1</v>
      </c>
      <c r="E62" s="748">
        <f>C17-C62</f>
        <v>0</v>
      </c>
      <c r="F62" s="212"/>
    </row>
    <row r="63" spans="2:10" x14ac:dyDescent="0.25">
      <c r="B63" s="746" t="s">
        <v>338</v>
      </c>
      <c r="C63" s="747">
        <f>IF($C$59=1,'Recaudo ENERBIT'!D21,'Recaudo ENERBIT'!F21)</f>
        <v>0</v>
      </c>
      <c r="D63" s="746" t="b">
        <f>G17=C63</f>
        <v>1</v>
      </c>
      <c r="E63" s="748">
        <f>G17-C63</f>
        <v>0</v>
      </c>
    </row>
    <row r="64" spans="2:10" x14ac:dyDescent="0.25">
      <c r="B64" s="749" t="s">
        <v>210</v>
      </c>
      <c r="C64" s="750">
        <f>IF($C$59=1,'Recaudo EAAB Reciprocidad'!D22,'Recaudo EAAB Reciprocidad'!F22)</f>
        <v>24231760</v>
      </c>
      <c r="D64" s="749" t="b">
        <f>F27=C64</f>
        <v>1</v>
      </c>
      <c r="E64" s="751">
        <f>F27-C64</f>
        <v>0</v>
      </c>
      <c r="H64" s="167"/>
    </row>
    <row r="65" spans="2:7" x14ac:dyDescent="0.25">
      <c r="B65" s="749" t="s">
        <v>326</v>
      </c>
      <c r="C65" s="750">
        <f>IF($C$59=1,'Recaudo ENEL'!D22,'Recaudo ENEL'!F22)</f>
        <v>19090710142</v>
      </c>
      <c r="D65" s="749" t="b">
        <f>C27=C65</f>
        <v>0</v>
      </c>
      <c r="E65" s="751">
        <f>C27-C65</f>
        <v>1369435</v>
      </c>
      <c r="F65" s="142" t="s">
        <v>342</v>
      </c>
    </row>
    <row r="66" spans="2:7" x14ac:dyDescent="0.25">
      <c r="B66" s="749" t="s">
        <v>339</v>
      </c>
      <c r="C66" s="750">
        <f>IF($C$59=1,'Recaudo ENERBIT'!D22,'Recaudo ENERBIT'!F22)</f>
        <v>0</v>
      </c>
      <c r="D66" s="749" t="b">
        <f>G27=C66</f>
        <v>1</v>
      </c>
      <c r="E66" s="751">
        <f>G27-C66</f>
        <v>0</v>
      </c>
    </row>
    <row r="67" spans="2:7" x14ac:dyDescent="0.25">
      <c r="B67" s="746" t="s">
        <v>212</v>
      </c>
      <c r="C67" s="747">
        <f>IF($C$59=1,'Recaudo ENEL'!D23,'Recaudo ENEL'!F23)</f>
        <v>14027201822</v>
      </c>
      <c r="D67" s="746" t="b">
        <f>C36=C67</f>
        <v>0</v>
      </c>
      <c r="E67" s="748">
        <f>C36-C67</f>
        <v>27040120</v>
      </c>
      <c r="F67" s="761" t="s">
        <v>342</v>
      </c>
    </row>
    <row r="68" spans="2:7" x14ac:dyDescent="0.25">
      <c r="B68" s="746" t="s">
        <v>340</v>
      </c>
      <c r="C68" s="747">
        <f>IF($C$59=1,'Recaudo ENERBIT'!D23,'Recaudo ENERBIT'!F23)</f>
        <v>0</v>
      </c>
      <c r="D68" s="746" t="b">
        <f>G36=C68</f>
        <v>1</v>
      </c>
      <c r="E68" s="748">
        <f>G36-C68</f>
        <v>0</v>
      </c>
    </row>
    <row r="69" spans="2:7" x14ac:dyDescent="0.25">
      <c r="B69" s="749" t="s">
        <v>211</v>
      </c>
      <c r="C69" s="750">
        <f>IF($C$59=1,'Recaudo EAAB Reciprocidad'!D24,'Recaudo EAAB Reciprocidad'!F24)</f>
        <v>15885640</v>
      </c>
      <c r="D69" s="749" t="b">
        <f>F45=C69</f>
        <v>1</v>
      </c>
      <c r="E69" s="751">
        <f>F45-C69</f>
        <v>0</v>
      </c>
    </row>
    <row r="70" spans="2:7" x14ac:dyDescent="0.25">
      <c r="B70" s="749" t="s">
        <v>327</v>
      </c>
      <c r="C70" s="750">
        <f>IF($C$59=1,'Recaudo ENEL'!D24,'Recaudo ENEL'!F24)</f>
        <v>6640391410</v>
      </c>
      <c r="D70" s="749" t="b">
        <f>C45=C70</f>
        <v>0</v>
      </c>
      <c r="E70" s="751">
        <f>C45-C70</f>
        <v>12430910</v>
      </c>
      <c r="F70" s="142" t="s">
        <v>342</v>
      </c>
    </row>
    <row r="71" spans="2:7" x14ac:dyDescent="0.25">
      <c r="B71" s="749" t="s">
        <v>341</v>
      </c>
      <c r="C71" s="750">
        <f>IF($C$59=1,'Recaudo ENERBIT'!D24,'Recaudo ENERBIT'!F24)</f>
        <v>0</v>
      </c>
      <c r="D71" s="749" t="b">
        <f>G45=C71</f>
        <v>1</v>
      </c>
      <c r="E71" s="751">
        <f>G45-C71</f>
        <v>0</v>
      </c>
      <c r="F71" s="212"/>
    </row>
    <row r="72" spans="2:7" x14ac:dyDescent="0.25">
      <c r="B72" s="746" t="s">
        <v>209</v>
      </c>
      <c r="C72" s="747">
        <f>IF($C$59=1,'Recaudo ENEL'!D25,'Recaudo ENEL'!F25)</f>
        <v>11725626627</v>
      </c>
      <c r="D72" s="746" t="b">
        <f>C55=C72</f>
        <v>0</v>
      </c>
      <c r="E72" s="748">
        <f>C55-C72</f>
        <v>526210</v>
      </c>
      <c r="F72" s="142" t="s">
        <v>342</v>
      </c>
    </row>
    <row r="73" spans="2:7" x14ac:dyDescent="0.25">
      <c r="B73" s="746" t="s">
        <v>329</v>
      </c>
      <c r="C73" s="747">
        <f>IF($C$59=1,'Recaudo ENERBIT'!D25,'Recaudo ENERBIT'!F25)</f>
        <v>28645323</v>
      </c>
      <c r="D73" s="746" t="b">
        <f>G55=C73</f>
        <v>1</v>
      </c>
      <c r="E73" s="748">
        <f>G55-C73</f>
        <v>0</v>
      </c>
    </row>
    <row r="74" spans="2:7" x14ac:dyDescent="0.25">
      <c r="C74" s="167"/>
    </row>
    <row r="75" spans="2:7" x14ac:dyDescent="0.25">
      <c r="B75" s="746" t="s">
        <v>262</v>
      </c>
      <c r="C75" s="747">
        <f>IF($C$59=1,'Recaudo Directa Occidente'!D21,'Recaudo Directa Occidente'!F21)</f>
        <v>805313717</v>
      </c>
      <c r="D75" s="746" t="b">
        <f>C75=H17</f>
        <v>1</v>
      </c>
      <c r="E75" s="748">
        <f>C75-H17</f>
        <v>0</v>
      </c>
      <c r="F75" s="696"/>
      <c r="G75" s="696"/>
    </row>
    <row r="76" spans="2:7" x14ac:dyDescent="0.25">
      <c r="B76" s="749" t="s">
        <v>263</v>
      </c>
      <c r="C76" s="750">
        <f>IF($C$59=1,'Recaudo Directa Occidente'!D22,'Recaudo Directa Occidente'!F22)</f>
        <v>1425946178</v>
      </c>
      <c r="D76" s="749" t="b">
        <f>C76=H27</f>
        <v>1</v>
      </c>
      <c r="E76" s="751">
        <f>C76-H27</f>
        <v>0</v>
      </c>
    </row>
    <row r="77" spans="2:7" x14ac:dyDescent="0.25">
      <c r="B77" s="746" t="s">
        <v>264</v>
      </c>
      <c r="C77" s="747">
        <f>IF($C$59=1,'Recaudo Directa Occidente'!D23,'Recaudo Directa Occidente'!F23)</f>
        <v>1245170519</v>
      </c>
      <c r="D77" s="746" t="b">
        <f>C77=H36</f>
        <v>1</v>
      </c>
      <c r="E77" s="748">
        <f>C77-H36</f>
        <v>0</v>
      </c>
      <c r="F77" s="212"/>
      <c r="G77" s="212"/>
    </row>
    <row r="78" spans="2:7" x14ac:dyDescent="0.25">
      <c r="B78" s="749" t="s">
        <v>265</v>
      </c>
      <c r="C78" s="750">
        <f>IF($C$59=1,'Recaudo Directa Occidente'!D24,'Recaudo Directa Occidente'!F24)</f>
        <v>486639517</v>
      </c>
      <c r="D78" s="749" t="b">
        <f>C78=H45</f>
        <v>1</v>
      </c>
      <c r="E78" s="751">
        <f>C78-H45</f>
        <v>0</v>
      </c>
    </row>
    <row r="79" spans="2:7" x14ac:dyDescent="0.25">
      <c r="B79" s="746" t="s">
        <v>266</v>
      </c>
      <c r="C79" s="747">
        <f>IF($C$59=1,'Recaudo Directa Occidente'!D25,'Recaudo Directa Occidente'!F25)</f>
        <v>321499121</v>
      </c>
      <c r="D79" s="746" t="b">
        <f>C79=H55</f>
        <v>1</v>
      </c>
      <c r="E79" s="748">
        <f>C79-H55</f>
        <v>0</v>
      </c>
    </row>
  </sheetData>
  <phoneticPr fontId="21" type="noConversion"/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FFC000"/>
  </sheetPr>
  <dimension ref="A1:P45"/>
  <sheetViews>
    <sheetView zoomScaleNormal="100" workbookViewId="0"/>
  </sheetViews>
  <sheetFormatPr baseColWidth="10" defaultRowHeight="12.5" x14ac:dyDescent="0.25"/>
  <cols>
    <col min="1" max="1" width="3.453125" customWidth="1"/>
    <col min="2" max="2" width="20.81640625" bestFit="1" customWidth="1"/>
    <col min="3" max="3" width="13.1796875" bestFit="1" customWidth="1"/>
    <col min="4" max="6" width="12.81640625" bestFit="1" customWidth="1"/>
    <col min="7" max="7" width="12.54296875" customWidth="1"/>
    <col min="8" max="14" width="12.81640625" bestFit="1" customWidth="1"/>
    <col min="16" max="16" width="12.81640625" bestFit="1" customWidth="1"/>
  </cols>
  <sheetData>
    <row r="1" spans="1:16" ht="13.5" thickBot="1" x14ac:dyDescent="0.35">
      <c r="C1" s="770" t="s">
        <v>99</v>
      </c>
      <c r="D1" s="770"/>
      <c r="E1" s="770" t="s">
        <v>100</v>
      </c>
      <c r="F1" s="770"/>
      <c r="G1" s="770" t="s">
        <v>101</v>
      </c>
      <c r="H1" s="770"/>
      <c r="I1" s="770" t="s">
        <v>102</v>
      </c>
      <c r="J1" s="770"/>
      <c r="K1" s="770" t="s">
        <v>103</v>
      </c>
      <c r="L1" s="770"/>
      <c r="M1" s="770" t="s">
        <v>2</v>
      </c>
      <c r="N1" s="770"/>
    </row>
    <row r="2" spans="1:16" ht="13" x14ac:dyDescent="0.3">
      <c r="C2" s="257" t="s">
        <v>149</v>
      </c>
      <c r="D2" s="733" t="s">
        <v>150</v>
      </c>
      <c r="E2" s="733" t="s">
        <v>149</v>
      </c>
      <c r="F2" s="733" t="s">
        <v>150</v>
      </c>
      <c r="G2" s="733" t="s">
        <v>149</v>
      </c>
      <c r="H2" s="733" t="s">
        <v>150</v>
      </c>
      <c r="I2" s="733" t="s">
        <v>149</v>
      </c>
      <c r="J2" s="733" t="s">
        <v>150</v>
      </c>
      <c r="K2" s="733" t="s">
        <v>149</v>
      </c>
      <c r="L2" s="733" t="s">
        <v>150</v>
      </c>
      <c r="M2" s="257" t="s">
        <v>149</v>
      </c>
      <c r="N2" s="258" t="s">
        <v>150</v>
      </c>
    </row>
    <row r="3" spans="1:16" ht="13" x14ac:dyDescent="0.3">
      <c r="B3" s="210" t="s">
        <v>151</v>
      </c>
      <c r="C3" s="734">
        <f>C11+C19+C27+C35+C43</f>
        <v>49580</v>
      </c>
      <c r="D3" s="249">
        <f>D11+D19+D27+D35+D43</f>
        <v>-16536713.09</v>
      </c>
      <c r="E3" s="249">
        <f t="shared" ref="E3:K3" si="0">E11+E19+E27+E35+E43</f>
        <v>56190070</v>
      </c>
      <c r="F3" s="249">
        <f>F11+F19+F27+F35+F43</f>
        <v>-71069759</v>
      </c>
      <c r="G3" s="249">
        <f t="shared" si="0"/>
        <v>1307680</v>
      </c>
      <c r="H3" s="249">
        <f t="shared" si="0"/>
        <v>-32310979.800000001</v>
      </c>
      <c r="I3" s="249">
        <f t="shared" si="0"/>
        <v>4343101</v>
      </c>
      <c r="J3" s="249">
        <f t="shared" si="0"/>
        <v>-33738104.230000004</v>
      </c>
      <c r="K3" s="249">
        <f t="shared" si="0"/>
        <v>441849</v>
      </c>
      <c r="L3" s="249">
        <f>L11+L19+L27+L35+L43</f>
        <v>-3092375.5300000003</v>
      </c>
      <c r="M3" s="259">
        <f>C3+E3+G3+I3+K3</f>
        <v>62332280</v>
      </c>
      <c r="N3" s="260">
        <f>D3+F3+H3+J3+L3</f>
        <v>-156747931.65000001</v>
      </c>
      <c r="P3" s="209" t="b">
        <f>N3=(-VALIDACION_TOTAL!M9)</f>
        <v>1</v>
      </c>
    </row>
    <row r="4" spans="1:16" ht="13.5" thickBot="1" x14ac:dyDescent="0.35">
      <c r="B4" s="210" t="s">
        <v>152</v>
      </c>
      <c r="C4" s="731">
        <f>C12+C20+C28+C36+C44</f>
        <v>82340</v>
      </c>
      <c r="D4" s="732">
        <f>D12+D20+D28+D36+D44</f>
        <v>-182537.90999999997</v>
      </c>
      <c r="E4" s="732">
        <f t="shared" ref="E4:K4" si="1">E12+E20+E28+E36+E44</f>
        <v>5228610</v>
      </c>
      <c r="F4" s="732">
        <f t="shared" si="1"/>
        <v>0</v>
      </c>
      <c r="G4" s="732">
        <f t="shared" si="1"/>
        <v>0</v>
      </c>
      <c r="H4" s="732">
        <f t="shared" si="1"/>
        <v>-2423600.2000000002</v>
      </c>
      <c r="I4" s="732">
        <f t="shared" si="1"/>
        <v>14538094</v>
      </c>
      <c r="J4" s="732">
        <f t="shared" si="1"/>
        <v>-14979759.77</v>
      </c>
      <c r="K4" s="732">
        <f t="shared" si="1"/>
        <v>87550</v>
      </c>
      <c r="L4" s="732">
        <f>L12+L20+L28+L36+L44</f>
        <v>-215053.47</v>
      </c>
      <c r="M4" s="735">
        <f>C4+E4+G4+I4+K4</f>
        <v>19936594</v>
      </c>
      <c r="N4" s="736">
        <f>D4+F4+H4+J4+L4</f>
        <v>-17800951.349999998</v>
      </c>
      <c r="P4" s="209" t="b">
        <f>N4=(-'CONSOLIDADO_TOTAL RECAUDO'!L131)</f>
        <v>1</v>
      </c>
    </row>
    <row r="5" spans="1:16" ht="13.5" thickBot="1" x14ac:dyDescent="0.35">
      <c r="B5" s="211" t="s">
        <v>2</v>
      </c>
      <c r="C5" s="253">
        <f>SUM(C3:C4)</f>
        <v>131920</v>
      </c>
      <c r="D5" s="254">
        <f t="shared" ref="D5:L5" si="2">SUM(D3:D4)</f>
        <v>-16719251</v>
      </c>
      <c r="E5" s="254">
        <f t="shared" si="2"/>
        <v>61418680</v>
      </c>
      <c r="F5" s="254">
        <f t="shared" si="2"/>
        <v>-71069759</v>
      </c>
      <c r="G5" s="254">
        <f t="shared" si="2"/>
        <v>1307680</v>
      </c>
      <c r="H5" s="254">
        <f t="shared" si="2"/>
        <v>-34734580</v>
      </c>
      <c r="I5" s="254">
        <f t="shared" si="2"/>
        <v>18881195</v>
      </c>
      <c r="J5" s="254">
        <f t="shared" si="2"/>
        <v>-48717864</v>
      </c>
      <c r="K5" s="254">
        <f>SUM(K3:K4)</f>
        <v>529399</v>
      </c>
      <c r="L5" s="256">
        <f t="shared" si="2"/>
        <v>-3307429.0000000005</v>
      </c>
      <c r="M5" s="253">
        <f t="shared" ref="M5" si="3">SUM(M3:M4)</f>
        <v>82268874</v>
      </c>
      <c r="N5" s="255">
        <f>SUM(N3:N4)</f>
        <v>-174548883</v>
      </c>
    </row>
    <row r="6" spans="1:16" x14ac:dyDescent="0.25">
      <c r="C6" s="209" t="b">
        <f t="shared" ref="C6:K6" si="4">C5=(C13+C21+C29+C37+C45)</f>
        <v>1</v>
      </c>
      <c r="D6" s="209" t="b">
        <f t="shared" si="4"/>
        <v>1</v>
      </c>
      <c r="E6" s="209" t="b">
        <f t="shared" si="4"/>
        <v>1</v>
      </c>
      <c r="F6" s="209" t="b">
        <f t="shared" si="4"/>
        <v>1</v>
      </c>
      <c r="G6" s="209" t="b">
        <f t="shared" si="4"/>
        <v>1</v>
      </c>
      <c r="H6" s="209" t="b">
        <f t="shared" si="4"/>
        <v>1</v>
      </c>
      <c r="I6" s="209" t="b">
        <f t="shared" si="4"/>
        <v>1</v>
      </c>
      <c r="J6" s="209" t="b">
        <f t="shared" si="4"/>
        <v>1</v>
      </c>
      <c r="K6" s="209" t="b">
        <f t="shared" si="4"/>
        <v>1</v>
      </c>
      <c r="L6" s="209" t="b">
        <f>L5=(L13+L21+L29+L37+L45)</f>
        <v>1</v>
      </c>
      <c r="M6" s="209" t="b">
        <f t="shared" ref="M6" si="5">M5=(M13+M21+M29+M37+M45)</f>
        <v>1</v>
      </c>
      <c r="N6" s="209" t="b">
        <f>N5=(N13+N21+N29+N37+N45)</f>
        <v>1</v>
      </c>
    </row>
    <row r="7" spans="1:16" x14ac:dyDescent="0.25">
      <c r="A7" s="238"/>
      <c r="B7" s="238"/>
      <c r="C7" s="238"/>
      <c r="D7" s="238"/>
      <c r="E7" s="238"/>
      <c r="F7" s="238"/>
      <c r="G7" s="238"/>
      <c r="H7" s="238"/>
      <c r="I7" s="238"/>
      <c r="J7" s="238"/>
      <c r="K7" s="238"/>
      <c r="L7" s="238"/>
      <c r="M7" s="238"/>
      <c r="N7" s="238"/>
      <c r="O7" s="238"/>
      <c r="P7" s="238"/>
    </row>
    <row r="8" spans="1:16" ht="14.5" x14ac:dyDescent="0.35">
      <c r="B8" s="208" t="s">
        <v>148</v>
      </c>
      <c r="C8" s="209"/>
    </row>
    <row r="9" spans="1:16" ht="13" x14ac:dyDescent="0.3">
      <c r="C9" s="770" t="s">
        <v>99</v>
      </c>
      <c r="D9" s="770"/>
      <c r="E9" s="770" t="s">
        <v>100</v>
      </c>
      <c r="F9" s="770"/>
      <c r="G9" s="770" t="s">
        <v>101</v>
      </c>
      <c r="H9" s="770"/>
      <c r="I9" s="770" t="s">
        <v>102</v>
      </c>
      <c r="J9" s="770"/>
      <c r="K9" s="770" t="s">
        <v>103</v>
      </c>
      <c r="L9" s="770"/>
      <c r="M9" s="770" t="s">
        <v>2</v>
      </c>
      <c r="N9" s="770"/>
    </row>
    <row r="10" spans="1:16" ht="13" x14ac:dyDescent="0.3">
      <c r="C10" s="210" t="s">
        <v>149</v>
      </c>
      <c r="D10" s="210" t="s">
        <v>150</v>
      </c>
      <c r="E10" s="210" t="s">
        <v>149</v>
      </c>
      <c r="F10" s="210" t="s">
        <v>150</v>
      </c>
      <c r="G10" s="210" t="s">
        <v>149</v>
      </c>
      <c r="H10" s="210" t="s">
        <v>150</v>
      </c>
      <c r="I10" s="210" t="s">
        <v>149</v>
      </c>
      <c r="J10" s="210" t="s">
        <v>150</v>
      </c>
      <c r="K10" s="210" t="s">
        <v>149</v>
      </c>
      <c r="L10" s="210" t="s">
        <v>150</v>
      </c>
      <c r="M10" s="210" t="s">
        <v>149</v>
      </c>
      <c r="N10" s="210" t="s">
        <v>150</v>
      </c>
    </row>
    <row r="11" spans="1:16" ht="13" x14ac:dyDescent="0.3">
      <c r="B11" s="210" t="s">
        <v>151</v>
      </c>
      <c r="C11" s="245">
        <v>0</v>
      </c>
      <c r="D11" s="245">
        <v>-1002751.39</v>
      </c>
      <c r="E11" s="245">
        <v>111210</v>
      </c>
      <c r="F11" s="245">
        <v>-290750</v>
      </c>
      <c r="G11" s="245">
        <v>0</v>
      </c>
      <c r="H11" s="245">
        <v>-306659.8</v>
      </c>
      <c r="I11" s="245">
        <v>691194</v>
      </c>
      <c r="J11" s="245">
        <v>-3233428.34</v>
      </c>
      <c r="K11" s="244">
        <v>441849</v>
      </c>
      <c r="L11" s="245">
        <v>-1026775.53</v>
      </c>
      <c r="M11" s="249">
        <f>C11+E11+G11+I11+K11</f>
        <v>1244253</v>
      </c>
      <c r="N11" s="245">
        <f>D11+F11+H11+J11+L11</f>
        <v>-5860365.0600000005</v>
      </c>
    </row>
    <row r="12" spans="1:16" ht="13" x14ac:dyDescent="0.3">
      <c r="B12" s="210" t="s">
        <v>152</v>
      </c>
      <c r="C12" s="245">
        <v>82340</v>
      </c>
      <c r="D12" s="245">
        <v>-165648.60999999999</v>
      </c>
      <c r="E12" s="245">
        <v>1370</v>
      </c>
      <c r="F12" s="245">
        <v>0</v>
      </c>
      <c r="G12" s="245">
        <v>0</v>
      </c>
      <c r="H12" s="245">
        <v>-2343750.2000000002</v>
      </c>
      <c r="I12" s="245">
        <v>2209000</v>
      </c>
      <c r="J12" s="245">
        <v>-14593375.66</v>
      </c>
      <c r="K12" s="244">
        <v>87550</v>
      </c>
      <c r="L12" s="245">
        <v>-165773.47</v>
      </c>
      <c r="M12" s="249">
        <f>C12+E12+G12+I12+K12</f>
        <v>2380260</v>
      </c>
      <c r="N12" s="245">
        <f>D12+F12+H12+J12+L12</f>
        <v>-17268547.939999998</v>
      </c>
    </row>
    <row r="13" spans="1:16" ht="13" x14ac:dyDescent="0.3">
      <c r="B13" s="211" t="s">
        <v>2</v>
      </c>
      <c r="C13" s="249">
        <f>SUM(C11:C12)</f>
        <v>82340</v>
      </c>
      <c r="D13" s="249">
        <f t="shared" ref="D13:N13" si="6">SUM(D11:D12)</f>
        <v>-1168400</v>
      </c>
      <c r="E13" s="249">
        <f t="shared" si="6"/>
        <v>112580</v>
      </c>
      <c r="F13" s="249">
        <f t="shared" si="6"/>
        <v>-290750</v>
      </c>
      <c r="G13" s="249">
        <f>SUM(G11:G12)</f>
        <v>0</v>
      </c>
      <c r="H13" s="249">
        <f>SUM(H11:H12)</f>
        <v>-2650410</v>
      </c>
      <c r="I13" s="249">
        <f t="shared" si="6"/>
        <v>2900194</v>
      </c>
      <c r="J13" s="249">
        <f t="shared" si="6"/>
        <v>-17826804</v>
      </c>
      <c r="K13" s="249">
        <f t="shared" si="6"/>
        <v>529399</v>
      </c>
      <c r="L13" s="249">
        <f t="shared" si="6"/>
        <v>-1192549</v>
      </c>
      <c r="M13" s="249">
        <f t="shared" si="6"/>
        <v>3624513</v>
      </c>
      <c r="N13" s="249">
        <f t="shared" si="6"/>
        <v>-23128913</v>
      </c>
    </row>
    <row r="14" spans="1:16" x14ac:dyDescent="0.25">
      <c r="E14" s="212"/>
    </row>
    <row r="16" spans="1:16" ht="14.5" x14ac:dyDescent="0.35">
      <c r="B16" s="208" t="s">
        <v>153</v>
      </c>
      <c r="C16" s="209"/>
    </row>
    <row r="17" spans="2:14" ht="13" x14ac:dyDescent="0.3">
      <c r="C17" s="770" t="s">
        <v>99</v>
      </c>
      <c r="D17" s="770"/>
      <c r="E17" s="770" t="s">
        <v>100</v>
      </c>
      <c r="F17" s="770"/>
      <c r="G17" s="770" t="s">
        <v>101</v>
      </c>
      <c r="H17" s="770"/>
      <c r="I17" s="770" t="s">
        <v>102</v>
      </c>
      <c r="J17" s="770"/>
      <c r="K17" s="770" t="s">
        <v>103</v>
      </c>
      <c r="L17" s="770"/>
      <c r="M17" s="770" t="s">
        <v>2</v>
      </c>
      <c r="N17" s="770"/>
    </row>
    <row r="18" spans="2:14" ht="13" x14ac:dyDescent="0.3">
      <c r="C18" s="210" t="s">
        <v>149</v>
      </c>
      <c r="D18" s="210" t="s">
        <v>150</v>
      </c>
      <c r="E18" s="210" t="s">
        <v>149</v>
      </c>
      <c r="F18" s="210" t="s">
        <v>150</v>
      </c>
      <c r="G18" s="210" t="s">
        <v>149</v>
      </c>
      <c r="H18" s="210" t="s">
        <v>150</v>
      </c>
      <c r="I18" s="210" t="s">
        <v>149</v>
      </c>
      <c r="J18" s="210" t="s">
        <v>150</v>
      </c>
      <c r="K18" s="210" t="s">
        <v>149</v>
      </c>
      <c r="L18" s="210" t="s">
        <v>150</v>
      </c>
      <c r="M18" s="210" t="s">
        <v>149</v>
      </c>
      <c r="N18" s="210" t="s">
        <v>150</v>
      </c>
    </row>
    <row r="19" spans="2:14" ht="13" x14ac:dyDescent="0.3">
      <c r="B19" s="210" t="s">
        <v>151</v>
      </c>
      <c r="C19" s="245">
        <v>0</v>
      </c>
      <c r="D19" s="245">
        <v>0</v>
      </c>
      <c r="E19" s="245">
        <v>0</v>
      </c>
      <c r="F19" s="245">
        <v>0</v>
      </c>
      <c r="G19" s="245">
        <v>0</v>
      </c>
      <c r="H19" s="245">
        <v>0</v>
      </c>
      <c r="I19" s="245">
        <v>41900</v>
      </c>
      <c r="J19" s="245">
        <v>-736030</v>
      </c>
      <c r="K19" s="244">
        <v>0</v>
      </c>
      <c r="L19" s="245">
        <v>0</v>
      </c>
      <c r="M19" s="245">
        <f>C19+E19+G19+I19+K19</f>
        <v>41900</v>
      </c>
      <c r="N19" s="245">
        <f>D19+F19+H19+J19+L19</f>
        <v>-736030</v>
      </c>
    </row>
    <row r="20" spans="2:14" ht="13" x14ac:dyDescent="0.3">
      <c r="B20" s="210" t="s">
        <v>152</v>
      </c>
      <c r="C20" s="245">
        <v>0</v>
      </c>
      <c r="D20" s="245">
        <v>0</v>
      </c>
      <c r="E20" s="245">
        <v>0</v>
      </c>
      <c r="F20" s="245">
        <v>0</v>
      </c>
      <c r="G20" s="245">
        <v>0</v>
      </c>
      <c r="H20" s="245">
        <v>0</v>
      </c>
      <c r="I20" s="245">
        <v>694130</v>
      </c>
      <c r="J20" s="546">
        <v>0</v>
      </c>
      <c r="K20" s="244">
        <v>0</v>
      </c>
      <c r="L20" s="245">
        <v>0</v>
      </c>
      <c r="M20" s="245">
        <f>C20+E20+G20+I20+K20</f>
        <v>694130</v>
      </c>
      <c r="N20" s="245">
        <f>D20+F20+H20+J20+L20</f>
        <v>0</v>
      </c>
    </row>
    <row r="21" spans="2:14" ht="13" x14ac:dyDescent="0.3">
      <c r="B21" s="211" t="s">
        <v>2</v>
      </c>
      <c r="C21" s="249">
        <f>SUM(C19:C20)</f>
        <v>0</v>
      </c>
      <c r="D21" s="249">
        <f t="shared" ref="D21:L21" si="7">SUM(D19:D20)</f>
        <v>0</v>
      </c>
      <c r="E21" s="249">
        <f t="shared" si="7"/>
        <v>0</v>
      </c>
      <c r="F21" s="249">
        <f t="shared" si="7"/>
        <v>0</v>
      </c>
      <c r="G21" s="249">
        <f t="shared" si="7"/>
        <v>0</v>
      </c>
      <c r="H21" s="249">
        <f t="shared" si="7"/>
        <v>0</v>
      </c>
      <c r="I21" s="249">
        <f t="shared" si="7"/>
        <v>736030</v>
      </c>
      <c r="J21" s="249">
        <f t="shared" si="7"/>
        <v>-736030</v>
      </c>
      <c r="K21" s="249">
        <f t="shared" si="7"/>
        <v>0</v>
      </c>
      <c r="L21" s="249">
        <f t="shared" si="7"/>
        <v>0</v>
      </c>
      <c r="M21" s="249">
        <f>C21+E21+G21+I21+K21</f>
        <v>736030</v>
      </c>
      <c r="N21" s="249">
        <f t="shared" ref="N21" si="8">SUM(N19:N20)</f>
        <v>-736030</v>
      </c>
    </row>
    <row r="24" spans="2:14" ht="14.5" x14ac:dyDescent="0.35">
      <c r="B24" s="208" t="s">
        <v>154</v>
      </c>
      <c r="C24" s="209"/>
    </row>
    <row r="25" spans="2:14" ht="13" x14ac:dyDescent="0.3">
      <c r="C25" s="770" t="s">
        <v>99</v>
      </c>
      <c r="D25" s="770"/>
      <c r="E25" s="770" t="s">
        <v>100</v>
      </c>
      <c r="F25" s="770"/>
      <c r="G25" s="770" t="s">
        <v>101</v>
      </c>
      <c r="H25" s="770"/>
      <c r="I25" s="770" t="s">
        <v>102</v>
      </c>
      <c r="J25" s="770"/>
      <c r="K25" s="770" t="s">
        <v>103</v>
      </c>
      <c r="L25" s="770"/>
      <c r="M25" s="770" t="s">
        <v>2</v>
      </c>
      <c r="N25" s="770"/>
    </row>
    <row r="26" spans="2:14" ht="13" x14ac:dyDescent="0.3">
      <c r="C26" s="210" t="s">
        <v>149</v>
      </c>
      <c r="D26" s="210" t="s">
        <v>150</v>
      </c>
      <c r="E26" s="210" t="s">
        <v>149</v>
      </c>
      <c r="F26" s="210" t="s">
        <v>150</v>
      </c>
      <c r="G26" s="210" t="s">
        <v>149</v>
      </c>
      <c r="H26" s="210" t="s">
        <v>150</v>
      </c>
      <c r="I26" s="210" t="s">
        <v>149</v>
      </c>
      <c r="J26" s="210" t="s">
        <v>150</v>
      </c>
      <c r="K26" s="210" t="s">
        <v>149</v>
      </c>
      <c r="L26" s="210" t="s">
        <v>150</v>
      </c>
      <c r="M26" s="210" t="s">
        <v>149</v>
      </c>
      <c r="N26" s="210" t="s">
        <v>150</v>
      </c>
    </row>
    <row r="27" spans="2:14" ht="13" x14ac:dyDescent="0.3">
      <c r="B27" s="210" t="s">
        <v>151</v>
      </c>
      <c r="C27" s="245">
        <v>0</v>
      </c>
      <c r="D27" s="245">
        <v>0</v>
      </c>
      <c r="E27" s="245">
        <v>0</v>
      </c>
      <c r="F27" s="245">
        <v>0</v>
      </c>
      <c r="G27" s="245">
        <v>0</v>
      </c>
      <c r="H27" s="245">
        <v>0</v>
      </c>
      <c r="I27" s="245">
        <v>0</v>
      </c>
      <c r="J27" s="245">
        <v>0</v>
      </c>
      <c r="K27" s="244">
        <v>0</v>
      </c>
      <c r="L27" s="245">
        <v>0</v>
      </c>
      <c r="M27" s="245">
        <f>C27+E27+G27+I27+K27</f>
        <v>0</v>
      </c>
      <c r="N27" s="245">
        <f>D27+F27+H27+J27+L27</f>
        <v>0</v>
      </c>
    </row>
    <row r="28" spans="2:14" ht="13" x14ac:dyDescent="0.3">
      <c r="B28" s="210" t="s">
        <v>152</v>
      </c>
      <c r="C28" s="245">
        <v>0</v>
      </c>
      <c r="D28" s="245">
        <v>0</v>
      </c>
      <c r="E28" s="245">
        <v>0</v>
      </c>
      <c r="F28" s="245">
        <v>0</v>
      </c>
      <c r="G28" s="245">
        <v>0</v>
      </c>
      <c r="H28" s="245">
        <v>0</v>
      </c>
      <c r="I28" s="245">
        <v>0</v>
      </c>
      <c r="J28" s="245">
        <v>0</v>
      </c>
      <c r="K28" s="244">
        <v>0</v>
      </c>
      <c r="L28" s="245">
        <v>0</v>
      </c>
      <c r="M28" s="245">
        <f>C28+E28+G28+I28+K28</f>
        <v>0</v>
      </c>
      <c r="N28" s="245">
        <f>D28+F28+H28+J28+L28</f>
        <v>0</v>
      </c>
    </row>
    <row r="29" spans="2:14" ht="13" x14ac:dyDescent="0.3">
      <c r="B29" s="211" t="s">
        <v>2</v>
      </c>
      <c r="C29" s="249">
        <f t="shared" ref="C29:N29" si="9">SUM(C27:C28)</f>
        <v>0</v>
      </c>
      <c r="D29" s="249">
        <f t="shared" si="9"/>
        <v>0</v>
      </c>
      <c r="E29" s="249">
        <f t="shared" si="9"/>
        <v>0</v>
      </c>
      <c r="F29" s="249">
        <f t="shared" si="9"/>
        <v>0</v>
      </c>
      <c r="G29" s="249">
        <f t="shared" si="9"/>
        <v>0</v>
      </c>
      <c r="H29" s="249">
        <f t="shared" si="9"/>
        <v>0</v>
      </c>
      <c r="I29" s="249">
        <f t="shared" si="9"/>
        <v>0</v>
      </c>
      <c r="J29" s="249">
        <f t="shared" si="9"/>
        <v>0</v>
      </c>
      <c r="K29" s="249">
        <f t="shared" si="9"/>
        <v>0</v>
      </c>
      <c r="L29" s="249">
        <f t="shared" si="9"/>
        <v>0</v>
      </c>
      <c r="M29" s="249">
        <f t="shared" si="9"/>
        <v>0</v>
      </c>
      <c r="N29" s="249">
        <f t="shared" si="9"/>
        <v>0</v>
      </c>
    </row>
    <row r="32" spans="2:14" x14ac:dyDescent="0.25">
      <c r="B32" s="209" t="s">
        <v>155</v>
      </c>
    </row>
    <row r="33" spans="2:14" ht="13" x14ac:dyDescent="0.3">
      <c r="C33" s="770" t="s">
        <v>99</v>
      </c>
      <c r="D33" s="770"/>
      <c r="E33" s="770" t="s">
        <v>100</v>
      </c>
      <c r="F33" s="770"/>
      <c r="G33" s="770" t="s">
        <v>101</v>
      </c>
      <c r="H33" s="770"/>
      <c r="I33" s="770" t="s">
        <v>102</v>
      </c>
      <c r="J33" s="770"/>
      <c r="K33" s="770" t="s">
        <v>103</v>
      </c>
      <c r="L33" s="770"/>
      <c r="M33" s="770" t="s">
        <v>2</v>
      </c>
      <c r="N33" s="770"/>
    </row>
    <row r="34" spans="2:14" ht="13" x14ac:dyDescent="0.3">
      <c r="C34" s="210" t="s">
        <v>149</v>
      </c>
      <c r="D34" s="210" t="s">
        <v>150</v>
      </c>
      <c r="E34" s="210" t="s">
        <v>149</v>
      </c>
      <c r="F34" s="210" t="s">
        <v>150</v>
      </c>
      <c r="G34" s="210" t="s">
        <v>149</v>
      </c>
      <c r="H34" s="210" t="s">
        <v>150</v>
      </c>
      <c r="I34" s="210" t="s">
        <v>149</v>
      </c>
      <c r="J34" s="210" t="s">
        <v>150</v>
      </c>
      <c r="K34" s="210" t="s">
        <v>149</v>
      </c>
      <c r="L34" s="210" t="s">
        <v>150</v>
      </c>
      <c r="M34" s="210" t="s">
        <v>149</v>
      </c>
      <c r="N34" s="210" t="s">
        <v>150</v>
      </c>
    </row>
    <row r="35" spans="2:14" ht="13" x14ac:dyDescent="0.3">
      <c r="B35" s="210" t="s">
        <v>151</v>
      </c>
      <c r="C35" s="245">
        <v>49580</v>
      </c>
      <c r="D35" s="245">
        <v>-15533961.699999999</v>
      </c>
      <c r="E35" s="245">
        <v>56078860</v>
      </c>
      <c r="F35" s="245">
        <v>-70779009</v>
      </c>
      <c r="G35" s="245">
        <v>1307680</v>
      </c>
      <c r="H35" s="245">
        <v>-32004320</v>
      </c>
      <c r="I35" s="245">
        <v>3610007</v>
      </c>
      <c r="J35" s="245">
        <v>-29768645.890000001</v>
      </c>
      <c r="K35" s="244">
        <v>0</v>
      </c>
      <c r="L35" s="245">
        <v>-2065600</v>
      </c>
      <c r="M35" s="245">
        <f>C35+E35+G35+I35+K35</f>
        <v>61046127</v>
      </c>
      <c r="N35" s="245">
        <f>D35+F35+H35+J35+L35</f>
        <v>-150151536.59</v>
      </c>
    </row>
    <row r="36" spans="2:14" ht="13" x14ac:dyDescent="0.3">
      <c r="B36" s="210" t="s">
        <v>152</v>
      </c>
      <c r="C36" s="245">
        <v>0</v>
      </c>
      <c r="D36" s="245">
        <v>-16889.3</v>
      </c>
      <c r="E36" s="245">
        <v>5227240</v>
      </c>
      <c r="F36" s="245">
        <v>0</v>
      </c>
      <c r="G36" s="245">
        <v>0</v>
      </c>
      <c r="H36" s="245">
        <v>-79850</v>
      </c>
      <c r="I36" s="245">
        <v>11634964</v>
      </c>
      <c r="J36" s="245">
        <v>-386384.11</v>
      </c>
      <c r="K36" s="244">
        <v>0</v>
      </c>
      <c r="L36" s="245">
        <v>-49280</v>
      </c>
      <c r="M36" s="245">
        <f>C36+E36+G36+I36+K36</f>
        <v>16862204</v>
      </c>
      <c r="N36" s="245">
        <f>D36+F36+H36+J36+L36</f>
        <v>-532403.40999999992</v>
      </c>
    </row>
    <row r="37" spans="2:14" ht="13" x14ac:dyDescent="0.3">
      <c r="B37" s="211" t="s">
        <v>2</v>
      </c>
      <c r="C37" s="249">
        <f>SUM(C35:C36)</f>
        <v>49580</v>
      </c>
      <c r="D37" s="249">
        <f t="shared" ref="D37:L37" si="10">SUM(D35:D36)</f>
        <v>-15550851</v>
      </c>
      <c r="E37" s="249">
        <f t="shared" si="10"/>
        <v>61306100</v>
      </c>
      <c r="F37" s="249">
        <f t="shared" si="10"/>
        <v>-70779009</v>
      </c>
      <c r="G37" s="249">
        <f t="shared" si="10"/>
        <v>1307680</v>
      </c>
      <c r="H37" s="249">
        <f t="shared" si="10"/>
        <v>-32084170</v>
      </c>
      <c r="I37" s="249">
        <f t="shared" si="10"/>
        <v>15244971</v>
      </c>
      <c r="J37" s="249">
        <f t="shared" si="10"/>
        <v>-30155030</v>
      </c>
      <c r="K37" s="249">
        <f t="shared" si="10"/>
        <v>0</v>
      </c>
      <c r="L37" s="249">
        <f t="shared" si="10"/>
        <v>-2114880</v>
      </c>
      <c r="M37" s="249">
        <f>SUM(M35:M36)</f>
        <v>77908331</v>
      </c>
      <c r="N37" s="249">
        <f t="shared" ref="N37" si="11">SUM(N35:N36)</f>
        <v>-150683940</v>
      </c>
    </row>
    <row r="39" spans="2:14" x14ac:dyDescent="0.25">
      <c r="L39" s="212"/>
    </row>
    <row r="40" spans="2:14" x14ac:dyDescent="0.25">
      <c r="B40" s="743" t="s">
        <v>328</v>
      </c>
    </row>
    <row r="41" spans="2:14" ht="13" x14ac:dyDescent="0.3">
      <c r="C41" s="770" t="s">
        <v>99</v>
      </c>
      <c r="D41" s="770"/>
      <c r="E41" s="770" t="s">
        <v>100</v>
      </c>
      <c r="F41" s="770"/>
      <c r="G41" s="770" t="s">
        <v>101</v>
      </c>
      <c r="H41" s="770"/>
      <c r="I41" s="770" t="s">
        <v>102</v>
      </c>
      <c r="J41" s="770"/>
      <c r="K41" s="770" t="s">
        <v>103</v>
      </c>
      <c r="L41" s="770"/>
      <c r="M41" s="770" t="s">
        <v>2</v>
      </c>
      <c r="N41" s="770"/>
    </row>
    <row r="42" spans="2:14" ht="13" x14ac:dyDescent="0.3">
      <c r="C42" s="210" t="s">
        <v>149</v>
      </c>
      <c r="D42" s="210" t="s">
        <v>150</v>
      </c>
      <c r="E42" s="210" t="s">
        <v>149</v>
      </c>
      <c r="F42" s="210" t="s">
        <v>150</v>
      </c>
      <c r="G42" s="210" t="s">
        <v>149</v>
      </c>
      <c r="H42" s="210" t="s">
        <v>150</v>
      </c>
      <c r="I42" s="210" t="s">
        <v>149</v>
      </c>
      <c r="J42" s="210" t="s">
        <v>150</v>
      </c>
      <c r="K42" s="210" t="s">
        <v>149</v>
      </c>
      <c r="L42" s="210" t="s">
        <v>150</v>
      </c>
      <c r="M42" s="210" t="s">
        <v>149</v>
      </c>
      <c r="N42" s="210" t="s">
        <v>150</v>
      </c>
    </row>
    <row r="43" spans="2:14" ht="13" x14ac:dyDescent="0.3">
      <c r="B43" s="210" t="s">
        <v>151</v>
      </c>
      <c r="C43" s="245">
        <v>0</v>
      </c>
      <c r="D43" s="245">
        <v>0</v>
      </c>
      <c r="E43" s="245">
        <v>0</v>
      </c>
      <c r="F43" s="245">
        <v>0</v>
      </c>
      <c r="G43" s="245">
        <v>0</v>
      </c>
      <c r="H43" s="245">
        <v>0</v>
      </c>
      <c r="I43" s="245">
        <v>0</v>
      </c>
      <c r="J43" s="245">
        <v>0</v>
      </c>
      <c r="K43" s="244">
        <v>0</v>
      </c>
      <c r="L43" s="245">
        <v>0</v>
      </c>
      <c r="M43" s="245">
        <f>C43+E43+G43+I43+K43</f>
        <v>0</v>
      </c>
      <c r="N43" s="245">
        <f>D43+F43+H43+J43+L43</f>
        <v>0</v>
      </c>
    </row>
    <row r="44" spans="2:14" ht="13" x14ac:dyDescent="0.3">
      <c r="B44" s="210" t="s">
        <v>152</v>
      </c>
      <c r="C44" s="245">
        <v>0</v>
      </c>
      <c r="D44" s="245">
        <v>0</v>
      </c>
      <c r="E44" s="245">
        <v>0</v>
      </c>
      <c r="F44" s="245">
        <v>0</v>
      </c>
      <c r="G44" s="245">
        <v>0</v>
      </c>
      <c r="H44" s="245">
        <v>0</v>
      </c>
      <c r="I44" s="245">
        <v>0</v>
      </c>
      <c r="J44" s="245">
        <v>0</v>
      </c>
      <c r="K44" s="244">
        <v>0</v>
      </c>
      <c r="L44" s="245">
        <v>0</v>
      </c>
      <c r="M44" s="245">
        <f>C44+E44+G44+I44+K44</f>
        <v>0</v>
      </c>
      <c r="N44" s="245">
        <f>D44+F44+H44+J44+L44</f>
        <v>0</v>
      </c>
    </row>
    <row r="45" spans="2:14" ht="13" x14ac:dyDescent="0.3">
      <c r="B45" s="211" t="s">
        <v>2</v>
      </c>
      <c r="C45" s="249">
        <f>SUM(C43:C44)</f>
        <v>0</v>
      </c>
      <c r="D45" s="249">
        <f t="shared" ref="D45:J45" si="12">SUM(D43:D44)</f>
        <v>0</v>
      </c>
      <c r="E45" s="249">
        <f t="shared" si="12"/>
        <v>0</v>
      </c>
      <c r="F45" s="249">
        <f t="shared" si="12"/>
        <v>0</v>
      </c>
      <c r="G45" s="249">
        <f t="shared" si="12"/>
        <v>0</v>
      </c>
      <c r="H45" s="249">
        <f t="shared" si="12"/>
        <v>0</v>
      </c>
      <c r="I45" s="249">
        <f t="shared" si="12"/>
        <v>0</v>
      </c>
      <c r="J45" s="249">
        <f t="shared" si="12"/>
        <v>0</v>
      </c>
      <c r="K45" s="249">
        <f>SUM(K43:K44)</f>
        <v>0</v>
      </c>
      <c r="L45" s="249">
        <f>SUM(L43:L44)</f>
        <v>0</v>
      </c>
      <c r="M45" s="249">
        <f>SUM(M43:M44)</f>
        <v>0</v>
      </c>
      <c r="N45" s="249">
        <f t="shared" ref="N45" si="13">SUM(N43:N44)</f>
        <v>0</v>
      </c>
    </row>
  </sheetData>
  <mergeCells count="36">
    <mergeCell ref="M33:N33"/>
    <mergeCell ref="C33:D33"/>
    <mergeCell ref="E33:F33"/>
    <mergeCell ref="G33:H33"/>
    <mergeCell ref="I33:J33"/>
    <mergeCell ref="K33:L33"/>
    <mergeCell ref="M9:N9"/>
    <mergeCell ref="C9:D9"/>
    <mergeCell ref="E9:F9"/>
    <mergeCell ref="G9:H9"/>
    <mergeCell ref="I9:J9"/>
    <mergeCell ref="K9:L9"/>
    <mergeCell ref="M25:N25"/>
    <mergeCell ref="C17:D17"/>
    <mergeCell ref="E17:F17"/>
    <mergeCell ref="G17:H17"/>
    <mergeCell ref="I17:J17"/>
    <mergeCell ref="K17:L17"/>
    <mergeCell ref="M17:N17"/>
    <mergeCell ref="C25:D25"/>
    <mergeCell ref="E25:F25"/>
    <mergeCell ref="G25:H25"/>
    <mergeCell ref="I25:J25"/>
    <mergeCell ref="K25:L25"/>
    <mergeCell ref="M1:N1"/>
    <mergeCell ref="C1:D1"/>
    <mergeCell ref="E1:F1"/>
    <mergeCell ref="G1:H1"/>
    <mergeCell ref="I1:J1"/>
    <mergeCell ref="K1:L1"/>
    <mergeCell ref="M41:N41"/>
    <mergeCell ref="C41:D41"/>
    <mergeCell ref="E41:F41"/>
    <mergeCell ref="G41:H41"/>
    <mergeCell ref="I41:J41"/>
    <mergeCell ref="K41:L41"/>
  </mergeCells>
  <pageMargins left="0.7" right="0.7" top="0.75" bottom="0.75" header="0.3" footer="0.3"/>
  <ignoredErrors>
    <ignoredError sqref="L6" formula="1"/>
  </ignoredError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FFC000"/>
  </sheetPr>
  <dimension ref="B1:T27"/>
  <sheetViews>
    <sheetView workbookViewId="0">
      <selection activeCell="C3" sqref="C3"/>
    </sheetView>
  </sheetViews>
  <sheetFormatPr baseColWidth="10" defaultRowHeight="12.5" x14ac:dyDescent="0.25"/>
  <cols>
    <col min="1" max="1" width="2.453125" customWidth="1"/>
    <col min="2" max="2" width="8" customWidth="1"/>
    <col min="3" max="3" width="15.81640625" bestFit="1" customWidth="1"/>
    <col min="4" max="4" width="1.81640625" style="238" customWidth="1"/>
    <col min="5" max="5" width="14.81640625" customWidth="1"/>
    <col min="6" max="6" width="15.81640625" bestFit="1" customWidth="1"/>
    <col min="7" max="7" width="1.81640625" style="238" customWidth="1"/>
    <col min="8" max="8" width="9.1796875" customWidth="1"/>
    <col min="9" max="9" width="15.81640625" bestFit="1" customWidth="1"/>
    <col min="10" max="10" width="1.81640625" style="238" customWidth="1"/>
    <col min="11" max="11" width="14.1796875" customWidth="1"/>
    <col min="12" max="12" width="17.453125" customWidth="1"/>
    <col min="13" max="13" width="1.81640625" style="238" customWidth="1"/>
    <col min="14" max="14" width="14.1796875" customWidth="1"/>
    <col min="15" max="15" width="17.453125" customWidth="1"/>
    <col min="16" max="16" width="1.81640625" style="238" customWidth="1"/>
    <col min="17" max="17" width="20.1796875" customWidth="1"/>
    <col min="18" max="18" width="15.81640625" bestFit="1" customWidth="1"/>
    <col min="19" max="19" width="3.54296875" customWidth="1"/>
    <col min="20" max="20" width="48.453125" bestFit="1" customWidth="1"/>
  </cols>
  <sheetData>
    <row r="1" spans="2:20" ht="13" thickBot="1" x14ac:dyDescent="0.3">
      <c r="B1" s="142" t="s">
        <v>2</v>
      </c>
      <c r="E1" t="s">
        <v>165</v>
      </c>
      <c r="H1" t="s">
        <v>155</v>
      </c>
      <c r="K1" s="724" t="s">
        <v>328</v>
      </c>
      <c r="L1" s="724"/>
      <c r="N1" t="s">
        <v>119</v>
      </c>
      <c r="Q1" t="s">
        <v>166</v>
      </c>
    </row>
    <row r="2" spans="2:20" ht="35" thickBot="1" x14ac:dyDescent="0.3">
      <c r="B2" s="11" t="s">
        <v>3</v>
      </c>
      <c r="C2" s="12" t="s">
        <v>114</v>
      </c>
      <c r="E2" s="11" t="s">
        <v>3</v>
      </c>
      <c r="F2" s="12" t="s">
        <v>114</v>
      </c>
      <c r="H2" s="11" t="s">
        <v>3</v>
      </c>
      <c r="I2" s="12" t="s">
        <v>114</v>
      </c>
      <c r="K2" s="11" t="s">
        <v>3</v>
      </c>
      <c r="L2" s="12" t="s">
        <v>114</v>
      </c>
      <c r="N2" s="11" t="s">
        <v>3</v>
      </c>
      <c r="O2" s="12" t="s">
        <v>114</v>
      </c>
      <c r="Q2" s="11" t="s">
        <v>3</v>
      </c>
      <c r="R2" s="12" t="s">
        <v>114</v>
      </c>
      <c r="T2" t="s">
        <v>94</v>
      </c>
    </row>
    <row r="3" spans="2:20" x14ac:dyDescent="0.25">
      <c r="B3" s="14">
        <v>1</v>
      </c>
      <c r="C3" s="15">
        <f>'REPORTE RECAUDO x BANCO'!I14</f>
        <v>100931031.88</v>
      </c>
      <c r="E3" s="14">
        <v>1</v>
      </c>
      <c r="F3" s="15">
        <f>'REPORTE RECAUDO x BANCO'!F14</f>
        <v>0</v>
      </c>
      <c r="H3" s="14">
        <v>1</v>
      </c>
      <c r="I3" s="15">
        <f>'REPORTE RECAUDO x BANCO'!C14</f>
        <v>83572548.25</v>
      </c>
      <c r="K3" s="14">
        <v>1</v>
      </c>
      <c r="L3" s="15">
        <f>'REPORTE RECAUDO x BANCO'!G14</f>
        <v>0</v>
      </c>
      <c r="N3" s="14">
        <v>1</v>
      </c>
      <c r="O3" s="15">
        <f>'REPORTE RECAUDO x BANCO'!H14</f>
        <v>17358483.629999999</v>
      </c>
      <c r="Q3" s="14">
        <v>1</v>
      </c>
      <c r="R3" s="15">
        <f>'REPORTE RECAUDO x BANCO'!D14+'REPORTE RECAUDO x BANCO'!E14</f>
        <v>0</v>
      </c>
      <c r="T3" t="s">
        <v>95</v>
      </c>
    </row>
    <row r="4" spans="2:20" x14ac:dyDescent="0.25">
      <c r="B4" s="16">
        <v>2</v>
      </c>
      <c r="C4" s="15">
        <f>'REPORTE RECAUDO x BANCO'!I24</f>
        <v>136534753</v>
      </c>
      <c r="E4" s="16">
        <v>2</v>
      </c>
      <c r="F4" s="15">
        <f>'REPORTE RECAUDO x BANCO'!F24</f>
        <v>12820520</v>
      </c>
      <c r="H4" s="16">
        <v>2</v>
      </c>
      <c r="I4" s="15">
        <f>'REPORTE RECAUDO x BANCO'!C24</f>
        <v>44281124</v>
      </c>
      <c r="K4" s="16">
        <v>2</v>
      </c>
      <c r="L4" s="15">
        <f>'REPORTE RECAUDO x BANCO'!G24</f>
        <v>0</v>
      </c>
      <c r="N4" s="16">
        <v>2</v>
      </c>
      <c r="O4" s="15">
        <f>'REPORTE RECAUDO x BANCO'!H24</f>
        <v>79433109</v>
      </c>
      <c r="Q4" s="16">
        <v>2</v>
      </c>
      <c r="R4" s="15">
        <f>'REPORTE RECAUDO x BANCO'!D24+'REPORTE RECAUDO x BANCO'!E24</f>
        <v>0</v>
      </c>
    </row>
    <row r="5" spans="2:20" x14ac:dyDescent="0.25">
      <c r="B5" s="16">
        <v>3</v>
      </c>
      <c r="C5" s="15">
        <f>'REPORTE RECAUDO x BANCO'!I33</f>
        <v>58884032.920000002</v>
      </c>
      <c r="E5" s="16">
        <v>3</v>
      </c>
      <c r="F5" s="15">
        <f>'REPORTE RECAUDO x BANCO'!F33</f>
        <v>0</v>
      </c>
      <c r="H5" s="16">
        <v>3</v>
      </c>
      <c r="I5" s="15">
        <f>'REPORTE RECAUDO x BANCO'!C33</f>
        <v>44039530</v>
      </c>
      <c r="K5" s="16">
        <v>3</v>
      </c>
      <c r="L5" s="15">
        <f>'REPORTE RECAUDO x BANCO'!G33</f>
        <v>0</v>
      </c>
      <c r="N5" s="16">
        <v>3</v>
      </c>
      <c r="O5" s="15">
        <f>'REPORTE RECAUDO x BANCO'!H33</f>
        <v>14844502.92</v>
      </c>
      <c r="Q5" s="16">
        <v>3</v>
      </c>
      <c r="R5" s="15">
        <f>'REPORTE RECAUDO x BANCO'!D33+'REPORTE RECAUDO x BANCO'!E33</f>
        <v>0</v>
      </c>
    </row>
    <row r="6" spans="2:20" x14ac:dyDescent="0.25">
      <c r="B6" s="16">
        <v>4</v>
      </c>
      <c r="C6" s="15">
        <f>'REPORTE RECAUDO x BANCO'!I42</f>
        <v>73726637.340000004</v>
      </c>
      <c r="E6" s="16">
        <v>4</v>
      </c>
      <c r="F6" s="15">
        <f>'REPORTE RECAUDO x BANCO'!F42</f>
        <v>10268790</v>
      </c>
      <c r="H6" s="16">
        <v>4</v>
      </c>
      <c r="I6" s="15">
        <f>'REPORTE RECAUDO x BANCO'!C42</f>
        <v>48826052</v>
      </c>
      <c r="K6" s="16">
        <v>4</v>
      </c>
      <c r="L6" s="15">
        <f>'REPORTE RECAUDO x BANCO'!G42</f>
        <v>0</v>
      </c>
      <c r="N6" s="16">
        <v>4</v>
      </c>
      <c r="O6" s="15">
        <f>'REPORTE RECAUDO x BANCO'!H42</f>
        <v>14631795.34</v>
      </c>
      <c r="Q6" s="16">
        <v>4</v>
      </c>
      <c r="R6" s="15">
        <f>'REPORTE RECAUDO x BANCO'!D42+'REPORTE RECAUDO x BANCO'!E42</f>
        <v>0</v>
      </c>
    </row>
    <row r="7" spans="2:20" ht="13" thickBot="1" x14ac:dyDescent="0.3">
      <c r="B7" s="19">
        <v>5</v>
      </c>
      <c r="C7" s="15">
        <f>'REPORTE RECAUDO x BANCO'!I52</f>
        <v>28383865.960000001</v>
      </c>
      <c r="E7" s="19">
        <v>5</v>
      </c>
      <c r="F7" s="15">
        <f>'REPORTE RECAUDO x BANCO'!F52</f>
        <v>0</v>
      </c>
      <c r="H7" s="19">
        <v>5</v>
      </c>
      <c r="I7" s="15">
        <f>'REPORTE RECAUDO x BANCO'!C52</f>
        <v>15997915</v>
      </c>
      <c r="K7" s="19">
        <v>5</v>
      </c>
      <c r="L7" s="15">
        <f>'REPORTE RECAUDO x BANCO'!G52</f>
        <v>1781103</v>
      </c>
      <c r="N7" s="19">
        <v>5</v>
      </c>
      <c r="O7" s="15">
        <f>'REPORTE RECAUDO x BANCO'!H52</f>
        <v>10604847.960000001</v>
      </c>
      <c r="Q7" s="19">
        <v>5</v>
      </c>
      <c r="R7" s="15">
        <f>'REPORTE RECAUDO x BANCO'!D52+'REPORTE RECAUDO x BANCO'!E52</f>
        <v>0</v>
      </c>
    </row>
    <row r="8" spans="2:20" ht="13" thickBot="1" x14ac:dyDescent="0.3">
      <c r="B8" s="21"/>
      <c r="C8" s="47">
        <f>SUM(C3:C7)</f>
        <v>398460321.09999996</v>
      </c>
      <c r="E8" s="21"/>
      <c r="F8" s="47">
        <f>SUM(F3:F7)</f>
        <v>23089310</v>
      </c>
      <c r="H8" s="21"/>
      <c r="I8" s="47">
        <f>SUM(I3:I7)</f>
        <v>236717169.25</v>
      </c>
      <c r="K8" s="21"/>
      <c r="L8" s="47">
        <f>SUM(L3:L7)</f>
        <v>1781103</v>
      </c>
      <c r="N8" s="21"/>
      <c r="O8" s="47">
        <f>SUM(O3:O7)</f>
        <v>136872738.84999999</v>
      </c>
      <c r="Q8" s="21"/>
      <c r="R8" s="47">
        <f>SUM(R3:R7)</f>
        <v>0</v>
      </c>
    </row>
    <row r="9" spans="2:20" x14ac:dyDescent="0.25">
      <c r="C9" s="209" t="b">
        <f>C8='REPORTE RECAUDO x BANCO'!I3</f>
        <v>1</v>
      </c>
      <c r="F9" s="209" t="b">
        <f>F8='REPORTE RECAUDO x BANCO'!F3</f>
        <v>1</v>
      </c>
      <c r="I9" s="209" t="b">
        <f>I8='REPORTE RECAUDO x BANCO'!C3</f>
        <v>1</v>
      </c>
      <c r="L9" s="209" t="b">
        <f>L8='REPORTE RECAUDO x BANCO'!G3</f>
        <v>1</v>
      </c>
      <c r="O9" s="209" t="b">
        <f>O8='REPORTE RECAUDO x BANCO'!H3</f>
        <v>1</v>
      </c>
      <c r="R9" s="209" t="b">
        <f>R8='REPORTE RECAUDO x BANCO'!D3+'REPORTE RECAUDO x BANCO'!E3</f>
        <v>1</v>
      </c>
    </row>
    <row r="10" spans="2:20" ht="13" thickBot="1" x14ac:dyDescent="0.3"/>
    <row r="11" spans="2:20" ht="58" thickBot="1" x14ac:dyDescent="0.3">
      <c r="B11" s="11" t="s">
        <v>3</v>
      </c>
      <c r="C11" s="12" t="s">
        <v>145</v>
      </c>
      <c r="E11" s="11" t="s">
        <v>3</v>
      </c>
      <c r="F11" s="12" t="s">
        <v>145</v>
      </c>
      <c r="H11" s="11" t="s">
        <v>3</v>
      </c>
      <c r="I11" s="12" t="s">
        <v>145</v>
      </c>
      <c r="K11" s="11" t="s">
        <v>3</v>
      </c>
      <c r="L11" s="12" t="s">
        <v>145</v>
      </c>
      <c r="N11" s="11" t="s">
        <v>3</v>
      </c>
      <c r="O11" s="12" t="s">
        <v>145</v>
      </c>
      <c r="Q11" s="11" t="s">
        <v>3</v>
      </c>
      <c r="R11" s="12" t="s">
        <v>145</v>
      </c>
      <c r="T11" s="142" t="s">
        <v>146</v>
      </c>
    </row>
    <row r="12" spans="2:20" x14ac:dyDescent="0.25">
      <c r="B12" s="14">
        <v>1</v>
      </c>
      <c r="C12" s="15">
        <f>'ANT EXT-REV'!C4</f>
        <v>82340</v>
      </c>
      <c r="E12" s="14">
        <v>1</v>
      </c>
      <c r="F12" s="15">
        <f>'ANT EXT-REV'!C20</f>
        <v>0</v>
      </c>
      <c r="H12" s="14">
        <v>1</v>
      </c>
      <c r="I12" s="15">
        <f>'ANT EXT-REV'!C36</f>
        <v>0</v>
      </c>
      <c r="K12" s="14">
        <v>1</v>
      </c>
      <c r="L12" s="15">
        <f>'ANT EXT-REV'!C44</f>
        <v>0</v>
      </c>
      <c r="N12" s="14">
        <v>1</v>
      </c>
      <c r="O12" s="15">
        <f>'ANT EXT-REV'!C12</f>
        <v>82340</v>
      </c>
      <c r="Q12" s="14">
        <v>1</v>
      </c>
      <c r="R12" s="15">
        <f>'ANT EXT-REV'!C28</f>
        <v>0</v>
      </c>
      <c r="T12" s="142" t="s">
        <v>147</v>
      </c>
    </row>
    <row r="13" spans="2:20" x14ac:dyDescent="0.25">
      <c r="B13" s="16">
        <v>2</v>
      </c>
      <c r="C13" s="15">
        <f>'ANT EXT-REV'!E4</f>
        <v>5228610</v>
      </c>
      <c r="E13" s="16">
        <v>2</v>
      </c>
      <c r="F13" s="15">
        <f>'ANT EXT-REV'!E20</f>
        <v>0</v>
      </c>
      <c r="H13" s="16">
        <v>2</v>
      </c>
      <c r="I13" s="15">
        <f>'ANT EXT-REV'!E36</f>
        <v>5227240</v>
      </c>
      <c r="K13" s="16">
        <v>2</v>
      </c>
      <c r="L13" s="15">
        <f>'ANT EXT-REV'!E44</f>
        <v>0</v>
      </c>
      <c r="N13" s="16">
        <v>2</v>
      </c>
      <c r="O13" s="15">
        <f>'ANT EXT-REV'!E12</f>
        <v>1370</v>
      </c>
      <c r="Q13" s="16">
        <v>2</v>
      </c>
      <c r="R13" s="15">
        <f>'ANT EXT-REV'!E28</f>
        <v>0</v>
      </c>
    </row>
    <row r="14" spans="2:20" x14ac:dyDescent="0.25">
      <c r="B14" s="16">
        <v>3</v>
      </c>
      <c r="C14" s="15">
        <f>'ANT EXT-REV'!G4</f>
        <v>0</v>
      </c>
      <c r="E14" s="16">
        <v>3</v>
      </c>
      <c r="F14" s="15">
        <f>'ANT EXT-REV'!G20</f>
        <v>0</v>
      </c>
      <c r="H14" s="16">
        <v>3</v>
      </c>
      <c r="I14" s="15">
        <f>'ANT EXT-REV'!G36</f>
        <v>0</v>
      </c>
      <c r="K14" s="16">
        <v>3</v>
      </c>
      <c r="L14" s="15">
        <f>'ANT EXT-REV'!G44</f>
        <v>0</v>
      </c>
      <c r="N14" s="16">
        <v>3</v>
      </c>
      <c r="O14" s="15">
        <f>'ANT EXT-REV'!G12</f>
        <v>0</v>
      </c>
      <c r="Q14" s="16">
        <v>3</v>
      </c>
      <c r="R14" s="15">
        <f>'ANT EXT-REV'!G28</f>
        <v>0</v>
      </c>
    </row>
    <row r="15" spans="2:20" x14ac:dyDescent="0.25">
      <c r="B15" s="16">
        <v>4</v>
      </c>
      <c r="C15" s="15">
        <f>'ANT EXT-REV'!I4</f>
        <v>14538094</v>
      </c>
      <c r="E15" s="16">
        <v>4</v>
      </c>
      <c r="F15" s="15">
        <f>'ANT EXT-REV'!I20</f>
        <v>694130</v>
      </c>
      <c r="H15" s="16">
        <v>4</v>
      </c>
      <c r="I15" s="15">
        <f>'ANT EXT-REV'!I36</f>
        <v>11634964</v>
      </c>
      <c r="K15" s="16">
        <v>4</v>
      </c>
      <c r="L15" s="15">
        <f>'ANT EXT-REV'!I44</f>
        <v>0</v>
      </c>
      <c r="N15" s="16">
        <v>4</v>
      </c>
      <c r="O15" s="15">
        <f>'ANT EXT-REV'!I12</f>
        <v>2209000</v>
      </c>
      <c r="Q15" s="16">
        <v>4</v>
      </c>
      <c r="R15" s="15">
        <f>'ANT EXT-REV'!I28</f>
        <v>0</v>
      </c>
    </row>
    <row r="16" spans="2:20" ht="13" thickBot="1" x14ac:dyDescent="0.3">
      <c r="B16" s="19">
        <v>5</v>
      </c>
      <c r="C16" s="15">
        <f>'ANT EXT-REV'!K4</f>
        <v>87550</v>
      </c>
      <c r="E16" s="19">
        <v>5</v>
      </c>
      <c r="F16" s="15">
        <f>'ANT EXT-REV'!K20</f>
        <v>0</v>
      </c>
      <c r="H16" s="19">
        <v>5</v>
      </c>
      <c r="I16" s="15">
        <f>'ANT EXT-REV'!K36</f>
        <v>0</v>
      </c>
      <c r="K16" s="19">
        <v>5</v>
      </c>
      <c r="L16" s="15">
        <f>'ANT EXT-REV'!K44</f>
        <v>0</v>
      </c>
      <c r="N16" s="19">
        <v>5</v>
      </c>
      <c r="O16" s="15">
        <f>'ANT EXT-REV'!K12</f>
        <v>87550</v>
      </c>
      <c r="Q16" s="19">
        <v>5</v>
      </c>
      <c r="R16" s="15">
        <f>'ANT EXT-REV'!K28</f>
        <v>0</v>
      </c>
    </row>
    <row r="17" spans="2:20" ht="13" thickBot="1" x14ac:dyDescent="0.3">
      <c r="B17" s="21"/>
      <c r="C17" s="47">
        <f>SUM(C12:C16)</f>
        <v>19936594</v>
      </c>
      <c r="E17" s="21"/>
      <c r="F17" s="47">
        <f>SUM(F12:F16)</f>
        <v>694130</v>
      </c>
      <c r="H17" s="21"/>
      <c r="I17" s="47">
        <f>SUM(I12:I16)</f>
        <v>16862204</v>
      </c>
      <c r="K17" s="21"/>
      <c r="L17" s="47">
        <f>SUM(L12:L16)</f>
        <v>0</v>
      </c>
      <c r="N17" s="21"/>
      <c r="O17" s="47">
        <f>SUM(O12:O16)</f>
        <v>2380260</v>
      </c>
      <c r="Q17" s="21"/>
      <c r="R17" s="47">
        <f>SUM(R12:R16)</f>
        <v>0</v>
      </c>
    </row>
    <row r="18" spans="2:20" x14ac:dyDescent="0.25">
      <c r="C18" s="209" t="b">
        <f>C17='ANT EXT-REV'!M4</f>
        <v>1</v>
      </c>
      <c r="F18" s="209" t="b">
        <f>F17='ANT EXT-REV'!M20</f>
        <v>1</v>
      </c>
      <c r="I18" s="209" t="b">
        <f>I17='ANT EXT-REV'!M36</f>
        <v>1</v>
      </c>
      <c r="L18" s="209" t="b">
        <f>L17='ANT EXT-REV'!M44</f>
        <v>1</v>
      </c>
      <c r="O18" s="209" t="b">
        <f>O17='ANT EXT-REV'!M12</f>
        <v>1</v>
      </c>
      <c r="R18" s="209" t="b">
        <f>R17='ANT EXT-REV'!M28</f>
        <v>1</v>
      </c>
    </row>
    <row r="19" spans="2:20" ht="13" thickBot="1" x14ac:dyDescent="0.3"/>
    <row r="20" spans="2:20" ht="35" thickBot="1" x14ac:dyDescent="0.3">
      <c r="B20" s="11" t="s">
        <v>3</v>
      </c>
      <c r="C20" s="12" t="s">
        <v>170</v>
      </c>
      <c r="E20" s="11" t="s">
        <v>3</v>
      </c>
      <c r="F20" s="12" t="s">
        <v>170</v>
      </c>
      <c r="H20" s="11" t="s">
        <v>3</v>
      </c>
      <c r="I20" s="12" t="s">
        <v>170</v>
      </c>
      <c r="K20" s="11" t="s">
        <v>3</v>
      </c>
      <c r="L20" s="12" t="s">
        <v>170</v>
      </c>
      <c r="N20" s="11" t="s">
        <v>3</v>
      </c>
      <c r="O20" s="12" t="s">
        <v>170</v>
      </c>
      <c r="Q20" s="11" t="s">
        <v>3</v>
      </c>
      <c r="R20" s="12" t="s">
        <v>170</v>
      </c>
      <c r="T20" s="142" t="s">
        <v>171</v>
      </c>
    </row>
    <row r="21" spans="2:20" x14ac:dyDescent="0.25">
      <c r="B21" s="14">
        <v>1</v>
      </c>
      <c r="C21" s="15">
        <f>'ANT EXT-REV'!D4</f>
        <v>-182537.90999999997</v>
      </c>
      <c r="E21" s="14">
        <v>1</v>
      </c>
      <c r="F21" s="15">
        <f>'ANT EXT-REV'!D20</f>
        <v>0</v>
      </c>
      <c r="H21" s="14">
        <v>1</v>
      </c>
      <c r="I21" s="15">
        <f>'ANT EXT-REV'!D36</f>
        <v>-16889.3</v>
      </c>
      <c r="K21" s="14">
        <v>1</v>
      </c>
      <c r="L21" s="15">
        <f>'ANT EXT-REV'!D44</f>
        <v>0</v>
      </c>
      <c r="N21" s="14">
        <v>1</v>
      </c>
      <c r="O21" s="15">
        <f>'ANT EXT-REV'!D12</f>
        <v>-165648.60999999999</v>
      </c>
      <c r="Q21" s="14">
        <v>1</v>
      </c>
      <c r="R21" s="15">
        <f>'ANT EXT-REV'!D28</f>
        <v>0</v>
      </c>
      <c r="T21" s="142" t="s">
        <v>147</v>
      </c>
    </row>
    <row r="22" spans="2:20" x14ac:dyDescent="0.25">
      <c r="B22" s="16">
        <v>2</v>
      </c>
      <c r="C22" s="15">
        <f>'ANT EXT-REV'!F4</f>
        <v>0</v>
      </c>
      <c r="E22" s="16">
        <v>2</v>
      </c>
      <c r="F22" s="15">
        <f>'ANT EXT-REV'!F20</f>
        <v>0</v>
      </c>
      <c r="H22" s="16">
        <v>2</v>
      </c>
      <c r="I22" s="15">
        <f>'ANT EXT-REV'!F36</f>
        <v>0</v>
      </c>
      <c r="K22" s="16">
        <v>2</v>
      </c>
      <c r="L22" s="15">
        <f>'ANT EXT-REV'!F44</f>
        <v>0</v>
      </c>
      <c r="N22" s="16">
        <v>2</v>
      </c>
      <c r="O22" s="15">
        <f>'ANT EXT-REV'!F12</f>
        <v>0</v>
      </c>
      <c r="Q22" s="16">
        <v>2</v>
      </c>
      <c r="R22" s="15">
        <f>'ANT EXT-REV'!F28</f>
        <v>0</v>
      </c>
    </row>
    <row r="23" spans="2:20" x14ac:dyDescent="0.25">
      <c r="B23" s="16">
        <v>3</v>
      </c>
      <c r="C23" s="15">
        <f>'ANT EXT-REV'!H4</f>
        <v>-2423600.2000000002</v>
      </c>
      <c r="E23" s="16">
        <v>3</v>
      </c>
      <c r="F23" s="15">
        <f>'ANT EXT-REV'!H20</f>
        <v>0</v>
      </c>
      <c r="H23" s="16">
        <v>3</v>
      </c>
      <c r="I23" s="15">
        <f>'ANT EXT-REV'!H36</f>
        <v>-79850</v>
      </c>
      <c r="K23" s="16">
        <v>3</v>
      </c>
      <c r="L23" s="15">
        <f>'ANT EXT-REV'!H44</f>
        <v>0</v>
      </c>
      <c r="N23" s="16">
        <v>3</v>
      </c>
      <c r="O23" s="15">
        <f>'ANT EXT-REV'!H12</f>
        <v>-2343750.2000000002</v>
      </c>
      <c r="Q23" s="16">
        <v>3</v>
      </c>
      <c r="R23" s="15">
        <f>'ANT EXT-REV'!H28</f>
        <v>0</v>
      </c>
    </row>
    <row r="24" spans="2:20" x14ac:dyDescent="0.25">
      <c r="B24" s="16">
        <v>4</v>
      </c>
      <c r="C24" s="15">
        <f>'ANT EXT-REV'!J4</f>
        <v>-14979759.77</v>
      </c>
      <c r="E24" s="16">
        <v>4</v>
      </c>
      <c r="F24" s="15">
        <f>'ANT EXT-REV'!J20</f>
        <v>0</v>
      </c>
      <c r="H24" s="16">
        <v>4</v>
      </c>
      <c r="I24" s="15">
        <f>'ANT EXT-REV'!J36</f>
        <v>-386384.11</v>
      </c>
      <c r="K24" s="16">
        <v>4</v>
      </c>
      <c r="L24" s="15">
        <f>'ANT EXT-REV'!J44</f>
        <v>0</v>
      </c>
      <c r="N24" s="16">
        <v>4</v>
      </c>
      <c r="O24" s="15">
        <f>'ANT EXT-REV'!J12</f>
        <v>-14593375.66</v>
      </c>
      <c r="Q24" s="16">
        <v>4</v>
      </c>
      <c r="R24" s="15">
        <f>'ANT EXT-REV'!J28</f>
        <v>0</v>
      </c>
    </row>
    <row r="25" spans="2:20" ht="13" thickBot="1" x14ac:dyDescent="0.3">
      <c r="B25" s="19">
        <v>5</v>
      </c>
      <c r="C25" s="15">
        <f>'ANT EXT-REV'!L4</f>
        <v>-215053.47</v>
      </c>
      <c r="E25" s="19">
        <v>5</v>
      </c>
      <c r="F25" s="15">
        <f>'ANT EXT-REV'!L20</f>
        <v>0</v>
      </c>
      <c r="H25" s="19">
        <v>5</v>
      </c>
      <c r="I25" s="15">
        <f>'ANT EXT-REV'!L36</f>
        <v>-49280</v>
      </c>
      <c r="K25" s="19">
        <v>5</v>
      </c>
      <c r="L25" s="15">
        <f>'ANT EXT-REV'!L44</f>
        <v>0</v>
      </c>
      <c r="N25" s="19">
        <v>5</v>
      </c>
      <c r="O25" s="15">
        <f>'ANT EXT-REV'!L12</f>
        <v>-165773.47</v>
      </c>
      <c r="Q25" s="19">
        <v>5</v>
      </c>
      <c r="R25" s="15">
        <f>'ANT EXT-REV'!L28</f>
        <v>0</v>
      </c>
    </row>
    <row r="26" spans="2:20" ht="13" thickBot="1" x14ac:dyDescent="0.3">
      <c r="B26" s="21"/>
      <c r="C26" s="47">
        <f t="shared" ref="C26" si="0">SUM(C21:C25)</f>
        <v>-17800951.349999998</v>
      </c>
      <c r="E26" s="21"/>
      <c r="F26" s="47">
        <f t="shared" ref="F26" si="1">SUM(F21:F25)</f>
        <v>0</v>
      </c>
      <c r="H26" s="21"/>
      <c r="I26" s="47">
        <f t="shared" ref="I26" si="2">SUM(I21:I25)</f>
        <v>-532403.40999999992</v>
      </c>
      <c r="K26" s="21"/>
      <c r="L26" s="47">
        <f t="shared" ref="L26:O26" si="3">SUM(L21:L25)</f>
        <v>0</v>
      </c>
      <c r="N26" s="21"/>
      <c r="O26" s="47">
        <f t="shared" si="3"/>
        <v>-17268547.939999998</v>
      </c>
      <c r="Q26" s="21"/>
      <c r="R26" s="47">
        <f t="shared" ref="R26" si="4">SUM(R21:R25)</f>
        <v>0</v>
      </c>
    </row>
    <row r="27" spans="2:20" x14ac:dyDescent="0.25">
      <c r="C27" s="209" t="b">
        <f>C26='ANT EXT-REV'!N4</f>
        <v>1</v>
      </c>
      <c r="F27" s="209" t="b">
        <f>F26='ANT EXT-REV'!N20</f>
        <v>1</v>
      </c>
      <c r="I27" s="209" t="b">
        <f>I26='ANT EXT-REV'!N36</f>
        <v>1</v>
      </c>
      <c r="L27" s="209" t="b">
        <f>L26='ANT EXT-REV'!N44</f>
        <v>1</v>
      </c>
      <c r="O27" s="209" t="b">
        <f>O26='ANT EXT-REV'!N12</f>
        <v>1</v>
      </c>
      <c r="R27" s="209" t="b">
        <f>R26='ANT EXT-REV'!N28</f>
        <v>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7030A0"/>
  </sheetPr>
  <dimension ref="A1:Q35"/>
  <sheetViews>
    <sheetView zoomScaleNormal="100" workbookViewId="0">
      <selection activeCell="F7" sqref="F7"/>
    </sheetView>
  </sheetViews>
  <sheetFormatPr baseColWidth="10" defaultRowHeight="12.5" x14ac:dyDescent="0.25"/>
  <cols>
    <col min="3" max="3" width="11.453125" style="123"/>
    <col min="4" max="4" width="19.1796875" customWidth="1"/>
    <col min="5" max="5" width="18.1796875" customWidth="1"/>
    <col min="6" max="7" width="18" customWidth="1"/>
    <col min="8" max="8" width="27.81640625" customWidth="1"/>
    <col min="9" max="9" width="33.54296875" customWidth="1"/>
    <col min="13" max="13" width="28.453125" customWidth="1"/>
    <col min="17" max="17" width="12.81640625" bestFit="1" customWidth="1"/>
  </cols>
  <sheetData>
    <row r="1" spans="1:17" ht="13" thickBot="1" x14ac:dyDescent="0.3">
      <c r="H1" s="503" t="s">
        <v>1</v>
      </c>
    </row>
    <row r="2" spans="1:17" ht="15" thickBot="1" x14ac:dyDescent="0.4">
      <c r="C2" s="127" t="s">
        <v>3</v>
      </c>
      <c r="D2" s="128" t="s">
        <v>110</v>
      </c>
      <c r="E2" s="128" t="s">
        <v>109</v>
      </c>
      <c r="F2" s="129" t="s">
        <v>111</v>
      </c>
      <c r="G2" s="498"/>
      <c r="H2" s="502" t="s">
        <v>197</v>
      </c>
      <c r="M2" s="730"/>
      <c r="Q2" s="597"/>
    </row>
    <row r="3" spans="1:17" x14ac:dyDescent="0.25">
      <c r="C3" s="126">
        <v>1</v>
      </c>
      <c r="D3" s="592">
        <v>-6041512320.7799997</v>
      </c>
      <c r="E3" s="592">
        <v>2452057655.23</v>
      </c>
      <c r="F3" s="593">
        <f>D3+E3</f>
        <v>-3589454665.5499997</v>
      </c>
      <c r="G3" s="499"/>
      <c r="H3" s="613">
        <f>DetRetri2026072!J9</f>
        <v>-3589454666</v>
      </c>
      <c r="I3" s="276">
        <f>F3-H3</f>
        <v>0.45000028610229492</v>
      </c>
    </row>
    <row r="4" spans="1:17" x14ac:dyDescent="0.25">
      <c r="C4" s="124">
        <v>2</v>
      </c>
      <c r="D4" s="603">
        <v>-5502672255.04</v>
      </c>
      <c r="E4" s="603">
        <v>2261478540.9299998</v>
      </c>
      <c r="F4" s="593">
        <f>D4+E4</f>
        <v>-3241193714.1100001</v>
      </c>
      <c r="G4" s="499"/>
      <c r="H4" s="614">
        <f>DetRetri2026072!J10</f>
        <v>-3241193714</v>
      </c>
      <c r="I4" s="276">
        <f t="shared" ref="I4:I7" si="0">F4-H4</f>
        <v>-0.1100001335144043</v>
      </c>
    </row>
    <row r="5" spans="1:17" x14ac:dyDescent="0.25">
      <c r="C5" s="124">
        <v>3</v>
      </c>
      <c r="D5" s="603">
        <v>-2115966220.24</v>
      </c>
      <c r="E5" s="603">
        <v>1262721655.73</v>
      </c>
      <c r="F5" s="594">
        <f>D5+E5</f>
        <v>-853244564.50999999</v>
      </c>
      <c r="G5" s="499"/>
      <c r="H5" s="614">
        <f>DetRetri2026072!J11</f>
        <v>-853244565</v>
      </c>
      <c r="I5" s="276">
        <f t="shared" si="0"/>
        <v>0.49000000953674316</v>
      </c>
    </row>
    <row r="6" spans="1:17" x14ac:dyDescent="0.25">
      <c r="C6" s="124">
        <v>4</v>
      </c>
      <c r="D6" s="90">
        <v>-2467805725.1100001</v>
      </c>
      <c r="E6" s="603">
        <v>1767923011.74</v>
      </c>
      <c r="F6" s="593">
        <f>D6+E6</f>
        <v>-699882713.37000012</v>
      </c>
      <c r="G6" s="499"/>
      <c r="H6" s="614">
        <f>DetRetri2026072!J12</f>
        <v>-699882713</v>
      </c>
      <c r="I6" s="276">
        <f t="shared" si="0"/>
        <v>-0.37000012397766113</v>
      </c>
    </row>
    <row r="7" spans="1:17" ht="13" thickBot="1" x14ac:dyDescent="0.3">
      <c r="C7" s="125">
        <v>5</v>
      </c>
      <c r="D7" s="604">
        <v>-1138650714.6700001</v>
      </c>
      <c r="E7" s="604">
        <v>1055691691.01</v>
      </c>
      <c r="F7" s="595">
        <f>D7+E7</f>
        <v>-82959023.660000086</v>
      </c>
      <c r="G7" s="499"/>
      <c r="H7" s="615">
        <f>DetRetri2026072!J13</f>
        <v>-82959024</v>
      </c>
      <c r="I7" s="276">
        <f t="shared" si="0"/>
        <v>0.33999991416931152</v>
      </c>
    </row>
    <row r="8" spans="1:17" ht="13" thickBot="1" x14ac:dyDescent="0.3">
      <c r="D8" s="144"/>
      <c r="E8" s="144"/>
      <c r="F8" s="144"/>
      <c r="G8" s="500"/>
      <c r="H8" s="143"/>
      <c r="I8" s="276"/>
    </row>
    <row r="9" spans="1:17" ht="13" thickBot="1" x14ac:dyDescent="0.3">
      <c r="D9" s="144"/>
      <c r="E9" s="144"/>
      <c r="F9" s="263">
        <f>SUM(F3:F7)</f>
        <v>-8466734681.1999998</v>
      </c>
      <c r="G9" s="499"/>
      <c r="H9" s="616">
        <f>SUM(H3:H7)</f>
        <v>-8466734682</v>
      </c>
      <c r="I9" s="276">
        <f>F9-H9</f>
        <v>0.80000019073486328</v>
      </c>
    </row>
    <row r="10" spans="1:17" ht="13" thickBot="1" x14ac:dyDescent="0.3">
      <c r="D10" s="144"/>
      <c r="E10" s="144"/>
      <c r="F10" s="144"/>
      <c r="G10" s="500"/>
      <c r="H10" s="265" t="b">
        <f>H9=DetRetri2026072!J14</f>
        <v>1</v>
      </c>
    </row>
    <row r="11" spans="1:17" ht="13.5" thickBot="1" x14ac:dyDescent="0.35">
      <c r="D11" s="264">
        <f>SUM(D3:D7)</f>
        <v>-17266607235.84</v>
      </c>
      <c r="E11" s="264">
        <f t="shared" ref="E11" si="1">SUM(E3:E7)</f>
        <v>8799872554.6399994</v>
      </c>
      <c r="F11" s="264">
        <f>SUM(D3:E7)</f>
        <v>-8466734681.2000008</v>
      </c>
      <c r="G11" s="501"/>
      <c r="H11" s="144"/>
    </row>
    <row r="12" spans="1:17" x14ac:dyDescent="0.25">
      <c r="D12" s="144"/>
      <c r="E12" s="144"/>
      <c r="F12" s="265" t="b">
        <f>ROUND(F11,2)=ROUND(F9,2)</f>
        <v>1</v>
      </c>
      <c r="H12" s="144"/>
    </row>
    <row r="13" spans="1:17" x14ac:dyDescent="0.25">
      <c r="D13" s="144"/>
      <c r="E13" s="144"/>
      <c r="F13" s="596">
        <f>ROUND(F11,2)-ROUND(F9,2)</f>
        <v>0</v>
      </c>
      <c r="G13" s="500"/>
      <c r="H13" s="144"/>
    </row>
    <row r="14" spans="1:17" x14ac:dyDescent="0.25">
      <c r="H14" s="143"/>
      <c r="I14" s="137"/>
    </row>
    <row r="15" spans="1:17" x14ac:dyDescent="0.25">
      <c r="H15" s="143"/>
      <c r="I15" s="137"/>
    </row>
    <row r="16" spans="1:17" x14ac:dyDescent="0.25">
      <c r="A16" s="238"/>
      <c r="B16" s="238"/>
      <c r="C16" s="495"/>
      <c r="D16" s="238"/>
      <c r="E16" s="238"/>
      <c r="F16" s="238"/>
      <c r="G16" s="238"/>
      <c r="H16" s="496"/>
      <c r="I16" s="497"/>
      <c r="J16" s="238"/>
    </row>
    <row r="17" spans="4:9" ht="13" thickBot="1" x14ac:dyDescent="0.3">
      <c r="D17" s="266"/>
      <c r="E17" s="266"/>
      <c r="F17" s="266"/>
      <c r="G17" s="266"/>
      <c r="H17" s="143"/>
      <c r="I17" s="137"/>
    </row>
    <row r="18" spans="4:9" ht="15" thickBot="1" x14ac:dyDescent="0.4">
      <c r="D18" s="127" t="s">
        <v>3</v>
      </c>
      <c r="E18" s="504" t="s">
        <v>196</v>
      </c>
      <c r="F18" s="508" t="s">
        <v>200</v>
      </c>
      <c r="G18" s="129" t="s">
        <v>199</v>
      </c>
      <c r="H18" s="509" t="s">
        <v>198</v>
      </c>
      <c r="I18" s="137"/>
    </row>
    <row r="19" spans="4:9" x14ac:dyDescent="0.25">
      <c r="D19" s="510">
        <v>1</v>
      </c>
      <c r="E19" s="513">
        <f>'CONSOLIDADO_TOTAL RECAUDO'!J104</f>
        <v>-3589454665.5499997</v>
      </c>
      <c r="F19" s="514" t="b">
        <f>E19=F3</f>
        <v>1</v>
      </c>
      <c r="G19" s="514" t="b">
        <f>E19=H3</f>
        <v>0</v>
      </c>
      <c r="H19" s="515">
        <f>E19-H3</f>
        <v>0.45000028610229492</v>
      </c>
      <c r="I19" s="137"/>
    </row>
    <row r="20" spans="4:9" x14ac:dyDescent="0.25">
      <c r="D20" s="511">
        <v>2</v>
      </c>
      <c r="E20" s="516">
        <f>'CONSOLIDADO_TOTAL RECAUDO'!J105</f>
        <v>-3241193714.1100001</v>
      </c>
      <c r="F20" s="505" t="b">
        <f t="shared" ref="F20:F23" si="2">E20=F4</f>
        <v>1</v>
      </c>
      <c r="G20" s="505" t="b">
        <f t="shared" ref="G20:G23" si="3">E20=H4</f>
        <v>0</v>
      </c>
      <c r="H20" s="261">
        <f t="shared" ref="H20:H23" si="4">E20-H4</f>
        <v>-0.1100001335144043</v>
      </c>
      <c r="I20" s="137"/>
    </row>
    <row r="21" spans="4:9" x14ac:dyDescent="0.25">
      <c r="D21" s="511">
        <v>3</v>
      </c>
      <c r="E21" s="516">
        <f>'CONSOLIDADO_TOTAL RECAUDO'!J106</f>
        <v>-853244564.50999999</v>
      </c>
      <c r="F21" s="505" t="b">
        <f t="shared" si="2"/>
        <v>1</v>
      </c>
      <c r="G21" s="505" t="b">
        <f t="shared" si="3"/>
        <v>0</v>
      </c>
      <c r="H21" s="261">
        <f t="shared" si="4"/>
        <v>0.49000000953674316</v>
      </c>
    </row>
    <row r="22" spans="4:9" x14ac:dyDescent="0.25">
      <c r="D22" s="511">
        <v>4</v>
      </c>
      <c r="E22" s="516">
        <f>'CONSOLIDADO_TOTAL RECAUDO'!J107</f>
        <v>-699882713.37000012</v>
      </c>
      <c r="F22" s="505" t="b">
        <f t="shared" si="2"/>
        <v>1</v>
      </c>
      <c r="G22" s="505" t="b">
        <f t="shared" si="3"/>
        <v>0</v>
      </c>
      <c r="H22" s="261">
        <f t="shared" si="4"/>
        <v>-0.37000012397766113</v>
      </c>
    </row>
    <row r="23" spans="4:9" ht="13" thickBot="1" x14ac:dyDescent="0.3">
      <c r="D23" s="512">
        <v>5</v>
      </c>
      <c r="E23" s="517">
        <f>'CONSOLIDADO_TOTAL RECAUDO'!J108</f>
        <v>-82959023.660000086</v>
      </c>
      <c r="F23" s="518" t="b">
        <f t="shared" si="2"/>
        <v>1</v>
      </c>
      <c r="G23" s="518" t="b">
        <f t="shared" si="3"/>
        <v>0</v>
      </c>
      <c r="H23" s="262">
        <f t="shared" si="4"/>
        <v>0.33999991416931152</v>
      </c>
    </row>
    <row r="24" spans="4:9" ht="13.5" thickBot="1" x14ac:dyDescent="0.35">
      <c r="E24" s="264">
        <f>SUM(E19:E23)</f>
        <v>-8466734681.1999998</v>
      </c>
      <c r="F24" s="506" t="b">
        <f>E24=F9</f>
        <v>1</v>
      </c>
      <c r="G24" s="507" t="b">
        <f>E24=H9</f>
        <v>0</v>
      </c>
      <c r="H24" s="263">
        <f>E24-H9</f>
        <v>0.80000019073486328</v>
      </c>
    </row>
    <row r="26" spans="4:9" x14ac:dyDescent="0.25">
      <c r="F26" s="137"/>
    </row>
    <row r="28" spans="4:9" x14ac:dyDescent="0.25">
      <c r="F28" s="266"/>
    </row>
    <row r="29" spans="4:9" x14ac:dyDescent="0.25">
      <c r="F29" s="266"/>
    </row>
    <row r="30" spans="4:9" x14ac:dyDescent="0.25">
      <c r="F30" s="266"/>
    </row>
    <row r="31" spans="4:9" x14ac:dyDescent="0.25">
      <c r="F31" s="266"/>
    </row>
    <row r="32" spans="4:9" x14ac:dyDescent="0.25">
      <c r="F32" s="266"/>
    </row>
    <row r="33" spans="6:7" x14ac:dyDescent="0.25">
      <c r="F33" s="266"/>
    </row>
    <row r="34" spans="6:7" x14ac:dyDescent="0.25">
      <c r="F34" s="266"/>
      <c r="G34" s="137"/>
    </row>
    <row r="35" spans="6:7" x14ac:dyDescent="0.25">
      <c r="F35" s="266"/>
    </row>
  </sheetData>
  <conditionalFormatting sqref="F19:H24">
    <cfRule type="cellIs" dxfId="83" priority="1" operator="notEqual">
      <formula>TRUE</formula>
    </cfRule>
  </conditionalFormatting>
  <printOptions horizontalCentered="1" verticalCentered="1"/>
  <pageMargins left="0.70866141732283472" right="0.70866141732283472" top="0.74803149606299213" bottom="0.74803149606299213" header="0.31496062992125984" footer="0.31496062992125984"/>
  <pageSetup orientation="landscape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AP590"/>
  <sheetViews>
    <sheetView zoomScale="90" zoomScaleNormal="90" workbookViewId="0">
      <pane ySplit="5" topLeftCell="A6" activePane="bottomLeft" state="frozen"/>
      <selection activeCell="A3" sqref="A3"/>
      <selection pane="bottomLeft" activeCell="A6" sqref="A6"/>
    </sheetView>
  </sheetViews>
  <sheetFormatPr baseColWidth="10" defaultRowHeight="12.5" x14ac:dyDescent="0.25"/>
  <cols>
    <col min="1" max="1" width="13.81640625" customWidth="1"/>
    <col min="2" max="2" width="16.81640625" customWidth="1"/>
    <col min="3" max="3" width="15.81640625" bestFit="1" customWidth="1"/>
    <col min="4" max="4" width="16.81640625" bestFit="1" customWidth="1"/>
    <col min="5" max="5" width="17" bestFit="1" customWidth="1"/>
    <col min="6" max="6" width="17.453125" bestFit="1" customWidth="1"/>
    <col min="7" max="7" width="16.81640625" bestFit="1" customWidth="1"/>
    <col min="8" max="8" width="16.1796875" bestFit="1" customWidth="1"/>
    <col min="9" max="9" width="19.1796875" customWidth="1"/>
    <col min="10" max="10" width="17" customWidth="1"/>
    <col min="11" max="11" width="17.1796875" bestFit="1" customWidth="1"/>
    <col min="12" max="12" width="22.453125" bestFit="1" customWidth="1"/>
    <col min="13" max="13" width="16.81640625" bestFit="1" customWidth="1"/>
    <col min="14" max="14" width="20.453125" bestFit="1" customWidth="1"/>
    <col min="15" max="15" width="20.453125" customWidth="1"/>
    <col min="16" max="16" width="20.453125" bestFit="1" customWidth="1"/>
    <col min="17" max="17" width="25.1796875" customWidth="1"/>
    <col min="18" max="18" width="17.1796875" customWidth="1"/>
    <col min="19" max="19" width="24" customWidth="1"/>
    <col min="20" max="22" width="23.81640625" customWidth="1"/>
    <col min="23" max="24" width="20" bestFit="1" customWidth="1"/>
    <col min="25" max="25" width="18.81640625" customWidth="1"/>
    <col min="26" max="26" width="14.1796875" bestFit="1" customWidth="1"/>
  </cols>
  <sheetData>
    <row r="1" spans="1:26" x14ac:dyDescent="0.25">
      <c r="F1" s="639"/>
    </row>
    <row r="3" spans="1:26" s="238" customFormat="1" x14ac:dyDescent="0.25"/>
    <row r="4" spans="1:26" ht="13.5" customHeight="1" x14ac:dyDescent="0.3">
      <c r="B4" s="97" t="s">
        <v>74</v>
      </c>
    </row>
    <row r="5" spans="1:26" ht="12" customHeight="1" x14ac:dyDescent="0.25">
      <c r="F5" s="89" t="s">
        <v>70</v>
      </c>
      <c r="G5" s="89" t="s">
        <v>64</v>
      </c>
      <c r="H5" s="89" t="s">
        <v>65</v>
      </c>
      <c r="I5" s="218" t="s">
        <v>164</v>
      </c>
      <c r="J5" s="89" t="s">
        <v>69</v>
      </c>
      <c r="K5" s="89" t="s">
        <v>68</v>
      </c>
      <c r="L5" s="89" t="s">
        <v>71</v>
      </c>
      <c r="M5" s="89" t="s">
        <v>66</v>
      </c>
      <c r="N5" s="89" t="s">
        <v>63</v>
      </c>
      <c r="O5" s="89" t="s">
        <v>61</v>
      </c>
      <c r="P5" s="89" t="s">
        <v>62</v>
      </c>
      <c r="Q5" s="89" t="s">
        <v>67</v>
      </c>
      <c r="R5" s="89" t="s">
        <v>77</v>
      </c>
      <c r="S5" s="89" t="s">
        <v>80</v>
      </c>
      <c r="T5" s="89" t="s">
        <v>135</v>
      </c>
      <c r="U5" s="89" t="s">
        <v>224</v>
      </c>
      <c r="V5" s="89" t="s">
        <v>224</v>
      </c>
      <c r="W5" s="89" t="s">
        <v>173</v>
      </c>
      <c r="X5" t="s">
        <v>167</v>
      </c>
      <c r="Y5" s="89" t="s">
        <v>135</v>
      </c>
      <c r="Z5" s="89" t="s">
        <v>167</v>
      </c>
    </row>
    <row r="6" spans="1:26" ht="12.75" customHeight="1" x14ac:dyDescent="0.25">
      <c r="E6" s="89" t="s">
        <v>72</v>
      </c>
      <c r="F6" s="371">
        <v>-7108.82</v>
      </c>
      <c r="G6" s="90">
        <v>-502.98</v>
      </c>
      <c r="H6" s="90">
        <v>-213.69</v>
      </c>
      <c r="I6" s="90">
        <v>-93.3</v>
      </c>
      <c r="J6" s="90">
        <v>-1231.48</v>
      </c>
      <c r="K6" s="90">
        <v>-79.569999999999993</v>
      </c>
      <c r="L6" s="90">
        <v>0</v>
      </c>
      <c r="M6" s="90">
        <v>-698.02</v>
      </c>
      <c r="N6" s="90">
        <v>-584.16999999999996</v>
      </c>
      <c r="O6" s="90">
        <v>-2331.79</v>
      </c>
      <c r="P6" s="90">
        <v>-1243.99</v>
      </c>
      <c r="Q6" s="90">
        <v>-129.83000000000001</v>
      </c>
      <c r="R6" s="90">
        <v>0</v>
      </c>
      <c r="S6" s="90">
        <v>0</v>
      </c>
      <c r="T6" s="90">
        <v>0</v>
      </c>
      <c r="U6" s="90">
        <v>0</v>
      </c>
      <c r="V6" s="90">
        <v>0</v>
      </c>
      <c r="W6" s="90">
        <v>0</v>
      </c>
      <c r="X6" s="90">
        <v>0</v>
      </c>
      <c r="Y6" s="90">
        <v>0</v>
      </c>
      <c r="Z6" s="90">
        <v>0</v>
      </c>
    </row>
    <row r="7" spans="1:26" ht="12.75" customHeight="1" x14ac:dyDescent="0.25">
      <c r="D7" t="s">
        <v>156</v>
      </c>
      <c r="E7" s="89" t="s">
        <v>70</v>
      </c>
      <c r="F7" s="371">
        <v>-7108.82</v>
      </c>
      <c r="G7" s="90">
        <v>-502.98</v>
      </c>
      <c r="H7" s="90">
        <v>-213.69</v>
      </c>
      <c r="I7" s="90">
        <v>-93.3</v>
      </c>
      <c r="J7" s="90">
        <v>-1231.48</v>
      </c>
      <c r="K7" s="90">
        <v>-79.569999999999993</v>
      </c>
      <c r="L7" s="90">
        <v>0</v>
      </c>
      <c r="M7" s="90">
        <v>-698.02</v>
      </c>
      <c r="N7" s="90">
        <v>-584.16999999999996</v>
      </c>
      <c r="O7" s="90">
        <v>-2331.79</v>
      </c>
      <c r="P7" s="90">
        <v>-1243.99</v>
      </c>
      <c r="Q7" s="90">
        <v>-129.83000000000001</v>
      </c>
      <c r="R7" s="90">
        <v>0</v>
      </c>
      <c r="S7" s="90">
        <v>0</v>
      </c>
      <c r="T7" s="90">
        <v>0</v>
      </c>
      <c r="U7" s="90">
        <v>0</v>
      </c>
      <c r="V7" s="90">
        <v>0</v>
      </c>
      <c r="W7" s="90">
        <v>0</v>
      </c>
      <c r="X7" s="90">
        <v>0</v>
      </c>
      <c r="Y7" s="90">
        <v>0</v>
      </c>
      <c r="Z7" s="90">
        <v>0</v>
      </c>
    </row>
    <row r="8" spans="1:26" s="286" customFormat="1" ht="12.75" customHeight="1" x14ac:dyDescent="0.25">
      <c r="C8" s="286" t="s">
        <v>155</v>
      </c>
      <c r="D8" s="286" t="s">
        <v>70</v>
      </c>
      <c r="E8" s="229"/>
      <c r="F8" s="229">
        <v>-7108.82</v>
      </c>
      <c r="G8" s="230">
        <v>-502.98</v>
      </c>
      <c r="H8" s="230">
        <v>-213.69</v>
      </c>
      <c r="I8" s="230">
        <v>-93.3</v>
      </c>
      <c r="J8" s="230">
        <v>-1231.48</v>
      </c>
      <c r="K8" s="230">
        <v>-79.569999999999993</v>
      </c>
      <c r="L8" s="230">
        <v>0</v>
      </c>
      <c r="M8" s="230">
        <v>-698.02</v>
      </c>
      <c r="N8" s="230">
        <v>-584.16999999999996</v>
      </c>
      <c r="O8" s="230">
        <v>-2331.79</v>
      </c>
      <c r="P8" s="230">
        <v>-1243.99</v>
      </c>
      <c r="Q8" s="230">
        <v>-129.83000000000001</v>
      </c>
      <c r="R8" s="230">
        <v>0</v>
      </c>
      <c r="S8" s="230">
        <v>0</v>
      </c>
      <c r="T8" s="230">
        <v>0</v>
      </c>
      <c r="U8" s="230">
        <v>0</v>
      </c>
      <c r="V8" s="230">
        <v>0</v>
      </c>
      <c r="W8" s="230">
        <v>0</v>
      </c>
      <c r="X8" s="230">
        <v>0</v>
      </c>
      <c r="Y8" s="230">
        <v>0</v>
      </c>
      <c r="Z8" s="230">
        <v>0</v>
      </c>
    </row>
    <row r="9" spans="1:26" ht="12.75" customHeight="1" x14ac:dyDescent="0.25">
      <c r="E9" s="89" t="s">
        <v>72</v>
      </c>
      <c r="F9" s="371">
        <v>-4108.55</v>
      </c>
      <c r="G9" s="90">
        <v>-263.39999999999998</v>
      </c>
      <c r="H9" s="90">
        <v>-111.9</v>
      </c>
      <c r="I9" s="90">
        <v>-48.87</v>
      </c>
      <c r="J9" s="90">
        <v>-738.89</v>
      </c>
      <c r="K9" s="90">
        <v>-47.75</v>
      </c>
      <c r="L9" s="90">
        <v>0</v>
      </c>
      <c r="M9" s="90">
        <v>-418.8</v>
      </c>
      <c r="N9" s="90">
        <v>-350.5</v>
      </c>
      <c r="O9" s="90">
        <v>-1399.09</v>
      </c>
      <c r="P9" s="90">
        <v>-651.44000000000005</v>
      </c>
      <c r="Q9" s="90">
        <v>-77.91</v>
      </c>
      <c r="R9" s="90">
        <v>0</v>
      </c>
      <c r="S9" s="90">
        <v>0</v>
      </c>
      <c r="T9" s="90">
        <v>0</v>
      </c>
      <c r="U9" s="90">
        <v>0</v>
      </c>
      <c r="V9" s="90">
        <v>0</v>
      </c>
      <c r="W9" s="90">
        <v>0</v>
      </c>
      <c r="X9" s="90">
        <v>0</v>
      </c>
      <c r="Y9" s="90">
        <v>0</v>
      </c>
      <c r="Z9" s="90">
        <v>0</v>
      </c>
    </row>
    <row r="10" spans="1:26" ht="12.75" customHeight="1" x14ac:dyDescent="0.25">
      <c r="D10" t="s">
        <v>86</v>
      </c>
      <c r="E10" s="89" t="s">
        <v>70</v>
      </c>
      <c r="F10" s="371">
        <v>-4108.55</v>
      </c>
      <c r="G10" s="90">
        <v>-263.39999999999998</v>
      </c>
      <c r="H10" s="90">
        <v>-111.9</v>
      </c>
      <c r="I10" s="90">
        <v>-48.87</v>
      </c>
      <c r="J10" s="90">
        <v>-738.89</v>
      </c>
      <c r="K10" s="90">
        <v>-47.75</v>
      </c>
      <c r="L10" s="90">
        <v>0</v>
      </c>
      <c r="M10" s="90">
        <v>-418.8</v>
      </c>
      <c r="N10" s="90">
        <v>-350.5</v>
      </c>
      <c r="O10" s="90">
        <v>-1399.09</v>
      </c>
      <c r="P10" s="90">
        <v>-651.44000000000005</v>
      </c>
      <c r="Q10" s="90">
        <v>-77.91</v>
      </c>
      <c r="R10" s="90">
        <v>0</v>
      </c>
      <c r="S10" s="90">
        <v>0</v>
      </c>
      <c r="T10" s="90">
        <v>0</v>
      </c>
      <c r="U10" s="90">
        <v>0</v>
      </c>
      <c r="V10" s="90">
        <v>0</v>
      </c>
      <c r="W10" s="90">
        <v>0</v>
      </c>
      <c r="X10" s="90">
        <v>0</v>
      </c>
      <c r="Y10" s="90">
        <v>0</v>
      </c>
      <c r="Z10" s="90">
        <v>0</v>
      </c>
    </row>
    <row r="11" spans="1:26" s="94" customFormat="1" ht="12.75" customHeight="1" x14ac:dyDescent="0.25">
      <c r="C11" s="101" t="s">
        <v>119</v>
      </c>
      <c r="D11" s="101" t="s">
        <v>70</v>
      </c>
      <c r="F11" s="93">
        <v>-4108.55</v>
      </c>
      <c r="G11" s="93">
        <v>-263.39999999999998</v>
      </c>
      <c r="H11" s="93">
        <v>-111.9</v>
      </c>
      <c r="I11" s="93">
        <v>-48.87</v>
      </c>
      <c r="J11" s="93">
        <v>-738.89</v>
      </c>
      <c r="K11" s="93">
        <v>-47.75</v>
      </c>
      <c r="L11" s="93">
        <v>0</v>
      </c>
      <c r="M11" s="93">
        <v>-418.8</v>
      </c>
      <c r="N11" s="93">
        <v>-350.5</v>
      </c>
      <c r="O11" s="93">
        <v>-1399.09</v>
      </c>
      <c r="P11" s="93">
        <v>-651.44000000000005</v>
      </c>
      <c r="Q11" s="93">
        <v>-77.91</v>
      </c>
      <c r="R11" s="93">
        <v>0</v>
      </c>
      <c r="S11" s="93">
        <v>0</v>
      </c>
      <c r="T11" s="93">
        <v>0</v>
      </c>
      <c r="U11" s="93">
        <v>0</v>
      </c>
      <c r="V11" s="93">
        <v>0</v>
      </c>
      <c r="W11" s="93">
        <v>0</v>
      </c>
      <c r="X11" s="93">
        <v>0</v>
      </c>
      <c r="Y11" s="93">
        <v>0</v>
      </c>
      <c r="Z11" s="93">
        <v>0</v>
      </c>
    </row>
    <row r="12" spans="1:26" ht="12.75" customHeight="1" x14ac:dyDescent="0.25">
      <c r="B12" t="s">
        <v>112</v>
      </c>
      <c r="C12" t="s">
        <v>70</v>
      </c>
      <c r="E12" s="89"/>
      <c r="F12" s="371">
        <v>-11217.37</v>
      </c>
      <c r="G12" s="90">
        <v>-766.38</v>
      </c>
      <c r="H12" s="90">
        <v>-325.58999999999997</v>
      </c>
      <c r="I12" s="90">
        <v>-142.16999999999999</v>
      </c>
      <c r="J12" s="90">
        <v>-1970.37</v>
      </c>
      <c r="K12" s="90">
        <v>-127.32</v>
      </c>
      <c r="L12" s="90">
        <v>0</v>
      </c>
      <c r="M12" s="90">
        <v>-1116.82</v>
      </c>
      <c r="N12" s="90">
        <v>-934.67</v>
      </c>
      <c r="O12" s="90">
        <v>-3730.88</v>
      </c>
      <c r="P12" s="90">
        <v>-1895.43</v>
      </c>
      <c r="Q12" s="90">
        <v>-207.74</v>
      </c>
      <c r="R12" s="90">
        <v>0</v>
      </c>
      <c r="S12" s="90">
        <v>0</v>
      </c>
      <c r="T12" s="90">
        <v>0</v>
      </c>
      <c r="U12" s="90">
        <v>0</v>
      </c>
      <c r="V12" s="90">
        <v>0</v>
      </c>
      <c r="W12" s="90">
        <v>0</v>
      </c>
      <c r="X12" s="90">
        <v>0</v>
      </c>
      <c r="Y12" s="90">
        <v>0</v>
      </c>
      <c r="Z12" s="90">
        <v>0</v>
      </c>
    </row>
    <row r="13" spans="1:26" s="458" customFormat="1" ht="12.75" customHeight="1" x14ac:dyDescent="0.25">
      <c r="A13" s="458" t="s">
        <v>186</v>
      </c>
      <c r="B13" s="458" t="s">
        <v>70</v>
      </c>
      <c r="F13" s="458">
        <v>-11217.37</v>
      </c>
      <c r="G13" s="458">
        <v>-766.38</v>
      </c>
      <c r="H13" s="458">
        <v>-325.58999999999997</v>
      </c>
      <c r="I13" s="458">
        <v>-142.16999999999999</v>
      </c>
      <c r="J13" s="458">
        <v>-1970.37</v>
      </c>
      <c r="K13" s="458">
        <v>-127.32</v>
      </c>
      <c r="L13" s="458">
        <v>0</v>
      </c>
      <c r="M13" s="458">
        <v>-1116.82</v>
      </c>
      <c r="N13" s="458">
        <v>-934.67</v>
      </c>
      <c r="O13" s="458">
        <v>-3730.88</v>
      </c>
      <c r="P13" s="458">
        <v>-1895.43</v>
      </c>
      <c r="Q13" s="458">
        <v>-207.74</v>
      </c>
      <c r="R13" s="458">
        <v>0</v>
      </c>
      <c r="S13" s="458">
        <v>0</v>
      </c>
      <c r="T13" s="458">
        <v>0</v>
      </c>
      <c r="U13" s="458">
        <v>0</v>
      </c>
      <c r="V13" s="458">
        <v>0</v>
      </c>
      <c r="W13" s="458">
        <v>0</v>
      </c>
      <c r="X13" s="458">
        <v>0</v>
      </c>
      <c r="Y13" s="458">
        <v>0</v>
      </c>
      <c r="Z13" s="458">
        <v>0</v>
      </c>
    </row>
    <row r="14" spans="1:26" ht="12.75" customHeight="1" x14ac:dyDescent="0.25">
      <c r="E14" s="89" t="s">
        <v>72</v>
      </c>
      <c r="F14" s="371">
        <v>9215.69</v>
      </c>
      <c r="G14" s="90">
        <v>2007.44</v>
      </c>
      <c r="H14" s="90">
        <v>1133.3800000000001</v>
      </c>
      <c r="I14" s="90">
        <v>594.88</v>
      </c>
      <c r="J14" s="90">
        <v>0</v>
      </c>
      <c r="K14" s="90">
        <v>0</v>
      </c>
      <c r="L14" s="90">
        <v>0</v>
      </c>
      <c r="M14" s="90">
        <v>0</v>
      </c>
      <c r="N14" s="90">
        <v>0</v>
      </c>
      <c r="O14" s="90">
        <v>0</v>
      </c>
      <c r="P14" s="90">
        <v>5482.6</v>
      </c>
      <c r="Q14" s="90">
        <v>0</v>
      </c>
      <c r="R14" s="90">
        <v>-2.61</v>
      </c>
      <c r="S14" s="90">
        <v>0</v>
      </c>
      <c r="T14" s="90">
        <v>0</v>
      </c>
      <c r="U14" s="90">
        <v>0</v>
      </c>
      <c r="V14" s="90">
        <v>0</v>
      </c>
      <c r="W14" s="90">
        <v>0</v>
      </c>
      <c r="X14" s="90">
        <v>0</v>
      </c>
      <c r="Y14" s="90">
        <v>0</v>
      </c>
      <c r="Z14" s="90">
        <v>0</v>
      </c>
    </row>
    <row r="15" spans="1:26" ht="12.75" customHeight="1" x14ac:dyDescent="0.25">
      <c r="D15" t="s">
        <v>156</v>
      </c>
      <c r="E15" s="89" t="s">
        <v>70</v>
      </c>
      <c r="F15" s="371">
        <v>9215.69</v>
      </c>
      <c r="G15" s="90">
        <v>2007.44</v>
      </c>
      <c r="H15" s="90">
        <v>1133.3800000000001</v>
      </c>
      <c r="I15" s="90">
        <v>594.88</v>
      </c>
      <c r="J15" s="90">
        <v>0</v>
      </c>
      <c r="K15" s="90">
        <v>0</v>
      </c>
      <c r="L15" s="90">
        <v>0</v>
      </c>
      <c r="M15" s="90">
        <v>0</v>
      </c>
      <c r="N15" s="90">
        <v>0</v>
      </c>
      <c r="O15" s="90">
        <v>0</v>
      </c>
      <c r="P15" s="90">
        <v>5482.6</v>
      </c>
      <c r="Q15" s="90">
        <v>0</v>
      </c>
      <c r="R15" s="90">
        <v>-2.61</v>
      </c>
      <c r="S15" s="90">
        <v>0</v>
      </c>
      <c r="T15" s="90">
        <v>0</v>
      </c>
      <c r="U15" s="90">
        <v>0</v>
      </c>
      <c r="V15" s="90">
        <v>0</v>
      </c>
      <c r="W15" s="90">
        <v>0</v>
      </c>
      <c r="X15" s="90">
        <v>0</v>
      </c>
      <c r="Y15" s="90">
        <v>0</v>
      </c>
      <c r="Z15" s="90">
        <v>0</v>
      </c>
    </row>
    <row r="16" spans="1:26" s="286" customFormat="1" ht="12.75" customHeight="1" x14ac:dyDescent="0.25">
      <c r="C16" s="286" t="s">
        <v>155</v>
      </c>
      <c r="D16" s="286" t="s">
        <v>70</v>
      </c>
      <c r="E16" s="229"/>
      <c r="F16" s="229">
        <v>9215.69</v>
      </c>
      <c r="G16" s="230">
        <v>2007.44</v>
      </c>
      <c r="H16" s="230">
        <v>1133.3800000000001</v>
      </c>
      <c r="I16" s="230">
        <v>594.88</v>
      </c>
      <c r="J16" s="230">
        <v>0</v>
      </c>
      <c r="K16" s="230">
        <v>0</v>
      </c>
      <c r="L16" s="230">
        <v>0</v>
      </c>
      <c r="M16" s="230">
        <v>0</v>
      </c>
      <c r="N16" s="230">
        <v>0</v>
      </c>
      <c r="O16" s="230">
        <v>0</v>
      </c>
      <c r="P16" s="230">
        <v>5482.6</v>
      </c>
      <c r="Q16" s="230">
        <v>0</v>
      </c>
      <c r="R16" s="230">
        <v>-2.61</v>
      </c>
      <c r="S16" s="230">
        <v>0</v>
      </c>
      <c r="T16" s="230">
        <v>0</v>
      </c>
      <c r="U16" s="230">
        <v>0</v>
      </c>
      <c r="V16" s="230">
        <v>0</v>
      </c>
      <c r="W16" s="230">
        <v>0</v>
      </c>
      <c r="X16" s="230">
        <v>0</v>
      </c>
      <c r="Y16" s="230">
        <v>0</v>
      </c>
      <c r="Z16" s="230">
        <v>0</v>
      </c>
    </row>
    <row r="17" spans="2:26" s="378" customFormat="1" ht="12.75" customHeight="1" x14ac:dyDescent="0.25">
      <c r="B17" s="378" t="s">
        <v>122</v>
      </c>
      <c r="C17" s="378" t="s">
        <v>70</v>
      </c>
      <c r="E17" s="376"/>
      <c r="F17" s="711">
        <v>9215.69</v>
      </c>
      <c r="G17" s="377">
        <v>2007.44</v>
      </c>
      <c r="H17" s="377">
        <v>1133.3800000000001</v>
      </c>
      <c r="I17" s="377">
        <v>594.88</v>
      </c>
      <c r="J17" s="377">
        <v>0</v>
      </c>
      <c r="K17" s="377">
        <v>0</v>
      </c>
      <c r="L17" s="377">
        <v>0</v>
      </c>
      <c r="M17" s="377">
        <v>0</v>
      </c>
      <c r="N17" s="377">
        <v>0</v>
      </c>
      <c r="O17" s="377">
        <v>0</v>
      </c>
      <c r="P17" s="377">
        <v>5482.6</v>
      </c>
      <c r="Q17" s="377">
        <v>0</v>
      </c>
      <c r="R17" s="377">
        <v>-2.61</v>
      </c>
      <c r="S17" s="377">
        <v>0</v>
      </c>
      <c r="T17" s="377">
        <v>0</v>
      </c>
      <c r="U17" s="377">
        <v>0</v>
      </c>
      <c r="V17" s="377">
        <v>0</v>
      </c>
      <c r="W17" s="377">
        <v>0</v>
      </c>
      <c r="X17" s="377">
        <v>0</v>
      </c>
      <c r="Y17" s="377">
        <v>0</v>
      </c>
      <c r="Z17" s="377">
        <v>0</v>
      </c>
    </row>
    <row r="18" spans="2:26" ht="12.75" customHeight="1" x14ac:dyDescent="0.25">
      <c r="E18" s="89" t="s">
        <v>72</v>
      </c>
      <c r="F18" s="371">
        <v>15311909420.24</v>
      </c>
      <c r="G18" s="90">
        <v>801363799.01999998</v>
      </c>
      <c r="H18" s="90">
        <v>452181651.88999999</v>
      </c>
      <c r="I18" s="90">
        <v>237576696.13999999</v>
      </c>
      <c r="J18" s="90">
        <v>3742603268.77</v>
      </c>
      <c r="K18" s="90">
        <v>131872455.84</v>
      </c>
      <c r="L18" s="90">
        <v>16515975.939999999</v>
      </c>
      <c r="M18" s="90">
        <v>1160229364.5799999</v>
      </c>
      <c r="N18" s="90">
        <v>1113178184.5</v>
      </c>
      <c r="O18" s="90">
        <v>5269855575.6800003</v>
      </c>
      <c r="P18" s="90">
        <v>2171371078.0700002</v>
      </c>
      <c r="Q18" s="90">
        <v>215178442.49000001</v>
      </c>
      <c r="R18" s="90">
        <v>-17072.68</v>
      </c>
      <c r="S18" s="90">
        <v>0</v>
      </c>
      <c r="T18" s="90">
        <v>0</v>
      </c>
      <c r="U18" s="90">
        <v>0</v>
      </c>
      <c r="V18" s="90">
        <v>0</v>
      </c>
      <c r="W18" s="90">
        <v>0</v>
      </c>
      <c r="X18" s="90">
        <v>0</v>
      </c>
      <c r="Y18" s="90">
        <v>0</v>
      </c>
      <c r="Z18" s="90">
        <v>0</v>
      </c>
    </row>
    <row r="19" spans="2:26" ht="12.75" customHeight="1" x14ac:dyDescent="0.25">
      <c r="E19" s="89" t="s">
        <v>81</v>
      </c>
      <c r="F19" s="90">
        <v>4090440.92</v>
      </c>
      <c r="G19" s="90">
        <v>281733.24</v>
      </c>
      <c r="H19" s="90">
        <v>147454.73000000001</v>
      </c>
      <c r="I19" s="90">
        <v>76550.039999999994</v>
      </c>
      <c r="J19" s="90">
        <v>796420.04</v>
      </c>
      <c r="K19" s="90">
        <v>36830.11</v>
      </c>
      <c r="L19" s="90">
        <v>516.30999999999995</v>
      </c>
      <c r="M19" s="90">
        <v>325736.63</v>
      </c>
      <c r="N19" s="90">
        <v>292484.52</v>
      </c>
      <c r="O19" s="90">
        <v>1313250.69</v>
      </c>
      <c r="P19" s="90">
        <v>758517.98</v>
      </c>
      <c r="Q19" s="90">
        <v>60116.44</v>
      </c>
      <c r="R19" s="90">
        <v>308.42</v>
      </c>
      <c r="S19" s="90">
        <v>0</v>
      </c>
      <c r="T19" s="90">
        <v>521.79999999999995</v>
      </c>
      <c r="U19" s="90">
        <v>0</v>
      </c>
      <c r="V19" s="90">
        <v>0</v>
      </c>
      <c r="W19" s="90">
        <v>0</v>
      </c>
      <c r="X19" s="90">
        <v>0</v>
      </c>
      <c r="Y19" s="90">
        <v>0</v>
      </c>
      <c r="Z19" s="90">
        <v>-0.03</v>
      </c>
    </row>
    <row r="20" spans="2:26" ht="12.75" customHeight="1" x14ac:dyDescent="0.25">
      <c r="D20" t="s">
        <v>156</v>
      </c>
      <c r="E20" s="89" t="s">
        <v>70</v>
      </c>
      <c r="F20" s="89">
        <v>15315999861.16</v>
      </c>
      <c r="G20" s="90">
        <v>801645532.25999999</v>
      </c>
      <c r="H20" s="90">
        <v>452329106.62</v>
      </c>
      <c r="I20" s="90">
        <v>237653246.18000001</v>
      </c>
      <c r="J20" s="90">
        <v>3743399688.8099999</v>
      </c>
      <c r="K20" s="90">
        <v>131909285.95</v>
      </c>
      <c r="L20" s="90">
        <v>16516492.25</v>
      </c>
      <c r="M20" s="90">
        <v>1160555101.21</v>
      </c>
      <c r="N20" s="90">
        <v>1113470669.02</v>
      </c>
      <c r="O20" s="90">
        <v>5271168826.3699999</v>
      </c>
      <c r="P20" s="90">
        <v>2172129596.0500002</v>
      </c>
      <c r="Q20" s="90">
        <v>215238558.93000001</v>
      </c>
      <c r="R20" s="90">
        <v>-16764.259999999998</v>
      </c>
      <c r="S20" s="90">
        <v>0</v>
      </c>
      <c r="T20" s="90">
        <v>521.79999999999995</v>
      </c>
      <c r="U20" s="90">
        <v>0</v>
      </c>
      <c r="V20" s="90">
        <v>0</v>
      </c>
      <c r="W20" s="90">
        <v>0</v>
      </c>
      <c r="X20" s="90">
        <v>0</v>
      </c>
      <c r="Y20" s="90">
        <v>0</v>
      </c>
      <c r="Z20" s="90">
        <v>-0.03</v>
      </c>
    </row>
    <row r="21" spans="2:26" s="286" customFormat="1" ht="12.75" customHeight="1" x14ac:dyDescent="0.25">
      <c r="C21" s="286" t="s">
        <v>155</v>
      </c>
      <c r="D21" s="286" t="s">
        <v>70</v>
      </c>
      <c r="E21" s="229"/>
      <c r="F21" s="229">
        <v>15315999861.16</v>
      </c>
      <c r="G21" s="230">
        <v>801645532.25999999</v>
      </c>
      <c r="H21" s="230">
        <v>452329106.62</v>
      </c>
      <c r="I21" s="230">
        <v>237653246.18000001</v>
      </c>
      <c r="J21" s="230">
        <v>3743399688.8099999</v>
      </c>
      <c r="K21" s="230">
        <v>131909285.95</v>
      </c>
      <c r="L21" s="230">
        <v>16516492.25</v>
      </c>
      <c r="M21" s="230">
        <v>1160555101.21</v>
      </c>
      <c r="N21" s="230">
        <v>1113470669.02</v>
      </c>
      <c r="O21" s="230">
        <v>5271168826.3699999</v>
      </c>
      <c r="P21" s="230">
        <v>2172129596.0500002</v>
      </c>
      <c r="Q21" s="230">
        <v>215238558.93000001</v>
      </c>
      <c r="R21" s="230">
        <v>-16764.259999999998</v>
      </c>
      <c r="S21" s="230">
        <v>0</v>
      </c>
      <c r="T21" s="230">
        <v>521.79999999999995</v>
      </c>
      <c r="U21" s="230">
        <v>0</v>
      </c>
      <c r="V21" s="230">
        <v>0</v>
      </c>
      <c r="W21" s="230">
        <v>0</v>
      </c>
      <c r="X21" s="230">
        <v>0</v>
      </c>
      <c r="Y21" s="230">
        <v>0</v>
      </c>
      <c r="Z21" s="230">
        <v>-0.03</v>
      </c>
    </row>
    <row r="22" spans="2:26" ht="12.75" customHeight="1" x14ac:dyDescent="0.25">
      <c r="E22" s="89" t="s">
        <v>72</v>
      </c>
      <c r="F22" s="89">
        <v>32531853.02</v>
      </c>
      <c r="G22" s="90">
        <v>2591273.87</v>
      </c>
      <c r="H22" s="90">
        <v>1444146.45</v>
      </c>
      <c r="I22" s="90">
        <v>758108.3</v>
      </c>
      <c r="J22" s="90">
        <v>6042578.8099999996</v>
      </c>
      <c r="K22" s="90">
        <v>205824.68</v>
      </c>
      <c r="L22" s="90">
        <v>0</v>
      </c>
      <c r="M22" s="90">
        <v>1805861.64</v>
      </c>
      <c r="N22" s="90">
        <v>2163115.5299999998</v>
      </c>
      <c r="O22" s="90">
        <v>10120979.77</v>
      </c>
      <c r="P22" s="90">
        <v>7063994.1200000001</v>
      </c>
      <c r="Q22" s="90">
        <v>335853.33</v>
      </c>
      <c r="R22" s="90">
        <v>116.52</v>
      </c>
      <c r="S22" s="90">
        <v>0</v>
      </c>
      <c r="T22" s="90">
        <v>0</v>
      </c>
      <c r="U22" s="90">
        <v>0</v>
      </c>
      <c r="V22" s="90">
        <v>0</v>
      </c>
      <c r="W22" s="90">
        <v>0</v>
      </c>
      <c r="X22" s="90">
        <v>0</v>
      </c>
      <c r="Y22" s="90">
        <v>0</v>
      </c>
      <c r="Z22" s="90">
        <v>0</v>
      </c>
    </row>
    <row r="23" spans="2:26" ht="12.75" customHeight="1" x14ac:dyDescent="0.25">
      <c r="E23" s="89" t="s">
        <v>81</v>
      </c>
      <c r="F23" s="90">
        <v>70410.78</v>
      </c>
      <c r="G23" s="90">
        <v>4075.34</v>
      </c>
      <c r="H23" s="90">
        <v>2009.42</v>
      </c>
      <c r="I23" s="90">
        <v>1036.19</v>
      </c>
      <c r="J23" s="90">
        <v>14956.08</v>
      </c>
      <c r="K23" s="90">
        <v>634.41999999999996</v>
      </c>
      <c r="L23" s="90">
        <v>0</v>
      </c>
      <c r="M23" s="90">
        <v>5556.36</v>
      </c>
      <c r="N23" s="90">
        <v>5429.24</v>
      </c>
      <c r="O23" s="90">
        <v>24704.76</v>
      </c>
      <c r="P23" s="90">
        <v>10925.02</v>
      </c>
      <c r="Q23" s="90">
        <v>1033.93</v>
      </c>
      <c r="R23" s="90">
        <v>49.75</v>
      </c>
      <c r="S23" s="90">
        <v>0</v>
      </c>
      <c r="T23" s="90">
        <v>0.27</v>
      </c>
      <c r="U23" s="90">
        <v>0</v>
      </c>
      <c r="V23" s="90">
        <v>0</v>
      </c>
      <c r="W23" s="90">
        <v>0</v>
      </c>
      <c r="X23" s="90">
        <v>0</v>
      </c>
      <c r="Y23" s="90">
        <v>0</v>
      </c>
      <c r="Z23" s="90">
        <v>0</v>
      </c>
    </row>
    <row r="24" spans="2:26" ht="12.75" customHeight="1" x14ac:dyDescent="0.25">
      <c r="D24" s="89" t="s">
        <v>82</v>
      </c>
      <c r="E24" s="89" t="s">
        <v>70</v>
      </c>
      <c r="F24" s="90">
        <v>32602263.800000001</v>
      </c>
      <c r="G24" s="90">
        <v>2595349.21</v>
      </c>
      <c r="H24" s="90">
        <v>1446155.87</v>
      </c>
      <c r="I24" s="90">
        <v>759144.49</v>
      </c>
      <c r="J24" s="90">
        <v>6057534.8899999997</v>
      </c>
      <c r="K24" s="90">
        <v>206459.1</v>
      </c>
      <c r="L24" s="90">
        <v>0</v>
      </c>
      <c r="M24" s="90">
        <v>1811418</v>
      </c>
      <c r="N24" s="90">
        <v>2168544.77</v>
      </c>
      <c r="O24" s="90">
        <v>10145684.529999999</v>
      </c>
      <c r="P24" s="90">
        <v>7074919.1399999997</v>
      </c>
      <c r="Q24" s="90">
        <v>336887.26</v>
      </c>
      <c r="R24" s="90">
        <v>166.27</v>
      </c>
      <c r="S24" s="90">
        <v>0</v>
      </c>
      <c r="T24" s="90">
        <v>0.27</v>
      </c>
      <c r="U24" s="90">
        <v>0</v>
      </c>
      <c r="V24" s="90">
        <v>0</v>
      </c>
      <c r="W24" s="90">
        <v>0</v>
      </c>
      <c r="X24" s="90">
        <v>0</v>
      </c>
      <c r="Y24" s="90">
        <v>0</v>
      </c>
      <c r="Z24" s="90">
        <v>0</v>
      </c>
    </row>
    <row r="25" spans="2:26" ht="12.75" customHeight="1" x14ac:dyDescent="0.25">
      <c r="E25" s="89" t="s">
        <v>72</v>
      </c>
      <c r="F25" s="90">
        <v>142718615.59</v>
      </c>
      <c r="G25" s="90">
        <v>16226922.74</v>
      </c>
      <c r="H25" s="90">
        <v>8978685.1099999994</v>
      </c>
      <c r="I25" s="90">
        <v>4682686.13</v>
      </c>
      <c r="J25" s="90">
        <v>17356715.969999999</v>
      </c>
      <c r="K25" s="90">
        <v>717148.94</v>
      </c>
      <c r="L25" s="90">
        <v>4122672</v>
      </c>
      <c r="M25" s="90">
        <v>6303944.3300000001</v>
      </c>
      <c r="N25" s="90">
        <v>6897057.04</v>
      </c>
      <c r="O25" s="90">
        <v>32134628.149999999</v>
      </c>
      <c r="P25" s="90">
        <v>44127363.810000002</v>
      </c>
      <c r="Q25" s="90">
        <v>1171009.75</v>
      </c>
      <c r="R25" s="90">
        <v>-218.38</v>
      </c>
      <c r="S25" s="90">
        <v>0</v>
      </c>
      <c r="T25" s="90">
        <v>0</v>
      </c>
      <c r="U25" s="90">
        <v>0</v>
      </c>
      <c r="V25" s="90">
        <v>0</v>
      </c>
      <c r="W25" s="90">
        <v>0</v>
      </c>
      <c r="X25" s="90">
        <v>0</v>
      </c>
      <c r="Y25" s="90">
        <v>0</v>
      </c>
      <c r="Z25" s="90">
        <v>0</v>
      </c>
    </row>
    <row r="26" spans="2:26" ht="12.75" customHeight="1" x14ac:dyDescent="0.25">
      <c r="E26" s="89" t="s">
        <v>81</v>
      </c>
      <c r="F26" s="90">
        <v>700269.72</v>
      </c>
      <c r="G26" s="90">
        <v>40116.699999999997</v>
      </c>
      <c r="H26" s="90">
        <v>19139.89</v>
      </c>
      <c r="I26" s="90">
        <v>10101.16</v>
      </c>
      <c r="J26" s="90">
        <v>153132.53</v>
      </c>
      <c r="K26" s="90">
        <v>7303.27</v>
      </c>
      <c r="L26" s="90">
        <v>0</v>
      </c>
      <c r="M26" s="90">
        <v>64029.13</v>
      </c>
      <c r="N26" s="90">
        <v>56965.87</v>
      </c>
      <c r="O26" s="90">
        <v>230260.01</v>
      </c>
      <c r="P26" s="90">
        <v>107283.27</v>
      </c>
      <c r="Q26" s="90">
        <v>11912.73</v>
      </c>
      <c r="R26" s="90">
        <v>27.3</v>
      </c>
      <c r="S26" s="90">
        <v>-2.3199999999999998</v>
      </c>
      <c r="T26" s="90">
        <v>0.18</v>
      </c>
      <c r="U26" s="90">
        <v>0</v>
      </c>
      <c r="V26" s="90">
        <v>0</v>
      </c>
      <c r="W26" s="90">
        <v>0</v>
      </c>
      <c r="X26" s="90">
        <v>0</v>
      </c>
      <c r="Y26" s="90">
        <v>0</v>
      </c>
      <c r="Z26" s="90">
        <v>0</v>
      </c>
    </row>
    <row r="27" spans="2:26" ht="12.75" customHeight="1" x14ac:dyDescent="0.25">
      <c r="D27" s="89" t="s">
        <v>86</v>
      </c>
      <c r="E27" s="89" t="s">
        <v>70</v>
      </c>
      <c r="F27" s="90">
        <v>143418885.31</v>
      </c>
      <c r="G27" s="90">
        <v>16267039.439999999</v>
      </c>
      <c r="H27" s="90">
        <v>8997825</v>
      </c>
      <c r="I27" s="90">
        <v>4692787.29</v>
      </c>
      <c r="J27" s="90">
        <v>17509848.5</v>
      </c>
      <c r="K27" s="90">
        <v>724452.21</v>
      </c>
      <c r="L27" s="90">
        <v>4122672</v>
      </c>
      <c r="M27" s="90">
        <v>6367973.46</v>
      </c>
      <c r="N27" s="90">
        <v>6954022.9100000001</v>
      </c>
      <c r="O27" s="90">
        <v>32364888.16</v>
      </c>
      <c r="P27" s="90">
        <v>44234647.079999998</v>
      </c>
      <c r="Q27" s="90">
        <v>1182922.48</v>
      </c>
      <c r="R27" s="90">
        <v>-191.08</v>
      </c>
      <c r="S27" s="90">
        <v>-2.3199999999999998</v>
      </c>
      <c r="T27" s="90">
        <v>0.18</v>
      </c>
      <c r="U27" s="90">
        <v>0</v>
      </c>
      <c r="V27" s="90">
        <v>0</v>
      </c>
      <c r="W27" s="90">
        <v>0</v>
      </c>
      <c r="X27" s="90">
        <v>0</v>
      </c>
      <c r="Y27" s="90">
        <v>0</v>
      </c>
      <c r="Z27" s="90">
        <v>0</v>
      </c>
    </row>
    <row r="28" spans="2:26" ht="12.75" customHeight="1" x14ac:dyDescent="0.25">
      <c r="C28" s="89"/>
      <c r="D28" s="89"/>
      <c r="E28" t="s">
        <v>72</v>
      </c>
      <c r="F28" s="90">
        <v>443299915.67000002</v>
      </c>
      <c r="G28" s="90">
        <v>77621929.120000005</v>
      </c>
      <c r="H28" s="90">
        <v>43739696.539999999</v>
      </c>
      <c r="I28" s="90">
        <v>23002911.079999998</v>
      </c>
      <c r="J28" s="90">
        <v>27531678.219999999</v>
      </c>
      <c r="K28" s="90">
        <v>700778.07</v>
      </c>
      <c r="L28" s="90">
        <v>4638006</v>
      </c>
      <c r="M28" s="90">
        <v>6178734.5199999996</v>
      </c>
      <c r="N28" s="90">
        <v>8275304.75</v>
      </c>
      <c r="O28" s="90">
        <v>38410843.780000001</v>
      </c>
      <c r="P28" s="90">
        <v>212057412.16999999</v>
      </c>
      <c r="Q28" s="90">
        <v>1143387.6599999999</v>
      </c>
      <c r="R28" s="90">
        <v>-766.24</v>
      </c>
      <c r="S28" s="90">
        <v>0</v>
      </c>
      <c r="T28" s="90">
        <v>0</v>
      </c>
      <c r="U28" s="90">
        <v>0</v>
      </c>
      <c r="V28" s="90">
        <v>0</v>
      </c>
      <c r="W28" s="90">
        <v>0</v>
      </c>
      <c r="X28" s="90">
        <v>0</v>
      </c>
      <c r="Y28" s="90">
        <v>0</v>
      </c>
      <c r="Z28" s="90">
        <v>0</v>
      </c>
    </row>
    <row r="29" spans="2:26" ht="12.75" customHeight="1" x14ac:dyDescent="0.25">
      <c r="B29" s="89"/>
      <c r="C29" s="89"/>
      <c r="E29" t="s">
        <v>81</v>
      </c>
      <c r="F29" s="90">
        <v>613877.44999999995</v>
      </c>
      <c r="G29" s="90">
        <v>94058.21</v>
      </c>
      <c r="H29" s="90">
        <v>48331.99</v>
      </c>
      <c r="I29" s="90">
        <v>26441.83</v>
      </c>
      <c r="J29" s="90">
        <v>61251.38</v>
      </c>
      <c r="K29" s="90">
        <v>1855.3</v>
      </c>
      <c r="L29" s="90">
        <v>146.01</v>
      </c>
      <c r="M29" s="90">
        <v>16384.73</v>
      </c>
      <c r="N29" s="90">
        <v>20507.080000000002</v>
      </c>
      <c r="O29" s="90">
        <v>89016.81</v>
      </c>
      <c r="P29" s="90">
        <v>254956.79</v>
      </c>
      <c r="Q29" s="90">
        <v>3029.72</v>
      </c>
      <c r="R29" s="90">
        <v>10.11</v>
      </c>
      <c r="S29" s="90">
        <v>-2112.5100000000002</v>
      </c>
      <c r="T29" s="90">
        <v>0</v>
      </c>
      <c r="U29" s="90">
        <v>0</v>
      </c>
      <c r="V29" s="90">
        <v>0</v>
      </c>
      <c r="W29" s="90">
        <v>0</v>
      </c>
      <c r="X29" s="90">
        <v>0</v>
      </c>
      <c r="Y29" s="90">
        <v>0</v>
      </c>
      <c r="Z29" s="90">
        <v>0</v>
      </c>
    </row>
    <row r="30" spans="2:26" ht="12.75" customHeight="1" x14ac:dyDescent="0.25">
      <c r="C30" s="89"/>
      <c r="D30" s="89" t="s">
        <v>87</v>
      </c>
      <c r="E30" t="s">
        <v>70</v>
      </c>
      <c r="F30" s="90">
        <v>443913793.12</v>
      </c>
      <c r="G30" s="90">
        <v>77715987.329999998</v>
      </c>
      <c r="H30" s="90">
        <v>43788028.530000001</v>
      </c>
      <c r="I30" s="90">
        <v>23029352.91</v>
      </c>
      <c r="J30" s="90">
        <v>27592929.600000001</v>
      </c>
      <c r="K30" s="90">
        <v>702633.37</v>
      </c>
      <c r="L30" s="90">
        <v>4638152.01</v>
      </c>
      <c r="M30" s="90">
        <v>6195119.25</v>
      </c>
      <c r="N30" s="90">
        <v>8295811.8300000001</v>
      </c>
      <c r="O30" s="90">
        <v>38499860.590000004</v>
      </c>
      <c r="P30" s="90">
        <v>212312368.96000001</v>
      </c>
      <c r="Q30" s="90">
        <v>1146417.3799999999</v>
      </c>
      <c r="R30" s="90">
        <v>-756.13</v>
      </c>
      <c r="S30" s="90">
        <v>-2112.5100000000002</v>
      </c>
      <c r="T30" s="90">
        <v>0</v>
      </c>
      <c r="U30" s="90">
        <v>0</v>
      </c>
      <c r="V30" s="90">
        <v>0</v>
      </c>
      <c r="W30" s="90">
        <v>0</v>
      </c>
      <c r="X30" s="90">
        <v>0</v>
      </c>
      <c r="Y30" s="90">
        <v>0</v>
      </c>
      <c r="Z30" s="90">
        <v>0</v>
      </c>
    </row>
    <row r="31" spans="2:26" s="94" customFormat="1" ht="12.75" customHeight="1" x14ac:dyDescent="0.25">
      <c r="C31" s="101" t="s">
        <v>119</v>
      </c>
      <c r="D31" s="101" t="s">
        <v>70</v>
      </c>
      <c r="F31" s="93">
        <v>619934942.23000002</v>
      </c>
      <c r="G31" s="93">
        <v>96578375.980000004</v>
      </c>
      <c r="H31" s="93">
        <v>54232009.399999999</v>
      </c>
      <c r="I31" s="93">
        <v>28481284.690000001</v>
      </c>
      <c r="J31" s="93">
        <v>51160312.990000002</v>
      </c>
      <c r="K31" s="93">
        <v>1633544.68</v>
      </c>
      <c r="L31" s="93">
        <v>8760824.0099999998</v>
      </c>
      <c r="M31" s="93">
        <v>14374510.710000001</v>
      </c>
      <c r="N31" s="93">
        <v>17418379.510000002</v>
      </c>
      <c r="O31" s="93">
        <v>81010433.280000001</v>
      </c>
      <c r="P31" s="93">
        <v>263621935.18000001</v>
      </c>
      <c r="Q31" s="93">
        <v>2666227.12</v>
      </c>
      <c r="R31" s="93">
        <v>-780.94</v>
      </c>
      <c r="S31" s="93">
        <v>-2114.83</v>
      </c>
      <c r="T31" s="93">
        <v>0.45</v>
      </c>
      <c r="U31" s="93">
        <v>0</v>
      </c>
      <c r="V31" s="93">
        <v>0</v>
      </c>
      <c r="W31" s="93">
        <v>0</v>
      </c>
      <c r="X31" s="93">
        <v>0</v>
      </c>
      <c r="Y31" s="93">
        <v>0</v>
      </c>
      <c r="Z31" s="93">
        <v>0</v>
      </c>
    </row>
    <row r="32" spans="2:26" s="226" customFormat="1" ht="12.75" customHeight="1" x14ac:dyDescent="0.25">
      <c r="B32" s="98" t="s">
        <v>112</v>
      </c>
      <c r="C32" s="98" t="s">
        <v>70</v>
      </c>
      <c r="F32" s="100">
        <v>15935934803.389999</v>
      </c>
      <c r="G32" s="100">
        <v>898223908.24000001</v>
      </c>
      <c r="H32" s="100">
        <v>506561116.01999998</v>
      </c>
      <c r="I32" s="100">
        <v>266134530.87</v>
      </c>
      <c r="J32" s="100">
        <v>3794560001.8000002</v>
      </c>
      <c r="K32" s="100">
        <v>133542830.63</v>
      </c>
      <c r="L32" s="100">
        <v>25277316.260000002</v>
      </c>
      <c r="M32" s="100">
        <v>1174929611.9200001</v>
      </c>
      <c r="N32" s="100">
        <v>1130889048.53</v>
      </c>
      <c r="O32" s="100">
        <v>5352179259.6499996</v>
      </c>
      <c r="P32" s="100">
        <v>2435751531.23</v>
      </c>
      <c r="Q32" s="100">
        <v>217904786.05000001</v>
      </c>
      <c r="R32" s="100">
        <v>-17545.2</v>
      </c>
      <c r="S32" s="100">
        <v>-2114.83</v>
      </c>
      <c r="T32" s="100">
        <v>522.25</v>
      </c>
      <c r="U32" s="100">
        <v>0</v>
      </c>
      <c r="V32" s="100">
        <v>0</v>
      </c>
      <c r="W32" s="100">
        <v>0</v>
      </c>
      <c r="X32" s="100">
        <v>0</v>
      </c>
      <c r="Y32" s="100">
        <v>0</v>
      </c>
      <c r="Z32" s="100">
        <v>-0.03</v>
      </c>
    </row>
    <row r="33" spans="1:26" ht="12.65" customHeight="1" x14ac:dyDescent="0.25">
      <c r="A33" t="s">
        <v>78</v>
      </c>
      <c r="B33" t="s">
        <v>70</v>
      </c>
      <c r="E33" s="89"/>
      <c r="F33" s="89">
        <v>15935944019.08</v>
      </c>
      <c r="G33" s="90">
        <v>898225915.67999995</v>
      </c>
      <c r="H33" s="90">
        <v>506562249.39999998</v>
      </c>
      <c r="I33" s="90">
        <v>266135125.75</v>
      </c>
      <c r="J33" s="90">
        <v>3794560001.8000002</v>
      </c>
      <c r="K33" s="90">
        <v>133542830.63</v>
      </c>
      <c r="L33" s="90">
        <v>25277316.260000002</v>
      </c>
      <c r="M33" s="90">
        <v>1174929611.9200001</v>
      </c>
      <c r="N33" s="90">
        <v>1130889048.53</v>
      </c>
      <c r="O33" s="90">
        <v>5352179259.6499996</v>
      </c>
      <c r="P33" s="90">
        <v>2435757013.8299999</v>
      </c>
      <c r="Q33" s="90">
        <v>217904786.05000001</v>
      </c>
      <c r="R33" s="90">
        <v>-17547.810000000001</v>
      </c>
      <c r="S33" s="90">
        <v>-2114.83</v>
      </c>
      <c r="T33" s="90">
        <v>522.25</v>
      </c>
      <c r="U33" s="90">
        <v>0</v>
      </c>
      <c r="V33" s="90">
        <v>0</v>
      </c>
      <c r="W33" s="90">
        <v>0</v>
      </c>
      <c r="X33" s="90">
        <v>0</v>
      </c>
      <c r="Y33" s="90">
        <v>0</v>
      </c>
      <c r="Z33" s="90">
        <v>-0.03</v>
      </c>
    </row>
    <row r="34" spans="1:26" ht="12.65" customHeight="1" x14ac:dyDescent="0.25">
      <c r="E34" s="89" t="s">
        <v>73</v>
      </c>
      <c r="F34" s="89">
        <v>40364.31</v>
      </c>
      <c r="G34" s="90">
        <v>1974.08</v>
      </c>
      <c r="H34" s="90">
        <v>1114.56</v>
      </c>
      <c r="I34" s="90">
        <v>585</v>
      </c>
      <c r="J34" s="90">
        <v>9457.65</v>
      </c>
      <c r="K34" s="90">
        <v>361.03</v>
      </c>
      <c r="L34" s="90">
        <v>0</v>
      </c>
      <c r="M34" s="90">
        <v>3166.94</v>
      </c>
      <c r="N34" s="90">
        <v>3091.65</v>
      </c>
      <c r="O34" s="90">
        <v>14632.85</v>
      </c>
      <c r="P34" s="90">
        <v>5391.5</v>
      </c>
      <c r="Q34" s="90">
        <v>589.04999999999995</v>
      </c>
      <c r="R34" s="90">
        <v>0</v>
      </c>
      <c r="S34" s="90">
        <v>0</v>
      </c>
      <c r="T34" s="90">
        <v>0</v>
      </c>
      <c r="U34" s="90">
        <v>0</v>
      </c>
      <c r="V34" s="90">
        <v>0</v>
      </c>
      <c r="W34" s="90">
        <v>0</v>
      </c>
      <c r="X34" s="90">
        <v>0</v>
      </c>
      <c r="Y34" s="90">
        <v>0</v>
      </c>
      <c r="Z34" s="90">
        <v>0</v>
      </c>
    </row>
    <row r="35" spans="1:26" ht="12.65" customHeight="1" x14ac:dyDescent="0.25">
      <c r="D35" t="s">
        <v>156</v>
      </c>
      <c r="E35" s="89" t="s">
        <v>70</v>
      </c>
      <c r="F35" s="89">
        <v>40364.31</v>
      </c>
      <c r="G35" s="90">
        <v>1974.08</v>
      </c>
      <c r="H35" s="90">
        <v>1114.56</v>
      </c>
      <c r="I35" s="90">
        <v>585</v>
      </c>
      <c r="J35" s="90">
        <v>9457.65</v>
      </c>
      <c r="K35" s="90">
        <v>361.03</v>
      </c>
      <c r="L35" s="90">
        <v>0</v>
      </c>
      <c r="M35" s="90">
        <v>3166.94</v>
      </c>
      <c r="N35" s="90">
        <v>3091.65</v>
      </c>
      <c r="O35" s="90">
        <v>14632.85</v>
      </c>
      <c r="P35" s="90">
        <v>5391.5</v>
      </c>
      <c r="Q35" s="90">
        <v>589.04999999999995</v>
      </c>
      <c r="R35" s="90">
        <v>0</v>
      </c>
      <c r="S35" s="90">
        <v>0</v>
      </c>
      <c r="T35" s="90">
        <v>0</v>
      </c>
      <c r="U35" s="90">
        <v>0</v>
      </c>
      <c r="V35" s="90">
        <v>0</v>
      </c>
      <c r="W35" s="90">
        <v>0</v>
      </c>
      <c r="X35" s="90">
        <v>0</v>
      </c>
      <c r="Y35" s="90">
        <v>0</v>
      </c>
      <c r="Z35" s="90">
        <v>0</v>
      </c>
    </row>
    <row r="36" spans="1:26" s="286" customFormat="1" ht="12.75" customHeight="1" x14ac:dyDescent="0.25">
      <c r="C36" s="286" t="s">
        <v>155</v>
      </c>
      <c r="D36" s="286" t="s">
        <v>70</v>
      </c>
      <c r="E36" s="229"/>
      <c r="F36" s="229">
        <v>40364.31</v>
      </c>
      <c r="G36" s="230">
        <v>1974.08</v>
      </c>
      <c r="H36" s="230">
        <v>1114.56</v>
      </c>
      <c r="I36" s="230">
        <v>585</v>
      </c>
      <c r="J36" s="230">
        <v>9457.65</v>
      </c>
      <c r="K36" s="230">
        <v>361.03</v>
      </c>
      <c r="L36" s="230">
        <v>0</v>
      </c>
      <c r="M36" s="230">
        <v>3166.94</v>
      </c>
      <c r="N36" s="230">
        <v>3091.65</v>
      </c>
      <c r="O36" s="230">
        <v>14632.85</v>
      </c>
      <c r="P36" s="230">
        <v>5391.5</v>
      </c>
      <c r="Q36" s="230">
        <v>589.04999999999995</v>
      </c>
      <c r="R36" s="230">
        <v>0</v>
      </c>
      <c r="S36" s="230">
        <v>0</v>
      </c>
      <c r="T36" s="230">
        <v>0</v>
      </c>
      <c r="U36" s="230">
        <v>0</v>
      </c>
      <c r="V36" s="230">
        <v>0</v>
      </c>
      <c r="W36" s="230">
        <v>0</v>
      </c>
      <c r="X36" s="230">
        <v>0</v>
      </c>
      <c r="Y36" s="230">
        <v>0</v>
      </c>
      <c r="Z36" s="230">
        <v>0</v>
      </c>
    </row>
    <row r="37" spans="1:26" s="378" customFormat="1" ht="12.65" customHeight="1" x14ac:dyDescent="0.25">
      <c r="B37" s="378" t="s">
        <v>122</v>
      </c>
      <c r="C37" s="378" t="s">
        <v>70</v>
      </c>
      <c r="E37" s="376"/>
      <c r="F37" s="376">
        <v>40364.31</v>
      </c>
      <c r="G37" s="377">
        <v>1974.08</v>
      </c>
      <c r="H37" s="377">
        <v>1114.56</v>
      </c>
      <c r="I37" s="377">
        <v>585</v>
      </c>
      <c r="J37" s="377">
        <v>9457.65</v>
      </c>
      <c r="K37" s="377">
        <v>361.03</v>
      </c>
      <c r="L37" s="377">
        <v>0</v>
      </c>
      <c r="M37" s="377">
        <v>3166.94</v>
      </c>
      <c r="N37" s="377">
        <v>3091.65</v>
      </c>
      <c r="O37" s="377">
        <v>14632.85</v>
      </c>
      <c r="P37" s="377">
        <v>5391.5</v>
      </c>
      <c r="Q37" s="377">
        <v>589.04999999999995</v>
      </c>
      <c r="R37" s="377">
        <v>0</v>
      </c>
      <c r="S37" s="377">
        <v>0</v>
      </c>
      <c r="T37" s="377">
        <v>0</v>
      </c>
      <c r="U37" s="377">
        <v>0</v>
      </c>
      <c r="V37" s="377">
        <v>0</v>
      </c>
      <c r="W37" s="377">
        <v>0</v>
      </c>
      <c r="X37" s="377">
        <v>0</v>
      </c>
      <c r="Y37" s="377">
        <v>0</v>
      </c>
      <c r="Z37" s="377">
        <v>0</v>
      </c>
    </row>
    <row r="38" spans="1:26" ht="12.75" customHeight="1" x14ac:dyDescent="0.25">
      <c r="E38" s="89" t="s">
        <v>73</v>
      </c>
      <c r="F38" s="384">
        <v>1261122890.4100001</v>
      </c>
      <c r="G38" s="90">
        <v>145017642.28999999</v>
      </c>
      <c r="H38" s="90">
        <v>81882191.680000007</v>
      </c>
      <c r="I38" s="90">
        <v>42987613.009999998</v>
      </c>
      <c r="J38" s="90">
        <v>181283966.80000001</v>
      </c>
      <c r="K38" s="90">
        <v>6932108.75</v>
      </c>
      <c r="L38" s="90">
        <v>0</v>
      </c>
      <c r="M38" s="90">
        <v>59431479.549999997</v>
      </c>
      <c r="N38" s="90">
        <v>58073052.670000002</v>
      </c>
      <c r="O38" s="90">
        <v>274861035.99000001</v>
      </c>
      <c r="P38" s="90">
        <v>399343193.25</v>
      </c>
      <c r="Q38" s="90">
        <v>11310606.42</v>
      </c>
      <c r="R38" s="90">
        <v>0</v>
      </c>
      <c r="S38" s="90">
        <v>0</v>
      </c>
      <c r="T38" s="90">
        <v>0</v>
      </c>
      <c r="U38" s="90">
        <v>0</v>
      </c>
      <c r="V38" s="90">
        <v>0</v>
      </c>
      <c r="W38" s="90">
        <v>0</v>
      </c>
      <c r="X38" s="90">
        <v>0</v>
      </c>
      <c r="Y38" s="90">
        <v>0</v>
      </c>
      <c r="Z38" s="90">
        <v>0</v>
      </c>
    </row>
    <row r="39" spans="1:26" ht="12.75" customHeight="1" x14ac:dyDescent="0.25">
      <c r="D39" t="s">
        <v>156</v>
      </c>
      <c r="E39" s="89" t="s">
        <v>70</v>
      </c>
      <c r="F39" s="384">
        <v>1261122890.4100001</v>
      </c>
      <c r="G39" s="90">
        <v>145017642.28999999</v>
      </c>
      <c r="H39" s="90">
        <v>81882191.680000007</v>
      </c>
      <c r="I39" s="90">
        <v>42987613.009999998</v>
      </c>
      <c r="J39" s="90">
        <v>181283966.80000001</v>
      </c>
      <c r="K39" s="90">
        <v>6932108.75</v>
      </c>
      <c r="L39" s="90">
        <v>0</v>
      </c>
      <c r="M39" s="90">
        <v>59431479.549999997</v>
      </c>
      <c r="N39" s="90">
        <v>58073052.670000002</v>
      </c>
      <c r="O39" s="90">
        <v>274861035.99000001</v>
      </c>
      <c r="P39" s="90">
        <v>399343193.25</v>
      </c>
      <c r="Q39" s="90">
        <v>11310606.42</v>
      </c>
      <c r="R39" s="90">
        <v>0</v>
      </c>
      <c r="S39" s="90">
        <v>0</v>
      </c>
      <c r="T39" s="90">
        <v>0</v>
      </c>
      <c r="U39" s="90">
        <v>0</v>
      </c>
      <c r="V39" s="90">
        <v>0</v>
      </c>
      <c r="W39" s="90">
        <v>0</v>
      </c>
      <c r="X39" s="90">
        <v>0</v>
      </c>
      <c r="Y39" s="90">
        <v>0</v>
      </c>
      <c r="Z39" s="90">
        <v>0</v>
      </c>
    </row>
    <row r="40" spans="1:26" s="286" customFormat="1" ht="12.75" customHeight="1" x14ac:dyDescent="0.25">
      <c r="C40" s="286" t="s">
        <v>155</v>
      </c>
      <c r="D40" s="286" t="s">
        <v>70</v>
      </c>
      <c r="E40" s="229"/>
      <c r="F40" s="229">
        <v>1261122890.4100001</v>
      </c>
      <c r="G40" s="230">
        <v>145017642.28999999</v>
      </c>
      <c r="H40" s="230">
        <v>81882191.680000007</v>
      </c>
      <c r="I40" s="230">
        <v>42987613.009999998</v>
      </c>
      <c r="J40" s="230">
        <v>181283966.80000001</v>
      </c>
      <c r="K40" s="230">
        <v>6932108.75</v>
      </c>
      <c r="L40" s="230">
        <v>0</v>
      </c>
      <c r="M40" s="230">
        <v>59431479.549999997</v>
      </c>
      <c r="N40" s="230">
        <v>58073052.670000002</v>
      </c>
      <c r="O40" s="230">
        <v>274861035.99000001</v>
      </c>
      <c r="P40" s="230">
        <v>399343193.25</v>
      </c>
      <c r="Q40" s="230">
        <v>11310606.42</v>
      </c>
      <c r="R40" s="230">
        <v>0</v>
      </c>
      <c r="S40" s="230">
        <v>0</v>
      </c>
      <c r="T40" s="230">
        <v>0</v>
      </c>
      <c r="U40" s="230">
        <v>0</v>
      </c>
      <c r="V40" s="230">
        <v>0</v>
      </c>
      <c r="W40" s="230">
        <v>0</v>
      </c>
      <c r="X40" s="230">
        <v>0</v>
      </c>
      <c r="Y40" s="230">
        <v>0</v>
      </c>
      <c r="Z40" s="230">
        <v>0</v>
      </c>
    </row>
    <row r="41" spans="1:26" ht="12.75" customHeight="1" x14ac:dyDescent="0.25">
      <c r="D41" s="89"/>
      <c r="E41" s="89" t="s">
        <v>73</v>
      </c>
      <c r="F41" s="90">
        <v>6082566.2000000002</v>
      </c>
      <c r="G41" s="90">
        <v>1209162.83</v>
      </c>
      <c r="H41" s="90">
        <v>679361.72</v>
      </c>
      <c r="I41" s="90">
        <v>354481.28</v>
      </c>
      <c r="J41" s="90">
        <v>358187.27</v>
      </c>
      <c r="K41" s="90">
        <v>-4705.5600000000004</v>
      </c>
      <c r="L41" s="90">
        <v>0</v>
      </c>
      <c r="M41" s="90">
        <v>-42042.77</v>
      </c>
      <c r="N41" s="90">
        <v>41264.06</v>
      </c>
      <c r="O41" s="90">
        <v>193736.04</v>
      </c>
      <c r="P41" s="90">
        <v>3300638.3</v>
      </c>
      <c r="Q41" s="90">
        <v>-7516.97</v>
      </c>
      <c r="R41" s="90">
        <v>0</v>
      </c>
      <c r="S41" s="90">
        <v>0</v>
      </c>
      <c r="T41" s="90">
        <v>0</v>
      </c>
      <c r="U41" s="90">
        <v>0</v>
      </c>
      <c r="V41" s="90">
        <v>0</v>
      </c>
      <c r="W41" s="90">
        <v>0</v>
      </c>
      <c r="X41" s="90">
        <v>0</v>
      </c>
      <c r="Y41" s="90">
        <v>0</v>
      </c>
      <c r="Z41" s="90">
        <v>0</v>
      </c>
    </row>
    <row r="42" spans="1:26" ht="12.75" customHeight="1" x14ac:dyDescent="0.25">
      <c r="D42" t="s">
        <v>82</v>
      </c>
      <c r="E42" s="89" t="s">
        <v>70</v>
      </c>
      <c r="F42" s="90">
        <v>6082566.2000000002</v>
      </c>
      <c r="G42" s="90">
        <v>1209162.83</v>
      </c>
      <c r="H42" s="90">
        <v>679361.72</v>
      </c>
      <c r="I42" s="90">
        <v>354481.28</v>
      </c>
      <c r="J42" s="90">
        <v>358187.27</v>
      </c>
      <c r="K42" s="90">
        <v>-4705.5600000000004</v>
      </c>
      <c r="L42" s="90">
        <v>0</v>
      </c>
      <c r="M42" s="90">
        <v>-42042.77</v>
      </c>
      <c r="N42" s="90">
        <v>41264.06</v>
      </c>
      <c r="O42" s="90">
        <v>193736.04</v>
      </c>
      <c r="P42" s="90">
        <v>3300638.3</v>
      </c>
      <c r="Q42" s="90">
        <v>-7516.97</v>
      </c>
      <c r="R42" s="90">
        <v>0</v>
      </c>
      <c r="S42" s="90">
        <v>0</v>
      </c>
      <c r="T42" s="90">
        <v>0</v>
      </c>
      <c r="U42" s="90">
        <v>0</v>
      </c>
      <c r="V42" s="90">
        <v>0</v>
      </c>
      <c r="W42" s="90">
        <v>0</v>
      </c>
      <c r="X42" s="90">
        <v>0</v>
      </c>
      <c r="Y42" s="90">
        <v>0</v>
      </c>
      <c r="Z42" s="90">
        <v>0</v>
      </c>
    </row>
    <row r="43" spans="1:26" ht="12.75" customHeight="1" x14ac:dyDescent="0.25">
      <c r="D43" s="89"/>
      <c r="E43" s="89" t="s">
        <v>73</v>
      </c>
      <c r="F43" s="90">
        <v>29193363.239999998</v>
      </c>
      <c r="G43" s="90">
        <v>5503604.9000000004</v>
      </c>
      <c r="H43" s="90">
        <v>3036599.6</v>
      </c>
      <c r="I43" s="90">
        <v>1564692.21</v>
      </c>
      <c r="J43" s="90">
        <v>1181412.52</v>
      </c>
      <c r="K43" s="90">
        <v>26083.53</v>
      </c>
      <c r="L43" s="90">
        <v>0</v>
      </c>
      <c r="M43" s="90">
        <v>217934.27</v>
      </c>
      <c r="N43" s="90">
        <v>473929.76</v>
      </c>
      <c r="O43" s="90">
        <v>2182082.4900000002</v>
      </c>
      <c r="P43" s="90">
        <v>14964294.189999999</v>
      </c>
      <c r="Q43" s="90">
        <v>42729.77</v>
      </c>
      <c r="R43" s="90">
        <v>0</v>
      </c>
      <c r="S43" s="90">
        <v>0</v>
      </c>
      <c r="T43" s="90">
        <v>0</v>
      </c>
      <c r="U43" s="90">
        <v>0</v>
      </c>
      <c r="V43" s="90">
        <v>0</v>
      </c>
      <c r="W43" s="90">
        <v>0</v>
      </c>
      <c r="X43" s="90">
        <v>0</v>
      </c>
      <c r="Y43" s="90">
        <v>0</v>
      </c>
      <c r="Z43" s="90">
        <v>0</v>
      </c>
    </row>
    <row r="44" spans="1:26" ht="12.75" customHeight="1" x14ac:dyDescent="0.25">
      <c r="D44" t="s">
        <v>86</v>
      </c>
      <c r="E44" s="89" t="s">
        <v>70</v>
      </c>
      <c r="F44" s="90">
        <v>29193363.239999998</v>
      </c>
      <c r="G44" s="90">
        <v>5503604.9000000004</v>
      </c>
      <c r="H44" s="90">
        <v>3036599.6</v>
      </c>
      <c r="I44" s="90">
        <v>1564692.21</v>
      </c>
      <c r="J44" s="90">
        <v>1181412.52</v>
      </c>
      <c r="K44" s="90">
        <v>26083.53</v>
      </c>
      <c r="L44" s="90">
        <v>0</v>
      </c>
      <c r="M44" s="90">
        <v>217934.27</v>
      </c>
      <c r="N44" s="90">
        <v>473929.76</v>
      </c>
      <c r="O44" s="90">
        <v>2182082.4900000002</v>
      </c>
      <c r="P44" s="90">
        <v>14964294.189999999</v>
      </c>
      <c r="Q44" s="90">
        <v>42729.77</v>
      </c>
      <c r="R44" s="90">
        <v>0</v>
      </c>
      <c r="S44" s="90">
        <v>0</v>
      </c>
      <c r="T44" s="90">
        <v>0</v>
      </c>
      <c r="U44" s="90">
        <v>0</v>
      </c>
      <c r="V44" s="90">
        <v>0</v>
      </c>
      <c r="W44" s="90">
        <v>0</v>
      </c>
      <c r="X44" s="90">
        <v>0</v>
      </c>
      <c r="Y44" s="90">
        <v>0</v>
      </c>
      <c r="Z44" s="90">
        <v>0</v>
      </c>
    </row>
    <row r="45" spans="1:26" ht="12.75" customHeight="1" x14ac:dyDescent="0.25">
      <c r="D45" s="89"/>
      <c r="E45" s="89" t="s">
        <v>73</v>
      </c>
      <c r="F45" s="90">
        <v>132748470.25</v>
      </c>
      <c r="G45" s="90">
        <v>23581040.41</v>
      </c>
      <c r="H45" s="90">
        <v>13134900.380000001</v>
      </c>
      <c r="I45" s="90">
        <v>6932117.9699999997</v>
      </c>
      <c r="J45" s="90">
        <v>8421230.2699999996</v>
      </c>
      <c r="K45" s="90">
        <v>204893.95</v>
      </c>
      <c r="L45" s="90">
        <v>0</v>
      </c>
      <c r="M45" s="90">
        <v>1822856.43</v>
      </c>
      <c r="N45" s="90">
        <v>2503084.31</v>
      </c>
      <c r="O45" s="90">
        <v>11686632.25</v>
      </c>
      <c r="P45" s="90">
        <v>64127779.719999999</v>
      </c>
      <c r="Q45" s="90">
        <v>333934.56</v>
      </c>
      <c r="R45" s="90">
        <v>0</v>
      </c>
      <c r="S45" s="90">
        <v>0</v>
      </c>
      <c r="T45" s="90">
        <v>0</v>
      </c>
      <c r="U45" s="90">
        <v>0</v>
      </c>
      <c r="V45" s="90">
        <v>0</v>
      </c>
      <c r="W45" s="90">
        <v>0</v>
      </c>
      <c r="X45" s="90">
        <v>0</v>
      </c>
      <c r="Y45" s="90">
        <v>0</v>
      </c>
      <c r="Z45" s="90">
        <v>0</v>
      </c>
    </row>
    <row r="46" spans="1:26" ht="12.75" customHeight="1" x14ac:dyDescent="0.25">
      <c r="C46" s="89"/>
      <c r="D46" s="89" t="s">
        <v>87</v>
      </c>
      <c r="E46" t="s">
        <v>70</v>
      </c>
      <c r="F46" s="90">
        <v>132748470.25</v>
      </c>
      <c r="G46" s="90">
        <v>23581040.41</v>
      </c>
      <c r="H46" s="90">
        <v>13134900.380000001</v>
      </c>
      <c r="I46" s="90">
        <v>6932117.9699999997</v>
      </c>
      <c r="J46" s="90">
        <v>8421230.2699999996</v>
      </c>
      <c r="K46" s="90">
        <v>204893.95</v>
      </c>
      <c r="L46" s="90">
        <v>0</v>
      </c>
      <c r="M46" s="90">
        <v>1822856.43</v>
      </c>
      <c r="N46" s="90">
        <v>2503084.31</v>
      </c>
      <c r="O46" s="90">
        <v>11686632.25</v>
      </c>
      <c r="P46" s="90">
        <v>64127779.719999999</v>
      </c>
      <c r="Q46" s="90">
        <v>333934.56</v>
      </c>
      <c r="R46" s="90">
        <v>0</v>
      </c>
      <c r="S46" s="90">
        <v>0</v>
      </c>
      <c r="T46" s="90">
        <v>0</v>
      </c>
      <c r="U46" s="90">
        <v>0</v>
      </c>
      <c r="V46" s="90">
        <v>0</v>
      </c>
      <c r="W46" s="90">
        <v>0</v>
      </c>
      <c r="X46" s="90">
        <v>0</v>
      </c>
      <c r="Y46" s="90">
        <v>0</v>
      </c>
      <c r="Z46" s="90">
        <v>0</v>
      </c>
    </row>
    <row r="47" spans="1:26" s="94" customFormat="1" ht="12.75" customHeight="1" x14ac:dyDescent="0.25">
      <c r="C47" s="101" t="s">
        <v>119</v>
      </c>
      <c r="D47" s="101" t="s">
        <v>70</v>
      </c>
      <c r="F47" s="93">
        <v>168024399.69</v>
      </c>
      <c r="G47" s="93">
        <v>30293808.140000001</v>
      </c>
      <c r="H47" s="93">
        <v>16850861.699999999</v>
      </c>
      <c r="I47" s="93">
        <v>8851291.4600000009</v>
      </c>
      <c r="J47" s="93">
        <v>9960830.0600000005</v>
      </c>
      <c r="K47" s="93">
        <v>226271.92</v>
      </c>
      <c r="L47" s="93">
        <v>0</v>
      </c>
      <c r="M47" s="93">
        <v>1998747.93</v>
      </c>
      <c r="N47" s="93">
        <v>3018278.13</v>
      </c>
      <c r="O47" s="93">
        <v>14062450.779999999</v>
      </c>
      <c r="P47" s="93">
        <v>82392712.209999993</v>
      </c>
      <c r="Q47" s="93">
        <v>369147.36</v>
      </c>
      <c r="R47" s="93">
        <v>0</v>
      </c>
      <c r="S47" s="93">
        <v>0</v>
      </c>
      <c r="T47" s="93">
        <v>0</v>
      </c>
      <c r="U47" s="93">
        <v>0</v>
      </c>
      <c r="V47" s="93">
        <v>0</v>
      </c>
      <c r="W47" s="93">
        <v>0</v>
      </c>
      <c r="X47" s="93">
        <v>0</v>
      </c>
      <c r="Y47" s="93">
        <v>0</v>
      </c>
      <c r="Z47" s="93">
        <v>0</v>
      </c>
    </row>
    <row r="48" spans="1:26" s="226" customFormat="1" ht="12.75" customHeight="1" x14ac:dyDescent="0.25">
      <c r="B48" s="98" t="s">
        <v>112</v>
      </c>
      <c r="C48" s="98" t="s">
        <v>70</v>
      </c>
      <c r="F48" s="100">
        <v>1429147290.0999999</v>
      </c>
      <c r="G48" s="100">
        <v>175311450.43000001</v>
      </c>
      <c r="H48" s="100">
        <v>98733053.379999995</v>
      </c>
      <c r="I48" s="100">
        <v>51838904.469999999</v>
      </c>
      <c r="J48" s="100">
        <v>191244796.86000001</v>
      </c>
      <c r="K48" s="100">
        <v>7158380.6699999999</v>
      </c>
      <c r="L48" s="100">
        <v>0</v>
      </c>
      <c r="M48" s="100">
        <v>61430227.479999997</v>
      </c>
      <c r="N48" s="100">
        <v>61091330.799999997</v>
      </c>
      <c r="O48" s="100">
        <v>288923486.76999998</v>
      </c>
      <c r="P48" s="100">
        <v>481735905.45999998</v>
      </c>
      <c r="Q48" s="100">
        <v>11679753.779999999</v>
      </c>
      <c r="R48" s="100">
        <v>0</v>
      </c>
      <c r="S48" s="100">
        <v>0</v>
      </c>
      <c r="T48" s="100">
        <v>0</v>
      </c>
      <c r="U48" s="100">
        <v>0</v>
      </c>
      <c r="V48" s="100">
        <v>0</v>
      </c>
      <c r="W48" s="100">
        <v>0</v>
      </c>
      <c r="X48" s="100">
        <v>0</v>
      </c>
      <c r="Y48" s="100">
        <v>0</v>
      </c>
      <c r="Z48" s="100">
        <v>0</v>
      </c>
    </row>
    <row r="49" spans="1:42" ht="12.75" customHeight="1" x14ac:dyDescent="0.25">
      <c r="A49" s="89" t="s">
        <v>79</v>
      </c>
      <c r="B49" t="s">
        <v>70</v>
      </c>
      <c r="F49" s="90">
        <v>1429187654.4100001</v>
      </c>
      <c r="G49" s="90">
        <v>175313424.50999999</v>
      </c>
      <c r="H49" s="90">
        <v>98734167.939999998</v>
      </c>
      <c r="I49" s="90">
        <v>51839489.469999999</v>
      </c>
      <c r="J49" s="90">
        <v>191254254.50999999</v>
      </c>
      <c r="K49" s="90">
        <v>7158741.7000000002</v>
      </c>
      <c r="L49" s="90">
        <v>0</v>
      </c>
      <c r="M49" s="90">
        <v>61433394.420000002</v>
      </c>
      <c r="N49" s="90">
        <v>61094422.450000003</v>
      </c>
      <c r="O49" s="90">
        <v>288938119.62</v>
      </c>
      <c r="P49" s="90">
        <v>481741296.95999998</v>
      </c>
      <c r="Q49" s="90">
        <v>11680342.83</v>
      </c>
      <c r="R49" s="90">
        <v>0</v>
      </c>
      <c r="S49" s="90">
        <v>0</v>
      </c>
      <c r="T49" s="90">
        <v>0</v>
      </c>
      <c r="U49" s="90">
        <v>0</v>
      </c>
      <c r="V49" s="90">
        <v>0</v>
      </c>
      <c r="W49" s="90">
        <v>0</v>
      </c>
      <c r="X49" s="90">
        <v>0</v>
      </c>
      <c r="Y49" s="90">
        <v>0</v>
      </c>
      <c r="Z49" s="90">
        <v>0</v>
      </c>
    </row>
    <row r="50" spans="1:42" ht="12.75" customHeight="1" x14ac:dyDescent="0.25">
      <c r="A50" s="89" t="s">
        <v>70</v>
      </c>
      <c r="F50" s="90">
        <v>17365120456.119999</v>
      </c>
      <c r="G50" s="90">
        <v>1073538573.8099999</v>
      </c>
      <c r="H50" s="90">
        <v>605296091.75</v>
      </c>
      <c r="I50" s="90">
        <v>317974473.05000001</v>
      </c>
      <c r="J50" s="90">
        <v>3985812285.9400001</v>
      </c>
      <c r="K50" s="90">
        <v>140701445.00999999</v>
      </c>
      <c r="L50" s="90">
        <v>25277316.260000002</v>
      </c>
      <c r="M50" s="90">
        <v>1236361889.52</v>
      </c>
      <c r="N50" s="90">
        <v>1191982536.3099999</v>
      </c>
      <c r="O50" s="90">
        <v>5641113648.3900003</v>
      </c>
      <c r="P50" s="90">
        <v>2917496415.3600001</v>
      </c>
      <c r="Q50" s="90">
        <v>229584921.13999999</v>
      </c>
      <c r="R50" s="90">
        <v>-17547.810000000001</v>
      </c>
      <c r="S50" s="90">
        <v>-2114.83</v>
      </c>
      <c r="T50">
        <v>522.25</v>
      </c>
      <c r="U50">
        <v>0</v>
      </c>
      <c r="V50">
        <v>0</v>
      </c>
      <c r="W50">
        <v>0</v>
      </c>
      <c r="X50" s="90">
        <v>0</v>
      </c>
      <c r="Y50" s="90">
        <v>0</v>
      </c>
      <c r="Z50">
        <v>-0.03</v>
      </c>
    </row>
    <row r="51" spans="1:42" ht="12.75" customHeight="1" x14ac:dyDescent="0.25">
      <c r="A51" s="89"/>
      <c r="D51" s="143"/>
      <c r="E51" s="137"/>
      <c r="F51" s="90"/>
      <c r="G51" s="90"/>
      <c r="H51" s="90"/>
      <c r="I51" s="90"/>
      <c r="J51" s="90"/>
      <c r="K51" s="90"/>
      <c r="L51" s="90"/>
      <c r="M51" s="90"/>
      <c r="N51" s="90"/>
      <c r="O51" s="90"/>
      <c r="P51" s="90"/>
      <c r="Q51" s="90"/>
      <c r="R51" s="90"/>
      <c r="S51" s="90"/>
      <c r="X51" s="90"/>
      <c r="Y51" s="90"/>
    </row>
    <row r="52" spans="1:42" ht="12.75" customHeight="1" x14ac:dyDescent="0.25">
      <c r="A52" s="89"/>
      <c r="F52" s="90"/>
      <c r="G52" s="90"/>
      <c r="H52" s="90"/>
      <c r="I52" s="90"/>
      <c r="J52" s="90"/>
      <c r="K52" s="90"/>
      <c r="L52" s="90"/>
      <c r="M52" s="90"/>
      <c r="N52" s="90"/>
      <c r="O52" s="90"/>
      <c r="P52" s="90"/>
      <c r="Q52" s="90"/>
      <c r="R52" s="90"/>
      <c r="S52" s="90"/>
    </row>
    <row r="53" spans="1:42" ht="12.75" customHeight="1" x14ac:dyDescent="0.25">
      <c r="C53" s="774" t="s">
        <v>2</v>
      </c>
      <c r="D53" s="771" t="s">
        <v>132</v>
      </c>
      <c r="E53" s="98" t="s">
        <v>70</v>
      </c>
      <c r="F53" s="100">
        <f>F32+F48+F12-L12-L32</f>
        <v>17339793559.860001</v>
      </c>
      <c r="G53" s="100">
        <f t="shared" ref="G53:AP53" si="0">G32+G12</f>
        <v>898223141.86000001</v>
      </c>
      <c r="H53" s="100">
        <f t="shared" si="0"/>
        <v>506560790.43000001</v>
      </c>
      <c r="I53" s="100">
        <f t="shared" si="0"/>
        <v>266134388.70000002</v>
      </c>
      <c r="J53" s="100">
        <f t="shared" si="0"/>
        <v>3794558031.4300003</v>
      </c>
      <c r="K53" s="100">
        <f t="shared" si="0"/>
        <v>133542703.31</v>
      </c>
      <c r="L53" s="100">
        <f t="shared" si="0"/>
        <v>25277316.260000002</v>
      </c>
      <c r="M53" s="100">
        <f t="shared" si="0"/>
        <v>1174928495.1000001</v>
      </c>
      <c r="N53" s="100">
        <f t="shared" si="0"/>
        <v>1130888113.8599999</v>
      </c>
      <c r="O53" s="100">
        <f t="shared" si="0"/>
        <v>5352175528.7699995</v>
      </c>
      <c r="P53" s="100">
        <f t="shared" si="0"/>
        <v>2435749635.8000002</v>
      </c>
      <c r="Q53" s="100">
        <f t="shared" si="0"/>
        <v>217904578.31</v>
      </c>
      <c r="R53" s="100">
        <f t="shared" si="0"/>
        <v>-17545.2</v>
      </c>
      <c r="S53" s="100">
        <f t="shared" si="0"/>
        <v>-2114.83</v>
      </c>
      <c r="T53" s="100">
        <f t="shared" si="0"/>
        <v>522.25</v>
      </c>
      <c r="U53" s="100">
        <f t="shared" si="0"/>
        <v>0</v>
      </c>
      <c r="V53" s="100">
        <f t="shared" si="0"/>
        <v>0</v>
      </c>
      <c r="W53" s="100">
        <f t="shared" si="0"/>
        <v>0</v>
      </c>
      <c r="X53" s="100">
        <f t="shared" si="0"/>
        <v>0</v>
      </c>
      <c r="Y53" s="100">
        <f t="shared" si="0"/>
        <v>0</v>
      </c>
      <c r="Z53" s="100">
        <f t="shared" si="0"/>
        <v>-0.03</v>
      </c>
      <c r="AA53" s="100">
        <f t="shared" si="0"/>
        <v>0</v>
      </c>
      <c r="AB53" s="100">
        <f t="shared" si="0"/>
        <v>0</v>
      </c>
      <c r="AC53" s="100">
        <f t="shared" si="0"/>
        <v>0</v>
      </c>
      <c r="AD53" s="100">
        <f t="shared" si="0"/>
        <v>0</v>
      </c>
      <c r="AE53" s="100">
        <f t="shared" si="0"/>
        <v>0</v>
      </c>
      <c r="AF53" s="100">
        <f t="shared" si="0"/>
        <v>0</v>
      </c>
      <c r="AG53" s="100">
        <f t="shared" si="0"/>
        <v>0</v>
      </c>
      <c r="AH53" s="100">
        <f t="shared" si="0"/>
        <v>0</v>
      </c>
      <c r="AI53" s="100">
        <f t="shared" si="0"/>
        <v>0</v>
      </c>
      <c r="AJ53" s="100">
        <f t="shared" si="0"/>
        <v>0</v>
      </c>
      <c r="AK53" s="100">
        <f t="shared" si="0"/>
        <v>0</v>
      </c>
      <c r="AL53" s="100">
        <f t="shared" si="0"/>
        <v>0</v>
      </c>
      <c r="AM53" s="100">
        <f t="shared" si="0"/>
        <v>0</v>
      </c>
      <c r="AN53" s="100">
        <f t="shared" si="0"/>
        <v>0</v>
      </c>
      <c r="AO53" s="100">
        <f t="shared" si="0"/>
        <v>0</v>
      </c>
      <c r="AP53" s="100">
        <f t="shared" si="0"/>
        <v>0</v>
      </c>
    </row>
    <row r="54" spans="1:42" ht="12.75" customHeight="1" x14ac:dyDescent="0.25">
      <c r="C54" s="774"/>
      <c r="D54" s="771"/>
      <c r="E54" s="98" t="s">
        <v>73</v>
      </c>
      <c r="F54" s="100">
        <f>F48</f>
        <v>1429147290.0999999</v>
      </c>
      <c r="G54" s="90"/>
      <c r="H54" s="90"/>
      <c r="I54" s="90"/>
      <c r="J54" s="90"/>
      <c r="K54" s="90"/>
      <c r="L54" s="90"/>
      <c r="M54" s="90"/>
      <c r="N54" s="90"/>
      <c r="O54" s="90"/>
      <c r="P54" s="90"/>
      <c r="Q54" s="90"/>
      <c r="R54" s="90"/>
      <c r="S54" s="90"/>
    </row>
    <row r="55" spans="1:42" ht="12.75" customHeight="1" x14ac:dyDescent="0.25">
      <c r="C55" s="774"/>
      <c r="D55" s="771" t="s">
        <v>133</v>
      </c>
      <c r="E55" s="233" t="s">
        <v>70</v>
      </c>
      <c r="F55" s="234">
        <f>F37+F17-L17</f>
        <v>49580</v>
      </c>
      <c r="G55" s="234">
        <f>G17</f>
        <v>2007.44</v>
      </c>
      <c r="H55" s="234">
        <f t="shared" ref="H55:AP55" si="1">H17</f>
        <v>1133.3800000000001</v>
      </c>
      <c r="I55" s="234">
        <f t="shared" si="1"/>
        <v>594.88</v>
      </c>
      <c r="J55" s="234">
        <f t="shared" si="1"/>
        <v>0</v>
      </c>
      <c r="K55" s="234">
        <f t="shared" si="1"/>
        <v>0</v>
      </c>
      <c r="L55" s="234">
        <f t="shared" si="1"/>
        <v>0</v>
      </c>
      <c r="M55" s="234">
        <f t="shared" si="1"/>
        <v>0</v>
      </c>
      <c r="N55" s="234">
        <f t="shared" si="1"/>
        <v>0</v>
      </c>
      <c r="O55" s="234">
        <f t="shared" si="1"/>
        <v>0</v>
      </c>
      <c r="P55" s="234">
        <f t="shared" si="1"/>
        <v>5482.6</v>
      </c>
      <c r="Q55" s="234">
        <f t="shared" si="1"/>
        <v>0</v>
      </c>
      <c r="R55" s="234">
        <f t="shared" si="1"/>
        <v>-2.61</v>
      </c>
      <c r="S55" s="234">
        <f t="shared" si="1"/>
        <v>0</v>
      </c>
      <c r="T55" s="234">
        <f t="shared" si="1"/>
        <v>0</v>
      </c>
      <c r="U55" s="234">
        <f t="shared" si="1"/>
        <v>0</v>
      </c>
      <c r="V55" s="234">
        <f t="shared" si="1"/>
        <v>0</v>
      </c>
      <c r="W55" s="234">
        <f t="shared" si="1"/>
        <v>0</v>
      </c>
      <c r="X55" s="234">
        <f t="shared" si="1"/>
        <v>0</v>
      </c>
      <c r="Y55" s="234">
        <f t="shared" si="1"/>
        <v>0</v>
      </c>
      <c r="Z55" s="234">
        <f t="shared" si="1"/>
        <v>0</v>
      </c>
      <c r="AA55" s="234">
        <f t="shared" si="1"/>
        <v>0</v>
      </c>
      <c r="AB55" s="234">
        <f t="shared" si="1"/>
        <v>0</v>
      </c>
      <c r="AC55" s="234">
        <f t="shared" si="1"/>
        <v>0</v>
      </c>
      <c r="AD55" s="234">
        <f t="shared" si="1"/>
        <v>0</v>
      </c>
      <c r="AE55" s="234">
        <f t="shared" si="1"/>
        <v>0</v>
      </c>
      <c r="AF55" s="234">
        <f t="shared" si="1"/>
        <v>0</v>
      </c>
      <c r="AG55" s="234">
        <f t="shared" si="1"/>
        <v>0</v>
      </c>
      <c r="AH55" s="234">
        <f t="shared" si="1"/>
        <v>0</v>
      </c>
      <c r="AI55" s="234">
        <f t="shared" si="1"/>
        <v>0</v>
      </c>
      <c r="AJ55" s="234">
        <f t="shared" si="1"/>
        <v>0</v>
      </c>
      <c r="AK55" s="234">
        <f t="shared" si="1"/>
        <v>0</v>
      </c>
      <c r="AL55" s="234">
        <f t="shared" si="1"/>
        <v>0</v>
      </c>
      <c r="AM55" s="234">
        <f t="shared" si="1"/>
        <v>0</v>
      </c>
      <c r="AN55" s="234">
        <f t="shared" si="1"/>
        <v>0</v>
      </c>
      <c r="AO55" s="234">
        <f t="shared" si="1"/>
        <v>0</v>
      </c>
      <c r="AP55" s="234">
        <f t="shared" si="1"/>
        <v>0</v>
      </c>
    </row>
    <row r="56" spans="1:42" ht="12.75" customHeight="1" x14ac:dyDescent="0.25">
      <c r="C56" s="774"/>
      <c r="D56" s="771"/>
      <c r="E56" s="233" t="s">
        <v>73</v>
      </c>
      <c r="F56" s="234">
        <f>F37</f>
        <v>40364.31</v>
      </c>
      <c r="G56" s="90"/>
      <c r="H56" s="90"/>
      <c r="I56" s="90"/>
      <c r="J56" s="90"/>
      <c r="K56" s="90"/>
      <c r="L56" s="90"/>
      <c r="M56" s="90"/>
      <c r="N56" s="90"/>
      <c r="O56" s="90"/>
      <c r="P56" s="90"/>
      <c r="Q56" s="90"/>
      <c r="R56" s="90"/>
    </row>
    <row r="57" spans="1:42" ht="12.75" customHeight="1" x14ac:dyDescent="0.3">
      <c r="A57" s="89"/>
      <c r="C57" s="97"/>
      <c r="F57" s="90"/>
      <c r="G57" s="90"/>
      <c r="H57" s="90"/>
      <c r="I57" s="90"/>
      <c r="J57" s="90"/>
      <c r="K57" s="90"/>
      <c r="L57" s="90"/>
      <c r="M57" s="90"/>
      <c r="N57" s="90"/>
      <c r="O57" s="90"/>
      <c r="P57" s="90"/>
      <c r="Q57" s="90"/>
      <c r="R57" s="90"/>
      <c r="S57" s="90"/>
    </row>
    <row r="58" spans="1:42" ht="12.75" customHeight="1" x14ac:dyDescent="0.25">
      <c r="C58" s="774" t="s">
        <v>160</v>
      </c>
      <c r="D58" s="771" t="s">
        <v>132</v>
      </c>
      <c r="E58" s="223" t="s">
        <v>70</v>
      </c>
      <c r="F58" s="225">
        <v>0</v>
      </c>
      <c r="G58" s="225">
        <v>0</v>
      </c>
      <c r="H58" s="225">
        <v>0</v>
      </c>
      <c r="I58" s="225">
        <v>0</v>
      </c>
      <c r="J58" s="225">
        <v>0</v>
      </c>
      <c r="K58" s="225">
        <v>0</v>
      </c>
      <c r="L58" s="225">
        <v>0</v>
      </c>
      <c r="M58" s="225">
        <v>0</v>
      </c>
      <c r="N58" s="225">
        <v>0</v>
      </c>
      <c r="O58" s="225">
        <v>0</v>
      </c>
      <c r="P58" s="225">
        <v>0</v>
      </c>
      <c r="Q58" s="225">
        <v>0</v>
      </c>
      <c r="R58" s="225">
        <v>0</v>
      </c>
      <c r="S58" s="225">
        <v>0</v>
      </c>
      <c r="T58" s="225">
        <v>0</v>
      </c>
      <c r="U58" s="225">
        <v>0</v>
      </c>
      <c r="V58" s="225">
        <v>0</v>
      </c>
      <c r="W58" s="225">
        <v>0</v>
      </c>
      <c r="X58" s="225">
        <v>0</v>
      </c>
      <c r="Y58" s="225">
        <v>0</v>
      </c>
      <c r="Z58" s="225">
        <v>0</v>
      </c>
      <c r="AA58" s="225">
        <v>0</v>
      </c>
      <c r="AB58" s="225">
        <v>0</v>
      </c>
      <c r="AC58" s="225">
        <v>0</v>
      </c>
      <c r="AD58" s="225">
        <v>0</v>
      </c>
      <c r="AE58" s="225">
        <v>0</v>
      </c>
      <c r="AF58" s="225">
        <v>0</v>
      </c>
      <c r="AG58" s="225">
        <v>0</v>
      </c>
      <c r="AH58" s="225">
        <v>0</v>
      </c>
      <c r="AI58" s="225">
        <v>0</v>
      </c>
      <c r="AJ58" s="225">
        <v>0</v>
      </c>
      <c r="AK58" s="225">
        <v>0</v>
      </c>
      <c r="AL58" s="225">
        <v>0</v>
      </c>
      <c r="AM58" s="225">
        <v>0</v>
      </c>
      <c r="AN58" s="225">
        <v>0</v>
      </c>
      <c r="AO58" s="225">
        <v>0</v>
      </c>
      <c r="AP58" s="225">
        <v>0</v>
      </c>
    </row>
    <row r="59" spans="1:42" ht="12.75" customHeight="1" x14ac:dyDescent="0.25">
      <c r="C59" s="774"/>
      <c r="D59" s="771"/>
      <c r="E59" s="223" t="s">
        <v>73</v>
      </c>
      <c r="F59" s="225">
        <v>0</v>
      </c>
      <c r="G59" s="90"/>
      <c r="H59" s="90"/>
      <c r="I59" s="90"/>
      <c r="J59" s="90"/>
      <c r="K59" s="90"/>
      <c r="L59" s="90"/>
      <c r="M59" s="90"/>
      <c r="N59" s="90"/>
      <c r="O59" s="90"/>
      <c r="P59" s="90"/>
      <c r="Q59" s="90"/>
      <c r="R59" s="90"/>
      <c r="S59" s="90"/>
    </row>
    <row r="60" spans="1:42" ht="12.75" customHeight="1" x14ac:dyDescent="0.25">
      <c r="C60" s="774"/>
      <c r="D60" s="771" t="s">
        <v>133</v>
      </c>
      <c r="E60" s="227" t="s">
        <v>70</v>
      </c>
      <c r="F60" s="228">
        <v>0</v>
      </c>
      <c r="G60" s="228">
        <v>0</v>
      </c>
      <c r="H60" s="228">
        <v>0</v>
      </c>
      <c r="I60" s="228">
        <v>0</v>
      </c>
      <c r="J60" s="228">
        <v>0</v>
      </c>
      <c r="K60" s="228">
        <v>0</v>
      </c>
      <c r="L60" s="228">
        <v>0</v>
      </c>
      <c r="M60" s="228">
        <v>0</v>
      </c>
      <c r="N60" s="228">
        <v>0</v>
      </c>
      <c r="O60" s="228">
        <v>0</v>
      </c>
      <c r="P60" s="228">
        <v>0</v>
      </c>
      <c r="Q60" s="228">
        <v>0</v>
      </c>
      <c r="R60" s="228">
        <v>0</v>
      </c>
      <c r="S60" s="228">
        <v>0</v>
      </c>
      <c r="T60" s="228">
        <v>0</v>
      </c>
      <c r="U60" s="228">
        <v>0</v>
      </c>
      <c r="V60" s="228">
        <v>0</v>
      </c>
      <c r="W60" s="228">
        <v>0</v>
      </c>
      <c r="X60" s="228">
        <v>0</v>
      </c>
      <c r="Y60" s="228">
        <v>0</v>
      </c>
      <c r="Z60" s="228">
        <v>0</v>
      </c>
      <c r="AA60" s="228">
        <v>0</v>
      </c>
      <c r="AB60" s="228">
        <v>0</v>
      </c>
      <c r="AC60" s="228">
        <v>0</v>
      </c>
      <c r="AD60" s="228">
        <v>0</v>
      </c>
      <c r="AE60" s="228">
        <v>0</v>
      </c>
      <c r="AF60" s="228">
        <v>0</v>
      </c>
      <c r="AG60" s="228">
        <v>0</v>
      </c>
      <c r="AH60" s="228">
        <v>0</v>
      </c>
      <c r="AI60" s="228">
        <v>0</v>
      </c>
      <c r="AJ60" s="228">
        <v>0</v>
      </c>
      <c r="AK60" s="228">
        <v>0</v>
      </c>
      <c r="AL60" s="228">
        <v>0</v>
      </c>
      <c r="AM60" s="228">
        <v>0</v>
      </c>
      <c r="AN60" s="228">
        <v>0</v>
      </c>
      <c r="AO60" s="228">
        <v>0</v>
      </c>
      <c r="AP60" s="228">
        <v>0</v>
      </c>
    </row>
    <row r="61" spans="1:42" ht="12.75" customHeight="1" x14ac:dyDescent="0.25">
      <c r="C61" s="774"/>
      <c r="D61" s="771"/>
      <c r="E61" s="227" t="s">
        <v>73</v>
      </c>
      <c r="F61" s="228">
        <v>0</v>
      </c>
      <c r="G61" s="90"/>
      <c r="H61" s="90"/>
      <c r="I61" s="90"/>
      <c r="J61" s="90"/>
      <c r="K61" s="90"/>
      <c r="L61" s="90"/>
      <c r="M61" s="90"/>
      <c r="N61" s="90"/>
      <c r="O61" s="90"/>
      <c r="P61" s="90"/>
      <c r="Q61" s="90"/>
      <c r="R61" s="90"/>
    </row>
    <row r="62" spans="1:42" ht="12.75" customHeight="1" x14ac:dyDescent="0.3">
      <c r="A62" s="89"/>
      <c r="C62" s="97"/>
      <c r="F62" s="90"/>
      <c r="G62" s="90"/>
      <c r="H62" s="90"/>
      <c r="I62" s="90"/>
      <c r="J62" s="90"/>
      <c r="K62" s="90"/>
      <c r="L62" s="90"/>
      <c r="M62" s="90"/>
      <c r="N62" s="90"/>
      <c r="O62" s="90"/>
      <c r="P62" s="90"/>
      <c r="Q62" s="90"/>
      <c r="R62" s="90"/>
      <c r="S62" s="90"/>
    </row>
    <row r="63" spans="1:42" ht="12.75" customHeight="1" x14ac:dyDescent="0.25">
      <c r="C63" s="774" t="s">
        <v>155</v>
      </c>
      <c r="D63" s="771" t="s">
        <v>132</v>
      </c>
      <c r="E63" s="221" t="s">
        <v>70</v>
      </c>
      <c r="F63" s="222">
        <f>F40+F21+F8-L8-L21</f>
        <v>16560599150.5</v>
      </c>
      <c r="G63" s="222">
        <f>G21+G8</f>
        <v>801645029.27999997</v>
      </c>
      <c r="H63" s="222">
        <f t="shared" ref="H63:AP63" si="2">H21+H8</f>
        <v>452328892.93000001</v>
      </c>
      <c r="I63" s="222">
        <f t="shared" si="2"/>
        <v>237653152.88</v>
      </c>
      <c r="J63" s="222">
        <f t="shared" si="2"/>
        <v>3743398457.3299999</v>
      </c>
      <c r="K63" s="222">
        <f t="shared" si="2"/>
        <v>131909206.38000001</v>
      </c>
      <c r="L63" s="222">
        <f t="shared" si="2"/>
        <v>16516492.25</v>
      </c>
      <c r="M63" s="222">
        <f t="shared" si="2"/>
        <v>1160554403.1900001</v>
      </c>
      <c r="N63" s="222">
        <f t="shared" si="2"/>
        <v>1113470084.8499999</v>
      </c>
      <c r="O63" s="222">
        <f t="shared" si="2"/>
        <v>5271166494.5799999</v>
      </c>
      <c r="P63" s="222">
        <f t="shared" si="2"/>
        <v>2172128352.0600004</v>
      </c>
      <c r="Q63" s="222">
        <f t="shared" si="2"/>
        <v>215238429.09999999</v>
      </c>
      <c r="R63" s="222">
        <f t="shared" si="2"/>
        <v>-16764.259999999998</v>
      </c>
      <c r="S63" s="222">
        <f t="shared" si="2"/>
        <v>0</v>
      </c>
      <c r="T63" s="222">
        <f t="shared" si="2"/>
        <v>521.79999999999995</v>
      </c>
      <c r="U63" s="222">
        <f t="shared" si="2"/>
        <v>0</v>
      </c>
      <c r="V63" s="222">
        <f t="shared" si="2"/>
        <v>0</v>
      </c>
      <c r="W63" s="222">
        <f t="shared" si="2"/>
        <v>0</v>
      </c>
      <c r="X63" s="222">
        <f t="shared" si="2"/>
        <v>0</v>
      </c>
      <c r="Y63" s="222">
        <f t="shared" si="2"/>
        <v>0</v>
      </c>
      <c r="Z63" s="222">
        <f t="shared" si="2"/>
        <v>-0.03</v>
      </c>
      <c r="AA63" s="222">
        <f t="shared" si="2"/>
        <v>0</v>
      </c>
      <c r="AB63" s="222">
        <f t="shared" si="2"/>
        <v>0</v>
      </c>
      <c r="AC63" s="222">
        <f t="shared" si="2"/>
        <v>0</v>
      </c>
      <c r="AD63" s="222">
        <f t="shared" si="2"/>
        <v>0</v>
      </c>
      <c r="AE63" s="222">
        <f t="shared" si="2"/>
        <v>0</v>
      </c>
      <c r="AF63" s="222">
        <f t="shared" si="2"/>
        <v>0</v>
      </c>
      <c r="AG63" s="222">
        <f t="shared" si="2"/>
        <v>0</v>
      </c>
      <c r="AH63" s="222">
        <f t="shared" si="2"/>
        <v>0</v>
      </c>
      <c r="AI63" s="222">
        <f t="shared" si="2"/>
        <v>0</v>
      </c>
      <c r="AJ63" s="222">
        <f t="shared" si="2"/>
        <v>0</v>
      </c>
      <c r="AK63" s="222">
        <f t="shared" si="2"/>
        <v>0</v>
      </c>
      <c r="AL63" s="222">
        <f t="shared" si="2"/>
        <v>0</v>
      </c>
      <c r="AM63" s="222">
        <f t="shared" si="2"/>
        <v>0</v>
      </c>
      <c r="AN63" s="222">
        <f t="shared" si="2"/>
        <v>0</v>
      </c>
      <c r="AO63" s="222">
        <f t="shared" si="2"/>
        <v>0</v>
      </c>
      <c r="AP63" s="222">
        <f t="shared" si="2"/>
        <v>0</v>
      </c>
    </row>
    <row r="64" spans="1:42" ht="12.75" customHeight="1" x14ac:dyDescent="0.25">
      <c r="C64" s="774"/>
      <c r="D64" s="771"/>
      <c r="E64" s="221" t="s">
        <v>73</v>
      </c>
      <c r="F64" s="222">
        <f>F40</f>
        <v>1261122890.4100001</v>
      </c>
      <c r="G64" s="90"/>
      <c r="H64" s="90"/>
      <c r="I64" s="90"/>
      <c r="J64" s="90"/>
      <c r="K64" s="90"/>
      <c r="L64" s="90"/>
      <c r="M64" s="90"/>
      <c r="N64" s="90"/>
      <c r="O64" s="90"/>
      <c r="P64" s="90"/>
      <c r="Q64" s="90"/>
      <c r="R64" s="90"/>
      <c r="S64" s="90"/>
    </row>
    <row r="65" spans="1:42" ht="12.75" customHeight="1" x14ac:dyDescent="0.25">
      <c r="B65" s="150"/>
      <c r="C65" s="774"/>
      <c r="D65" s="771" t="s">
        <v>133</v>
      </c>
      <c r="E65" s="229" t="s">
        <v>70</v>
      </c>
      <c r="F65" s="230">
        <f>F36+F16-L16</f>
        <v>49580</v>
      </c>
      <c r="G65" s="230">
        <f>G16</f>
        <v>2007.44</v>
      </c>
      <c r="H65" s="230">
        <f t="shared" ref="H65:AP65" si="3">H16</f>
        <v>1133.3800000000001</v>
      </c>
      <c r="I65" s="230">
        <f t="shared" si="3"/>
        <v>594.88</v>
      </c>
      <c r="J65" s="230">
        <f t="shared" si="3"/>
        <v>0</v>
      </c>
      <c r="K65" s="230">
        <f t="shared" si="3"/>
        <v>0</v>
      </c>
      <c r="L65" s="230">
        <f t="shared" si="3"/>
        <v>0</v>
      </c>
      <c r="M65" s="230">
        <f t="shared" si="3"/>
        <v>0</v>
      </c>
      <c r="N65" s="230">
        <f t="shared" si="3"/>
        <v>0</v>
      </c>
      <c r="O65" s="230">
        <f t="shared" si="3"/>
        <v>0</v>
      </c>
      <c r="P65" s="230">
        <f t="shared" si="3"/>
        <v>5482.6</v>
      </c>
      <c r="Q65" s="230">
        <f t="shared" si="3"/>
        <v>0</v>
      </c>
      <c r="R65" s="230">
        <f t="shared" si="3"/>
        <v>-2.61</v>
      </c>
      <c r="S65" s="230">
        <f t="shared" si="3"/>
        <v>0</v>
      </c>
      <c r="T65" s="230">
        <f t="shared" si="3"/>
        <v>0</v>
      </c>
      <c r="U65" s="230">
        <f t="shared" si="3"/>
        <v>0</v>
      </c>
      <c r="V65" s="230">
        <f t="shared" si="3"/>
        <v>0</v>
      </c>
      <c r="W65" s="230">
        <f t="shared" si="3"/>
        <v>0</v>
      </c>
      <c r="X65" s="230">
        <f t="shared" si="3"/>
        <v>0</v>
      </c>
      <c r="Y65" s="230">
        <f t="shared" si="3"/>
        <v>0</v>
      </c>
      <c r="Z65" s="230">
        <f t="shared" si="3"/>
        <v>0</v>
      </c>
      <c r="AA65" s="230">
        <f t="shared" si="3"/>
        <v>0</v>
      </c>
      <c r="AB65" s="230">
        <f t="shared" si="3"/>
        <v>0</v>
      </c>
      <c r="AC65" s="230">
        <f t="shared" si="3"/>
        <v>0</v>
      </c>
      <c r="AD65" s="230">
        <f t="shared" si="3"/>
        <v>0</v>
      </c>
      <c r="AE65" s="230">
        <f t="shared" si="3"/>
        <v>0</v>
      </c>
      <c r="AF65" s="230">
        <f t="shared" si="3"/>
        <v>0</v>
      </c>
      <c r="AG65" s="230">
        <f t="shared" si="3"/>
        <v>0</v>
      </c>
      <c r="AH65" s="230">
        <f t="shared" si="3"/>
        <v>0</v>
      </c>
      <c r="AI65" s="230">
        <f t="shared" si="3"/>
        <v>0</v>
      </c>
      <c r="AJ65" s="230">
        <f t="shared" si="3"/>
        <v>0</v>
      </c>
      <c r="AK65" s="230">
        <f t="shared" si="3"/>
        <v>0</v>
      </c>
      <c r="AL65" s="230">
        <f t="shared" si="3"/>
        <v>0</v>
      </c>
      <c r="AM65" s="230">
        <f t="shared" si="3"/>
        <v>0</v>
      </c>
      <c r="AN65" s="230">
        <f t="shared" si="3"/>
        <v>0</v>
      </c>
      <c r="AO65" s="230">
        <f t="shared" si="3"/>
        <v>0</v>
      </c>
      <c r="AP65" s="230">
        <f t="shared" si="3"/>
        <v>0</v>
      </c>
    </row>
    <row r="66" spans="1:42" ht="12.75" customHeight="1" x14ac:dyDescent="0.25">
      <c r="B66" s="150"/>
      <c r="C66" s="774"/>
      <c r="D66" s="771"/>
      <c r="E66" s="229" t="s">
        <v>73</v>
      </c>
      <c r="F66" s="230">
        <f>F36</f>
        <v>40364.31</v>
      </c>
      <c r="G66" s="90"/>
      <c r="H66" s="90"/>
      <c r="I66" s="90"/>
      <c r="J66" s="90"/>
      <c r="K66" s="90"/>
      <c r="L66" s="90"/>
      <c r="M66" s="90"/>
      <c r="N66" s="90"/>
      <c r="O66" s="90"/>
      <c r="P66" s="90"/>
      <c r="Q66" s="90"/>
      <c r="R66" s="90"/>
    </row>
    <row r="67" spans="1:42" ht="12.75" customHeight="1" x14ac:dyDescent="0.3">
      <c r="A67" s="89"/>
      <c r="C67" s="97"/>
      <c r="F67" s="90"/>
      <c r="G67" s="90"/>
      <c r="H67" s="90"/>
      <c r="I67" s="90"/>
      <c r="J67" s="90"/>
      <c r="K67" s="90"/>
      <c r="L67" s="90"/>
      <c r="M67" s="90"/>
      <c r="N67" s="90"/>
      <c r="O67" s="90"/>
      <c r="P67" s="90"/>
      <c r="Q67" s="90"/>
      <c r="R67" s="90"/>
      <c r="S67" s="90"/>
    </row>
    <row r="68" spans="1:42" ht="12.75" customHeight="1" x14ac:dyDescent="0.25">
      <c r="C68" s="772" t="s">
        <v>328</v>
      </c>
      <c r="D68" s="771" t="s">
        <v>132</v>
      </c>
      <c r="E68" s="373" t="s">
        <v>70</v>
      </c>
      <c r="F68" s="374">
        <v>0</v>
      </c>
      <c r="G68" s="374">
        <v>0</v>
      </c>
      <c r="H68" s="374">
        <v>0</v>
      </c>
      <c r="I68" s="374">
        <v>0</v>
      </c>
      <c r="J68" s="374">
        <v>0</v>
      </c>
      <c r="K68" s="374">
        <v>0</v>
      </c>
      <c r="L68" s="374">
        <v>0</v>
      </c>
      <c r="M68" s="374">
        <v>0</v>
      </c>
      <c r="N68" s="374">
        <v>0</v>
      </c>
      <c r="O68" s="374">
        <v>0</v>
      </c>
      <c r="P68" s="374">
        <v>0</v>
      </c>
      <c r="Q68" s="374">
        <v>0</v>
      </c>
      <c r="R68" s="374">
        <v>0</v>
      </c>
      <c r="S68" s="374">
        <v>0</v>
      </c>
      <c r="T68" s="374">
        <v>0</v>
      </c>
      <c r="U68" s="374">
        <v>0</v>
      </c>
      <c r="V68" s="374">
        <v>0</v>
      </c>
      <c r="W68" s="374">
        <v>0</v>
      </c>
      <c r="X68" s="374">
        <v>0</v>
      </c>
      <c r="Y68" s="374">
        <v>0</v>
      </c>
      <c r="Z68" s="374">
        <v>0</v>
      </c>
      <c r="AA68" s="374">
        <v>0</v>
      </c>
      <c r="AB68" s="374">
        <v>0</v>
      </c>
      <c r="AC68" s="374">
        <v>0</v>
      </c>
      <c r="AD68" s="374">
        <v>0</v>
      </c>
      <c r="AE68" s="374">
        <v>0</v>
      </c>
      <c r="AF68" s="374">
        <v>0</v>
      </c>
      <c r="AG68" s="374">
        <v>0</v>
      </c>
      <c r="AH68" s="374">
        <v>0</v>
      </c>
      <c r="AI68" s="374">
        <v>0</v>
      </c>
      <c r="AJ68" s="374">
        <v>0</v>
      </c>
      <c r="AK68" s="374">
        <v>0</v>
      </c>
      <c r="AL68" s="374">
        <v>0</v>
      </c>
      <c r="AM68" s="374">
        <v>0</v>
      </c>
      <c r="AN68" s="374">
        <v>0</v>
      </c>
      <c r="AO68" s="374">
        <v>0</v>
      </c>
    </row>
    <row r="69" spans="1:42" ht="12.75" customHeight="1" x14ac:dyDescent="0.25">
      <c r="C69" s="772"/>
      <c r="D69" s="771"/>
      <c r="E69" s="373" t="s">
        <v>73</v>
      </c>
      <c r="F69" s="374">
        <v>0</v>
      </c>
      <c r="G69" s="90"/>
      <c r="H69" s="90"/>
      <c r="I69" s="90"/>
      <c r="J69" s="90"/>
      <c r="K69" s="90"/>
      <c r="L69" s="90"/>
      <c r="M69" s="90"/>
      <c r="N69" s="90"/>
      <c r="O69" s="90"/>
      <c r="P69" s="90"/>
      <c r="Q69" s="90"/>
      <c r="R69" s="90"/>
      <c r="S69" s="90"/>
    </row>
    <row r="70" spans="1:42" ht="12.75" customHeight="1" x14ac:dyDescent="0.25">
      <c r="C70" s="772"/>
      <c r="D70" s="771" t="s">
        <v>133</v>
      </c>
      <c r="E70" s="242" t="s">
        <v>70</v>
      </c>
      <c r="F70" s="243">
        <v>0</v>
      </c>
      <c r="G70" s="243">
        <v>0</v>
      </c>
      <c r="H70" s="243">
        <v>0</v>
      </c>
      <c r="I70" s="243">
        <v>0</v>
      </c>
      <c r="J70" s="243">
        <v>0</v>
      </c>
      <c r="K70" s="243">
        <v>0</v>
      </c>
      <c r="L70" s="243">
        <v>0</v>
      </c>
      <c r="M70" s="243">
        <v>0</v>
      </c>
      <c r="N70" s="243">
        <v>0</v>
      </c>
      <c r="O70" s="243">
        <v>0</v>
      </c>
      <c r="P70" s="243">
        <v>0</v>
      </c>
      <c r="Q70" s="243">
        <v>0</v>
      </c>
      <c r="R70" s="243">
        <v>0</v>
      </c>
      <c r="S70" s="243">
        <v>0</v>
      </c>
      <c r="T70" s="243">
        <v>0</v>
      </c>
      <c r="U70" s="243">
        <v>0</v>
      </c>
      <c r="V70" s="243">
        <v>0</v>
      </c>
      <c r="W70" s="243">
        <v>0</v>
      </c>
      <c r="X70" s="243">
        <v>0</v>
      </c>
      <c r="Y70" s="243">
        <v>0</v>
      </c>
      <c r="Z70" s="243">
        <v>0</v>
      </c>
      <c r="AA70" s="243">
        <v>0</v>
      </c>
      <c r="AB70" s="243">
        <v>0</v>
      </c>
      <c r="AC70" s="243">
        <v>0</v>
      </c>
      <c r="AD70" s="243">
        <v>0</v>
      </c>
      <c r="AE70" s="243">
        <v>0</v>
      </c>
      <c r="AF70" s="243">
        <v>0</v>
      </c>
      <c r="AG70" s="243">
        <v>0</v>
      </c>
      <c r="AH70" s="243">
        <v>0</v>
      </c>
      <c r="AI70" s="243">
        <v>0</v>
      </c>
      <c r="AJ70" s="243">
        <v>0</v>
      </c>
      <c r="AK70" s="243">
        <v>0</v>
      </c>
      <c r="AL70" s="243">
        <v>0</v>
      </c>
      <c r="AM70" s="243">
        <v>0</v>
      </c>
      <c r="AN70" s="243">
        <v>0</v>
      </c>
      <c r="AO70" s="243">
        <v>0</v>
      </c>
    </row>
    <row r="71" spans="1:42" ht="12.75" customHeight="1" x14ac:dyDescent="0.25">
      <c r="C71" s="772"/>
      <c r="D71" s="771"/>
      <c r="E71" s="242" t="s">
        <v>73</v>
      </c>
      <c r="F71" s="243">
        <v>0</v>
      </c>
      <c r="G71" s="90"/>
      <c r="H71" s="90"/>
      <c r="I71" s="90"/>
      <c r="J71" s="90"/>
      <c r="K71" s="90"/>
      <c r="L71" s="90"/>
      <c r="M71" s="90"/>
      <c r="N71" s="90"/>
      <c r="O71" s="90"/>
      <c r="P71" s="90"/>
      <c r="Q71" s="90"/>
      <c r="R71" s="90"/>
    </row>
    <row r="72" spans="1:42" ht="12.75" customHeight="1" x14ac:dyDescent="0.3">
      <c r="A72" s="89"/>
      <c r="C72" s="97"/>
      <c r="F72" s="90"/>
      <c r="G72" s="90"/>
      <c r="H72" s="90"/>
      <c r="I72" s="90"/>
      <c r="J72" s="90"/>
      <c r="K72" s="90"/>
      <c r="L72" s="90"/>
      <c r="M72" s="90"/>
      <c r="N72" s="90"/>
      <c r="O72" s="90"/>
      <c r="P72" s="90"/>
      <c r="Q72" s="90"/>
      <c r="R72" s="90"/>
      <c r="S72" s="90"/>
    </row>
    <row r="73" spans="1:42" ht="12.75" customHeight="1" x14ac:dyDescent="0.25">
      <c r="C73" s="774" t="s">
        <v>119</v>
      </c>
      <c r="D73" s="771" t="s">
        <v>132</v>
      </c>
      <c r="E73" s="101" t="s">
        <v>70</v>
      </c>
      <c r="F73" s="93">
        <f>F47+F31+F11-L11-L31</f>
        <v>779194409.36000013</v>
      </c>
      <c r="G73" s="93">
        <f t="shared" ref="G73:AP73" si="4">G31+G11</f>
        <v>96578112.579999998</v>
      </c>
      <c r="H73" s="93">
        <f t="shared" si="4"/>
        <v>54231897.5</v>
      </c>
      <c r="I73" s="93">
        <f t="shared" si="4"/>
        <v>28481235.82</v>
      </c>
      <c r="J73" s="93">
        <f t="shared" si="4"/>
        <v>51159574.100000001</v>
      </c>
      <c r="K73" s="93">
        <f t="shared" si="4"/>
        <v>1633496.93</v>
      </c>
      <c r="L73" s="93">
        <f t="shared" si="4"/>
        <v>8760824.0099999998</v>
      </c>
      <c r="M73" s="93">
        <f t="shared" si="4"/>
        <v>14374091.91</v>
      </c>
      <c r="N73" s="93">
        <f t="shared" si="4"/>
        <v>17418029.010000002</v>
      </c>
      <c r="O73" s="93">
        <f t="shared" si="4"/>
        <v>81009034.189999998</v>
      </c>
      <c r="P73" s="93">
        <f t="shared" si="4"/>
        <v>263621283.74000001</v>
      </c>
      <c r="Q73" s="93">
        <f t="shared" si="4"/>
        <v>2666149.21</v>
      </c>
      <c r="R73" s="93">
        <f t="shared" si="4"/>
        <v>-780.94</v>
      </c>
      <c r="S73" s="93">
        <f t="shared" si="4"/>
        <v>-2114.83</v>
      </c>
      <c r="T73" s="93">
        <f t="shared" si="4"/>
        <v>0.45</v>
      </c>
      <c r="U73" s="93">
        <f t="shared" si="4"/>
        <v>0</v>
      </c>
      <c r="V73" s="93">
        <f t="shared" si="4"/>
        <v>0</v>
      </c>
      <c r="W73" s="93">
        <f t="shared" si="4"/>
        <v>0</v>
      </c>
      <c r="X73" s="93">
        <f t="shared" si="4"/>
        <v>0</v>
      </c>
      <c r="Y73" s="93">
        <f t="shared" si="4"/>
        <v>0</v>
      </c>
      <c r="Z73" s="93">
        <f t="shared" si="4"/>
        <v>0</v>
      </c>
      <c r="AA73" s="93">
        <f t="shared" si="4"/>
        <v>0</v>
      </c>
      <c r="AB73" s="93">
        <f t="shared" si="4"/>
        <v>0</v>
      </c>
      <c r="AC73" s="93">
        <f t="shared" si="4"/>
        <v>0</v>
      </c>
      <c r="AD73" s="93">
        <f t="shared" si="4"/>
        <v>0</v>
      </c>
      <c r="AE73" s="93">
        <f t="shared" si="4"/>
        <v>0</v>
      </c>
      <c r="AF73" s="93">
        <f t="shared" si="4"/>
        <v>0</v>
      </c>
      <c r="AG73" s="93">
        <f t="shared" si="4"/>
        <v>0</v>
      </c>
      <c r="AH73" s="93">
        <f t="shared" si="4"/>
        <v>0</v>
      </c>
      <c r="AI73" s="93">
        <f t="shared" si="4"/>
        <v>0</v>
      </c>
      <c r="AJ73" s="93">
        <f t="shared" si="4"/>
        <v>0</v>
      </c>
      <c r="AK73" s="93">
        <f t="shared" si="4"/>
        <v>0</v>
      </c>
      <c r="AL73" s="93">
        <f t="shared" si="4"/>
        <v>0</v>
      </c>
      <c r="AM73" s="93">
        <f t="shared" si="4"/>
        <v>0</v>
      </c>
      <c r="AN73" s="93">
        <f t="shared" si="4"/>
        <v>0</v>
      </c>
      <c r="AO73" s="93">
        <f t="shared" si="4"/>
        <v>0</v>
      </c>
      <c r="AP73" s="93">
        <f t="shared" si="4"/>
        <v>0</v>
      </c>
    </row>
    <row r="74" spans="1:42" ht="12.75" customHeight="1" x14ac:dyDescent="0.25">
      <c r="C74" s="774"/>
      <c r="D74" s="771"/>
      <c r="E74" s="101" t="s">
        <v>73</v>
      </c>
      <c r="F74" s="93">
        <f>F47</f>
        <v>168024399.69</v>
      </c>
      <c r="G74" s="90"/>
      <c r="H74" s="90"/>
      <c r="I74" s="90"/>
      <c r="J74" s="90"/>
      <c r="K74" s="90"/>
      <c r="L74" s="90"/>
      <c r="M74" s="90"/>
      <c r="N74" s="90"/>
      <c r="O74" s="90"/>
      <c r="P74" s="90"/>
      <c r="Q74" s="90"/>
      <c r="R74" s="90"/>
      <c r="S74" s="90"/>
    </row>
    <row r="75" spans="1:42" ht="12.75" customHeight="1" x14ac:dyDescent="0.25">
      <c r="C75" s="774"/>
      <c r="D75" s="771" t="s">
        <v>133</v>
      </c>
      <c r="E75" s="235" t="s">
        <v>70</v>
      </c>
      <c r="F75" s="236">
        <v>0</v>
      </c>
      <c r="G75" s="236">
        <v>0</v>
      </c>
      <c r="H75" s="236">
        <v>0</v>
      </c>
      <c r="I75" s="236">
        <v>0</v>
      </c>
      <c r="J75" s="236">
        <v>0</v>
      </c>
      <c r="K75" s="236">
        <v>0</v>
      </c>
      <c r="L75" s="236">
        <v>0</v>
      </c>
      <c r="M75" s="236">
        <v>0</v>
      </c>
      <c r="N75" s="236">
        <v>0</v>
      </c>
      <c r="O75" s="236">
        <v>0</v>
      </c>
      <c r="P75" s="236">
        <v>0</v>
      </c>
      <c r="Q75" s="236">
        <v>0</v>
      </c>
      <c r="R75" s="236">
        <v>0</v>
      </c>
      <c r="S75" s="236">
        <v>0</v>
      </c>
      <c r="T75" s="236">
        <v>0</v>
      </c>
      <c r="U75" s="236">
        <v>0</v>
      </c>
      <c r="V75" s="236">
        <v>0</v>
      </c>
      <c r="W75" s="236">
        <v>0</v>
      </c>
      <c r="X75" s="236">
        <v>0</v>
      </c>
      <c r="Y75" s="236">
        <v>0</v>
      </c>
      <c r="Z75" s="236">
        <v>0</v>
      </c>
      <c r="AA75" s="236">
        <v>0</v>
      </c>
      <c r="AB75" s="236">
        <v>0</v>
      </c>
      <c r="AC75" s="236">
        <v>0</v>
      </c>
      <c r="AD75" s="236">
        <v>0</v>
      </c>
      <c r="AE75" s="236">
        <v>0</v>
      </c>
      <c r="AF75" s="236">
        <v>0</v>
      </c>
      <c r="AG75" s="236">
        <v>0</v>
      </c>
      <c r="AH75" s="236">
        <v>0</v>
      </c>
      <c r="AI75" s="236">
        <v>0</v>
      </c>
      <c r="AJ75" s="236">
        <v>0</v>
      </c>
      <c r="AK75" s="236">
        <v>0</v>
      </c>
      <c r="AL75" s="236">
        <v>0</v>
      </c>
      <c r="AM75" s="236">
        <v>0</v>
      </c>
      <c r="AN75" s="236">
        <v>0</v>
      </c>
      <c r="AO75" s="236">
        <v>0</v>
      </c>
      <c r="AP75" s="236">
        <v>0</v>
      </c>
    </row>
    <row r="76" spans="1:42" ht="12.75" customHeight="1" x14ac:dyDescent="0.25">
      <c r="C76" s="774"/>
      <c r="D76" s="771"/>
      <c r="E76" s="235" t="s">
        <v>73</v>
      </c>
      <c r="F76" s="236">
        <v>0</v>
      </c>
      <c r="G76" s="90"/>
      <c r="H76" s="90"/>
      <c r="I76" s="90"/>
      <c r="J76" s="90"/>
      <c r="K76" s="90"/>
      <c r="L76" s="90"/>
      <c r="M76" s="90"/>
      <c r="N76" s="90"/>
      <c r="O76" s="90"/>
      <c r="P76" s="90"/>
      <c r="Q76" s="90"/>
      <c r="R76" s="90"/>
    </row>
    <row r="77" spans="1:42" ht="12.75" customHeight="1" x14ac:dyDescent="0.3">
      <c r="A77" s="89"/>
      <c r="C77" s="97"/>
      <c r="F77" s="90"/>
      <c r="G77" s="90"/>
      <c r="H77" s="90"/>
      <c r="I77" s="90"/>
      <c r="J77" s="90"/>
      <c r="K77" s="90"/>
      <c r="L77" s="90"/>
      <c r="M77" s="90"/>
      <c r="N77" s="90"/>
      <c r="O77" s="90"/>
      <c r="P77" s="90"/>
      <c r="Q77" s="90"/>
      <c r="R77" s="90"/>
      <c r="S77" s="90"/>
    </row>
    <row r="78" spans="1:42" ht="12.75" customHeight="1" x14ac:dyDescent="0.25">
      <c r="C78" s="773" t="s">
        <v>161</v>
      </c>
      <c r="D78" s="771" t="s">
        <v>132</v>
      </c>
      <c r="E78" s="231" t="s">
        <v>70</v>
      </c>
      <c r="F78" s="232">
        <v>0</v>
      </c>
      <c r="G78" s="232">
        <v>0</v>
      </c>
      <c r="H78" s="232">
        <v>0</v>
      </c>
      <c r="I78" s="232">
        <v>0</v>
      </c>
      <c r="J78" s="232">
        <v>0</v>
      </c>
      <c r="K78" s="232">
        <v>0</v>
      </c>
      <c r="L78" s="232">
        <v>0</v>
      </c>
      <c r="M78" s="232">
        <v>0</v>
      </c>
      <c r="N78" s="232">
        <v>0</v>
      </c>
      <c r="O78" s="232">
        <v>0</v>
      </c>
      <c r="P78" s="232">
        <v>0</v>
      </c>
      <c r="Q78" s="232">
        <v>0</v>
      </c>
      <c r="R78" s="232">
        <v>0</v>
      </c>
      <c r="S78" s="232">
        <v>0</v>
      </c>
      <c r="T78" s="232">
        <v>0</v>
      </c>
      <c r="U78" s="232">
        <v>0</v>
      </c>
      <c r="V78" s="232">
        <v>0</v>
      </c>
      <c r="W78" s="232">
        <v>0</v>
      </c>
      <c r="X78" s="232">
        <v>0</v>
      </c>
      <c r="Y78" s="232">
        <v>0</v>
      </c>
      <c r="Z78" s="232">
        <v>0</v>
      </c>
      <c r="AA78" s="232">
        <v>0</v>
      </c>
      <c r="AB78" s="232">
        <v>0</v>
      </c>
      <c r="AC78" s="232">
        <v>0</v>
      </c>
      <c r="AD78" s="232">
        <v>0</v>
      </c>
      <c r="AE78" s="232">
        <v>0</v>
      </c>
      <c r="AF78" s="232">
        <v>0</v>
      </c>
      <c r="AG78" s="232">
        <v>0</v>
      </c>
      <c r="AH78" s="232">
        <v>0</v>
      </c>
      <c r="AI78" s="232">
        <v>0</v>
      </c>
      <c r="AJ78" s="232">
        <v>0</v>
      </c>
      <c r="AK78" s="232">
        <v>0</v>
      </c>
      <c r="AL78" s="232">
        <v>0</v>
      </c>
      <c r="AM78" s="232">
        <v>0</v>
      </c>
      <c r="AN78" s="232">
        <v>0</v>
      </c>
      <c r="AO78" s="232">
        <v>0</v>
      </c>
      <c r="AP78" s="232">
        <v>0</v>
      </c>
    </row>
    <row r="79" spans="1:42" ht="12.75" customHeight="1" x14ac:dyDescent="0.25">
      <c r="C79" s="773"/>
      <c r="D79" s="771"/>
      <c r="E79" s="231" t="s">
        <v>73</v>
      </c>
      <c r="F79" s="232">
        <v>0</v>
      </c>
      <c r="G79" s="90"/>
      <c r="H79" s="90"/>
      <c r="I79" s="90"/>
      <c r="J79" s="90"/>
      <c r="K79" s="90"/>
      <c r="L79" s="90"/>
      <c r="M79" s="90"/>
      <c r="N79" s="90"/>
      <c r="O79" s="90"/>
      <c r="P79" s="90"/>
      <c r="Q79" s="90"/>
      <c r="R79" s="90"/>
      <c r="S79" s="90"/>
    </row>
    <row r="80" spans="1:42" ht="12.75" customHeight="1" x14ac:dyDescent="0.25">
      <c r="C80" s="773"/>
      <c r="D80" s="771" t="s">
        <v>133</v>
      </c>
      <c r="E80" s="148" t="s">
        <v>70</v>
      </c>
      <c r="F80" s="149">
        <v>0</v>
      </c>
      <c r="G80" s="149">
        <v>0</v>
      </c>
      <c r="H80" s="149">
        <v>0</v>
      </c>
      <c r="I80" s="149">
        <v>0</v>
      </c>
      <c r="J80" s="149">
        <v>0</v>
      </c>
      <c r="K80" s="149">
        <v>0</v>
      </c>
      <c r="L80" s="149">
        <v>0</v>
      </c>
      <c r="M80" s="149">
        <v>0</v>
      </c>
      <c r="N80" s="149">
        <v>0</v>
      </c>
      <c r="O80" s="149">
        <v>0</v>
      </c>
      <c r="P80" s="149">
        <v>0</v>
      </c>
      <c r="Q80" s="149">
        <v>0</v>
      </c>
      <c r="R80" s="149">
        <v>0</v>
      </c>
      <c r="S80" s="149">
        <v>0</v>
      </c>
      <c r="T80" s="149">
        <v>0</v>
      </c>
      <c r="U80" s="149">
        <v>0</v>
      </c>
      <c r="V80" s="149">
        <v>0</v>
      </c>
      <c r="W80" s="149">
        <v>0</v>
      </c>
      <c r="X80" s="149">
        <v>0</v>
      </c>
      <c r="Y80" s="149">
        <v>0</v>
      </c>
      <c r="Z80" s="149">
        <v>0</v>
      </c>
      <c r="AA80" s="149">
        <v>0</v>
      </c>
      <c r="AB80" s="149">
        <v>0</v>
      </c>
      <c r="AC80" s="149">
        <v>0</v>
      </c>
      <c r="AD80" s="149">
        <v>0</v>
      </c>
      <c r="AE80" s="149">
        <v>0</v>
      </c>
      <c r="AF80" s="149">
        <v>0</v>
      </c>
      <c r="AG80" s="149">
        <v>0</v>
      </c>
      <c r="AH80" s="149">
        <v>0</v>
      </c>
      <c r="AI80" s="149">
        <v>0</v>
      </c>
      <c r="AJ80" s="149">
        <v>0</v>
      </c>
      <c r="AK80" s="149">
        <v>0</v>
      </c>
      <c r="AL80" s="149">
        <v>0</v>
      </c>
      <c r="AM80" s="149">
        <v>0</v>
      </c>
      <c r="AN80" s="149">
        <v>0</v>
      </c>
      <c r="AO80" s="149">
        <v>0</v>
      </c>
      <c r="AP80" s="149">
        <v>0</v>
      </c>
    </row>
    <row r="81" spans="1:42" ht="12.75" customHeight="1" x14ac:dyDescent="0.25">
      <c r="C81" s="773"/>
      <c r="D81" s="771"/>
      <c r="E81" s="148" t="s">
        <v>73</v>
      </c>
      <c r="F81" s="149">
        <v>0</v>
      </c>
      <c r="G81" s="90"/>
      <c r="H81" s="90"/>
      <c r="I81" s="90"/>
      <c r="J81" s="90"/>
      <c r="K81" s="90"/>
      <c r="L81" s="90"/>
      <c r="M81" s="90"/>
      <c r="N81" s="90"/>
      <c r="O81" s="90"/>
      <c r="P81" s="90"/>
      <c r="Q81" s="90"/>
      <c r="R81" s="90"/>
    </row>
    <row r="82" spans="1:42" ht="12.75" customHeight="1" x14ac:dyDescent="0.25">
      <c r="C82" s="388"/>
      <c r="D82" s="220"/>
      <c r="E82" s="89"/>
      <c r="F82" s="90"/>
      <c r="G82" s="90"/>
      <c r="H82" s="90"/>
      <c r="I82" s="90"/>
      <c r="J82" s="90"/>
      <c r="K82" s="90"/>
      <c r="L82" s="90"/>
      <c r="M82" s="90"/>
      <c r="N82" s="90"/>
      <c r="O82" s="90"/>
      <c r="P82" s="90"/>
      <c r="Q82" s="90"/>
      <c r="R82" s="90"/>
    </row>
    <row r="83" spans="1:42" ht="12.75" customHeight="1" x14ac:dyDescent="0.25">
      <c r="D83" s="458" t="s">
        <v>186</v>
      </c>
      <c r="E83" s="459" t="s">
        <v>70</v>
      </c>
      <c r="F83" s="460">
        <f t="shared" ref="F83:AP83" si="5">F13</f>
        <v>-11217.37</v>
      </c>
      <c r="G83" s="460">
        <f t="shared" si="5"/>
        <v>-766.38</v>
      </c>
      <c r="H83" s="460">
        <f t="shared" si="5"/>
        <v>-325.58999999999997</v>
      </c>
      <c r="I83" s="460">
        <f t="shared" si="5"/>
        <v>-142.16999999999999</v>
      </c>
      <c r="J83" s="460">
        <f t="shared" si="5"/>
        <v>-1970.37</v>
      </c>
      <c r="K83" s="460">
        <f t="shared" si="5"/>
        <v>-127.32</v>
      </c>
      <c r="L83" s="460">
        <f t="shared" si="5"/>
        <v>0</v>
      </c>
      <c r="M83" s="460">
        <f t="shared" si="5"/>
        <v>-1116.82</v>
      </c>
      <c r="N83" s="460">
        <f t="shared" si="5"/>
        <v>-934.67</v>
      </c>
      <c r="O83" s="460">
        <f t="shared" si="5"/>
        <v>-3730.88</v>
      </c>
      <c r="P83" s="460">
        <f t="shared" si="5"/>
        <v>-1895.43</v>
      </c>
      <c r="Q83" s="460">
        <f t="shared" si="5"/>
        <v>-207.74</v>
      </c>
      <c r="R83" s="460">
        <f t="shared" si="5"/>
        <v>0</v>
      </c>
      <c r="S83" s="460">
        <f t="shared" si="5"/>
        <v>0</v>
      </c>
      <c r="T83" s="460">
        <f t="shared" si="5"/>
        <v>0</v>
      </c>
      <c r="U83" s="460">
        <f t="shared" si="5"/>
        <v>0</v>
      </c>
      <c r="V83" s="460">
        <f t="shared" si="5"/>
        <v>0</v>
      </c>
      <c r="W83" s="460">
        <f t="shared" si="5"/>
        <v>0</v>
      </c>
      <c r="X83" s="460">
        <f t="shared" si="5"/>
        <v>0</v>
      </c>
      <c r="Y83" s="460">
        <f t="shared" si="5"/>
        <v>0</v>
      </c>
      <c r="Z83" s="460">
        <f t="shared" si="5"/>
        <v>0</v>
      </c>
      <c r="AA83" s="460">
        <f t="shared" si="5"/>
        <v>0</v>
      </c>
      <c r="AB83" s="460">
        <f t="shared" si="5"/>
        <v>0</v>
      </c>
      <c r="AC83" s="460">
        <f t="shared" si="5"/>
        <v>0</v>
      </c>
      <c r="AD83" s="460">
        <f t="shared" si="5"/>
        <v>0</v>
      </c>
      <c r="AE83" s="460">
        <f t="shared" si="5"/>
        <v>0</v>
      </c>
      <c r="AF83" s="460">
        <f t="shared" si="5"/>
        <v>0</v>
      </c>
      <c r="AG83" s="460">
        <f t="shared" si="5"/>
        <v>0</v>
      </c>
      <c r="AH83" s="460">
        <f t="shared" si="5"/>
        <v>0</v>
      </c>
      <c r="AI83" s="460">
        <f t="shared" si="5"/>
        <v>0</v>
      </c>
      <c r="AJ83" s="460">
        <f t="shared" si="5"/>
        <v>0</v>
      </c>
      <c r="AK83" s="460">
        <f t="shared" si="5"/>
        <v>0</v>
      </c>
      <c r="AL83" s="460">
        <f t="shared" si="5"/>
        <v>0</v>
      </c>
      <c r="AM83" s="460">
        <f t="shared" si="5"/>
        <v>0</v>
      </c>
      <c r="AN83" s="460">
        <f t="shared" si="5"/>
        <v>0</v>
      </c>
      <c r="AO83" s="460">
        <f t="shared" si="5"/>
        <v>0</v>
      </c>
      <c r="AP83" s="460">
        <f t="shared" si="5"/>
        <v>0</v>
      </c>
    </row>
    <row r="84" spans="1:42" ht="12.75" customHeight="1" x14ac:dyDescent="0.25">
      <c r="C84" s="388"/>
      <c r="D84" s="220"/>
      <c r="E84" s="89"/>
      <c r="F84" s="90"/>
      <c r="G84" s="90"/>
      <c r="H84" s="90"/>
      <c r="I84" s="90"/>
      <c r="J84" s="90"/>
      <c r="K84" s="90"/>
      <c r="L84" s="90"/>
      <c r="M84" s="90"/>
      <c r="N84" s="90"/>
      <c r="O84" s="90"/>
      <c r="P84" s="90"/>
      <c r="Q84" s="90"/>
      <c r="R84" s="90"/>
    </row>
    <row r="85" spans="1:42" s="238" customFormat="1" ht="12.75" customHeight="1" x14ac:dyDescent="0.25">
      <c r="B85" s="239"/>
      <c r="C85" s="239"/>
      <c r="E85" s="240"/>
      <c r="F85" s="240"/>
      <c r="G85" s="240"/>
      <c r="H85" s="240"/>
      <c r="I85" s="240"/>
      <c r="J85" s="240"/>
      <c r="K85" s="240"/>
      <c r="L85" s="240"/>
      <c r="M85" s="240"/>
      <c r="N85" s="240"/>
      <c r="O85" s="240"/>
      <c r="P85" s="240"/>
      <c r="Q85" s="240"/>
      <c r="R85" s="240"/>
    </row>
    <row r="86" spans="1:42" ht="12" customHeight="1" x14ac:dyDescent="0.3">
      <c r="A86" s="89"/>
      <c r="B86" s="97" t="s">
        <v>75</v>
      </c>
      <c r="E86" s="90"/>
      <c r="F86" s="90"/>
      <c r="G86" s="90"/>
      <c r="H86" s="90"/>
      <c r="I86" s="90"/>
      <c r="J86" s="90"/>
      <c r="K86" s="90"/>
      <c r="L86" s="90"/>
      <c r="M86" s="90"/>
      <c r="N86" s="90"/>
      <c r="O86" s="90"/>
      <c r="P86" s="90"/>
      <c r="Q86" s="90"/>
      <c r="R86" s="90"/>
    </row>
    <row r="87" spans="1:42" ht="12.75" customHeight="1" x14ac:dyDescent="0.25">
      <c r="F87" s="89" t="s">
        <v>70</v>
      </c>
      <c r="G87" s="89" t="s">
        <v>64</v>
      </c>
      <c r="H87" s="89" t="s">
        <v>65</v>
      </c>
      <c r="I87" s="218" t="s">
        <v>164</v>
      </c>
      <c r="J87" s="89" t="s">
        <v>69</v>
      </c>
      <c r="K87" s="89" t="s">
        <v>68</v>
      </c>
      <c r="L87" s="89" t="s">
        <v>71</v>
      </c>
      <c r="M87" s="89" t="s">
        <v>66</v>
      </c>
      <c r="N87" s="89" t="s">
        <v>63</v>
      </c>
      <c r="O87" s="89" t="s">
        <v>61</v>
      </c>
      <c r="P87" s="89" t="s">
        <v>62</v>
      </c>
      <c r="Q87" s="89" t="s">
        <v>67</v>
      </c>
      <c r="R87" s="89" t="s">
        <v>77</v>
      </c>
      <c r="S87" s="89" t="s">
        <v>80</v>
      </c>
      <c r="T87" s="89" t="s">
        <v>135</v>
      </c>
      <c r="U87" s="89" t="s">
        <v>223</v>
      </c>
      <c r="V87" s="89" t="s">
        <v>224</v>
      </c>
      <c r="W87" s="89" t="s">
        <v>173</v>
      </c>
      <c r="X87" t="s">
        <v>167</v>
      </c>
      <c r="Y87" s="89" t="s">
        <v>135</v>
      </c>
      <c r="Z87" s="89" t="s">
        <v>167</v>
      </c>
    </row>
    <row r="88" spans="1:42" ht="12.75" customHeight="1" x14ac:dyDescent="0.25">
      <c r="E88" t="s">
        <v>72</v>
      </c>
      <c r="F88" s="384">
        <v>-381705.66</v>
      </c>
      <c r="G88" s="89">
        <v>-34085.26</v>
      </c>
      <c r="H88" s="89">
        <v>-14480.34</v>
      </c>
      <c r="I88" s="665">
        <v>-6323.59</v>
      </c>
      <c r="J88" s="89">
        <v>-75196.47</v>
      </c>
      <c r="K88" s="89">
        <v>-3165.32</v>
      </c>
      <c r="L88" s="89">
        <v>0</v>
      </c>
      <c r="M88" s="89">
        <v>-27767.22</v>
      </c>
      <c r="N88" s="89">
        <v>-34797.83</v>
      </c>
      <c r="O88" s="89">
        <v>-116911.93</v>
      </c>
      <c r="P88" s="89">
        <v>-63812.98</v>
      </c>
      <c r="Q88" s="89">
        <v>-5164.72</v>
      </c>
      <c r="R88" s="89">
        <v>0</v>
      </c>
      <c r="S88" s="89">
        <v>0</v>
      </c>
      <c r="T88" s="89">
        <v>0</v>
      </c>
      <c r="U88" s="89">
        <v>0</v>
      </c>
      <c r="V88" s="89">
        <v>0</v>
      </c>
      <c r="W88" s="89">
        <v>0</v>
      </c>
      <c r="X88">
        <v>0</v>
      </c>
      <c r="Y88" s="89">
        <v>0</v>
      </c>
      <c r="Z88" s="89">
        <v>0</v>
      </c>
    </row>
    <row r="89" spans="1:42" ht="12.75" customHeight="1" x14ac:dyDescent="0.25">
      <c r="D89" t="s">
        <v>156</v>
      </c>
      <c r="E89" t="s">
        <v>70</v>
      </c>
      <c r="F89" s="384">
        <v>-381705.66</v>
      </c>
      <c r="G89" s="89">
        <v>-34085.26</v>
      </c>
      <c r="H89" s="89">
        <v>-14480.34</v>
      </c>
      <c r="I89" s="665">
        <v>-6323.59</v>
      </c>
      <c r="J89" s="89">
        <v>-75196.47</v>
      </c>
      <c r="K89" s="89">
        <v>-3165.32</v>
      </c>
      <c r="L89" s="89">
        <v>0</v>
      </c>
      <c r="M89" s="89">
        <v>-27767.22</v>
      </c>
      <c r="N89" s="89">
        <v>-34797.83</v>
      </c>
      <c r="O89" s="89">
        <v>-116911.93</v>
      </c>
      <c r="P89" s="89">
        <v>-63812.98</v>
      </c>
      <c r="Q89" s="89">
        <v>-5164.72</v>
      </c>
      <c r="R89" s="89">
        <v>0</v>
      </c>
      <c r="S89" s="89">
        <v>0</v>
      </c>
      <c r="T89" s="89">
        <v>0</v>
      </c>
      <c r="U89" s="89">
        <v>0</v>
      </c>
      <c r="V89" s="89">
        <v>0</v>
      </c>
      <c r="W89" s="89">
        <v>0</v>
      </c>
      <c r="X89">
        <v>0</v>
      </c>
      <c r="Y89" s="89">
        <v>0</v>
      </c>
      <c r="Z89" s="89">
        <v>0</v>
      </c>
    </row>
    <row r="90" spans="1:42" s="657" customFormat="1" ht="12.75" customHeight="1" x14ac:dyDescent="0.25">
      <c r="C90" s="657" t="s">
        <v>155</v>
      </c>
      <c r="D90" s="657" t="s">
        <v>70</v>
      </c>
      <c r="F90" s="737">
        <v>-381705.66</v>
      </c>
      <c r="G90" s="658">
        <v>-34085.26</v>
      </c>
      <c r="H90" s="658">
        <v>-14480.34</v>
      </c>
      <c r="I90" s="738">
        <v>-6323.59</v>
      </c>
      <c r="J90" s="658">
        <v>-75196.47</v>
      </c>
      <c r="K90" s="658">
        <v>-3165.32</v>
      </c>
      <c r="L90" s="658">
        <v>0</v>
      </c>
      <c r="M90" s="658">
        <v>-27767.22</v>
      </c>
      <c r="N90" s="658">
        <v>-34797.83</v>
      </c>
      <c r="O90" s="658">
        <v>-116911.93</v>
      </c>
      <c r="P90" s="658">
        <v>-63812.98</v>
      </c>
      <c r="Q90" s="658">
        <v>-5164.72</v>
      </c>
      <c r="R90" s="658">
        <v>0</v>
      </c>
      <c r="S90" s="658">
        <v>0</v>
      </c>
      <c r="T90" s="658">
        <v>0</v>
      </c>
      <c r="U90" s="658">
        <v>0</v>
      </c>
      <c r="V90" s="658">
        <v>0</v>
      </c>
      <c r="W90" s="658">
        <v>0</v>
      </c>
      <c r="X90" s="657">
        <v>0</v>
      </c>
      <c r="Y90" s="658">
        <v>0</v>
      </c>
      <c r="Z90" s="658">
        <v>0</v>
      </c>
    </row>
    <row r="91" spans="1:42" ht="12.75" customHeight="1" x14ac:dyDescent="0.25">
      <c r="E91" s="89" t="s">
        <v>72</v>
      </c>
      <c r="F91" s="90">
        <v>-24201.09</v>
      </c>
      <c r="G91" s="90">
        <v>-2167.98</v>
      </c>
      <c r="H91" s="90">
        <v>-921.01</v>
      </c>
      <c r="I91" s="90">
        <v>-402.21</v>
      </c>
      <c r="J91" s="90">
        <v>-4825.8900000000003</v>
      </c>
      <c r="K91" s="90">
        <v>-199.14</v>
      </c>
      <c r="L91" s="90">
        <v>0</v>
      </c>
      <c r="M91" s="90">
        <v>-1746.78</v>
      </c>
      <c r="N91" s="90">
        <v>-2190.0700000000002</v>
      </c>
      <c r="O91" s="90">
        <v>-7354.7</v>
      </c>
      <c r="P91" s="90">
        <v>-4068.42</v>
      </c>
      <c r="Q91" s="90">
        <v>-324.89</v>
      </c>
      <c r="R91" s="90">
        <v>0</v>
      </c>
      <c r="S91" s="90">
        <v>0</v>
      </c>
      <c r="T91" s="90">
        <v>0</v>
      </c>
      <c r="U91" s="90">
        <v>0</v>
      </c>
      <c r="V91" s="90">
        <v>0</v>
      </c>
      <c r="W91" s="90">
        <v>0</v>
      </c>
      <c r="X91">
        <v>0</v>
      </c>
      <c r="Y91">
        <v>0</v>
      </c>
      <c r="Z91">
        <v>0</v>
      </c>
    </row>
    <row r="92" spans="1:42" ht="12.75" customHeight="1" x14ac:dyDescent="0.25">
      <c r="D92" t="s">
        <v>86</v>
      </c>
      <c r="E92" s="89" t="s">
        <v>70</v>
      </c>
      <c r="F92" s="371">
        <v>-24201.09</v>
      </c>
      <c r="G92" s="90">
        <v>-2167.98</v>
      </c>
      <c r="H92" s="90">
        <v>-921.01</v>
      </c>
      <c r="I92" s="90">
        <v>-402.21</v>
      </c>
      <c r="J92" s="90">
        <v>-4825.8900000000003</v>
      </c>
      <c r="K92" s="90">
        <v>-199.14</v>
      </c>
      <c r="L92" s="90">
        <v>0</v>
      </c>
      <c r="M92" s="90">
        <v>-1746.78</v>
      </c>
      <c r="N92" s="90">
        <v>-2190.0700000000002</v>
      </c>
      <c r="O92" s="90">
        <v>-7354.7</v>
      </c>
      <c r="P92" s="90">
        <v>-4068.42</v>
      </c>
      <c r="Q92" s="90">
        <v>-324.89</v>
      </c>
      <c r="R92" s="90">
        <v>0</v>
      </c>
      <c r="S92" s="90">
        <v>0</v>
      </c>
      <c r="T92" s="90">
        <v>0</v>
      </c>
      <c r="U92" s="90">
        <v>0</v>
      </c>
      <c r="V92" s="90">
        <v>0</v>
      </c>
      <c r="W92" s="90">
        <v>0</v>
      </c>
      <c r="X92">
        <v>0</v>
      </c>
      <c r="Y92">
        <v>0</v>
      </c>
      <c r="Z92">
        <v>0</v>
      </c>
    </row>
    <row r="93" spans="1:42" s="94" customFormat="1" ht="12.75" customHeight="1" x14ac:dyDescent="0.25">
      <c r="C93" s="94" t="s">
        <v>119</v>
      </c>
      <c r="D93" s="94" t="s">
        <v>70</v>
      </c>
      <c r="E93" s="101"/>
      <c r="F93" s="93">
        <v>-24201.09</v>
      </c>
      <c r="G93" s="93">
        <v>-2167.98</v>
      </c>
      <c r="H93" s="93">
        <v>-921.01</v>
      </c>
      <c r="I93" s="93">
        <v>-402.21</v>
      </c>
      <c r="J93" s="93">
        <v>-4825.8900000000003</v>
      </c>
      <c r="K93" s="93">
        <v>-199.14</v>
      </c>
      <c r="L93" s="93">
        <v>0</v>
      </c>
      <c r="M93" s="93">
        <v>-1746.78</v>
      </c>
      <c r="N93" s="93">
        <v>-2190.0700000000002</v>
      </c>
      <c r="O93" s="93">
        <v>-7354.7</v>
      </c>
      <c r="P93" s="93">
        <v>-4068.42</v>
      </c>
      <c r="Q93" s="93">
        <v>-324.89</v>
      </c>
      <c r="R93" s="93">
        <v>0</v>
      </c>
      <c r="S93" s="93">
        <v>0</v>
      </c>
      <c r="T93" s="93">
        <v>0</v>
      </c>
      <c r="U93" s="93">
        <v>0</v>
      </c>
      <c r="V93" s="93">
        <v>0</v>
      </c>
      <c r="W93" s="93">
        <v>0</v>
      </c>
      <c r="X93" s="94">
        <v>0</v>
      </c>
      <c r="Y93" s="94">
        <v>0</v>
      </c>
      <c r="Z93" s="94">
        <v>0</v>
      </c>
    </row>
    <row r="94" spans="1:42" ht="12.75" customHeight="1" x14ac:dyDescent="0.25">
      <c r="B94" s="89" t="s">
        <v>112</v>
      </c>
      <c r="C94" s="89" t="s">
        <v>70</v>
      </c>
      <c r="F94" s="90">
        <v>-405906.75</v>
      </c>
      <c r="G94" s="90">
        <v>-36253.24</v>
      </c>
      <c r="H94" s="90">
        <v>-15401.35</v>
      </c>
      <c r="I94" s="90">
        <v>-6725.8</v>
      </c>
      <c r="J94" s="90">
        <v>-80022.36</v>
      </c>
      <c r="K94" s="90">
        <v>-3364.46</v>
      </c>
      <c r="L94" s="90">
        <v>0</v>
      </c>
      <c r="M94" s="90">
        <v>-29514</v>
      </c>
      <c r="N94" s="90">
        <v>-36987.9</v>
      </c>
      <c r="O94" s="90">
        <v>-124266.63</v>
      </c>
      <c r="P94" s="90">
        <v>-67881.399999999994</v>
      </c>
      <c r="Q94" s="90">
        <v>-5489.61</v>
      </c>
      <c r="R94" s="90">
        <v>0</v>
      </c>
      <c r="S94" s="90">
        <v>0</v>
      </c>
      <c r="T94">
        <v>0</v>
      </c>
      <c r="U94">
        <v>0</v>
      </c>
      <c r="V94">
        <v>0</v>
      </c>
      <c r="W94">
        <v>0</v>
      </c>
      <c r="X94">
        <v>0</v>
      </c>
      <c r="Y94" s="90">
        <v>0</v>
      </c>
      <c r="Z94">
        <v>0</v>
      </c>
    </row>
    <row r="95" spans="1:42" s="458" customFormat="1" x14ac:dyDescent="0.25">
      <c r="A95" s="458" t="s">
        <v>186</v>
      </c>
      <c r="B95" s="459" t="s">
        <v>70</v>
      </c>
      <c r="C95" s="459"/>
      <c r="F95" s="460">
        <v>-405906.75</v>
      </c>
      <c r="G95" s="460">
        <v>-36253.24</v>
      </c>
      <c r="H95" s="460">
        <v>-15401.35</v>
      </c>
      <c r="I95" s="460">
        <v>-6725.8</v>
      </c>
      <c r="J95" s="460">
        <v>-80022.36</v>
      </c>
      <c r="K95" s="460">
        <v>-3364.46</v>
      </c>
      <c r="L95" s="460">
        <v>0</v>
      </c>
      <c r="M95" s="460">
        <v>-29514</v>
      </c>
      <c r="N95" s="460">
        <v>-36987.9</v>
      </c>
      <c r="O95" s="460">
        <v>-124266.63</v>
      </c>
      <c r="P95" s="460">
        <v>-67881.399999999994</v>
      </c>
      <c r="Q95" s="460">
        <v>-5489.61</v>
      </c>
      <c r="R95" s="460">
        <v>0</v>
      </c>
      <c r="S95" s="460">
        <v>0</v>
      </c>
      <c r="T95" s="460">
        <v>0</v>
      </c>
      <c r="U95" s="460">
        <v>0</v>
      </c>
      <c r="V95" s="460">
        <v>0</v>
      </c>
      <c r="W95" s="460">
        <v>0</v>
      </c>
      <c r="X95" s="460">
        <v>0</v>
      </c>
      <c r="Y95" s="460">
        <v>0</v>
      </c>
      <c r="Z95" s="460">
        <v>0</v>
      </c>
    </row>
    <row r="96" spans="1:42" ht="12.75" customHeight="1" x14ac:dyDescent="0.25">
      <c r="E96" s="89" t="s">
        <v>72</v>
      </c>
      <c r="F96" s="371">
        <v>29151843.969999999</v>
      </c>
      <c r="G96" s="90">
        <v>7443854.0199999996</v>
      </c>
      <c r="H96" s="90">
        <v>4208102.8600000003</v>
      </c>
      <c r="I96" s="90">
        <v>2229592.12</v>
      </c>
      <c r="J96" s="90">
        <v>106030.3</v>
      </c>
      <c r="K96" s="90">
        <v>3346.71</v>
      </c>
      <c r="L96" s="90">
        <v>0</v>
      </c>
      <c r="M96" s="90">
        <v>29357.040000000001</v>
      </c>
      <c r="N96" s="90">
        <v>33413.22</v>
      </c>
      <c r="O96" s="90">
        <v>155851.47</v>
      </c>
      <c r="P96" s="90">
        <v>14936833.09</v>
      </c>
      <c r="Q96" s="90">
        <v>5460.42</v>
      </c>
      <c r="R96" s="90">
        <v>2.72</v>
      </c>
      <c r="S96" s="90">
        <v>0</v>
      </c>
      <c r="T96" s="90">
        <v>0</v>
      </c>
      <c r="U96" s="90">
        <v>0</v>
      </c>
      <c r="V96" s="90">
        <v>0</v>
      </c>
      <c r="W96" s="90">
        <v>0</v>
      </c>
      <c r="X96">
        <v>0</v>
      </c>
      <c r="Y96">
        <v>0</v>
      </c>
      <c r="Z96">
        <v>0</v>
      </c>
    </row>
    <row r="97" spans="2:26" ht="12.75" customHeight="1" x14ac:dyDescent="0.25">
      <c r="E97" s="89" t="s">
        <v>81</v>
      </c>
      <c r="F97" s="371">
        <v>992415.4</v>
      </c>
      <c r="G97" s="90">
        <v>253115.22</v>
      </c>
      <c r="H97" s="90">
        <v>143337.73000000001</v>
      </c>
      <c r="I97" s="90">
        <v>76924.179999999993</v>
      </c>
      <c r="J97" s="90">
        <v>1233.3900000000001</v>
      </c>
      <c r="K97" s="90">
        <v>29.74</v>
      </c>
      <c r="L97" s="90">
        <v>0</v>
      </c>
      <c r="M97" s="90">
        <v>260.94</v>
      </c>
      <c r="N97" s="90">
        <v>382.11</v>
      </c>
      <c r="O97" s="90">
        <v>1741.16</v>
      </c>
      <c r="P97" s="90">
        <v>515342.29</v>
      </c>
      <c r="Q97" s="90">
        <v>48.53</v>
      </c>
      <c r="R97" s="90">
        <v>0.11</v>
      </c>
      <c r="S97" s="90">
        <v>0</v>
      </c>
      <c r="T97" s="90">
        <v>0</v>
      </c>
      <c r="U97" s="90">
        <v>0</v>
      </c>
      <c r="V97" s="90">
        <v>0</v>
      </c>
      <c r="W97" s="90">
        <v>0</v>
      </c>
      <c r="X97">
        <v>0</v>
      </c>
      <c r="Y97">
        <v>0</v>
      </c>
      <c r="Z97">
        <v>0</v>
      </c>
    </row>
    <row r="98" spans="2:26" ht="12.75" customHeight="1" x14ac:dyDescent="0.25">
      <c r="D98" t="s">
        <v>156</v>
      </c>
      <c r="E98" s="89" t="s">
        <v>70</v>
      </c>
      <c r="F98" s="371">
        <v>30144259.370000001</v>
      </c>
      <c r="G98" s="90">
        <v>7696969.2400000002</v>
      </c>
      <c r="H98" s="90">
        <v>4351440.59</v>
      </c>
      <c r="I98" s="90">
        <v>2306516.2999999998</v>
      </c>
      <c r="J98" s="90">
        <v>107263.69</v>
      </c>
      <c r="K98" s="90">
        <v>3376.45</v>
      </c>
      <c r="L98" s="90">
        <v>0</v>
      </c>
      <c r="M98" s="90">
        <v>29617.98</v>
      </c>
      <c r="N98" s="90">
        <v>33795.33</v>
      </c>
      <c r="O98" s="90">
        <v>157592.63</v>
      </c>
      <c r="P98" s="90">
        <v>15452175.380000001</v>
      </c>
      <c r="Q98" s="90">
        <v>5508.95</v>
      </c>
      <c r="R98" s="90">
        <v>2.83</v>
      </c>
      <c r="S98" s="90">
        <v>0</v>
      </c>
      <c r="T98" s="90">
        <v>0</v>
      </c>
      <c r="U98" s="90">
        <v>0</v>
      </c>
      <c r="V98" s="90">
        <v>0</v>
      </c>
      <c r="W98" s="90">
        <v>0</v>
      </c>
      <c r="X98">
        <v>0</v>
      </c>
      <c r="Y98">
        <v>0</v>
      </c>
      <c r="Z98">
        <v>0</v>
      </c>
    </row>
    <row r="99" spans="2:26" s="657" customFormat="1" ht="12.75" customHeight="1" x14ac:dyDescent="0.25">
      <c r="C99" s="657" t="s">
        <v>155</v>
      </c>
      <c r="D99" s="657" t="s">
        <v>70</v>
      </c>
      <c r="F99" s="737">
        <v>30144259.370000001</v>
      </c>
      <c r="G99" s="658">
        <v>7696969.2400000002</v>
      </c>
      <c r="H99" s="658">
        <v>4351440.59</v>
      </c>
      <c r="I99" s="738">
        <v>2306516.2999999998</v>
      </c>
      <c r="J99" s="658">
        <v>107263.69</v>
      </c>
      <c r="K99" s="658">
        <v>3376.45</v>
      </c>
      <c r="L99" s="658">
        <v>0</v>
      </c>
      <c r="M99" s="658">
        <v>29617.98</v>
      </c>
      <c r="N99" s="658">
        <v>33795.33</v>
      </c>
      <c r="O99" s="658">
        <v>157592.63</v>
      </c>
      <c r="P99" s="658">
        <v>15452175.380000001</v>
      </c>
      <c r="Q99" s="658">
        <v>5508.95</v>
      </c>
      <c r="R99" s="658">
        <v>2.83</v>
      </c>
      <c r="S99" s="658">
        <v>0</v>
      </c>
      <c r="T99" s="658">
        <v>0</v>
      </c>
      <c r="U99" s="658">
        <v>0</v>
      </c>
      <c r="V99" s="658">
        <v>0</v>
      </c>
      <c r="W99" s="658">
        <v>0</v>
      </c>
      <c r="X99" s="657">
        <v>0</v>
      </c>
      <c r="Y99" s="658">
        <v>0</v>
      </c>
      <c r="Z99" s="658">
        <v>0</v>
      </c>
    </row>
    <row r="100" spans="2:26" ht="12.75" customHeight="1" x14ac:dyDescent="0.25">
      <c r="E100" s="89" t="s">
        <v>72</v>
      </c>
      <c r="F100" s="371">
        <v>188747.7</v>
      </c>
      <c r="G100" s="90">
        <v>8807.75</v>
      </c>
      <c r="H100" s="90">
        <v>4981.6000000000004</v>
      </c>
      <c r="I100" s="90">
        <v>2648.47</v>
      </c>
      <c r="J100" s="90">
        <v>50746.9</v>
      </c>
      <c r="K100" s="90">
        <v>1551.38</v>
      </c>
      <c r="L100" s="90">
        <v>0</v>
      </c>
      <c r="M100" s="90">
        <v>13608.5</v>
      </c>
      <c r="N100" s="90">
        <v>15187.5</v>
      </c>
      <c r="O100" s="90">
        <v>70935.25</v>
      </c>
      <c r="P100" s="90">
        <v>17748.099999999999</v>
      </c>
      <c r="Q100" s="90">
        <v>2531.1799999999998</v>
      </c>
      <c r="R100" s="90">
        <v>1.07</v>
      </c>
      <c r="S100" s="90">
        <v>0</v>
      </c>
      <c r="T100" s="90">
        <v>0</v>
      </c>
      <c r="U100" s="90">
        <v>0</v>
      </c>
      <c r="V100" s="90">
        <v>0</v>
      </c>
      <c r="W100" s="90">
        <v>0</v>
      </c>
      <c r="X100">
        <v>0</v>
      </c>
      <c r="Y100">
        <v>0</v>
      </c>
      <c r="Z100">
        <v>0</v>
      </c>
    </row>
    <row r="101" spans="2:26" ht="12.75" customHeight="1" x14ac:dyDescent="0.25">
      <c r="E101" s="89" t="s">
        <v>81</v>
      </c>
      <c r="F101" s="371">
        <v>529.66999999999996</v>
      </c>
      <c r="G101" s="90">
        <v>26.68</v>
      </c>
      <c r="H101" s="90">
        <v>15.11</v>
      </c>
      <c r="I101" s="90">
        <v>8.09</v>
      </c>
      <c r="J101" s="90">
        <v>141.21</v>
      </c>
      <c r="K101" s="90">
        <v>3.52</v>
      </c>
      <c r="L101" s="90">
        <v>0</v>
      </c>
      <c r="M101" s="90">
        <v>30.82</v>
      </c>
      <c r="N101" s="90">
        <v>43.87</v>
      </c>
      <c r="O101" s="90">
        <v>200.36</v>
      </c>
      <c r="P101" s="90">
        <v>54.25</v>
      </c>
      <c r="Q101" s="90">
        <v>5.73</v>
      </c>
      <c r="R101" s="90">
        <v>0.03</v>
      </c>
      <c r="S101" s="90">
        <v>0</v>
      </c>
      <c r="T101" s="90">
        <v>0</v>
      </c>
      <c r="U101" s="90">
        <v>0</v>
      </c>
      <c r="V101" s="90">
        <v>0</v>
      </c>
      <c r="W101" s="90">
        <v>0</v>
      </c>
      <c r="X101">
        <v>0</v>
      </c>
      <c r="Y101">
        <v>0</v>
      </c>
      <c r="Z101">
        <v>0</v>
      </c>
    </row>
    <row r="102" spans="2:26" ht="12.75" customHeight="1" x14ac:dyDescent="0.25">
      <c r="D102" t="s">
        <v>86</v>
      </c>
      <c r="E102" s="89" t="s">
        <v>70</v>
      </c>
      <c r="F102" s="371">
        <v>189277.37</v>
      </c>
      <c r="G102" s="90">
        <v>8834.43</v>
      </c>
      <c r="H102" s="90">
        <v>4996.71</v>
      </c>
      <c r="I102" s="90">
        <v>2656.56</v>
      </c>
      <c r="J102" s="90">
        <v>50888.11</v>
      </c>
      <c r="K102" s="90">
        <v>1554.9</v>
      </c>
      <c r="L102" s="90">
        <v>0</v>
      </c>
      <c r="M102" s="90">
        <v>13639.32</v>
      </c>
      <c r="N102" s="90">
        <v>15231.37</v>
      </c>
      <c r="O102" s="90">
        <v>71135.61</v>
      </c>
      <c r="P102" s="90">
        <v>17802.349999999999</v>
      </c>
      <c r="Q102" s="90">
        <v>2536.91</v>
      </c>
      <c r="R102" s="90">
        <v>1.1000000000000001</v>
      </c>
      <c r="S102" s="90">
        <v>0</v>
      </c>
      <c r="T102" s="90">
        <v>0</v>
      </c>
      <c r="U102" s="90">
        <v>0</v>
      </c>
      <c r="V102" s="90">
        <v>0</v>
      </c>
      <c r="W102" s="90">
        <v>0</v>
      </c>
      <c r="X102">
        <v>0</v>
      </c>
      <c r="Y102">
        <v>0</v>
      </c>
      <c r="Z102">
        <v>0</v>
      </c>
    </row>
    <row r="103" spans="2:26" ht="12.75" customHeight="1" x14ac:dyDescent="0.25">
      <c r="E103" s="89" t="s">
        <v>72</v>
      </c>
      <c r="F103" s="371">
        <v>59523.21</v>
      </c>
      <c r="G103" s="90">
        <v>3111.79</v>
      </c>
      <c r="H103" s="90">
        <v>1764.74</v>
      </c>
      <c r="I103" s="90">
        <v>956.87</v>
      </c>
      <c r="J103" s="90">
        <v>15677.68</v>
      </c>
      <c r="K103" s="90">
        <v>377.39</v>
      </c>
      <c r="L103" s="90">
        <v>0</v>
      </c>
      <c r="M103" s="90">
        <v>3310.46</v>
      </c>
      <c r="N103" s="90">
        <v>4880.88</v>
      </c>
      <c r="O103" s="90">
        <v>22562.400000000001</v>
      </c>
      <c r="P103" s="90">
        <v>6269.57</v>
      </c>
      <c r="Q103" s="90">
        <v>615.74</v>
      </c>
      <c r="R103" s="90">
        <v>-4.3099999999999996</v>
      </c>
      <c r="S103" s="90">
        <v>0</v>
      </c>
      <c r="T103" s="90">
        <v>0</v>
      </c>
      <c r="U103" s="90">
        <v>0</v>
      </c>
      <c r="V103" s="90">
        <v>0</v>
      </c>
      <c r="W103" s="90">
        <v>0</v>
      </c>
      <c r="X103">
        <v>0</v>
      </c>
      <c r="Y103">
        <v>0</v>
      </c>
      <c r="Z103">
        <v>0</v>
      </c>
    </row>
    <row r="104" spans="2:26" ht="12.75" customHeight="1" x14ac:dyDescent="0.25">
      <c r="E104" s="89" t="s">
        <v>81</v>
      </c>
      <c r="F104" s="371">
        <v>371.68</v>
      </c>
      <c r="G104" s="90">
        <v>19.440000000000001</v>
      </c>
      <c r="H104" s="90">
        <v>11.01</v>
      </c>
      <c r="I104" s="90">
        <v>5.98</v>
      </c>
      <c r="J104" s="90">
        <v>97.9</v>
      </c>
      <c r="K104" s="90">
        <v>2.35</v>
      </c>
      <c r="L104" s="90">
        <v>0</v>
      </c>
      <c r="M104" s="90">
        <v>20.67</v>
      </c>
      <c r="N104" s="90">
        <v>30.48</v>
      </c>
      <c r="O104" s="90">
        <v>140.88</v>
      </c>
      <c r="P104" s="90">
        <v>39.15</v>
      </c>
      <c r="Q104" s="90">
        <v>3.85</v>
      </c>
      <c r="R104" s="90">
        <v>-0.03</v>
      </c>
      <c r="S104" s="90">
        <v>0</v>
      </c>
      <c r="T104" s="90">
        <v>0</v>
      </c>
      <c r="U104" s="90">
        <v>0</v>
      </c>
      <c r="V104" s="90">
        <v>0</v>
      </c>
      <c r="W104" s="90">
        <v>0</v>
      </c>
      <c r="X104">
        <v>0</v>
      </c>
      <c r="Y104">
        <v>0</v>
      </c>
      <c r="Z104">
        <v>0</v>
      </c>
    </row>
    <row r="105" spans="2:26" ht="12.75" customHeight="1" x14ac:dyDescent="0.25">
      <c r="D105" t="s">
        <v>87</v>
      </c>
      <c r="E105" s="89" t="s">
        <v>70</v>
      </c>
      <c r="F105" s="371">
        <v>59894.89</v>
      </c>
      <c r="G105" s="90">
        <v>3131.23</v>
      </c>
      <c r="H105" s="90">
        <v>1775.75</v>
      </c>
      <c r="I105" s="90">
        <v>962.85</v>
      </c>
      <c r="J105" s="90">
        <v>15775.58</v>
      </c>
      <c r="K105" s="90">
        <v>379.74</v>
      </c>
      <c r="L105" s="90">
        <v>0</v>
      </c>
      <c r="M105" s="90">
        <v>3331.13</v>
      </c>
      <c r="N105" s="90">
        <v>4911.3599999999997</v>
      </c>
      <c r="O105" s="90">
        <v>22703.279999999999</v>
      </c>
      <c r="P105" s="90">
        <v>6308.72</v>
      </c>
      <c r="Q105" s="90">
        <v>619.59</v>
      </c>
      <c r="R105" s="90">
        <v>-4.34</v>
      </c>
      <c r="S105" s="90">
        <v>0</v>
      </c>
      <c r="T105" s="90">
        <v>0</v>
      </c>
      <c r="U105" s="90">
        <v>0</v>
      </c>
      <c r="V105" s="90">
        <v>0</v>
      </c>
      <c r="W105" s="90">
        <v>0</v>
      </c>
      <c r="X105">
        <v>0</v>
      </c>
      <c r="Y105">
        <v>0</v>
      </c>
      <c r="Z105">
        <v>0</v>
      </c>
    </row>
    <row r="106" spans="2:26" s="94" customFormat="1" ht="12.75" customHeight="1" x14ac:dyDescent="0.25">
      <c r="C106" s="94" t="s">
        <v>119</v>
      </c>
      <c r="D106" s="94" t="s">
        <v>70</v>
      </c>
      <c r="E106" s="101"/>
      <c r="F106" s="93">
        <v>249172.26</v>
      </c>
      <c r="G106" s="93">
        <v>11965.66</v>
      </c>
      <c r="H106" s="93">
        <v>6772.46</v>
      </c>
      <c r="I106" s="93">
        <v>3619.41</v>
      </c>
      <c r="J106" s="93">
        <v>66663.69</v>
      </c>
      <c r="K106" s="93">
        <v>1934.64</v>
      </c>
      <c r="L106" s="93">
        <v>0</v>
      </c>
      <c r="M106" s="93">
        <v>16970.45</v>
      </c>
      <c r="N106" s="93">
        <v>20142.73</v>
      </c>
      <c r="O106" s="93">
        <v>93838.89</v>
      </c>
      <c r="P106" s="93">
        <v>24111.07</v>
      </c>
      <c r="Q106" s="93">
        <v>3156.5</v>
      </c>
      <c r="R106" s="93">
        <v>-3.24</v>
      </c>
      <c r="S106" s="93">
        <v>0</v>
      </c>
      <c r="T106" s="93">
        <v>0</v>
      </c>
      <c r="U106" s="93">
        <v>0</v>
      </c>
      <c r="V106" s="93">
        <v>0</v>
      </c>
      <c r="W106" s="93">
        <v>0</v>
      </c>
      <c r="X106" s="94">
        <v>0</v>
      </c>
      <c r="Y106" s="94">
        <v>0</v>
      </c>
      <c r="Z106" s="94">
        <v>0</v>
      </c>
    </row>
    <row r="107" spans="2:26" s="378" customFormat="1" ht="12.75" customHeight="1" x14ac:dyDescent="0.25">
      <c r="B107" s="378" t="s">
        <v>122</v>
      </c>
      <c r="C107" s="378" t="s">
        <v>70</v>
      </c>
      <c r="E107" s="376"/>
      <c r="F107" s="711">
        <v>30393431.629999999</v>
      </c>
      <c r="G107" s="377">
        <v>7708934.9000000004</v>
      </c>
      <c r="H107" s="377">
        <v>4358213.05</v>
      </c>
      <c r="I107" s="377">
        <v>2310135.71</v>
      </c>
      <c r="J107" s="377">
        <v>173927.38</v>
      </c>
      <c r="K107" s="377">
        <v>5311.09</v>
      </c>
      <c r="L107" s="377">
        <v>0</v>
      </c>
      <c r="M107" s="377">
        <v>46588.43</v>
      </c>
      <c r="N107" s="377">
        <v>53938.06</v>
      </c>
      <c r="O107" s="377">
        <v>251431.52</v>
      </c>
      <c r="P107" s="377">
        <v>15476286.449999999</v>
      </c>
      <c r="Q107" s="377">
        <v>8665.4500000000007</v>
      </c>
      <c r="R107" s="377">
        <v>-0.40999999999999898</v>
      </c>
      <c r="S107" s="377">
        <v>0</v>
      </c>
      <c r="T107" s="377">
        <v>0</v>
      </c>
      <c r="U107" s="377">
        <v>0</v>
      </c>
      <c r="V107" s="377">
        <v>0</v>
      </c>
      <c r="W107" s="377">
        <v>0</v>
      </c>
      <c r="X107" s="378">
        <v>0</v>
      </c>
      <c r="Y107" s="378">
        <v>0</v>
      </c>
      <c r="Z107" s="378">
        <v>0</v>
      </c>
    </row>
    <row r="108" spans="2:26" ht="12.75" customHeight="1" x14ac:dyDescent="0.25">
      <c r="E108" s="89" t="s">
        <v>72</v>
      </c>
      <c r="F108" s="371">
        <v>23902898063.380001</v>
      </c>
      <c r="G108" s="90">
        <v>1381350603.3199999</v>
      </c>
      <c r="H108" s="90">
        <v>776537530.45000005</v>
      </c>
      <c r="I108" s="90">
        <v>407911355.66000003</v>
      </c>
      <c r="J108" s="90">
        <v>5537035232.2399998</v>
      </c>
      <c r="K108" s="90">
        <v>214461078.68000001</v>
      </c>
      <c r="L108" s="90">
        <v>24255269.25</v>
      </c>
      <c r="M108" s="90">
        <v>1879555764.02</v>
      </c>
      <c r="N108" s="90">
        <v>1854401852.3499999</v>
      </c>
      <c r="O108" s="90">
        <v>8755909642.4699993</v>
      </c>
      <c r="P108" s="90">
        <v>2720975584.04</v>
      </c>
      <c r="Q108" s="90">
        <v>350419003.25999999</v>
      </c>
      <c r="R108" s="90">
        <v>85147.64</v>
      </c>
      <c r="S108" s="90">
        <v>0</v>
      </c>
      <c r="T108" s="90">
        <v>0</v>
      </c>
      <c r="U108" s="90">
        <v>0</v>
      </c>
      <c r="V108" s="90">
        <v>0</v>
      </c>
      <c r="W108" s="90">
        <v>0</v>
      </c>
      <c r="X108">
        <v>0</v>
      </c>
      <c r="Y108">
        <v>0</v>
      </c>
      <c r="Z108">
        <v>0</v>
      </c>
    </row>
    <row r="109" spans="2:26" ht="12.75" customHeight="1" x14ac:dyDescent="0.25">
      <c r="E109" s="89" t="s">
        <v>81</v>
      </c>
      <c r="F109" s="90">
        <v>161922359.94999999</v>
      </c>
      <c r="G109" s="90">
        <v>18825772.870000001</v>
      </c>
      <c r="H109" s="90">
        <v>8911778.5600000005</v>
      </c>
      <c r="I109" s="90">
        <v>4071687.82</v>
      </c>
      <c r="J109" s="90">
        <v>30018521.530000001</v>
      </c>
      <c r="K109" s="90">
        <v>1044885.63</v>
      </c>
      <c r="L109" s="90">
        <v>17960.64</v>
      </c>
      <c r="M109" s="90">
        <v>9163599.0999999996</v>
      </c>
      <c r="N109" s="90">
        <v>10764552.539999999</v>
      </c>
      <c r="O109" s="90">
        <v>40397442.390000001</v>
      </c>
      <c r="P109" s="90">
        <v>36995764.229999997</v>
      </c>
      <c r="Q109" s="90">
        <v>1705687.47</v>
      </c>
      <c r="R109" s="90">
        <v>4816.78</v>
      </c>
      <c r="S109" s="90">
        <v>-70.86</v>
      </c>
      <c r="T109" s="90">
        <v>4.1399999999999997</v>
      </c>
      <c r="U109" s="90">
        <v>0</v>
      </c>
      <c r="V109" s="90">
        <v>0</v>
      </c>
      <c r="W109" s="90">
        <v>0</v>
      </c>
      <c r="X109">
        <v>0</v>
      </c>
      <c r="Y109">
        <v>0</v>
      </c>
      <c r="Z109">
        <v>-42.89</v>
      </c>
    </row>
    <row r="110" spans="2:26" ht="12.75" customHeight="1" x14ac:dyDescent="0.25">
      <c r="D110" t="s">
        <v>156</v>
      </c>
      <c r="E110" s="89" t="s">
        <v>70</v>
      </c>
      <c r="F110" s="90">
        <v>24064820423.330002</v>
      </c>
      <c r="G110" s="90">
        <v>1400176376.1900001</v>
      </c>
      <c r="H110" s="90">
        <v>785449309.00999999</v>
      </c>
      <c r="I110" s="90">
        <v>411983043.48000002</v>
      </c>
      <c r="J110" s="90">
        <v>5567053753.7700005</v>
      </c>
      <c r="K110" s="90">
        <v>215505964.31</v>
      </c>
      <c r="L110" s="90">
        <v>24273229.890000001</v>
      </c>
      <c r="M110" s="90">
        <v>1888719363.1199999</v>
      </c>
      <c r="N110" s="90">
        <v>1865166404.8900001</v>
      </c>
      <c r="O110" s="90">
        <v>8796307084.8600006</v>
      </c>
      <c r="P110" s="90">
        <v>2757971348.27</v>
      </c>
      <c r="Q110" s="90">
        <v>352124690.73000002</v>
      </c>
      <c r="R110" s="90">
        <v>89964.42</v>
      </c>
      <c r="S110" s="90">
        <v>-70.86</v>
      </c>
      <c r="T110" s="90">
        <v>4.1399999999999997</v>
      </c>
      <c r="U110" s="90">
        <v>0</v>
      </c>
      <c r="V110" s="90">
        <v>0</v>
      </c>
      <c r="W110" s="90">
        <v>0</v>
      </c>
      <c r="X110">
        <v>0</v>
      </c>
      <c r="Y110">
        <v>0</v>
      </c>
      <c r="Z110">
        <v>-42.89</v>
      </c>
    </row>
    <row r="111" spans="2:26" s="657" customFormat="1" ht="12.75" customHeight="1" x14ac:dyDescent="0.25">
      <c r="C111" s="657" t="s">
        <v>155</v>
      </c>
      <c r="D111" s="658" t="s">
        <v>70</v>
      </c>
      <c r="E111" s="658"/>
      <c r="F111" s="659">
        <v>24064820423.330002</v>
      </c>
      <c r="G111" s="659">
        <v>1400176376.1900001</v>
      </c>
      <c r="H111" s="659">
        <v>785449309.00999999</v>
      </c>
      <c r="I111" s="659">
        <v>411983043.48000002</v>
      </c>
      <c r="J111" s="659">
        <v>5567053753.7700005</v>
      </c>
      <c r="K111" s="659">
        <v>215505964.31</v>
      </c>
      <c r="L111" s="659">
        <v>24273229.890000001</v>
      </c>
      <c r="M111" s="659">
        <v>1888719363.1199999</v>
      </c>
      <c r="N111" s="659">
        <v>1865166404.8900001</v>
      </c>
      <c r="O111" s="659">
        <v>8796307084.8600006</v>
      </c>
      <c r="P111" s="659">
        <v>2757971348.27</v>
      </c>
      <c r="Q111" s="659">
        <v>352124690.73000002</v>
      </c>
      <c r="R111" s="659">
        <v>89964.42</v>
      </c>
      <c r="S111" s="659">
        <v>-70.86</v>
      </c>
      <c r="T111" s="659">
        <v>4.1399999999999997</v>
      </c>
      <c r="U111" s="659">
        <v>0</v>
      </c>
      <c r="V111" s="659">
        <v>0</v>
      </c>
      <c r="W111" s="659">
        <v>0</v>
      </c>
      <c r="X111" s="657">
        <v>0</v>
      </c>
      <c r="Y111" s="657">
        <v>0</v>
      </c>
      <c r="Z111" s="657">
        <v>-42.89</v>
      </c>
    </row>
    <row r="112" spans="2:26" ht="12.75" customHeight="1" x14ac:dyDescent="0.25">
      <c r="D112" s="89"/>
      <c r="E112" s="89" t="s">
        <v>72</v>
      </c>
      <c r="F112" s="371">
        <v>1971431.11</v>
      </c>
      <c r="G112" s="90">
        <v>107001.83</v>
      </c>
      <c r="H112" s="90">
        <v>51575.5</v>
      </c>
      <c r="I112" s="90">
        <v>29270.41</v>
      </c>
      <c r="J112" s="90">
        <v>520554.47</v>
      </c>
      <c r="K112" s="90">
        <v>14389.55</v>
      </c>
      <c r="L112" s="90">
        <v>0</v>
      </c>
      <c r="M112" s="90">
        <v>126225.52</v>
      </c>
      <c r="N112" s="90">
        <v>157541.67000000001</v>
      </c>
      <c r="O112" s="90">
        <v>726381.08</v>
      </c>
      <c r="P112" s="90">
        <v>215014.43</v>
      </c>
      <c r="Q112" s="90">
        <v>23478.09</v>
      </c>
      <c r="R112" s="90">
        <v>-1.44</v>
      </c>
      <c r="S112" s="90">
        <v>0</v>
      </c>
      <c r="T112" s="90">
        <v>0</v>
      </c>
      <c r="U112" s="90">
        <v>0</v>
      </c>
      <c r="V112" s="90">
        <v>0</v>
      </c>
      <c r="W112" s="90">
        <v>0</v>
      </c>
      <c r="X112">
        <v>0</v>
      </c>
      <c r="Y112">
        <v>0</v>
      </c>
      <c r="Z112">
        <v>0</v>
      </c>
    </row>
    <row r="113" spans="3:26" ht="12.75" customHeight="1" x14ac:dyDescent="0.25">
      <c r="D113" s="89"/>
      <c r="E113" s="89" t="s">
        <v>81</v>
      </c>
      <c r="F113" s="371">
        <v>45276.38</v>
      </c>
      <c r="G113" s="90">
        <v>3165.1</v>
      </c>
      <c r="H113" s="90">
        <v>1469.01</v>
      </c>
      <c r="I113" s="90">
        <v>833.37</v>
      </c>
      <c r="J113" s="90">
        <v>12201.77</v>
      </c>
      <c r="K113" s="90">
        <v>287.70999999999998</v>
      </c>
      <c r="L113" s="90">
        <v>0</v>
      </c>
      <c r="M113" s="90">
        <v>2524.3000000000002</v>
      </c>
      <c r="N113" s="90">
        <v>3179.87</v>
      </c>
      <c r="O113" s="90">
        <v>14776.64</v>
      </c>
      <c r="P113" s="90">
        <v>6369.21</v>
      </c>
      <c r="Q113" s="90">
        <v>469.35</v>
      </c>
      <c r="R113" s="90">
        <v>0.12</v>
      </c>
      <c r="S113" s="90">
        <v>0</v>
      </c>
      <c r="T113" s="90">
        <v>0</v>
      </c>
      <c r="U113" s="90">
        <v>0</v>
      </c>
      <c r="V113" s="90">
        <v>0</v>
      </c>
      <c r="W113" s="90">
        <v>0</v>
      </c>
      <c r="X113">
        <v>0</v>
      </c>
      <c r="Y113">
        <v>0</v>
      </c>
      <c r="Z113">
        <v>-7.0000000000000007E-2</v>
      </c>
    </row>
    <row r="114" spans="3:26" ht="12.75" customHeight="1" x14ac:dyDescent="0.25">
      <c r="D114" s="89" t="s">
        <v>115</v>
      </c>
      <c r="E114" s="89" t="s">
        <v>70</v>
      </c>
      <c r="F114" s="371">
        <v>2016707.49</v>
      </c>
      <c r="G114" s="90">
        <v>110166.93</v>
      </c>
      <c r="H114" s="90">
        <v>53044.51</v>
      </c>
      <c r="I114" s="90">
        <v>30103.78</v>
      </c>
      <c r="J114" s="90">
        <v>532756.24</v>
      </c>
      <c r="K114" s="90">
        <v>14677.26</v>
      </c>
      <c r="L114" s="90">
        <v>0</v>
      </c>
      <c r="M114" s="90">
        <v>128749.82</v>
      </c>
      <c r="N114" s="90">
        <v>160721.54</v>
      </c>
      <c r="O114" s="90">
        <v>741157.72</v>
      </c>
      <c r="P114" s="90">
        <v>221383.64</v>
      </c>
      <c r="Q114" s="90">
        <v>23947.439999999999</v>
      </c>
      <c r="R114" s="90">
        <v>-1.32</v>
      </c>
      <c r="S114" s="90">
        <v>0</v>
      </c>
      <c r="T114" s="90">
        <v>0</v>
      </c>
      <c r="U114" s="90">
        <v>0</v>
      </c>
      <c r="V114" s="90">
        <v>0</v>
      </c>
      <c r="W114" s="90">
        <v>0</v>
      </c>
      <c r="X114">
        <v>0</v>
      </c>
      <c r="Y114">
        <v>0</v>
      </c>
      <c r="Z114">
        <v>-7.0000000000000007E-2</v>
      </c>
    </row>
    <row r="115" spans="3:26" ht="12.75" customHeight="1" x14ac:dyDescent="0.25">
      <c r="D115" s="89"/>
      <c r="E115" s="89" t="s">
        <v>72</v>
      </c>
      <c r="F115" s="90">
        <v>419516.23</v>
      </c>
      <c r="G115" s="90">
        <v>25972.880000000001</v>
      </c>
      <c r="H115" s="90">
        <v>12592.54</v>
      </c>
      <c r="I115" s="90">
        <v>6939.94</v>
      </c>
      <c r="J115" s="90">
        <v>120301.92</v>
      </c>
      <c r="K115" s="90">
        <v>2941.24</v>
      </c>
      <c r="L115" s="90">
        <v>0</v>
      </c>
      <c r="M115" s="90">
        <v>25800.7</v>
      </c>
      <c r="N115" s="90">
        <v>30113.79</v>
      </c>
      <c r="O115" s="90">
        <v>139376.88</v>
      </c>
      <c r="P115" s="90">
        <v>50670.06</v>
      </c>
      <c r="Q115" s="90">
        <v>4798.96</v>
      </c>
      <c r="R115" s="90">
        <v>7.32</v>
      </c>
      <c r="S115" s="90">
        <v>0</v>
      </c>
      <c r="T115" s="90">
        <v>0</v>
      </c>
      <c r="U115" s="90">
        <v>0</v>
      </c>
      <c r="V115" s="90">
        <v>0</v>
      </c>
      <c r="W115" s="90">
        <v>0</v>
      </c>
      <c r="X115">
        <v>0</v>
      </c>
      <c r="Y115">
        <v>0</v>
      </c>
      <c r="Z115">
        <v>0</v>
      </c>
    </row>
    <row r="116" spans="3:26" ht="12.75" customHeight="1" x14ac:dyDescent="0.25">
      <c r="D116" s="89"/>
      <c r="E116" s="89" t="s">
        <v>81</v>
      </c>
      <c r="F116" s="90">
        <v>7178.99</v>
      </c>
      <c r="G116" s="90">
        <v>374.66</v>
      </c>
      <c r="H116" s="90">
        <v>168.63</v>
      </c>
      <c r="I116" s="90">
        <v>100.33</v>
      </c>
      <c r="J116" s="90">
        <v>2116.0300000000002</v>
      </c>
      <c r="K116" s="90">
        <v>48.58</v>
      </c>
      <c r="L116" s="90">
        <v>0</v>
      </c>
      <c r="M116" s="90">
        <v>425.77</v>
      </c>
      <c r="N116" s="90">
        <v>547.15</v>
      </c>
      <c r="O116" s="90">
        <v>2568.6999999999998</v>
      </c>
      <c r="P116" s="90">
        <v>749.68</v>
      </c>
      <c r="Q116" s="90">
        <v>79.23</v>
      </c>
      <c r="R116" s="90">
        <v>0.23</v>
      </c>
      <c r="S116" s="90">
        <v>0</v>
      </c>
      <c r="T116" s="90">
        <v>0</v>
      </c>
      <c r="U116" s="90">
        <v>0</v>
      </c>
      <c r="V116" s="90">
        <v>0</v>
      </c>
      <c r="W116" s="90">
        <v>0</v>
      </c>
      <c r="X116">
        <v>0</v>
      </c>
      <c r="Y116">
        <v>0</v>
      </c>
      <c r="Z116">
        <v>0</v>
      </c>
    </row>
    <row r="117" spans="3:26" ht="12.75" customHeight="1" x14ac:dyDescent="0.25">
      <c r="D117" t="s">
        <v>116</v>
      </c>
      <c r="E117" s="89" t="s">
        <v>70</v>
      </c>
      <c r="F117" s="90">
        <v>426695.22</v>
      </c>
      <c r="G117" s="90">
        <v>26347.54</v>
      </c>
      <c r="H117" s="90">
        <v>12761.17</v>
      </c>
      <c r="I117" s="90">
        <v>7040.27</v>
      </c>
      <c r="J117" s="90">
        <v>122417.95</v>
      </c>
      <c r="K117" s="90">
        <v>2989.82</v>
      </c>
      <c r="L117" s="90">
        <v>0</v>
      </c>
      <c r="M117" s="90">
        <v>26226.47</v>
      </c>
      <c r="N117" s="90">
        <v>30660.94</v>
      </c>
      <c r="O117" s="90">
        <v>141945.57999999999</v>
      </c>
      <c r="P117" s="90">
        <v>51419.74</v>
      </c>
      <c r="Q117" s="90">
        <v>4878.1899999999996</v>
      </c>
      <c r="R117" s="90">
        <v>7.55</v>
      </c>
      <c r="S117" s="90">
        <v>0</v>
      </c>
      <c r="T117" s="90">
        <v>0</v>
      </c>
      <c r="U117" s="90">
        <v>0</v>
      </c>
      <c r="V117" s="90">
        <v>0</v>
      </c>
      <c r="W117" s="90">
        <v>0</v>
      </c>
      <c r="X117">
        <v>0</v>
      </c>
      <c r="Y117">
        <v>0</v>
      </c>
      <c r="Z117">
        <v>0</v>
      </c>
    </row>
    <row r="118" spans="3:26" ht="12.75" customHeight="1" x14ac:dyDescent="0.25">
      <c r="D118" s="89"/>
      <c r="E118" s="89" t="s">
        <v>72</v>
      </c>
      <c r="F118" s="90">
        <v>12785198.32</v>
      </c>
      <c r="G118" s="90">
        <v>703609.95</v>
      </c>
      <c r="H118" s="90">
        <v>387545.59999999998</v>
      </c>
      <c r="I118" s="90">
        <v>207630.35</v>
      </c>
      <c r="J118" s="90">
        <v>3187955.94</v>
      </c>
      <c r="K118" s="90">
        <v>106822.11</v>
      </c>
      <c r="L118" s="90">
        <v>0</v>
      </c>
      <c r="M118" s="90">
        <v>942031.97</v>
      </c>
      <c r="N118" s="90">
        <v>1002072.56</v>
      </c>
      <c r="O118" s="90">
        <v>4691016.74</v>
      </c>
      <c r="P118" s="90">
        <v>1381254.47</v>
      </c>
      <c r="Q118" s="90">
        <v>175192.74</v>
      </c>
      <c r="R118" s="90">
        <v>65.89</v>
      </c>
      <c r="S118" s="90">
        <v>0</v>
      </c>
      <c r="T118" s="90">
        <v>0</v>
      </c>
      <c r="U118" s="90">
        <v>0</v>
      </c>
      <c r="V118" s="90">
        <v>0</v>
      </c>
      <c r="W118" s="90">
        <v>0</v>
      </c>
      <c r="X118">
        <v>0</v>
      </c>
      <c r="Y118">
        <v>0</v>
      </c>
      <c r="Z118">
        <v>0</v>
      </c>
    </row>
    <row r="119" spans="3:26" ht="12.75" customHeight="1" x14ac:dyDescent="0.25">
      <c r="E119" s="89" t="s">
        <v>81</v>
      </c>
      <c r="F119" s="90">
        <v>74732.160000000003</v>
      </c>
      <c r="G119" s="90">
        <v>6320.89</v>
      </c>
      <c r="H119" s="90">
        <v>3463.36</v>
      </c>
      <c r="I119" s="90">
        <v>1859.06</v>
      </c>
      <c r="J119" s="90">
        <v>16027.83</v>
      </c>
      <c r="K119" s="90">
        <v>531.94000000000005</v>
      </c>
      <c r="L119" s="90">
        <v>0</v>
      </c>
      <c r="M119" s="90">
        <v>4669.95</v>
      </c>
      <c r="N119" s="90">
        <v>5098.07</v>
      </c>
      <c r="O119" s="90">
        <v>23528.73</v>
      </c>
      <c r="P119" s="90">
        <v>12364.11</v>
      </c>
      <c r="Q119" s="90">
        <v>868.28</v>
      </c>
      <c r="R119" s="90">
        <v>-0.06</v>
      </c>
      <c r="S119" s="90">
        <v>0</v>
      </c>
      <c r="T119" s="90">
        <v>0</v>
      </c>
      <c r="U119" s="90">
        <v>0</v>
      </c>
      <c r="V119" s="90">
        <v>0</v>
      </c>
      <c r="W119" s="90">
        <v>0</v>
      </c>
      <c r="X119">
        <v>0</v>
      </c>
      <c r="Y119">
        <v>0</v>
      </c>
      <c r="Z119">
        <v>0</v>
      </c>
    </row>
    <row r="120" spans="3:26" ht="12.75" customHeight="1" x14ac:dyDescent="0.25">
      <c r="D120" t="s">
        <v>118</v>
      </c>
      <c r="E120" s="89" t="s">
        <v>70</v>
      </c>
      <c r="F120" s="90">
        <v>12859930.48</v>
      </c>
      <c r="G120" s="90">
        <v>709930.84</v>
      </c>
      <c r="H120" s="90">
        <v>391008.96</v>
      </c>
      <c r="I120" s="90">
        <v>209489.41</v>
      </c>
      <c r="J120" s="90">
        <v>3203983.77</v>
      </c>
      <c r="K120" s="90">
        <v>107354.05</v>
      </c>
      <c r="L120" s="90">
        <v>0</v>
      </c>
      <c r="M120" s="90">
        <v>946701.92</v>
      </c>
      <c r="N120" s="90">
        <v>1007170.63</v>
      </c>
      <c r="O120" s="90">
        <v>4714545.47</v>
      </c>
      <c r="P120" s="90">
        <v>1393618.58</v>
      </c>
      <c r="Q120" s="90">
        <v>176061.02</v>
      </c>
      <c r="R120" s="90">
        <v>65.83</v>
      </c>
      <c r="S120" s="90">
        <v>0</v>
      </c>
      <c r="T120" s="90">
        <v>0</v>
      </c>
      <c r="U120" s="90">
        <v>0</v>
      </c>
      <c r="V120" s="90">
        <v>0</v>
      </c>
      <c r="W120" s="90">
        <v>0</v>
      </c>
      <c r="X120">
        <v>0</v>
      </c>
      <c r="Y120">
        <v>0</v>
      </c>
      <c r="Z120">
        <v>0</v>
      </c>
    </row>
    <row r="121" spans="3:26" s="224" customFormat="1" ht="12.75" customHeight="1" x14ac:dyDescent="0.25">
      <c r="C121" s="223" t="s">
        <v>120</v>
      </c>
      <c r="D121" s="223" t="s">
        <v>70</v>
      </c>
      <c r="F121" s="225">
        <v>15303333.189999999</v>
      </c>
      <c r="G121" s="225">
        <v>846445.31</v>
      </c>
      <c r="H121" s="225">
        <v>456814.64</v>
      </c>
      <c r="I121" s="225">
        <v>246633.46</v>
      </c>
      <c r="J121" s="225">
        <v>3859157.96</v>
      </c>
      <c r="K121" s="225">
        <v>125021.13</v>
      </c>
      <c r="L121" s="225">
        <v>0</v>
      </c>
      <c r="M121" s="225">
        <v>1101678.21</v>
      </c>
      <c r="N121" s="225">
        <v>1198553.1100000001</v>
      </c>
      <c r="O121" s="225">
        <v>5597648.7699999996</v>
      </c>
      <c r="P121" s="225">
        <v>1666421.96</v>
      </c>
      <c r="Q121" s="225">
        <v>204886.65</v>
      </c>
      <c r="R121" s="225">
        <v>72.06</v>
      </c>
      <c r="S121" s="225">
        <v>0</v>
      </c>
      <c r="T121" s="225">
        <v>0</v>
      </c>
      <c r="U121" s="225">
        <v>0</v>
      </c>
      <c r="V121" s="225">
        <v>0</v>
      </c>
      <c r="W121" s="225">
        <v>0</v>
      </c>
      <c r="X121" s="224">
        <v>0</v>
      </c>
      <c r="Y121" s="224">
        <v>0</v>
      </c>
      <c r="Z121" s="224">
        <v>-7.0000000000000007E-2</v>
      </c>
    </row>
    <row r="122" spans="3:26" ht="12.75" customHeight="1" x14ac:dyDescent="0.25">
      <c r="C122" s="89"/>
      <c r="D122" s="89"/>
      <c r="E122" t="s">
        <v>72</v>
      </c>
      <c r="F122" s="90">
        <v>455939001.99000001</v>
      </c>
      <c r="G122" s="90">
        <v>31166168.329999998</v>
      </c>
      <c r="H122" s="90">
        <v>17414261.350000001</v>
      </c>
      <c r="I122" s="90">
        <v>9320448.5600000005</v>
      </c>
      <c r="J122" s="90">
        <v>107716548.78</v>
      </c>
      <c r="K122" s="90">
        <v>2778581.48</v>
      </c>
      <c r="L122" s="90">
        <v>223000</v>
      </c>
      <c r="M122" s="90">
        <v>24356285.66</v>
      </c>
      <c r="N122" s="90">
        <v>34967660.869999997</v>
      </c>
      <c r="O122" s="90">
        <v>161072747.18000001</v>
      </c>
      <c r="P122" s="90">
        <v>62379437.009999998</v>
      </c>
      <c r="Q122" s="90">
        <v>4546029.75</v>
      </c>
      <c r="R122" s="90">
        <v>-2166.98</v>
      </c>
      <c r="S122" s="90">
        <v>0</v>
      </c>
      <c r="T122" s="90">
        <v>0</v>
      </c>
      <c r="U122" s="90">
        <v>0</v>
      </c>
      <c r="V122" s="90">
        <v>0</v>
      </c>
      <c r="W122" s="90">
        <v>0</v>
      </c>
      <c r="X122">
        <v>0</v>
      </c>
      <c r="Y122">
        <v>0</v>
      </c>
      <c r="Z122">
        <v>0</v>
      </c>
    </row>
    <row r="123" spans="3:26" ht="12.75" customHeight="1" x14ac:dyDescent="0.25">
      <c r="C123" s="89"/>
      <c r="D123" s="89"/>
      <c r="E123" t="s">
        <v>81</v>
      </c>
      <c r="F123" s="90">
        <v>4505253.3899999997</v>
      </c>
      <c r="G123" s="90">
        <v>686613.92</v>
      </c>
      <c r="H123" s="90">
        <v>335505.83</v>
      </c>
      <c r="I123" s="90">
        <v>186385.59</v>
      </c>
      <c r="J123" s="90">
        <v>633051.63</v>
      </c>
      <c r="K123" s="90">
        <v>16253.71</v>
      </c>
      <c r="L123" s="90">
        <v>423.43</v>
      </c>
      <c r="M123" s="90">
        <v>141566.92000000001</v>
      </c>
      <c r="N123" s="90">
        <v>197973.31</v>
      </c>
      <c r="O123" s="90">
        <v>907304.36</v>
      </c>
      <c r="P123" s="90">
        <v>1373624.55</v>
      </c>
      <c r="Q123" s="90">
        <v>26555.9</v>
      </c>
      <c r="R123" s="90">
        <v>-5.38</v>
      </c>
      <c r="S123" s="90">
        <v>0</v>
      </c>
      <c r="T123" s="90">
        <v>0</v>
      </c>
      <c r="U123" s="90">
        <v>0</v>
      </c>
      <c r="V123" s="90">
        <v>0</v>
      </c>
      <c r="W123" s="90">
        <v>0</v>
      </c>
      <c r="X123">
        <v>0</v>
      </c>
      <c r="Y123">
        <v>0</v>
      </c>
      <c r="Z123">
        <v>-0.38</v>
      </c>
    </row>
    <row r="124" spans="3:26" ht="12.75" customHeight="1" x14ac:dyDescent="0.25">
      <c r="D124" t="s">
        <v>82</v>
      </c>
      <c r="E124" s="89" t="s">
        <v>70</v>
      </c>
      <c r="F124" s="90">
        <v>460444255.38</v>
      </c>
      <c r="G124" s="90">
        <v>31852782.25</v>
      </c>
      <c r="H124" s="90">
        <v>17749767.18</v>
      </c>
      <c r="I124" s="90">
        <v>9506834.1500000004</v>
      </c>
      <c r="J124" s="90">
        <v>108349600.41</v>
      </c>
      <c r="K124" s="90">
        <v>2794835.19</v>
      </c>
      <c r="L124" s="90">
        <v>223423.43</v>
      </c>
      <c r="M124" s="90">
        <v>24497852.579999998</v>
      </c>
      <c r="N124" s="90">
        <v>35165634.18</v>
      </c>
      <c r="O124" s="90">
        <v>161980051.53999999</v>
      </c>
      <c r="P124" s="90">
        <v>63753061.560000002</v>
      </c>
      <c r="Q124" s="90">
        <v>4572585.6500000004</v>
      </c>
      <c r="R124" s="90">
        <v>-2172.36</v>
      </c>
      <c r="S124" s="90">
        <v>0</v>
      </c>
      <c r="T124" s="90">
        <v>0</v>
      </c>
      <c r="U124" s="90">
        <v>0</v>
      </c>
      <c r="V124" s="90">
        <v>0</v>
      </c>
      <c r="W124" s="90">
        <v>0</v>
      </c>
      <c r="X124">
        <v>0</v>
      </c>
      <c r="Y124">
        <v>0</v>
      </c>
      <c r="Z124">
        <v>-0.38</v>
      </c>
    </row>
    <row r="125" spans="3:26" ht="12.75" customHeight="1" x14ac:dyDescent="0.25">
      <c r="E125" s="89" t="s">
        <v>72</v>
      </c>
      <c r="F125" s="90">
        <v>193966389.72999999</v>
      </c>
      <c r="G125" s="90">
        <v>18753395.739999998</v>
      </c>
      <c r="H125" s="90">
        <v>10057409.18</v>
      </c>
      <c r="I125" s="90">
        <v>5168574.8499999996</v>
      </c>
      <c r="J125" s="90">
        <v>37118799.350000001</v>
      </c>
      <c r="K125" s="90">
        <v>1216758.52</v>
      </c>
      <c r="L125" s="90">
        <v>1204189.42</v>
      </c>
      <c r="M125" s="90">
        <v>10633285.029999999</v>
      </c>
      <c r="N125" s="90">
        <v>12932629.939999999</v>
      </c>
      <c r="O125" s="90">
        <v>57515757.549999997</v>
      </c>
      <c r="P125" s="90">
        <v>37372824.68</v>
      </c>
      <c r="Q125" s="90">
        <v>1993046.78</v>
      </c>
      <c r="R125" s="90">
        <v>-281.31</v>
      </c>
      <c r="S125" s="90">
        <v>0</v>
      </c>
      <c r="T125" s="90">
        <v>0</v>
      </c>
      <c r="U125" s="90">
        <v>0</v>
      </c>
      <c r="V125" s="90">
        <v>0</v>
      </c>
      <c r="W125" s="90">
        <v>0</v>
      </c>
      <c r="X125">
        <v>0</v>
      </c>
      <c r="Y125">
        <v>0</v>
      </c>
      <c r="Z125">
        <v>0</v>
      </c>
    </row>
    <row r="126" spans="3:26" ht="12.75" customHeight="1" x14ac:dyDescent="0.25">
      <c r="D126" s="89"/>
      <c r="E126" s="89" t="s">
        <v>81</v>
      </c>
      <c r="F126" s="90">
        <v>9166147.2799999993</v>
      </c>
      <c r="G126" s="90">
        <v>1183506.74</v>
      </c>
      <c r="H126" s="90">
        <v>586131.57999999996</v>
      </c>
      <c r="I126" s="90">
        <v>271123.56</v>
      </c>
      <c r="J126" s="90">
        <v>1563968.47</v>
      </c>
      <c r="K126" s="90">
        <v>53802.28</v>
      </c>
      <c r="L126" s="90">
        <v>0</v>
      </c>
      <c r="M126" s="90">
        <v>473676.04</v>
      </c>
      <c r="N126" s="90">
        <v>570702.61</v>
      </c>
      <c r="O126" s="90">
        <v>2048592.22</v>
      </c>
      <c r="P126" s="90">
        <v>2326821.14</v>
      </c>
      <c r="Q126" s="90">
        <v>87828.33</v>
      </c>
      <c r="R126" s="90">
        <v>7.07</v>
      </c>
      <c r="S126" s="90">
        <v>-12.38</v>
      </c>
      <c r="T126" s="90">
        <v>0.04</v>
      </c>
      <c r="U126" s="90">
        <v>0</v>
      </c>
      <c r="V126" s="90">
        <v>0</v>
      </c>
      <c r="W126" s="90">
        <v>0</v>
      </c>
      <c r="X126">
        <v>0</v>
      </c>
      <c r="Y126">
        <v>0</v>
      </c>
      <c r="Z126">
        <v>-0.42</v>
      </c>
    </row>
    <row r="127" spans="3:26" ht="12.75" customHeight="1" x14ac:dyDescent="0.25">
      <c r="D127" t="s">
        <v>86</v>
      </c>
      <c r="E127" s="89" t="s">
        <v>70</v>
      </c>
      <c r="F127" s="90">
        <v>203132537.00999999</v>
      </c>
      <c r="G127" s="90">
        <v>19936902.48</v>
      </c>
      <c r="H127" s="90">
        <v>10643540.76</v>
      </c>
      <c r="I127" s="90">
        <v>5439698.4100000001</v>
      </c>
      <c r="J127" s="90">
        <v>38682767.82</v>
      </c>
      <c r="K127" s="90">
        <v>1270560.8</v>
      </c>
      <c r="L127" s="90">
        <v>1204189.42</v>
      </c>
      <c r="M127" s="90">
        <v>11106961.07</v>
      </c>
      <c r="N127" s="90">
        <v>13503332.550000001</v>
      </c>
      <c r="O127" s="90">
        <v>59564349.770000003</v>
      </c>
      <c r="P127" s="90">
        <v>39699645.82</v>
      </c>
      <c r="Q127" s="90">
        <v>2080875.11</v>
      </c>
      <c r="R127" s="90">
        <v>-274.24</v>
      </c>
      <c r="S127" s="90">
        <v>-12.38</v>
      </c>
      <c r="T127" s="90">
        <v>0.04</v>
      </c>
      <c r="U127" s="90">
        <v>0</v>
      </c>
      <c r="V127" s="90">
        <v>0</v>
      </c>
      <c r="W127" s="90">
        <v>0</v>
      </c>
      <c r="X127">
        <v>0</v>
      </c>
      <c r="Y127">
        <v>0</v>
      </c>
      <c r="Z127">
        <v>-0.42</v>
      </c>
    </row>
    <row r="128" spans="3:26" ht="12.75" customHeight="1" x14ac:dyDescent="0.25">
      <c r="E128" s="89" t="s">
        <v>72</v>
      </c>
      <c r="F128" s="90">
        <v>661355110.54999995</v>
      </c>
      <c r="G128" s="90">
        <v>121001900.95</v>
      </c>
      <c r="H128" s="90">
        <v>68302622.359999999</v>
      </c>
      <c r="I128" s="90">
        <v>36083615.549999997</v>
      </c>
      <c r="J128" s="90">
        <v>52633126.530000001</v>
      </c>
      <c r="K128" s="90">
        <v>1383826.41</v>
      </c>
      <c r="L128" s="90">
        <v>27689500</v>
      </c>
      <c r="M128" s="90">
        <v>12143895.779999999</v>
      </c>
      <c r="N128" s="90">
        <v>17276124.079999998</v>
      </c>
      <c r="O128" s="90">
        <v>82150350.079999998</v>
      </c>
      <c r="P128" s="90">
        <v>240422477.77000001</v>
      </c>
      <c r="Q128" s="90">
        <v>2268567.7400000002</v>
      </c>
      <c r="R128" s="90">
        <v>-896.7</v>
      </c>
      <c r="S128" s="90">
        <v>0</v>
      </c>
      <c r="T128" s="90">
        <v>0</v>
      </c>
      <c r="U128" s="90">
        <v>0</v>
      </c>
      <c r="V128" s="90">
        <v>0</v>
      </c>
      <c r="W128" s="90">
        <v>0</v>
      </c>
      <c r="X128">
        <v>0</v>
      </c>
      <c r="Y128">
        <v>0</v>
      </c>
      <c r="Z128">
        <v>0</v>
      </c>
    </row>
    <row r="129" spans="1:26" ht="12.75" customHeight="1" x14ac:dyDescent="0.25">
      <c r="D129" s="89"/>
      <c r="E129" s="89" t="s">
        <v>81</v>
      </c>
      <c r="F129" s="90">
        <v>6600836.2999999998</v>
      </c>
      <c r="G129" s="90">
        <v>1349445.39</v>
      </c>
      <c r="H129" s="90">
        <v>757512.17</v>
      </c>
      <c r="I129" s="90">
        <v>404376.25</v>
      </c>
      <c r="J129" s="90">
        <v>441370.36</v>
      </c>
      <c r="K129" s="90">
        <v>10958.07</v>
      </c>
      <c r="L129" s="90">
        <v>63878.54</v>
      </c>
      <c r="M129" s="90">
        <v>95989.48</v>
      </c>
      <c r="N129" s="90">
        <v>135954.56</v>
      </c>
      <c r="O129" s="90">
        <v>626871.1</v>
      </c>
      <c r="P129" s="90">
        <v>2696583.37</v>
      </c>
      <c r="Q129" s="90">
        <v>17899.55</v>
      </c>
      <c r="R129" s="90">
        <v>-2.15</v>
      </c>
      <c r="S129" s="90">
        <v>-0.39</v>
      </c>
      <c r="T129" s="90">
        <v>0</v>
      </c>
      <c r="U129" s="90">
        <v>0</v>
      </c>
      <c r="V129" s="90">
        <v>0</v>
      </c>
      <c r="W129" s="90">
        <v>0</v>
      </c>
      <c r="X129">
        <v>0</v>
      </c>
      <c r="Y129">
        <v>0</v>
      </c>
      <c r="Z129">
        <v>0</v>
      </c>
    </row>
    <row r="130" spans="1:26" ht="12.75" customHeight="1" x14ac:dyDescent="0.25">
      <c r="D130" t="s">
        <v>87</v>
      </c>
      <c r="E130" s="89" t="s">
        <v>70</v>
      </c>
      <c r="F130" s="90">
        <v>667955946.85000002</v>
      </c>
      <c r="G130" s="90">
        <v>122351346.34</v>
      </c>
      <c r="H130" s="90">
        <v>69060134.530000001</v>
      </c>
      <c r="I130" s="90">
        <v>36487991.799999997</v>
      </c>
      <c r="J130" s="90">
        <v>53074496.890000001</v>
      </c>
      <c r="K130" s="90">
        <v>1394784.48</v>
      </c>
      <c r="L130" s="90">
        <v>27753378.539999999</v>
      </c>
      <c r="M130" s="90">
        <v>12239885.26</v>
      </c>
      <c r="N130" s="90">
        <v>17412078.640000001</v>
      </c>
      <c r="O130" s="90">
        <v>82777221.180000007</v>
      </c>
      <c r="P130" s="90">
        <v>243119061.13999999</v>
      </c>
      <c r="Q130" s="90">
        <v>2286467.29</v>
      </c>
      <c r="R130" s="90">
        <v>-898.85</v>
      </c>
      <c r="S130" s="90">
        <v>-0.39</v>
      </c>
      <c r="T130" s="90">
        <v>0</v>
      </c>
      <c r="U130" s="90">
        <v>0</v>
      </c>
      <c r="V130" s="90">
        <v>0</v>
      </c>
      <c r="W130" s="90">
        <v>0</v>
      </c>
      <c r="X130">
        <v>0</v>
      </c>
      <c r="Y130">
        <v>0</v>
      </c>
      <c r="Z130">
        <v>0</v>
      </c>
    </row>
    <row r="131" spans="1:26" s="94" customFormat="1" ht="12.75" customHeight="1" x14ac:dyDescent="0.25">
      <c r="C131" s="94" t="s">
        <v>119</v>
      </c>
      <c r="D131" s="94" t="s">
        <v>70</v>
      </c>
      <c r="E131" s="101"/>
      <c r="F131" s="93">
        <v>1331532739.24</v>
      </c>
      <c r="G131" s="93">
        <v>174141031.06999999</v>
      </c>
      <c r="H131" s="93">
        <v>97453442.469999999</v>
      </c>
      <c r="I131" s="93">
        <v>51434524.359999999</v>
      </c>
      <c r="J131" s="93">
        <v>200106865.12</v>
      </c>
      <c r="K131" s="93">
        <v>5460180.4699999997</v>
      </c>
      <c r="L131" s="93">
        <v>29180991.390000001</v>
      </c>
      <c r="M131" s="93">
        <v>47844698.909999996</v>
      </c>
      <c r="N131" s="93">
        <v>66081045.369999997</v>
      </c>
      <c r="O131" s="93">
        <v>304321622.49000001</v>
      </c>
      <c r="P131" s="93">
        <v>346571768.51999998</v>
      </c>
      <c r="Q131" s="93">
        <v>8939928.0500000007</v>
      </c>
      <c r="R131" s="93">
        <v>-3345.45</v>
      </c>
      <c r="S131" s="93">
        <v>-12.77</v>
      </c>
      <c r="T131" s="93">
        <v>0.04</v>
      </c>
      <c r="U131" s="93">
        <v>0</v>
      </c>
      <c r="V131" s="93">
        <v>0</v>
      </c>
      <c r="W131" s="93">
        <v>0</v>
      </c>
      <c r="X131" s="94">
        <v>0</v>
      </c>
      <c r="Y131" s="94">
        <v>0</v>
      </c>
      <c r="Z131" s="94">
        <v>-0.8</v>
      </c>
    </row>
    <row r="132" spans="1:26" s="226" customFormat="1" ht="12.75" customHeight="1" x14ac:dyDescent="0.25">
      <c r="B132" s="98" t="s">
        <v>112</v>
      </c>
      <c r="C132" s="98" t="s">
        <v>70</v>
      </c>
      <c r="F132" s="100">
        <v>25411656495.759998</v>
      </c>
      <c r="G132" s="100">
        <v>1575163852.5699999</v>
      </c>
      <c r="H132" s="100">
        <v>883359566.12</v>
      </c>
      <c r="I132" s="100">
        <v>463664201.30000001</v>
      </c>
      <c r="J132" s="100">
        <v>5771019776.8500004</v>
      </c>
      <c r="K132" s="100">
        <v>221091165.91</v>
      </c>
      <c r="L132" s="100">
        <v>53454221.280000001</v>
      </c>
      <c r="M132" s="100">
        <v>1937665740.24</v>
      </c>
      <c r="N132" s="100">
        <v>1932446003.3699999</v>
      </c>
      <c r="O132" s="100">
        <v>9106226356.1200008</v>
      </c>
      <c r="P132" s="100">
        <v>3106209538.75</v>
      </c>
      <c r="Q132" s="100">
        <v>361269505.43000001</v>
      </c>
      <c r="R132" s="100">
        <v>86691.03</v>
      </c>
      <c r="S132" s="100">
        <v>-83.63</v>
      </c>
      <c r="T132" s="100">
        <v>4.18</v>
      </c>
      <c r="U132" s="100">
        <v>0</v>
      </c>
      <c r="V132" s="100">
        <v>0</v>
      </c>
      <c r="W132" s="100">
        <v>0</v>
      </c>
      <c r="X132" s="226">
        <v>0</v>
      </c>
      <c r="Y132" s="226">
        <v>0</v>
      </c>
      <c r="Z132" s="226">
        <v>-43.76</v>
      </c>
    </row>
    <row r="133" spans="1:26" ht="12.75" customHeight="1" x14ac:dyDescent="0.25">
      <c r="A133" t="s">
        <v>78</v>
      </c>
      <c r="B133" s="89" t="s">
        <v>70</v>
      </c>
      <c r="C133" s="89"/>
      <c r="F133" s="90">
        <v>25442049927.389999</v>
      </c>
      <c r="G133" s="90">
        <v>1582872787.47</v>
      </c>
      <c r="H133" s="90">
        <v>887717779.16999996</v>
      </c>
      <c r="I133" s="90">
        <v>465974337.00999999</v>
      </c>
      <c r="J133" s="90">
        <v>5771193704.2299995</v>
      </c>
      <c r="K133" s="90">
        <v>221096477</v>
      </c>
      <c r="L133" s="90">
        <v>53454221.280000001</v>
      </c>
      <c r="M133" s="90">
        <v>1937712328.6700001</v>
      </c>
      <c r="N133" s="90">
        <v>1932499941.4300001</v>
      </c>
      <c r="O133" s="90">
        <v>9106477787.6399994</v>
      </c>
      <c r="P133" s="90">
        <v>3121685825.1999998</v>
      </c>
      <c r="Q133" s="90">
        <v>361278170.88</v>
      </c>
      <c r="R133" s="90">
        <v>86690.62</v>
      </c>
      <c r="S133" s="90">
        <v>-83.63</v>
      </c>
      <c r="T133" s="90">
        <v>4.18</v>
      </c>
      <c r="U133" s="90">
        <v>0</v>
      </c>
      <c r="V133" s="90">
        <v>0</v>
      </c>
      <c r="W133" s="90">
        <v>0</v>
      </c>
      <c r="X133">
        <v>0</v>
      </c>
      <c r="Y133">
        <v>0</v>
      </c>
      <c r="Z133">
        <v>-43.76</v>
      </c>
    </row>
    <row r="134" spans="1:26" ht="12.75" customHeight="1" x14ac:dyDescent="0.25">
      <c r="B134" s="89"/>
      <c r="C134" s="89"/>
      <c r="E134" t="s">
        <v>73</v>
      </c>
      <c r="F134" s="90">
        <v>25934600.629999999</v>
      </c>
      <c r="G134" s="90">
        <v>6682708.8499999996</v>
      </c>
      <c r="H134" s="90">
        <v>3777829.13</v>
      </c>
      <c r="I134" s="90">
        <v>2001663.41</v>
      </c>
      <c r="J134" s="90">
        <v>21059.439999999999</v>
      </c>
      <c r="K134" s="90">
        <v>388.78</v>
      </c>
      <c r="L134" s="90">
        <v>0</v>
      </c>
      <c r="M134" s="90">
        <v>3410.32</v>
      </c>
      <c r="N134" s="90">
        <v>6455.7</v>
      </c>
      <c r="O134" s="90">
        <v>30601.34</v>
      </c>
      <c r="P134" s="90">
        <v>13409849.35</v>
      </c>
      <c r="Q134" s="90">
        <v>634.30999999999995</v>
      </c>
      <c r="R134" s="90">
        <v>0</v>
      </c>
      <c r="S134" s="90">
        <v>0</v>
      </c>
      <c r="T134" s="90">
        <v>0</v>
      </c>
      <c r="U134" s="90">
        <v>0</v>
      </c>
      <c r="V134" s="90">
        <v>0</v>
      </c>
      <c r="W134" s="90">
        <v>0</v>
      </c>
      <c r="X134">
        <v>0</v>
      </c>
      <c r="Y134">
        <v>0</v>
      </c>
      <c r="Z134">
        <v>0</v>
      </c>
    </row>
    <row r="135" spans="1:26" ht="12.75" customHeight="1" x14ac:dyDescent="0.25">
      <c r="B135" s="89"/>
      <c r="C135" s="89"/>
      <c r="D135" t="s">
        <v>156</v>
      </c>
      <c r="E135" t="s">
        <v>70</v>
      </c>
      <c r="F135" s="90">
        <v>25934600.629999999</v>
      </c>
      <c r="G135" s="90">
        <v>6682708.8499999996</v>
      </c>
      <c r="H135" s="90">
        <v>3777829.13</v>
      </c>
      <c r="I135" s="90">
        <v>2001663.41</v>
      </c>
      <c r="J135" s="90">
        <v>21059.439999999999</v>
      </c>
      <c r="K135" s="90">
        <v>388.78</v>
      </c>
      <c r="L135" s="90">
        <v>0</v>
      </c>
      <c r="M135" s="90">
        <v>3410.32</v>
      </c>
      <c r="N135" s="90">
        <v>6455.7</v>
      </c>
      <c r="O135" s="90">
        <v>30601.34</v>
      </c>
      <c r="P135" s="90">
        <v>13409849.35</v>
      </c>
      <c r="Q135" s="90">
        <v>634.30999999999995</v>
      </c>
      <c r="R135" s="90">
        <v>0</v>
      </c>
      <c r="S135" s="90">
        <v>0</v>
      </c>
      <c r="T135" s="90">
        <v>0</v>
      </c>
      <c r="U135" s="90">
        <v>0</v>
      </c>
      <c r="V135" s="90">
        <v>0</v>
      </c>
      <c r="W135" s="90">
        <v>0</v>
      </c>
      <c r="X135">
        <v>0</v>
      </c>
      <c r="Y135">
        <v>0</v>
      </c>
      <c r="Z135">
        <v>0</v>
      </c>
    </row>
    <row r="136" spans="1:26" s="657" customFormat="1" ht="12.75" customHeight="1" x14ac:dyDescent="0.25">
      <c r="C136" s="657" t="s">
        <v>155</v>
      </c>
      <c r="D136" s="658" t="s">
        <v>70</v>
      </c>
      <c r="E136" s="658"/>
      <c r="F136" s="659">
        <v>25934600.629999999</v>
      </c>
      <c r="G136" s="659">
        <v>6682708.8499999996</v>
      </c>
      <c r="H136" s="659">
        <v>3777829.13</v>
      </c>
      <c r="I136" s="659">
        <v>2001663.41</v>
      </c>
      <c r="J136" s="659">
        <v>21059.439999999999</v>
      </c>
      <c r="K136" s="659">
        <v>388.78</v>
      </c>
      <c r="L136" s="659">
        <v>0</v>
      </c>
      <c r="M136" s="659">
        <v>3410.32</v>
      </c>
      <c r="N136" s="659">
        <v>6455.7</v>
      </c>
      <c r="O136" s="659">
        <v>30601.34</v>
      </c>
      <c r="P136" s="659">
        <v>13409849.35</v>
      </c>
      <c r="Q136" s="659">
        <v>634.30999999999995</v>
      </c>
      <c r="R136" s="659">
        <v>0</v>
      </c>
      <c r="S136" s="659">
        <v>0</v>
      </c>
      <c r="T136" s="659">
        <v>0</v>
      </c>
      <c r="U136" s="659">
        <v>0</v>
      </c>
      <c r="V136" s="659">
        <v>0</v>
      </c>
      <c r="W136" s="659">
        <v>0</v>
      </c>
      <c r="X136" s="657">
        <v>0</v>
      </c>
      <c r="Y136" s="657">
        <v>0</v>
      </c>
      <c r="Z136" s="657">
        <v>0</v>
      </c>
    </row>
    <row r="137" spans="1:26" ht="12.75" customHeight="1" x14ac:dyDescent="0.25">
      <c r="B137" s="89"/>
      <c r="C137" s="89"/>
      <c r="E137" t="s">
        <v>73</v>
      </c>
      <c r="F137" s="90">
        <v>-128977.37</v>
      </c>
      <c r="G137" s="90">
        <v>-6033.92</v>
      </c>
      <c r="H137" s="90">
        <v>-3410.66</v>
      </c>
      <c r="I137" s="90">
        <v>-1805.06</v>
      </c>
      <c r="J137" s="90">
        <v>-34653.019999999997</v>
      </c>
      <c r="K137" s="90">
        <v>-1065.44</v>
      </c>
      <c r="L137" s="90">
        <v>0</v>
      </c>
      <c r="M137" s="90">
        <v>-9345.8799999999992</v>
      </c>
      <c r="N137" s="90">
        <v>-10375.780000000001</v>
      </c>
      <c r="O137" s="90">
        <v>-48453.07</v>
      </c>
      <c r="P137" s="90">
        <v>-12096.2</v>
      </c>
      <c r="Q137" s="90">
        <v>-1738.34</v>
      </c>
      <c r="R137" s="90">
        <v>0</v>
      </c>
      <c r="S137" s="90">
        <v>0</v>
      </c>
      <c r="T137" s="90">
        <v>0</v>
      </c>
      <c r="U137" s="90">
        <v>0</v>
      </c>
      <c r="V137" s="90">
        <v>0</v>
      </c>
      <c r="W137" s="90">
        <v>0</v>
      </c>
      <c r="X137">
        <v>0</v>
      </c>
      <c r="Y137">
        <v>0</v>
      </c>
      <c r="Z137">
        <v>0</v>
      </c>
    </row>
    <row r="138" spans="1:26" ht="12.75" customHeight="1" x14ac:dyDescent="0.25">
      <c r="B138" s="89"/>
      <c r="C138" s="89"/>
      <c r="D138" t="s">
        <v>86</v>
      </c>
      <c r="E138" t="s">
        <v>70</v>
      </c>
      <c r="F138" s="90">
        <v>-128977.37</v>
      </c>
      <c r="G138" s="90">
        <v>-6033.92</v>
      </c>
      <c r="H138" s="90">
        <v>-3410.66</v>
      </c>
      <c r="I138" s="90">
        <v>-1805.06</v>
      </c>
      <c r="J138" s="90">
        <v>-34653.019999999997</v>
      </c>
      <c r="K138" s="90">
        <v>-1065.44</v>
      </c>
      <c r="L138" s="90">
        <v>0</v>
      </c>
      <c r="M138" s="90">
        <v>-9345.8799999999992</v>
      </c>
      <c r="N138" s="90">
        <v>-10375.780000000001</v>
      </c>
      <c r="O138" s="90">
        <v>-48453.07</v>
      </c>
      <c r="P138" s="90">
        <v>-12096.2</v>
      </c>
      <c r="Q138" s="90">
        <v>-1738.34</v>
      </c>
      <c r="R138" s="90">
        <v>0</v>
      </c>
      <c r="S138" s="90">
        <v>0</v>
      </c>
      <c r="T138" s="90">
        <v>0</v>
      </c>
      <c r="U138" s="90">
        <v>0</v>
      </c>
      <c r="V138" s="90">
        <v>0</v>
      </c>
      <c r="W138" s="90">
        <v>0</v>
      </c>
      <c r="X138">
        <v>0</v>
      </c>
      <c r="Y138">
        <v>0</v>
      </c>
      <c r="Z138">
        <v>0</v>
      </c>
    </row>
    <row r="139" spans="1:26" ht="12.75" customHeight="1" x14ac:dyDescent="0.25">
      <c r="B139" s="89"/>
      <c r="C139" s="89"/>
      <c r="E139" t="s">
        <v>73</v>
      </c>
      <c r="F139" s="90">
        <v>-8984.89</v>
      </c>
      <c r="G139" s="90">
        <v>-469.66</v>
      </c>
      <c r="H139" s="90">
        <v>-266.35000000000002</v>
      </c>
      <c r="I139" s="90">
        <v>-144.41999999999999</v>
      </c>
      <c r="J139" s="90">
        <v>-2366.48</v>
      </c>
      <c r="K139" s="90">
        <v>-56.96</v>
      </c>
      <c r="L139" s="90">
        <v>0</v>
      </c>
      <c r="M139" s="90">
        <v>-499.71</v>
      </c>
      <c r="N139" s="90">
        <v>-736.71</v>
      </c>
      <c r="O139" s="90">
        <v>-3405.27</v>
      </c>
      <c r="P139" s="90">
        <v>-946.38</v>
      </c>
      <c r="Q139" s="90">
        <v>-92.95</v>
      </c>
      <c r="R139" s="90">
        <v>0</v>
      </c>
      <c r="S139" s="90">
        <v>0</v>
      </c>
      <c r="T139" s="90">
        <v>0</v>
      </c>
      <c r="U139" s="90">
        <v>0</v>
      </c>
      <c r="V139" s="90">
        <v>0</v>
      </c>
      <c r="W139" s="90">
        <v>0</v>
      </c>
      <c r="X139">
        <v>0</v>
      </c>
      <c r="Y139">
        <v>0</v>
      </c>
      <c r="Z139">
        <v>0</v>
      </c>
    </row>
    <row r="140" spans="1:26" ht="12.75" customHeight="1" x14ac:dyDescent="0.25">
      <c r="B140" s="89"/>
      <c r="C140" s="89"/>
      <c r="D140" t="s">
        <v>87</v>
      </c>
      <c r="E140" t="s">
        <v>70</v>
      </c>
      <c r="F140" s="90">
        <v>-8984.89</v>
      </c>
      <c r="G140" s="90">
        <v>-469.66</v>
      </c>
      <c r="H140" s="90">
        <v>-266.35000000000002</v>
      </c>
      <c r="I140" s="90">
        <v>-144.41999999999999</v>
      </c>
      <c r="J140" s="90">
        <v>-2366.48</v>
      </c>
      <c r="K140" s="90">
        <v>-56.96</v>
      </c>
      <c r="L140" s="90">
        <v>0</v>
      </c>
      <c r="M140" s="90">
        <v>-499.71</v>
      </c>
      <c r="N140" s="90">
        <v>-736.71</v>
      </c>
      <c r="O140" s="90">
        <v>-3405.27</v>
      </c>
      <c r="P140" s="90">
        <v>-946.38</v>
      </c>
      <c r="Q140" s="90">
        <v>-92.95</v>
      </c>
      <c r="R140" s="90">
        <v>0</v>
      </c>
      <c r="S140" s="90">
        <v>0</v>
      </c>
      <c r="T140" s="90">
        <v>0</v>
      </c>
      <c r="U140" s="90">
        <v>0</v>
      </c>
      <c r="V140" s="90">
        <v>0</v>
      </c>
      <c r="W140" s="90">
        <v>0</v>
      </c>
      <c r="X140">
        <v>0</v>
      </c>
      <c r="Y140">
        <v>0</v>
      </c>
      <c r="Z140">
        <v>0</v>
      </c>
    </row>
    <row r="141" spans="1:26" s="94" customFormat="1" ht="12.75" customHeight="1" x14ac:dyDescent="0.25">
      <c r="C141" s="94" t="s">
        <v>119</v>
      </c>
      <c r="D141" s="94" t="s">
        <v>70</v>
      </c>
      <c r="E141" s="101"/>
      <c r="F141" s="93">
        <v>-137962.26</v>
      </c>
      <c r="G141" s="93">
        <v>-6503.58</v>
      </c>
      <c r="H141" s="93">
        <v>-3677.01</v>
      </c>
      <c r="I141" s="93">
        <v>-1949.48</v>
      </c>
      <c r="J141" s="93">
        <v>-37019.5</v>
      </c>
      <c r="K141" s="93">
        <v>-1122.4000000000001</v>
      </c>
      <c r="L141" s="93">
        <v>0</v>
      </c>
      <c r="M141" s="93">
        <v>-9845.59</v>
      </c>
      <c r="N141" s="93">
        <v>-11112.49</v>
      </c>
      <c r="O141" s="93">
        <v>-51858.34</v>
      </c>
      <c r="P141" s="93">
        <v>-13042.58</v>
      </c>
      <c r="Q141" s="93">
        <v>-1831.29</v>
      </c>
      <c r="R141" s="93">
        <v>0</v>
      </c>
      <c r="S141" s="93">
        <v>0</v>
      </c>
      <c r="T141" s="93">
        <v>0</v>
      </c>
      <c r="U141" s="93">
        <v>0</v>
      </c>
      <c r="V141" s="93">
        <v>0</v>
      </c>
      <c r="W141" s="93">
        <v>0</v>
      </c>
      <c r="X141" s="94">
        <v>0</v>
      </c>
      <c r="Y141" s="94">
        <v>0</v>
      </c>
      <c r="Z141" s="94">
        <v>0</v>
      </c>
    </row>
    <row r="142" spans="1:26" s="378" customFormat="1" ht="12.75" customHeight="1" x14ac:dyDescent="0.25">
      <c r="B142" s="378" t="s">
        <v>122</v>
      </c>
      <c r="C142" s="378" t="s">
        <v>70</v>
      </c>
      <c r="E142" s="376"/>
      <c r="F142" s="711">
        <v>25796638.370000001</v>
      </c>
      <c r="G142" s="377">
        <v>6676205.2699999996</v>
      </c>
      <c r="H142" s="377">
        <v>3774152.12</v>
      </c>
      <c r="I142" s="377">
        <v>1999713.93</v>
      </c>
      <c r="J142" s="377">
        <v>-15960.06</v>
      </c>
      <c r="K142" s="377">
        <v>-733.62</v>
      </c>
      <c r="L142" s="377">
        <v>0</v>
      </c>
      <c r="M142" s="377">
        <v>-6435.27</v>
      </c>
      <c r="N142" s="377">
        <v>-4656.79</v>
      </c>
      <c r="O142" s="377">
        <v>-21257</v>
      </c>
      <c r="P142" s="377">
        <v>13396806.77</v>
      </c>
      <c r="Q142" s="377">
        <v>-1196.98</v>
      </c>
      <c r="R142" s="377">
        <v>0</v>
      </c>
      <c r="S142" s="377">
        <v>0</v>
      </c>
      <c r="T142" s="377">
        <v>0</v>
      </c>
      <c r="U142" s="377">
        <v>0</v>
      </c>
      <c r="V142" s="377">
        <v>0</v>
      </c>
      <c r="W142" s="377">
        <v>0</v>
      </c>
      <c r="X142" s="378">
        <v>0</v>
      </c>
      <c r="Y142" s="378">
        <v>0</v>
      </c>
      <c r="Z142" s="378">
        <v>0</v>
      </c>
    </row>
    <row r="143" spans="1:26" ht="12.75" customHeight="1" x14ac:dyDescent="0.25">
      <c r="E143" s="89" t="s">
        <v>73</v>
      </c>
      <c r="F143" s="90">
        <v>-5016640264.6700001</v>
      </c>
      <c r="G143" s="90">
        <v>-120615699.15000001</v>
      </c>
      <c r="H143" s="90">
        <v>-67567315.689999998</v>
      </c>
      <c r="I143" s="90">
        <v>-35149668.939999998</v>
      </c>
      <c r="J143" s="90">
        <v>-1363592731.79</v>
      </c>
      <c r="K143" s="90">
        <v>-52548443.060000002</v>
      </c>
      <c r="L143" s="90">
        <v>0</v>
      </c>
      <c r="M143" s="90">
        <v>-460998533.55000001</v>
      </c>
      <c r="N143" s="90">
        <v>-454669135.02999997</v>
      </c>
      <c r="O143" s="90">
        <v>-2143895846.29</v>
      </c>
      <c r="P143" s="90">
        <v>-231862522.75999999</v>
      </c>
      <c r="Q143" s="90">
        <v>-85740368.409999996</v>
      </c>
      <c r="R143" s="90">
        <v>0</v>
      </c>
      <c r="S143" s="90">
        <v>0</v>
      </c>
      <c r="T143" s="90">
        <v>0</v>
      </c>
      <c r="U143" s="90">
        <v>0</v>
      </c>
      <c r="V143" s="90">
        <v>0</v>
      </c>
      <c r="W143" s="90">
        <v>0</v>
      </c>
      <c r="X143">
        <v>0</v>
      </c>
      <c r="Y143">
        <v>0</v>
      </c>
      <c r="Z143">
        <v>0</v>
      </c>
    </row>
    <row r="144" spans="1:26" ht="12.75" customHeight="1" x14ac:dyDescent="0.25">
      <c r="D144" s="89" t="s">
        <v>156</v>
      </c>
      <c r="E144" s="89" t="s">
        <v>70</v>
      </c>
      <c r="F144" s="90">
        <v>-5016640264.6700001</v>
      </c>
      <c r="G144" s="90">
        <v>-120615699.15000001</v>
      </c>
      <c r="H144" s="90">
        <v>-67567315.689999998</v>
      </c>
      <c r="I144" s="90">
        <v>-35149668.939999998</v>
      </c>
      <c r="J144" s="90">
        <v>-1363592731.79</v>
      </c>
      <c r="K144" s="90">
        <v>-52548443.060000002</v>
      </c>
      <c r="L144" s="90">
        <v>0</v>
      </c>
      <c r="M144" s="90">
        <v>-460998533.55000001</v>
      </c>
      <c r="N144" s="90">
        <v>-454669135.02999997</v>
      </c>
      <c r="O144" s="90">
        <v>-2143895846.29</v>
      </c>
      <c r="P144" s="90">
        <v>-231862522.75999999</v>
      </c>
      <c r="Q144" s="90">
        <v>-85740368.409999996</v>
      </c>
      <c r="R144" s="90">
        <v>0</v>
      </c>
      <c r="S144" s="90">
        <v>0</v>
      </c>
      <c r="T144" s="90">
        <v>0</v>
      </c>
      <c r="U144" s="90">
        <v>0</v>
      </c>
      <c r="V144" s="90">
        <v>0</v>
      </c>
      <c r="W144" s="90">
        <v>0</v>
      </c>
      <c r="X144">
        <v>0</v>
      </c>
      <c r="Y144">
        <v>0</v>
      </c>
      <c r="Z144">
        <v>0</v>
      </c>
    </row>
    <row r="145" spans="2:26" s="657" customFormat="1" ht="12.75" customHeight="1" x14ac:dyDescent="0.25">
      <c r="C145" s="657" t="s">
        <v>155</v>
      </c>
      <c r="D145" s="658" t="s">
        <v>70</v>
      </c>
      <c r="E145" s="658"/>
      <c r="F145" s="739">
        <v>-5016640264.6700001</v>
      </c>
      <c r="G145" s="659">
        <v>-120615699.15000001</v>
      </c>
      <c r="H145" s="659">
        <v>-67567315.689999998</v>
      </c>
      <c r="I145" s="659">
        <v>-35149668.939999998</v>
      </c>
      <c r="J145" s="659">
        <v>-1363592731.79</v>
      </c>
      <c r="K145" s="659">
        <v>-52548443.060000002</v>
      </c>
      <c r="L145" s="659">
        <v>0</v>
      </c>
      <c r="M145" s="659">
        <v>-460998533.55000001</v>
      </c>
      <c r="N145" s="659">
        <v>-454669135.02999997</v>
      </c>
      <c r="O145" s="659">
        <v>-2143895846.29</v>
      </c>
      <c r="P145" s="659">
        <v>-231862522.75999999</v>
      </c>
      <c r="Q145" s="659">
        <v>-85740368.409999996</v>
      </c>
      <c r="R145" s="659">
        <v>0</v>
      </c>
      <c r="S145" s="659">
        <v>0</v>
      </c>
      <c r="T145" s="659">
        <v>0</v>
      </c>
      <c r="U145" s="659">
        <v>0</v>
      </c>
      <c r="V145" s="659">
        <v>0</v>
      </c>
      <c r="W145" s="659">
        <v>0</v>
      </c>
      <c r="X145" s="657">
        <v>0</v>
      </c>
      <c r="Y145" s="657">
        <v>0</v>
      </c>
      <c r="Z145" s="657">
        <v>0</v>
      </c>
    </row>
    <row r="146" spans="2:26" ht="12.75" customHeight="1" x14ac:dyDescent="0.25">
      <c r="D146" s="89"/>
      <c r="E146" s="89" t="s">
        <v>73</v>
      </c>
      <c r="F146" s="371">
        <v>-328437.49</v>
      </c>
      <c r="G146" s="90">
        <v>-11613.87</v>
      </c>
      <c r="H146" s="90">
        <v>-5643.65</v>
      </c>
      <c r="I146" s="90">
        <v>-3115.56</v>
      </c>
      <c r="J146" s="90">
        <v>-94908.85</v>
      </c>
      <c r="K146" s="90">
        <v>-2649.28</v>
      </c>
      <c r="L146" s="90">
        <v>0</v>
      </c>
      <c r="M146" s="90">
        <v>-23240.44</v>
      </c>
      <c r="N146" s="90">
        <v>-28376.91</v>
      </c>
      <c r="O146" s="90">
        <v>-131234.69</v>
      </c>
      <c r="P146" s="90">
        <v>-23331.45</v>
      </c>
      <c r="Q146" s="90">
        <v>-4322.79</v>
      </c>
      <c r="R146" s="90">
        <v>0</v>
      </c>
      <c r="S146" s="90">
        <v>0</v>
      </c>
      <c r="T146" s="90">
        <v>0</v>
      </c>
      <c r="U146" s="90">
        <v>0</v>
      </c>
      <c r="V146" s="90">
        <v>0</v>
      </c>
      <c r="W146" s="90">
        <v>0</v>
      </c>
      <c r="X146">
        <v>0</v>
      </c>
      <c r="Y146">
        <v>0</v>
      </c>
      <c r="Z146">
        <v>0</v>
      </c>
    </row>
    <row r="147" spans="2:26" ht="12.75" customHeight="1" x14ac:dyDescent="0.25">
      <c r="D147" s="89" t="s">
        <v>115</v>
      </c>
      <c r="E147" s="89" t="s">
        <v>70</v>
      </c>
      <c r="F147" s="371">
        <v>-328437.49</v>
      </c>
      <c r="G147" s="90">
        <v>-11613.87</v>
      </c>
      <c r="H147" s="90">
        <v>-5643.65</v>
      </c>
      <c r="I147" s="90">
        <v>-3115.56</v>
      </c>
      <c r="J147" s="90">
        <v>-94908.85</v>
      </c>
      <c r="K147" s="90">
        <v>-2649.28</v>
      </c>
      <c r="L147" s="90">
        <v>0</v>
      </c>
      <c r="M147" s="90">
        <v>-23240.44</v>
      </c>
      <c r="N147" s="90">
        <v>-28376.91</v>
      </c>
      <c r="O147" s="90">
        <v>-131234.69</v>
      </c>
      <c r="P147" s="90">
        <v>-23331.45</v>
      </c>
      <c r="Q147" s="90">
        <v>-4322.79</v>
      </c>
      <c r="R147" s="90">
        <v>0</v>
      </c>
      <c r="S147" s="90">
        <v>0</v>
      </c>
      <c r="T147" s="90">
        <v>0</v>
      </c>
      <c r="U147" s="90">
        <v>0</v>
      </c>
      <c r="V147" s="90">
        <v>0</v>
      </c>
      <c r="W147" s="90">
        <v>0</v>
      </c>
      <c r="X147">
        <v>0</v>
      </c>
      <c r="Y147">
        <v>0</v>
      </c>
      <c r="Z147">
        <v>0</v>
      </c>
    </row>
    <row r="148" spans="2:26" ht="12.75" customHeight="1" x14ac:dyDescent="0.25">
      <c r="D148" s="89"/>
      <c r="E148" s="89" t="s">
        <v>73</v>
      </c>
      <c r="F148" s="371">
        <v>-112415.22</v>
      </c>
      <c r="G148" s="90">
        <v>-4551.45</v>
      </c>
      <c r="H148" s="90">
        <v>-1756.71</v>
      </c>
      <c r="I148" s="90">
        <v>-1018.9</v>
      </c>
      <c r="J148" s="90">
        <v>-37031.17</v>
      </c>
      <c r="K148" s="90">
        <v>-812.03</v>
      </c>
      <c r="L148" s="90">
        <v>0</v>
      </c>
      <c r="M148" s="90">
        <v>-7123.15</v>
      </c>
      <c r="N148" s="90">
        <v>-9135.7099999999991</v>
      </c>
      <c r="O148" s="90">
        <v>-41432.519999999997</v>
      </c>
      <c r="P148" s="90">
        <v>-8228.67</v>
      </c>
      <c r="Q148" s="90">
        <v>-1324.91</v>
      </c>
      <c r="R148" s="90">
        <v>0</v>
      </c>
      <c r="S148" s="90">
        <v>0</v>
      </c>
      <c r="T148" s="90">
        <v>0</v>
      </c>
      <c r="U148" s="90">
        <v>0</v>
      </c>
      <c r="V148" s="90">
        <v>0</v>
      </c>
      <c r="W148" s="90">
        <v>0</v>
      </c>
      <c r="X148">
        <v>0</v>
      </c>
      <c r="Y148">
        <v>0</v>
      </c>
      <c r="Z148">
        <v>0</v>
      </c>
    </row>
    <row r="149" spans="2:26" ht="12.75" customHeight="1" x14ac:dyDescent="0.25">
      <c r="D149" s="89" t="s">
        <v>116</v>
      </c>
      <c r="E149" s="89" t="s">
        <v>70</v>
      </c>
      <c r="F149" s="371">
        <v>-112415.22</v>
      </c>
      <c r="G149" s="90">
        <v>-4551.45</v>
      </c>
      <c r="H149" s="90">
        <v>-1756.71</v>
      </c>
      <c r="I149" s="90">
        <v>-1018.9</v>
      </c>
      <c r="J149" s="90">
        <v>-37031.17</v>
      </c>
      <c r="K149" s="90">
        <v>-812.03</v>
      </c>
      <c r="L149" s="90">
        <v>0</v>
      </c>
      <c r="M149" s="90">
        <v>-7123.15</v>
      </c>
      <c r="N149" s="90">
        <v>-9135.7099999999991</v>
      </c>
      <c r="O149" s="90">
        <v>-41432.519999999997</v>
      </c>
      <c r="P149" s="90">
        <v>-8228.67</v>
      </c>
      <c r="Q149" s="90">
        <v>-1324.91</v>
      </c>
      <c r="R149" s="90">
        <v>0</v>
      </c>
      <c r="S149" s="90">
        <v>0</v>
      </c>
      <c r="T149" s="90">
        <v>0</v>
      </c>
      <c r="U149" s="90">
        <v>0</v>
      </c>
      <c r="V149" s="90">
        <v>0</v>
      </c>
      <c r="W149" s="90">
        <v>0</v>
      </c>
      <c r="X149">
        <v>0</v>
      </c>
      <c r="Y149">
        <v>0</v>
      </c>
      <c r="Z149">
        <v>0</v>
      </c>
    </row>
    <row r="150" spans="2:26" ht="12.75" customHeight="1" x14ac:dyDescent="0.25">
      <c r="E150" s="89" t="s">
        <v>73</v>
      </c>
      <c r="F150" s="90">
        <v>-3451240.48</v>
      </c>
      <c r="G150" s="90">
        <v>-135031.01999999999</v>
      </c>
      <c r="H150" s="90">
        <v>-72868.27</v>
      </c>
      <c r="I150" s="90">
        <v>-38986.629999999997</v>
      </c>
      <c r="J150" s="90">
        <v>-945786.81</v>
      </c>
      <c r="K150" s="90">
        <v>-30905.95</v>
      </c>
      <c r="L150" s="90">
        <v>0</v>
      </c>
      <c r="M150" s="90">
        <v>-271103.17</v>
      </c>
      <c r="N150" s="90">
        <v>-289542.81</v>
      </c>
      <c r="O150" s="90">
        <v>-1357719.27</v>
      </c>
      <c r="P150" s="90">
        <v>-258871.15</v>
      </c>
      <c r="Q150" s="90">
        <v>-50425.4</v>
      </c>
      <c r="R150" s="90">
        <v>0</v>
      </c>
      <c r="S150" s="90">
        <v>0</v>
      </c>
      <c r="T150" s="90">
        <v>0</v>
      </c>
      <c r="U150" s="90">
        <v>0</v>
      </c>
      <c r="V150" s="90">
        <v>0</v>
      </c>
      <c r="W150" s="90">
        <v>0</v>
      </c>
      <c r="X150">
        <v>0</v>
      </c>
      <c r="Y150">
        <v>0</v>
      </c>
      <c r="Z150">
        <v>0</v>
      </c>
    </row>
    <row r="151" spans="2:26" ht="12.75" customHeight="1" x14ac:dyDescent="0.25">
      <c r="D151" s="89" t="s">
        <v>118</v>
      </c>
      <c r="E151" s="89" t="s">
        <v>70</v>
      </c>
      <c r="F151" s="90">
        <v>-3451240.48</v>
      </c>
      <c r="G151" s="90">
        <v>-135031.01999999999</v>
      </c>
      <c r="H151" s="90">
        <v>-72868.27</v>
      </c>
      <c r="I151" s="90">
        <v>-38986.629999999997</v>
      </c>
      <c r="J151" s="90">
        <v>-945786.81</v>
      </c>
      <c r="K151" s="90">
        <v>-30905.95</v>
      </c>
      <c r="L151" s="90">
        <v>0</v>
      </c>
      <c r="M151" s="90">
        <v>-271103.17</v>
      </c>
      <c r="N151" s="90">
        <v>-289542.81</v>
      </c>
      <c r="O151" s="90">
        <v>-1357719.27</v>
      </c>
      <c r="P151" s="90">
        <v>-258871.15</v>
      </c>
      <c r="Q151" s="90">
        <v>-50425.4</v>
      </c>
      <c r="R151" s="90">
        <v>0</v>
      </c>
      <c r="S151" s="90">
        <v>0</v>
      </c>
      <c r="T151" s="90">
        <v>0</v>
      </c>
      <c r="U151" s="90">
        <v>0</v>
      </c>
      <c r="V151" s="90">
        <v>0</v>
      </c>
      <c r="W151" s="90">
        <v>0</v>
      </c>
      <c r="X151">
        <v>0</v>
      </c>
      <c r="Y151">
        <v>0</v>
      </c>
      <c r="Z151">
        <v>0</v>
      </c>
    </row>
    <row r="152" spans="2:26" s="224" customFormat="1" ht="12.75" customHeight="1" x14ac:dyDescent="0.25">
      <c r="C152" s="223" t="s">
        <v>120</v>
      </c>
      <c r="D152" s="223" t="s">
        <v>70</v>
      </c>
      <c r="F152" s="225">
        <v>-3892093.19</v>
      </c>
      <c r="G152" s="225">
        <v>-151196.34</v>
      </c>
      <c r="H152" s="225">
        <v>-80268.63</v>
      </c>
      <c r="I152" s="225">
        <v>-43121.09</v>
      </c>
      <c r="J152" s="225">
        <v>-1077726.83</v>
      </c>
      <c r="K152" s="225">
        <v>-34367.26</v>
      </c>
      <c r="L152" s="225">
        <v>0</v>
      </c>
      <c r="M152" s="225">
        <v>-301466.76</v>
      </c>
      <c r="N152" s="225">
        <v>-327055.43</v>
      </c>
      <c r="O152" s="225">
        <v>-1530386.48</v>
      </c>
      <c r="P152" s="225">
        <v>-290431.27</v>
      </c>
      <c r="Q152" s="225">
        <v>-56073.1</v>
      </c>
      <c r="R152" s="225">
        <v>0</v>
      </c>
      <c r="S152" s="225">
        <v>0</v>
      </c>
      <c r="T152" s="225">
        <v>0</v>
      </c>
      <c r="U152" s="225">
        <v>0</v>
      </c>
      <c r="V152" s="225">
        <v>0</v>
      </c>
      <c r="W152" s="225">
        <v>0</v>
      </c>
      <c r="X152" s="224">
        <v>0</v>
      </c>
      <c r="Y152" s="224">
        <v>0</v>
      </c>
      <c r="Z152" s="224">
        <v>0</v>
      </c>
    </row>
    <row r="153" spans="2:26" ht="12.75" customHeight="1" x14ac:dyDescent="0.25">
      <c r="E153" s="89" t="s">
        <v>73</v>
      </c>
      <c r="F153" s="90">
        <v>-42013168.380000003</v>
      </c>
      <c r="G153" s="90">
        <v>1551885.63</v>
      </c>
      <c r="H153" s="90">
        <v>903751.08</v>
      </c>
      <c r="I153" s="90">
        <v>494344.81</v>
      </c>
      <c r="J153" s="90">
        <v>-15659485.85</v>
      </c>
      <c r="K153" s="90">
        <v>-397964.69</v>
      </c>
      <c r="L153" s="90">
        <v>0</v>
      </c>
      <c r="M153" s="90">
        <v>-3500779.72</v>
      </c>
      <c r="N153" s="90">
        <v>-5014588.16</v>
      </c>
      <c r="O153" s="90">
        <v>-23024162.739999998</v>
      </c>
      <c r="P153" s="90">
        <v>3283440.05</v>
      </c>
      <c r="Q153" s="90">
        <v>-649608.79</v>
      </c>
      <c r="R153" s="90">
        <v>0</v>
      </c>
      <c r="S153" s="90">
        <v>0</v>
      </c>
      <c r="T153" s="90">
        <v>0</v>
      </c>
      <c r="U153" s="90">
        <v>0</v>
      </c>
      <c r="V153" s="90">
        <v>0</v>
      </c>
      <c r="W153" s="90">
        <v>0</v>
      </c>
      <c r="X153">
        <v>0</v>
      </c>
      <c r="Y153">
        <v>0</v>
      </c>
      <c r="Z153">
        <v>0</v>
      </c>
    </row>
    <row r="154" spans="2:26" ht="12.75" customHeight="1" x14ac:dyDescent="0.25">
      <c r="D154" s="89" t="s">
        <v>82</v>
      </c>
      <c r="E154" s="89" t="s">
        <v>70</v>
      </c>
      <c r="F154" s="90">
        <v>-42013168.380000003</v>
      </c>
      <c r="G154" s="90">
        <v>1551885.63</v>
      </c>
      <c r="H154" s="90">
        <v>903751.08</v>
      </c>
      <c r="I154" s="90">
        <v>494344.81</v>
      </c>
      <c r="J154" s="90">
        <v>-15659485.85</v>
      </c>
      <c r="K154" s="90">
        <v>-397964.69</v>
      </c>
      <c r="L154" s="90">
        <v>0</v>
      </c>
      <c r="M154" s="90">
        <v>-3500779.72</v>
      </c>
      <c r="N154" s="90">
        <v>-5014588.16</v>
      </c>
      <c r="O154" s="90">
        <v>-23024162.739999998</v>
      </c>
      <c r="P154" s="90">
        <v>3283440.05</v>
      </c>
      <c r="Q154" s="90">
        <v>-649608.79</v>
      </c>
      <c r="R154" s="90">
        <v>0</v>
      </c>
      <c r="S154" s="90">
        <v>0</v>
      </c>
      <c r="T154" s="90">
        <v>0</v>
      </c>
      <c r="U154" s="90">
        <v>0</v>
      </c>
      <c r="V154" s="90">
        <v>0</v>
      </c>
      <c r="W154" s="90">
        <v>0</v>
      </c>
      <c r="X154">
        <v>0</v>
      </c>
      <c r="Y154">
        <v>0</v>
      </c>
      <c r="Z154">
        <v>0</v>
      </c>
    </row>
    <row r="155" spans="2:26" ht="12.75" customHeight="1" x14ac:dyDescent="0.25">
      <c r="E155" s="89" t="s">
        <v>73</v>
      </c>
      <c r="F155" s="90">
        <v>5200539.08</v>
      </c>
      <c r="G155" s="90">
        <v>4284652.66</v>
      </c>
      <c r="H155" s="90">
        <v>2271169.16</v>
      </c>
      <c r="I155" s="90">
        <v>1160829.6000000001</v>
      </c>
      <c r="J155" s="90">
        <v>-3512101.13</v>
      </c>
      <c r="K155" s="90">
        <v>-95526.76</v>
      </c>
      <c r="L155" s="90">
        <v>0</v>
      </c>
      <c r="M155" s="90">
        <v>-838541.47</v>
      </c>
      <c r="N155" s="90">
        <v>-1042638.62</v>
      </c>
      <c r="O155" s="90">
        <v>-5481137.8099999996</v>
      </c>
      <c r="P155" s="90">
        <v>8609797.8800000008</v>
      </c>
      <c r="Q155" s="90">
        <v>-155964.43</v>
      </c>
      <c r="R155" s="90">
        <v>0</v>
      </c>
      <c r="S155" s="90">
        <v>0</v>
      </c>
      <c r="T155" s="90">
        <v>0</v>
      </c>
      <c r="U155" s="90">
        <v>0</v>
      </c>
      <c r="V155" s="90">
        <v>0</v>
      </c>
      <c r="W155" s="90">
        <v>0</v>
      </c>
      <c r="X155">
        <v>0</v>
      </c>
      <c r="Y155">
        <v>0</v>
      </c>
      <c r="Z155">
        <v>0</v>
      </c>
    </row>
    <row r="156" spans="2:26" ht="12.75" customHeight="1" x14ac:dyDescent="0.25">
      <c r="D156" s="89" t="s">
        <v>86</v>
      </c>
      <c r="E156" s="89" t="s">
        <v>70</v>
      </c>
      <c r="F156" s="90">
        <v>5200539.08</v>
      </c>
      <c r="G156" s="90">
        <v>4284652.66</v>
      </c>
      <c r="H156" s="90">
        <v>2271169.16</v>
      </c>
      <c r="I156" s="90">
        <v>1160829.6000000001</v>
      </c>
      <c r="J156" s="90">
        <v>-3512101.13</v>
      </c>
      <c r="K156" s="90">
        <v>-95526.76</v>
      </c>
      <c r="L156" s="90">
        <v>0</v>
      </c>
      <c r="M156" s="90">
        <v>-838541.47</v>
      </c>
      <c r="N156" s="90">
        <v>-1042638.62</v>
      </c>
      <c r="O156" s="90">
        <v>-5481137.8099999996</v>
      </c>
      <c r="P156" s="90">
        <v>8609797.8800000008</v>
      </c>
      <c r="Q156" s="90">
        <v>-155964.43</v>
      </c>
      <c r="R156" s="90">
        <v>0</v>
      </c>
      <c r="S156" s="90">
        <v>0</v>
      </c>
      <c r="T156" s="90">
        <v>0</v>
      </c>
      <c r="U156" s="90">
        <v>0</v>
      </c>
      <c r="V156" s="90">
        <v>0</v>
      </c>
      <c r="W156" s="90">
        <v>0</v>
      </c>
      <c r="X156">
        <v>0</v>
      </c>
      <c r="Y156">
        <v>0</v>
      </c>
      <c r="Z156">
        <v>0</v>
      </c>
    </row>
    <row r="157" spans="2:26" ht="12.75" customHeight="1" x14ac:dyDescent="0.25">
      <c r="E157" s="89" t="s">
        <v>73</v>
      </c>
      <c r="F157" s="90">
        <v>51817160.149999999</v>
      </c>
      <c r="G157" s="90">
        <v>15021525.93</v>
      </c>
      <c r="H157" s="90">
        <v>8504894.6899999995</v>
      </c>
      <c r="I157" s="90">
        <v>4570984.68</v>
      </c>
      <c r="J157" s="90">
        <v>-1718924.16</v>
      </c>
      <c r="K157" s="90">
        <v>-58626.77</v>
      </c>
      <c r="L157" s="90">
        <v>0</v>
      </c>
      <c r="M157" s="90">
        <v>-521631.88</v>
      </c>
      <c r="N157" s="90">
        <v>-773257.11</v>
      </c>
      <c r="O157" s="90">
        <v>-3589904.61</v>
      </c>
      <c r="P157" s="90">
        <v>30477829.460000001</v>
      </c>
      <c r="Q157" s="90">
        <v>-95730.08</v>
      </c>
      <c r="R157" s="90">
        <v>0</v>
      </c>
      <c r="S157" s="90">
        <v>0</v>
      </c>
      <c r="T157" s="90">
        <v>0</v>
      </c>
      <c r="U157" s="90">
        <v>0</v>
      </c>
      <c r="V157" s="90">
        <v>0</v>
      </c>
      <c r="W157" s="90">
        <v>0</v>
      </c>
      <c r="X157">
        <v>0</v>
      </c>
      <c r="Y157">
        <v>0</v>
      </c>
      <c r="Z157">
        <v>0</v>
      </c>
    </row>
    <row r="158" spans="2:26" ht="12.75" customHeight="1" x14ac:dyDescent="0.25">
      <c r="D158" s="89" t="s">
        <v>87</v>
      </c>
      <c r="E158" s="89" t="s">
        <v>70</v>
      </c>
      <c r="F158" s="90">
        <v>51817160.149999999</v>
      </c>
      <c r="G158" s="90">
        <v>15021525.93</v>
      </c>
      <c r="H158" s="90">
        <v>8504894.6899999995</v>
      </c>
      <c r="I158" s="90">
        <v>4570984.68</v>
      </c>
      <c r="J158" s="90">
        <v>-1718924.16</v>
      </c>
      <c r="K158" s="90">
        <v>-58626.77</v>
      </c>
      <c r="L158" s="90">
        <v>0</v>
      </c>
      <c r="M158" s="90">
        <v>-521631.88</v>
      </c>
      <c r="N158" s="90">
        <v>-773257.11</v>
      </c>
      <c r="O158" s="90">
        <v>-3589904.61</v>
      </c>
      <c r="P158" s="90">
        <v>30477829.460000001</v>
      </c>
      <c r="Q158" s="90">
        <v>-95730.08</v>
      </c>
      <c r="R158" s="90">
        <v>0</v>
      </c>
      <c r="S158" s="90">
        <v>0</v>
      </c>
      <c r="T158" s="90">
        <v>0</v>
      </c>
      <c r="U158" s="90">
        <v>0</v>
      </c>
      <c r="V158" s="90">
        <v>0</v>
      </c>
      <c r="W158" s="90">
        <v>0</v>
      </c>
      <c r="X158">
        <v>0</v>
      </c>
      <c r="Y158">
        <v>0</v>
      </c>
      <c r="Z158">
        <v>0</v>
      </c>
    </row>
    <row r="159" spans="2:26" s="94" customFormat="1" ht="12.75" customHeight="1" x14ac:dyDescent="0.25">
      <c r="C159" s="101" t="s">
        <v>119</v>
      </c>
      <c r="D159" s="101" t="s">
        <v>70</v>
      </c>
      <c r="F159" s="93">
        <v>15004530.85</v>
      </c>
      <c r="G159" s="93">
        <v>20858064.219999999</v>
      </c>
      <c r="H159" s="93">
        <v>11679814.93</v>
      </c>
      <c r="I159" s="93">
        <v>6226159.0899999999</v>
      </c>
      <c r="J159" s="93">
        <v>-20890511.140000001</v>
      </c>
      <c r="K159" s="93">
        <v>-552118.22</v>
      </c>
      <c r="L159" s="93">
        <v>0</v>
      </c>
      <c r="M159" s="93">
        <v>-4860953.07</v>
      </c>
      <c r="N159" s="93">
        <v>-6830483.8899999997</v>
      </c>
      <c r="O159" s="93">
        <v>-32095205.16</v>
      </c>
      <c r="P159" s="93">
        <v>42371067.390000001</v>
      </c>
      <c r="Q159" s="93">
        <v>-901303.3</v>
      </c>
      <c r="R159" s="93">
        <v>0</v>
      </c>
      <c r="S159" s="93">
        <v>0</v>
      </c>
      <c r="T159" s="93">
        <v>0</v>
      </c>
      <c r="U159" s="93">
        <v>0</v>
      </c>
      <c r="V159" s="93">
        <v>0</v>
      </c>
      <c r="W159" s="93">
        <v>0</v>
      </c>
      <c r="X159" s="94">
        <v>0</v>
      </c>
      <c r="Y159" s="94">
        <v>0</v>
      </c>
      <c r="Z159" s="94">
        <v>0</v>
      </c>
    </row>
    <row r="160" spans="2:26" s="226" customFormat="1" ht="12.75" customHeight="1" x14ac:dyDescent="0.25">
      <c r="B160" s="98" t="s">
        <v>112</v>
      </c>
      <c r="C160" s="98" t="s">
        <v>70</v>
      </c>
      <c r="F160" s="100">
        <v>-5005527827.0100002</v>
      </c>
      <c r="G160" s="100">
        <v>-99908831.269999996</v>
      </c>
      <c r="H160" s="100">
        <v>-55967769.390000001</v>
      </c>
      <c r="I160" s="100">
        <v>-28966630.940000001</v>
      </c>
      <c r="J160" s="100">
        <v>-1385560969.76</v>
      </c>
      <c r="K160" s="100">
        <v>-53134928.539999999</v>
      </c>
      <c r="L160" s="100">
        <v>0</v>
      </c>
      <c r="M160" s="100">
        <v>-466160953.38</v>
      </c>
      <c r="N160" s="100">
        <v>-461826674.35000002</v>
      </c>
      <c r="O160" s="100">
        <v>-2177521437.9299998</v>
      </c>
      <c r="P160" s="100">
        <v>-189781886.63999999</v>
      </c>
      <c r="Q160" s="100">
        <v>-86697744.810000002</v>
      </c>
      <c r="R160" s="100">
        <v>0</v>
      </c>
      <c r="S160" s="100">
        <v>0</v>
      </c>
      <c r="T160" s="100">
        <v>0</v>
      </c>
      <c r="U160" s="100">
        <v>0</v>
      </c>
      <c r="V160" s="100">
        <v>0</v>
      </c>
      <c r="W160" s="100">
        <v>0</v>
      </c>
      <c r="X160" s="226">
        <v>0</v>
      </c>
      <c r="Y160" s="226">
        <v>0</v>
      </c>
      <c r="Z160" s="226">
        <v>0</v>
      </c>
    </row>
    <row r="161" spans="1:26" ht="12.75" customHeight="1" x14ac:dyDescent="0.25">
      <c r="A161" s="89" t="s">
        <v>79</v>
      </c>
      <c r="B161" s="89" t="s">
        <v>70</v>
      </c>
      <c r="F161" s="90">
        <v>-4979731188.6400003</v>
      </c>
      <c r="G161" s="90">
        <v>-93232626</v>
      </c>
      <c r="H161" s="90">
        <v>-52193617.270000003</v>
      </c>
      <c r="I161" s="90">
        <v>-26966917.010000002</v>
      </c>
      <c r="J161" s="90">
        <v>-1385576929.8199999</v>
      </c>
      <c r="K161" s="90">
        <v>-53135662.159999996</v>
      </c>
      <c r="L161" s="90">
        <v>0</v>
      </c>
      <c r="M161" s="90">
        <v>-466167388.64999998</v>
      </c>
      <c r="N161" s="90">
        <v>-461831331.13999999</v>
      </c>
      <c r="O161" s="90">
        <v>-2177542694.9299998</v>
      </c>
      <c r="P161" s="90">
        <v>-176385079.87</v>
      </c>
      <c r="Q161" s="90">
        <v>-86698941.790000007</v>
      </c>
      <c r="R161" s="90">
        <v>0</v>
      </c>
      <c r="S161" s="90">
        <v>0</v>
      </c>
      <c r="T161" s="90">
        <v>0</v>
      </c>
      <c r="U161" s="90">
        <v>0</v>
      </c>
      <c r="V161" s="90">
        <v>0</v>
      </c>
      <c r="W161" s="90">
        <v>0</v>
      </c>
      <c r="X161">
        <v>0</v>
      </c>
      <c r="Y161">
        <v>0</v>
      </c>
      <c r="Z161">
        <v>0</v>
      </c>
    </row>
    <row r="162" spans="1:26" ht="12.75" customHeight="1" x14ac:dyDescent="0.25">
      <c r="A162" s="89" t="s">
        <v>70</v>
      </c>
      <c r="F162" s="90">
        <v>20461912832</v>
      </c>
      <c r="G162" s="90">
        <v>1489603908.23</v>
      </c>
      <c r="H162" s="90">
        <v>835508760.54999995</v>
      </c>
      <c r="I162" s="90">
        <v>439000694.19999999</v>
      </c>
      <c r="J162" s="90">
        <v>4385536752.0500002</v>
      </c>
      <c r="K162" s="90">
        <v>167957450.38</v>
      </c>
      <c r="L162" s="90">
        <v>53454221.280000001</v>
      </c>
      <c r="M162" s="90">
        <v>1471515426.02</v>
      </c>
      <c r="N162" s="90">
        <v>1470631622.3900001</v>
      </c>
      <c r="O162" s="90">
        <v>6928810826.0799999</v>
      </c>
      <c r="P162" s="90">
        <v>2945232863.9299998</v>
      </c>
      <c r="Q162" s="90">
        <v>274573739.48000002</v>
      </c>
      <c r="R162" s="90">
        <v>86690.62</v>
      </c>
      <c r="S162" s="90">
        <v>-83.63</v>
      </c>
      <c r="T162" s="90">
        <v>4.18</v>
      </c>
      <c r="U162" s="90">
        <v>0</v>
      </c>
      <c r="V162" s="90">
        <v>0</v>
      </c>
      <c r="W162" s="90">
        <v>0</v>
      </c>
      <c r="X162">
        <v>0</v>
      </c>
      <c r="Y162">
        <v>0</v>
      </c>
      <c r="Z162">
        <v>-43.76</v>
      </c>
    </row>
    <row r="163" spans="1:26" ht="12.75" customHeight="1" x14ac:dyDescent="0.25">
      <c r="A163" s="89"/>
      <c r="D163" s="89"/>
      <c r="E163" s="89"/>
      <c r="F163" s="90"/>
      <c r="G163" s="90"/>
      <c r="H163" s="90"/>
      <c r="I163" s="90"/>
      <c r="J163" s="90"/>
      <c r="K163" s="90"/>
      <c r="L163" s="90"/>
      <c r="M163" s="90"/>
      <c r="N163" s="90"/>
      <c r="O163" s="90"/>
      <c r="P163" s="90"/>
      <c r="Q163" s="90"/>
      <c r="R163" s="90"/>
      <c r="S163" s="90"/>
    </row>
    <row r="164" spans="1:26" ht="12.75" customHeight="1" x14ac:dyDescent="0.25">
      <c r="A164" s="89"/>
      <c r="C164" s="89"/>
      <c r="D164" s="89"/>
      <c r="F164" s="90"/>
      <c r="G164" s="90"/>
      <c r="H164" s="90"/>
      <c r="I164" s="90"/>
      <c r="J164" s="90"/>
      <c r="K164" s="90"/>
      <c r="L164" s="90"/>
      <c r="M164" s="90"/>
      <c r="N164" s="90"/>
      <c r="O164" s="90"/>
      <c r="P164" s="90"/>
      <c r="Q164" s="90"/>
      <c r="R164" s="90"/>
      <c r="S164" s="90"/>
    </row>
    <row r="165" spans="1:26" ht="12.75" hidden="1" customHeight="1" x14ac:dyDescent="0.25">
      <c r="A165" s="89"/>
      <c r="E165" s="89"/>
      <c r="F165" s="90"/>
      <c r="G165" s="90"/>
      <c r="H165" s="90"/>
      <c r="I165" s="90"/>
      <c r="J165" s="90"/>
      <c r="K165" s="90"/>
      <c r="L165" s="90"/>
      <c r="M165" s="90"/>
      <c r="N165" s="90"/>
      <c r="O165" s="90"/>
      <c r="P165" s="90"/>
      <c r="Q165" s="90"/>
      <c r="R165" s="90"/>
      <c r="S165" s="90"/>
    </row>
    <row r="166" spans="1:26" ht="12.75" hidden="1" customHeight="1" x14ac:dyDescent="0.25">
      <c r="A166" s="89"/>
      <c r="D166" s="89"/>
      <c r="E166" s="89"/>
      <c r="F166" s="90"/>
      <c r="G166" s="90"/>
      <c r="H166" s="90"/>
      <c r="I166" s="90"/>
      <c r="J166" s="90"/>
      <c r="K166" s="90"/>
      <c r="L166" s="90"/>
      <c r="M166" s="90"/>
      <c r="N166" s="90"/>
      <c r="O166" s="90"/>
      <c r="P166" s="90"/>
      <c r="Q166" s="90"/>
      <c r="R166" s="90"/>
      <c r="S166" s="90"/>
    </row>
    <row r="167" spans="1:26" ht="12.75" hidden="1" customHeight="1" x14ac:dyDescent="0.25">
      <c r="A167" s="89"/>
      <c r="E167" s="89"/>
      <c r="F167" s="90"/>
      <c r="G167" s="90"/>
      <c r="H167" s="90"/>
      <c r="I167" s="90"/>
      <c r="J167" s="90"/>
      <c r="K167" s="90"/>
      <c r="L167" s="90"/>
      <c r="M167" s="90"/>
      <c r="N167" s="90"/>
      <c r="O167" s="90"/>
      <c r="P167" s="90"/>
      <c r="Q167" s="90"/>
      <c r="R167" s="90"/>
      <c r="S167" s="90"/>
    </row>
    <row r="168" spans="1:26" ht="12.75" hidden="1" customHeight="1" x14ac:dyDescent="0.25">
      <c r="A168" s="89"/>
      <c r="D168" s="89"/>
      <c r="E168" s="89"/>
      <c r="F168" s="90"/>
      <c r="G168" s="90"/>
      <c r="H168" s="90"/>
      <c r="I168" s="90"/>
      <c r="J168" s="90"/>
      <c r="K168" s="90"/>
      <c r="L168" s="90"/>
      <c r="M168" s="90"/>
      <c r="N168" s="90"/>
      <c r="O168" s="90"/>
      <c r="P168" s="90"/>
      <c r="Q168" s="90"/>
      <c r="R168" s="90"/>
      <c r="S168" s="90"/>
    </row>
    <row r="169" spans="1:26" ht="12.75" hidden="1" customHeight="1" x14ac:dyDescent="0.25">
      <c r="A169" s="89"/>
      <c r="E169" s="89"/>
      <c r="F169" s="90"/>
      <c r="G169" s="90"/>
      <c r="H169" s="90"/>
      <c r="I169" s="90"/>
      <c r="J169" s="90"/>
      <c r="K169" s="90"/>
      <c r="L169" s="90"/>
      <c r="M169" s="90"/>
      <c r="N169" s="90"/>
      <c r="O169" s="90"/>
      <c r="P169" s="90"/>
      <c r="Q169" s="90"/>
      <c r="R169" s="90"/>
      <c r="S169" s="90"/>
    </row>
    <row r="170" spans="1:26" ht="12.75" hidden="1" customHeight="1" x14ac:dyDescent="0.25">
      <c r="A170" s="89"/>
      <c r="D170" s="89"/>
      <c r="E170" s="89"/>
      <c r="F170" s="90"/>
      <c r="G170" s="90"/>
      <c r="H170" s="90"/>
      <c r="I170" s="90"/>
      <c r="J170" s="90"/>
      <c r="K170" s="90"/>
      <c r="L170" s="90"/>
      <c r="M170" s="90"/>
      <c r="N170" s="90"/>
      <c r="O170" s="90"/>
      <c r="P170" s="90"/>
      <c r="Q170" s="90"/>
      <c r="R170" s="90"/>
      <c r="S170" s="90"/>
    </row>
    <row r="171" spans="1:26" ht="12.75" hidden="1" customHeight="1" x14ac:dyDescent="0.25">
      <c r="A171" s="89"/>
      <c r="C171" s="89"/>
      <c r="D171" s="89"/>
      <c r="F171" s="90"/>
      <c r="G171" s="90"/>
      <c r="H171" s="90"/>
      <c r="I171" s="90"/>
      <c r="J171" s="90"/>
      <c r="K171" s="90"/>
      <c r="L171" s="90"/>
      <c r="M171" s="90"/>
      <c r="N171" s="90"/>
      <c r="O171" s="90"/>
      <c r="P171" s="90"/>
      <c r="Q171" s="90"/>
      <c r="R171" s="90"/>
      <c r="S171" s="90"/>
    </row>
    <row r="172" spans="1:26" ht="12.75" hidden="1" customHeight="1" x14ac:dyDescent="0.25">
      <c r="A172" s="89"/>
      <c r="B172" s="89"/>
      <c r="C172" s="89"/>
      <c r="F172" s="90"/>
      <c r="G172" s="90"/>
      <c r="H172" s="90"/>
      <c r="I172" s="90"/>
      <c r="J172" s="90"/>
      <c r="K172" s="90"/>
      <c r="L172" s="90"/>
      <c r="M172" s="90"/>
      <c r="N172" s="90"/>
      <c r="O172" s="90"/>
      <c r="P172" s="90"/>
      <c r="Q172" s="90"/>
      <c r="R172" s="90"/>
      <c r="S172" s="90"/>
    </row>
    <row r="173" spans="1:26" ht="12.75" hidden="1" customHeight="1" x14ac:dyDescent="0.25">
      <c r="A173" s="89"/>
      <c r="B173" s="89"/>
      <c r="F173" s="90"/>
      <c r="G173" s="90"/>
      <c r="H173" s="90"/>
      <c r="I173" s="90"/>
      <c r="J173" s="90"/>
      <c r="K173" s="90"/>
      <c r="L173" s="90"/>
      <c r="M173" s="90"/>
      <c r="N173" s="90"/>
      <c r="O173" s="90"/>
      <c r="P173" s="90"/>
      <c r="Q173" s="90"/>
      <c r="R173" s="90"/>
      <c r="S173" s="90"/>
    </row>
    <row r="174" spans="1:26" ht="12.75" hidden="1" customHeight="1" x14ac:dyDescent="0.25">
      <c r="A174" s="89"/>
      <c r="F174" s="90"/>
      <c r="G174" s="90"/>
      <c r="H174" s="90"/>
      <c r="I174" s="90"/>
      <c r="J174" s="90"/>
      <c r="K174" s="90"/>
      <c r="L174" s="90"/>
      <c r="M174" s="90"/>
      <c r="N174" s="90"/>
      <c r="O174" s="90"/>
      <c r="P174" s="90"/>
      <c r="Q174" s="90"/>
      <c r="R174" s="90"/>
      <c r="S174" s="90"/>
    </row>
    <row r="175" spans="1:26" ht="12.75" hidden="1" customHeight="1" x14ac:dyDescent="0.25">
      <c r="A175" s="89"/>
      <c r="B175" s="89"/>
      <c r="F175" s="90"/>
      <c r="G175" s="90"/>
      <c r="H175" s="90"/>
      <c r="I175" s="90"/>
      <c r="J175" s="90"/>
      <c r="K175" s="90"/>
      <c r="L175" s="90"/>
      <c r="M175" s="90"/>
      <c r="N175" s="90"/>
      <c r="O175" s="90"/>
      <c r="P175" s="90"/>
      <c r="Q175" s="90"/>
      <c r="R175" s="90"/>
      <c r="S175" s="90"/>
    </row>
    <row r="176" spans="1:26" ht="12.75" hidden="1" customHeight="1" x14ac:dyDescent="0.25">
      <c r="A176" s="89"/>
      <c r="F176" s="90"/>
      <c r="G176" s="90"/>
      <c r="H176" s="90"/>
      <c r="I176" s="90"/>
      <c r="J176" s="90"/>
      <c r="K176" s="90"/>
      <c r="L176" s="90"/>
      <c r="M176" s="90"/>
      <c r="N176" s="90"/>
      <c r="O176" s="90"/>
      <c r="P176" s="90"/>
      <c r="Q176" s="90"/>
      <c r="R176" s="90"/>
      <c r="S176" s="90"/>
    </row>
    <row r="177" spans="1:19" ht="12.75" hidden="1" customHeight="1" x14ac:dyDescent="0.25">
      <c r="A177" s="89"/>
      <c r="F177" s="90"/>
      <c r="G177" s="90"/>
      <c r="H177" s="90"/>
      <c r="I177" s="90"/>
      <c r="J177" s="90"/>
      <c r="K177" s="90"/>
      <c r="L177" s="90"/>
      <c r="M177" s="90"/>
      <c r="N177" s="90"/>
      <c r="O177" s="90"/>
      <c r="P177" s="90"/>
      <c r="Q177" s="90"/>
      <c r="R177" s="90"/>
      <c r="S177" s="90"/>
    </row>
    <row r="178" spans="1:19" ht="12.75" hidden="1" customHeight="1" x14ac:dyDescent="0.25">
      <c r="A178" s="89"/>
      <c r="F178" s="90"/>
      <c r="G178" s="90"/>
      <c r="H178" s="90"/>
      <c r="I178" s="90"/>
      <c r="J178" s="90"/>
      <c r="K178" s="90"/>
      <c r="L178" s="90"/>
      <c r="M178" s="90"/>
      <c r="N178" s="90"/>
      <c r="O178" s="90"/>
      <c r="P178" s="90"/>
      <c r="Q178" s="90"/>
      <c r="R178" s="90"/>
      <c r="S178" s="90"/>
    </row>
    <row r="179" spans="1:19" ht="12.75" hidden="1" customHeight="1" x14ac:dyDescent="0.25">
      <c r="A179" s="89"/>
      <c r="F179" s="90"/>
      <c r="G179" s="90"/>
      <c r="H179" s="90"/>
      <c r="I179" s="90"/>
      <c r="J179" s="90"/>
      <c r="K179" s="90"/>
      <c r="L179" s="90"/>
      <c r="M179" s="90"/>
      <c r="N179" s="90"/>
      <c r="O179" s="90"/>
      <c r="P179" s="90"/>
      <c r="Q179" s="90"/>
      <c r="R179" s="90"/>
      <c r="S179" s="90"/>
    </row>
    <row r="180" spans="1:19" ht="12.75" hidden="1" customHeight="1" x14ac:dyDescent="0.25">
      <c r="A180" s="89"/>
      <c r="F180" s="90"/>
      <c r="G180" s="90"/>
      <c r="H180" s="90"/>
      <c r="I180" s="90"/>
      <c r="J180" s="90"/>
      <c r="K180" s="90"/>
      <c r="L180" s="90"/>
      <c r="M180" s="90"/>
      <c r="N180" s="90"/>
      <c r="O180" s="90"/>
      <c r="P180" s="90"/>
      <c r="Q180" s="90"/>
      <c r="R180" s="90"/>
      <c r="S180" s="90"/>
    </row>
    <row r="181" spans="1:19" ht="12.75" hidden="1" customHeight="1" x14ac:dyDescent="0.25">
      <c r="A181" s="89"/>
      <c r="F181" s="90"/>
      <c r="G181" s="90"/>
      <c r="H181" s="90"/>
      <c r="I181" s="90"/>
      <c r="J181" s="90"/>
      <c r="K181" s="90"/>
      <c r="L181" s="90"/>
      <c r="M181" s="90"/>
      <c r="N181" s="90"/>
      <c r="O181" s="90"/>
      <c r="P181" s="90"/>
      <c r="Q181" s="90"/>
      <c r="R181" s="90"/>
      <c r="S181" s="90"/>
    </row>
    <row r="182" spans="1:19" ht="12.75" hidden="1" customHeight="1" x14ac:dyDescent="0.25">
      <c r="A182" s="89"/>
      <c r="F182" s="90"/>
      <c r="G182" s="90"/>
      <c r="H182" s="90"/>
      <c r="I182" s="90"/>
      <c r="J182" s="90"/>
      <c r="K182" s="90"/>
      <c r="L182" s="90"/>
      <c r="M182" s="90"/>
      <c r="N182" s="90"/>
      <c r="O182" s="90"/>
      <c r="P182" s="90"/>
      <c r="Q182" s="90"/>
      <c r="R182" s="90"/>
      <c r="S182" s="90"/>
    </row>
    <row r="183" spans="1:19" ht="12.75" hidden="1" customHeight="1" x14ac:dyDescent="0.25">
      <c r="A183" s="89"/>
      <c r="F183" s="90"/>
      <c r="G183" s="90"/>
      <c r="H183" s="90"/>
      <c r="I183" s="90"/>
      <c r="J183" s="90"/>
      <c r="K183" s="90"/>
      <c r="L183" s="90"/>
      <c r="M183" s="90"/>
      <c r="N183" s="90"/>
      <c r="O183" s="90"/>
      <c r="P183" s="90"/>
      <c r="Q183" s="90"/>
      <c r="R183" s="90"/>
      <c r="S183" s="90"/>
    </row>
    <row r="184" spans="1:19" ht="12.75" hidden="1" customHeight="1" x14ac:dyDescent="0.25">
      <c r="A184" s="89"/>
      <c r="F184" s="90"/>
      <c r="G184" s="90"/>
      <c r="H184" s="90"/>
      <c r="I184" s="90"/>
      <c r="J184" s="90"/>
      <c r="K184" s="90"/>
      <c r="L184" s="90"/>
      <c r="M184" s="90"/>
      <c r="N184" s="90"/>
      <c r="O184" s="90"/>
      <c r="P184" s="90"/>
      <c r="Q184" s="90"/>
      <c r="R184" s="90"/>
      <c r="S184" s="90"/>
    </row>
    <row r="185" spans="1:19" ht="12.75" hidden="1" customHeight="1" x14ac:dyDescent="0.25">
      <c r="A185" s="89"/>
      <c r="F185" s="90"/>
      <c r="G185" s="90"/>
      <c r="H185" s="90"/>
      <c r="I185" s="90"/>
      <c r="J185" s="90"/>
      <c r="K185" s="90"/>
      <c r="L185" s="90"/>
      <c r="M185" s="90"/>
      <c r="N185" s="90"/>
      <c r="O185" s="90"/>
      <c r="P185" s="90"/>
      <c r="Q185" s="90"/>
      <c r="R185" s="90"/>
      <c r="S185" s="90"/>
    </row>
    <row r="186" spans="1:19" ht="12.75" hidden="1" customHeight="1" x14ac:dyDescent="0.25">
      <c r="A186" s="89"/>
      <c r="F186" s="90"/>
      <c r="G186" s="90"/>
      <c r="H186" s="90"/>
      <c r="I186" s="90"/>
      <c r="J186" s="90"/>
      <c r="K186" s="90"/>
      <c r="L186" s="90"/>
      <c r="M186" s="90"/>
      <c r="N186" s="90"/>
      <c r="O186" s="90"/>
      <c r="P186" s="90"/>
      <c r="Q186" s="90"/>
      <c r="R186" s="90"/>
      <c r="S186" s="90"/>
    </row>
    <row r="187" spans="1:19" ht="12.75" hidden="1" customHeight="1" x14ac:dyDescent="0.25">
      <c r="A187" s="89"/>
      <c r="F187" s="90"/>
      <c r="G187" s="90"/>
      <c r="H187" s="90"/>
      <c r="I187" s="90"/>
      <c r="J187" s="90"/>
      <c r="K187" s="90"/>
      <c r="L187" s="90"/>
      <c r="M187" s="90"/>
      <c r="N187" s="90"/>
      <c r="O187" s="90"/>
      <c r="P187" s="90"/>
      <c r="Q187" s="90"/>
      <c r="R187" s="90"/>
      <c r="S187" s="90"/>
    </row>
    <row r="188" spans="1:19" ht="12.75" hidden="1" customHeight="1" x14ac:dyDescent="0.25">
      <c r="A188" s="89"/>
      <c r="F188" s="90"/>
      <c r="G188" s="90"/>
      <c r="H188" s="90"/>
      <c r="I188" s="90"/>
      <c r="J188" s="90"/>
      <c r="K188" s="90"/>
      <c r="L188" s="90"/>
      <c r="M188" s="90"/>
      <c r="N188" s="90"/>
      <c r="O188" s="90"/>
      <c r="P188" s="90"/>
      <c r="Q188" s="90"/>
      <c r="R188" s="90"/>
      <c r="S188" s="90"/>
    </row>
    <row r="189" spans="1:19" ht="12.75" hidden="1" customHeight="1" x14ac:dyDescent="0.25">
      <c r="A189" s="89"/>
      <c r="F189" s="90"/>
      <c r="G189" s="90"/>
      <c r="H189" s="90"/>
      <c r="I189" s="90"/>
      <c r="J189" s="90"/>
      <c r="K189" s="90"/>
      <c r="L189" s="90"/>
      <c r="M189" s="90"/>
      <c r="N189" s="90"/>
      <c r="O189" s="90"/>
      <c r="P189" s="90"/>
      <c r="Q189" s="90"/>
      <c r="R189" s="90"/>
      <c r="S189" s="90"/>
    </row>
    <row r="190" spans="1:19" ht="12.75" hidden="1" customHeight="1" x14ac:dyDescent="0.25">
      <c r="A190" s="89"/>
      <c r="F190" s="90"/>
      <c r="G190" s="90"/>
      <c r="H190" s="90"/>
      <c r="I190" s="90"/>
      <c r="J190" s="90"/>
      <c r="K190" s="90"/>
      <c r="L190" s="90"/>
      <c r="M190" s="90"/>
      <c r="N190" s="90"/>
      <c r="O190" s="90"/>
      <c r="P190" s="90"/>
      <c r="Q190" s="90"/>
      <c r="R190" s="90"/>
      <c r="S190" s="90"/>
    </row>
    <row r="191" spans="1:19" ht="12.75" hidden="1" customHeight="1" x14ac:dyDescent="0.25">
      <c r="A191" s="89"/>
      <c r="F191" s="90"/>
      <c r="G191" s="90"/>
      <c r="H191" s="90"/>
      <c r="I191" s="90"/>
      <c r="J191" s="90"/>
      <c r="K191" s="90"/>
      <c r="L191" s="90"/>
      <c r="M191" s="90"/>
      <c r="N191" s="90"/>
      <c r="O191" s="90"/>
      <c r="P191" s="90"/>
      <c r="Q191" s="90"/>
      <c r="R191" s="90"/>
      <c r="S191" s="90"/>
    </row>
    <row r="192" spans="1:19" ht="12.75" hidden="1" customHeight="1" x14ac:dyDescent="0.25">
      <c r="A192" s="89"/>
      <c r="F192" s="90"/>
      <c r="G192" s="90"/>
      <c r="H192" s="90"/>
      <c r="I192" s="90"/>
      <c r="J192" s="90"/>
      <c r="K192" s="90"/>
      <c r="L192" s="90"/>
      <c r="M192" s="90"/>
      <c r="N192" s="90"/>
      <c r="O192" s="90"/>
      <c r="P192" s="90"/>
      <c r="Q192" s="90"/>
      <c r="R192" s="90"/>
      <c r="S192" s="90"/>
    </row>
    <row r="193" spans="1:42" ht="12.75" hidden="1" customHeight="1" x14ac:dyDescent="0.25">
      <c r="A193" s="89"/>
      <c r="F193" s="90"/>
      <c r="G193" s="90"/>
      <c r="H193" s="90"/>
      <c r="I193" s="90"/>
      <c r="J193" s="90"/>
      <c r="K193" s="90"/>
      <c r="L193" s="90"/>
      <c r="M193" s="90"/>
      <c r="N193" s="90"/>
      <c r="O193" s="90"/>
      <c r="P193" s="90"/>
      <c r="Q193" s="90"/>
      <c r="R193" s="90"/>
      <c r="S193" s="90"/>
    </row>
    <row r="194" spans="1:42" ht="12.75" hidden="1" customHeight="1" x14ac:dyDescent="0.25">
      <c r="A194" s="89"/>
      <c r="F194" s="90"/>
      <c r="G194" s="90"/>
      <c r="H194" s="90"/>
      <c r="I194" s="90"/>
      <c r="J194" s="90"/>
      <c r="K194" s="90"/>
      <c r="L194" s="90"/>
      <c r="M194" s="90"/>
      <c r="N194" s="90"/>
      <c r="O194" s="90"/>
      <c r="P194" s="90"/>
      <c r="Q194" s="90"/>
      <c r="R194" s="90"/>
      <c r="S194" s="90"/>
    </row>
    <row r="195" spans="1:42" ht="12.75" hidden="1" customHeight="1" x14ac:dyDescent="0.25">
      <c r="A195" s="89"/>
      <c r="F195" s="90"/>
      <c r="G195" s="90"/>
      <c r="H195" s="90"/>
      <c r="I195" s="90"/>
      <c r="J195" s="90"/>
      <c r="K195" s="90"/>
      <c r="L195" s="90"/>
      <c r="M195" s="90"/>
      <c r="N195" s="90"/>
      <c r="O195" s="90"/>
      <c r="P195" s="90"/>
      <c r="Q195" s="90"/>
      <c r="R195" s="90"/>
      <c r="S195" s="90"/>
    </row>
    <row r="196" spans="1:42" ht="12.75" hidden="1" customHeight="1" x14ac:dyDescent="0.25">
      <c r="A196" s="89"/>
      <c r="F196" s="90"/>
      <c r="G196" s="90"/>
      <c r="H196" s="90"/>
      <c r="I196" s="90"/>
      <c r="J196" s="90"/>
      <c r="K196" s="90"/>
      <c r="L196" s="90"/>
      <c r="M196" s="90"/>
      <c r="N196" s="90"/>
      <c r="O196" s="90"/>
      <c r="P196" s="90"/>
      <c r="Q196" s="90"/>
      <c r="R196" s="90"/>
      <c r="S196" s="90"/>
    </row>
    <row r="197" spans="1:42" ht="12.75" hidden="1" customHeight="1" x14ac:dyDescent="0.25">
      <c r="A197" s="89"/>
      <c r="F197" s="90"/>
      <c r="G197" s="90"/>
      <c r="H197" s="90"/>
      <c r="I197" s="90"/>
      <c r="J197" s="90"/>
      <c r="K197" s="90"/>
      <c r="L197" s="90"/>
      <c r="M197" s="90"/>
      <c r="N197" s="90"/>
      <c r="O197" s="90"/>
      <c r="P197" s="90"/>
      <c r="Q197" s="90"/>
      <c r="R197" s="90"/>
      <c r="S197" s="90"/>
    </row>
    <row r="198" spans="1:42" ht="12.75" hidden="1" customHeight="1" x14ac:dyDescent="0.25">
      <c r="A198" s="89"/>
      <c r="F198" s="90"/>
      <c r="G198" s="90"/>
      <c r="H198" s="90"/>
      <c r="I198" s="90"/>
      <c r="J198" s="90"/>
      <c r="K198" s="90"/>
      <c r="L198" s="90"/>
      <c r="M198" s="90"/>
      <c r="N198" s="90"/>
      <c r="O198" s="90"/>
      <c r="P198" s="90"/>
      <c r="Q198" s="90"/>
      <c r="R198" s="90"/>
      <c r="S198" s="90"/>
    </row>
    <row r="199" spans="1:42" ht="12.75" hidden="1" customHeight="1" x14ac:dyDescent="0.25">
      <c r="A199" s="89"/>
      <c r="F199" s="90"/>
      <c r="G199" s="90"/>
      <c r="H199" s="90"/>
      <c r="I199" s="90"/>
      <c r="J199" s="90"/>
      <c r="K199" s="90"/>
      <c r="L199" s="90"/>
      <c r="M199" s="90"/>
      <c r="N199" s="90"/>
      <c r="O199" s="90"/>
      <c r="P199" s="90"/>
      <c r="Q199" s="90"/>
      <c r="R199" s="90"/>
      <c r="S199" s="90"/>
    </row>
    <row r="200" spans="1:42" ht="12.75" hidden="1" customHeight="1" x14ac:dyDescent="0.25">
      <c r="A200" s="89"/>
      <c r="F200" s="90"/>
      <c r="G200" s="90"/>
      <c r="H200" s="90"/>
      <c r="I200" s="90"/>
      <c r="J200" s="90"/>
      <c r="K200" s="90"/>
      <c r="L200" s="90"/>
      <c r="M200" s="90"/>
      <c r="N200" s="90"/>
      <c r="O200" s="90"/>
      <c r="P200" s="90"/>
      <c r="Q200" s="90"/>
      <c r="R200" s="90"/>
      <c r="S200" s="90"/>
    </row>
    <row r="201" spans="1:42" ht="12.75" hidden="1" customHeight="1" x14ac:dyDescent="0.25">
      <c r="A201" s="89"/>
      <c r="F201" s="90"/>
      <c r="G201" s="90"/>
      <c r="H201" s="90"/>
      <c r="I201" s="90"/>
      <c r="J201" s="90"/>
      <c r="K201" s="90"/>
      <c r="L201" s="90"/>
      <c r="M201" s="90"/>
      <c r="N201" s="90"/>
      <c r="O201" s="90"/>
      <c r="P201" s="90"/>
      <c r="Q201" s="90"/>
      <c r="R201" s="90"/>
      <c r="S201" s="90"/>
    </row>
    <row r="202" spans="1:42" ht="12.75" hidden="1" customHeight="1" x14ac:dyDescent="0.25">
      <c r="A202" s="89"/>
      <c r="F202" s="90"/>
      <c r="G202" s="90"/>
      <c r="H202" s="90"/>
      <c r="I202" s="90"/>
      <c r="J202" s="90"/>
      <c r="K202" s="90"/>
      <c r="L202" s="90"/>
      <c r="M202" s="90"/>
      <c r="N202" s="90"/>
      <c r="O202" s="90"/>
      <c r="P202" s="90"/>
      <c r="Q202" s="90"/>
      <c r="R202" s="90"/>
      <c r="S202" s="90"/>
    </row>
    <row r="203" spans="1:42" ht="12.75" hidden="1" customHeight="1" x14ac:dyDescent="0.25">
      <c r="A203" s="89"/>
      <c r="F203" s="90"/>
      <c r="G203" s="90"/>
      <c r="H203" s="90"/>
      <c r="I203" s="90"/>
      <c r="J203" s="90"/>
      <c r="K203" s="90"/>
      <c r="L203" s="90"/>
      <c r="M203" s="90"/>
      <c r="N203" s="90"/>
      <c r="O203" s="90"/>
      <c r="P203" s="90"/>
      <c r="Q203" s="90"/>
      <c r="R203" s="90"/>
      <c r="S203" s="90"/>
    </row>
    <row r="204" spans="1:42" ht="12.75" customHeight="1" x14ac:dyDescent="0.25">
      <c r="A204" s="89"/>
      <c r="F204" s="90"/>
      <c r="G204" s="90"/>
      <c r="H204" s="90"/>
      <c r="I204" s="90"/>
      <c r="J204" s="90"/>
      <c r="K204" s="90"/>
      <c r="L204" s="90"/>
      <c r="M204" s="90"/>
      <c r="N204" s="90"/>
      <c r="O204" s="90"/>
      <c r="P204" s="90"/>
      <c r="Q204" s="90"/>
      <c r="R204" s="90"/>
      <c r="S204" s="90"/>
    </row>
    <row r="205" spans="1:42" ht="12.75" customHeight="1" x14ac:dyDescent="0.25">
      <c r="A205" s="89"/>
      <c r="F205" s="90"/>
      <c r="G205" s="90"/>
      <c r="H205" s="90"/>
      <c r="I205" s="90"/>
      <c r="J205" s="90"/>
      <c r="K205" s="90"/>
      <c r="L205" s="90"/>
      <c r="M205" s="90"/>
      <c r="N205" s="90"/>
      <c r="O205" s="90"/>
      <c r="P205" s="90"/>
      <c r="Q205" s="90"/>
      <c r="R205" s="90"/>
      <c r="S205" s="90"/>
    </row>
    <row r="206" spans="1:42" ht="12.75" customHeight="1" x14ac:dyDescent="0.25">
      <c r="C206" s="774" t="s">
        <v>2</v>
      </c>
      <c r="D206" s="771" t="s">
        <v>132</v>
      </c>
      <c r="E206" s="98" t="s">
        <v>70</v>
      </c>
      <c r="F206" s="100">
        <f>F132+F160-L132+F94-L94</f>
        <v>20352268540.720001</v>
      </c>
      <c r="G206" s="100">
        <f>G132+G94</f>
        <v>1575127599.3299999</v>
      </c>
      <c r="H206" s="100">
        <f t="shared" ref="H206:AP206" si="6">H132+H94</f>
        <v>883344164.76999998</v>
      </c>
      <c r="I206" s="100">
        <f t="shared" si="6"/>
        <v>463657475.5</v>
      </c>
      <c r="J206" s="100">
        <f t="shared" si="6"/>
        <v>5770939754.4900007</v>
      </c>
      <c r="K206" s="100">
        <f t="shared" si="6"/>
        <v>221087801.44999999</v>
      </c>
      <c r="L206" s="100">
        <f t="shared" si="6"/>
        <v>53454221.280000001</v>
      </c>
      <c r="M206" s="100">
        <f t="shared" si="6"/>
        <v>1937636226.24</v>
      </c>
      <c r="N206" s="100">
        <f t="shared" si="6"/>
        <v>1932409015.4699998</v>
      </c>
      <c r="O206" s="100">
        <f t="shared" si="6"/>
        <v>9106102089.4900017</v>
      </c>
      <c r="P206" s="100">
        <f t="shared" si="6"/>
        <v>3106141657.3499999</v>
      </c>
      <c r="Q206" s="100">
        <f t="shared" si="6"/>
        <v>361264015.81999999</v>
      </c>
      <c r="R206" s="100">
        <f t="shared" si="6"/>
        <v>86691.03</v>
      </c>
      <c r="S206" s="100">
        <f t="shared" si="6"/>
        <v>-83.63</v>
      </c>
      <c r="T206" s="100">
        <f t="shared" si="6"/>
        <v>4.18</v>
      </c>
      <c r="U206" s="100">
        <f t="shared" si="6"/>
        <v>0</v>
      </c>
      <c r="V206" s="100">
        <f t="shared" si="6"/>
        <v>0</v>
      </c>
      <c r="W206" s="100">
        <f t="shared" si="6"/>
        <v>0</v>
      </c>
      <c r="X206" s="100">
        <f t="shared" si="6"/>
        <v>0</v>
      </c>
      <c r="Y206" s="100">
        <f t="shared" si="6"/>
        <v>0</v>
      </c>
      <c r="Z206" s="100">
        <f t="shared" si="6"/>
        <v>-43.76</v>
      </c>
      <c r="AA206" s="100">
        <f t="shared" si="6"/>
        <v>0</v>
      </c>
      <c r="AB206" s="100">
        <f t="shared" si="6"/>
        <v>0</v>
      </c>
      <c r="AC206" s="100">
        <f t="shared" si="6"/>
        <v>0</v>
      </c>
      <c r="AD206" s="100">
        <f t="shared" si="6"/>
        <v>0</v>
      </c>
      <c r="AE206" s="100">
        <f t="shared" si="6"/>
        <v>0</v>
      </c>
      <c r="AF206" s="100">
        <f t="shared" si="6"/>
        <v>0</v>
      </c>
      <c r="AG206" s="100">
        <f t="shared" si="6"/>
        <v>0</v>
      </c>
      <c r="AH206" s="100">
        <f t="shared" si="6"/>
        <v>0</v>
      </c>
      <c r="AI206" s="100">
        <f t="shared" si="6"/>
        <v>0</v>
      </c>
      <c r="AJ206" s="100">
        <f t="shared" si="6"/>
        <v>0</v>
      </c>
      <c r="AK206" s="100">
        <f t="shared" si="6"/>
        <v>0</v>
      </c>
      <c r="AL206" s="100">
        <f t="shared" si="6"/>
        <v>0</v>
      </c>
      <c r="AM206" s="100">
        <f t="shared" si="6"/>
        <v>0</v>
      </c>
      <c r="AN206" s="100">
        <f t="shared" si="6"/>
        <v>0</v>
      </c>
      <c r="AO206" s="100">
        <f t="shared" si="6"/>
        <v>0</v>
      </c>
      <c r="AP206" s="100">
        <f t="shared" si="6"/>
        <v>0</v>
      </c>
    </row>
    <row r="207" spans="1:42" ht="12.75" customHeight="1" x14ac:dyDescent="0.25">
      <c r="C207" s="774"/>
      <c r="D207" s="771"/>
      <c r="E207" s="98" t="s">
        <v>73</v>
      </c>
      <c r="F207" s="100">
        <f>F160</f>
        <v>-5005527827.0100002</v>
      </c>
      <c r="G207" s="90"/>
      <c r="H207" s="90"/>
      <c r="I207" s="90"/>
      <c r="J207" s="90"/>
      <c r="K207" s="90"/>
      <c r="L207" s="90"/>
      <c r="M207" s="90"/>
      <c r="N207" s="90"/>
      <c r="O207" s="90"/>
      <c r="P207" s="90"/>
      <c r="Q207" s="90"/>
      <c r="R207" s="90"/>
      <c r="S207" s="90"/>
    </row>
    <row r="208" spans="1:42" ht="12.75" customHeight="1" x14ac:dyDescent="0.25">
      <c r="C208" s="774"/>
      <c r="D208" s="771" t="s">
        <v>133</v>
      </c>
      <c r="E208" s="233" t="s">
        <v>70</v>
      </c>
      <c r="F208" s="234">
        <f>F142+F107-L107</f>
        <v>56190070</v>
      </c>
      <c r="G208" s="234">
        <f>G107</f>
        <v>7708934.9000000004</v>
      </c>
      <c r="H208" s="234">
        <f t="shared" ref="H208:AP208" si="7">H107</f>
        <v>4358213.05</v>
      </c>
      <c r="I208" s="234">
        <f t="shared" si="7"/>
        <v>2310135.71</v>
      </c>
      <c r="J208" s="234">
        <f t="shared" si="7"/>
        <v>173927.38</v>
      </c>
      <c r="K208" s="234">
        <f t="shared" si="7"/>
        <v>5311.09</v>
      </c>
      <c r="L208" s="234">
        <f t="shared" si="7"/>
        <v>0</v>
      </c>
      <c r="M208" s="234">
        <f t="shared" si="7"/>
        <v>46588.43</v>
      </c>
      <c r="N208" s="234">
        <f t="shared" si="7"/>
        <v>53938.06</v>
      </c>
      <c r="O208" s="234">
        <f t="shared" si="7"/>
        <v>251431.52</v>
      </c>
      <c r="P208" s="234">
        <f t="shared" si="7"/>
        <v>15476286.449999999</v>
      </c>
      <c r="Q208" s="234">
        <f t="shared" si="7"/>
        <v>8665.4500000000007</v>
      </c>
      <c r="R208" s="234">
        <f t="shared" si="7"/>
        <v>-0.40999999999999898</v>
      </c>
      <c r="S208" s="234">
        <f t="shared" si="7"/>
        <v>0</v>
      </c>
      <c r="T208" s="234">
        <f t="shared" si="7"/>
        <v>0</v>
      </c>
      <c r="U208" s="234">
        <f t="shared" si="7"/>
        <v>0</v>
      </c>
      <c r="V208" s="234">
        <f t="shared" si="7"/>
        <v>0</v>
      </c>
      <c r="W208" s="234">
        <f t="shared" si="7"/>
        <v>0</v>
      </c>
      <c r="X208" s="234">
        <f t="shared" si="7"/>
        <v>0</v>
      </c>
      <c r="Y208" s="234">
        <f t="shared" si="7"/>
        <v>0</v>
      </c>
      <c r="Z208" s="234">
        <f t="shared" si="7"/>
        <v>0</v>
      </c>
      <c r="AA208" s="234">
        <f t="shared" si="7"/>
        <v>0</v>
      </c>
      <c r="AB208" s="234">
        <f t="shared" si="7"/>
        <v>0</v>
      </c>
      <c r="AC208" s="234">
        <f t="shared" si="7"/>
        <v>0</v>
      </c>
      <c r="AD208" s="234">
        <f t="shared" si="7"/>
        <v>0</v>
      </c>
      <c r="AE208" s="234">
        <f t="shared" si="7"/>
        <v>0</v>
      </c>
      <c r="AF208" s="234">
        <f t="shared" si="7"/>
        <v>0</v>
      </c>
      <c r="AG208" s="234">
        <f t="shared" si="7"/>
        <v>0</v>
      </c>
      <c r="AH208" s="234">
        <f t="shared" si="7"/>
        <v>0</v>
      </c>
      <c r="AI208" s="234">
        <f t="shared" si="7"/>
        <v>0</v>
      </c>
      <c r="AJ208" s="234">
        <f t="shared" si="7"/>
        <v>0</v>
      </c>
      <c r="AK208" s="234">
        <f t="shared" si="7"/>
        <v>0</v>
      </c>
      <c r="AL208" s="234">
        <f t="shared" si="7"/>
        <v>0</v>
      </c>
      <c r="AM208" s="234">
        <f t="shared" si="7"/>
        <v>0</v>
      </c>
      <c r="AN208" s="234">
        <f t="shared" si="7"/>
        <v>0</v>
      </c>
      <c r="AO208" s="234">
        <f t="shared" si="7"/>
        <v>0</v>
      </c>
      <c r="AP208" s="234">
        <f t="shared" si="7"/>
        <v>0</v>
      </c>
    </row>
    <row r="209" spans="1:42" ht="12.75" customHeight="1" x14ac:dyDescent="0.25">
      <c r="C209" s="774"/>
      <c r="D209" s="771"/>
      <c r="E209" s="233" t="s">
        <v>73</v>
      </c>
      <c r="F209" s="234">
        <f>F142</f>
        <v>25796638.370000001</v>
      </c>
      <c r="G209" s="90"/>
      <c r="H209" s="90"/>
      <c r="I209" s="90"/>
      <c r="J209" s="90"/>
      <c r="K209" s="90"/>
      <c r="L209" s="90"/>
      <c r="M209" s="90"/>
      <c r="N209" s="90"/>
      <c r="O209" s="90"/>
      <c r="P209" s="90"/>
      <c r="Q209" s="90"/>
      <c r="R209" s="90"/>
    </row>
    <row r="210" spans="1:42" ht="12.75" customHeight="1" x14ac:dyDescent="0.3">
      <c r="A210" s="89"/>
      <c r="C210" s="97"/>
      <c r="F210" s="90"/>
      <c r="G210" s="90"/>
      <c r="H210" s="90"/>
      <c r="I210" s="90"/>
      <c r="J210" s="90"/>
      <c r="K210" s="90"/>
      <c r="L210" s="90"/>
      <c r="M210" s="90"/>
      <c r="N210" s="90"/>
      <c r="O210" s="90"/>
      <c r="P210" s="90"/>
      <c r="Q210" s="90"/>
      <c r="R210" s="90"/>
      <c r="S210" s="90"/>
    </row>
    <row r="211" spans="1:42" ht="12.75" customHeight="1" x14ac:dyDescent="0.25">
      <c r="C211" s="774" t="s">
        <v>160</v>
      </c>
      <c r="D211" s="771" t="s">
        <v>132</v>
      </c>
      <c r="E211" s="223" t="s">
        <v>70</v>
      </c>
      <c r="F211" s="225">
        <f>F152+F121-L121</f>
        <v>11411240</v>
      </c>
      <c r="G211" s="225">
        <f>G121</f>
        <v>846445.31</v>
      </c>
      <c r="H211" s="225">
        <f t="shared" ref="H211:AP211" si="8">H121</f>
        <v>456814.64</v>
      </c>
      <c r="I211" s="225">
        <f t="shared" si="8"/>
        <v>246633.46</v>
      </c>
      <c r="J211" s="225">
        <f t="shared" si="8"/>
        <v>3859157.96</v>
      </c>
      <c r="K211" s="225">
        <f t="shared" si="8"/>
        <v>125021.13</v>
      </c>
      <c r="L211" s="225">
        <f t="shared" si="8"/>
        <v>0</v>
      </c>
      <c r="M211" s="225">
        <f t="shared" si="8"/>
        <v>1101678.21</v>
      </c>
      <c r="N211" s="225">
        <f t="shared" si="8"/>
        <v>1198553.1100000001</v>
      </c>
      <c r="O211" s="225">
        <f t="shared" si="8"/>
        <v>5597648.7699999996</v>
      </c>
      <c r="P211" s="225">
        <f t="shared" si="8"/>
        <v>1666421.96</v>
      </c>
      <c r="Q211" s="225">
        <f t="shared" si="8"/>
        <v>204886.65</v>
      </c>
      <c r="R211" s="225">
        <f t="shared" si="8"/>
        <v>72.06</v>
      </c>
      <c r="S211" s="225">
        <f t="shared" si="8"/>
        <v>0</v>
      </c>
      <c r="T211" s="225">
        <f t="shared" si="8"/>
        <v>0</v>
      </c>
      <c r="U211" s="225">
        <f t="shared" si="8"/>
        <v>0</v>
      </c>
      <c r="V211" s="225">
        <f t="shared" si="8"/>
        <v>0</v>
      </c>
      <c r="W211" s="225">
        <f t="shared" si="8"/>
        <v>0</v>
      </c>
      <c r="X211" s="225">
        <f t="shared" si="8"/>
        <v>0</v>
      </c>
      <c r="Y211" s="225">
        <f t="shared" si="8"/>
        <v>0</v>
      </c>
      <c r="Z211" s="225">
        <f t="shared" si="8"/>
        <v>-7.0000000000000007E-2</v>
      </c>
      <c r="AA211" s="225">
        <f t="shared" si="8"/>
        <v>0</v>
      </c>
      <c r="AB211" s="225">
        <f t="shared" si="8"/>
        <v>0</v>
      </c>
      <c r="AC211" s="225">
        <f t="shared" si="8"/>
        <v>0</v>
      </c>
      <c r="AD211" s="225">
        <f t="shared" si="8"/>
        <v>0</v>
      </c>
      <c r="AE211" s="225">
        <f t="shared" si="8"/>
        <v>0</v>
      </c>
      <c r="AF211" s="225">
        <f t="shared" si="8"/>
        <v>0</v>
      </c>
      <c r="AG211" s="225">
        <f t="shared" si="8"/>
        <v>0</v>
      </c>
      <c r="AH211" s="225">
        <f t="shared" si="8"/>
        <v>0</v>
      </c>
      <c r="AI211" s="225">
        <f t="shared" si="8"/>
        <v>0</v>
      </c>
      <c r="AJ211" s="225">
        <f t="shared" si="8"/>
        <v>0</v>
      </c>
      <c r="AK211" s="225">
        <f t="shared" si="8"/>
        <v>0</v>
      </c>
      <c r="AL211" s="225">
        <f t="shared" si="8"/>
        <v>0</v>
      </c>
      <c r="AM211" s="225">
        <f t="shared" si="8"/>
        <v>0</v>
      </c>
      <c r="AN211" s="225">
        <f t="shared" si="8"/>
        <v>0</v>
      </c>
      <c r="AO211" s="225">
        <f t="shared" si="8"/>
        <v>0</v>
      </c>
      <c r="AP211" s="225">
        <f t="shared" si="8"/>
        <v>0</v>
      </c>
    </row>
    <row r="212" spans="1:42" ht="12.75" customHeight="1" x14ac:dyDescent="0.25">
      <c r="C212" s="774"/>
      <c r="D212" s="771"/>
      <c r="E212" s="223" t="s">
        <v>73</v>
      </c>
      <c r="F212" s="225">
        <f>F152</f>
        <v>-3892093.19</v>
      </c>
      <c r="G212" s="90"/>
      <c r="H212" s="90"/>
      <c r="I212" s="90"/>
      <c r="J212" s="90"/>
      <c r="K212" s="90"/>
      <c r="L212" s="90"/>
      <c r="M212" s="90"/>
      <c r="N212" s="90"/>
      <c r="O212" s="90"/>
      <c r="P212" s="90"/>
      <c r="Q212" s="90"/>
      <c r="R212" s="90"/>
      <c r="S212" s="90"/>
    </row>
    <row r="213" spans="1:42" ht="12.75" customHeight="1" x14ac:dyDescent="0.25">
      <c r="C213" s="774"/>
      <c r="D213" s="771" t="s">
        <v>133</v>
      </c>
      <c r="E213" s="227" t="s">
        <v>70</v>
      </c>
      <c r="F213" s="228">
        <v>0</v>
      </c>
      <c r="G213" s="228">
        <v>0</v>
      </c>
      <c r="H213" s="228">
        <v>0</v>
      </c>
      <c r="I213" s="228">
        <v>0</v>
      </c>
      <c r="J213" s="228">
        <v>0</v>
      </c>
      <c r="K213" s="228">
        <v>0</v>
      </c>
      <c r="L213" s="228">
        <v>0</v>
      </c>
      <c r="M213" s="228">
        <v>0</v>
      </c>
      <c r="N213" s="228">
        <v>0</v>
      </c>
      <c r="O213" s="228">
        <v>0</v>
      </c>
      <c r="P213" s="228">
        <v>0</v>
      </c>
      <c r="Q213" s="228">
        <v>0</v>
      </c>
      <c r="R213" s="228">
        <v>0</v>
      </c>
      <c r="S213" s="228">
        <v>0</v>
      </c>
      <c r="T213" s="228">
        <v>0</v>
      </c>
      <c r="U213" s="228">
        <v>0</v>
      </c>
      <c r="V213" s="228">
        <v>0</v>
      </c>
      <c r="W213" s="228">
        <v>0</v>
      </c>
      <c r="X213" s="228">
        <v>0</v>
      </c>
      <c r="Y213" s="228">
        <v>0</v>
      </c>
      <c r="Z213" s="228">
        <v>0</v>
      </c>
      <c r="AA213" s="228">
        <v>0</v>
      </c>
      <c r="AB213" s="228">
        <v>0</v>
      </c>
      <c r="AC213" s="228">
        <v>0</v>
      </c>
      <c r="AD213" s="228">
        <v>0</v>
      </c>
      <c r="AE213" s="228">
        <v>0</v>
      </c>
      <c r="AF213" s="228">
        <v>0</v>
      </c>
      <c r="AG213" s="228">
        <v>0</v>
      </c>
      <c r="AH213" s="228">
        <v>0</v>
      </c>
      <c r="AI213" s="228">
        <v>0</v>
      </c>
      <c r="AJ213" s="228">
        <v>0</v>
      </c>
      <c r="AK213" s="228">
        <v>0</v>
      </c>
      <c r="AL213" s="228">
        <v>0</v>
      </c>
      <c r="AM213" s="228">
        <v>0</v>
      </c>
      <c r="AN213" s="228">
        <v>0</v>
      </c>
      <c r="AO213" s="228">
        <v>0</v>
      </c>
      <c r="AP213" s="228">
        <v>0</v>
      </c>
    </row>
    <row r="214" spans="1:42" ht="12.75" customHeight="1" x14ac:dyDescent="0.25">
      <c r="C214" s="774"/>
      <c r="D214" s="771"/>
      <c r="E214" s="227" t="s">
        <v>73</v>
      </c>
      <c r="F214" s="228">
        <v>0</v>
      </c>
      <c r="G214" s="90"/>
      <c r="H214" s="90"/>
      <c r="I214" s="90"/>
      <c r="J214" s="90"/>
      <c r="K214" s="90"/>
      <c r="L214" s="90"/>
      <c r="M214" s="90"/>
      <c r="N214" s="90"/>
      <c r="O214" s="90"/>
      <c r="P214" s="90"/>
      <c r="Q214" s="90"/>
      <c r="R214" s="90"/>
    </row>
    <row r="215" spans="1:42" ht="12.75" customHeight="1" x14ac:dyDescent="0.3">
      <c r="A215" s="89"/>
      <c r="C215" s="97"/>
      <c r="F215" s="90"/>
      <c r="G215" s="90"/>
      <c r="H215" s="90"/>
      <c r="I215" s="90"/>
      <c r="J215" s="90"/>
      <c r="K215" s="90"/>
      <c r="L215" s="90"/>
      <c r="M215" s="90"/>
      <c r="N215" s="90"/>
      <c r="O215" s="90"/>
      <c r="P215" s="90"/>
      <c r="Q215" s="90"/>
      <c r="R215" s="90"/>
      <c r="S215" s="90"/>
    </row>
    <row r="216" spans="1:42" ht="12.75" customHeight="1" x14ac:dyDescent="0.25">
      <c r="C216" s="774" t="s">
        <v>155</v>
      </c>
      <c r="D216" s="771" t="s">
        <v>132</v>
      </c>
      <c r="E216" s="221" t="s">
        <v>70</v>
      </c>
      <c r="F216" s="222">
        <f>F145+F111+F90--L90-L111</f>
        <v>19023525223.110004</v>
      </c>
      <c r="G216" s="222">
        <f t="shared" ref="G216:AA216" si="9">G111+G90</f>
        <v>1400142290.9300001</v>
      </c>
      <c r="H216" s="222">
        <f t="shared" si="9"/>
        <v>785434828.66999996</v>
      </c>
      <c r="I216" s="222">
        <f t="shared" si="9"/>
        <v>411976719.89000005</v>
      </c>
      <c r="J216" s="222">
        <f t="shared" si="9"/>
        <v>5566978557.3000002</v>
      </c>
      <c r="K216" s="222">
        <f t="shared" si="9"/>
        <v>215502798.99000001</v>
      </c>
      <c r="L216" s="222">
        <f t="shared" si="9"/>
        <v>24273229.890000001</v>
      </c>
      <c r="M216" s="222">
        <f t="shared" si="9"/>
        <v>1888691595.8999999</v>
      </c>
      <c r="N216" s="222">
        <f t="shared" si="9"/>
        <v>1865131607.0600002</v>
      </c>
      <c r="O216" s="222">
        <f t="shared" si="9"/>
        <v>8796190172.9300003</v>
      </c>
      <c r="P216" s="222">
        <f t="shared" si="9"/>
        <v>2757907535.29</v>
      </c>
      <c r="Q216" s="222">
        <f t="shared" si="9"/>
        <v>352119526.00999999</v>
      </c>
      <c r="R216" s="222">
        <f t="shared" si="9"/>
        <v>89964.42</v>
      </c>
      <c r="S216" s="222">
        <f t="shared" si="9"/>
        <v>-70.86</v>
      </c>
      <c r="T216" s="222">
        <f t="shared" si="9"/>
        <v>4.1399999999999997</v>
      </c>
      <c r="U216" s="222">
        <f t="shared" si="9"/>
        <v>0</v>
      </c>
      <c r="V216" s="222">
        <f t="shared" si="9"/>
        <v>0</v>
      </c>
      <c r="W216" s="222">
        <f t="shared" si="9"/>
        <v>0</v>
      </c>
      <c r="X216" s="222">
        <f t="shared" si="9"/>
        <v>0</v>
      </c>
      <c r="Y216" s="222">
        <f t="shared" si="9"/>
        <v>0</v>
      </c>
      <c r="Z216" s="222">
        <f t="shared" si="9"/>
        <v>-42.89</v>
      </c>
      <c r="AA216" s="222">
        <f t="shared" si="9"/>
        <v>0</v>
      </c>
    </row>
    <row r="217" spans="1:42" ht="12.75" customHeight="1" x14ac:dyDescent="0.25">
      <c r="C217" s="774"/>
      <c r="D217" s="771"/>
      <c r="E217" s="221" t="s">
        <v>73</v>
      </c>
      <c r="F217" s="222">
        <f>F145</f>
        <v>-5016640264.6700001</v>
      </c>
      <c r="G217" s="90"/>
      <c r="H217" s="90"/>
      <c r="I217" s="90"/>
      <c r="J217" s="90"/>
      <c r="K217" s="90"/>
      <c r="L217" s="90"/>
      <c r="M217" s="90"/>
      <c r="N217" s="90"/>
      <c r="O217" s="90"/>
      <c r="P217" s="90"/>
      <c r="Q217" s="90"/>
      <c r="R217" s="90"/>
      <c r="S217" s="90"/>
    </row>
    <row r="218" spans="1:42" ht="12.75" customHeight="1" x14ac:dyDescent="0.25">
      <c r="C218" s="774"/>
      <c r="D218" s="771" t="s">
        <v>133</v>
      </c>
      <c r="E218" s="229" t="s">
        <v>70</v>
      </c>
      <c r="F218" s="230">
        <f>F136+F99-L99</f>
        <v>56078860</v>
      </c>
      <c r="G218" s="230">
        <f>G99</f>
        <v>7696969.2400000002</v>
      </c>
      <c r="H218" s="230">
        <f t="shared" ref="H218:AA218" si="10">H99</f>
        <v>4351440.59</v>
      </c>
      <c r="I218" s="230">
        <f t="shared" si="10"/>
        <v>2306516.2999999998</v>
      </c>
      <c r="J218" s="230">
        <f t="shared" si="10"/>
        <v>107263.69</v>
      </c>
      <c r="K218" s="230">
        <f t="shared" si="10"/>
        <v>3376.45</v>
      </c>
      <c r="L218" s="230">
        <f t="shared" si="10"/>
        <v>0</v>
      </c>
      <c r="M218" s="230">
        <f t="shared" si="10"/>
        <v>29617.98</v>
      </c>
      <c r="N218" s="230">
        <f t="shared" si="10"/>
        <v>33795.33</v>
      </c>
      <c r="O218" s="230">
        <f t="shared" si="10"/>
        <v>157592.63</v>
      </c>
      <c r="P218" s="230">
        <f t="shared" si="10"/>
        <v>15452175.380000001</v>
      </c>
      <c r="Q218" s="230">
        <f t="shared" si="10"/>
        <v>5508.95</v>
      </c>
      <c r="R218" s="230">
        <f t="shared" si="10"/>
        <v>2.83</v>
      </c>
      <c r="S218" s="230">
        <f t="shared" si="10"/>
        <v>0</v>
      </c>
      <c r="T218" s="230">
        <f t="shared" si="10"/>
        <v>0</v>
      </c>
      <c r="U218" s="230">
        <f t="shared" si="10"/>
        <v>0</v>
      </c>
      <c r="V218" s="230">
        <f t="shared" si="10"/>
        <v>0</v>
      </c>
      <c r="W218" s="230">
        <f t="shared" si="10"/>
        <v>0</v>
      </c>
      <c r="X218" s="230">
        <f t="shared" si="10"/>
        <v>0</v>
      </c>
      <c r="Y218" s="230">
        <f t="shared" si="10"/>
        <v>0</v>
      </c>
      <c r="Z218" s="230">
        <f t="shared" si="10"/>
        <v>0</v>
      </c>
      <c r="AA218" s="230">
        <f t="shared" si="10"/>
        <v>0</v>
      </c>
    </row>
    <row r="219" spans="1:42" ht="12.75" customHeight="1" x14ac:dyDescent="0.25">
      <c r="C219" s="774"/>
      <c r="D219" s="771"/>
      <c r="E219" s="229" t="s">
        <v>73</v>
      </c>
      <c r="F219" s="230">
        <f>F136</f>
        <v>25934600.629999999</v>
      </c>
      <c r="G219" s="90"/>
      <c r="H219" s="90"/>
      <c r="I219" s="90"/>
      <c r="J219" s="90"/>
      <c r="K219" s="90"/>
      <c r="L219" s="90"/>
      <c r="M219" s="90"/>
      <c r="N219" s="90"/>
      <c r="O219" s="90"/>
      <c r="P219" s="90"/>
      <c r="Q219" s="90"/>
      <c r="R219" s="90"/>
    </row>
    <row r="220" spans="1:42" ht="12.75" customHeight="1" x14ac:dyDescent="0.3">
      <c r="A220" s="89"/>
      <c r="C220" s="97"/>
      <c r="F220" s="90"/>
      <c r="G220" s="90"/>
      <c r="H220" s="90"/>
      <c r="I220" s="90"/>
      <c r="J220" s="90"/>
      <c r="K220" s="90"/>
      <c r="L220" s="90"/>
      <c r="M220" s="90"/>
      <c r="N220" s="90"/>
      <c r="O220" s="90"/>
      <c r="P220" s="90"/>
      <c r="Q220" s="90"/>
      <c r="R220" s="90"/>
      <c r="S220" s="90"/>
    </row>
    <row r="221" spans="1:42" ht="12.75" customHeight="1" x14ac:dyDescent="0.25">
      <c r="C221" s="772" t="s">
        <v>328</v>
      </c>
      <c r="D221" s="771" t="s">
        <v>132</v>
      </c>
      <c r="E221" s="373" t="s">
        <v>70</v>
      </c>
      <c r="F221" s="374">
        <v>0</v>
      </c>
      <c r="G221" s="374">
        <v>0</v>
      </c>
      <c r="H221" s="374">
        <v>0</v>
      </c>
      <c r="I221" s="374">
        <v>0</v>
      </c>
      <c r="J221" s="374">
        <v>0</v>
      </c>
      <c r="K221" s="374">
        <v>0</v>
      </c>
      <c r="L221" s="374">
        <v>0</v>
      </c>
      <c r="M221" s="374">
        <v>0</v>
      </c>
      <c r="N221" s="374">
        <v>0</v>
      </c>
      <c r="O221" s="374">
        <v>0</v>
      </c>
      <c r="P221" s="374">
        <v>0</v>
      </c>
      <c r="Q221" s="374">
        <v>0</v>
      </c>
      <c r="R221" s="374">
        <v>0</v>
      </c>
      <c r="S221" s="374">
        <v>0</v>
      </c>
      <c r="T221" s="374">
        <v>0</v>
      </c>
      <c r="U221" s="374">
        <v>0</v>
      </c>
      <c r="V221" s="374">
        <v>0</v>
      </c>
      <c r="W221" s="374">
        <v>0</v>
      </c>
      <c r="X221" s="374">
        <v>0</v>
      </c>
      <c r="Y221" s="374">
        <v>0</v>
      </c>
      <c r="Z221" s="374">
        <v>0</v>
      </c>
      <c r="AA221" s="374">
        <v>0</v>
      </c>
      <c r="AB221" s="374">
        <v>0</v>
      </c>
      <c r="AC221" s="374">
        <v>0</v>
      </c>
      <c r="AD221" s="374">
        <v>0</v>
      </c>
      <c r="AE221" s="374">
        <v>0</v>
      </c>
      <c r="AF221" s="374">
        <v>0</v>
      </c>
      <c r="AG221" s="374">
        <v>0</v>
      </c>
      <c r="AH221" s="374">
        <v>0</v>
      </c>
      <c r="AI221" s="374">
        <v>0</v>
      </c>
      <c r="AJ221" s="374">
        <v>0</v>
      </c>
      <c r="AK221" s="374">
        <v>0</v>
      </c>
      <c r="AL221" s="374">
        <v>0</v>
      </c>
      <c r="AM221" s="374">
        <v>0</v>
      </c>
      <c r="AN221" s="374">
        <v>0</v>
      </c>
      <c r="AO221" s="374">
        <v>0</v>
      </c>
    </row>
    <row r="222" spans="1:42" ht="12.75" customHeight="1" x14ac:dyDescent="0.25">
      <c r="C222" s="772"/>
      <c r="D222" s="771"/>
      <c r="E222" s="373" t="s">
        <v>73</v>
      </c>
      <c r="F222" s="374">
        <v>0</v>
      </c>
      <c r="G222" s="90"/>
      <c r="H222" s="90"/>
      <c r="I222" s="90"/>
      <c r="J222" s="90"/>
      <c r="K222" s="90"/>
      <c r="L222" s="90"/>
      <c r="M222" s="90"/>
      <c r="N222" s="90"/>
      <c r="O222" s="90"/>
      <c r="P222" s="90"/>
      <c r="Q222" s="90"/>
      <c r="R222" s="90"/>
      <c r="S222" s="90"/>
    </row>
    <row r="223" spans="1:42" ht="12.75" customHeight="1" x14ac:dyDescent="0.25">
      <c r="C223" s="772"/>
      <c r="D223" s="771" t="s">
        <v>133</v>
      </c>
      <c r="E223" s="242" t="s">
        <v>70</v>
      </c>
      <c r="F223" s="243">
        <v>0</v>
      </c>
      <c r="G223" s="243">
        <v>0</v>
      </c>
      <c r="H223" s="243">
        <v>0</v>
      </c>
      <c r="I223" s="243">
        <v>0</v>
      </c>
      <c r="J223" s="243">
        <v>0</v>
      </c>
      <c r="K223" s="243">
        <v>0</v>
      </c>
      <c r="L223" s="243">
        <v>0</v>
      </c>
      <c r="M223" s="243">
        <v>0</v>
      </c>
      <c r="N223" s="243">
        <v>0</v>
      </c>
      <c r="O223" s="243">
        <v>0</v>
      </c>
      <c r="P223" s="243">
        <v>0</v>
      </c>
      <c r="Q223" s="243">
        <v>0</v>
      </c>
      <c r="R223" s="243">
        <v>0</v>
      </c>
      <c r="S223" s="243">
        <v>0</v>
      </c>
      <c r="T223" s="243">
        <v>0</v>
      </c>
      <c r="U223" s="243">
        <v>0</v>
      </c>
      <c r="V223" s="243">
        <v>0</v>
      </c>
      <c r="W223" s="243">
        <v>0</v>
      </c>
      <c r="X223" s="243">
        <v>0</v>
      </c>
      <c r="Y223" s="243">
        <v>0</v>
      </c>
      <c r="Z223" s="243">
        <v>0</v>
      </c>
      <c r="AA223" s="243">
        <v>0</v>
      </c>
      <c r="AB223" s="243">
        <v>0</v>
      </c>
      <c r="AC223" s="243">
        <v>0</v>
      </c>
      <c r="AD223" s="243">
        <v>0</v>
      </c>
      <c r="AE223" s="243">
        <v>0</v>
      </c>
      <c r="AF223" s="243">
        <v>0</v>
      </c>
      <c r="AG223" s="243">
        <v>0</v>
      </c>
      <c r="AH223" s="243">
        <v>0</v>
      </c>
      <c r="AI223" s="243">
        <v>0</v>
      </c>
      <c r="AJ223" s="243">
        <v>0</v>
      </c>
      <c r="AK223" s="243">
        <v>0</v>
      </c>
      <c r="AL223" s="243">
        <v>0</v>
      </c>
      <c r="AM223" s="243">
        <v>0</v>
      </c>
      <c r="AN223" s="243">
        <v>0</v>
      </c>
      <c r="AO223" s="243">
        <v>0</v>
      </c>
    </row>
    <row r="224" spans="1:42" ht="12.75" customHeight="1" x14ac:dyDescent="0.25">
      <c r="C224" s="772"/>
      <c r="D224" s="771"/>
      <c r="E224" s="242" t="s">
        <v>73</v>
      </c>
      <c r="F224" s="243">
        <v>0</v>
      </c>
      <c r="G224" s="90"/>
      <c r="H224" s="90"/>
      <c r="I224" s="90"/>
      <c r="J224" s="90"/>
      <c r="K224" s="90"/>
      <c r="L224" s="90"/>
      <c r="M224" s="90"/>
      <c r="N224" s="90"/>
      <c r="O224" s="90"/>
      <c r="P224" s="90"/>
      <c r="Q224" s="90"/>
      <c r="R224" s="90"/>
    </row>
    <row r="225" spans="1:42" ht="12.75" customHeight="1" x14ac:dyDescent="0.3">
      <c r="A225" s="89"/>
      <c r="C225" s="97"/>
      <c r="F225" s="90"/>
      <c r="G225" s="90"/>
      <c r="H225" s="90"/>
      <c r="I225" s="90"/>
      <c r="J225" s="90"/>
      <c r="K225" s="90"/>
      <c r="L225" s="90"/>
      <c r="M225" s="90"/>
      <c r="N225" s="90"/>
      <c r="O225" s="90"/>
      <c r="P225" s="90"/>
      <c r="Q225" s="90"/>
      <c r="R225" s="90"/>
      <c r="S225" s="90"/>
    </row>
    <row r="226" spans="1:42" ht="12.75" customHeight="1" x14ac:dyDescent="0.25">
      <c r="C226" s="774" t="s">
        <v>119</v>
      </c>
      <c r="D226" s="771" t="s">
        <v>132</v>
      </c>
      <c r="E226" s="101" t="s">
        <v>70</v>
      </c>
      <c r="F226" s="93">
        <f>F159+F131+F93-L93-L131</f>
        <v>1317332077.6099999</v>
      </c>
      <c r="G226" s="93">
        <f>G131+G93</f>
        <v>174138863.09</v>
      </c>
      <c r="H226" s="93">
        <f t="shared" ref="H226:AP226" si="11">H131+H93</f>
        <v>97452521.459999993</v>
      </c>
      <c r="I226" s="93">
        <f t="shared" si="11"/>
        <v>51434122.149999999</v>
      </c>
      <c r="J226" s="93">
        <f t="shared" si="11"/>
        <v>200102039.23000002</v>
      </c>
      <c r="K226" s="93">
        <f t="shared" si="11"/>
        <v>5459981.3300000001</v>
      </c>
      <c r="L226" s="93">
        <f t="shared" si="11"/>
        <v>29180991.390000001</v>
      </c>
      <c r="M226" s="93">
        <f t="shared" si="11"/>
        <v>47842952.129999995</v>
      </c>
      <c r="N226" s="93">
        <f t="shared" si="11"/>
        <v>66078855.299999997</v>
      </c>
      <c r="O226" s="93">
        <f t="shared" si="11"/>
        <v>304314267.79000002</v>
      </c>
      <c r="P226" s="93">
        <f t="shared" si="11"/>
        <v>346567700.09999996</v>
      </c>
      <c r="Q226" s="93">
        <f t="shared" si="11"/>
        <v>8939603.1600000001</v>
      </c>
      <c r="R226" s="93">
        <f t="shared" si="11"/>
        <v>-3345.45</v>
      </c>
      <c r="S226" s="93">
        <f t="shared" si="11"/>
        <v>-12.77</v>
      </c>
      <c r="T226" s="93">
        <f t="shared" si="11"/>
        <v>0.04</v>
      </c>
      <c r="U226" s="93">
        <f t="shared" si="11"/>
        <v>0</v>
      </c>
      <c r="V226" s="93">
        <f t="shared" si="11"/>
        <v>0</v>
      </c>
      <c r="W226" s="93">
        <f t="shared" si="11"/>
        <v>0</v>
      </c>
      <c r="X226" s="93">
        <f t="shared" si="11"/>
        <v>0</v>
      </c>
      <c r="Y226" s="93">
        <f t="shared" si="11"/>
        <v>0</v>
      </c>
      <c r="Z226" s="93">
        <f t="shared" si="11"/>
        <v>-0.8</v>
      </c>
      <c r="AA226" s="93">
        <f t="shared" si="11"/>
        <v>0</v>
      </c>
      <c r="AB226" s="93">
        <f t="shared" si="11"/>
        <v>0</v>
      </c>
      <c r="AC226" s="93">
        <f t="shared" si="11"/>
        <v>0</v>
      </c>
      <c r="AD226" s="93">
        <f t="shared" si="11"/>
        <v>0</v>
      </c>
      <c r="AE226" s="93">
        <f t="shared" si="11"/>
        <v>0</v>
      </c>
      <c r="AF226" s="93">
        <f t="shared" si="11"/>
        <v>0</v>
      </c>
      <c r="AG226" s="93">
        <f t="shared" si="11"/>
        <v>0</v>
      </c>
      <c r="AH226" s="93">
        <f t="shared" si="11"/>
        <v>0</v>
      </c>
      <c r="AI226" s="93">
        <f t="shared" si="11"/>
        <v>0</v>
      </c>
      <c r="AJ226" s="93">
        <f t="shared" si="11"/>
        <v>0</v>
      </c>
      <c r="AK226" s="93">
        <f t="shared" si="11"/>
        <v>0</v>
      </c>
      <c r="AL226" s="93">
        <f t="shared" si="11"/>
        <v>0</v>
      </c>
      <c r="AM226" s="93">
        <f t="shared" si="11"/>
        <v>0</v>
      </c>
      <c r="AN226" s="93">
        <f t="shared" si="11"/>
        <v>0</v>
      </c>
      <c r="AO226" s="93">
        <f t="shared" si="11"/>
        <v>0</v>
      </c>
      <c r="AP226" s="93">
        <f t="shared" si="11"/>
        <v>0</v>
      </c>
    </row>
    <row r="227" spans="1:42" ht="12.75" customHeight="1" x14ac:dyDescent="0.25">
      <c r="C227" s="774"/>
      <c r="D227" s="771"/>
      <c r="E227" s="101" t="s">
        <v>73</v>
      </c>
      <c r="F227" s="93">
        <f>F159</f>
        <v>15004530.85</v>
      </c>
      <c r="G227" s="90"/>
      <c r="H227" s="90"/>
      <c r="I227" s="90"/>
      <c r="J227" s="90"/>
      <c r="K227" s="90"/>
      <c r="L227" s="90"/>
      <c r="M227" s="90"/>
      <c r="N227" s="90"/>
      <c r="O227" s="90"/>
      <c r="P227" s="90"/>
      <c r="Q227" s="90"/>
      <c r="R227" s="90"/>
      <c r="S227" s="90"/>
    </row>
    <row r="228" spans="1:42" ht="12.75" customHeight="1" x14ac:dyDescent="0.25">
      <c r="C228" s="774"/>
      <c r="D228" s="771" t="s">
        <v>133</v>
      </c>
      <c r="E228" s="235" t="s">
        <v>70</v>
      </c>
      <c r="F228" s="236">
        <f>F141+F106-L106</f>
        <v>111210</v>
      </c>
      <c r="G228" s="236">
        <f>G106</f>
        <v>11965.66</v>
      </c>
      <c r="H228" s="236">
        <f t="shared" ref="H228:AP228" si="12">H106</f>
        <v>6772.46</v>
      </c>
      <c r="I228" s="236">
        <f t="shared" si="12"/>
        <v>3619.41</v>
      </c>
      <c r="J228" s="236">
        <f t="shared" si="12"/>
        <v>66663.69</v>
      </c>
      <c r="K228" s="236">
        <f t="shared" si="12"/>
        <v>1934.64</v>
      </c>
      <c r="L228" s="236">
        <f t="shared" si="12"/>
        <v>0</v>
      </c>
      <c r="M228" s="236">
        <f t="shared" si="12"/>
        <v>16970.45</v>
      </c>
      <c r="N228" s="236">
        <f t="shared" si="12"/>
        <v>20142.73</v>
      </c>
      <c r="O228" s="236">
        <f t="shared" si="12"/>
        <v>93838.89</v>
      </c>
      <c r="P228" s="236">
        <f t="shared" si="12"/>
        <v>24111.07</v>
      </c>
      <c r="Q228" s="236">
        <f t="shared" si="12"/>
        <v>3156.5</v>
      </c>
      <c r="R228" s="236">
        <f t="shared" si="12"/>
        <v>-3.24</v>
      </c>
      <c r="S228" s="236">
        <f t="shared" si="12"/>
        <v>0</v>
      </c>
      <c r="T228" s="236">
        <f t="shared" si="12"/>
        <v>0</v>
      </c>
      <c r="U228" s="236">
        <f t="shared" si="12"/>
        <v>0</v>
      </c>
      <c r="V228" s="236">
        <f t="shared" si="12"/>
        <v>0</v>
      </c>
      <c r="W228" s="236">
        <f t="shared" si="12"/>
        <v>0</v>
      </c>
      <c r="X228" s="236">
        <f t="shared" si="12"/>
        <v>0</v>
      </c>
      <c r="Y228" s="236">
        <f t="shared" si="12"/>
        <v>0</v>
      </c>
      <c r="Z228" s="236">
        <f t="shared" si="12"/>
        <v>0</v>
      </c>
      <c r="AA228" s="236">
        <f t="shared" si="12"/>
        <v>0</v>
      </c>
      <c r="AB228" s="236">
        <f t="shared" si="12"/>
        <v>0</v>
      </c>
      <c r="AC228" s="236">
        <f t="shared" si="12"/>
        <v>0</v>
      </c>
      <c r="AD228" s="236">
        <f t="shared" si="12"/>
        <v>0</v>
      </c>
      <c r="AE228" s="236">
        <f t="shared" si="12"/>
        <v>0</v>
      </c>
      <c r="AF228" s="236">
        <f t="shared" si="12"/>
        <v>0</v>
      </c>
      <c r="AG228" s="236">
        <f t="shared" si="12"/>
        <v>0</v>
      </c>
      <c r="AH228" s="236">
        <f t="shared" si="12"/>
        <v>0</v>
      </c>
      <c r="AI228" s="236">
        <f t="shared" si="12"/>
        <v>0</v>
      </c>
      <c r="AJ228" s="236">
        <f t="shared" si="12"/>
        <v>0</v>
      </c>
      <c r="AK228" s="236">
        <f t="shared" si="12"/>
        <v>0</v>
      </c>
      <c r="AL228" s="236">
        <f t="shared" si="12"/>
        <v>0</v>
      </c>
      <c r="AM228" s="236">
        <f t="shared" si="12"/>
        <v>0</v>
      </c>
      <c r="AN228" s="236">
        <f t="shared" si="12"/>
        <v>0</v>
      </c>
      <c r="AO228" s="236">
        <f t="shared" si="12"/>
        <v>0</v>
      </c>
      <c r="AP228" s="236">
        <f t="shared" si="12"/>
        <v>0</v>
      </c>
    </row>
    <row r="229" spans="1:42" ht="12.75" customHeight="1" x14ac:dyDescent="0.25">
      <c r="C229" s="774"/>
      <c r="D229" s="771"/>
      <c r="E229" s="235" t="s">
        <v>73</v>
      </c>
      <c r="F229" s="236">
        <f>F141</f>
        <v>-137962.26</v>
      </c>
      <c r="G229" s="90"/>
      <c r="H229" s="90"/>
      <c r="I229" s="90"/>
      <c r="J229" s="90"/>
      <c r="K229" s="90"/>
      <c r="L229" s="90"/>
      <c r="M229" s="90"/>
      <c r="N229" s="90"/>
      <c r="O229" s="90"/>
      <c r="P229" s="90"/>
      <c r="Q229" s="90"/>
      <c r="R229" s="90"/>
    </row>
    <row r="230" spans="1:42" ht="12.75" customHeight="1" x14ac:dyDescent="0.3">
      <c r="A230" s="89"/>
      <c r="C230" s="97"/>
      <c r="F230" s="90"/>
      <c r="G230" s="90"/>
      <c r="H230" s="90"/>
      <c r="I230" s="90"/>
      <c r="J230" s="90"/>
      <c r="K230" s="90"/>
      <c r="L230" s="90"/>
      <c r="M230" s="90"/>
      <c r="N230" s="90"/>
      <c r="O230" s="90"/>
      <c r="P230" s="90"/>
      <c r="Q230" s="90"/>
      <c r="R230" s="90"/>
      <c r="S230" s="90"/>
    </row>
    <row r="231" spans="1:42" ht="12.75" customHeight="1" x14ac:dyDescent="0.25">
      <c r="C231" s="773" t="s">
        <v>161</v>
      </c>
      <c r="D231" s="771" t="s">
        <v>132</v>
      </c>
      <c r="E231" s="231" t="s">
        <v>70</v>
      </c>
      <c r="F231" s="232">
        <v>0</v>
      </c>
      <c r="G231" s="232">
        <v>0</v>
      </c>
      <c r="H231" s="232">
        <v>0</v>
      </c>
      <c r="I231" s="232">
        <v>0</v>
      </c>
      <c r="J231" s="232">
        <v>0</v>
      </c>
      <c r="K231" s="232">
        <v>0</v>
      </c>
      <c r="L231" s="232">
        <v>0</v>
      </c>
      <c r="M231" s="232">
        <v>0</v>
      </c>
      <c r="N231" s="232">
        <v>0</v>
      </c>
      <c r="O231" s="232">
        <v>0</v>
      </c>
      <c r="P231" s="232">
        <v>0</v>
      </c>
      <c r="Q231" s="232">
        <v>0</v>
      </c>
      <c r="R231" s="232">
        <v>0</v>
      </c>
      <c r="S231" s="232">
        <v>0</v>
      </c>
      <c r="T231" s="232">
        <v>0</v>
      </c>
      <c r="U231" s="232">
        <v>0</v>
      </c>
      <c r="V231" s="232">
        <v>0</v>
      </c>
      <c r="W231" s="232">
        <v>0</v>
      </c>
      <c r="X231" s="232">
        <v>0</v>
      </c>
      <c r="Y231" s="232"/>
      <c r="Z231" s="232">
        <v>0</v>
      </c>
      <c r="AA231" s="232">
        <v>0</v>
      </c>
      <c r="AB231" s="232">
        <v>0</v>
      </c>
      <c r="AC231" s="232">
        <v>0</v>
      </c>
      <c r="AD231" s="232">
        <v>0</v>
      </c>
      <c r="AE231" s="232">
        <v>0</v>
      </c>
      <c r="AF231" s="232">
        <v>0</v>
      </c>
      <c r="AG231" s="232">
        <v>0</v>
      </c>
      <c r="AH231" s="232">
        <v>0</v>
      </c>
      <c r="AI231" s="232">
        <v>0</v>
      </c>
      <c r="AJ231" s="232">
        <v>0</v>
      </c>
      <c r="AK231" s="232">
        <v>0</v>
      </c>
      <c r="AL231" s="232">
        <v>0</v>
      </c>
      <c r="AM231" s="232">
        <v>0</v>
      </c>
      <c r="AN231" s="232">
        <v>0</v>
      </c>
      <c r="AO231" s="232">
        <v>0</v>
      </c>
      <c r="AP231" s="232">
        <v>0</v>
      </c>
    </row>
    <row r="232" spans="1:42" ht="12.75" customHeight="1" x14ac:dyDescent="0.25">
      <c r="C232" s="773"/>
      <c r="D232" s="771"/>
      <c r="E232" s="231" t="s">
        <v>73</v>
      </c>
      <c r="F232" s="232">
        <v>0</v>
      </c>
      <c r="G232" s="90"/>
      <c r="H232" s="90"/>
      <c r="I232" s="90"/>
      <c r="J232" s="90"/>
      <c r="K232" s="90"/>
      <c r="L232" s="90"/>
      <c r="M232" s="90"/>
      <c r="N232" s="90"/>
      <c r="O232" s="90"/>
      <c r="P232" s="90"/>
      <c r="Q232" s="90"/>
      <c r="R232" s="90"/>
      <c r="S232" s="90"/>
    </row>
    <row r="233" spans="1:42" ht="12.75" customHeight="1" x14ac:dyDescent="0.25">
      <c r="C233" s="773"/>
      <c r="E233" s="148" t="s">
        <v>70</v>
      </c>
      <c r="F233" s="149">
        <v>0</v>
      </c>
      <c r="G233" s="149">
        <v>0</v>
      </c>
      <c r="H233" s="149">
        <v>0</v>
      </c>
      <c r="I233" s="149">
        <v>0</v>
      </c>
      <c r="J233" s="149">
        <v>0</v>
      </c>
      <c r="K233" s="149">
        <v>0</v>
      </c>
      <c r="L233" s="149">
        <v>0</v>
      </c>
      <c r="M233" s="149">
        <v>0</v>
      </c>
      <c r="N233" s="149">
        <v>0</v>
      </c>
      <c r="O233" s="149">
        <v>0</v>
      </c>
      <c r="P233" s="149">
        <v>0</v>
      </c>
      <c r="Q233" s="149">
        <v>0</v>
      </c>
      <c r="R233" s="149">
        <v>0</v>
      </c>
      <c r="S233" s="149">
        <v>0</v>
      </c>
      <c r="T233" s="149">
        <v>0</v>
      </c>
      <c r="U233" s="149">
        <v>0</v>
      </c>
      <c r="V233" s="149">
        <v>0</v>
      </c>
      <c r="W233" s="149">
        <v>0</v>
      </c>
      <c r="X233" s="149">
        <v>0</v>
      </c>
      <c r="Y233" s="149">
        <v>0</v>
      </c>
      <c r="Z233" s="149">
        <v>0</v>
      </c>
      <c r="AA233" s="149">
        <v>0</v>
      </c>
    </row>
    <row r="234" spans="1:42" ht="12.75" customHeight="1" x14ac:dyDescent="0.25">
      <c r="C234" s="773"/>
      <c r="D234" s="220" t="s">
        <v>132</v>
      </c>
      <c r="E234" s="148" t="s">
        <v>73</v>
      </c>
      <c r="F234" s="149">
        <v>0</v>
      </c>
      <c r="G234" s="90"/>
      <c r="H234" s="90"/>
      <c r="I234" s="90"/>
      <c r="J234" s="90"/>
      <c r="K234" s="90"/>
      <c r="L234" s="90"/>
      <c r="M234" s="90"/>
      <c r="N234" s="90"/>
      <c r="O234" s="90"/>
      <c r="P234" s="90"/>
      <c r="Q234" s="90"/>
      <c r="R234" s="90"/>
    </row>
    <row r="235" spans="1:42" ht="12.75" customHeight="1" x14ac:dyDescent="0.25">
      <c r="C235" s="388"/>
      <c r="D235" s="220"/>
      <c r="E235" s="89"/>
      <c r="F235" s="90"/>
      <c r="G235" s="90"/>
      <c r="H235" s="90"/>
      <c r="I235" s="90"/>
      <c r="J235" s="90"/>
      <c r="K235" s="90"/>
      <c r="L235" s="90"/>
      <c r="M235" s="90"/>
      <c r="N235" s="90"/>
      <c r="O235" s="90"/>
      <c r="P235" s="90"/>
      <c r="Q235" s="90"/>
      <c r="R235" s="90"/>
    </row>
    <row r="236" spans="1:42" ht="12.75" customHeight="1" x14ac:dyDescent="0.25">
      <c r="D236" s="458" t="s">
        <v>186</v>
      </c>
      <c r="E236" s="459" t="s">
        <v>70</v>
      </c>
      <c r="F236" s="460">
        <f t="shared" ref="F236:AA236" si="13">F94</f>
        <v>-405906.75</v>
      </c>
      <c r="G236" s="460">
        <f t="shared" si="13"/>
        <v>-36253.24</v>
      </c>
      <c r="H236" s="460">
        <f t="shared" si="13"/>
        <v>-15401.35</v>
      </c>
      <c r="I236" s="460">
        <f t="shared" si="13"/>
        <v>-6725.8</v>
      </c>
      <c r="J236" s="460">
        <f t="shared" si="13"/>
        <v>-80022.36</v>
      </c>
      <c r="K236" s="460">
        <f t="shared" si="13"/>
        <v>-3364.46</v>
      </c>
      <c r="L236" s="460">
        <f t="shared" si="13"/>
        <v>0</v>
      </c>
      <c r="M236" s="460">
        <f t="shared" si="13"/>
        <v>-29514</v>
      </c>
      <c r="N236" s="460">
        <f t="shared" si="13"/>
        <v>-36987.9</v>
      </c>
      <c r="O236" s="460">
        <f t="shared" si="13"/>
        <v>-124266.63</v>
      </c>
      <c r="P236" s="460">
        <f t="shared" si="13"/>
        <v>-67881.399999999994</v>
      </c>
      <c r="Q236" s="460">
        <f t="shared" si="13"/>
        <v>-5489.61</v>
      </c>
      <c r="R236" s="460">
        <f t="shared" si="13"/>
        <v>0</v>
      </c>
      <c r="S236" s="460">
        <f t="shared" si="13"/>
        <v>0</v>
      </c>
      <c r="T236" s="460">
        <f t="shared" si="13"/>
        <v>0</v>
      </c>
      <c r="U236" s="460">
        <f t="shared" si="13"/>
        <v>0</v>
      </c>
      <c r="V236" s="460">
        <f t="shared" si="13"/>
        <v>0</v>
      </c>
      <c r="W236" s="460">
        <f t="shared" si="13"/>
        <v>0</v>
      </c>
      <c r="X236" s="460">
        <f t="shared" si="13"/>
        <v>0</v>
      </c>
      <c r="Y236" s="460">
        <f t="shared" si="13"/>
        <v>0</v>
      </c>
      <c r="Z236" s="460">
        <f t="shared" si="13"/>
        <v>0</v>
      </c>
      <c r="AA236" s="460">
        <f t="shared" si="13"/>
        <v>0</v>
      </c>
    </row>
    <row r="237" spans="1:42" ht="12.75" customHeight="1" x14ac:dyDescent="0.25">
      <c r="C237" s="388"/>
      <c r="D237" s="220"/>
      <c r="E237" s="89"/>
      <c r="F237" s="90"/>
      <c r="G237" s="90"/>
      <c r="H237" s="90"/>
      <c r="I237" s="90"/>
      <c r="J237" s="90"/>
      <c r="K237" s="90"/>
      <c r="L237" s="90"/>
      <c r="M237" s="90"/>
      <c r="N237" s="90"/>
      <c r="O237" s="90"/>
      <c r="P237" s="90"/>
      <c r="Q237" s="90"/>
      <c r="R237" s="90"/>
    </row>
    <row r="238" spans="1:42" s="238" customFormat="1" ht="12.75" customHeight="1" x14ac:dyDescent="0.25">
      <c r="D238" s="239"/>
      <c r="E238" s="240"/>
      <c r="F238" s="240"/>
      <c r="G238" s="240"/>
      <c r="H238" s="240"/>
      <c r="I238" s="240"/>
      <c r="J238" s="240"/>
      <c r="K238" s="240"/>
      <c r="L238" s="240"/>
      <c r="M238" s="240"/>
      <c r="N238" s="240"/>
      <c r="O238" s="240"/>
      <c r="P238" s="240"/>
      <c r="Q238" s="240"/>
    </row>
    <row r="239" spans="1:42" ht="12.75" customHeight="1" x14ac:dyDescent="0.3">
      <c r="A239" s="89"/>
      <c r="B239" s="97" t="s">
        <v>76</v>
      </c>
      <c r="E239" s="90"/>
      <c r="F239" s="90"/>
      <c r="G239" s="90"/>
      <c r="H239" s="90"/>
      <c r="I239" s="90"/>
      <c r="J239" s="90"/>
      <c r="K239" s="90"/>
      <c r="L239" s="90"/>
      <c r="M239" s="90"/>
      <c r="N239" s="90"/>
      <c r="O239" s="90"/>
      <c r="P239" s="90"/>
      <c r="Q239" s="90"/>
    </row>
    <row r="240" spans="1:42" ht="12.65" customHeight="1" x14ac:dyDescent="0.25">
      <c r="F240" s="89" t="s">
        <v>70</v>
      </c>
      <c r="G240" s="89" t="s">
        <v>64</v>
      </c>
      <c r="H240" s="89" t="s">
        <v>65</v>
      </c>
      <c r="I240" s="218" t="s">
        <v>164</v>
      </c>
      <c r="J240" s="89" t="s">
        <v>69</v>
      </c>
      <c r="K240" s="89" t="s">
        <v>68</v>
      </c>
      <c r="L240" s="89" t="s">
        <v>71</v>
      </c>
      <c r="M240" s="89" t="s">
        <v>66</v>
      </c>
      <c r="N240" s="89" t="s">
        <v>63</v>
      </c>
      <c r="O240" s="89" t="s">
        <v>61</v>
      </c>
      <c r="P240" s="89" t="s">
        <v>62</v>
      </c>
      <c r="Q240" s="89" t="s">
        <v>67</v>
      </c>
      <c r="R240" s="89" t="s">
        <v>77</v>
      </c>
      <c r="S240" s="89" t="s">
        <v>80</v>
      </c>
      <c r="T240" s="89" t="s">
        <v>135</v>
      </c>
      <c r="U240" s="89" t="s">
        <v>173</v>
      </c>
      <c r="V240" s="89" t="s">
        <v>224</v>
      </c>
      <c r="W240" s="89" t="s">
        <v>173</v>
      </c>
      <c r="X240" t="s">
        <v>173</v>
      </c>
      <c r="Y240" s="89" t="s">
        <v>135</v>
      </c>
      <c r="Z240" t="s">
        <v>167</v>
      </c>
    </row>
    <row r="241" spans="1:26" ht="12.75" customHeight="1" x14ac:dyDescent="0.25">
      <c r="E241" s="89" t="s">
        <v>72</v>
      </c>
      <c r="F241" s="371">
        <v>-16458.46</v>
      </c>
      <c r="G241" s="90">
        <v>-1490.88</v>
      </c>
      <c r="H241" s="90">
        <v>-633.39</v>
      </c>
      <c r="I241" s="90">
        <v>-276.60000000000002</v>
      </c>
      <c r="J241" s="90">
        <v>-3142.56</v>
      </c>
      <c r="K241" s="90">
        <v>-129.47999999999999</v>
      </c>
      <c r="L241" s="90">
        <v>0</v>
      </c>
      <c r="M241" s="90">
        <v>-1135.68</v>
      </c>
      <c r="N241" s="90">
        <v>-1423.48</v>
      </c>
      <c r="O241" s="90">
        <v>-4781.43</v>
      </c>
      <c r="P241" s="90">
        <v>-3233.73</v>
      </c>
      <c r="Q241" s="90">
        <v>-211.23</v>
      </c>
      <c r="R241" s="90">
        <v>0</v>
      </c>
      <c r="S241" s="90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  <row r="242" spans="1:26" ht="12.75" customHeight="1" x14ac:dyDescent="0.25">
      <c r="D242" t="s">
        <v>86</v>
      </c>
      <c r="E242" s="89" t="s">
        <v>70</v>
      </c>
      <c r="F242" s="371">
        <v>-16458.46</v>
      </c>
      <c r="G242" s="90">
        <v>-1490.88</v>
      </c>
      <c r="H242" s="90">
        <v>-633.39</v>
      </c>
      <c r="I242" s="90">
        <v>-276.60000000000002</v>
      </c>
      <c r="J242" s="90">
        <v>-3142.56</v>
      </c>
      <c r="K242" s="90">
        <v>-129.47999999999999</v>
      </c>
      <c r="L242" s="90">
        <v>0</v>
      </c>
      <c r="M242" s="90">
        <v>-1135.68</v>
      </c>
      <c r="N242" s="90">
        <v>-1423.48</v>
      </c>
      <c r="O242" s="90">
        <v>-4781.43</v>
      </c>
      <c r="P242" s="90">
        <v>-3233.73</v>
      </c>
      <c r="Q242" s="90">
        <v>-211.23</v>
      </c>
      <c r="R242" s="90">
        <v>0</v>
      </c>
      <c r="S242" s="90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</row>
    <row r="243" spans="1:26" s="94" customFormat="1" ht="12.75" customHeight="1" x14ac:dyDescent="0.25">
      <c r="C243" s="101" t="s">
        <v>119</v>
      </c>
      <c r="D243" s="101" t="s">
        <v>70</v>
      </c>
      <c r="F243" s="93">
        <v>-16458.46</v>
      </c>
      <c r="G243" s="93">
        <v>-1490.88</v>
      </c>
      <c r="H243" s="93">
        <v>-633.39</v>
      </c>
      <c r="I243" s="93">
        <v>-276.60000000000002</v>
      </c>
      <c r="J243" s="93">
        <v>-3142.56</v>
      </c>
      <c r="K243" s="93">
        <v>-129.47999999999999</v>
      </c>
      <c r="L243" s="93">
        <v>0</v>
      </c>
      <c r="M243" s="93">
        <v>-1135.68</v>
      </c>
      <c r="N243" s="93">
        <v>-1423.48</v>
      </c>
      <c r="O243" s="93">
        <v>-4781.43</v>
      </c>
      <c r="P243" s="93">
        <v>-3233.73</v>
      </c>
      <c r="Q243" s="93">
        <v>-211.23</v>
      </c>
      <c r="R243" s="93">
        <v>0</v>
      </c>
      <c r="S243" s="93">
        <v>0</v>
      </c>
      <c r="T243" s="94">
        <v>0</v>
      </c>
      <c r="U243" s="94">
        <v>0</v>
      </c>
      <c r="V243" s="94">
        <v>0</v>
      </c>
      <c r="W243" s="94">
        <v>0</v>
      </c>
      <c r="X243" s="94">
        <v>0</v>
      </c>
      <c r="Y243" s="94">
        <v>0</v>
      </c>
      <c r="Z243" s="94">
        <v>0</v>
      </c>
    </row>
    <row r="244" spans="1:26" ht="12.75" customHeight="1" x14ac:dyDescent="0.25">
      <c r="B244" t="s">
        <v>112</v>
      </c>
      <c r="C244" t="s">
        <v>70</v>
      </c>
      <c r="E244" s="89"/>
      <c r="F244" s="371">
        <v>-16458.46</v>
      </c>
      <c r="G244" s="90">
        <v>-1490.88</v>
      </c>
      <c r="H244" s="90">
        <v>-633.39</v>
      </c>
      <c r="I244" s="90">
        <v>-276.60000000000002</v>
      </c>
      <c r="J244" s="90">
        <v>-3142.56</v>
      </c>
      <c r="K244" s="90">
        <v>-129.47999999999999</v>
      </c>
      <c r="L244" s="90">
        <v>0</v>
      </c>
      <c r="M244" s="90">
        <v>-1135.68</v>
      </c>
      <c r="N244" s="90">
        <v>-1423.48</v>
      </c>
      <c r="O244" s="90">
        <v>-4781.43</v>
      </c>
      <c r="P244" s="90">
        <v>-3233.73</v>
      </c>
      <c r="Q244" s="90">
        <v>-211.23</v>
      </c>
      <c r="R244" s="90">
        <v>0</v>
      </c>
      <c r="S244" s="90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</row>
    <row r="245" spans="1:26" s="458" customFormat="1" ht="12.75" customHeight="1" x14ac:dyDescent="0.25">
      <c r="A245" s="458" t="s">
        <v>186</v>
      </c>
      <c r="B245" s="458" t="s">
        <v>70</v>
      </c>
      <c r="F245" s="458">
        <v>-16458.46</v>
      </c>
      <c r="G245" s="458">
        <v>-1490.88</v>
      </c>
      <c r="H245" s="458">
        <v>-633.39</v>
      </c>
      <c r="I245" s="458">
        <v>-276.60000000000002</v>
      </c>
      <c r="J245" s="458">
        <v>-3142.56</v>
      </c>
      <c r="K245" s="458">
        <v>-129.47999999999999</v>
      </c>
      <c r="L245" s="458">
        <v>0</v>
      </c>
      <c r="M245" s="458">
        <v>-1135.68</v>
      </c>
      <c r="N245" s="458">
        <v>-1423.48</v>
      </c>
      <c r="O245" s="458">
        <v>-4781.43</v>
      </c>
      <c r="P245" s="458">
        <v>-3233.73</v>
      </c>
      <c r="Q245" s="458">
        <v>-211.23</v>
      </c>
      <c r="R245" s="458">
        <v>0</v>
      </c>
      <c r="S245" s="458">
        <v>0</v>
      </c>
      <c r="T245" s="458">
        <v>0</v>
      </c>
      <c r="U245" s="458">
        <v>0</v>
      </c>
      <c r="V245" s="458">
        <v>0</v>
      </c>
      <c r="W245" s="458">
        <v>0</v>
      </c>
      <c r="X245" s="458">
        <v>0</v>
      </c>
      <c r="Y245" s="458">
        <v>0</v>
      </c>
      <c r="Z245" s="458">
        <v>0</v>
      </c>
    </row>
    <row r="246" spans="1:26" ht="12.75" customHeight="1" x14ac:dyDescent="0.25">
      <c r="E246" s="89" t="s">
        <v>72</v>
      </c>
      <c r="F246" s="371">
        <v>708630.34</v>
      </c>
      <c r="G246" s="90">
        <v>154391.82</v>
      </c>
      <c r="H246" s="90">
        <v>67732.479999999996</v>
      </c>
      <c r="I246" s="90">
        <v>38607.32</v>
      </c>
      <c r="J246" s="90">
        <v>34161.949999999997</v>
      </c>
      <c r="K246" s="90">
        <v>712.93</v>
      </c>
      <c r="L246" s="90">
        <v>0</v>
      </c>
      <c r="M246" s="90">
        <v>6253.82</v>
      </c>
      <c r="N246" s="90">
        <v>7559.81</v>
      </c>
      <c r="O246" s="90">
        <v>35312.699999999997</v>
      </c>
      <c r="P246" s="90">
        <v>362741.55</v>
      </c>
      <c r="Q246" s="90">
        <v>1163.2</v>
      </c>
      <c r="R246" s="90">
        <v>-7.24</v>
      </c>
      <c r="S246" s="90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</row>
    <row r="247" spans="1:26" ht="12.75" customHeight="1" x14ac:dyDescent="0.25">
      <c r="E247" s="89" t="s">
        <v>81</v>
      </c>
      <c r="F247" s="371">
        <v>-28092.31</v>
      </c>
      <c r="G247" s="90">
        <v>-6793.44</v>
      </c>
      <c r="H247" s="90">
        <v>-1591.52</v>
      </c>
      <c r="I247" s="90">
        <v>-1315.75</v>
      </c>
      <c r="J247" s="90">
        <v>-589.87</v>
      </c>
      <c r="K247" s="90">
        <v>-30.48</v>
      </c>
      <c r="L247" s="90">
        <v>0</v>
      </c>
      <c r="M247" s="90">
        <v>-262.58999999999997</v>
      </c>
      <c r="N247" s="90">
        <v>-266.56</v>
      </c>
      <c r="O247" s="90">
        <v>-1393.61</v>
      </c>
      <c r="P247" s="90">
        <v>-15798.65</v>
      </c>
      <c r="Q247" s="90">
        <v>-49.83</v>
      </c>
      <c r="R247" s="90">
        <v>-0.71</v>
      </c>
      <c r="S247" s="90">
        <v>0.7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</row>
    <row r="248" spans="1:26" ht="12.75" customHeight="1" x14ac:dyDescent="0.25">
      <c r="D248" t="s">
        <v>156</v>
      </c>
      <c r="E248" s="89" t="s">
        <v>70</v>
      </c>
      <c r="F248" s="371">
        <v>680538.03</v>
      </c>
      <c r="G248" s="90">
        <v>147598.38</v>
      </c>
      <c r="H248" s="90">
        <v>66140.960000000006</v>
      </c>
      <c r="I248" s="90">
        <v>37291.57</v>
      </c>
      <c r="J248" s="90">
        <v>33572.080000000002</v>
      </c>
      <c r="K248" s="90">
        <v>682.45</v>
      </c>
      <c r="L248" s="90">
        <v>0</v>
      </c>
      <c r="M248" s="90">
        <v>5991.23</v>
      </c>
      <c r="N248" s="90">
        <v>7293.25</v>
      </c>
      <c r="O248" s="90">
        <v>33919.089999999997</v>
      </c>
      <c r="P248" s="90">
        <v>346942.9</v>
      </c>
      <c r="Q248" s="90">
        <v>1113.3699999999999</v>
      </c>
      <c r="R248" s="90">
        <v>-7.95</v>
      </c>
      <c r="S248" s="90">
        <v>0.7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</row>
    <row r="249" spans="1:26" s="286" customFormat="1" ht="12.75" customHeight="1" x14ac:dyDescent="0.25">
      <c r="C249" s="286" t="s">
        <v>155</v>
      </c>
      <c r="D249" s="286" t="s">
        <v>70</v>
      </c>
      <c r="E249" s="229"/>
      <c r="F249" s="229">
        <v>680538.03</v>
      </c>
      <c r="G249" s="230">
        <v>147598.38</v>
      </c>
      <c r="H249" s="230">
        <v>66140.960000000006</v>
      </c>
      <c r="I249" s="230">
        <v>37291.57</v>
      </c>
      <c r="J249" s="230">
        <v>33572.080000000002</v>
      </c>
      <c r="K249" s="230">
        <v>682.45</v>
      </c>
      <c r="L249" s="230">
        <v>0</v>
      </c>
      <c r="M249" s="230">
        <v>5991.23</v>
      </c>
      <c r="N249" s="230">
        <v>7293.25</v>
      </c>
      <c r="O249" s="230">
        <v>33919.089999999997</v>
      </c>
      <c r="P249" s="230">
        <v>346942.9</v>
      </c>
      <c r="Q249" s="230">
        <v>1113.3699999999999</v>
      </c>
      <c r="R249" s="230">
        <v>-7.95</v>
      </c>
      <c r="S249" s="230">
        <v>0.7</v>
      </c>
      <c r="T249" s="230">
        <v>0</v>
      </c>
      <c r="U249" s="230">
        <v>0</v>
      </c>
      <c r="V249" s="230">
        <v>0</v>
      </c>
      <c r="W249" s="230">
        <v>0</v>
      </c>
      <c r="X249" s="230">
        <v>0</v>
      </c>
      <c r="Y249" s="230">
        <v>0</v>
      </c>
      <c r="Z249" s="230">
        <v>0</v>
      </c>
    </row>
    <row r="250" spans="1:26" s="378" customFormat="1" ht="12.75" customHeight="1" x14ac:dyDescent="0.25">
      <c r="B250" s="378" t="s">
        <v>122</v>
      </c>
      <c r="C250" s="378" t="s">
        <v>70</v>
      </c>
      <c r="E250" s="376"/>
      <c r="F250" s="711">
        <v>680538.03</v>
      </c>
      <c r="G250" s="377">
        <v>147598.38</v>
      </c>
      <c r="H250" s="377">
        <v>66140.960000000006</v>
      </c>
      <c r="I250" s="377">
        <v>37291.57</v>
      </c>
      <c r="J250" s="377">
        <v>33572.080000000002</v>
      </c>
      <c r="K250" s="377">
        <v>682.45</v>
      </c>
      <c r="L250" s="377">
        <v>0</v>
      </c>
      <c r="M250" s="377">
        <v>5991.23</v>
      </c>
      <c r="N250" s="377">
        <v>7293.25</v>
      </c>
      <c r="O250" s="377">
        <v>33919.089999999997</v>
      </c>
      <c r="P250" s="377">
        <v>346942.9</v>
      </c>
      <c r="Q250" s="377">
        <v>1113.3699999999999</v>
      </c>
      <c r="R250" s="377">
        <v>-7.95</v>
      </c>
      <c r="S250" s="377">
        <v>0.7</v>
      </c>
      <c r="T250" s="378">
        <v>0</v>
      </c>
      <c r="U250" s="378">
        <v>0</v>
      </c>
      <c r="V250" s="378">
        <v>0</v>
      </c>
      <c r="W250" s="378">
        <v>0</v>
      </c>
      <c r="X250" s="378">
        <v>0</v>
      </c>
      <c r="Y250" s="378">
        <v>0</v>
      </c>
      <c r="Z250" s="378">
        <v>0</v>
      </c>
    </row>
    <row r="251" spans="1:26" ht="12.75" customHeight="1" x14ac:dyDescent="0.25">
      <c r="E251" s="89" t="s">
        <v>72</v>
      </c>
      <c r="F251" s="371">
        <v>15096517648.35</v>
      </c>
      <c r="G251" s="90">
        <v>986083820.58000004</v>
      </c>
      <c r="H251" s="90">
        <v>556264737.84000003</v>
      </c>
      <c r="I251" s="90">
        <v>292216144.64999998</v>
      </c>
      <c r="J251" s="90">
        <v>3383033480.6900001</v>
      </c>
      <c r="K251" s="90">
        <v>124575730.62</v>
      </c>
      <c r="L251" s="90">
        <v>13002955.74</v>
      </c>
      <c r="M251" s="90">
        <v>1092560714.0799999</v>
      </c>
      <c r="N251" s="90">
        <v>1073084147.96</v>
      </c>
      <c r="O251" s="90">
        <v>5079136809.4099998</v>
      </c>
      <c r="P251" s="90">
        <v>2292957176.7800002</v>
      </c>
      <c r="Q251" s="90">
        <v>203354446.13999999</v>
      </c>
      <c r="R251" s="90">
        <v>247483.86</v>
      </c>
      <c r="S251" s="90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</row>
    <row r="252" spans="1:26" ht="12.75" customHeight="1" x14ac:dyDescent="0.25">
      <c r="E252" s="89" t="s">
        <v>81</v>
      </c>
      <c r="F252" s="371">
        <v>10545941.32</v>
      </c>
      <c r="G252" s="90">
        <v>1038362.66</v>
      </c>
      <c r="H252" s="90">
        <v>533249.21</v>
      </c>
      <c r="I252" s="90">
        <v>288289.95</v>
      </c>
      <c r="J252" s="90">
        <v>1924110.4</v>
      </c>
      <c r="K252" s="90">
        <v>76933.02</v>
      </c>
      <c r="L252" s="90">
        <v>4877.3900000000003</v>
      </c>
      <c r="M252" s="90">
        <v>673575.76</v>
      </c>
      <c r="N252" s="90">
        <v>623833.91</v>
      </c>
      <c r="O252" s="90">
        <v>2833518.84</v>
      </c>
      <c r="P252" s="90">
        <v>2423341.0699999998</v>
      </c>
      <c r="Q252" s="90">
        <v>125834.39</v>
      </c>
      <c r="R252" s="90">
        <v>14.48</v>
      </c>
      <c r="S252" s="90">
        <v>-0.27</v>
      </c>
      <c r="T252">
        <v>0.51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</row>
    <row r="253" spans="1:26" ht="12.75" customHeight="1" x14ac:dyDescent="0.25">
      <c r="D253" t="s">
        <v>156</v>
      </c>
      <c r="E253" s="89" t="s">
        <v>70</v>
      </c>
      <c r="F253" s="90">
        <v>15107063589.67</v>
      </c>
      <c r="G253" s="90">
        <v>987122183.24000001</v>
      </c>
      <c r="H253" s="90">
        <v>556797987.04999995</v>
      </c>
      <c r="I253" s="90">
        <v>292504434.60000002</v>
      </c>
      <c r="J253" s="90">
        <v>3384957591.0900002</v>
      </c>
      <c r="K253" s="90">
        <v>124652663.64</v>
      </c>
      <c r="L253" s="90">
        <v>13007833.130000001</v>
      </c>
      <c r="M253" s="90">
        <v>1093234289.8399999</v>
      </c>
      <c r="N253" s="90">
        <v>1073707981.87</v>
      </c>
      <c r="O253" s="90">
        <v>5081970328.25</v>
      </c>
      <c r="P253" s="90">
        <v>2295380517.8499999</v>
      </c>
      <c r="Q253" s="90">
        <v>203480280.53</v>
      </c>
      <c r="R253" s="90">
        <v>247498.34</v>
      </c>
      <c r="S253" s="90">
        <v>-0.27</v>
      </c>
      <c r="T253">
        <v>0.51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</row>
    <row r="254" spans="1:26" s="286" customFormat="1" ht="12.75" customHeight="1" x14ac:dyDescent="0.25">
      <c r="C254" s="286" t="s">
        <v>155</v>
      </c>
      <c r="D254" s="286" t="s">
        <v>70</v>
      </c>
      <c r="E254" s="229"/>
      <c r="F254" s="229">
        <v>15107063589.67</v>
      </c>
      <c r="G254" s="230">
        <v>987122183.24000001</v>
      </c>
      <c r="H254" s="230">
        <v>556797987.04999995</v>
      </c>
      <c r="I254" s="230">
        <v>292504434.60000002</v>
      </c>
      <c r="J254" s="230">
        <v>3384957591.0900002</v>
      </c>
      <c r="K254" s="230">
        <v>124652663.64</v>
      </c>
      <c r="L254" s="230">
        <v>13007833.130000001</v>
      </c>
      <c r="M254" s="230">
        <v>1093234289.8399999</v>
      </c>
      <c r="N254" s="230">
        <v>1073707981.87</v>
      </c>
      <c r="O254" s="230">
        <v>5081970328.25</v>
      </c>
      <c r="P254" s="230">
        <v>2295380517.8499999</v>
      </c>
      <c r="Q254" s="230">
        <v>203480280.53</v>
      </c>
      <c r="R254" s="230">
        <v>247498.34</v>
      </c>
      <c r="S254" s="230">
        <v>-0.27</v>
      </c>
      <c r="T254" s="230">
        <v>0.51</v>
      </c>
      <c r="U254" s="230">
        <v>0</v>
      </c>
      <c r="V254" s="230">
        <v>0</v>
      </c>
      <c r="W254" s="230">
        <v>0</v>
      </c>
      <c r="X254" s="230">
        <v>0</v>
      </c>
      <c r="Y254" s="230">
        <v>0</v>
      </c>
      <c r="Z254" s="230">
        <v>0</v>
      </c>
    </row>
    <row r="255" spans="1:26" ht="12.75" customHeight="1" x14ac:dyDescent="0.25">
      <c r="E255" s="89" t="s">
        <v>72</v>
      </c>
      <c r="F255" s="90">
        <v>40878487.189999998</v>
      </c>
      <c r="G255" s="90">
        <v>3446945.39</v>
      </c>
      <c r="H255" s="90">
        <v>1924005.87</v>
      </c>
      <c r="I255" s="90">
        <v>1015077.18</v>
      </c>
      <c r="J255" s="90">
        <v>7716071.4400000004</v>
      </c>
      <c r="K255" s="90">
        <v>227005.61</v>
      </c>
      <c r="L255" s="90">
        <v>555000</v>
      </c>
      <c r="M255" s="90">
        <v>1990701.79</v>
      </c>
      <c r="N255" s="90">
        <v>2736789.58</v>
      </c>
      <c r="O255" s="90">
        <v>12873670.359999999</v>
      </c>
      <c r="P255" s="90">
        <v>8021200.3700000001</v>
      </c>
      <c r="Q255" s="90">
        <v>372120.69</v>
      </c>
      <c r="R255" s="90">
        <v>-101.09</v>
      </c>
      <c r="S255" s="90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</row>
    <row r="256" spans="1:26" ht="12.75" customHeight="1" x14ac:dyDescent="0.25">
      <c r="E256" s="89" t="s">
        <v>81</v>
      </c>
      <c r="F256" s="90">
        <v>318692.2</v>
      </c>
      <c r="G256" s="90">
        <v>30211.23</v>
      </c>
      <c r="H256" s="90">
        <v>15701.33</v>
      </c>
      <c r="I256" s="90">
        <v>8539.9</v>
      </c>
      <c r="J256" s="90">
        <v>63724.63</v>
      </c>
      <c r="K256" s="90">
        <v>1745.16</v>
      </c>
      <c r="L256" s="90">
        <v>0</v>
      </c>
      <c r="M256" s="90">
        <v>15287.35</v>
      </c>
      <c r="N256" s="90">
        <v>19445.400000000001</v>
      </c>
      <c r="O256" s="90">
        <v>90300.09</v>
      </c>
      <c r="P256" s="90">
        <v>70877.490000000005</v>
      </c>
      <c r="Q256" s="90">
        <v>2859.23</v>
      </c>
      <c r="R256" s="90">
        <v>0.39</v>
      </c>
      <c r="S256" s="90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</row>
    <row r="257" spans="1:26" ht="12.75" customHeight="1" x14ac:dyDescent="0.25">
      <c r="D257" s="89" t="s">
        <v>82</v>
      </c>
      <c r="E257" s="89" t="s">
        <v>70</v>
      </c>
      <c r="F257" s="90">
        <v>41197179.390000001</v>
      </c>
      <c r="G257" s="90">
        <v>3477156.62</v>
      </c>
      <c r="H257" s="90">
        <v>1939707.2</v>
      </c>
      <c r="I257" s="90">
        <v>1023617.08</v>
      </c>
      <c r="J257" s="90">
        <v>7779796.0700000003</v>
      </c>
      <c r="K257" s="90">
        <v>228750.77</v>
      </c>
      <c r="L257" s="90">
        <v>555000</v>
      </c>
      <c r="M257" s="90">
        <v>2005989.14</v>
      </c>
      <c r="N257" s="90">
        <v>2756234.98</v>
      </c>
      <c r="O257" s="90">
        <v>12963970.449999999</v>
      </c>
      <c r="P257" s="90">
        <v>8092077.8600000003</v>
      </c>
      <c r="Q257" s="90">
        <v>374979.92</v>
      </c>
      <c r="R257" s="90">
        <v>-100.7</v>
      </c>
      <c r="S257" s="90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</row>
    <row r="258" spans="1:26" ht="12.75" customHeight="1" x14ac:dyDescent="0.25">
      <c r="D258" s="89"/>
      <c r="E258" s="89" t="s">
        <v>72</v>
      </c>
      <c r="F258" s="90">
        <v>69209800.260000005</v>
      </c>
      <c r="G258" s="90">
        <v>12538530.859999999</v>
      </c>
      <c r="H258" s="90">
        <v>6965189.5899999999</v>
      </c>
      <c r="I258" s="90">
        <v>3652599.34</v>
      </c>
      <c r="J258" s="90">
        <v>4324043.1399999997</v>
      </c>
      <c r="K258" s="90">
        <v>206038.85</v>
      </c>
      <c r="L258" s="90">
        <v>214446.82</v>
      </c>
      <c r="M258" s="90">
        <v>1800327.92</v>
      </c>
      <c r="N258" s="90">
        <v>1917677.87</v>
      </c>
      <c r="O258" s="90">
        <v>8540445.0099999998</v>
      </c>
      <c r="P258" s="90">
        <v>28714805.34</v>
      </c>
      <c r="Q258" s="90">
        <v>336169.51</v>
      </c>
      <c r="R258" s="90">
        <v>-473.99</v>
      </c>
      <c r="S258" s="90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</row>
    <row r="259" spans="1:26" ht="12.75" customHeight="1" x14ac:dyDescent="0.25">
      <c r="E259" s="89" t="s">
        <v>81</v>
      </c>
      <c r="F259" s="90">
        <v>2078878.19</v>
      </c>
      <c r="G259" s="90">
        <v>322796.84000000003</v>
      </c>
      <c r="H259" s="90">
        <v>165004.04</v>
      </c>
      <c r="I259" s="90">
        <v>84856.97</v>
      </c>
      <c r="J259" s="90">
        <v>232240.7</v>
      </c>
      <c r="K259" s="90">
        <v>9929.08</v>
      </c>
      <c r="L259" s="90">
        <v>0</v>
      </c>
      <c r="M259" s="90">
        <v>86388.39</v>
      </c>
      <c r="N259" s="90">
        <v>85933.46</v>
      </c>
      <c r="O259" s="90">
        <v>322999.21999999997</v>
      </c>
      <c r="P259" s="90">
        <v>752531.93</v>
      </c>
      <c r="Q259" s="90">
        <v>16197.29</v>
      </c>
      <c r="R259" s="90">
        <v>0.93</v>
      </c>
      <c r="S259" s="90">
        <v>-0.66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</row>
    <row r="260" spans="1:26" ht="12.75" customHeight="1" x14ac:dyDescent="0.25">
      <c r="D260" s="89" t="s">
        <v>86</v>
      </c>
      <c r="E260" s="89" t="s">
        <v>70</v>
      </c>
      <c r="F260" s="90">
        <v>71288678.450000003</v>
      </c>
      <c r="G260" s="90">
        <v>12861327.699999999</v>
      </c>
      <c r="H260" s="90">
        <v>7130193.6299999999</v>
      </c>
      <c r="I260" s="90">
        <v>3737456.31</v>
      </c>
      <c r="J260" s="90">
        <v>4556283.84</v>
      </c>
      <c r="K260" s="90">
        <v>215967.93</v>
      </c>
      <c r="L260" s="90">
        <v>214446.82</v>
      </c>
      <c r="M260" s="90">
        <v>1886716.31</v>
      </c>
      <c r="N260" s="90">
        <v>2003611.33</v>
      </c>
      <c r="O260" s="90">
        <v>8863444.2300000004</v>
      </c>
      <c r="P260" s="90">
        <v>29467337.27</v>
      </c>
      <c r="Q260" s="90">
        <v>352366.8</v>
      </c>
      <c r="R260" s="90">
        <v>-473.06</v>
      </c>
      <c r="S260" s="90">
        <v>-0.66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</row>
    <row r="261" spans="1:26" ht="12.75" customHeight="1" x14ac:dyDescent="0.25">
      <c r="E261" s="89" t="s">
        <v>72</v>
      </c>
      <c r="F261" s="90">
        <v>697315197.22000003</v>
      </c>
      <c r="G261" s="90">
        <v>147363354.47</v>
      </c>
      <c r="H261" s="90">
        <v>82950302.140000001</v>
      </c>
      <c r="I261" s="90">
        <v>43752954.450000003</v>
      </c>
      <c r="J261" s="90">
        <v>23778087.100000001</v>
      </c>
      <c r="K261" s="90">
        <v>672978.69</v>
      </c>
      <c r="L261" s="90">
        <v>528735</v>
      </c>
      <c r="M261" s="90">
        <v>5885001.1100000003</v>
      </c>
      <c r="N261" s="90">
        <v>8402534.6999999993</v>
      </c>
      <c r="O261" s="90">
        <v>39649711.490000002</v>
      </c>
      <c r="P261" s="90">
        <v>343233860.38999999</v>
      </c>
      <c r="Q261" s="90">
        <v>1098102.23</v>
      </c>
      <c r="R261" s="90">
        <v>-424.55</v>
      </c>
      <c r="S261" s="90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</row>
    <row r="262" spans="1:26" ht="12.75" customHeight="1" x14ac:dyDescent="0.25">
      <c r="E262" s="89" t="s">
        <v>81</v>
      </c>
      <c r="F262" s="90">
        <v>15792661.470000001</v>
      </c>
      <c r="G262" s="90">
        <v>3529982.76</v>
      </c>
      <c r="H262" s="90">
        <v>1952902.6</v>
      </c>
      <c r="I262" s="90">
        <v>1038005.52</v>
      </c>
      <c r="J262" s="90">
        <v>340224.1</v>
      </c>
      <c r="K262" s="90">
        <v>9325.17</v>
      </c>
      <c r="L262" s="90">
        <v>13206</v>
      </c>
      <c r="M262" s="90">
        <v>80647.009999999995</v>
      </c>
      <c r="N262" s="90">
        <v>103044.79</v>
      </c>
      <c r="O262" s="90">
        <v>469740.14</v>
      </c>
      <c r="P262" s="90">
        <v>8252253.9100000001</v>
      </c>
      <c r="Q262" s="90">
        <v>15220.52</v>
      </c>
      <c r="R262" s="90">
        <v>-5.15</v>
      </c>
      <c r="S262" s="90">
        <v>-11885.9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</row>
    <row r="263" spans="1:26" ht="12.75" customHeight="1" x14ac:dyDescent="0.25">
      <c r="D263" s="89" t="s">
        <v>87</v>
      </c>
      <c r="E263" s="89" t="s">
        <v>70</v>
      </c>
      <c r="F263" s="90">
        <v>713107858.69000006</v>
      </c>
      <c r="G263" s="90">
        <v>150893337.22999999</v>
      </c>
      <c r="H263" s="90">
        <v>84903204.739999995</v>
      </c>
      <c r="I263" s="90">
        <v>44790959.969999999</v>
      </c>
      <c r="J263" s="90">
        <v>24118311.199999999</v>
      </c>
      <c r="K263" s="90">
        <v>682303.86</v>
      </c>
      <c r="L263" s="90">
        <v>541941</v>
      </c>
      <c r="M263" s="90">
        <v>5965648.1200000001</v>
      </c>
      <c r="N263" s="90">
        <v>8505579.4900000002</v>
      </c>
      <c r="O263" s="90">
        <v>40119451.630000003</v>
      </c>
      <c r="P263" s="90">
        <v>351486114.30000001</v>
      </c>
      <c r="Q263" s="90">
        <v>1113322.75</v>
      </c>
      <c r="R263" s="90">
        <v>-429.7</v>
      </c>
      <c r="S263" s="90">
        <v>-11885.9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</row>
    <row r="264" spans="1:26" s="94" customFormat="1" ht="12.75" customHeight="1" x14ac:dyDescent="0.25">
      <c r="C264" s="101" t="s">
        <v>119</v>
      </c>
      <c r="D264" s="101" t="s">
        <v>70</v>
      </c>
      <c r="F264" s="93">
        <v>825593716.52999997</v>
      </c>
      <c r="G264" s="93">
        <v>167231821.55000001</v>
      </c>
      <c r="H264" s="93">
        <v>93973105.569999993</v>
      </c>
      <c r="I264" s="93">
        <v>49552033.359999999</v>
      </c>
      <c r="J264" s="93">
        <v>36454391.109999999</v>
      </c>
      <c r="K264" s="93">
        <v>1127022.56</v>
      </c>
      <c r="L264" s="93">
        <v>1311387.82</v>
      </c>
      <c r="M264" s="93">
        <v>9858353.5700000003</v>
      </c>
      <c r="N264" s="93">
        <v>13265425.800000001</v>
      </c>
      <c r="O264" s="93">
        <v>61946866.310000002</v>
      </c>
      <c r="P264" s="93">
        <v>389045529.43000001</v>
      </c>
      <c r="Q264" s="93">
        <v>1840669.47</v>
      </c>
      <c r="R264" s="93">
        <v>-1003.46</v>
      </c>
      <c r="S264" s="93">
        <v>-11886.56</v>
      </c>
      <c r="T264" s="94">
        <v>0</v>
      </c>
      <c r="U264" s="94">
        <v>0</v>
      </c>
      <c r="V264" s="94">
        <v>0</v>
      </c>
      <c r="W264" s="94">
        <v>0</v>
      </c>
      <c r="X264" s="94">
        <v>0</v>
      </c>
      <c r="Y264" s="94">
        <v>0</v>
      </c>
      <c r="Z264" s="94">
        <v>0</v>
      </c>
    </row>
    <row r="265" spans="1:26" s="226" customFormat="1" ht="12.75" customHeight="1" x14ac:dyDescent="0.25">
      <c r="B265" s="98" t="s">
        <v>112</v>
      </c>
      <c r="C265" s="98" t="s">
        <v>70</v>
      </c>
      <c r="F265" s="100">
        <v>15932657306.200001</v>
      </c>
      <c r="G265" s="100">
        <v>1154354004.79</v>
      </c>
      <c r="H265" s="100">
        <v>650771092.62</v>
      </c>
      <c r="I265" s="100">
        <v>342056467.95999998</v>
      </c>
      <c r="J265" s="100">
        <v>3421411982.1999998</v>
      </c>
      <c r="K265" s="100">
        <v>125779686.2</v>
      </c>
      <c r="L265" s="100">
        <v>14319220.949999999</v>
      </c>
      <c r="M265" s="100">
        <v>1103092643.4100001</v>
      </c>
      <c r="N265" s="100">
        <v>1086973407.6700001</v>
      </c>
      <c r="O265" s="100">
        <v>5143917194.5600004</v>
      </c>
      <c r="P265" s="100">
        <v>2684426047.2800002</v>
      </c>
      <c r="Q265" s="100">
        <v>205320950</v>
      </c>
      <c r="R265" s="100">
        <v>246494.88</v>
      </c>
      <c r="S265" s="100">
        <v>-11886.83</v>
      </c>
      <c r="T265" s="226">
        <v>0.51</v>
      </c>
      <c r="U265" s="226">
        <v>0</v>
      </c>
      <c r="V265" s="226">
        <v>0</v>
      </c>
      <c r="W265" s="226">
        <v>0</v>
      </c>
      <c r="X265" s="226">
        <v>0</v>
      </c>
      <c r="Y265" s="226">
        <v>0</v>
      </c>
      <c r="Z265" s="226">
        <v>0</v>
      </c>
    </row>
    <row r="266" spans="1:26" ht="12.75" customHeight="1" x14ac:dyDescent="0.25">
      <c r="A266" s="89" t="s">
        <v>78</v>
      </c>
      <c r="B266" s="89" t="s">
        <v>70</v>
      </c>
      <c r="F266" s="90">
        <v>15933337844.23</v>
      </c>
      <c r="G266" s="90">
        <v>1154501603.1700001</v>
      </c>
      <c r="H266" s="90">
        <v>650837233.58000004</v>
      </c>
      <c r="I266" s="90">
        <v>342093759.52999997</v>
      </c>
      <c r="J266" s="90">
        <v>3421445554.2800002</v>
      </c>
      <c r="K266" s="90">
        <v>125780368.65000001</v>
      </c>
      <c r="L266" s="90">
        <v>14319220.949999999</v>
      </c>
      <c r="M266" s="90">
        <v>1103098634.6400001</v>
      </c>
      <c r="N266" s="90">
        <v>1086980700.9200001</v>
      </c>
      <c r="O266" s="90">
        <v>5143951113.6499996</v>
      </c>
      <c r="P266" s="90">
        <v>2684772990.1799998</v>
      </c>
      <c r="Q266" s="90">
        <v>205322063.37</v>
      </c>
      <c r="R266" s="90">
        <v>246486.93</v>
      </c>
      <c r="S266" s="90">
        <v>-11886.13</v>
      </c>
      <c r="T266">
        <v>0.51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</row>
    <row r="267" spans="1:26" ht="12.75" customHeight="1" x14ac:dyDescent="0.25">
      <c r="A267" s="89"/>
      <c r="B267" s="89"/>
      <c r="E267" t="s">
        <v>73</v>
      </c>
      <c r="F267" s="90">
        <v>627141.97</v>
      </c>
      <c r="G267" s="90">
        <v>136851.94</v>
      </c>
      <c r="H267" s="90">
        <v>59636.73</v>
      </c>
      <c r="I267" s="90">
        <v>34221.29</v>
      </c>
      <c r="J267" s="90">
        <v>30320.48</v>
      </c>
      <c r="K267" s="90">
        <v>630.69000000000005</v>
      </c>
      <c r="L267" s="90">
        <v>0</v>
      </c>
      <c r="M267" s="90">
        <v>5532.39</v>
      </c>
      <c r="N267" s="90">
        <v>6675.34</v>
      </c>
      <c r="O267" s="90">
        <v>31361.45</v>
      </c>
      <c r="P267" s="90">
        <v>320882.65999999997</v>
      </c>
      <c r="Q267" s="90">
        <v>1029</v>
      </c>
      <c r="R267" s="90">
        <v>0</v>
      </c>
      <c r="S267" s="90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</row>
    <row r="268" spans="1:26" ht="12.75" customHeight="1" x14ac:dyDescent="0.25">
      <c r="A268" s="89"/>
      <c r="B268" s="89"/>
      <c r="D268" t="s">
        <v>156</v>
      </c>
      <c r="E268" t="s">
        <v>70</v>
      </c>
      <c r="F268" s="90">
        <v>627141.97</v>
      </c>
      <c r="G268" s="90">
        <v>136851.94</v>
      </c>
      <c r="H268" s="90">
        <v>59636.73</v>
      </c>
      <c r="I268" s="90">
        <v>34221.29</v>
      </c>
      <c r="J268" s="90">
        <v>30320.48</v>
      </c>
      <c r="K268" s="90">
        <v>630.69000000000005</v>
      </c>
      <c r="L268" s="90">
        <v>0</v>
      </c>
      <c r="M268" s="90">
        <v>5532.39</v>
      </c>
      <c r="N268" s="90">
        <v>6675.34</v>
      </c>
      <c r="O268" s="90">
        <v>31361.45</v>
      </c>
      <c r="P268" s="90">
        <v>320882.65999999997</v>
      </c>
      <c r="Q268" s="90">
        <v>1029</v>
      </c>
      <c r="R268" s="90">
        <v>0</v>
      </c>
      <c r="S268" s="90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</row>
    <row r="269" spans="1:26" s="286" customFormat="1" ht="12.75" customHeight="1" x14ac:dyDescent="0.25">
      <c r="C269" s="286" t="s">
        <v>155</v>
      </c>
      <c r="D269" s="286" t="s">
        <v>70</v>
      </c>
      <c r="E269" s="229"/>
      <c r="F269" s="229">
        <v>627141.97</v>
      </c>
      <c r="G269" s="230">
        <v>136851.94</v>
      </c>
      <c r="H269" s="230">
        <v>59636.73</v>
      </c>
      <c r="I269" s="230">
        <v>34221.29</v>
      </c>
      <c r="J269" s="230">
        <v>30320.48</v>
      </c>
      <c r="K269" s="230">
        <v>630.69000000000005</v>
      </c>
      <c r="L269" s="230">
        <v>0</v>
      </c>
      <c r="M269" s="230">
        <v>5532.39</v>
      </c>
      <c r="N269" s="230">
        <v>6675.34</v>
      </c>
      <c r="O269" s="230">
        <v>31361.45</v>
      </c>
      <c r="P269" s="230">
        <v>320882.65999999997</v>
      </c>
      <c r="Q269" s="230">
        <v>1029</v>
      </c>
      <c r="R269" s="230">
        <v>0</v>
      </c>
      <c r="S269" s="230">
        <v>0</v>
      </c>
      <c r="T269" s="230">
        <v>0</v>
      </c>
      <c r="U269" s="230">
        <v>0</v>
      </c>
      <c r="V269" s="230">
        <v>0</v>
      </c>
      <c r="W269" s="230">
        <v>0</v>
      </c>
      <c r="X269" s="230">
        <v>0</v>
      </c>
      <c r="Y269" s="230">
        <v>0</v>
      </c>
      <c r="Z269" s="230">
        <v>0</v>
      </c>
    </row>
    <row r="270" spans="1:26" s="378" customFormat="1" ht="12.75" customHeight="1" x14ac:dyDescent="0.25">
      <c r="B270" s="378" t="s">
        <v>122</v>
      </c>
      <c r="C270" s="378" t="s">
        <v>70</v>
      </c>
      <c r="E270" s="376"/>
      <c r="F270" s="711">
        <v>627141.97</v>
      </c>
      <c r="G270" s="377">
        <v>136851.94</v>
      </c>
      <c r="H270" s="377">
        <v>59636.73</v>
      </c>
      <c r="I270" s="377">
        <v>34221.29</v>
      </c>
      <c r="J270" s="377">
        <v>30320.48</v>
      </c>
      <c r="K270" s="377">
        <v>630.69000000000005</v>
      </c>
      <c r="L270" s="377">
        <v>0</v>
      </c>
      <c r="M270" s="377">
        <v>5532.39</v>
      </c>
      <c r="N270" s="377">
        <v>6675.34</v>
      </c>
      <c r="O270" s="377">
        <v>31361.45</v>
      </c>
      <c r="P270" s="377">
        <v>320882.65999999997</v>
      </c>
      <c r="Q270" s="377">
        <v>1029</v>
      </c>
      <c r="R270" s="377">
        <v>0</v>
      </c>
      <c r="S270" s="377">
        <v>0</v>
      </c>
      <c r="T270" s="378">
        <v>0</v>
      </c>
      <c r="U270" s="378">
        <v>0</v>
      </c>
      <c r="V270" s="378">
        <v>0</v>
      </c>
      <c r="W270" s="378">
        <v>0</v>
      </c>
      <c r="X270" s="378">
        <v>0</v>
      </c>
      <c r="Y270" s="378">
        <v>0</v>
      </c>
      <c r="Z270" s="378">
        <v>0</v>
      </c>
    </row>
    <row r="271" spans="1:26" ht="12.65" customHeight="1" x14ac:dyDescent="0.25">
      <c r="E271" s="89" t="s">
        <v>73</v>
      </c>
      <c r="F271" s="371">
        <v>-1096861177.6700001</v>
      </c>
      <c r="G271" s="90">
        <v>177691694.13</v>
      </c>
      <c r="H271" s="90">
        <v>100212148.13</v>
      </c>
      <c r="I271" s="90">
        <v>52624447.82</v>
      </c>
      <c r="J271" s="90">
        <v>-572254890.49000001</v>
      </c>
      <c r="K271" s="90">
        <v>-20850568.850000001</v>
      </c>
      <c r="L271" s="90">
        <v>0</v>
      </c>
      <c r="M271" s="90">
        <v>-182915508.68000001</v>
      </c>
      <c r="N271" s="90">
        <v>-179688481.86000001</v>
      </c>
      <c r="O271" s="90">
        <v>-850631532.47000003</v>
      </c>
      <c r="P271" s="90">
        <v>412971085.38</v>
      </c>
      <c r="Q271" s="90">
        <v>-34019570.780000001</v>
      </c>
      <c r="R271" s="90">
        <v>0</v>
      </c>
      <c r="S271" s="90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</row>
    <row r="272" spans="1:26" ht="12.75" customHeight="1" x14ac:dyDescent="0.25">
      <c r="D272" t="s">
        <v>156</v>
      </c>
      <c r="E272" s="89" t="s">
        <v>70</v>
      </c>
      <c r="F272" s="371">
        <v>-1096861177.6700001</v>
      </c>
      <c r="G272" s="90">
        <v>177691694.13</v>
      </c>
      <c r="H272" s="90">
        <v>100212148.13</v>
      </c>
      <c r="I272" s="90">
        <v>52624447.82</v>
      </c>
      <c r="J272" s="90">
        <v>-572254890.49000001</v>
      </c>
      <c r="K272" s="90">
        <v>-20850568.850000001</v>
      </c>
      <c r="L272" s="90">
        <v>0</v>
      </c>
      <c r="M272" s="90">
        <v>-182915508.68000001</v>
      </c>
      <c r="N272" s="90">
        <v>-179688481.86000001</v>
      </c>
      <c r="O272" s="90">
        <v>-850631532.47000003</v>
      </c>
      <c r="P272" s="90">
        <v>412971085.38</v>
      </c>
      <c r="Q272" s="90">
        <v>-34019570.780000001</v>
      </c>
      <c r="R272" s="90">
        <v>0</v>
      </c>
      <c r="S272" s="90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</row>
    <row r="273" spans="1:26" s="286" customFormat="1" ht="12.75" customHeight="1" x14ac:dyDescent="0.25">
      <c r="C273" s="286" t="s">
        <v>155</v>
      </c>
      <c r="D273" s="286" t="s">
        <v>70</v>
      </c>
      <c r="E273" s="229"/>
      <c r="F273" s="229">
        <v>-1096861177.6700001</v>
      </c>
      <c r="G273" s="230">
        <v>177691694.13</v>
      </c>
      <c r="H273" s="230">
        <v>100212148.13</v>
      </c>
      <c r="I273" s="230">
        <v>52624447.82</v>
      </c>
      <c r="J273" s="230">
        <v>-572254890.49000001</v>
      </c>
      <c r="K273" s="230">
        <v>-20850568.850000001</v>
      </c>
      <c r="L273" s="230">
        <v>0</v>
      </c>
      <c r="M273" s="230">
        <v>-182915508.68000001</v>
      </c>
      <c r="N273" s="230">
        <v>-179688481.86000001</v>
      </c>
      <c r="O273" s="230">
        <v>-850631532.47000003</v>
      </c>
      <c r="P273" s="230">
        <v>412971085.38</v>
      </c>
      <c r="Q273" s="230">
        <v>-34019570.780000001</v>
      </c>
      <c r="R273" s="230">
        <v>0</v>
      </c>
      <c r="S273" s="230">
        <v>0</v>
      </c>
      <c r="T273" s="230">
        <v>0</v>
      </c>
      <c r="U273" s="230">
        <v>0</v>
      </c>
      <c r="V273" s="230">
        <v>0</v>
      </c>
      <c r="W273" s="230">
        <v>0</v>
      </c>
      <c r="X273" s="230">
        <v>0</v>
      </c>
      <c r="Y273" s="230">
        <v>0</v>
      </c>
      <c r="Z273" s="230">
        <v>0</v>
      </c>
    </row>
    <row r="274" spans="1:26" ht="12.75" customHeight="1" x14ac:dyDescent="0.25">
      <c r="D274" s="89"/>
      <c r="E274" s="89" t="s">
        <v>73</v>
      </c>
      <c r="F274" s="90">
        <v>5881980.6100000003</v>
      </c>
      <c r="G274" s="90">
        <v>1458341.69</v>
      </c>
      <c r="H274" s="90">
        <v>821336.04</v>
      </c>
      <c r="I274" s="90">
        <v>430495.38</v>
      </c>
      <c r="J274" s="90">
        <v>-89992.43</v>
      </c>
      <c r="K274" s="90">
        <v>-1656.46</v>
      </c>
      <c r="L274" s="90">
        <v>0</v>
      </c>
      <c r="M274" s="90">
        <v>-14532.38</v>
      </c>
      <c r="N274" s="90">
        <v>-17796.23</v>
      </c>
      <c r="O274" s="90">
        <v>-85250.46</v>
      </c>
      <c r="P274" s="90">
        <v>3383738.4</v>
      </c>
      <c r="Q274" s="90">
        <v>-2702.94</v>
      </c>
      <c r="R274" s="90">
        <v>0</v>
      </c>
      <c r="S274" s="90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</row>
    <row r="275" spans="1:26" ht="12.75" customHeight="1" x14ac:dyDescent="0.25">
      <c r="D275" t="s">
        <v>82</v>
      </c>
      <c r="E275" s="89" t="s">
        <v>70</v>
      </c>
      <c r="F275" s="90">
        <v>5881980.6100000003</v>
      </c>
      <c r="G275" s="90">
        <v>1458341.69</v>
      </c>
      <c r="H275" s="90">
        <v>821336.04</v>
      </c>
      <c r="I275" s="90">
        <v>430495.38</v>
      </c>
      <c r="J275" s="90">
        <v>-89992.43</v>
      </c>
      <c r="K275" s="90">
        <v>-1656.46</v>
      </c>
      <c r="L275" s="90">
        <v>0</v>
      </c>
      <c r="M275" s="90">
        <v>-14532.38</v>
      </c>
      <c r="N275" s="90">
        <v>-17796.23</v>
      </c>
      <c r="O275" s="90">
        <v>-85250.46</v>
      </c>
      <c r="P275" s="90">
        <v>3383738.4</v>
      </c>
      <c r="Q275" s="90">
        <v>-2702.94</v>
      </c>
      <c r="R275" s="90">
        <v>0</v>
      </c>
      <c r="S275" s="90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</row>
    <row r="276" spans="1:26" ht="12.75" customHeight="1" x14ac:dyDescent="0.25">
      <c r="D276" s="89"/>
      <c r="E276" s="89" t="s">
        <v>73</v>
      </c>
      <c r="F276" s="90">
        <v>41448273.229999997</v>
      </c>
      <c r="G276" s="90">
        <v>9799067.8399999999</v>
      </c>
      <c r="H276" s="90">
        <v>5514666.5800000001</v>
      </c>
      <c r="I276" s="90">
        <v>2910510.96</v>
      </c>
      <c r="J276" s="90">
        <v>43956.11</v>
      </c>
      <c r="K276" s="90">
        <v>-3831.58</v>
      </c>
      <c r="L276" s="90">
        <v>0</v>
      </c>
      <c r="M276" s="90">
        <v>-33238.42</v>
      </c>
      <c r="N276" s="90">
        <v>51690.03</v>
      </c>
      <c r="O276" s="90">
        <v>379225.18</v>
      </c>
      <c r="P276" s="90">
        <v>22792493.52</v>
      </c>
      <c r="Q276" s="90">
        <v>-6266.99</v>
      </c>
      <c r="R276" s="90">
        <v>0</v>
      </c>
      <c r="S276" s="90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</row>
    <row r="277" spans="1:26" ht="12.75" customHeight="1" x14ac:dyDescent="0.25">
      <c r="D277" t="s">
        <v>86</v>
      </c>
      <c r="E277" s="89" t="s">
        <v>70</v>
      </c>
      <c r="F277" s="90">
        <v>41448273.229999997</v>
      </c>
      <c r="G277" s="90">
        <v>9799067.8399999999</v>
      </c>
      <c r="H277" s="90">
        <v>5514666.5800000001</v>
      </c>
      <c r="I277" s="90">
        <v>2910510.96</v>
      </c>
      <c r="J277" s="90">
        <v>43956.11</v>
      </c>
      <c r="K277" s="90">
        <v>-3831.58</v>
      </c>
      <c r="L277" s="90">
        <v>0</v>
      </c>
      <c r="M277" s="90">
        <v>-33238.42</v>
      </c>
      <c r="N277" s="90">
        <v>51690.03</v>
      </c>
      <c r="O277" s="90">
        <v>379225.18</v>
      </c>
      <c r="P277" s="90">
        <v>22792493.52</v>
      </c>
      <c r="Q277" s="90">
        <v>-6266.99</v>
      </c>
      <c r="R277" s="90">
        <v>0</v>
      </c>
      <c r="S277" s="90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</row>
    <row r="278" spans="1:26" ht="12.75" customHeight="1" x14ac:dyDescent="0.25">
      <c r="D278" s="89"/>
      <c r="E278" s="89" t="s">
        <v>73</v>
      </c>
      <c r="F278" s="90">
        <v>357418504.17000002</v>
      </c>
      <c r="G278" s="90">
        <v>82262358.890000001</v>
      </c>
      <c r="H278" s="90">
        <v>46499187.439999998</v>
      </c>
      <c r="I278" s="90">
        <v>24589080.510000002</v>
      </c>
      <c r="J278" s="90">
        <v>3357839.2</v>
      </c>
      <c r="K278" s="90">
        <v>107100.09</v>
      </c>
      <c r="L278" s="90">
        <v>0</v>
      </c>
      <c r="M278" s="90">
        <v>927675.41</v>
      </c>
      <c r="N278" s="90">
        <v>1328839.5900000001</v>
      </c>
      <c r="O278" s="90">
        <v>6237531.6299999999</v>
      </c>
      <c r="P278" s="90">
        <v>191934234.59</v>
      </c>
      <c r="Q278" s="90">
        <v>174656.82</v>
      </c>
      <c r="R278" s="90">
        <v>0</v>
      </c>
      <c r="S278" s="90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</row>
    <row r="279" spans="1:26" ht="12.75" customHeight="1" x14ac:dyDescent="0.25">
      <c r="C279" s="89"/>
      <c r="D279" s="89" t="s">
        <v>87</v>
      </c>
      <c r="E279" t="s">
        <v>70</v>
      </c>
      <c r="F279" s="90">
        <v>357418504.17000002</v>
      </c>
      <c r="G279" s="90">
        <v>82262358.890000001</v>
      </c>
      <c r="H279" s="90">
        <v>46499187.439999998</v>
      </c>
      <c r="I279" s="90">
        <v>24589080.510000002</v>
      </c>
      <c r="J279" s="90">
        <v>3357839.2</v>
      </c>
      <c r="K279" s="90">
        <v>107100.09</v>
      </c>
      <c r="L279" s="90">
        <v>0</v>
      </c>
      <c r="M279" s="90">
        <v>927675.41</v>
      </c>
      <c r="N279" s="90">
        <v>1328839.5900000001</v>
      </c>
      <c r="O279" s="90">
        <v>6237531.6299999999</v>
      </c>
      <c r="P279" s="90">
        <v>191934234.59</v>
      </c>
      <c r="Q279" s="90">
        <v>174656.82</v>
      </c>
      <c r="R279" s="90">
        <v>0</v>
      </c>
      <c r="S279" s="90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</row>
    <row r="280" spans="1:26" s="94" customFormat="1" ht="12.75" customHeight="1" x14ac:dyDescent="0.25">
      <c r="C280" s="101" t="s">
        <v>119</v>
      </c>
      <c r="D280" s="101" t="s">
        <v>70</v>
      </c>
      <c r="F280" s="93">
        <v>404748758.00999999</v>
      </c>
      <c r="G280" s="93">
        <v>93519768.420000002</v>
      </c>
      <c r="H280" s="93">
        <v>52835190.060000002</v>
      </c>
      <c r="I280" s="93">
        <v>27930086.850000001</v>
      </c>
      <c r="J280" s="93">
        <v>3311802.88</v>
      </c>
      <c r="K280" s="93">
        <v>101612.05</v>
      </c>
      <c r="L280" s="93">
        <v>0</v>
      </c>
      <c r="M280" s="93">
        <v>879904.61</v>
      </c>
      <c r="N280" s="93">
        <v>1362733.39</v>
      </c>
      <c r="O280" s="93">
        <v>6531506.3499999996</v>
      </c>
      <c r="P280" s="93">
        <v>218110466.50999999</v>
      </c>
      <c r="Q280" s="93">
        <v>165686.89000000001</v>
      </c>
      <c r="R280" s="93">
        <v>0</v>
      </c>
      <c r="S280" s="93">
        <v>0</v>
      </c>
      <c r="T280" s="94">
        <v>0</v>
      </c>
      <c r="U280" s="94">
        <v>0</v>
      </c>
      <c r="V280" s="94">
        <v>0</v>
      </c>
      <c r="W280" s="94">
        <v>0</v>
      </c>
      <c r="X280" s="94">
        <v>0</v>
      </c>
      <c r="Y280" s="94">
        <v>0</v>
      </c>
      <c r="Z280" s="94">
        <v>0</v>
      </c>
    </row>
    <row r="281" spans="1:26" s="226" customFormat="1" ht="12.75" customHeight="1" x14ac:dyDescent="0.25">
      <c r="A281" s="98"/>
      <c r="B281" s="98" t="s">
        <v>112</v>
      </c>
      <c r="C281" s="226" t="s">
        <v>70</v>
      </c>
      <c r="F281" s="100">
        <v>-692112419.65999997</v>
      </c>
      <c r="G281" s="100">
        <v>271211462.55000001</v>
      </c>
      <c r="H281" s="100">
        <v>153047338.19</v>
      </c>
      <c r="I281" s="100">
        <v>80554534.670000002</v>
      </c>
      <c r="J281" s="100">
        <v>-568943087.61000001</v>
      </c>
      <c r="K281" s="100">
        <v>-20748956.800000001</v>
      </c>
      <c r="L281" s="100">
        <v>0</v>
      </c>
      <c r="M281" s="100">
        <v>-182035604.06999999</v>
      </c>
      <c r="N281" s="100">
        <v>-178325748.47</v>
      </c>
      <c r="O281" s="100">
        <v>-844100026.12</v>
      </c>
      <c r="P281" s="100">
        <v>631081551.88999999</v>
      </c>
      <c r="Q281" s="100">
        <v>-33853883.890000001</v>
      </c>
      <c r="R281" s="100">
        <v>0</v>
      </c>
      <c r="S281" s="100">
        <v>0</v>
      </c>
      <c r="T281" s="226">
        <v>0</v>
      </c>
      <c r="U281" s="226">
        <v>0</v>
      </c>
      <c r="V281" s="226">
        <v>0</v>
      </c>
      <c r="W281" s="226">
        <v>0</v>
      </c>
      <c r="X281" s="226">
        <v>0</v>
      </c>
      <c r="Y281" s="226">
        <v>0</v>
      </c>
      <c r="Z281" s="226">
        <v>0</v>
      </c>
    </row>
    <row r="282" spans="1:26" ht="12.75" customHeight="1" x14ac:dyDescent="0.25">
      <c r="A282" s="89" t="s">
        <v>79</v>
      </c>
      <c r="B282" t="s">
        <v>70</v>
      </c>
      <c r="F282" s="90">
        <v>-691485277.69000006</v>
      </c>
      <c r="G282" s="90">
        <v>271348314.49000001</v>
      </c>
      <c r="H282" s="90">
        <v>153106974.91999999</v>
      </c>
      <c r="I282" s="90">
        <v>80588755.959999993</v>
      </c>
      <c r="J282" s="90">
        <v>-568912767.13</v>
      </c>
      <c r="K282" s="90">
        <v>-20748326.109999999</v>
      </c>
      <c r="L282" s="90">
        <v>0</v>
      </c>
      <c r="M282" s="90">
        <v>-182030071.68000001</v>
      </c>
      <c r="N282" s="90">
        <v>-178319073.13</v>
      </c>
      <c r="O282" s="90">
        <v>-844068664.66999996</v>
      </c>
      <c r="P282" s="90">
        <v>631402434.54999995</v>
      </c>
      <c r="Q282" s="90">
        <v>-33852854.890000001</v>
      </c>
      <c r="R282" s="90">
        <v>0</v>
      </c>
      <c r="S282" s="90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</row>
    <row r="283" spans="1:26" ht="12.75" customHeight="1" x14ac:dyDescent="0.25">
      <c r="A283" t="s">
        <v>70</v>
      </c>
      <c r="E283" s="89"/>
      <c r="F283" s="90">
        <v>15241836108.08</v>
      </c>
      <c r="G283" s="90">
        <v>1425848426.78</v>
      </c>
      <c r="H283" s="90">
        <v>803943575.11000001</v>
      </c>
      <c r="I283" s="90">
        <v>422682238.88999999</v>
      </c>
      <c r="J283" s="90">
        <v>2852529644.5900002</v>
      </c>
      <c r="K283" s="90">
        <v>105031913.06</v>
      </c>
      <c r="L283" s="90">
        <v>14319220.949999999</v>
      </c>
      <c r="M283" s="90">
        <v>921067427.27999997</v>
      </c>
      <c r="N283" s="90">
        <v>908660204.30999994</v>
      </c>
      <c r="O283" s="90">
        <v>4299877667.5500002</v>
      </c>
      <c r="P283" s="90">
        <v>3316172191</v>
      </c>
      <c r="Q283" s="90">
        <v>171468997.25</v>
      </c>
      <c r="R283" s="90">
        <v>246486.93</v>
      </c>
      <c r="S283" s="90">
        <v>-11886.13</v>
      </c>
      <c r="T283" s="150">
        <v>0.51</v>
      </c>
      <c r="U283" s="150">
        <v>0</v>
      </c>
      <c r="V283" s="150">
        <v>0</v>
      </c>
      <c r="W283" s="150">
        <v>0</v>
      </c>
      <c r="X283">
        <v>0</v>
      </c>
      <c r="Y283">
        <v>0</v>
      </c>
      <c r="Z283">
        <v>0</v>
      </c>
    </row>
    <row r="284" spans="1:26" ht="12.75" hidden="1" customHeight="1" x14ac:dyDescent="0.25">
      <c r="A284" s="89"/>
      <c r="B284" s="89"/>
      <c r="F284" s="90"/>
      <c r="G284" s="90"/>
      <c r="H284" s="90"/>
      <c r="I284" s="90"/>
      <c r="J284" s="90"/>
      <c r="K284" s="90"/>
      <c r="L284" s="90"/>
      <c r="M284" s="90"/>
      <c r="N284" s="90"/>
      <c r="O284" s="90"/>
      <c r="P284" s="90"/>
      <c r="Q284" s="90"/>
      <c r="R284" s="90"/>
      <c r="S284" s="90"/>
    </row>
    <row r="285" spans="1:26" ht="12.75" hidden="1" customHeight="1" x14ac:dyDescent="0.25">
      <c r="E285" s="89"/>
      <c r="F285" s="90"/>
      <c r="G285" s="90"/>
      <c r="H285" s="90"/>
      <c r="I285" s="90"/>
      <c r="J285" s="90"/>
      <c r="K285" s="90"/>
      <c r="L285" s="90"/>
      <c r="M285" s="90"/>
      <c r="N285" s="90"/>
      <c r="O285" s="90"/>
      <c r="P285" s="90"/>
      <c r="Q285" s="90"/>
      <c r="R285" s="90"/>
      <c r="S285" s="90"/>
    </row>
    <row r="286" spans="1:26" ht="12.75" hidden="1" customHeight="1" x14ac:dyDescent="0.25">
      <c r="D286" s="89"/>
      <c r="E286" s="89"/>
      <c r="F286" s="90"/>
      <c r="G286" s="90"/>
      <c r="H286" s="90"/>
      <c r="I286" s="90"/>
      <c r="J286" s="90"/>
      <c r="K286" s="90"/>
      <c r="L286" s="90"/>
      <c r="M286" s="90"/>
      <c r="N286" s="90"/>
      <c r="O286" s="90"/>
      <c r="P286" s="90"/>
      <c r="Q286" s="90"/>
      <c r="R286" s="90"/>
      <c r="S286" s="90"/>
    </row>
    <row r="287" spans="1:26" ht="12.75" hidden="1" customHeight="1" x14ac:dyDescent="0.25">
      <c r="D287" s="89"/>
      <c r="E287" s="89"/>
      <c r="F287" s="90"/>
      <c r="G287" s="90"/>
      <c r="H287" s="90"/>
      <c r="I287" s="90"/>
      <c r="J287" s="90"/>
      <c r="K287" s="90"/>
      <c r="L287" s="90"/>
      <c r="M287" s="90"/>
      <c r="N287" s="90"/>
      <c r="O287" s="90"/>
      <c r="P287" s="90"/>
      <c r="Q287" s="90"/>
      <c r="R287" s="90"/>
      <c r="S287" s="90"/>
    </row>
    <row r="288" spans="1:26" ht="12.75" hidden="1" customHeight="1" x14ac:dyDescent="0.25">
      <c r="E288" s="89"/>
      <c r="F288" s="90"/>
      <c r="G288" s="90"/>
      <c r="H288" s="90"/>
      <c r="I288" s="90"/>
      <c r="J288" s="90"/>
      <c r="K288" s="90"/>
      <c r="L288" s="90"/>
      <c r="M288" s="90"/>
      <c r="N288" s="90"/>
      <c r="O288" s="90"/>
      <c r="P288" s="90"/>
      <c r="Q288" s="90"/>
      <c r="R288" s="90"/>
      <c r="S288" s="90"/>
    </row>
    <row r="289" spans="1:19" ht="12.75" hidden="1" customHeight="1" x14ac:dyDescent="0.25">
      <c r="D289" s="89"/>
      <c r="E289" s="89"/>
      <c r="F289" s="90"/>
      <c r="G289" s="90"/>
      <c r="H289" s="90"/>
      <c r="I289" s="90"/>
      <c r="J289" s="90"/>
      <c r="K289" s="90"/>
      <c r="L289" s="90"/>
      <c r="M289" s="90"/>
      <c r="N289" s="90"/>
      <c r="O289" s="90"/>
      <c r="P289" s="90"/>
      <c r="Q289" s="90"/>
      <c r="R289" s="90"/>
      <c r="S289" s="90"/>
    </row>
    <row r="290" spans="1:19" ht="12.75" hidden="1" customHeight="1" x14ac:dyDescent="0.25">
      <c r="E290" s="89"/>
      <c r="F290" s="90"/>
      <c r="G290" s="90"/>
      <c r="H290" s="90"/>
      <c r="I290" s="90"/>
      <c r="J290" s="90"/>
      <c r="K290" s="90"/>
      <c r="L290" s="90"/>
      <c r="M290" s="90"/>
      <c r="N290" s="90"/>
      <c r="O290" s="90"/>
      <c r="P290" s="90"/>
      <c r="Q290" s="90"/>
      <c r="R290" s="90"/>
      <c r="S290" s="90"/>
    </row>
    <row r="291" spans="1:19" ht="12.75" hidden="1" customHeight="1" x14ac:dyDescent="0.25">
      <c r="D291" s="89"/>
      <c r="E291" s="89"/>
      <c r="F291" s="90"/>
      <c r="G291" s="90"/>
      <c r="H291" s="90"/>
      <c r="I291" s="90"/>
      <c r="J291" s="90"/>
      <c r="K291" s="90"/>
      <c r="L291" s="90"/>
      <c r="M291" s="90"/>
      <c r="N291" s="90"/>
      <c r="O291" s="90"/>
      <c r="P291" s="90"/>
      <c r="Q291" s="90"/>
      <c r="R291" s="90"/>
      <c r="S291" s="90"/>
    </row>
    <row r="292" spans="1:19" ht="12.75" hidden="1" customHeight="1" x14ac:dyDescent="0.25">
      <c r="E292" s="89"/>
      <c r="F292" s="90"/>
      <c r="G292" s="90"/>
      <c r="H292" s="90"/>
      <c r="I292" s="90"/>
      <c r="J292" s="90"/>
      <c r="K292" s="90"/>
      <c r="L292" s="90"/>
      <c r="M292" s="90"/>
      <c r="N292" s="90"/>
      <c r="O292" s="90"/>
      <c r="P292" s="90"/>
      <c r="Q292" s="90"/>
      <c r="R292" s="90"/>
      <c r="S292" s="90"/>
    </row>
    <row r="293" spans="1:19" ht="12.75" hidden="1" customHeight="1" x14ac:dyDescent="0.25">
      <c r="D293" s="89"/>
      <c r="E293" s="89"/>
      <c r="F293" s="90"/>
      <c r="G293" s="90"/>
      <c r="H293" s="90"/>
      <c r="I293" s="90"/>
      <c r="J293" s="90"/>
      <c r="K293" s="90"/>
      <c r="L293" s="90"/>
      <c r="M293" s="90"/>
      <c r="N293" s="90"/>
      <c r="O293" s="90"/>
      <c r="P293" s="90"/>
      <c r="Q293" s="90"/>
      <c r="R293" s="90"/>
      <c r="S293" s="90"/>
    </row>
    <row r="294" spans="1:19" ht="12.75" hidden="1" customHeight="1" x14ac:dyDescent="0.25">
      <c r="C294" s="89"/>
      <c r="D294" s="89"/>
      <c r="F294" s="90"/>
      <c r="G294" s="90"/>
      <c r="H294" s="90"/>
      <c r="I294" s="90"/>
      <c r="J294" s="90"/>
      <c r="K294" s="90"/>
      <c r="L294" s="90"/>
      <c r="M294" s="90"/>
      <c r="N294" s="90"/>
      <c r="O294" s="90"/>
      <c r="P294" s="90"/>
      <c r="Q294" s="90"/>
      <c r="R294" s="90"/>
      <c r="S294" s="90"/>
    </row>
    <row r="295" spans="1:19" ht="12.75" hidden="1" customHeight="1" x14ac:dyDescent="0.25">
      <c r="E295" s="89"/>
      <c r="F295" s="90"/>
      <c r="G295" s="90"/>
      <c r="H295" s="90"/>
      <c r="I295" s="90"/>
      <c r="J295" s="90"/>
      <c r="K295" s="90"/>
      <c r="L295" s="90"/>
      <c r="M295" s="90"/>
      <c r="N295" s="90"/>
      <c r="O295" s="90"/>
      <c r="P295" s="90"/>
      <c r="Q295" s="90"/>
      <c r="R295" s="90"/>
      <c r="S295" s="90"/>
    </row>
    <row r="296" spans="1:19" ht="12.75" hidden="1" customHeight="1" x14ac:dyDescent="0.25">
      <c r="D296" s="89"/>
      <c r="E296" s="89"/>
      <c r="F296" s="90"/>
      <c r="G296" s="90"/>
      <c r="H296" s="90"/>
      <c r="I296" s="90"/>
      <c r="J296" s="90"/>
      <c r="K296" s="90"/>
      <c r="L296" s="90"/>
      <c r="M296" s="90"/>
      <c r="N296" s="90"/>
      <c r="O296" s="90"/>
      <c r="P296" s="90"/>
      <c r="Q296" s="90"/>
      <c r="R296" s="90"/>
      <c r="S296" s="90"/>
    </row>
    <row r="297" spans="1:19" ht="12.75" hidden="1" customHeight="1" x14ac:dyDescent="0.25">
      <c r="E297" s="89"/>
      <c r="F297" s="90"/>
      <c r="G297" s="90"/>
      <c r="H297" s="90"/>
      <c r="I297" s="90"/>
      <c r="J297" s="90"/>
      <c r="K297" s="90"/>
      <c r="L297" s="90"/>
      <c r="M297" s="90"/>
      <c r="N297" s="90"/>
      <c r="O297" s="90"/>
      <c r="P297" s="90"/>
      <c r="Q297" s="90"/>
      <c r="R297" s="90"/>
      <c r="S297" s="90"/>
    </row>
    <row r="298" spans="1:19" ht="12.75" hidden="1" customHeight="1" x14ac:dyDescent="0.25">
      <c r="D298" s="89"/>
      <c r="E298" s="89"/>
      <c r="F298" s="90"/>
      <c r="G298" s="90"/>
      <c r="H298" s="90"/>
      <c r="I298" s="90"/>
      <c r="J298" s="90"/>
      <c r="K298" s="90"/>
      <c r="L298" s="90"/>
      <c r="M298" s="90"/>
      <c r="N298" s="90"/>
      <c r="O298" s="90"/>
      <c r="P298" s="90"/>
      <c r="Q298" s="90"/>
      <c r="R298" s="90"/>
      <c r="S298" s="90"/>
    </row>
    <row r="299" spans="1:19" ht="12.75" hidden="1" customHeight="1" x14ac:dyDescent="0.25">
      <c r="C299" s="89"/>
      <c r="D299" s="89"/>
      <c r="F299" s="90"/>
      <c r="G299" s="90"/>
      <c r="H299" s="90"/>
      <c r="I299" s="90"/>
      <c r="J299" s="90"/>
      <c r="K299" s="90"/>
      <c r="L299" s="90"/>
      <c r="M299" s="90"/>
      <c r="N299" s="90"/>
      <c r="O299" s="90"/>
      <c r="P299" s="90"/>
      <c r="Q299" s="90"/>
      <c r="R299" s="90"/>
      <c r="S299" s="90"/>
    </row>
    <row r="300" spans="1:19" ht="12.75" hidden="1" customHeight="1" x14ac:dyDescent="0.25">
      <c r="B300" s="89"/>
      <c r="C300" s="89"/>
      <c r="F300" s="90"/>
      <c r="G300" s="90"/>
      <c r="H300" s="90"/>
      <c r="I300" s="90"/>
      <c r="J300" s="90"/>
      <c r="K300" s="90"/>
      <c r="L300" s="90"/>
      <c r="M300" s="90"/>
      <c r="N300" s="90"/>
      <c r="O300" s="90"/>
      <c r="P300" s="90"/>
      <c r="Q300" s="90"/>
      <c r="R300" s="90"/>
      <c r="S300" s="90"/>
    </row>
    <row r="301" spans="1:19" ht="12.75" hidden="1" customHeight="1" x14ac:dyDescent="0.25">
      <c r="A301" s="89"/>
      <c r="B301" s="89"/>
      <c r="F301" s="90"/>
      <c r="G301" s="90"/>
      <c r="H301" s="90"/>
      <c r="I301" s="90"/>
      <c r="J301" s="90"/>
      <c r="K301" s="90"/>
      <c r="L301" s="90"/>
      <c r="M301" s="90"/>
      <c r="N301" s="90"/>
      <c r="O301" s="90"/>
      <c r="P301" s="90"/>
      <c r="Q301" s="90"/>
      <c r="R301" s="90"/>
      <c r="S301" s="90"/>
    </row>
    <row r="302" spans="1:19" ht="12.75" hidden="1" customHeight="1" x14ac:dyDescent="0.25">
      <c r="A302" s="89"/>
      <c r="F302" s="90"/>
      <c r="G302" s="90"/>
      <c r="H302" s="90"/>
      <c r="I302" s="90"/>
      <c r="J302" s="90"/>
      <c r="K302" s="90"/>
      <c r="L302" s="90"/>
      <c r="M302" s="90"/>
      <c r="N302" s="90"/>
      <c r="O302" s="90"/>
      <c r="P302" s="90"/>
      <c r="Q302" s="90"/>
      <c r="R302" s="90"/>
      <c r="S302" s="90"/>
    </row>
    <row r="303" spans="1:19" ht="12.75" hidden="1" customHeight="1" x14ac:dyDescent="0.25">
      <c r="A303" s="89"/>
      <c r="F303" s="90"/>
      <c r="G303" s="90"/>
      <c r="H303" s="90"/>
      <c r="I303" s="90"/>
      <c r="J303" s="90"/>
      <c r="K303" s="90"/>
      <c r="L303" s="90"/>
      <c r="M303" s="90"/>
      <c r="N303" s="90"/>
      <c r="O303" s="90"/>
      <c r="P303" s="90"/>
      <c r="Q303" s="90"/>
      <c r="R303" s="90"/>
      <c r="S303" s="90"/>
    </row>
    <row r="304" spans="1:19" ht="12.75" hidden="1" customHeight="1" x14ac:dyDescent="0.25">
      <c r="A304" s="89"/>
      <c r="F304" s="90"/>
      <c r="G304" s="90"/>
      <c r="H304" s="90"/>
      <c r="I304" s="90"/>
      <c r="J304" s="90"/>
      <c r="K304" s="90"/>
      <c r="L304" s="90"/>
      <c r="M304" s="90"/>
      <c r="N304" s="90"/>
      <c r="O304" s="90"/>
      <c r="P304" s="90"/>
      <c r="Q304" s="90"/>
      <c r="R304" s="90"/>
      <c r="S304" s="90"/>
    </row>
    <row r="305" spans="1:23" ht="12.75" hidden="1" customHeight="1" x14ac:dyDescent="0.25">
      <c r="A305" s="89"/>
      <c r="F305" s="90"/>
      <c r="G305" s="90"/>
      <c r="H305" s="90"/>
      <c r="I305" s="90"/>
      <c r="J305" s="90"/>
      <c r="K305" s="90"/>
      <c r="L305" s="90"/>
      <c r="M305" s="90"/>
      <c r="N305" s="90"/>
      <c r="O305" s="90"/>
      <c r="P305" s="90"/>
      <c r="Q305" s="90"/>
      <c r="R305" s="90"/>
      <c r="S305" s="90"/>
    </row>
    <row r="306" spans="1:23" ht="12.75" hidden="1" customHeight="1" x14ac:dyDescent="0.25">
      <c r="A306" s="89"/>
      <c r="F306" s="90"/>
      <c r="G306" s="90"/>
      <c r="H306" s="90"/>
      <c r="I306" s="90"/>
      <c r="J306" s="90"/>
      <c r="K306" s="90"/>
      <c r="L306" s="90"/>
      <c r="M306" s="90"/>
      <c r="N306" s="90"/>
      <c r="O306" s="90"/>
      <c r="P306" s="90"/>
      <c r="Q306" s="90"/>
      <c r="R306" s="90"/>
      <c r="S306" s="90"/>
    </row>
    <row r="307" spans="1:23" ht="12.75" hidden="1" customHeight="1" x14ac:dyDescent="0.25">
      <c r="A307" s="89"/>
      <c r="F307" s="90"/>
      <c r="G307" s="90"/>
      <c r="H307" s="90"/>
      <c r="I307" s="90"/>
      <c r="J307" s="90"/>
      <c r="K307" s="90"/>
      <c r="L307" s="90"/>
      <c r="M307" s="90"/>
      <c r="N307" s="90"/>
      <c r="O307" s="90"/>
      <c r="P307" s="90"/>
      <c r="Q307" s="90"/>
      <c r="R307" s="90"/>
      <c r="S307" s="90"/>
      <c r="T307" s="150"/>
      <c r="U307" s="150"/>
      <c r="V307" s="150"/>
      <c r="W307" s="150"/>
    </row>
    <row r="308" spans="1:23" ht="12.75" hidden="1" customHeight="1" x14ac:dyDescent="0.25">
      <c r="A308" s="89"/>
      <c r="F308" s="90"/>
      <c r="G308" s="90"/>
      <c r="H308" s="90"/>
      <c r="I308" s="90"/>
      <c r="J308" s="90"/>
      <c r="K308" s="90"/>
      <c r="L308" s="90"/>
      <c r="M308" s="90"/>
      <c r="N308" s="90"/>
      <c r="O308" s="90"/>
      <c r="P308" s="90"/>
      <c r="Q308" s="90"/>
      <c r="R308" s="90"/>
      <c r="S308" s="90"/>
      <c r="T308" s="150"/>
      <c r="U308" s="150"/>
      <c r="V308" s="150"/>
      <c r="W308" s="150"/>
    </row>
    <row r="309" spans="1:23" ht="12.75" hidden="1" customHeight="1" x14ac:dyDescent="0.25">
      <c r="A309" s="89"/>
      <c r="F309" s="90"/>
      <c r="G309" s="90"/>
      <c r="H309" s="90"/>
      <c r="I309" s="90"/>
      <c r="J309" s="90"/>
      <c r="K309" s="90"/>
      <c r="L309" s="90"/>
      <c r="M309" s="90"/>
      <c r="N309" s="90"/>
      <c r="O309" s="90"/>
      <c r="P309" s="90"/>
      <c r="Q309" s="90"/>
      <c r="R309" s="90"/>
      <c r="S309" s="90"/>
      <c r="T309" s="150"/>
      <c r="U309" s="150"/>
      <c r="V309" s="150"/>
      <c r="W309" s="150"/>
    </row>
    <row r="310" spans="1:23" ht="12.75" hidden="1" customHeight="1" x14ac:dyDescent="0.25">
      <c r="A310" s="89"/>
      <c r="F310" s="90"/>
      <c r="G310" s="90"/>
      <c r="H310" s="90"/>
      <c r="I310" s="90"/>
      <c r="J310" s="90"/>
      <c r="K310" s="90"/>
      <c r="L310" s="90"/>
      <c r="M310" s="90"/>
      <c r="N310" s="90"/>
      <c r="O310" s="90"/>
      <c r="P310" s="90"/>
      <c r="Q310" s="90"/>
      <c r="R310" s="90"/>
      <c r="S310" s="90"/>
      <c r="T310" s="150"/>
      <c r="U310" s="150"/>
      <c r="V310" s="150"/>
      <c r="W310" s="150"/>
    </row>
    <row r="311" spans="1:23" ht="12.75" hidden="1" customHeight="1" x14ac:dyDescent="0.25">
      <c r="A311" s="89"/>
      <c r="F311" s="90"/>
      <c r="G311" s="90"/>
      <c r="H311" s="90"/>
      <c r="I311" s="90"/>
      <c r="J311" s="90"/>
      <c r="K311" s="90"/>
      <c r="L311" s="90"/>
      <c r="M311" s="90"/>
      <c r="N311" s="90"/>
      <c r="O311" s="90"/>
      <c r="P311" s="90"/>
      <c r="Q311" s="90"/>
      <c r="R311" s="90"/>
      <c r="S311" s="90"/>
      <c r="T311" s="150"/>
      <c r="U311" s="150"/>
      <c r="V311" s="150"/>
      <c r="W311" s="150"/>
    </row>
    <row r="312" spans="1:23" ht="12.75" hidden="1" customHeight="1" x14ac:dyDescent="0.25">
      <c r="A312" s="89"/>
      <c r="F312" s="90"/>
      <c r="G312" s="90"/>
      <c r="H312" s="90"/>
      <c r="I312" s="90"/>
      <c r="J312" s="90"/>
      <c r="K312" s="90"/>
      <c r="L312" s="90"/>
      <c r="M312" s="90"/>
      <c r="N312" s="90"/>
      <c r="O312" s="90"/>
      <c r="P312" s="90"/>
      <c r="Q312" s="90"/>
      <c r="R312" s="90"/>
      <c r="S312" s="90"/>
      <c r="T312" s="150"/>
      <c r="U312" s="150"/>
      <c r="V312" s="150"/>
      <c r="W312" s="150"/>
    </row>
    <row r="313" spans="1:23" ht="12.75" hidden="1" customHeight="1" x14ac:dyDescent="0.25">
      <c r="A313" s="89"/>
      <c r="F313" s="90"/>
      <c r="G313" s="90"/>
      <c r="H313" s="90"/>
      <c r="I313" s="90"/>
      <c r="J313" s="90"/>
      <c r="K313" s="90"/>
      <c r="L313" s="90"/>
      <c r="M313" s="90"/>
      <c r="N313" s="90"/>
      <c r="O313" s="90"/>
      <c r="P313" s="90"/>
      <c r="Q313" s="90"/>
      <c r="R313" s="90"/>
      <c r="S313" s="90"/>
      <c r="T313" s="150"/>
      <c r="U313" s="150"/>
      <c r="V313" s="150"/>
      <c r="W313" s="150"/>
    </row>
    <row r="314" spans="1:23" ht="12.75" hidden="1" customHeight="1" x14ac:dyDescent="0.25">
      <c r="A314" s="89"/>
      <c r="F314" s="90"/>
      <c r="G314" s="90"/>
      <c r="H314" s="90"/>
      <c r="I314" s="90"/>
      <c r="J314" s="90"/>
      <c r="K314" s="90"/>
      <c r="L314" s="90"/>
      <c r="M314" s="90"/>
      <c r="N314" s="90"/>
      <c r="O314" s="90"/>
      <c r="P314" s="90"/>
      <c r="Q314" s="90"/>
      <c r="R314" s="90"/>
      <c r="S314" s="90"/>
      <c r="T314" s="150"/>
      <c r="U314" s="150"/>
      <c r="V314" s="150"/>
      <c r="W314" s="150"/>
    </row>
    <row r="315" spans="1:23" ht="12.75" hidden="1" customHeight="1" x14ac:dyDescent="0.25">
      <c r="A315" s="89"/>
      <c r="F315" s="90"/>
      <c r="G315" s="90"/>
      <c r="H315" s="90"/>
      <c r="I315" s="90"/>
      <c r="J315" s="90"/>
      <c r="K315" s="90"/>
      <c r="L315" s="90"/>
      <c r="M315" s="90"/>
      <c r="N315" s="90"/>
      <c r="O315" s="90"/>
      <c r="P315" s="90"/>
      <c r="Q315" s="90"/>
      <c r="R315" s="90"/>
      <c r="S315" s="90"/>
      <c r="T315" s="150"/>
      <c r="U315" s="150"/>
      <c r="V315" s="150"/>
      <c r="W315" s="150"/>
    </row>
    <row r="316" spans="1:23" ht="12.75" hidden="1" customHeight="1" x14ac:dyDescent="0.25">
      <c r="A316" s="89"/>
      <c r="F316" s="90"/>
      <c r="G316" s="90"/>
      <c r="H316" s="90"/>
      <c r="I316" s="90"/>
      <c r="J316" s="90"/>
      <c r="K316" s="90"/>
      <c r="L316" s="90"/>
      <c r="M316" s="90"/>
      <c r="N316" s="90"/>
      <c r="O316" s="90"/>
      <c r="P316" s="90"/>
      <c r="Q316" s="90"/>
      <c r="R316" s="90"/>
      <c r="S316" s="90"/>
      <c r="T316" s="150"/>
      <c r="U316" s="150"/>
      <c r="V316" s="150"/>
      <c r="W316" s="150"/>
    </row>
    <row r="317" spans="1:23" ht="12.75" hidden="1" customHeight="1" x14ac:dyDescent="0.25">
      <c r="A317" s="89"/>
      <c r="F317" s="90"/>
      <c r="G317" s="90"/>
      <c r="H317" s="90"/>
      <c r="I317" s="90"/>
      <c r="J317" s="90"/>
      <c r="K317" s="90"/>
      <c r="L317" s="90"/>
      <c r="M317" s="90"/>
      <c r="N317" s="90"/>
      <c r="O317" s="90"/>
      <c r="P317" s="90"/>
      <c r="Q317" s="90"/>
      <c r="R317" s="90"/>
      <c r="S317" s="90"/>
      <c r="T317" s="150"/>
      <c r="U317" s="150"/>
      <c r="V317" s="150"/>
      <c r="W317" s="150"/>
    </row>
    <row r="318" spans="1:23" ht="12.75" hidden="1" customHeight="1" x14ac:dyDescent="0.25">
      <c r="A318" s="89"/>
      <c r="F318" s="90"/>
      <c r="G318" s="90"/>
      <c r="H318" s="90"/>
      <c r="I318" s="90"/>
      <c r="J318" s="90"/>
      <c r="K318" s="90"/>
      <c r="L318" s="90"/>
      <c r="M318" s="90"/>
      <c r="N318" s="90"/>
      <c r="O318" s="90"/>
      <c r="P318" s="90"/>
      <c r="Q318" s="90"/>
      <c r="R318" s="90"/>
      <c r="S318" s="90"/>
      <c r="T318" s="150"/>
      <c r="U318" s="150"/>
      <c r="V318" s="150"/>
      <c r="W318" s="150"/>
    </row>
    <row r="319" spans="1:23" ht="12.75" hidden="1" customHeight="1" x14ac:dyDescent="0.25">
      <c r="A319" s="89"/>
      <c r="F319" s="90"/>
      <c r="G319" s="90"/>
      <c r="H319" s="90"/>
      <c r="I319" s="90"/>
      <c r="J319" s="90"/>
      <c r="K319" s="90"/>
      <c r="L319" s="90"/>
      <c r="M319" s="90"/>
      <c r="N319" s="90"/>
      <c r="O319" s="90"/>
      <c r="P319" s="90"/>
      <c r="Q319" s="90"/>
      <c r="R319" s="90"/>
      <c r="S319" s="90"/>
      <c r="T319" s="150"/>
      <c r="U319" s="150"/>
      <c r="V319" s="150"/>
      <c r="W319" s="150"/>
    </row>
    <row r="320" spans="1:23" ht="12.75" hidden="1" customHeight="1" x14ac:dyDescent="0.25">
      <c r="A320" s="89"/>
      <c r="F320" s="90"/>
      <c r="G320" s="90"/>
      <c r="H320" s="90"/>
      <c r="I320" s="90"/>
      <c r="J320" s="90"/>
      <c r="K320" s="90"/>
      <c r="L320" s="90"/>
      <c r="M320" s="90"/>
      <c r="N320" s="90"/>
      <c r="O320" s="90"/>
      <c r="P320" s="90"/>
      <c r="Q320" s="90"/>
      <c r="R320" s="90"/>
      <c r="S320" s="90"/>
      <c r="T320" s="150"/>
      <c r="U320" s="150"/>
      <c r="V320" s="150"/>
      <c r="W320" s="150"/>
    </row>
    <row r="321" spans="1:23" ht="12.75" hidden="1" customHeight="1" x14ac:dyDescent="0.25">
      <c r="A321" s="89"/>
      <c r="F321" s="90"/>
      <c r="G321" s="90"/>
      <c r="H321" s="90"/>
      <c r="I321" s="90"/>
      <c r="J321" s="90"/>
      <c r="K321" s="90"/>
      <c r="L321" s="90"/>
      <c r="M321" s="90"/>
      <c r="N321" s="90"/>
      <c r="O321" s="90"/>
      <c r="P321" s="90"/>
      <c r="Q321" s="90"/>
      <c r="R321" s="90"/>
      <c r="S321" s="90"/>
      <c r="T321" s="150"/>
      <c r="U321" s="150"/>
      <c r="V321" s="150"/>
      <c r="W321" s="150"/>
    </row>
    <row r="322" spans="1:23" ht="12.75" hidden="1" customHeight="1" x14ac:dyDescent="0.25">
      <c r="A322" s="89"/>
      <c r="F322" s="90"/>
      <c r="G322" s="90"/>
      <c r="H322" s="90"/>
      <c r="I322" s="90"/>
      <c r="J322" s="90"/>
      <c r="K322" s="90"/>
      <c r="L322" s="90"/>
      <c r="M322" s="90"/>
      <c r="N322" s="90"/>
      <c r="O322" s="90"/>
      <c r="P322" s="90"/>
      <c r="Q322" s="90"/>
      <c r="R322" s="90"/>
      <c r="S322" s="90"/>
      <c r="T322" s="150"/>
      <c r="U322" s="150"/>
      <c r="V322" s="150"/>
      <c r="W322" s="150"/>
    </row>
    <row r="323" spans="1:23" ht="12.75" hidden="1" customHeight="1" x14ac:dyDescent="0.25">
      <c r="A323" s="89"/>
      <c r="F323" s="90"/>
      <c r="G323" s="90"/>
      <c r="H323" s="90"/>
      <c r="I323" s="90"/>
      <c r="J323" s="90"/>
      <c r="K323" s="90"/>
      <c r="L323" s="90"/>
      <c r="M323" s="90"/>
      <c r="N323" s="90"/>
      <c r="O323" s="90"/>
      <c r="P323" s="90"/>
      <c r="Q323" s="90"/>
      <c r="R323" s="90"/>
      <c r="S323" s="90"/>
      <c r="T323" s="150"/>
      <c r="U323" s="150"/>
      <c r="V323" s="150"/>
      <c r="W323" s="150"/>
    </row>
    <row r="324" spans="1:23" ht="12.75" hidden="1" customHeight="1" x14ac:dyDescent="0.25">
      <c r="A324" s="89"/>
      <c r="F324" s="90"/>
      <c r="G324" s="90"/>
      <c r="H324" s="90"/>
      <c r="I324" s="90"/>
      <c r="J324" s="90"/>
      <c r="K324" s="90"/>
      <c r="L324" s="90"/>
      <c r="M324" s="90"/>
      <c r="N324" s="90"/>
      <c r="O324" s="90"/>
      <c r="P324" s="90"/>
      <c r="Q324" s="90"/>
      <c r="R324" s="90"/>
      <c r="S324" s="90"/>
      <c r="T324" s="150"/>
      <c r="U324" s="150"/>
      <c r="V324" s="150"/>
      <c r="W324" s="150"/>
    </row>
    <row r="325" spans="1:23" ht="12.75" hidden="1" customHeight="1" x14ac:dyDescent="0.25">
      <c r="A325" s="89"/>
      <c r="F325" s="90"/>
      <c r="G325" s="90"/>
      <c r="H325" s="90"/>
      <c r="I325" s="90"/>
      <c r="J325" s="90"/>
      <c r="K325" s="90"/>
      <c r="L325" s="90"/>
      <c r="M325" s="90"/>
      <c r="N325" s="90"/>
      <c r="O325" s="90"/>
      <c r="P325" s="90"/>
      <c r="Q325" s="90"/>
      <c r="R325" s="90"/>
      <c r="S325" s="90"/>
      <c r="T325" s="150"/>
      <c r="U325" s="150"/>
      <c r="V325" s="150"/>
      <c r="W325" s="150"/>
    </row>
    <row r="326" spans="1:23" ht="12.75" hidden="1" customHeight="1" x14ac:dyDescent="0.25">
      <c r="A326" s="89"/>
      <c r="F326" s="90"/>
      <c r="G326" s="90"/>
      <c r="H326" s="90"/>
      <c r="I326" s="90"/>
      <c r="J326" s="90"/>
      <c r="K326" s="90"/>
      <c r="L326" s="90"/>
      <c r="M326" s="90"/>
      <c r="N326" s="90"/>
      <c r="O326" s="90"/>
      <c r="P326" s="90"/>
      <c r="Q326" s="90"/>
      <c r="R326" s="90"/>
      <c r="S326" s="90"/>
      <c r="T326" s="150"/>
      <c r="U326" s="150"/>
      <c r="V326" s="150"/>
      <c r="W326" s="150"/>
    </row>
    <row r="327" spans="1:23" ht="12.75" hidden="1" customHeight="1" x14ac:dyDescent="0.25">
      <c r="A327" s="89"/>
      <c r="F327" s="90"/>
      <c r="G327" s="90"/>
      <c r="H327" s="90"/>
      <c r="I327" s="90"/>
      <c r="J327" s="90"/>
      <c r="K327" s="90"/>
      <c r="L327" s="90"/>
      <c r="M327" s="90"/>
      <c r="N327" s="90"/>
      <c r="O327" s="90"/>
      <c r="P327" s="90"/>
      <c r="Q327" s="90"/>
      <c r="R327" s="90"/>
      <c r="S327" s="90"/>
      <c r="T327" s="150"/>
      <c r="U327" s="150"/>
      <c r="V327" s="150"/>
      <c r="W327" s="150"/>
    </row>
    <row r="328" spans="1:23" ht="12.75" hidden="1" customHeight="1" x14ac:dyDescent="0.25">
      <c r="A328" s="89"/>
      <c r="F328" s="90"/>
      <c r="G328" s="90"/>
      <c r="H328" s="90"/>
      <c r="I328" s="90"/>
      <c r="J328" s="90"/>
      <c r="K328" s="90"/>
      <c r="L328" s="90"/>
      <c r="M328" s="90"/>
      <c r="N328" s="90"/>
      <c r="O328" s="90"/>
      <c r="P328" s="90"/>
      <c r="Q328" s="90"/>
      <c r="R328" s="90"/>
      <c r="S328" s="90"/>
      <c r="T328" s="150"/>
      <c r="U328" s="150"/>
      <c r="V328" s="150"/>
      <c r="W328" s="150"/>
    </row>
    <row r="329" spans="1:23" ht="12.75" hidden="1" customHeight="1" x14ac:dyDescent="0.25">
      <c r="A329" s="89"/>
      <c r="F329" s="90"/>
      <c r="G329" s="90"/>
      <c r="H329" s="90"/>
      <c r="I329" s="90"/>
      <c r="J329" s="90"/>
      <c r="K329" s="90"/>
      <c r="L329" s="90"/>
      <c r="M329" s="90"/>
      <c r="N329" s="90"/>
      <c r="O329" s="90"/>
      <c r="P329" s="90"/>
      <c r="Q329" s="90"/>
      <c r="R329" s="90"/>
      <c r="S329" s="90"/>
      <c r="T329" s="150"/>
      <c r="U329" s="150"/>
      <c r="V329" s="150"/>
      <c r="W329" s="150"/>
    </row>
    <row r="330" spans="1:23" ht="12.75" hidden="1" customHeight="1" x14ac:dyDescent="0.25">
      <c r="A330" s="89"/>
      <c r="F330" s="90"/>
      <c r="G330" s="90"/>
      <c r="H330" s="90"/>
      <c r="I330" s="90"/>
      <c r="J330" s="90"/>
      <c r="K330" s="90"/>
      <c r="L330" s="90"/>
      <c r="M330" s="90"/>
      <c r="N330" s="90"/>
      <c r="O330" s="90"/>
      <c r="P330" s="90"/>
      <c r="Q330" s="90"/>
      <c r="R330" s="90"/>
      <c r="S330" s="90"/>
      <c r="T330" s="150"/>
      <c r="U330" s="150"/>
      <c r="V330" s="150"/>
      <c r="W330" s="150"/>
    </row>
    <row r="331" spans="1:23" ht="12.75" hidden="1" customHeight="1" x14ac:dyDescent="0.25">
      <c r="A331" s="89"/>
      <c r="F331" s="90"/>
      <c r="G331" s="90"/>
      <c r="H331" s="90"/>
      <c r="I331" s="90"/>
      <c r="J331" s="90"/>
      <c r="K331" s="90"/>
      <c r="L331" s="90"/>
      <c r="M331" s="90"/>
      <c r="N331" s="90"/>
      <c r="O331" s="90"/>
      <c r="P331" s="90"/>
      <c r="Q331" s="90"/>
      <c r="R331" s="90"/>
      <c r="S331" s="90"/>
      <c r="T331" s="150"/>
      <c r="U331" s="150"/>
      <c r="V331" s="150"/>
      <c r="W331" s="150"/>
    </row>
    <row r="332" spans="1:23" ht="12.75" hidden="1" customHeight="1" x14ac:dyDescent="0.25">
      <c r="A332" s="89"/>
      <c r="F332" s="90"/>
      <c r="G332" s="90"/>
      <c r="H332" s="90"/>
      <c r="I332" s="90"/>
      <c r="J332" s="90"/>
      <c r="K332" s="90"/>
      <c r="L332" s="90"/>
      <c r="M332" s="90"/>
      <c r="N332" s="90"/>
      <c r="O332" s="90"/>
      <c r="P332" s="90"/>
      <c r="Q332" s="90"/>
      <c r="R332" s="90"/>
      <c r="S332" s="90"/>
      <c r="T332" s="150"/>
      <c r="U332" s="150"/>
      <c r="V332" s="150"/>
      <c r="W332" s="150"/>
    </row>
    <row r="333" spans="1:23" ht="12.75" hidden="1" customHeight="1" x14ac:dyDescent="0.25">
      <c r="A333" s="89"/>
      <c r="F333" s="90"/>
      <c r="G333" s="90"/>
      <c r="H333" s="90"/>
      <c r="I333" s="90"/>
      <c r="J333" s="90"/>
      <c r="K333" s="90"/>
      <c r="L333" s="90"/>
      <c r="M333" s="90"/>
      <c r="N333" s="90"/>
      <c r="O333" s="90"/>
      <c r="P333" s="90"/>
      <c r="Q333" s="90"/>
      <c r="R333" s="90"/>
      <c r="S333" s="90"/>
      <c r="T333" s="150"/>
      <c r="U333" s="150"/>
      <c r="V333" s="150"/>
      <c r="W333" s="150"/>
    </row>
    <row r="334" spans="1:23" ht="12.75" hidden="1" customHeight="1" x14ac:dyDescent="0.25">
      <c r="A334" s="89"/>
      <c r="F334" s="90"/>
      <c r="G334" s="90"/>
      <c r="H334" s="90"/>
      <c r="I334" s="90"/>
      <c r="J334" s="90"/>
      <c r="K334" s="90"/>
      <c r="L334" s="90"/>
      <c r="M334" s="90"/>
      <c r="N334" s="90"/>
      <c r="O334" s="90"/>
      <c r="P334" s="90"/>
      <c r="Q334" s="90"/>
      <c r="R334" s="90"/>
      <c r="S334" s="90"/>
      <c r="T334" s="150"/>
      <c r="U334" s="150"/>
      <c r="V334" s="150"/>
      <c r="W334" s="150"/>
    </row>
    <row r="335" spans="1:23" ht="12.75" hidden="1" customHeight="1" x14ac:dyDescent="0.25">
      <c r="A335" s="89"/>
      <c r="F335" s="90"/>
      <c r="G335" s="90"/>
      <c r="H335" s="90"/>
      <c r="I335" s="90"/>
      <c r="J335" s="90"/>
      <c r="K335" s="90"/>
      <c r="L335" s="90"/>
      <c r="M335" s="90"/>
      <c r="N335" s="90"/>
      <c r="O335" s="90"/>
      <c r="P335" s="90"/>
      <c r="Q335" s="90"/>
      <c r="R335" s="90"/>
      <c r="S335" s="90"/>
      <c r="T335" s="150"/>
      <c r="U335" s="150"/>
      <c r="V335" s="150"/>
      <c r="W335" s="150"/>
    </row>
    <row r="336" spans="1:23" ht="12.75" hidden="1" customHeight="1" x14ac:dyDescent="0.25">
      <c r="A336" s="89"/>
      <c r="F336" s="90"/>
      <c r="G336" s="90"/>
      <c r="H336" s="90"/>
      <c r="I336" s="90"/>
      <c r="J336" s="90"/>
      <c r="K336" s="90"/>
      <c r="L336" s="90"/>
      <c r="M336" s="90"/>
      <c r="N336" s="90"/>
      <c r="O336" s="90"/>
      <c r="P336" s="90"/>
      <c r="Q336" s="90"/>
      <c r="R336" s="90"/>
      <c r="S336" s="90"/>
      <c r="T336" s="150"/>
      <c r="U336" s="150"/>
      <c r="V336" s="150"/>
      <c r="W336" s="150"/>
    </row>
    <row r="337" spans="1:41" ht="12.75" hidden="1" customHeight="1" x14ac:dyDescent="0.25">
      <c r="A337" s="89"/>
      <c r="F337" s="90"/>
      <c r="G337" s="90"/>
      <c r="H337" s="90"/>
      <c r="I337" s="90"/>
      <c r="J337" s="90"/>
      <c r="K337" s="90"/>
      <c r="L337" s="90"/>
      <c r="M337" s="90"/>
      <c r="N337" s="90"/>
      <c r="O337" s="90"/>
      <c r="P337" s="90"/>
      <c r="Q337" s="90"/>
      <c r="R337" s="90"/>
      <c r="S337" s="90"/>
      <c r="T337" s="150"/>
      <c r="U337" s="150"/>
      <c r="V337" s="150"/>
      <c r="W337" s="150"/>
    </row>
    <row r="338" spans="1:41" ht="12.75" hidden="1" customHeight="1" x14ac:dyDescent="0.25">
      <c r="A338" s="89"/>
      <c r="F338" s="90"/>
      <c r="G338" s="90"/>
      <c r="H338" s="90"/>
      <c r="I338" s="90"/>
      <c r="J338" s="90"/>
      <c r="K338" s="90"/>
      <c r="L338" s="90"/>
      <c r="M338" s="90"/>
      <c r="N338" s="90"/>
      <c r="O338" s="90"/>
      <c r="P338" s="90"/>
      <c r="Q338" s="90"/>
      <c r="R338" s="90"/>
      <c r="S338" s="90"/>
      <c r="T338" s="150"/>
      <c r="U338" s="150"/>
      <c r="V338" s="150"/>
      <c r="W338" s="150"/>
    </row>
    <row r="339" spans="1:41" ht="12.75" hidden="1" customHeight="1" x14ac:dyDescent="0.25">
      <c r="A339" s="89"/>
      <c r="F339" s="90"/>
      <c r="G339" s="90"/>
      <c r="H339" s="90"/>
      <c r="I339" s="90"/>
      <c r="J339" s="90"/>
      <c r="K339" s="90"/>
      <c r="L339" s="90"/>
      <c r="M339" s="90"/>
      <c r="N339" s="90"/>
      <c r="O339" s="90"/>
      <c r="P339" s="90"/>
      <c r="Q339" s="90"/>
      <c r="R339" s="90"/>
      <c r="S339" s="90"/>
      <c r="T339" s="150"/>
      <c r="U339" s="150"/>
      <c r="V339" s="150"/>
      <c r="W339" s="150"/>
    </row>
    <row r="340" spans="1:41" ht="12.75" hidden="1" customHeight="1" x14ac:dyDescent="0.25">
      <c r="A340" s="89"/>
      <c r="F340" s="90"/>
      <c r="G340" s="90"/>
      <c r="H340" s="90"/>
      <c r="I340" s="90"/>
      <c r="J340" s="90"/>
      <c r="K340" s="90"/>
      <c r="L340" s="90"/>
      <c r="M340" s="90"/>
      <c r="N340" s="90"/>
      <c r="O340" s="90"/>
      <c r="P340" s="90"/>
      <c r="Q340" s="90"/>
      <c r="R340" s="90"/>
      <c r="S340" s="90"/>
      <c r="T340" s="150"/>
      <c r="U340" s="150"/>
      <c r="V340" s="150"/>
      <c r="W340" s="150"/>
    </row>
    <row r="341" spans="1:41" ht="12.75" customHeight="1" x14ac:dyDescent="0.25">
      <c r="A341" s="89"/>
      <c r="F341" s="90"/>
      <c r="G341" s="90"/>
      <c r="H341" s="90"/>
      <c r="I341" s="90"/>
      <c r="J341" s="90"/>
      <c r="K341" s="90"/>
      <c r="L341" s="90"/>
      <c r="M341" s="90"/>
      <c r="N341" s="90"/>
      <c r="O341" s="90"/>
      <c r="P341" s="90"/>
      <c r="Q341" s="90"/>
      <c r="R341" s="90"/>
      <c r="S341" s="90"/>
      <c r="T341" s="150"/>
      <c r="U341" s="150"/>
      <c r="V341" s="150"/>
      <c r="W341" s="150"/>
    </row>
    <row r="342" spans="1:41" ht="12.75" customHeight="1" x14ac:dyDescent="0.25">
      <c r="A342" s="89"/>
      <c r="F342" s="90"/>
      <c r="G342" s="90"/>
      <c r="H342" s="90"/>
      <c r="I342" s="90"/>
      <c r="J342" s="90"/>
      <c r="K342" s="90"/>
      <c r="L342" s="90"/>
      <c r="M342" s="90"/>
      <c r="N342" s="90"/>
      <c r="O342" s="90"/>
      <c r="P342" s="90"/>
      <c r="Q342" s="90"/>
      <c r="R342" s="90"/>
      <c r="S342" s="90"/>
      <c r="T342" s="150"/>
      <c r="U342" s="150"/>
      <c r="V342" s="150"/>
      <c r="W342" s="150"/>
    </row>
    <row r="343" spans="1:41" ht="12.75" customHeight="1" x14ac:dyDescent="0.25">
      <c r="C343" s="774" t="s">
        <v>2</v>
      </c>
      <c r="D343" s="771" t="s">
        <v>132</v>
      </c>
      <c r="E343" s="98" t="s">
        <v>70</v>
      </c>
      <c r="F343" s="100">
        <f>F265+F281+F244-L244-L265</f>
        <v>15226209207.130001</v>
      </c>
      <c r="G343" s="100">
        <f>G265+G244</f>
        <v>1154352513.9099998</v>
      </c>
      <c r="H343" s="100">
        <f t="shared" ref="H343:AO343" si="14">H265+H244</f>
        <v>650770459.23000002</v>
      </c>
      <c r="I343" s="100">
        <f t="shared" si="14"/>
        <v>342056191.35999995</v>
      </c>
      <c r="J343" s="100">
        <f t="shared" si="14"/>
        <v>3421408839.6399999</v>
      </c>
      <c r="K343" s="100">
        <f t="shared" si="14"/>
        <v>125779556.72</v>
      </c>
      <c r="L343" s="100">
        <f t="shared" si="14"/>
        <v>14319220.949999999</v>
      </c>
      <c r="M343" s="100">
        <f t="shared" si="14"/>
        <v>1103091507.73</v>
      </c>
      <c r="N343" s="100">
        <f t="shared" si="14"/>
        <v>1086971984.1900001</v>
      </c>
      <c r="O343" s="100">
        <f t="shared" si="14"/>
        <v>5143912413.1300001</v>
      </c>
      <c r="P343" s="100">
        <f t="shared" si="14"/>
        <v>2684422813.5500002</v>
      </c>
      <c r="Q343" s="100">
        <f t="shared" si="14"/>
        <v>205320738.77000001</v>
      </c>
      <c r="R343" s="100">
        <f t="shared" si="14"/>
        <v>246494.88</v>
      </c>
      <c r="S343" s="100">
        <f t="shared" si="14"/>
        <v>-11886.83</v>
      </c>
      <c r="T343" s="100">
        <f t="shared" si="14"/>
        <v>0.51</v>
      </c>
      <c r="U343" s="100">
        <f t="shared" si="14"/>
        <v>0</v>
      </c>
      <c r="V343" s="100">
        <f t="shared" si="14"/>
        <v>0</v>
      </c>
      <c r="W343" s="100">
        <f t="shared" si="14"/>
        <v>0</v>
      </c>
      <c r="X343" s="100">
        <f t="shared" si="14"/>
        <v>0</v>
      </c>
      <c r="Y343" s="100">
        <f t="shared" si="14"/>
        <v>0</v>
      </c>
      <c r="Z343" s="100">
        <f t="shared" si="14"/>
        <v>0</v>
      </c>
      <c r="AA343" s="100">
        <f t="shared" si="14"/>
        <v>0</v>
      </c>
      <c r="AB343" s="100">
        <f t="shared" si="14"/>
        <v>0</v>
      </c>
      <c r="AC343" s="100">
        <f t="shared" si="14"/>
        <v>0</v>
      </c>
      <c r="AD343" s="100">
        <f t="shared" si="14"/>
        <v>0</v>
      </c>
      <c r="AE343" s="100">
        <f t="shared" si="14"/>
        <v>0</v>
      </c>
      <c r="AF343" s="100">
        <f t="shared" si="14"/>
        <v>0</v>
      </c>
      <c r="AG343" s="100">
        <f t="shared" si="14"/>
        <v>0</v>
      </c>
      <c r="AH343" s="100">
        <f t="shared" si="14"/>
        <v>0</v>
      </c>
      <c r="AI343" s="100">
        <f t="shared" si="14"/>
        <v>0</v>
      </c>
      <c r="AJ343" s="100">
        <f t="shared" si="14"/>
        <v>0</v>
      </c>
      <c r="AK343" s="100">
        <f t="shared" si="14"/>
        <v>0</v>
      </c>
      <c r="AL343" s="100">
        <f t="shared" si="14"/>
        <v>0</v>
      </c>
      <c r="AM343" s="100">
        <f t="shared" si="14"/>
        <v>0</v>
      </c>
      <c r="AN343" s="100">
        <f t="shared" si="14"/>
        <v>0</v>
      </c>
      <c r="AO343" s="100">
        <f t="shared" si="14"/>
        <v>0</v>
      </c>
    </row>
    <row r="344" spans="1:41" ht="12.75" customHeight="1" x14ac:dyDescent="0.25">
      <c r="C344" s="774"/>
      <c r="D344" s="771"/>
      <c r="E344" s="98" t="s">
        <v>73</v>
      </c>
      <c r="F344" s="100">
        <f>F281</f>
        <v>-692112419.65999997</v>
      </c>
      <c r="G344" s="90"/>
      <c r="H344" s="90"/>
      <c r="I344" s="90"/>
      <c r="J344" s="90"/>
      <c r="K344" s="90"/>
      <c r="L344" s="90"/>
      <c r="M344" s="90"/>
      <c r="N344" s="90"/>
      <c r="O344" s="90"/>
      <c r="P344" s="90"/>
      <c r="Q344" s="90"/>
      <c r="R344" s="90"/>
      <c r="S344" s="90"/>
    </row>
    <row r="345" spans="1:41" ht="12.75" customHeight="1" x14ac:dyDescent="0.25">
      <c r="A345" s="90"/>
      <c r="C345" s="774"/>
      <c r="D345" s="771" t="s">
        <v>133</v>
      </c>
      <c r="E345" s="233" t="s">
        <v>70</v>
      </c>
      <c r="F345" s="234">
        <f>F270+F250-L250</f>
        <v>1307680</v>
      </c>
      <c r="G345" s="234">
        <f>G250</f>
        <v>147598.38</v>
      </c>
      <c r="H345" s="234">
        <f t="shared" ref="H345:AO345" si="15">H250</f>
        <v>66140.960000000006</v>
      </c>
      <c r="I345" s="234">
        <f t="shared" si="15"/>
        <v>37291.57</v>
      </c>
      <c r="J345" s="234">
        <f t="shared" si="15"/>
        <v>33572.080000000002</v>
      </c>
      <c r="K345" s="234">
        <f t="shared" si="15"/>
        <v>682.45</v>
      </c>
      <c r="L345" s="234">
        <f t="shared" si="15"/>
        <v>0</v>
      </c>
      <c r="M345" s="234">
        <f t="shared" si="15"/>
        <v>5991.23</v>
      </c>
      <c r="N345" s="234">
        <f t="shared" si="15"/>
        <v>7293.25</v>
      </c>
      <c r="O345" s="234">
        <f t="shared" si="15"/>
        <v>33919.089999999997</v>
      </c>
      <c r="P345" s="234">
        <f t="shared" si="15"/>
        <v>346942.9</v>
      </c>
      <c r="Q345" s="234">
        <f t="shared" si="15"/>
        <v>1113.3699999999999</v>
      </c>
      <c r="R345" s="234">
        <f t="shared" si="15"/>
        <v>-7.95</v>
      </c>
      <c r="S345" s="234">
        <f t="shared" si="15"/>
        <v>0.7</v>
      </c>
      <c r="T345" s="234">
        <f t="shared" si="15"/>
        <v>0</v>
      </c>
      <c r="U345" s="234">
        <f t="shared" si="15"/>
        <v>0</v>
      </c>
      <c r="V345" s="234">
        <f t="shared" si="15"/>
        <v>0</v>
      </c>
      <c r="W345" s="234">
        <f t="shared" si="15"/>
        <v>0</v>
      </c>
      <c r="X345" s="234">
        <f t="shared" si="15"/>
        <v>0</v>
      </c>
      <c r="Y345" s="234">
        <f t="shared" si="15"/>
        <v>0</v>
      </c>
      <c r="Z345" s="234">
        <f t="shared" si="15"/>
        <v>0</v>
      </c>
      <c r="AA345" s="234">
        <f t="shared" si="15"/>
        <v>0</v>
      </c>
      <c r="AB345" s="234">
        <f t="shared" si="15"/>
        <v>0</v>
      </c>
      <c r="AC345" s="234">
        <f t="shared" si="15"/>
        <v>0</v>
      </c>
      <c r="AD345" s="234">
        <f t="shared" si="15"/>
        <v>0</v>
      </c>
      <c r="AE345" s="234">
        <f t="shared" si="15"/>
        <v>0</v>
      </c>
      <c r="AF345" s="234">
        <f t="shared" si="15"/>
        <v>0</v>
      </c>
      <c r="AG345" s="234">
        <f t="shared" si="15"/>
        <v>0</v>
      </c>
      <c r="AH345" s="234">
        <f t="shared" si="15"/>
        <v>0</v>
      </c>
      <c r="AI345" s="234">
        <f t="shared" si="15"/>
        <v>0</v>
      </c>
      <c r="AJ345" s="234">
        <f t="shared" si="15"/>
        <v>0</v>
      </c>
      <c r="AK345" s="234">
        <f t="shared" si="15"/>
        <v>0</v>
      </c>
      <c r="AL345" s="234">
        <f t="shared" si="15"/>
        <v>0</v>
      </c>
      <c r="AM345" s="234">
        <f t="shared" si="15"/>
        <v>0</v>
      </c>
      <c r="AN345" s="234">
        <f t="shared" si="15"/>
        <v>0</v>
      </c>
      <c r="AO345" s="234">
        <f t="shared" si="15"/>
        <v>0</v>
      </c>
    </row>
    <row r="346" spans="1:41" ht="12.75" customHeight="1" x14ac:dyDescent="0.25">
      <c r="C346" s="774"/>
      <c r="D346" s="771"/>
      <c r="E346" s="233" t="s">
        <v>73</v>
      </c>
      <c r="F346" s="234">
        <f>F270</f>
        <v>627141.97</v>
      </c>
      <c r="G346" s="371"/>
      <c r="H346" s="90"/>
      <c r="I346" s="90"/>
      <c r="J346" s="90"/>
      <c r="K346" s="90"/>
      <c r="L346" s="90"/>
      <c r="M346" s="90"/>
      <c r="N346" s="90"/>
      <c r="O346" s="90"/>
      <c r="P346" s="90"/>
      <c r="Q346" s="90"/>
      <c r="R346" s="90"/>
    </row>
    <row r="347" spans="1:41" ht="12.75" customHeight="1" x14ac:dyDescent="0.3">
      <c r="A347" s="89"/>
      <c r="C347" s="97"/>
      <c r="F347" s="90"/>
      <c r="G347" s="90"/>
      <c r="H347" s="90"/>
      <c r="I347" s="90"/>
      <c r="J347" s="90"/>
      <c r="K347" s="90"/>
      <c r="L347" s="90"/>
      <c r="M347" s="90"/>
      <c r="N347" s="90"/>
      <c r="O347" s="90"/>
      <c r="P347" s="90"/>
      <c r="Q347" s="90"/>
      <c r="R347" s="90"/>
      <c r="S347" s="90"/>
    </row>
    <row r="348" spans="1:41" ht="12.75" customHeight="1" x14ac:dyDescent="0.25">
      <c r="C348" s="774" t="s">
        <v>160</v>
      </c>
      <c r="D348" s="771" t="s">
        <v>132</v>
      </c>
      <c r="E348" s="223" t="s">
        <v>70</v>
      </c>
      <c r="F348" s="225">
        <v>0</v>
      </c>
      <c r="G348" s="225">
        <v>0</v>
      </c>
      <c r="H348" s="225">
        <v>0</v>
      </c>
      <c r="I348" s="225">
        <v>0</v>
      </c>
      <c r="J348" s="225">
        <v>0</v>
      </c>
      <c r="K348" s="225">
        <v>0</v>
      </c>
      <c r="L348" s="225">
        <v>0</v>
      </c>
      <c r="M348" s="225">
        <v>0</v>
      </c>
      <c r="N348" s="225">
        <v>0</v>
      </c>
      <c r="O348" s="225">
        <v>0</v>
      </c>
      <c r="P348" s="225">
        <v>0</v>
      </c>
      <c r="Q348" s="225">
        <v>0</v>
      </c>
      <c r="R348" s="225">
        <v>0</v>
      </c>
      <c r="S348" s="225">
        <v>0</v>
      </c>
      <c r="T348" s="225">
        <v>0</v>
      </c>
      <c r="U348" s="225"/>
      <c r="V348" s="225"/>
      <c r="W348" s="225"/>
      <c r="X348" s="225">
        <v>0</v>
      </c>
      <c r="Y348" s="225">
        <v>0</v>
      </c>
      <c r="Z348" s="225">
        <v>0</v>
      </c>
      <c r="AA348" s="225">
        <v>0</v>
      </c>
      <c r="AB348" s="225">
        <v>0</v>
      </c>
      <c r="AC348" s="225">
        <v>0</v>
      </c>
      <c r="AD348" s="225">
        <v>0</v>
      </c>
      <c r="AE348" s="225">
        <v>0</v>
      </c>
      <c r="AF348" s="225">
        <v>0</v>
      </c>
      <c r="AG348" s="225">
        <v>0</v>
      </c>
      <c r="AH348" s="225">
        <v>0</v>
      </c>
      <c r="AI348" s="225">
        <v>0</v>
      </c>
      <c r="AJ348" s="225">
        <v>0</v>
      </c>
      <c r="AK348" s="225">
        <v>0</v>
      </c>
      <c r="AL348" s="225">
        <v>0</v>
      </c>
      <c r="AM348" s="225">
        <v>0</v>
      </c>
      <c r="AN348" s="225">
        <v>0</v>
      </c>
      <c r="AO348" s="225">
        <v>0</v>
      </c>
    </row>
    <row r="349" spans="1:41" ht="12.75" customHeight="1" x14ac:dyDescent="0.25">
      <c r="C349" s="774"/>
      <c r="D349" s="771"/>
      <c r="E349" s="223" t="s">
        <v>73</v>
      </c>
      <c r="F349" s="225">
        <v>0</v>
      </c>
      <c r="G349" s="90"/>
      <c r="H349" s="90"/>
      <c r="I349" s="90"/>
      <c r="J349" s="90"/>
      <c r="K349" s="90"/>
      <c r="L349" s="90"/>
      <c r="M349" s="90"/>
      <c r="N349" s="90"/>
      <c r="O349" s="90"/>
      <c r="P349" s="90"/>
      <c r="Q349" s="90"/>
      <c r="R349" s="90"/>
      <c r="S349" s="90"/>
    </row>
    <row r="350" spans="1:41" ht="12.75" customHeight="1" x14ac:dyDescent="0.25">
      <c r="C350" s="774"/>
      <c r="D350" s="771" t="s">
        <v>133</v>
      </c>
      <c r="E350" s="227" t="s">
        <v>70</v>
      </c>
      <c r="F350" s="228">
        <v>0</v>
      </c>
      <c r="G350" s="228">
        <v>0</v>
      </c>
      <c r="H350" s="228">
        <v>0</v>
      </c>
      <c r="I350" s="228">
        <v>0</v>
      </c>
      <c r="J350" s="228">
        <v>0</v>
      </c>
      <c r="K350" s="228">
        <v>0</v>
      </c>
      <c r="L350" s="228">
        <v>0</v>
      </c>
      <c r="M350" s="228">
        <v>0</v>
      </c>
      <c r="N350" s="228">
        <v>0</v>
      </c>
      <c r="O350" s="228">
        <v>0</v>
      </c>
      <c r="P350" s="228">
        <v>0</v>
      </c>
      <c r="Q350" s="228">
        <v>0</v>
      </c>
      <c r="R350" s="228">
        <v>0</v>
      </c>
      <c r="S350" s="228">
        <v>0</v>
      </c>
      <c r="T350" s="228">
        <v>0</v>
      </c>
      <c r="U350" s="228"/>
      <c r="V350" s="228"/>
      <c r="W350" s="228"/>
      <c r="X350" s="228">
        <v>0</v>
      </c>
      <c r="Y350" s="228">
        <v>0</v>
      </c>
      <c r="Z350" s="228">
        <v>0</v>
      </c>
      <c r="AA350" s="228">
        <v>0</v>
      </c>
      <c r="AB350" s="228">
        <v>0</v>
      </c>
      <c r="AC350" s="228">
        <v>0</v>
      </c>
      <c r="AD350" s="228">
        <v>0</v>
      </c>
      <c r="AE350" s="228">
        <v>0</v>
      </c>
      <c r="AF350" s="228">
        <v>0</v>
      </c>
      <c r="AG350" s="228">
        <v>0</v>
      </c>
      <c r="AH350" s="228">
        <v>0</v>
      </c>
      <c r="AI350" s="228">
        <v>0</v>
      </c>
      <c r="AJ350" s="228">
        <v>0</v>
      </c>
      <c r="AK350" s="228">
        <v>0</v>
      </c>
      <c r="AL350" s="228">
        <v>0</v>
      </c>
      <c r="AM350" s="228">
        <v>0</v>
      </c>
      <c r="AN350" s="228">
        <v>0</v>
      </c>
      <c r="AO350" s="228">
        <v>0</v>
      </c>
    </row>
    <row r="351" spans="1:41" ht="12.75" customHeight="1" x14ac:dyDescent="0.25">
      <c r="C351" s="774"/>
      <c r="D351" s="771"/>
      <c r="E351" s="227" t="s">
        <v>73</v>
      </c>
      <c r="F351" s="228">
        <v>0</v>
      </c>
      <c r="G351" s="90"/>
      <c r="H351" s="90"/>
      <c r="I351" s="90"/>
      <c r="J351" s="90"/>
      <c r="K351" s="90"/>
      <c r="L351" s="90"/>
      <c r="M351" s="90"/>
      <c r="N351" s="90"/>
      <c r="O351" s="90"/>
      <c r="P351" s="90"/>
      <c r="Q351" s="90"/>
      <c r="R351" s="90"/>
    </row>
    <row r="352" spans="1:41" ht="12.75" customHeight="1" x14ac:dyDescent="0.3">
      <c r="A352" s="89"/>
      <c r="C352" s="97"/>
      <c r="F352" s="90"/>
      <c r="G352" s="90"/>
      <c r="H352" s="90"/>
      <c r="I352" s="90"/>
      <c r="J352" s="90"/>
      <c r="K352" s="90"/>
      <c r="L352" s="90"/>
      <c r="M352" s="90"/>
      <c r="N352" s="90"/>
      <c r="O352" s="90"/>
      <c r="P352" s="90"/>
      <c r="Q352" s="90"/>
      <c r="R352" s="90"/>
      <c r="S352" s="90"/>
    </row>
    <row r="353" spans="1:41" ht="12.75" customHeight="1" x14ac:dyDescent="0.25">
      <c r="C353" s="774" t="s">
        <v>155</v>
      </c>
      <c r="D353" s="771" t="s">
        <v>132</v>
      </c>
      <c r="E353" s="221" t="s">
        <v>70</v>
      </c>
      <c r="F353" s="222">
        <f>F273+F254-L254</f>
        <v>13997194578.870001</v>
      </c>
      <c r="G353" s="222">
        <f>G254</f>
        <v>987122183.24000001</v>
      </c>
      <c r="H353" s="222">
        <f t="shared" ref="H353:AO353" si="16">H254</f>
        <v>556797987.04999995</v>
      </c>
      <c r="I353" s="222">
        <f t="shared" si="16"/>
        <v>292504434.60000002</v>
      </c>
      <c r="J353" s="222">
        <f t="shared" si="16"/>
        <v>3384957591.0900002</v>
      </c>
      <c r="K353" s="222">
        <f t="shared" si="16"/>
        <v>124652663.64</v>
      </c>
      <c r="L353" s="222">
        <f t="shared" si="16"/>
        <v>13007833.130000001</v>
      </c>
      <c r="M353" s="222">
        <f t="shared" si="16"/>
        <v>1093234289.8399999</v>
      </c>
      <c r="N353" s="222">
        <f t="shared" si="16"/>
        <v>1073707981.87</v>
      </c>
      <c r="O353" s="222">
        <f t="shared" si="16"/>
        <v>5081970328.25</v>
      </c>
      <c r="P353" s="222">
        <f t="shared" si="16"/>
        <v>2295380517.8499999</v>
      </c>
      <c r="Q353" s="222">
        <f t="shared" si="16"/>
        <v>203480280.53</v>
      </c>
      <c r="R353" s="222">
        <f t="shared" si="16"/>
        <v>247498.34</v>
      </c>
      <c r="S353" s="222">
        <f t="shared" si="16"/>
        <v>-0.27</v>
      </c>
      <c r="T353" s="222">
        <f t="shared" si="16"/>
        <v>0.51</v>
      </c>
      <c r="U353" s="222">
        <f t="shared" si="16"/>
        <v>0</v>
      </c>
      <c r="V353" s="222">
        <f t="shared" si="16"/>
        <v>0</v>
      </c>
      <c r="W353" s="222">
        <f t="shared" si="16"/>
        <v>0</v>
      </c>
      <c r="X353" s="222">
        <f t="shared" si="16"/>
        <v>0</v>
      </c>
      <c r="Y353" s="222">
        <f t="shared" si="16"/>
        <v>0</v>
      </c>
      <c r="Z353" s="222">
        <f t="shared" si="16"/>
        <v>0</v>
      </c>
      <c r="AA353" s="222">
        <f t="shared" si="16"/>
        <v>0</v>
      </c>
      <c r="AB353" s="222">
        <f t="shared" si="16"/>
        <v>0</v>
      </c>
      <c r="AC353" s="222">
        <f t="shared" si="16"/>
        <v>0</v>
      </c>
      <c r="AD353" s="222">
        <f t="shared" si="16"/>
        <v>0</v>
      </c>
      <c r="AE353" s="222">
        <f t="shared" si="16"/>
        <v>0</v>
      </c>
      <c r="AF353" s="222">
        <f t="shared" si="16"/>
        <v>0</v>
      </c>
      <c r="AG353" s="222">
        <f t="shared" si="16"/>
        <v>0</v>
      </c>
      <c r="AH353" s="222">
        <f t="shared" si="16"/>
        <v>0</v>
      </c>
      <c r="AI353" s="222">
        <f t="shared" si="16"/>
        <v>0</v>
      </c>
      <c r="AJ353" s="222">
        <f t="shared" si="16"/>
        <v>0</v>
      </c>
      <c r="AK353" s="222">
        <f t="shared" si="16"/>
        <v>0</v>
      </c>
      <c r="AL353" s="222">
        <f t="shared" si="16"/>
        <v>0</v>
      </c>
      <c r="AM353" s="222">
        <f t="shared" si="16"/>
        <v>0</v>
      </c>
      <c r="AN353" s="222">
        <f t="shared" si="16"/>
        <v>0</v>
      </c>
      <c r="AO353" s="222">
        <f t="shared" si="16"/>
        <v>0</v>
      </c>
    </row>
    <row r="354" spans="1:41" ht="12.75" customHeight="1" x14ac:dyDescent="0.25">
      <c r="C354" s="774"/>
      <c r="D354" s="771"/>
      <c r="E354" s="221" t="s">
        <v>73</v>
      </c>
      <c r="F354" s="222">
        <f>F273</f>
        <v>-1096861177.6700001</v>
      </c>
      <c r="G354" s="90"/>
      <c r="H354" s="90"/>
      <c r="I354" s="90"/>
      <c r="J354" s="90"/>
      <c r="K354" s="90"/>
      <c r="L354" s="90"/>
      <c r="M354" s="90"/>
      <c r="N354" s="90"/>
      <c r="O354" s="90"/>
      <c r="P354" s="90"/>
      <c r="Q354" s="90"/>
      <c r="R354" s="90"/>
      <c r="S354" s="90"/>
    </row>
    <row r="355" spans="1:41" ht="12.75" customHeight="1" x14ac:dyDescent="0.25">
      <c r="C355" s="774"/>
      <c r="D355" s="771" t="s">
        <v>133</v>
      </c>
      <c r="E355" s="229" t="s">
        <v>70</v>
      </c>
      <c r="F355" s="230">
        <f>F269+F249-L249</f>
        <v>1307680</v>
      </c>
      <c r="G355" s="230">
        <f>G249</f>
        <v>147598.38</v>
      </c>
      <c r="H355" s="230">
        <f t="shared" ref="H355:AO355" si="17">H249</f>
        <v>66140.960000000006</v>
      </c>
      <c r="I355" s="230">
        <f t="shared" si="17"/>
        <v>37291.57</v>
      </c>
      <c r="J355" s="230">
        <f t="shared" si="17"/>
        <v>33572.080000000002</v>
      </c>
      <c r="K355" s="230">
        <f t="shared" si="17"/>
        <v>682.45</v>
      </c>
      <c r="L355" s="230">
        <f t="shared" si="17"/>
        <v>0</v>
      </c>
      <c r="M355" s="230">
        <f t="shared" si="17"/>
        <v>5991.23</v>
      </c>
      <c r="N355" s="230">
        <f t="shared" si="17"/>
        <v>7293.25</v>
      </c>
      <c r="O355" s="230">
        <f t="shared" si="17"/>
        <v>33919.089999999997</v>
      </c>
      <c r="P355" s="230">
        <f t="shared" si="17"/>
        <v>346942.9</v>
      </c>
      <c r="Q355" s="230">
        <f t="shared" si="17"/>
        <v>1113.3699999999999</v>
      </c>
      <c r="R355" s="230">
        <f t="shared" si="17"/>
        <v>-7.95</v>
      </c>
      <c r="S355" s="230">
        <f t="shared" si="17"/>
        <v>0.7</v>
      </c>
      <c r="T355" s="230">
        <f t="shared" si="17"/>
        <v>0</v>
      </c>
      <c r="U355" s="230">
        <f t="shared" si="17"/>
        <v>0</v>
      </c>
      <c r="V355" s="230">
        <f t="shared" si="17"/>
        <v>0</v>
      </c>
      <c r="W355" s="230">
        <f t="shared" si="17"/>
        <v>0</v>
      </c>
      <c r="X355" s="230">
        <f t="shared" si="17"/>
        <v>0</v>
      </c>
      <c r="Y355" s="230">
        <f t="shared" si="17"/>
        <v>0</v>
      </c>
      <c r="Z355" s="230">
        <f t="shared" si="17"/>
        <v>0</v>
      </c>
      <c r="AA355" s="230">
        <f t="shared" si="17"/>
        <v>0</v>
      </c>
      <c r="AB355" s="230">
        <f t="shared" si="17"/>
        <v>0</v>
      </c>
      <c r="AC355" s="230">
        <f t="shared" si="17"/>
        <v>0</v>
      </c>
      <c r="AD355" s="230">
        <f t="shared" si="17"/>
        <v>0</v>
      </c>
      <c r="AE355" s="230">
        <f t="shared" si="17"/>
        <v>0</v>
      </c>
      <c r="AF355" s="230">
        <f t="shared" si="17"/>
        <v>0</v>
      </c>
      <c r="AG355" s="230">
        <f t="shared" si="17"/>
        <v>0</v>
      </c>
      <c r="AH355" s="230">
        <f t="shared" si="17"/>
        <v>0</v>
      </c>
      <c r="AI355" s="230">
        <f t="shared" si="17"/>
        <v>0</v>
      </c>
      <c r="AJ355" s="230">
        <f t="shared" si="17"/>
        <v>0</v>
      </c>
      <c r="AK355" s="230">
        <f t="shared" si="17"/>
        <v>0</v>
      </c>
      <c r="AL355" s="230">
        <f t="shared" si="17"/>
        <v>0</v>
      </c>
      <c r="AM355" s="230">
        <f t="shared" si="17"/>
        <v>0</v>
      </c>
      <c r="AN355" s="230">
        <f t="shared" si="17"/>
        <v>0</v>
      </c>
      <c r="AO355" s="230">
        <f t="shared" si="17"/>
        <v>0</v>
      </c>
    </row>
    <row r="356" spans="1:41" ht="12.75" customHeight="1" x14ac:dyDescent="0.25">
      <c r="C356" s="774"/>
      <c r="D356" s="771"/>
      <c r="E356" s="229" t="s">
        <v>73</v>
      </c>
      <c r="F356" s="230">
        <f>F269</f>
        <v>627141.97</v>
      </c>
      <c r="G356" s="90"/>
      <c r="H356" s="90"/>
      <c r="I356" s="90"/>
      <c r="J356" s="90"/>
      <c r="K356" s="90"/>
      <c r="L356" s="90"/>
      <c r="M356" s="90"/>
      <c r="N356" s="90"/>
      <c r="O356" s="90"/>
      <c r="P356" s="90"/>
      <c r="Q356" s="90"/>
      <c r="R356" s="90"/>
    </row>
    <row r="357" spans="1:41" ht="12.75" customHeight="1" x14ac:dyDescent="0.3">
      <c r="A357" s="89"/>
      <c r="C357" s="97"/>
      <c r="F357" s="90"/>
      <c r="G357" s="90"/>
      <c r="H357" s="90"/>
      <c r="I357" s="90"/>
      <c r="J357" s="90"/>
      <c r="K357" s="90"/>
      <c r="L357" s="90"/>
      <c r="M357" s="90"/>
      <c r="N357" s="90"/>
      <c r="O357" s="90"/>
      <c r="P357" s="90"/>
      <c r="Q357" s="90"/>
      <c r="R357" s="90"/>
      <c r="S357" s="90"/>
    </row>
    <row r="358" spans="1:41" ht="12.75" customHeight="1" x14ac:dyDescent="0.25">
      <c r="C358" s="772" t="s">
        <v>328</v>
      </c>
      <c r="D358" s="771" t="s">
        <v>132</v>
      </c>
      <c r="E358" s="373" t="s">
        <v>70</v>
      </c>
      <c r="F358" s="374">
        <v>0</v>
      </c>
      <c r="G358" s="374">
        <v>0</v>
      </c>
      <c r="H358" s="374">
        <v>0</v>
      </c>
      <c r="I358" s="374">
        <v>0</v>
      </c>
      <c r="J358" s="374">
        <v>0</v>
      </c>
      <c r="K358" s="374">
        <v>0</v>
      </c>
      <c r="L358" s="374">
        <v>0</v>
      </c>
      <c r="M358" s="374">
        <v>0</v>
      </c>
      <c r="N358" s="374">
        <v>0</v>
      </c>
      <c r="O358" s="374">
        <v>0</v>
      </c>
      <c r="P358" s="374">
        <v>0</v>
      </c>
      <c r="Q358" s="374">
        <v>0</v>
      </c>
      <c r="R358" s="374">
        <v>0</v>
      </c>
      <c r="S358" s="374">
        <v>0</v>
      </c>
      <c r="T358" s="374">
        <v>0</v>
      </c>
      <c r="U358" s="374">
        <v>0</v>
      </c>
      <c r="V358" s="374">
        <v>0</v>
      </c>
      <c r="W358" s="374">
        <v>0</v>
      </c>
      <c r="X358" s="374">
        <v>0</v>
      </c>
      <c r="Y358" s="374">
        <v>0</v>
      </c>
      <c r="Z358" s="374">
        <v>0</v>
      </c>
      <c r="AA358" s="374">
        <v>0</v>
      </c>
      <c r="AB358" s="374">
        <v>0</v>
      </c>
      <c r="AC358" s="374">
        <v>0</v>
      </c>
      <c r="AD358" s="374">
        <v>0</v>
      </c>
      <c r="AE358" s="374">
        <v>0</v>
      </c>
      <c r="AF358" s="374">
        <v>0</v>
      </c>
      <c r="AG358" s="374">
        <v>0</v>
      </c>
      <c r="AH358" s="374">
        <v>0</v>
      </c>
      <c r="AI358" s="374">
        <v>0</v>
      </c>
      <c r="AJ358" s="374">
        <v>0</v>
      </c>
      <c r="AK358" s="374">
        <v>0</v>
      </c>
      <c r="AL358" s="374">
        <v>0</v>
      </c>
      <c r="AM358" s="374">
        <v>0</v>
      </c>
      <c r="AN358" s="374">
        <v>0</v>
      </c>
      <c r="AO358" s="374">
        <v>0</v>
      </c>
    </row>
    <row r="359" spans="1:41" ht="12.75" customHeight="1" x14ac:dyDescent="0.25">
      <c r="C359" s="772"/>
      <c r="D359" s="771"/>
      <c r="E359" s="373" t="s">
        <v>73</v>
      </c>
      <c r="F359" s="374">
        <v>0</v>
      </c>
      <c r="G359" s="90"/>
      <c r="H359" s="90"/>
      <c r="I359" s="90"/>
      <c r="J359" s="90"/>
      <c r="K359" s="90"/>
      <c r="L359" s="90"/>
      <c r="M359" s="90"/>
      <c r="N359" s="90"/>
      <c r="O359" s="90"/>
      <c r="P359" s="90"/>
      <c r="Q359" s="90"/>
      <c r="R359" s="90"/>
      <c r="S359" s="90"/>
    </row>
    <row r="360" spans="1:41" ht="12.75" customHeight="1" x14ac:dyDescent="0.25">
      <c r="C360" s="772"/>
      <c r="D360" s="771" t="s">
        <v>133</v>
      </c>
      <c r="E360" s="242" t="s">
        <v>70</v>
      </c>
      <c r="F360" s="243">
        <v>0</v>
      </c>
      <c r="G360" s="243">
        <v>0</v>
      </c>
      <c r="H360" s="243">
        <v>0</v>
      </c>
      <c r="I360" s="243">
        <v>0</v>
      </c>
      <c r="J360" s="243">
        <v>0</v>
      </c>
      <c r="K360" s="243">
        <v>0</v>
      </c>
      <c r="L360" s="243">
        <v>0</v>
      </c>
      <c r="M360" s="243">
        <v>0</v>
      </c>
      <c r="N360" s="243">
        <v>0</v>
      </c>
      <c r="O360" s="243">
        <v>0</v>
      </c>
      <c r="P360" s="243">
        <v>0</v>
      </c>
      <c r="Q360" s="243">
        <v>0</v>
      </c>
      <c r="R360" s="243">
        <v>0</v>
      </c>
      <c r="S360" s="243">
        <v>0</v>
      </c>
      <c r="T360" s="243">
        <v>0</v>
      </c>
      <c r="U360" s="243">
        <v>0</v>
      </c>
      <c r="V360" s="243">
        <v>0</v>
      </c>
      <c r="W360" s="243">
        <v>0</v>
      </c>
      <c r="X360" s="243">
        <v>0</v>
      </c>
      <c r="Y360" s="243">
        <v>0</v>
      </c>
      <c r="Z360" s="243">
        <v>0</v>
      </c>
      <c r="AA360" s="243">
        <v>0</v>
      </c>
      <c r="AB360" s="243">
        <v>0</v>
      </c>
      <c r="AC360" s="243">
        <v>0</v>
      </c>
      <c r="AD360" s="243">
        <v>0</v>
      </c>
      <c r="AE360" s="243">
        <v>0</v>
      </c>
      <c r="AF360" s="243">
        <v>0</v>
      </c>
      <c r="AG360" s="243">
        <v>0</v>
      </c>
      <c r="AH360" s="243">
        <v>0</v>
      </c>
      <c r="AI360" s="243">
        <v>0</v>
      </c>
      <c r="AJ360" s="243">
        <v>0</v>
      </c>
      <c r="AK360" s="243">
        <v>0</v>
      </c>
      <c r="AL360" s="243">
        <v>0</v>
      </c>
      <c r="AM360" s="243">
        <v>0</v>
      </c>
      <c r="AN360" s="243">
        <v>0</v>
      </c>
      <c r="AO360" s="243">
        <v>0</v>
      </c>
    </row>
    <row r="361" spans="1:41" ht="12.75" customHeight="1" x14ac:dyDescent="0.25">
      <c r="C361" s="772"/>
      <c r="D361" s="771"/>
      <c r="E361" s="242" t="s">
        <v>73</v>
      </c>
      <c r="F361" s="243">
        <v>0</v>
      </c>
      <c r="G361" s="90"/>
      <c r="H361" s="90"/>
      <c r="I361" s="90"/>
      <c r="J361" s="90"/>
      <c r="K361" s="90"/>
      <c r="L361" s="90"/>
      <c r="M361" s="90"/>
      <c r="N361" s="90"/>
      <c r="O361" s="90"/>
      <c r="P361" s="90"/>
      <c r="Q361" s="90"/>
      <c r="R361" s="90"/>
    </row>
    <row r="362" spans="1:41" ht="12.75" customHeight="1" x14ac:dyDescent="0.3">
      <c r="A362" s="89"/>
      <c r="C362" s="97"/>
      <c r="F362" s="90"/>
      <c r="G362" s="90"/>
      <c r="H362" s="90"/>
      <c r="I362" s="90"/>
      <c r="J362" s="90"/>
      <c r="K362" s="90"/>
      <c r="L362" s="90"/>
      <c r="M362" s="90"/>
      <c r="N362" s="90"/>
      <c r="O362" s="90"/>
      <c r="P362" s="90"/>
      <c r="Q362" s="90"/>
      <c r="R362" s="90"/>
      <c r="S362" s="90"/>
    </row>
    <row r="363" spans="1:41" ht="12.75" customHeight="1" x14ac:dyDescent="0.25">
      <c r="C363" s="774" t="s">
        <v>119</v>
      </c>
      <c r="D363" s="771" t="s">
        <v>132</v>
      </c>
      <c r="E363" s="101" t="s">
        <v>70</v>
      </c>
      <c r="F363" s="93">
        <f>F280+F264+F243-L243-L264</f>
        <v>1229014628.26</v>
      </c>
      <c r="G363" s="93">
        <f>G264+G243</f>
        <v>167230330.67000002</v>
      </c>
      <c r="H363" s="93">
        <f t="shared" ref="H363:AO363" si="18">H264+H243</f>
        <v>93972472.179999992</v>
      </c>
      <c r="I363" s="93">
        <f t="shared" si="18"/>
        <v>49551756.759999998</v>
      </c>
      <c r="J363" s="93">
        <f t="shared" si="18"/>
        <v>36451248.549999997</v>
      </c>
      <c r="K363" s="93">
        <f t="shared" si="18"/>
        <v>1126893.08</v>
      </c>
      <c r="L363" s="93">
        <f t="shared" si="18"/>
        <v>1311387.82</v>
      </c>
      <c r="M363" s="93">
        <f t="shared" si="18"/>
        <v>9857217.8900000006</v>
      </c>
      <c r="N363" s="93">
        <f t="shared" si="18"/>
        <v>13264002.32</v>
      </c>
      <c r="O363" s="93">
        <f t="shared" si="18"/>
        <v>61942084.880000003</v>
      </c>
      <c r="P363" s="93">
        <f t="shared" si="18"/>
        <v>389042295.69999999</v>
      </c>
      <c r="Q363" s="93">
        <f t="shared" si="18"/>
        <v>1840458.24</v>
      </c>
      <c r="R363" s="93">
        <f t="shared" si="18"/>
        <v>-1003.46</v>
      </c>
      <c r="S363" s="93">
        <f t="shared" si="18"/>
        <v>-11886.56</v>
      </c>
      <c r="T363" s="93">
        <f t="shared" si="18"/>
        <v>0</v>
      </c>
      <c r="U363" s="93">
        <f t="shared" si="18"/>
        <v>0</v>
      </c>
      <c r="V363" s="93">
        <f t="shared" si="18"/>
        <v>0</v>
      </c>
      <c r="W363" s="93">
        <f t="shared" si="18"/>
        <v>0</v>
      </c>
      <c r="X363" s="93">
        <f t="shared" si="18"/>
        <v>0</v>
      </c>
      <c r="Y363" s="93">
        <f t="shared" si="18"/>
        <v>0</v>
      </c>
      <c r="Z363" s="93">
        <f t="shared" si="18"/>
        <v>0</v>
      </c>
      <c r="AA363" s="93">
        <f t="shared" si="18"/>
        <v>0</v>
      </c>
      <c r="AB363" s="93">
        <f t="shared" si="18"/>
        <v>0</v>
      </c>
      <c r="AC363" s="93">
        <f t="shared" si="18"/>
        <v>0</v>
      </c>
      <c r="AD363" s="93">
        <f t="shared" si="18"/>
        <v>0</v>
      </c>
      <c r="AE363" s="93">
        <f t="shared" si="18"/>
        <v>0</v>
      </c>
      <c r="AF363" s="93">
        <f t="shared" si="18"/>
        <v>0</v>
      </c>
      <c r="AG363" s="93">
        <f t="shared" si="18"/>
        <v>0</v>
      </c>
      <c r="AH363" s="93">
        <f t="shared" si="18"/>
        <v>0</v>
      </c>
      <c r="AI363" s="93">
        <f t="shared" si="18"/>
        <v>0</v>
      </c>
      <c r="AJ363" s="93">
        <f t="shared" si="18"/>
        <v>0</v>
      </c>
      <c r="AK363" s="93">
        <f t="shared" si="18"/>
        <v>0</v>
      </c>
      <c r="AL363" s="93">
        <f t="shared" si="18"/>
        <v>0</v>
      </c>
      <c r="AM363" s="93">
        <f t="shared" si="18"/>
        <v>0</v>
      </c>
      <c r="AN363" s="93">
        <f t="shared" si="18"/>
        <v>0</v>
      </c>
      <c r="AO363" s="93">
        <f t="shared" si="18"/>
        <v>0</v>
      </c>
    </row>
    <row r="364" spans="1:41" ht="12.75" customHeight="1" x14ac:dyDescent="0.25">
      <c r="C364" s="774"/>
      <c r="D364" s="771"/>
      <c r="E364" s="101" t="s">
        <v>73</v>
      </c>
      <c r="F364" s="93">
        <f>F280</f>
        <v>404748758.00999999</v>
      </c>
      <c r="G364" s="90"/>
      <c r="H364" s="90"/>
      <c r="I364" s="90"/>
      <c r="J364" s="90"/>
      <c r="K364" s="90"/>
      <c r="L364" s="90"/>
      <c r="M364" s="90"/>
      <c r="N364" s="90"/>
      <c r="O364" s="90"/>
      <c r="P364" s="90"/>
      <c r="Q364" s="90"/>
      <c r="R364" s="90"/>
      <c r="S364" s="90"/>
    </row>
    <row r="365" spans="1:41" ht="12.75" customHeight="1" x14ac:dyDescent="0.25">
      <c r="C365" s="774"/>
      <c r="D365" s="771" t="s">
        <v>133</v>
      </c>
      <c r="E365" s="235" t="s">
        <v>70</v>
      </c>
      <c r="F365" s="236">
        <v>0</v>
      </c>
      <c r="G365" s="236">
        <v>0</v>
      </c>
      <c r="H365" s="236">
        <v>0</v>
      </c>
      <c r="I365" s="236">
        <v>0</v>
      </c>
      <c r="J365" s="236">
        <v>0</v>
      </c>
      <c r="K365" s="236">
        <v>0</v>
      </c>
      <c r="L365" s="236">
        <v>0</v>
      </c>
      <c r="M365" s="236">
        <v>0</v>
      </c>
      <c r="N365" s="236">
        <v>0</v>
      </c>
      <c r="O365" s="236">
        <v>0</v>
      </c>
      <c r="P365" s="236">
        <v>0</v>
      </c>
      <c r="Q365" s="236">
        <v>0</v>
      </c>
      <c r="R365" s="236">
        <v>0</v>
      </c>
      <c r="S365" s="236">
        <v>0</v>
      </c>
      <c r="T365" s="236">
        <v>0</v>
      </c>
      <c r="U365" s="236">
        <v>0</v>
      </c>
      <c r="V365" s="236">
        <v>0</v>
      </c>
      <c r="W365" s="236">
        <v>0</v>
      </c>
      <c r="X365" s="236">
        <v>0</v>
      </c>
      <c r="Y365" s="236">
        <v>0</v>
      </c>
      <c r="Z365" s="236">
        <v>0</v>
      </c>
      <c r="AA365" s="236">
        <v>0</v>
      </c>
      <c r="AB365" s="236">
        <v>0</v>
      </c>
      <c r="AC365" s="236">
        <v>0</v>
      </c>
      <c r="AD365" s="236">
        <v>0</v>
      </c>
      <c r="AE365" s="236">
        <v>0</v>
      </c>
      <c r="AF365" s="236">
        <v>0</v>
      </c>
      <c r="AG365" s="236">
        <v>0</v>
      </c>
      <c r="AH365" s="236">
        <v>0</v>
      </c>
      <c r="AI365" s="236">
        <v>0</v>
      </c>
      <c r="AJ365" s="236">
        <v>0</v>
      </c>
      <c r="AK365" s="236">
        <v>0</v>
      </c>
      <c r="AL365" s="236">
        <v>0</v>
      </c>
      <c r="AM365" s="236">
        <v>0</v>
      </c>
      <c r="AN365" s="236">
        <v>0</v>
      </c>
      <c r="AO365" s="236">
        <v>0</v>
      </c>
    </row>
    <row r="366" spans="1:41" ht="12.75" customHeight="1" x14ac:dyDescent="0.25">
      <c r="C366" s="774"/>
      <c r="D366" s="771"/>
      <c r="E366" s="235" t="s">
        <v>73</v>
      </c>
      <c r="F366" s="236">
        <v>0</v>
      </c>
      <c r="G366" s="90"/>
      <c r="H366" s="90"/>
      <c r="I366" s="90"/>
      <c r="J366" s="90"/>
      <c r="K366" s="90"/>
      <c r="L366" s="90"/>
      <c r="M366" s="90"/>
      <c r="N366" s="90"/>
      <c r="O366" s="90"/>
      <c r="P366" s="90"/>
      <c r="Q366" s="90"/>
      <c r="R366" s="90"/>
    </row>
    <row r="367" spans="1:41" ht="12.75" customHeight="1" x14ac:dyDescent="0.3">
      <c r="A367" s="89"/>
      <c r="C367" s="97"/>
      <c r="F367" s="90"/>
      <c r="G367" s="90"/>
      <c r="H367" s="90"/>
      <c r="I367" s="90"/>
      <c r="J367" s="90"/>
      <c r="K367" s="90"/>
      <c r="L367" s="90"/>
      <c r="M367" s="90"/>
      <c r="N367" s="90"/>
      <c r="O367" s="90"/>
      <c r="P367" s="90"/>
      <c r="Q367" s="90"/>
      <c r="R367" s="90"/>
      <c r="S367" s="90"/>
    </row>
    <row r="368" spans="1:41" ht="12.75" customHeight="1" x14ac:dyDescent="0.25">
      <c r="C368" s="773" t="s">
        <v>161</v>
      </c>
      <c r="D368" s="771" t="s">
        <v>132</v>
      </c>
      <c r="E368" s="231" t="s">
        <v>70</v>
      </c>
      <c r="F368" s="232">
        <v>0</v>
      </c>
      <c r="G368" s="232">
        <v>0</v>
      </c>
      <c r="H368" s="232">
        <v>0</v>
      </c>
      <c r="I368" s="232">
        <v>0</v>
      </c>
      <c r="J368" s="232">
        <v>0</v>
      </c>
      <c r="K368" s="232">
        <v>0</v>
      </c>
      <c r="L368" s="232">
        <v>0</v>
      </c>
      <c r="M368" s="232">
        <v>0</v>
      </c>
      <c r="N368" s="232">
        <v>0</v>
      </c>
      <c r="O368" s="232">
        <v>0</v>
      </c>
      <c r="P368" s="232">
        <v>0</v>
      </c>
      <c r="Q368" s="232">
        <v>0</v>
      </c>
      <c r="R368" s="232">
        <v>0</v>
      </c>
      <c r="S368" s="232">
        <v>0</v>
      </c>
      <c r="T368" s="232">
        <v>0</v>
      </c>
      <c r="U368" s="232"/>
      <c r="V368" s="232"/>
      <c r="W368" s="232"/>
      <c r="X368" s="232">
        <v>0</v>
      </c>
      <c r="Y368" s="232">
        <v>0</v>
      </c>
      <c r="Z368" s="232">
        <v>0</v>
      </c>
      <c r="AA368" s="232">
        <v>0</v>
      </c>
      <c r="AB368" s="232">
        <v>0</v>
      </c>
      <c r="AC368" s="232">
        <v>0</v>
      </c>
      <c r="AD368" s="232">
        <v>0</v>
      </c>
      <c r="AE368" s="232">
        <v>0</v>
      </c>
      <c r="AF368" s="232">
        <v>0</v>
      </c>
      <c r="AG368" s="232">
        <v>0</v>
      </c>
      <c r="AH368" s="232">
        <v>0</v>
      </c>
      <c r="AI368" s="232">
        <v>0</v>
      </c>
      <c r="AJ368" s="232">
        <v>0</v>
      </c>
      <c r="AK368" s="232">
        <v>0</v>
      </c>
      <c r="AL368" s="232">
        <v>0</v>
      </c>
      <c r="AM368" s="232">
        <v>0</v>
      </c>
      <c r="AN368" s="232">
        <v>0</v>
      </c>
      <c r="AO368" s="232">
        <v>0</v>
      </c>
    </row>
    <row r="369" spans="1:41" ht="12.75" customHeight="1" x14ac:dyDescent="0.25">
      <c r="C369" s="773"/>
      <c r="D369" s="771"/>
      <c r="E369" s="231" t="s">
        <v>73</v>
      </c>
      <c r="F369" s="232">
        <v>0</v>
      </c>
      <c r="G369" s="90"/>
      <c r="H369" s="90"/>
      <c r="I369" s="90"/>
      <c r="J369" s="90"/>
      <c r="K369" s="90"/>
      <c r="L369" s="90"/>
      <c r="M369" s="90"/>
      <c r="N369" s="90"/>
      <c r="O369" s="90"/>
      <c r="P369" s="90"/>
      <c r="Q369" s="90"/>
      <c r="R369" s="90"/>
      <c r="S369" s="90"/>
    </row>
    <row r="370" spans="1:41" ht="12.75" customHeight="1" x14ac:dyDescent="0.25">
      <c r="C370" s="773"/>
      <c r="D370" s="771" t="s">
        <v>133</v>
      </c>
      <c r="E370" s="148" t="s">
        <v>70</v>
      </c>
      <c r="F370" s="149">
        <v>0</v>
      </c>
      <c r="G370" s="149">
        <v>0</v>
      </c>
      <c r="H370" s="149">
        <v>0</v>
      </c>
      <c r="I370" s="149">
        <v>0</v>
      </c>
      <c r="J370" s="149">
        <v>0</v>
      </c>
      <c r="K370" s="149">
        <v>0</v>
      </c>
      <c r="L370" s="149">
        <v>0</v>
      </c>
      <c r="M370" s="149">
        <v>0</v>
      </c>
      <c r="N370" s="149">
        <v>0</v>
      </c>
      <c r="O370" s="149">
        <v>0</v>
      </c>
      <c r="P370" s="149">
        <v>0</v>
      </c>
      <c r="Q370" s="149">
        <v>0</v>
      </c>
      <c r="R370" s="149">
        <v>0</v>
      </c>
      <c r="S370" s="149">
        <v>0</v>
      </c>
      <c r="T370" s="149">
        <v>0</v>
      </c>
      <c r="U370" s="149"/>
      <c r="V370" s="149"/>
      <c r="W370" s="149"/>
      <c r="X370" s="149">
        <v>0</v>
      </c>
      <c r="Y370" s="149">
        <v>0</v>
      </c>
      <c r="Z370" s="149">
        <v>0</v>
      </c>
      <c r="AA370" s="149">
        <v>0</v>
      </c>
      <c r="AB370" s="149">
        <v>0</v>
      </c>
      <c r="AC370" s="149">
        <v>0</v>
      </c>
      <c r="AD370" s="149">
        <v>0</v>
      </c>
      <c r="AE370" s="149">
        <v>0</v>
      </c>
      <c r="AF370" s="149">
        <v>0</v>
      </c>
      <c r="AG370" s="149">
        <v>0</v>
      </c>
      <c r="AH370" s="149">
        <v>0</v>
      </c>
      <c r="AI370" s="149">
        <v>0</v>
      </c>
      <c r="AJ370" s="149">
        <v>0</v>
      </c>
      <c r="AK370" s="149">
        <v>0</v>
      </c>
      <c r="AL370" s="149">
        <v>0</v>
      </c>
      <c r="AM370" s="149">
        <v>0</v>
      </c>
      <c r="AN370" s="149">
        <v>0</v>
      </c>
      <c r="AO370" s="149">
        <v>0</v>
      </c>
    </row>
    <row r="371" spans="1:41" ht="12.75" customHeight="1" x14ac:dyDescent="0.25">
      <c r="C371" s="773"/>
      <c r="D371" s="771"/>
      <c r="E371" s="148" t="s">
        <v>73</v>
      </c>
      <c r="F371" s="149">
        <v>0</v>
      </c>
      <c r="G371" s="90"/>
      <c r="H371" s="90"/>
      <c r="I371" s="90"/>
      <c r="J371" s="90"/>
      <c r="K371" s="90"/>
      <c r="L371" s="90"/>
      <c r="M371" s="90"/>
      <c r="N371" s="90"/>
      <c r="O371" s="90"/>
      <c r="P371" s="90"/>
      <c r="Q371" s="90"/>
      <c r="R371" s="90"/>
    </row>
    <row r="372" spans="1:41" ht="12.75" customHeight="1" x14ac:dyDescent="0.25">
      <c r="C372" s="388"/>
      <c r="D372" s="220"/>
      <c r="E372" s="89"/>
      <c r="F372" s="90"/>
      <c r="G372" s="90"/>
      <c r="H372" s="90"/>
      <c r="I372" s="90"/>
      <c r="J372" s="90"/>
      <c r="K372" s="90"/>
      <c r="L372" s="90"/>
      <c r="M372" s="90"/>
      <c r="N372" s="90"/>
      <c r="O372" s="90"/>
      <c r="P372" s="90"/>
      <c r="Q372" s="90"/>
      <c r="R372" s="90"/>
    </row>
    <row r="373" spans="1:41" ht="12.75" customHeight="1" x14ac:dyDescent="0.25">
      <c r="D373" s="458" t="s">
        <v>186</v>
      </c>
      <c r="E373" s="459" t="s">
        <v>70</v>
      </c>
      <c r="F373" s="460">
        <f>F244</f>
        <v>-16458.46</v>
      </c>
      <c r="G373" s="460">
        <f t="shared" ref="G373:Z373" si="19">G244</f>
        <v>-1490.88</v>
      </c>
      <c r="H373" s="460">
        <f t="shared" si="19"/>
        <v>-633.39</v>
      </c>
      <c r="I373" s="460">
        <f t="shared" si="19"/>
        <v>-276.60000000000002</v>
      </c>
      <c r="J373" s="460">
        <f t="shared" si="19"/>
        <v>-3142.56</v>
      </c>
      <c r="K373" s="460">
        <f t="shared" si="19"/>
        <v>-129.47999999999999</v>
      </c>
      <c r="L373" s="460">
        <f t="shared" si="19"/>
        <v>0</v>
      </c>
      <c r="M373" s="460">
        <f t="shared" si="19"/>
        <v>-1135.68</v>
      </c>
      <c r="N373" s="460">
        <f t="shared" si="19"/>
        <v>-1423.48</v>
      </c>
      <c r="O373" s="460">
        <f t="shared" si="19"/>
        <v>-4781.43</v>
      </c>
      <c r="P373" s="460">
        <f t="shared" si="19"/>
        <v>-3233.73</v>
      </c>
      <c r="Q373" s="460">
        <f t="shared" si="19"/>
        <v>-211.23</v>
      </c>
      <c r="R373" s="460">
        <f t="shared" si="19"/>
        <v>0</v>
      </c>
      <c r="S373" s="460">
        <f t="shared" si="19"/>
        <v>0</v>
      </c>
      <c r="T373" s="460">
        <f t="shared" si="19"/>
        <v>0</v>
      </c>
      <c r="U373" s="460">
        <f t="shared" si="19"/>
        <v>0</v>
      </c>
      <c r="V373" s="460">
        <f t="shared" si="19"/>
        <v>0</v>
      </c>
      <c r="W373" s="460">
        <f t="shared" si="19"/>
        <v>0</v>
      </c>
      <c r="X373" s="460">
        <f t="shared" si="19"/>
        <v>0</v>
      </c>
      <c r="Y373" s="460">
        <f t="shared" si="19"/>
        <v>0</v>
      </c>
      <c r="Z373" s="460">
        <f t="shared" si="19"/>
        <v>0</v>
      </c>
    </row>
    <row r="374" spans="1:41" ht="12.75" customHeight="1" x14ac:dyDescent="0.25">
      <c r="C374" s="388"/>
      <c r="D374" s="220"/>
      <c r="E374" s="89"/>
      <c r="F374" s="90"/>
      <c r="G374" s="90"/>
      <c r="H374" s="90"/>
      <c r="I374" s="90"/>
      <c r="J374" s="90"/>
      <c r="K374" s="90"/>
      <c r="L374" s="90"/>
      <c r="M374" s="90"/>
      <c r="N374" s="90"/>
      <c r="O374" s="90"/>
      <c r="P374" s="90"/>
      <c r="Q374" s="90"/>
      <c r="R374" s="90"/>
    </row>
    <row r="375" spans="1:41" s="238" customFormat="1" ht="12.75" customHeight="1" x14ac:dyDescent="0.25">
      <c r="D375" s="239"/>
      <c r="E375" s="240"/>
      <c r="F375" s="240"/>
      <c r="G375" s="240"/>
      <c r="H375" s="240"/>
      <c r="I375" s="240"/>
      <c r="J375" s="240"/>
      <c r="K375" s="240"/>
      <c r="L375" s="240"/>
      <c r="M375" s="240"/>
      <c r="N375" s="240"/>
      <c r="O375" s="240"/>
      <c r="P375" s="240"/>
      <c r="Q375" s="240"/>
    </row>
    <row r="376" spans="1:41" ht="12.75" customHeight="1" x14ac:dyDescent="0.3">
      <c r="A376" s="89"/>
      <c r="B376" s="97" t="s">
        <v>88</v>
      </c>
      <c r="E376" s="90"/>
      <c r="F376" s="90"/>
      <c r="G376" s="90"/>
      <c r="H376" s="90"/>
      <c r="I376" s="90"/>
      <c r="J376" s="90"/>
      <c r="K376" s="90"/>
      <c r="L376" s="90"/>
      <c r="M376" s="90"/>
      <c r="N376" s="90"/>
      <c r="O376" s="90"/>
      <c r="P376" s="90"/>
      <c r="Q376" s="90"/>
    </row>
    <row r="377" spans="1:41" ht="12.75" customHeight="1" x14ac:dyDescent="0.25">
      <c r="A377" s="142"/>
      <c r="F377" s="89" t="s">
        <v>70</v>
      </c>
      <c r="G377" s="89" t="s">
        <v>64</v>
      </c>
      <c r="H377" s="89" t="s">
        <v>65</v>
      </c>
      <c r="I377" s="218" t="s">
        <v>164</v>
      </c>
      <c r="J377" s="89" t="s">
        <v>69</v>
      </c>
      <c r="K377" s="89" t="s">
        <v>68</v>
      </c>
      <c r="L377" s="89" t="s">
        <v>71</v>
      </c>
      <c r="M377" s="89" t="s">
        <v>66</v>
      </c>
      <c r="N377" s="89" t="s">
        <v>63</v>
      </c>
      <c r="O377" s="89" t="s">
        <v>61</v>
      </c>
      <c r="P377" s="89" t="s">
        <v>62</v>
      </c>
      <c r="Q377" s="89" t="s">
        <v>67</v>
      </c>
      <c r="R377" s="89" t="s">
        <v>77</v>
      </c>
      <c r="S377" s="89" t="s">
        <v>80</v>
      </c>
      <c r="T377" t="s">
        <v>135</v>
      </c>
      <c r="U377" t="s">
        <v>223</v>
      </c>
      <c r="V377" t="s">
        <v>224</v>
      </c>
      <c r="W377" t="s">
        <v>173</v>
      </c>
      <c r="X377" t="s">
        <v>167</v>
      </c>
      <c r="Y377" s="89" t="s">
        <v>135</v>
      </c>
      <c r="Z377" t="s">
        <v>167</v>
      </c>
    </row>
    <row r="378" spans="1:41" ht="12.75" customHeight="1" x14ac:dyDescent="0.25">
      <c r="E378" s="89" t="s">
        <v>72</v>
      </c>
      <c r="F378" s="371">
        <v>-280784.65000000002</v>
      </c>
      <c r="G378" s="90">
        <v>-22556.67</v>
      </c>
      <c r="H378" s="90">
        <v>-9582.84</v>
      </c>
      <c r="I378" s="90">
        <v>-4184.76</v>
      </c>
      <c r="J378" s="90">
        <v>-52204.81</v>
      </c>
      <c r="K378" s="90">
        <v>-2126.02</v>
      </c>
      <c r="L378" s="90">
        <v>0</v>
      </c>
      <c r="M378" s="90">
        <v>-18648.64</v>
      </c>
      <c r="N378" s="90">
        <v>-23713.72</v>
      </c>
      <c r="O378" s="90">
        <v>-87072.87</v>
      </c>
      <c r="P378" s="90">
        <v>-57225.48</v>
      </c>
      <c r="Q378" s="90">
        <v>-3468.84</v>
      </c>
      <c r="R378" s="90">
        <v>0</v>
      </c>
      <c r="S378" s="90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 s="90">
        <v>0</v>
      </c>
      <c r="Z378">
        <v>0</v>
      </c>
    </row>
    <row r="379" spans="1:41" ht="12.75" customHeight="1" x14ac:dyDescent="0.25">
      <c r="D379" t="s">
        <v>156</v>
      </c>
      <c r="E379" s="89" t="s">
        <v>70</v>
      </c>
      <c r="F379" s="371">
        <v>-280784.65000000002</v>
      </c>
      <c r="G379" s="90">
        <v>-22556.67</v>
      </c>
      <c r="H379" s="90">
        <v>-9582.84</v>
      </c>
      <c r="I379" s="90">
        <v>-4184.76</v>
      </c>
      <c r="J379" s="90">
        <v>-52204.81</v>
      </c>
      <c r="K379" s="90">
        <v>-2126.02</v>
      </c>
      <c r="L379" s="90">
        <v>0</v>
      </c>
      <c r="M379" s="90">
        <v>-18648.64</v>
      </c>
      <c r="N379" s="90">
        <v>-23713.72</v>
      </c>
      <c r="O379" s="90">
        <v>-87072.87</v>
      </c>
      <c r="P379" s="90">
        <v>-57225.48</v>
      </c>
      <c r="Q379" s="90">
        <v>-3468.84</v>
      </c>
      <c r="R379" s="90">
        <v>0</v>
      </c>
      <c r="S379" s="90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 s="90">
        <v>0</v>
      </c>
      <c r="Z379">
        <v>0</v>
      </c>
    </row>
    <row r="380" spans="1:41" s="657" customFormat="1" ht="12.75" customHeight="1" x14ac:dyDescent="0.25">
      <c r="C380" s="657" t="s">
        <v>155</v>
      </c>
      <c r="D380" s="658" t="s">
        <v>70</v>
      </c>
      <c r="E380" s="658"/>
      <c r="F380" s="659">
        <v>-280784.65000000002</v>
      </c>
      <c r="G380" s="659">
        <v>-22556.67</v>
      </c>
      <c r="H380" s="659">
        <v>-9582.84</v>
      </c>
      <c r="I380" s="659">
        <v>-4184.76</v>
      </c>
      <c r="J380" s="659">
        <v>-52204.81</v>
      </c>
      <c r="K380" s="659">
        <v>-2126.02</v>
      </c>
      <c r="L380" s="659">
        <v>0</v>
      </c>
      <c r="M380" s="659">
        <v>-18648.64</v>
      </c>
      <c r="N380" s="659">
        <v>-23713.72</v>
      </c>
      <c r="O380" s="659">
        <v>-87072.87</v>
      </c>
      <c r="P380" s="659">
        <v>-57225.48</v>
      </c>
      <c r="Q380" s="659">
        <v>-3468.84</v>
      </c>
      <c r="R380" s="659">
        <v>0</v>
      </c>
      <c r="S380" s="659">
        <v>0</v>
      </c>
      <c r="T380" s="657">
        <v>0</v>
      </c>
      <c r="U380" s="657">
        <v>0</v>
      </c>
      <c r="V380" s="657">
        <v>0</v>
      </c>
      <c r="W380" s="657">
        <v>0</v>
      </c>
      <c r="X380" s="657">
        <v>0</v>
      </c>
      <c r="Y380" s="659">
        <v>0</v>
      </c>
      <c r="Z380" s="657">
        <v>0</v>
      </c>
    </row>
    <row r="381" spans="1:41" ht="12.75" customHeight="1" x14ac:dyDescent="0.25">
      <c r="E381" s="89" t="s">
        <v>72</v>
      </c>
      <c r="F381" s="371">
        <v>-159171.87</v>
      </c>
      <c r="G381" s="90">
        <v>-12887.74</v>
      </c>
      <c r="H381" s="90">
        <v>-5475.2</v>
      </c>
      <c r="I381" s="90">
        <v>-2390.9699999999998</v>
      </c>
      <c r="J381" s="90">
        <v>-29437.37</v>
      </c>
      <c r="K381" s="90">
        <v>-1198.82</v>
      </c>
      <c r="L381" s="90">
        <v>0</v>
      </c>
      <c r="M381" s="90">
        <v>-10515.66</v>
      </c>
      <c r="N381" s="90">
        <v>-13371.77</v>
      </c>
      <c r="O381" s="90">
        <v>-49098.82</v>
      </c>
      <c r="P381" s="90">
        <v>-32839.51</v>
      </c>
      <c r="Q381" s="90">
        <v>-1956.01</v>
      </c>
      <c r="R381" s="90">
        <v>0</v>
      </c>
      <c r="S381" s="90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 s="90">
        <v>0</v>
      </c>
      <c r="Z381">
        <v>0</v>
      </c>
    </row>
    <row r="382" spans="1:41" ht="12.75" customHeight="1" x14ac:dyDescent="0.25">
      <c r="D382" t="s">
        <v>86</v>
      </c>
      <c r="E382" s="89" t="s">
        <v>70</v>
      </c>
      <c r="F382" s="371">
        <v>-159171.87</v>
      </c>
      <c r="G382" s="90">
        <v>-12887.74</v>
      </c>
      <c r="H382" s="90">
        <v>-5475.2</v>
      </c>
      <c r="I382" s="90">
        <v>-2390.9699999999998</v>
      </c>
      <c r="J382" s="90">
        <v>-29437.37</v>
      </c>
      <c r="K382" s="90">
        <v>-1198.82</v>
      </c>
      <c r="L382" s="90">
        <v>0</v>
      </c>
      <c r="M382" s="90">
        <v>-10515.66</v>
      </c>
      <c r="N382" s="90">
        <v>-13371.77</v>
      </c>
      <c r="O382" s="90">
        <v>-49098.82</v>
      </c>
      <c r="P382" s="90">
        <v>-32839.51</v>
      </c>
      <c r="Q382" s="90">
        <v>-1956.01</v>
      </c>
      <c r="R382" s="90">
        <v>0</v>
      </c>
      <c r="S382" s="90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 s="90">
        <v>0</v>
      </c>
      <c r="Z382">
        <v>0</v>
      </c>
    </row>
    <row r="383" spans="1:41" s="94" customFormat="1" ht="12.75" customHeight="1" x14ac:dyDescent="0.25">
      <c r="C383" s="101" t="s">
        <v>119</v>
      </c>
      <c r="D383" s="101" t="s">
        <v>70</v>
      </c>
      <c r="F383" s="93">
        <v>-159171.87</v>
      </c>
      <c r="G383" s="93">
        <v>-12887.74</v>
      </c>
      <c r="H383" s="93">
        <v>-5475.2</v>
      </c>
      <c r="I383" s="93">
        <v>-2390.9699999999998</v>
      </c>
      <c r="J383" s="93">
        <v>-29437.37</v>
      </c>
      <c r="K383" s="93">
        <v>-1198.82</v>
      </c>
      <c r="L383" s="93">
        <v>0</v>
      </c>
      <c r="M383" s="93">
        <v>-10515.66</v>
      </c>
      <c r="N383" s="93">
        <v>-13371.77</v>
      </c>
      <c r="O383" s="93">
        <v>-49098.82</v>
      </c>
      <c r="P383" s="93">
        <v>-32839.51</v>
      </c>
      <c r="Q383" s="93">
        <v>-1956.01</v>
      </c>
      <c r="R383" s="93">
        <v>0</v>
      </c>
      <c r="S383" s="93">
        <v>0</v>
      </c>
      <c r="T383" s="94">
        <v>0</v>
      </c>
      <c r="U383" s="94">
        <v>0</v>
      </c>
      <c r="V383" s="94">
        <v>0</v>
      </c>
      <c r="W383" s="94">
        <v>0</v>
      </c>
      <c r="X383" s="94">
        <v>0</v>
      </c>
      <c r="Y383" s="93">
        <v>0</v>
      </c>
      <c r="Z383" s="94">
        <v>0</v>
      </c>
    </row>
    <row r="384" spans="1:41" ht="12.75" customHeight="1" x14ac:dyDescent="0.25">
      <c r="B384" t="s">
        <v>112</v>
      </c>
      <c r="C384" t="s">
        <v>70</v>
      </c>
      <c r="E384" s="89"/>
      <c r="F384" s="371">
        <v>-439956.52</v>
      </c>
      <c r="G384" s="90">
        <v>-35444.410000000003</v>
      </c>
      <c r="H384" s="90">
        <v>-15058.04</v>
      </c>
      <c r="I384" s="90">
        <v>-6575.73</v>
      </c>
      <c r="J384" s="90">
        <v>-81642.179999999993</v>
      </c>
      <c r="K384" s="90">
        <v>-3324.84</v>
      </c>
      <c r="L384" s="90">
        <v>0</v>
      </c>
      <c r="M384" s="90">
        <v>-29164.3</v>
      </c>
      <c r="N384" s="90">
        <v>-37085.49</v>
      </c>
      <c r="O384" s="90">
        <v>-136171.69</v>
      </c>
      <c r="P384" s="90">
        <v>-90064.99</v>
      </c>
      <c r="Q384" s="90">
        <v>-5424.85</v>
      </c>
      <c r="R384" s="90">
        <v>0</v>
      </c>
      <c r="S384" s="90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 s="90">
        <v>0</v>
      </c>
      <c r="Z384">
        <v>0</v>
      </c>
    </row>
    <row r="385" spans="1:26" s="458" customFormat="1" x14ac:dyDescent="0.25">
      <c r="A385" s="458" t="s">
        <v>186</v>
      </c>
      <c r="B385" s="459" t="s">
        <v>70</v>
      </c>
      <c r="C385" s="459"/>
      <c r="F385" s="460">
        <v>-439956.52</v>
      </c>
      <c r="G385" s="460">
        <v>-35444.410000000003</v>
      </c>
      <c r="H385" s="460">
        <v>-15058.04</v>
      </c>
      <c r="I385" s="460">
        <v>-6575.73</v>
      </c>
      <c r="J385" s="460">
        <v>-81642.179999999993</v>
      </c>
      <c r="K385" s="460">
        <v>-3324.84</v>
      </c>
      <c r="L385" s="460">
        <v>0</v>
      </c>
      <c r="M385" s="460">
        <v>-29164.3</v>
      </c>
      <c r="N385" s="460">
        <v>-37085.49</v>
      </c>
      <c r="O385" s="460">
        <v>-136171.69</v>
      </c>
      <c r="P385" s="460">
        <v>-90064.99</v>
      </c>
      <c r="Q385" s="460">
        <v>-5424.85</v>
      </c>
      <c r="R385" s="460">
        <v>0</v>
      </c>
      <c r="S385" s="460">
        <v>0</v>
      </c>
      <c r="T385" s="460">
        <v>0</v>
      </c>
      <c r="U385" s="460">
        <v>0</v>
      </c>
      <c r="V385" s="460">
        <v>0</v>
      </c>
      <c r="W385" s="460">
        <v>0</v>
      </c>
      <c r="X385" s="460">
        <v>0</v>
      </c>
      <c r="Y385" s="460">
        <v>0</v>
      </c>
      <c r="Z385" s="460">
        <v>0</v>
      </c>
    </row>
    <row r="386" spans="1:26" ht="12.75" customHeight="1" x14ac:dyDescent="0.25">
      <c r="E386" s="89" t="s">
        <v>72</v>
      </c>
      <c r="F386" s="90">
        <v>3729263.65</v>
      </c>
      <c r="G386" s="90">
        <v>250278.18</v>
      </c>
      <c r="H386" s="90">
        <v>140595.42000000001</v>
      </c>
      <c r="I386" s="90">
        <v>76572.039999999994</v>
      </c>
      <c r="J386" s="90">
        <v>773694.76</v>
      </c>
      <c r="K386" s="90">
        <v>25330.799999999999</v>
      </c>
      <c r="L386" s="90">
        <v>0</v>
      </c>
      <c r="M386" s="90">
        <v>222200.58</v>
      </c>
      <c r="N386" s="90">
        <v>246950.82</v>
      </c>
      <c r="O386" s="90">
        <v>1283227.56</v>
      </c>
      <c r="P386" s="90">
        <v>667208.65</v>
      </c>
      <c r="Q386" s="90">
        <v>43201.16</v>
      </c>
      <c r="R386" s="90">
        <v>3.68</v>
      </c>
      <c r="S386" s="90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 s="90">
        <v>0</v>
      </c>
      <c r="Z386">
        <v>0</v>
      </c>
    </row>
    <row r="387" spans="1:26" ht="12.75" customHeight="1" x14ac:dyDescent="0.25">
      <c r="E387" s="89" t="s">
        <v>81</v>
      </c>
      <c r="F387" s="90">
        <v>107021.42</v>
      </c>
      <c r="G387" s="90">
        <v>6984.57</v>
      </c>
      <c r="H387" s="90">
        <v>3522.1</v>
      </c>
      <c r="I387" s="90">
        <v>1746.51</v>
      </c>
      <c r="J387" s="90">
        <v>23447.8</v>
      </c>
      <c r="K387" s="90">
        <v>972.85</v>
      </c>
      <c r="L387" s="90">
        <v>0</v>
      </c>
      <c r="M387" s="90">
        <v>8540.6200000000008</v>
      </c>
      <c r="N387" s="90">
        <v>10602.78</v>
      </c>
      <c r="O387" s="90">
        <v>33967.61</v>
      </c>
      <c r="P387" s="90">
        <v>15735.59</v>
      </c>
      <c r="Q387" s="90">
        <v>1588.7</v>
      </c>
      <c r="R387" s="90">
        <v>1.03</v>
      </c>
      <c r="S387" s="90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 s="90">
        <v>0</v>
      </c>
      <c r="Z387">
        <v>-88.74</v>
      </c>
    </row>
    <row r="388" spans="1:26" ht="12.75" customHeight="1" x14ac:dyDescent="0.25">
      <c r="D388" t="s">
        <v>156</v>
      </c>
      <c r="E388" s="89" t="s">
        <v>70</v>
      </c>
      <c r="F388" s="90">
        <v>3836285.07</v>
      </c>
      <c r="G388" s="90">
        <v>257262.75</v>
      </c>
      <c r="H388" s="90">
        <v>144117.51999999999</v>
      </c>
      <c r="I388" s="90">
        <v>78318.55</v>
      </c>
      <c r="J388" s="90">
        <v>797142.56</v>
      </c>
      <c r="K388" s="90">
        <v>26303.65</v>
      </c>
      <c r="L388" s="90">
        <v>0</v>
      </c>
      <c r="M388" s="90">
        <v>230741.2</v>
      </c>
      <c r="N388" s="90">
        <v>257553.6</v>
      </c>
      <c r="O388" s="90">
        <v>1317195.17</v>
      </c>
      <c r="P388" s="90">
        <v>682944.24</v>
      </c>
      <c r="Q388" s="90">
        <v>44789.86</v>
      </c>
      <c r="R388" s="90">
        <v>4.71</v>
      </c>
      <c r="S388" s="90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 s="90">
        <v>0</v>
      </c>
      <c r="Z388">
        <v>-88.74</v>
      </c>
    </row>
    <row r="389" spans="1:26" s="657" customFormat="1" ht="12.75" customHeight="1" x14ac:dyDescent="0.25">
      <c r="C389" s="657" t="s">
        <v>155</v>
      </c>
      <c r="D389" s="658" t="s">
        <v>70</v>
      </c>
      <c r="E389" s="658"/>
      <c r="F389" s="659">
        <v>3836285.07</v>
      </c>
      <c r="G389" s="659">
        <v>257262.75</v>
      </c>
      <c r="H389" s="659">
        <v>144117.51999999999</v>
      </c>
      <c r="I389" s="659">
        <v>78318.55</v>
      </c>
      <c r="J389" s="659">
        <v>797142.56</v>
      </c>
      <c r="K389" s="659">
        <v>26303.65</v>
      </c>
      <c r="L389" s="659">
        <v>0</v>
      </c>
      <c r="M389" s="659">
        <v>230741.2</v>
      </c>
      <c r="N389" s="659">
        <v>257553.6</v>
      </c>
      <c r="O389" s="659">
        <v>1317195.17</v>
      </c>
      <c r="P389" s="659">
        <v>682944.24</v>
      </c>
      <c r="Q389" s="659">
        <v>44789.86</v>
      </c>
      <c r="R389" s="659">
        <v>4.71</v>
      </c>
      <c r="S389" s="659">
        <v>0</v>
      </c>
      <c r="T389" s="657">
        <v>0</v>
      </c>
      <c r="U389" s="657">
        <v>0</v>
      </c>
      <c r="V389" s="657">
        <v>0</v>
      </c>
      <c r="W389" s="657">
        <v>0</v>
      </c>
      <c r="X389" s="657">
        <v>0</v>
      </c>
      <c r="Y389" s="659">
        <v>0</v>
      </c>
      <c r="Z389" s="657">
        <v>-88.74</v>
      </c>
    </row>
    <row r="390" spans="1:26" ht="12.75" customHeight="1" x14ac:dyDescent="0.25">
      <c r="E390" s="89" t="s">
        <v>72</v>
      </c>
      <c r="F390" s="90">
        <v>41900</v>
      </c>
      <c r="G390" s="90">
        <v>2593.4699999999998</v>
      </c>
      <c r="H390" s="90">
        <v>1464.28</v>
      </c>
      <c r="I390" s="90">
        <v>768.54</v>
      </c>
      <c r="J390" s="90">
        <v>8475</v>
      </c>
      <c r="K390" s="90">
        <v>336.82</v>
      </c>
      <c r="L390" s="90">
        <v>0</v>
      </c>
      <c r="M390" s="90">
        <v>2954.55</v>
      </c>
      <c r="N390" s="90">
        <v>2903.79</v>
      </c>
      <c r="O390" s="90">
        <v>14989.18</v>
      </c>
      <c r="P390" s="90">
        <v>6864.83</v>
      </c>
      <c r="Q390" s="90">
        <v>549.54</v>
      </c>
      <c r="R390" s="90">
        <v>0</v>
      </c>
      <c r="S390" s="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 s="90">
        <v>0</v>
      </c>
      <c r="Z390">
        <v>0</v>
      </c>
    </row>
    <row r="391" spans="1:26" ht="12.75" customHeight="1" x14ac:dyDescent="0.25">
      <c r="D391" t="s">
        <v>115</v>
      </c>
      <c r="E391" s="89" t="s">
        <v>70</v>
      </c>
      <c r="F391" s="90">
        <v>41900</v>
      </c>
      <c r="G391" s="90">
        <v>2593.4699999999998</v>
      </c>
      <c r="H391" s="90">
        <v>1464.28</v>
      </c>
      <c r="I391" s="90">
        <v>768.54</v>
      </c>
      <c r="J391" s="90">
        <v>8475</v>
      </c>
      <c r="K391" s="90">
        <v>336.82</v>
      </c>
      <c r="L391" s="90">
        <v>0</v>
      </c>
      <c r="M391" s="90">
        <v>2954.55</v>
      </c>
      <c r="N391" s="90">
        <v>2903.79</v>
      </c>
      <c r="O391" s="90">
        <v>14989.18</v>
      </c>
      <c r="P391" s="90">
        <v>6864.83</v>
      </c>
      <c r="Q391" s="90">
        <v>549.54</v>
      </c>
      <c r="R391" s="90">
        <v>0</v>
      </c>
      <c r="S391" s="90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 s="90">
        <v>0</v>
      </c>
      <c r="Z391">
        <v>0</v>
      </c>
    </row>
    <row r="392" spans="1:26" s="224" customFormat="1" ht="12.75" customHeight="1" x14ac:dyDescent="0.25">
      <c r="C392" s="223" t="s">
        <v>120</v>
      </c>
      <c r="D392" s="223" t="s">
        <v>70</v>
      </c>
      <c r="F392" s="225">
        <v>41900</v>
      </c>
      <c r="G392" s="225">
        <v>2593.4699999999998</v>
      </c>
      <c r="H392" s="225">
        <v>1464.28</v>
      </c>
      <c r="I392" s="225">
        <v>768.54</v>
      </c>
      <c r="J392" s="225">
        <v>8475</v>
      </c>
      <c r="K392" s="225">
        <v>336.82</v>
      </c>
      <c r="L392" s="225">
        <v>0</v>
      </c>
      <c r="M392" s="225">
        <v>2954.55</v>
      </c>
      <c r="N392" s="225">
        <v>2903.79</v>
      </c>
      <c r="O392" s="225">
        <v>14989.18</v>
      </c>
      <c r="P392" s="225">
        <v>6864.83</v>
      </c>
      <c r="Q392" s="225">
        <v>549.54</v>
      </c>
      <c r="R392" s="225">
        <v>0</v>
      </c>
      <c r="S392" s="225">
        <v>0</v>
      </c>
      <c r="T392" s="224">
        <v>0</v>
      </c>
      <c r="U392" s="224">
        <v>0</v>
      </c>
      <c r="V392" s="224">
        <v>0</v>
      </c>
      <c r="W392" s="224">
        <v>0</v>
      </c>
      <c r="X392" s="224">
        <v>0</v>
      </c>
      <c r="Y392" s="225">
        <v>0</v>
      </c>
      <c r="Z392" s="224">
        <v>0</v>
      </c>
    </row>
    <row r="393" spans="1:26" ht="12.75" customHeight="1" x14ac:dyDescent="0.25">
      <c r="E393" s="89" t="s">
        <v>72</v>
      </c>
      <c r="F393" s="90">
        <v>724954.55</v>
      </c>
      <c r="G393" s="90">
        <v>51580.59</v>
      </c>
      <c r="H393" s="90">
        <v>29162.67</v>
      </c>
      <c r="I393" s="90">
        <v>15465.11</v>
      </c>
      <c r="J393" s="90">
        <v>165856.16</v>
      </c>
      <c r="K393" s="90">
        <v>4891.8999999999996</v>
      </c>
      <c r="L393" s="90">
        <v>0</v>
      </c>
      <c r="M393" s="90">
        <v>46423.44</v>
      </c>
      <c r="N393" s="90">
        <v>49444.99</v>
      </c>
      <c r="O393" s="90">
        <v>213489.65</v>
      </c>
      <c r="P393" s="90">
        <v>140652.25</v>
      </c>
      <c r="Q393" s="90">
        <v>7981.52</v>
      </c>
      <c r="R393" s="90">
        <v>6.27</v>
      </c>
      <c r="S393" s="90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 s="90">
        <v>0</v>
      </c>
      <c r="Z393">
        <v>0</v>
      </c>
    </row>
    <row r="394" spans="1:26" ht="12.75" customHeight="1" x14ac:dyDescent="0.25">
      <c r="E394" s="89" t="s">
        <v>81</v>
      </c>
      <c r="F394" s="90">
        <v>-2564.46</v>
      </c>
      <c r="G394" s="90">
        <v>1.25</v>
      </c>
      <c r="H394" s="90">
        <v>0.72</v>
      </c>
      <c r="I394" s="90">
        <v>0.37</v>
      </c>
      <c r="J394" s="90">
        <v>2.2200000000000002</v>
      </c>
      <c r="K394" s="90">
        <v>0.15</v>
      </c>
      <c r="L394" s="90">
        <v>0</v>
      </c>
      <c r="M394" s="90">
        <v>1.27</v>
      </c>
      <c r="N394" s="90">
        <v>1.25</v>
      </c>
      <c r="O394" s="90">
        <v>-2575.25</v>
      </c>
      <c r="P394" s="90">
        <v>3.32</v>
      </c>
      <c r="Q394" s="90">
        <v>0.24</v>
      </c>
      <c r="R394" s="90">
        <v>0</v>
      </c>
      <c r="S394" s="90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 s="90">
        <v>0</v>
      </c>
      <c r="Z394">
        <v>0</v>
      </c>
    </row>
    <row r="395" spans="1:26" ht="12.75" customHeight="1" x14ac:dyDescent="0.25">
      <c r="D395" t="s">
        <v>86</v>
      </c>
      <c r="E395" s="89" t="s">
        <v>70</v>
      </c>
      <c r="F395" s="90">
        <v>722390.09</v>
      </c>
      <c r="G395" s="90">
        <v>51581.84</v>
      </c>
      <c r="H395" s="90">
        <v>29163.39</v>
      </c>
      <c r="I395" s="90">
        <v>15465.48</v>
      </c>
      <c r="J395" s="90">
        <v>165858.38</v>
      </c>
      <c r="K395" s="90">
        <v>4892.05</v>
      </c>
      <c r="L395" s="90">
        <v>0</v>
      </c>
      <c r="M395" s="90">
        <v>46424.71</v>
      </c>
      <c r="N395" s="90">
        <v>49446.239999999998</v>
      </c>
      <c r="O395" s="90">
        <v>210914.4</v>
      </c>
      <c r="P395" s="90">
        <v>140655.57</v>
      </c>
      <c r="Q395" s="90">
        <v>7981.76</v>
      </c>
      <c r="R395" s="90">
        <v>6.27</v>
      </c>
      <c r="S395" s="90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 s="90">
        <v>0</v>
      </c>
      <c r="Z395">
        <v>0</v>
      </c>
    </row>
    <row r="396" spans="1:26" s="94" customFormat="1" ht="12.75" customHeight="1" x14ac:dyDescent="0.25">
      <c r="C396" s="101" t="s">
        <v>119</v>
      </c>
      <c r="D396" s="101" t="s">
        <v>70</v>
      </c>
      <c r="F396" s="93">
        <v>722390.09</v>
      </c>
      <c r="G396" s="93">
        <v>51581.84</v>
      </c>
      <c r="H396" s="93">
        <v>29163.39</v>
      </c>
      <c r="I396" s="93">
        <v>15465.48</v>
      </c>
      <c r="J396" s="93">
        <v>165858.38</v>
      </c>
      <c r="K396" s="93">
        <v>4892.05</v>
      </c>
      <c r="L396" s="93">
        <v>0</v>
      </c>
      <c r="M396" s="93">
        <v>46424.71</v>
      </c>
      <c r="N396" s="93">
        <v>49446.239999999998</v>
      </c>
      <c r="O396" s="93">
        <v>210914.4</v>
      </c>
      <c r="P396" s="93">
        <v>140655.57</v>
      </c>
      <c r="Q396" s="93">
        <v>7981.76</v>
      </c>
      <c r="R396" s="93">
        <v>6.27</v>
      </c>
      <c r="S396" s="93">
        <v>0</v>
      </c>
      <c r="T396" s="94">
        <v>0</v>
      </c>
      <c r="U396" s="94">
        <v>0</v>
      </c>
      <c r="V396" s="94">
        <v>0</v>
      </c>
      <c r="W396" s="94">
        <v>0</v>
      </c>
      <c r="X396" s="94">
        <v>0</v>
      </c>
      <c r="Y396" s="93">
        <v>0</v>
      </c>
      <c r="Z396" s="94">
        <v>0</v>
      </c>
    </row>
    <row r="397" spans="1:26" s="378" customFormat="1" ht="12.75" customHeight="1" x14ac:dyDescent="0.25">
      <c r="B397" s="378" t="s">
        <v>122</v>
      </c>
      <c r="C397" s="378" t="s">
        <v>70</v>
      </c>
      <c r="E397" s="376"/>
      <c r="F397" s="377">
        <v>4600575.16</v>
      </c>
      <c r="G397" s="377">
        <v>311438.06</v>
      </c>
      <c r="H397" s="377">
        <v>174745.19</v>
      </c>
      <c r="I397" s="377">
        <v>94552.57</v>
      </c>
      <c r="J397" s="377">
        <v>971475.94</v>
      </c>
      <c r="K397" s="377">
        <v>31532.52</v>
      </c>
      <c r="L397" s="377">
        <v>0</v>
      </c>
      <c r="M397" s="377">
        <v>280120.46000000002</v>
      </c>
      <c r="N397" s="377">
        <v>309903.63</v>
      </c>
      <c r="O397" s="377">
        <v>1543098.75</v>
      </c>
      <c r="P397" s="377">
        <v>830464.64</v>
      </c>
      <c r="Q397" s="377">
        <v>53321.16</v>
      </c>
      <c r="R397" s="377">
        <v>10.98</v>
      </c>
      <c r="S397" s="377">
        <v>0</v>
      </c>
      <c r="T397" s="378">
        <v>0</v>
      </c>
      <c r="U397" s="378">
        <v>0</v>
      </c>
      <c r="V397" s="378">
        <v>0</v>
      </c>
      <c r="W397" s="378">
        <v>0</v>
      </c>
      <c r="X397" s="378">
        <v>0</v>
      </c>
      <c r="Y397" s="377">
        <v>0</v>
      </c>
      <c r="Z397" s="378">
        <v>-88.74</v>
      </c>
    </row>
    <row r="398" spans="1:26" ht="12.75" customHeight="1" x14ac:dyDescent="0.25">
      <c r="E398" s="89" t="s">
        <v>72</v>
      </c>
      <c r="F398" s="90">
        <v>7194058961.6599998</v>
      </c>
      <c r="G398" s="90">
        <v>402608765.89999998</v>
      </c>
      <c r="H398" s="90">
        <v>225742966.46000001</v>
      </c>
      <c r="I398" s="90">
        <v>118610711.23999999</v>
      </c>
      <c r="J398" s="90">
        <v>1517323419.8900001</v>
      </c>
      <c r="K398" s="90">
        <v>59618340.229999997</v>
      </c>
      <c r="L398" s="90">
        <v>19205690.579999998</v>
      </c>
      <c r="M398" s="90">
        <v>521948830.88999999</v>
      </c>
      <c r="N398" s="90">
        <v>515744857.08999997</v>
      </c>
      <c r="O398" s="90">
        <v>2650384910.21</v>
      </c>
      <c r="P398" s="90">
        <v>1065418621.53</v>
      </c>
      <c r="Q398" s="90">
        <v>97483095.069999993</v>
      </c>
      <c r="R398" s="90">
        <v>-31247.43</v>
      </c>
      <c r="S398" s="90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 s="90">
        <v>0</v>
      </c>
      <c r="Z398">
        <v>0</v>
      </c>
    </row>
    <row r="399" spans="1:26" ht="12.75" customHeight="1" x14ac:dyDescent="0.25">
      <c r="E399" s="89" t="s">
        <v>81</v>
      </c>
      <c r="F399" s="371">
        <v>44029984.259999998</v>
      </c>
      <c r="G399" s="90">
        <v>5558443.2599999998</v>
      </c>
      <c r="H399" s="90">
        <v>2499011.4700000002</v>
      </c>
      <c r="I399" s="90">
        <v>975568.45</v>
      </c>
      <c r="J399" s="90">
        <v>7323304.4000000004</v>
      </c>
      <c r="K399" s="90">
        <v>281514.84000000003</v>
      </c>
      <c r="L399" s="90">
        <v>3196.95</v>
      </c>
      <c r="M399" s="90">
        <v>2467651.7999999998</v>
      </c>
      <c r="N399" s="90">
        <v>2968352.29</v>
      </c>
      <c r="O399" s="90">
        <v>6873310.4000000004</v>
      </c>
      <c r="P399" s="90">
        <v>14605987.130000001</v>
      </c>
      <c r="Q399" s="90">
        <v>459571.29</v>
      </c>
      <c r="R399" s="90">
        <v>14431.48</v>
      </c>
      <c r="S399" s="90">
        <v>0.02</v>
      </c>
      <c r="T399">
        <v>4.0599999999999996</v>
      </c>
      <c r="U399">
        <v>0</v>
      </c>
      <c r="V399">
        <v>0</v>
      </c>
      <c r="W399">
        <v>0</v>
      </c>
      <c r="X399">
        <v>0</v>
      </c>
      <c r="Y399" s="90">
        <v>0</v>
      </c>
      <c r="Z399">
        <v>-363.58</v>
      </c>
    </row>
    <row r="400" spans="1:26" ht="12.75" customHeight="1" x14ac:dyDescent="0.25">
      <c r="D400" t="s">
        <v>156</v>
      </c>
      <c r="E400" s="89" t="s">
        <v>70</v>
      </c>
      <c r="F400" s="90">
        <v>7238088945.9200001</v>
      </c>
      <c r="G400" s="90">
        <v>408167209.16000003</v>
      </c>
      <c r="H400" s="90">
        <v>228241977.93000001</v>
      </c>
      <c r="I400" s="90">
        <v>119586279.69</v>
      </c>
      <c r="J400" s="90">
        <v>1524646724.29</v>
      </c>
      <c r="K400" s="90">
        <v>59899855.07</v>
      </c>
      <c r="L400" s="90">
        <v>19208887.530000001</v>
      </c>
      <c r="M400" s="90">
        <v>524416482.69</v>
      </c>
      <c r="N400" s="90">
        <v>518713209.38</v>
      </c>
      <c r="O400" s="90">
        <v>2657258220.6100001</v>
      </c>
      <c r="P400" s="90">
        <v>1080024608.6600001</v>
      </c>
      <c r="Q400" s="90">
        <v>97942666.359999999</v>
      </c>
      <c r="R400" s="90">
        <v>-16815.95</v>
      </c>
      <c r="S400" s="90">
        <v>0.02</v>
      </c>
      <c r="T400">
        <v>4.0599999999999996</v>
      </c>
      <c r="U400">
        <v>0</v>
      </c>
      <c r="V400">
        <v>0</v>
      </c>
      <c r="W400">
        <v>0</v>
      </c>
      <c r="X400">
        <v>0</v>
      </c>
      <c r="Y400" s="90">
        <v>0</v>
      </c>
      <c r="Z400">
        <v>-363.58</v>
      </c>
    </row>
    <row r="401" spans="3:26" s="657" customFormat="1" ht="12.75" customHeight="1" x14ac:dyDescent="0.25">
      <c r="C401" s="657" t="s">
        <v>155</v>
      </c>
      <c r="D401" s="658" t="s">
        <v>70</v>
      </c>
      <c r="E401" s="658"/>
      <c r="F401" s="659">
        <v>7238088945.9200001</v>
      </c>
      <c r="G401" s="659">
        <v>408167209.16000003</v>
      </c>
      <c r="H401" s="659">
        <v>228241977.93000001</v>
      </c>
      <c r="I401" s="659">
        <v>119586279.69</v>
      </c>
      <c r="J401" s="659">
        <v>1524646724.29</v>
      </c>
      <c r="K401" s="659">
        <v>59899855.07</v>
      </c>
      <c r="L401" s="659">
        <v>19208887.530000001</v>
      </c>
      <c r="M401" s="659">
        <v>524416482.69</v>
      </c>
      <c r="N401" s="659">
        <v>518713209.38</v>
      </c>
      <c r="O401" s="659">
        <v>2657258220.6100001</v>
      </c>
      <c r="P401" s="659">
        <v>1080024608.6600001</v>
      </c>
      <c r="Q401" s="659">
        <v>97942666.359999999</v>
      </c>
      <c r="R401" s="659">
        <v>-16815.95</v>
      </c>
      <c r="S401" s="659">
        <v>0.02</v>
      </c>
      <c r="T401" s="657">
        <v>4.0599999999999996</v>
      </c>
      <c r="U401" s="657">
        <v>0</v>
      </c>
      <c r="V401" s="657">
        <v>0</v>
      </c>
      <c r="W401" s="657">
        <v>0</v>
      </c>
      <c r="X401" s="657">
        <v>0</v>
      </c>
      <c r="Y401" s="659">
        <v>0</v>
      </c>
      <c r="Z401" s="657">
        <v>-363.58</v>
      </c>
    </row>
    <row r="402" spans="3:26" ht="12.75" customHeight="1" x14ac:dyDescent="0.25">
      <c r="D402" s="89"/>
      <c r="E402" s="89" t="s">
        <v>72</v>
      </c>
      <c r="F402" s="371">
        <v>1922958</v>
      </c>
      <c r="G402" s="90">
        <v>159319.16</v>
      </c>
      <c r="H402" s="90">
        <v>77548.72</v>
      </c>
      <c r="I402" s="90">
        <v>42986.6</v>
      </c>
      <c r="J402" s="90">
        <v>351264.11</v>
      </c>
      <c r="K402" s="90">
        <v>11893.99</v>
      </c>
      <c r="L402" s="90">
        <v>0</v>
      </c>
      <c r="M402" s="90">
        <v>104494.99</v>
      </c>
      <c r="N402" s="90">
        <v>120498.04</v>
      </c>
      <c r="O402" s="90">
        <v>609717.11</v>
      </c>
      <c r="P402" s="90">
        <v>425799.3</v>
      </c>
      <c r="Q402" s="90">
        <v>19451.580000000002</v>
      </c>
      <c r="R402" s="90">
        <v>-15.6</v>
      </c>
      <c r="S402" s="90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 s="90">
        <v>0</v>
      </c>
      <c r="Z402">
        <v>0</v>
      </c>
    </row>
    <row r="403" spans="3:26" ht="12.75" customHeight="1" x14ac:dyDescent="0.25">
      <c r="D403" s="89"/>
      <c r="E403" s="89" t="s">
        <v>81</v>
      </c>
      <c r="F403" s="371">
        <v>31695.39</v>
      </c>
      <c r="G403" s="90">
        <v>2440.0500000000002</v>
      </c>
      <c r="H403" s="90">
        <v>1077.78</v>
      </c>
      <c r="I403" s="90">
        <v>590.11</v>
      </c>
      <c r="J403" s="90">
        <v>5061.17</v>
      </c>
      <c r="K403" s="90">
        <v>200.49</v>
      </c>
      <c r="L403" s="90">
        <v>0</v>
      </c>
      <c r="M403" s="90">
        <v>1825.33</v>
      </c>
      <c r="N403" s="90">
        <v>2262.81</v>
      </c>
      <c r="O403" s="90">
        <v>11418.11</v>
      </c>
      <c r="P403" s="90">
        <v>6482.7</v>
      </c>
      <c r="Q403" s="90">
        <v>336.81</v>
      </c>
      <c r="R403" s="90">
        <v>0.03</v>
      </c>
      <c r="S403" s="90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 s="90">
        <v>0</v>
      </c>
      <c r="Z403">
        <v>0</v>
      </c>
    </row>
    <row r="404" spans="3:26" ht="12.75" customHeight="1" x14ac:dyDescent="0.25">
      <c r="D404" s="89" t="s">
        <v>115</v>
      </c>
      <c r="E404" s="89" t="s">
        <v>70</v>
      </c>
      <c r="F404" s="371">
        <v>1954653.39</v>
      </c>
      <c r="G404" s="90">
        <v>161759.21</v>
      </c>
      <c r="H404" s="90">
        <v>78626.5</v>
      </c>
      <c r="I404" s="90">
        <v>43576.71</v>
      </c>
      <c r="J404" s="90">
        <v>356325.28</v>
      </c>
      <c r="K404" s="90">
        <v>12094.48</v>
      </c>
      <c r="L404" s="90">
        <v>0</v>
      </c>
      <c r="M404" s="90">
        <v>106320.32000000001</v>
      </c>
      <c r="N404" s="90">
        <v>122760.85</v>
      </c>
      <c r="O404" s="90">
        <v>621135.22</v>
      </c>
      <c r="P404" s="90">
        <v>432282</v>
      </c>
      <c r="Q404" s="90">
        <v>19788.39</v>
      </c>
      <c r="R404" s="90">
        <v>-15.57</v>
      </c>
      <c r="S404" s="90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 s="90">
        <v>0</v>
      </c>
      <c r="Z404">
        <v>0</v>
      </c>
    </row>
    <row r="405" spans="3:26" ht="12.75" customHeight="1" x14ac:dyDescent="0.25">
      <c r="D405" s="89"/>
      <c r="E405" s="89" t="s">
        <v>72</v>
      </c>
      <c r="F405" s="371">
        <v>74289.789999999994</v>
      </c>
      <c r="G405" s="90">
        <v>4022.86</v>
      </c>
      <c r="H405" s="90">
        <v>1850.83</v>
      </c>
      <c r="I405" s="90">
        <v>1005.97</v>
      </c>
      <c r="J405" s="90">
        <v>19690.830000000002</v>
      </c>
      <c r="K405" s="90">
        <v>487.51</v>
      </c>
      <c r="L405" s="90">
        <v>0</v>
      </c>
      <c r="M405" s="90">
        <v>4276.5</v>
      </c>
      <c r="N405" s="90">
        <v>5295.45</v>
      </c>
      <c r="O405" s="90">
        <v>25967.599999999999</v>
      </c>
      <c r="P405" s="90">
        <v>10897.84</v>
      </c>
      <c r="Q405" s="90">
        <v>795.43</v>
      </c>
      <c r="R405" s="90">
        <v>-1.03</v>
      </c>
      <c r="S405" s="90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 s="90">
        <v>0</v>
      </c>
      <c r="Z405">
        <v>0</v>
      </c>
    </row>
    <row r="406" spans="3:26" ht="12.75" customHeight="1" x14ac:dyDescent="0.25">
      <c r="D406" s="89"/>
      <c r="E406" s="89" t="s">
        <v>81</v>
      </c>
      <c r="F406" s="371">
        <v>326.05</v>
      </c>
      <c r="G406" s="90">
        <v>31.66</v>
      </c>
      <c r="H406" s="90">
        <v>16.84</v>
      </c>
      <c r="I406" s="90">
        <v>9.14</v>
      </c>
      <c r="J406" s="90">
        <v>155.9</v>
      </c>
      <c r="K406" s="90">
        <v>5.0599999999999996</v>
      </c>
      <c r="L406" s="90">
        <v>0</v>
      </c>
      <c r="M406" s="90">
        <v>44.21</v>
      </c>
      <c r="N406" s="90">
        <v>46.71</v>
      </c>
      <c r="O406" s="90">
        <v>-76.52</v>
      </c>
      <c r="P406" s="90">
        <v>84.83</v>
      </c>
      <c r="Q406" s="90">
        <v>8.2100000000000009</v>
      </c>
      <c r="R406" s="90">
        <v>0.01</v>
      </c>
      <c r="S406" s="90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 s="90">
        <v>0</v>
      </c>
      <c r="Z406">
        <v>0</v>
      </c>
    </row>
    <row r="407" spans="3:26" ht="12.75" customHeight="1" x14ac:dyDescent="0.25">
      <c r="D407" s="89" t="s">
        <v>116</v>
      </c>
      <c r="E407" s="89" t="s">
        <v>70</v>
      </c>
      <c r="F407" s="371">
        <v>74615.839999999997</v>
      </c>
      <c r="G407" s="90">
        <v>4054.52</v>
      </c>
      <c r="H407" s="90">
        <v>1867.67</v>
      </c>
      <c r="I407" s="90">
        <v>1015.11</v>
      </c>
      <c r="J407" s="90">
        <v>19846.73</v>
      </c>
      <c r="K407" s="90">
        <v>492.57</v>
      </c>
      <c r="L407" s="90">
        <v>0</v>
      </c>
      <c r="M407" s="90">
        <v>4320.71</v>
      </c>
      <c r="N407" s="90">
        <v>5342.16</v>
      </c>
      <c r="O407" s="90">
        <v>25891.08</v>
      </c>
      <c r="P407" s="90">
        <v>10982.67</v>
      </c>
      <c r="Q407" s="90">
        <v>803.64</v>
      </c>
      <c r="R407" s="90">
        <v>-1.02</v>
      </c>
      <c r="S407" s="90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 s="90">
        <v>0</v>
      </c>
      <c r="Z407">
        <v>0</v>
      </c>
    </row>
    <row r="408" spans="3:26" ht="12.75" customHeight="1" x14ac:dyDescent="0.25">
      <c r="C408" s="89"/>
      <c r="D408" s="89"/>
      <c r="E408" t="s">
        <v>72</v>
      </c>
      <c r="F408" s="90">
        <v>3331549.61</v>
      </c>
      <c r="G408" s="90">
        <v>182192.21</v>
      </c>
      <c r="H408" s="90">
        <v>102153.37</v>
      </c>
      <c r="I408" s="90">
        <v>54175.39</v>
      </c>
      <c r="J408" s="90">
        <v>745643.89</v>
      </c>
      <c r="K408" s="90">
        <v>26606.11</v>
      </c>
      <c r="L408" s="90">
        <v>0</v>
      </c>
      <c r="M408" s="90">
        <v>233387.39</v>
      </c>
      <c r="N408" s="90">
        <v>238637.89</v>
      </c>
      <c r="O408" s="90">
        <v>1220767.3899999999</v>
      </c>
      <c r="P408" s="90">
        <v>484597.6</v>
      </c>
      <c r="Q408" s="90">
        <v>43409.91</v>
      </c>
      <c r="R408" s="90">
        <v>-21.54</v>
      </c>
      <c r="S408" s="90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 s="90">
        <v>0</v>
      </c>
      <c r="Z408">
        <v>0</v>
      </c>
    </row>
    <row r="409" spans="3:26" ht="12.75" customHeight="1" x14ac:dyDescent="0.25">
      <c r="E409" s="89" t="s">
        <v>81</v>
      </c>
      <c r="F409" s="90">
        <v>-6870.16</v>
      </c>
      <c r="G409" s="90">
        <v>20.28</v>
      </c>
      <c r="H409" s="90">
        <v>11.42</v>
      </c>
      <c r="I409" s="90">
        <v>6.22</v>
      </c>
      <c r="J409" s="90">
        <v>95.64</v>
      </c>
      <c r="K409" s="90">
        <v>2.91</v>
      </c>
      <c r="L409" s="90">
        <v>0</v>
      </c>
      <c r="M409" s="90">
        <v>25.68</v>
      </c>
      <c r="N409" s="90">
        <v>29.91</v>
      </c>
      <c r="O409" s="90">
        <v>-7121.32</v>
      </c>
      <c r="P409" s="90">
        <v>54.28</v>
      </c>
      <c r="Q409" s="90">
        <v>4.82</v>
      </c>
      <c r="R409" s="90">
        <v>0</v>
      </c>
      <c r="S409" s="90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 s="90">
        <v>0</v>
      </c>
      <c r="Z409">
        <v>0</v>
      </c>
    </row>
    <row r="410" spans="3:26" ht="12.75" customHeight="1" x14ac:dyDescent="0.25">
      <c r="D410" t="s">
        <v>118</v>
      </c>
      <c r="E410" s="89" t="s">
        <v>70</v>
      </c>
      <c r="F410" s="90">
        <v>3324679.45</v>
      </c>
      <c r="G410" s="90">
        <v>182212.49</v>
      </c>
      <c r="H410" s="90">
        <v>102164.79</v>
      </c>
      <c r="I410" s="90">
        <v>54181.61</v>
      </c>
      <c r="J410" s="90">
        <v>745739.53</v>
      </c>
      <c r="K410" s="90">
        <v>26609.02</v>
      </c>
      <c r="L410" s="90">
        <v>0</v>
      </c>
      <c r="M410" s="90">
        <v>233413.07</v>
      </c>
      <c r="N410" s="90">
        <v>238667.8</v>
      </c>
      <c r="O410" s="90">
        <v>1213646.07</v>
      </c>
      <c r="P410" s="90">
        <v>484651.88</v>
      </c>
      <c r="Q410" s="90">
        <v>43414.73</v>
      </c>
      <c r="R410" s="90">
        <v>-21.54</v>
      </c>
      <c r="S410" s="9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 s="90">
        <v>0</v>
      </c>
      <c r="Z410">
        <v>0</v>
      </c>
    </row>
    <row r="411" spans="3:26" s="224" customFormat="1" ht="12.75" customHeight="1" x14ac:dyDescent="0.25">
      <c r="C411" s="223" t="s">
        <v>120</v>
      </c>
      <c r="D411" s="223" t="s">
        <v>70</v>
      </c>
      <c r="F411" s="225">
        <v>5353948.68</v>
      </c>
      <c r="G411" s="225">
        <v>348026.22</v>
      </c>
      <c r="H411" s="225">
        <v>182658.96</v>
      </c>
      <c r="I411" s="225">
        <v>98773.43</v>
      </c>
      <c r="J411" s="225">
        <v>1121911.54</v>
      </c>
      <c r="K411" s="225">
        <v>39196.07</v>
      </c>
      <c r="L411" s="225">
        <v>0</v>
      </c>
      <c r="M411" s="225">
        <v>344054.1</v>
      </c>
      <c r="N411" s="225">
        <v>366770.81</v>
      </c>
      <c r="O411" s="225">
        <v>1860672.37</v>
      </c>
      <c r="P411" s="225">
        <v>927916.55</v>
      </c>
      <c r="Q411" s="225">
        <v>64006.76</v>
      </c>
      <c r="R411" s="225">
        <v>-38.130000000000003</v>
      </c>
      <c r="S411" s="225">
        <v>0</v>
      </c>
      <c r="T411" s="224">
        <v>0</v>
      </c>
      <c r="U411" s="224">
        <v>0</v>
      </c>
      <c r="V411" s="224">
        <v>0</v>
      </c>
      <c r="W411" s="224">
        <v>0</v>
      </c>
      <c r="X411" s="224">
        <v>0</v>
      </c>
      <c r="Y411" s="225">
        <v>0</v>
      </c>
      <c r="Z411" s="224">
        <v>0</v>
      </c>
    </row>
    <row r="412" spans="3:26" ht="12.75" customHeight="1" x14ac:dyDescent="0.25">
      <c r="E412" s="89" t="s">
        <v>72</v>
      </c>
      <c r="F412" s="90">
        <v>48847452.5</v>
      </c>
      <c r="G412" s="90">
        <v>2956898.65</v>
      </c>
      <c r="H412" s="90">
        <v>1670858.56</v>
      </c>
      <c r="I412" s="90">
        <v>890663.49</v>
      </c>
      <c r="J412" s="90">
        <v>10650539.58</v>
      </c>
      <c r="K412" s="90">
        <v>289194.06</v>
      </c>
      <c r="L412" s="90">
        <v>0</v>
      </c>
      <c r="M412" s="90">
        <v>2525057.5099999998</v>
      </c>
      <c r="N412" s="90">
        <v>3504369.81</v>
      </c>
      <c r="O412" s="90">
        <v>18008545.390000001</v>
      </c>
      <c r="P412" s="90">
        <v>7877853.0899999999</v>
      </c>
      <c r="Q412" s="90">
        <v>473033.96</v>
      </c>
      <c r="R412" s="90">
        <v>438.4</v>
      </c>
      <c r="S412" s="90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 s="90">
        <v>0</v>
      </c>
      <c r="Z412">
        <v>0</v>
      </c>
    </row>
    <row r="413" spans="3:26" ht="12.75" customHeight="1" x14ac:dyDescent="0.25">
      <c r="D413" s="89"/>
      <c r="E413" s="89" t="s">
        <v>81</v>
      </c>
      <c r="F413" s="90">
        <v>-4501.92</v>
      </c>
      <c r="G413" s="90">
        <v>1047.21</v>
      </c>
      <c r="H413" s="90">
        <v>565.67999999999995</v>
      </c>
      <c r="I413" s="90">
        <v>302.85000000000002</v>
      </c>
      <c r="J413" s="90">
        <v>3704.93</v>
      </c>
      <c r="K413" s="90">
        <v>98.85</v>
      </c>
      <c r="L413" s="90">
        <v>0</v>
      </c>
      <c r="M413" s="90">
        <v>865.38</v>
      </c>
      <c r="N413" s="90">
        <v>1214.32</v>
      </c>
      <c r="O413" s="90">
        <v>-15273.45</v>
      </c>
      <c r="P413" s="90">
        <v>2811.97</v>
      </c>
      <c r="Q413" s="90">
        <v>160.66</v>
      </c>
      <c r="R413" s="90">
        <v>-0.44</v>
      </c>
      <c r="S413" s="90">
        <v>0.12</v>
      </c>
      <c r="T413">
        <v>0</v>
      </c>
      <c r="U413">
        <v>0</v>
      </c>
      <c r="V413">
        <v>0</v>
      </c>
      <c r="W413">
        <v>0</v>
      </c>
      <c r="X413">
        <v>0</v>
      </c>
      <c r="Y413" s="90">
        <v>0</v>
      </c>
      <c r="Z413">
        <v>0</v>
      </c>
    </row>
    <row r="414" spans="3:26" ht="12.75" customHeight="1" x14ac:dyDescent="0.25">
      <c r="D414" t="s">
        <v>82</v>
      </c>
      <c r="E414" s="89" t="s">
        <v>70</v>
      </c>
      <c r="F414" s="90">
        <v>48842950.579999998</v>
      </c>
      <c r="G414" s="90">
        <v>2957945.86</v>
      </c>
      <c r="H414" s="90">
        <v>1671424.24</v>
      </c>
      <c r="I414" s="90">
        <v>890966.34</v>
      </c>
      <c r="J414" s="90">
        <v>10654244.51</v>
      </c>
      <c r="K414" s="90">
        <v>289292.90999999997</v>
      </c>
      <c r="L414" s="90">
        <v>0</v>
      </c>
      <c r="M414" s="90">
        <v>2525922.89</v>
      </c>
      <c r="N414" s="90">
        <v>3505584.13</v>
      </c>
      <c r="O414" s="90">
        <v>17993271.940000001</v>
      </c>
      <c r="P414" s="90">
        <v>7880665.0599999996</v>
      </c>
      <c r="Q414" s="90">
        <v>473194.62</v>
      </c>
      <c r="R414" s="90">
        <v>437.96</v>
      </c>
      <c r="S414" s="90">
        <v>0.12</v>
      </c>
      <c r="T414">
        <v>0</v>
      </c>
      <c r="U414">
        <v>0</v>
      </c>
      <c r="V414">
        <v>0</v>
      </c>
      <c r="W414">
        <v>0</v>
      </c>
      <c r="X414">
        <v>0</v>
      </c>
      <c r="Y414" s="90">
        <v>0</v>
      </c>
      <c r="Z414">
        <v>0</v>
      </c>
    </row>
    <row r="415" spans="3:26" ht="12.75" customHeight="1" x14ac:dyDescent="0.25">
      <c r="E415" s="89" t="s">
        <v>72</v>
      </c>
      <c r="F415" s="90">
        <v>137467523.91</v>
      </c>
      <c r="G415" s="90">
        <v>8663269.4000000004</v>
      </c>
      <c r="H415" s="90">
        <v>4412110.42</v>
      </c>
      <c r="I415" s="90">
        <v>2001839.24</v>
      </c>
      <c r="J415" s="90">
        <v>22410734.670000002</v>
      </c>
      <c r="K415" s="90">
        <v>875496.56</v>
      </c>
      <c r="L415" s="90">
        <v>1472893.34</v>
      </c>
      <c r="M415" s="90">
        <v>9306214.4800000004</v>
      </c>
      <c r="N415" s="90">
        <v>10653553.699999999</v>
      </c>
      <c r="O415" s="90">
        <v>52243121.200000003</v>
      </c>
      <c r="P415" s="90">
        <v>23995973.789999999</v>
      </c>
      <c r="Q415" s="90">
        <v>1432482.64</v>
      </c>
      <c r="R415" s="90">
        <v>-165.53</v>
      </c>
      <c r="S415" s="90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 s="90">
        <v>0</v>
      </c>
      <c r="Z415">
        <v>0</v>
      </c>
    </row>
    <row r="416" spans="3:26" ht="12.75" customHeight="1" x14ac:dyDescent="0.25">
      <c r="D416" s="89"/>
      <c r="E416" s="89" t="s">
        <v>81</v>
      </c>
      <c r="F416" s="90">
        <v>18712430.98</v>
      </c>
      <c r="G416" s="90">
        <v>2019789.4</v>
      </c>
      <c r="H416" s="90">
        <v>879794.96</v>
      </c>
      <c r="I416" s="90">
        <v>335545.4</v>
      </c>
      <c r="J416" s="90">
        <v>3041356.19</v>
      </c>
      <c r="K416" s="90">
        <v>124932.99</v>
      </c>
      <c r="L416" s="90">
        <v>0</v>
      </c>
      <c r="M416" s="90">
        <v>1095367.92</v>
      </c>
      <c r="N416" s="90">
        <v>1290315.49</v>
      </c>
      <c r="O416" s="90">
        <v>4393356.75</v>
      </c>
      <c r="P416" s="90">
        <v>5328262.13</v>
      </c>
      <c r="Q416" s="90">
        <v>203881.06</v>
      </c>
      <c r="R416" s="90">
        <v>-90.62</v>
      </c>
      <c r="S416" s="90">
        <v>0</v>
      </c>
      <c r="T416">
        <v>2.35</v>
      </c>
      <c r="U416">
        <v>0</v>
      </c>
      <c r="V416">
        <v>0</v>
      </c>
      <c r="W416">
        <v>0</v>
      </c>
      <c r="X416">
        <v>0</v>
      </c>
      <c r="Y416" s="90">
        <v>0</v>
      </c>
      <c r="Z416">
        <v>-83.04</v>
      </c>
    </row>
    <row r="417" spans="1:26" ht="12.75" customHeight="1" x14ac:dyDescent="0.25">
      <c r="C417" s="89"/>
      <c r="D417" s="89" t="s">
        <v>86</v>
      </c>
      <c r="E417" t="s">
        <v>70</v>
      </c>
      <c r="F417" s="90">
        <v>156179954.88999999</v>
      </c>
      <c r="G417" s="90">
        <v>10683058.800000001</v>
      </c>
      <c r="H417" s="90">
        <v>5291905.38</v>
      </c>
      <c r="I417" s="90">
        <v>2337384.64</v>
      </c>
      <c r="J417" s="90">
        <v>25452090.859999999</v>
      </c>
      <c r="K417" s="90">
        <v>1000429.55</v>
      </c>
      <c r="L417" s="90">
        <v>1472893.34</v>
      </c>
      <c r="M417" s="90">
        <v>10401582.4</v>
      </c>
      <c r="N417" s="90">
        <v>11943869.189999999</v>
      </c>
      <c r="O417" s="90">
        <v>56636477.950000003</v>
      </c>
      <c r="P417" s="90">
        <v>29324235.920000002</v>
      </c>
      <c r="Q417" s="90">
        <v>1636363.7</v>
      </c>
      <c r="R417" s="90">
        <v>-256.14999999999998</v>
      </c>
      <c r="S417" s="90">
        <v>0</v>
      </c>
      <c r="T417">
        <v>2.35</v>
      </c>
      <c r="U417">
        <v>0</v>
      </c>
      <c r="V417">
        <v>0</v>
      </c>
      <c r="W417">
        <v>0</v>
      </c>
      <c r="X417">
        <v>0</v>
      </c>
      <c r="Y417" s="90">
        <v>0</v>
      </c>
      <c r="Z417">
        <v>-83.04</v>
      </c>
    </row>
    <row r="418" spans="1:26" ht="12.75" customHeight="1" x14ac:dyDescent="0.25">
      <c r="B418" s="89"/>
      <c r="C418" s="89"/>
      <c r="E418" t="s">
        <v>72</v>
      </c>
      <c r="F418" s="90">
        <v>241323099.81</v>
      </c>
      <c r="G418" s="90">
        <v>38330997.579999998</v>
      </c>
      <c r="H418" s="90">
        <v>21631334.390000001</v>
      </c>
      <c r="I418" s="90">
        <v>11395580.82</v>
      </c>
      <c r="J418" s="90">
        <v>17111977.149999999</v>
      </c>
      <c r="K418" s="90">
        <v>446892.78</v>
      </c>
      <c r="L418" s="90">
        <v>13442000</v>
      </c>
      <c r="M418" s="90">
        <v>3889784.64</v>
      </c>
      <c r="N418" s="90">
        <v>5545916.4000000004</v>
      </c>
      <c r="O418" s="90">
        <v>28257377.93</v>
      </c>
      <c r="P418" s="90">
        <v>100541636.90000001</v>
      </c>
      <c r="Q418" s="90">
        <v>729204.82</v>
      </c>
      <c r="R418" s="90">
        <v>396.4</v>
      </c>
      <c r="S418" s="90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 s="90">
        <v>0</v>
      </c>
      <c r="Z418">
        <v>0</v>
      </c>
    </row>
    <row r="419" spans="1:26" ht="12.75" customHeight="1" x14ac:dyDescent="0.25">
      <c r="A419" s="89"/>
      <c r="B419" s="89"/>
      <c r="E419" t="s">
        <v>81</v>
      </c>
      <c r="F419" s="90">
        <v>123717.69</v>
      </c>
      <c r="G419" s="90">
        <v>22646.3</v>
      </c>
      <c r="H419" s="90">
        <v>9129.34</v>
      </c>
      <c r="I419" s="90">
        <v>3521.77</v>
      </c>
      <c r="J419" s="90">
        <v>18601.310000000001</v>
      </c>
      <c r="K419" s="90">
        <v>733.66</v>
      </c>
      <c r="L419" s="90">
        <v>4564.0600000000004</v>
      </c>
      <c r="M419" s="90">
        <v>6361.15</v>
      </c>
      <c r="N419" s="90">
        <v>7389.75</v>
      </c>
      <c r="O419" s="90">
        <v>-13914.1</v>
      </c>
      <c r="P419" s="90">
        <v>63487.55</v>
      </c>
      <c r="Q419" s="90">
        <v>1198.46</v>
      </c>
      <c r="R419" s="90">
        <v>-1.56</v>
      </c>
      <c r="S419" s="90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 s="90">
        <v>0</v>
      </c>
      <c r="Z419">
        <v>0</v>
      </c>
    </row>
    <row r="420" spans="1:26" ht="12.75" customHeight="1" x14ac:dyDescent="0.25">
      <c r="A420" s="89"/>
      <c r="B420" s="89"/>
      <c r="D420" t="s">
        <v>87</v>
      </c>
      <c r="E420" t="s">
        <v>70</v>
      </c>
      <c r="F420" s="371">
        <v>241446817.5</v>
      </c>
      <c r="G420" s="90">
        <v>38353643.880000003</v>
      </c>
      <c r="H420" s="90">
        <v>21640463.73</v>
      </c>
      <c r="I420" s="90">
        <v>11399102.59</v>
      </c>
      <c r="J420" s="90">
        <v>17130578.460000001</v>
      </c>
      <c r="K420" s="90">
        <v>447626.44</v>
      </c>
      <c r="L420" s="90">
        <v>13446564.060000001</v>
      </c>
      <c r="M420" s="90">
        <v>3896145.79</v>
      </c>
      <c r="N420" s="90">
        <v>5553306.1500000004</v>
      </c>
      <c r="O420" s="90">
        <v>28243463.829999998</v>
      </c>
      <c r="P420" s="90">
        <v>100605124.45</v>
      </c>
      <c r="Q420" s="90">
        <v>730403.28</v>
      </c>
      <c r="R420" s="90">
        <v>394.84</v>
      </c>
      <c r="S420" s="9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 s="90">
        <v>0</v>
      </c>
      <c r="Z420">
        <v>0</v>
      </c>
    </row>
    <row r="421" spans="1:26" s="94" customFormat="1" ht="12.75" customHeight="1" x14ac:dyDescent="0.25">
      <c r="C421" s="101" t="s">
        <v>119</v>
      </c>
      <c r="D421" s="101" t="s">
        <v>70</v>
      </c>
      <c r="F421" s="93">
        <v>446469722.97000003</v>
      </c>
      <c r="G421" s="93">
        <v>51994648.539999999</v>
      </c>
      <c r="H421" s="93">
        <v>28603793.350000001</v>
      </c>
      <c r="I421" s="93">
        <v>14627453.57</v>
      </c>
      <c r="J421" s="93">
        <v>53236913.829999998</v>
      </c>
      <c r="K421" s="93">
        <v>1737348.9</v>
      </c>
      <c r="L421" s="93">
        <v>14919457.4</v>
      </c>
      <c r="M421" s="93">
        <v>16823651.079999998</v>
      </c>
      <c r="N421" s="93">
        <v>21002759.469999999</v>
      </c>
      <c r="O421" s="93">
        <v>102873213.72</v>
      </c>
      <c r="P421" s="93">
        <v>137810025.43000001</v>
      </c>
      <c r="Q421" s="93">
        <v>2839961.6000000001</v>
      </c>
      <c r="R421" s="93">
        <v>576.65</v>
      </c>
      <c r="S421" s="93">
        <v>0.12</v>
      </c>
      <c r="T421" s="94">
        <v>2.35</v>
      </c>
      <c r="U421" s="94">
        <v>0</v>
      </c>
      <c r="V421" s="94">
        <v>0</v>
      </c>
      <c r="W421" s="94">
        <v>0</v>
      </c>
      <c r="X421" s="94">
        <v>0</v>
      </c>
      <c r="Y421" s="93">
        <v>0</v>
      </c>
      <c r="Z421" s="94">
        <v>-83.04</v>
      </c>
    </row>
    <row r="422" spans="1:26" s="226" customFormat="1" ht="12.75" customHeight="1" x14ac:dyDescent="0.25">
      <c r="B422" s="98" t="s">
        <v>112</v>
      </c>
      <c r="C422" s="98" t="s">
        <v>70</v>
      </c>
      <c r="F422" s="100">
        <v>7689912617.5699997</v>
      </c>
      <c r="G422" s="100">
        <v>460509883.92000002</v>
      </c>
      <c r="H422" s="100">
        <v>257028430.24000001</v>
      </c>
      <c r="I422" s="100">
        <v>134312506.69</v>
      </c>
      <c r="J422" s="100">
        <v>1579005549.6600001</v>
      </c>
      <c r="K422" s="100">
        <v>61676400.039999999</v>
      </c>
      <c r="L422" s="100">
        <v>34128344.93</v>
      </c>
      <c r="M422" s="100">
        <v>541584187.87</v>
      </c>
      <c r="N422" s="100">
        <v>540082739.65999997</v>
      </c>
      <c r="O422" s="100">
        <v>2761992106.6999998</v>
      </c>
      <c r="P422" s="100">
        <v>1218762550.6400001</v>
      </c>
      <c r="Q422" s="100">
        <v>100846634.72</v>
      </c>
      <c r="R422" s="100">
        <v>-16277.43</v>
      </c>
      <c r="S422" s="100">
        <v>0.14000000000000001</v>
      </c>
      <c r="T422" s="226">
        <v>6.41</v>
      </c>
      <c r="U422" s="226">
        <v>0</v>
      </c>
      <c r="V422" s="226">
        <v>0</v>
      </c>
      <c r="W422" s="226">
        <v>0</v>
      </c>
      <c r="X422" s="226">
        <v>0</v>
      </c>
      <c r="Y422" s="100">
        <v>0</v>
      </c>
      <c r="Z422" s="226">
        <v>-446.62</v>
      </c>
    </row>
    <row r="423" spans="1:26" ht="12" customHeight="1" x14ac:dyDescent="0.25">
      <c r="A423" s="89" t="s">
        <v>78</v>
      </c>
      <c r="B423" s="89" t="s">
        <v>70</v>
      </c>
      <c r="F423" s="371">
        <v>7694513192.7299995</v>
      </c>
      <c r="G423" s="90">
        <v>460821321.98000002</v>
      </c>
      <c r="H423" s="90">
        <v>257203175.43000001</v>
      </c>
      <c r="I423" s="90">
        <v>134407059.25999999</v>
      </c>
      <c r="J423" s="90">
        <v>1579977025.5999999</v>
      </c>
      <c r="K423" s="90">
        <v>61707932.560000002</v>
      </c>
      <c r="L423" s="90">
        <v>34128344.93</v>
      </c>
      <c r="M423" s="90">
        <v>541864308.33000004</v>
      </c>
      <c r="N423" s="90">
        <v>540392643.28999996</v>
      </c>
      <c r="O423" s="90">
        <v>2763535205.4499998</v>
      </c>
      <c r="P423" s="90">
        <v>1219593015.28</v>
      </c>
      <c r="Q423" s="90">
        <v>100899955.88</v>
      </c>
      <c r="R423" s="90">
        <v>-16266.45</v>
      </c>
      <c r="S423" s="90">
        <v>0.14000000000000001</v>
      </c>
      <c r="T423">
        <v>6.41</v>
      </c>
      <c r="U423">
        <v>0</v>
      </c>
      <c r="V423">
        <v>0</v>
      </c>
      <c r="W423">
        <v>0</v>
      </c>
      <c r="X423">
        <v>0</v>
      </c>
      <c r="Y423" s="90">
        <v>0</v>
      </c>
      <c r="Z423">
        <v>-535.36</v>
      </c>
    </row>
    <row r="424" spans="1:26" ht="12.75" customHeight="1" x14ac:dyDescent="0.25">
      <c r="E424" s="89" t="s">
        <v>73</v>
      </c>
      <c r="F424" s="90">
        <v>-226278.07</v>
      </c>
      <c r="G424" s="90">
        <v>26896.68</v>
      </c>
      <c r="H424" s="90">
        <v>15292.29</v>
      </c>
      <c r="I424" s="90">
        <v>7987.79</v>
      </c>
      <c r="J424" s="90">
        <v>-105125.62</v>
      </c>
      <c r="K424" s="90">
        <v>-3487.78</v>
      </c>
      <c r="L424" s="90">
        <v>0</v>
      </c>
      <c r="M424" s="90">
        <v>-30596.02</v>
      </c>
      <c r="N424" s="90">
        <v>-33825.99</v>
      </c>
      <c r="O424" s="90">
        <v>-169274.83</v>
      </c>
      <c r="P424" s="90">
        <v>71546.22</v>
      </c>
      <c r="Q424" s="90">
        <v>-5690.81</v>
      </c>
      <c r="R424" s="90">
        <v>0</v>
      </c>
      <c r="S424" s="90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 s="90">
        <v>0</v>
      </c>
      <c r="Z424">
        <v>0</v>
      </c>
    </row>
    <row r="425" spans="1:26" ht="12.75" customHeight="1" x14ac:dyDescent="0.25">
      <c r="D425" t="s">
        <v>156</v>
      </c>
      <c r="E425" s="89" t="s">
        <v>70</v>
      </c>
      <c r="F425" s="90">
        <v>-226278.07</v>
      </c>
      <c r="G425" s="90">
        <v>26896.68</v>
      </c>
      <c r="H425" s="90">
        <v>15292.29</v>
      </c>
      <c r="I425" s="90">
        <v>7987.79</v>
      </c>
      <c r="J425" s="90">
        <v>-105125.62</v>
      </c>
      <c r="K425" s="90">
        <v>-3487.78</v>
      </c>
      <c r="L425" s="90">
        <v>0</v>
      </c>
      <c r="M425" s="90">
        <v>-30596.02</v>
      </c>
      <c r="N425" s="90">
        <v>-33825.99</v>
      </c>
      <c r="O425" s="90">
        <v>-169274.83</v>
      </c>
      <c r="P425" s="90">
        <v>71546.22</v>
      </c>
      <c r="Q425" s="90">
        <v>-5690.81</v>
      </c>
      <c r="R425" s="90">
        <v>0</v>
      </c>
      <c r="S425" s="90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 s="90">
        <v>0</v>
      </c>
      <c r="Z425">
        <v>0</v>
      </c>
    </row>
    <row r="426" spans="1:26" s="657" customFormat="1" ht="12.75" customHeight="1" x14ac:dyDescent="0.25">
      <c r="C426" s="657" t="s">
        <v>155</v>
      </c>
      <c r="D426" s="658" t="s">
        <v>70</v>
      </c>
      <c r="E426" s="658"/>
      <c r="F426" s="739">
        <v>-226278.07</v>
      </c>
      <c r="G426" s="659">
        <v>26896.68</v>
      </c>
      <c r="H426" s="659">
        <v>15292.29</v>
      </c>
      <c r="I426" s="659">
        <v>7987.79</v>
      </c>
      <c r="J426" s="659">
        <v>-105125.62</v>
      </c>
      <c r="K426" s="659">
        <v>-3487.78</v>
      </c>
      <c r="L426" s="659">
        <v>0</v>
      </c>
      <c r="M426" s="659">
        <v>-30596.02</v>
      </c>
      <c r="N426" s="659">
        <v>-33825.99</v>
      </c>
      <c r="O426" s="659">
        <v>-169274.83</v>
      </c>
      <c r="P426" s="659">
        <v>71546.22</v>
      </c>
      <c r="Q426" s="659">
        <v>-5690.81</v>
      </c>
      <c r="R426" s="659">
        <v>0</v>
      </c>
      <c r="S426" s="659">
        <v>0</v>
      </c>
      <c r="T426" s="657">
        <v>0</v>
      </c>
      <c r="U426" s="657">
        <v>0</v>
      </c>
      <c r="V426" s="657">
        <v>0</v>
      </c>
      <c r="W426" s="657">
        <v>0</v>
      </c>
      <c r="X426" s="657">
        <v>0</v>
      </c>
      <c r="Y426" s="659">
        <v>0</v>
      </c>
      <c r="Z426" s="657">
        <v>0</v>
      </c>
    </row>
    <row r="427" spans="1:26" ht="12.75" customHeight="1" x14ac:dyDescent="0.25">
      <c r="E427" s="89" t="s">
        <v>73</v>
      </c>
      <c r="F427" s="90">
        <v>-31196.09</v>
      </c>
      <c r="G427" s="90">
        <v>2454.39</v>
      </c>
      <c r="H427" s="90">
        <v>1386.66</v>
      </c>
      <c r="I427" s="90">
        <v>731.55</v>
      </c>
      <c r="J427" s="90">
        <v>-14691.57</v>
      </c>
      <c r="K427" s="90">
        <v>-406.98</v>
      </c>
      <c r="L427" s="90">
        <v>0</v>
      </c>
      <c r="M427" s="90">
        <v>-3570.02</v>
      </c>
      <c r="N427" s="90">
        <v>-3811.48</v>
      </c>
      <c r="O427" s="90">
        <v>-19139.53</v>
      </c>
      <c r="P427" s="90">
        <v>6514.92</v>
      </c>
      <c r="Q427" s="90">
        <v>-664.03</v>
      </c>
      <c r="R427" s="90">
        <v>0</v>
      </c>
      <c r="S427" s="90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 s="90">
        <v>0</v>
      </c>
      <c r="Z427">
        <v>0</v>
      </c>
    </row>
    <row r="428" spans="1:26" ht="12.75" customHeight="1" x14ac:dyDescent="0.25">
      <c r="D428" t="s">
        <v>86</v>
      </c>
      <c r="E428" s="89" t="s">
        <v>70</v>
      </c>
      <c r="F428" s="90">
        <v>-31196.09</v>
      </c>
      <c r="G428" s="90">
        <v>2454.39</v>
      </c>
      <c r="H428" s="90">
        <v>1386.66</v>
      </c>
      <c r="I428" s="90">
        <v>731.55</v>
      </c>
      <c r="J428" s="90">
        <v>-14691.57</v>
      </c>
      <c r="K428" s="90">
        <v>-406.98</v>
      </c>
      <c r="L428" s="90">
        <v>0</v>
      </c>
      <c r="M428" s="90">
        <v>-3570.02</v>
      </c>
      <c r="N428" s="90">
        <v>-3811.48</v>
      </c>
      <c r="O428" s="90">
        <v>-19139.53</v>
      </c>
      <c r="P428" s="90">
        <v>6514.92</v>
      </c>
      <c r="Q428" s="90">
        <v>-664.03</v>
      </c>
      <c r="R428" s="90">
        <v>0</v>
      </c>
      <c r="S428" s="90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 s="90">
        <v>0</v>
      </c>
      <c r="Z428">
        <v>0</v>
      </c>
    </row>
    <row r="429" spans="1:26" s="94" customFormat="1" ht="12.75" customHeight="1" x14ac:dyDescent="0.25">
      <c r="C429" s="101" t="s">
        <v>119</v>
      </c>
      <c r="D429" s="101" t="s">
        <v>70</v>
      </c>
      <c r="F429" s="93">
        <v>-31196.09</v>
      </c>
      <c r="G429" s="93">
        <v>2454.39</v>
      </c>
      <c r="H429" s="93">
        <v>1386.66</v>
      </c>
      <c r="I429" s="93">
        <v>731.55</v>
      </c>
      <c r="J429" s="93">
        <v>-14691.57</v>
      </c>
      <c r="K429" s="93">
        <v>-406.98</v>
      </c>
      <c r="L429" s="93">
        <v>0</v>
      </c>
      <c r="M429" s="93">
        <v>-3570.02</v>
      </c>
      <c r="N429" s="93">
        <v>-3811.48</v>
      </c>
      <c r="O429" s="93">
        <v>-19139.53</v>
      </c>
      <c r="P429" s="93">
        <v>6514.92</v>
      </c>
      <c r="Q429" s="93">
        <v>-664.03</v>
      </c>
      <c r="R429" s="93">
        <v>0</v>
      </c>
      <c r="S429" s="93">
        <v>0</v>
      </c>
      <c r="T429" s="94">
        <v>0</v>
      </c>
      <c r="U429" s="94">
        <v>0</v>
      </c>
      <c r="V429" s="94">
        <v>0</v>
      </c>
      <c r="W429" s="94">
        <v>0</v>
      </c>
      <c r="X429" s="94">
        <v>0</v>
      </c>
      <c r="Y429" s="93">
        <v>0</v>
      </c>
      <c r="Z429" s="94">
        <v>0</v>
      </c>
    </row>
    <row r="430" spans="1:26" s="378" customFormat="1" ht="12.75" customHeight="1" x14ac:dyDescent="0.25">
      <c r="B430" s="378" t="s">
        <v>122</v>
      </c>
      <c r="C430" s="378" t="s">
        <v>70</v>
      </c>
      <c r="E430" s="376"/>
      <c r="F430" s="377">
        <v>-257474.16</v>
      </c>
      <c r="G430" s="377">
        <v>29351.07</v>
      </c>
      <c r="H430" s="377">
        <v>16678.95</v>
      </c>
      <c r="I430" s="377">
        <v>8719.34</v>
      </c>
      <c r="J430" s="377">
        <v>-119817.19</v>
      </c>
      <c r="K430" s="377">
        <v>-3894.76</v>
      </c>
      <c r="L430" s="377">
        <v>0</v>
      </c>
      <c r="M430" s="377">
        <v>-34166.04</v>
      </c>
      <c r="N430" s="377">
        <v>-37637.47</v>
      </c>
      <c r="O430" s="377">
        <v>-188414.36</v>
      </c>
      <c r="P430" s="377">
        <v>78061.14</v>
      </c>
      <c r="Q430" s="377">
        <v>-6354.84</v>
      </c>
      <c r="R430" s="377">
        <v>0</v>
      </c>
      <c r="S430" s="377">
        <v>0</v>
      </c>
      <c r="T430" s="378">
        <v>0</v>
      </c>
      <c r="U430" s="378">
        <v>0</v>
      </c>
      <c r="V430" s="378">
        <v>0</v>
      </c>
      <c r="W430" s="378">
        <v>0</v>
      </c>
      <c r="X430" s="378">
        <v>0</v>
      </c>
      <c r="Y430" s="377">
        <v>0</v>
      </c>
      <c r="Z430" s="378">
        <v>0</v>
      </c>
    </row>
    <row r="431" spans="1:26" ht="12.75" customHeight="1" x14ac:dyDescent="0.25">
      <c r="E431" s="89" t="s">
        <v>73</v>
      </c>
      <c r="F431" s="90">
        <v>-633811893.26999998</v>
      </c>
      <c r="G431" s="90">
        <v>10445313.449999999</v>
      </c>
      <c r="H431" s="90">
        <v>6043668.3499999996</v>
      </c>
      <c r="I431" s="90">
        <v>3225979.12</v>
      </c>
      <c r="J431" s="90">
        <v>-194493967.5</v>
      </c>
      <c r="K431" s="90">
        <v>-7524083.8399999999</v>
      </c>
      <c r="L431" s="90">
        <v>0</v>
      </c>
      <c r="M431" s="90">
        <v>-66004810.5</v>
      </c>
      <c r="N431" s="90">
        <v>-65630053.07</v>
      </c>
      <c r="O431" s="90">
        <v>-335335691.50999999</v>
      </c>
      <c r="P431" s="90">
        <v>27741086.859999999</v>
      </c>
      <c r="Q431" s="90">
        <v>-12279334.630000001</v>
      </c>
      <c r="R431" s="90">
        <v>0</v>
      </c>
      <c r="S431" s="90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 s="90">
        <v>0</v>
      </c>
      <c r="Z431">
        <v>0</v>
      </c>
    </row>
    <row r="432" spans="1:26" ht="12.75" customHeight="1" x14ac:dyDescent="0.25">
      <c r="D432" s="89" t="s">
        <v>156</v>
      </c>
      <c r="E432" s="89" t="s">
        <v>70</v>
      </c>
      <c r="F432" s="90">
        <v>-633811893.26999998</v>
      </c>
      <c r="G432" s="90">
        <v>10445313.449999999</v>
      </c>
      <c r="H432" s="90">
        <v>6043668.3499999996</v>
      </c>
      <c r="I432" s="90">
        <v>3225979.12</v>
      </c>
      <c r="J432" s="90">
        <v>-194493967.5</v>
      </c>
      <c r="K432" s="90">
        <v>-7524083.8399999999</v>
      </c>
      <c r="L432" s="90">
        <v>0</v>
      </c>
      <c r="M432" s="90">
        <v>-66004810.5</v>
      </c>
      <c r="N432" s="90">
        <v>-65630053.07</v>
      </c>
      <c r="O432" s="90">
        <v>-335335691.50999999</v>
      </c>
      <c r="P432" s="90">
        <v>27741086.859999999</v>
      </c>
      <c r="Q432" s="90">
        <v>-12279334.630000001</v>
      </c>
      <c r="R432" s="90">
        <v>0</v>
      </c>
      <c r="S432" s="90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 s="90">
        <v>0</v>
      </c>
      <c r="Z432">
        <v>0</v>
      </c>
    </row>
    <row r="433" spans="2:26" s="657" customFormat="1" ht="12.75" customHeight="1" x14ac:dyDescent="0.25">
      <c r="C433" s="657" t="s">
        <v>155</v>
      </c>
      <c r="D433" s="658" t="s">
        <v>70</v>
      </c>
      <c r="E433" s="658"/>
      <c r="F433" s="739">
        <v>-633811893.26999998</v>
      </c>
      <c r="G433" s="659">
        <v>10445313.449999999</v>
      </c>
      <c r="H433" s="659">
        <v>6043668.3499999996</v>
      </c>
      <c r="I433" s="659">
        <v>3225979.12</v>
      </c>
      <c r="J433" s="659">
        <v>-194493967.5</v>
      </c>
      <c r="K433" s="659">
        <v>-7524083.8399999999</v>
      </c>
      <c r="L433" s="659">
        <v>0</v>
      </c>
      <c r="M433" s="659">
        <v>-66004810.5</v>
      </c>
      <c r="N433" s="659">
        <v>-65630053.07</v>
      </c>
      <c r="O433" s="659">
        <v>-335335691.50999999</v>
      </c>
      <c r="P433" s="659">
        <v>27741086.859999999</v>
      </c>
      <c r="Q433" s="659">
        <v>-12279334.630000001</v>
      </c>
      <c r="R433" s="659">
        <v>0</v>
      </c>
      <c r="S433" s="659">
        <v>0</v>
      </c>
      <c r="T433" s="657">
        <v>0</v>
      </c>
      <c r="U433" s="657">
        <v>0</v>
      </c>
      <c r="V433" s="657">
        <v>0</v>
      </c>
      <c r="W433" s="657">
        <v>0</v>
      </c>
      <c r="X433" s="657">
        <v>0</v>
      </c>
      <c r="Y433" s="659">
        <v>0</v>
      </c>
      <c r="Z433" s="657">
        <v>0</v>
      </c>
    </row>
    <row r="434" spans="2:26" ht="12.75" customHeight="1" x14ac:dyDescent="0.25">
      <c r="D434" s="89"/>
      <c r="E434" s="89" t="s">
        <v>73</v>
      </c>
      <c r="F434" s="371">
        <v>572676.61</v>
      </c>
      <c r="G434" s="90">
        <v>54198.01</v>
      </c>
      <c r="H434" s="90">
        <v>26146.59</v>
      </c>
      <c r="I434" s="90">
        <v>14647.13</v>
      </c>
      <c r="J434" s="90">
        <v>98253.74</v>
      </c>
      <c r="K434" s="90">
        <v>3141.26</v>
      </c>
      <c r="L434" s="90">
        <v>0</v>
      </c>
      <c r="M434" s="90">
        <v>27604.79</v>
      </c>
      <c r="N434" s="90">
        <v>32810.74</v>
      </c>
      <c r="O434" s="90">
        <v>165741.59</v>
      </c>
      <c r="P434" s="90">
        <v>144992.38</v>
      </c>
      <c r="Q434" s="90">
        <v>5140.38</v>
      </c>
      <c r="R434" s="90">
        <v>0</v>
      </c>
      <c r="S434" s="90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 s="90">
        <v>0</v>
      </c>
      <c r="Z434">
        <v>0</v>
      </c>
    </row>
    <row r="435" spans="2:26" ht="12.65" customHeight="1" x14ac:dyDescent="0.25">
      <c r="D435" s="89" t="s">
        <v>115</v>
      </c>
      <c r="E435" s="89" t="s">
        <v>70</v>
      </c>
      <c r="F435" s="371">
        <v>572676.61</v>
      </c>
      <c r="G435" s="90">
        <v>54198.01</v>
      </c>
      <c r="H435" s="90">
        <v>26146.59</v>
      </c>
      <c r="I435" s="90">
        <v>14647.13</v>
      </c>
      <c r="J435" s="90">
        <v>98253.74</v>
      </c>
      <c r="K435" s="90">
        <v>3141.26</v>
      </c>
      <c r="L435" s="90">
        <v>0</v>
      </c>
      <c r="M435" s="90">
        <v>27604.79</v>
      </c>
      <c r="N435" s="90">
        <v>32810.74</v>
      </c>
      <c r="O435" s="90">
        <v>165741.59</v>
      </c>
      <c r="P435" s="90">
        <v>144992.38</v>
      </c>
      <c r="Q435" s="90">
        <v>5140.38</v>
      </c>
      <c r="R435" s="90">
        <v>0</v>
      </c>
      <c r="S435" s="90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 s="90">
        <v>0</v>
      </c>
      <c r="Z435">
        <v>0</v>
      </c>
    </row>
    <row r="436" spans="2:26" ht="12.65" customHeight="1" x14ac:dyDescent="0.25">
      <c r="D436" s="89"/>
      <c r="E436" s="89" t="s">
        <v>73</v>
      </c>
      <c r="F436" s="371">
        <v>-11495.84</v>
      </c>
      <c r="G436" s="90">
        <v>-603.07000000000005</v>
      </c>
      <c r="H436" s="90">
        <v>-277.45999999999998</v>
      </c>
      <c r="I436" s="90">
        <v>-168.37</v>
      </c>
      <c r="J436" s="90">
        <v>-2860.6</v>
      </c>
      <c r="K436" s="90">
        <v>-72.14</v>
      </c>
      <c r="L436" s="90">
        <v>0</v>
      </c>
      <c r="M436" s="90">
        <v>-632.82000000000005</v>
      </c>
      <c r="N436" s="90">
        <v>-848.15</v>
      </c>
      <c r="O436" s="90">
        <v>-4298.83</v>
      </c>
      <c r="P436" s="90">
        <v>-1616.7</v>
      </c>
      <c r="Q436" s="90">
        <v>-117.7</v>
      </c>
      <c r="R436" s="90">
        <v>0</v>
      </c>
      <c r="S436" s="90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 s="90">
        <v>0</v>
      </c>
      <c r="Z436">
        <v>0</v>
      </c>
    </row>
    <row r="437" spans="2:26" ht="12.65" customHeight="1" x14ac:dyDescent="0.25">
      <c r="D437" s="89" t="s">
        <v>116</v>
      </c>
      <c r="E437" s="89" t="s">
        <v>70</v>
      </c>
      <c r="F437" s="371">
        <v>-11495.84</v>
      </c>
      <c r="G437" s="90">
        <v>-603.07000000000005</v>
      </c>
      <c r="H437" s="90">
        <v>-277.45999999999998</v>
      </c>
      <c r="I437" s="90">
        <v>-168.37</v>
      </c>
      <c r="J437" s="90">
        <v>-2860.6</v>
      </c>
      <c r="K437" s="90">
        <v>-72.14</v>
      </c>
      <c r="L437" s="90">
        <v>0</v>
      </c>
      <c r="M437" s="90">
        <v>-632.82000000000005</v>
      </c>
      <c r="N437" s="90">
        <v>-848.15</v>
      </c>
      <c r="O437" s="90">
        <v>-4298.83</v>
      </c>
      <c r="P437" s="90">
        <v>-1616.7</v>
      </c>
      <c r="Q437" s="90">
        <v>-117.7</v>
      </c>
      <c r="R437" s="90">
        <v>0</v>
      </c>
      <c r="S437" s="90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 s="90">
        <v>0</v>
      </c>
      <c r="Z437">
        <v>0</v>
      </c>
    </row>
    <row r="438" spans="2:26" ht="12.75" customHeight="1" x14ac:dyDescent="0.25">
      <c r="E438" s="89" t="s">
        <v>73</v>
      </c>
      <c r="F438" s="90">
        <v>-298279.45</v>
      </c>
      <c r="G438" s="90">
        <v>-728.17</v>
      </c>
      <c r="H438" s="90">
        <v>-809.31</v>
      </c>
      <c r="I438" s="90">
        <v>-376.02</v>
      </c>
      <c r="J438" s="90">
        <v>-85680.91</v>
      </c>
      <c r="K438" s="90">
        <v>-3328.71</v>
      </c>
      <c r="L438" s="90">
        <v>0</v>
      </c>
      <c r="M438" s="90">
        <v>-29199.66</v>
      </c>
      <c r="N438" s="90">
        <v>-27733.040000000001</v>
      </c>
      <c r="O438" s="90">
        <v>-143587.22</v>
      </c>
      <c r="P438" s="90">
        <v>-1405.26</v>
      </c>
      <c r="Q438" s="90">
        <v>-5431.15</v>
      </c>
      <c r="R438" s="90">
        <v>0</v>
      </c>
      <c r="S438" s="90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 s="90">
        <v>0</v>
      </c>
      <c r="Z438">
        <v>0</v>
      </c>
    </row>
    <row r="439" spans="2:26" ht="12.75" customHeight="1" x14ac:dyDescent="0.25">
      <c r="D439" s="89" t="s">
        <v>118</v>
      </c>
      <c r="E439" s="89" t="s">
        <v>70</v>
      </c>
      <c r="F439" s="90">
        <v>-298279.45</v>
      </c>
      <c r="G439" s="90">
        <v>-728.17</v>
      </c>
      <c r="H439" s="90">
        <v>-809.31</v>
      </c>
      <c r="I439" s="90">
        <v>-376.02</v>
      </c>
      <c r="J439" s="90">
        <v>-85680.91</v>
      </c>
      <c r="K439" s="90">
        <v>-3328.71</v>
      </c>
      <c r="L439" s="90">
        <v>0</v>
      </c>
      <c r="M439" s="90">
        <v>-29199.66</v>
      </c>
      <c r="N439" s="90">
        <v>-27733.040000000001</v>
      </c>
      <c r="O439" s="90">
        <v>-143587.22</v>
      </c>
      <c r="P439" s="90">
        <v>-1405.26</v>
      </c>
      <c r="Q439" s="90">
        <v>-5431.15</v>
      </c>
      <c r="R439" s="90">
        <v>0</v>
      </c>
      <c r="S439" s="90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 s="90">
        <v>0</v>
      </c>
      <c r="Z439">
        <v>0</v>
      </c>
    </row>
    <row r="440" spans="2:26" s="224" customFormat="1" ht="12.75" customHeight="1" x14ac:dyDescent="0.25">
      <c r="C440" s="223" t="s">
        <v>120</v>
      </c>
      <c r="D440" s="223" t="s">
        <v>70</v>
      </c>
      <c r="F440" s="225">
        <v>262901.32</v>
      </c>
      <c r="G440" s="225">
        <v>52866.77</v>
      </c>
      <c r="H440" s="225">
        <v>25059.82</v>
      </c>
      <c r="I440" s="225">
        <v>14102.74</v>
      </c>
      <c r="J440" s="225">
        <v>9712.23</v>
      </c>
      <c r="K440" s="225">
        <v>-259.58999999999997</v>
      </c>
      <c r="L440" s="225">
        <v>0</v>
      </c>
      <c r="M440" s="225">
        <v>-2227.69</v>
      </c>
      <c r="N440" s="225">
        <v>4229.55</v>
      </c>
      <c r="O440" s="225">
        <v>17855.54</v>
      </c>
      <c r="P440" s="225">
        <v>141970.42000000001</v>
      </c>
      <c r="Q440" s="225">
        <v>-408.47</v>
      </c>
      <c r="R440" s="225">
        <v>0</v>
      </c>
      <c r="S440" s="225">
        <v>0</v>
      </c>
      <c r="T440" s="224">
        <v>0</v>
      </c>
      <c r="U440" s="224">
        <v>0</v>
      </c>
      <c r="V440" s="224">
        <v>0</v>
      </c>
      <c r="W440" s="224">
        <v>0</v>
      </c>
      <c r="X440" s="224">
        <v>0</v>
      </c>
      <c r="Y440" s="225">
        <v>0</v>
      </c>
      <c r="Z440" s="224">
        <v>0</v>
      </c>
    </row>
    <row r="441" spans="2:26" ht="12.75" customHeight="1" x14ac:dyDescent="0.25">
      <c r="E441" s="89" t="s">
        <v>73</v>
      </c>
      <c r="F441" s="90">
        <v>4631259.42</v>
      </c>
      <c r="G441" s="90">
        <v>558477.52</v>
      </c>
      <c r="H441" s="90">
        <v>316498.74</v>
      </c>
      <c r="I441" s="90">
        <v>167983.06</v>
      </c>
      <c r="J441" s="90">
        <v>664622.81999999995</v>
      </c>
      <c r="K441" s="90">
        <v>17733.669999999998</v>
      </c>
      <c r="L441" s="90">
        <v>0</v>
      </c>
      <c r="M441" s="90">
        <v>156640.94</v>
      </c>
      <c r="N441" s="90">
        <v>207558.96</v>
      </c>
      <c r="O441" s="90">
        <v>1018989.61</v>
      </c>
      <c r="P441" s="90">
        <v>1493820.31</v>
      </c>
      <c r="Q441" s="90">
        <v>28933.79</v>
      </c>
      <c r="R441" s="90">
        <v>0</v>
      </c>
      <c r="S441" s="90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 s="90">
        <v>0</v>
      </c>
      <c r="Z441">
        <v>0</v>
      </c>
    </row>
    <row r="442" spans="2:26" ht="12.75" customHeight="1" x14ac:dyDescent="0.25">
      <c r="D442" s="89" t="s">
        <v>82</v>
      </c>
      <c r="E442" s="89" t="s">
        <v>70</v>
      </c>
      <c r="F442" s="90">
        <v>4631259.42</v>
      </c>
      <c r="G442" s="90">
        <v>558477.52</v>
      </c>
      <c r="H442" s="90">
        <v>316498.74</v>
      </c>
      <c r="I442" s="90">
        <v>167983.06</v>
      </c>
      <c r="J442" s="90">
        <v>664622.81999999995</v>
      </c>
      <c r="K442" s="90">
        <v>17733.669999999998</v>
      </c>
      <c r="L442" s="90">
        <v>0</v>
      </c>
      <c r="M442" s="90">
        <v>156640.94</v>
      </c>
      <c r="N442" s="90">
        <v>207558.96</v>
      </c>
      <c r="O442" s="90">
        <v>1018989.61</v>
      </c>
      <c r="P442" s="90">
        <v>1493820.31</v>
      </c>
      <c r="Q442" s="90">
        <v>28933.79</v>
      </c>
      <c r="R442" s="90">
        <v>0</v>
      </c>
      <c r="S442" s="90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 s="90">
        <v>0</v>
      </c>
      <c r="Z442">
        <v>0</v>
      </c>
    </row>
    <row r="443" spans="2:26" ht="12.75" customHeight="1" x14ac:dyDescent="0.25">
      <c r="E443" s="89" t="s">
        <v>73</v>
      </c>
      <c r="F443" s="90">
        <v>-24884555.57</v>
      </c>
      <c r="G443" s="90">
        <v>-576046.6</v>
      </c>
      <c r="H443" s="90">
        <v>-198940.76</v>
      </c>
      <c r="I443" s="90">
        <v>-60712.45</v>
      </c>
      <c r="J443" s="90">
        <v>-7153441.0499999998</v>
      </c>
      <c r="K443" s="90">
        <v>-233032.41</v>
      </c>
      <c r="L443" s="90">
        <v>0</v>
      </c>
      <c r="M443" s="90">
        <v>-2048680.17</v>
      </c>
      <c r="N443" s="90">
        <v>-2449168.17</v>
      </c>
      <c r="O443" s="90">
        <v>-10286515.01</v>
      </c>
      <c r="P443" s="90">
        <v>-1497871.91</v>
      </c>
      <c r="Q443" s="90">
        <v>-380147.04</v>
      </c>
      <c r="R443" s="90">
        <v>0</v>
      </c>
      <c r="S443" s="90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 s="90">
        <v>0</v>
      </c>
      <c r="Z443">
        <v>0</v>
      </c>
    </row>
    <row r="444" spans="2:26" ht="12.75" customHeight="1" x14ac:dyDescent="0.25">
      <c r="D444" s="89" t="s">
        <v>86</v>
      </c>
      <c r="E444" s="89" t="s">
        <v>70</v>
      </c>
      <c r="F444" s="90">
        <v>-24884555.57</v>
      </c>
      <c r="G444" s="90">
        <v>-576046.6</v>
      </c>
      <c r="H444" s="90">
        <v>-198940.76</v>
      </c>
      <c r="I444" s="90">
        <v>-60712.45</v>
      </c>
      <c r="J444" s="90">
        <v>-7153441.0499999998</v>
      </c>
      <c r="K444" s="90">
        <v>-233032.41</v>
      </c>
      <c r="L444" s="90">
        <v>0</v>
      </c>
      <c r="M444" s="90">
        <v>-2048680.17</v>
      </c>
      <c r="N444" s="90">
        <v>-2449168.17</v>
      </c>
      <c r="O444" s="90">
        <v>-10286515.01</v>
      </c>
      <c r="P444" s="90">
        <v>-1497871.91</v>
      </c>
      <c r="Q444" s="90">
        <v>-380147.04</v>
      </c>
      <c r="R444" s="90">
        <v>0</v>
      </c>
      <c r="S444" s="90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 s="90">
        <v>0</v>
      </c>
      <c r="Z444">
        <v>0</v>
      </c>
    </row>
    <row r="445" spans="2:26" ht="12.75" customHeight="1" x14ac:dyDescent="0.25">
      <c r="E445" s="89" t="s">
        <v>73</v>
      </c>
      <c r="F445" s="90">
        <v>45950466.710000001</v>
      </c>
      <c r="G445" s="90">
        <v>8781115.8200000003</v>
      </c>
      <c r="H445" s="90">
        <v>4940851.97</v>
      </c>
      <c r="I445" s="90">
        <v>2611795.86</v>
      </c>
      <c r="J445" s="90">
        <v>1898372.42</v>
      </c>
      <c r="K445" s="90">
        <v>49151.99</v>
      </c>
      <c r="L445" s="90">
        <v>0</v>
      </c>
      <c r="M445" s="90">
        <v>431154.43</v>
      </c>
      <c r="N445" s="90">
        <v>619734.97</v>
      </c>
      <c r="O445" s="90">
        <v>3109869.82</v>
      </c>
      <c r="P445" s="90">
        <v>23428222.719999999</v>
      </c>
      <c r="Q445" s="90">
        <v>80196.710000000006</v>
      </c>
      <c r="R445" s="90">
        <v>0</v>
      </c>
      <c r="S445" s="90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 s="90">
        <v>0</v>
      </c>
      <c r="Z445">
        <v>0</v>
      </c>
    </row>
    <row r="446" spans="2:26" ht="12.75" customHeight="1" x14ac:dyDescent="0.25">
      <c r="D446" s="89" t="s">
        <v>87</v>
      </c>
      <c r="E446" s="89" t="s">
        <v>70</v>
      </c>
      <c r="F446" s="90">
        <v>45950466.710000001</v>
      </c>
      <c r="G446" s="90">
        <v>8781115.8200000003</v>
      </c>
      <c r="H446" s="90">
        <v>4940851.97</v>
      </c>
      <c r="I446" s="90">
        <v>2611795.86</v>
      </c>
      <c r="J446" s="90">
        <v>1898372.42</v>
      </c>
      <c r="K446" s="90">
        <v>49151.99</v>
      </c>
      <c r="L446" s="90">
        <v>0</v>
      </c>
      <c r="M446" s="90">
        <v>431154.43</v>
      </c>
      <c r="N446" s="90">
        <v>619734.97</v>
      </c>
      <c r="O446" s="90">
        <v>3109869.82</v>
      </c>
      <c r="P446" s="90">
        <v>23428222.719999999</v>
      </c>
      <c r="Q446" s="90">
        <v>80196.710000000006</v>
      </c>
      <c r="R446" s="90">
        <v>0</v>
      </c>
      <c r="S446" s="90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 s="90">
        <v>0</v>
      </c>
      <c r="Z446">
        <v>0</v>
      </c>
    </row>
    <row r="447" spans="2:26" s="94" customFormat="1" ht="12.75" customHeight="1" x14ac:dyDescent="0.25">
      <c r="C447" s="101" t="s">
        <v>119</v>
      </c>
      <c r="D447" s="101" t="s">
        <v>70</v>
      </c>
      <c r="F447" s="93">
        <v>25697170.559999999</v>
      </c>
      <c r="G447" s="93">
        <v>8763546.7400000002</v>
      </c>
      <c r="H447" s="93">
        <v>5058409.95</v>
      </c>
      <c r="I447" s="93">
        <v>2719066.47</v>
      </c>
      <c r="J447" s="93">
        <v>-4590445.8099999996</v>
      </c>
      <c r="K447" s="93">
        <v>-166146.75</v>
      </c>
      <c r="L447" s="93">
        <v>0</v>
      </c>
      <c r="M447" s="93">
        <v>-1460884.8</v>
      </c>
      <c r="N447" s="93">
        <v>-1621874.24</v>
      </c>
      <c r="O447" s="93">
        <v>-6157655.5800000001</v>
      </c>
      <c r="P447" s="93">
        <v>23424171.120000001</v>
      </c>
      <c r="Q447" s="93">
        <v>-271016.53999999998</v>
      </c>
      <c r="R447" s="93">
        <v>0</v>
      </c>
      <c r="S447" s="93">
        <v>0</v>
      </c>
      <c r="T447" s="94">
        <v>0</v>
      </c>
      <c r="U447" s="94">
        <v>0</v>
      </c>
      <c r="V447" s="94">
        <v>0</v>
      </c>
      <c r="W447" s="94">
        <v>0</v>
      </c>
      <c r="X447" s="94">
        <v>0</v>
      </c>
      <c r="Y447" s="93">
        <v>0</v>
      </c>
      <c r="Z447" s="94">
        <v>0</v>
      </c>
    </row>
    <row r="448" spans="2:26" s="226" customFormat="1" ht="12.75" customHeight="1" x14ac:dyDescent="0.25">
      <c r="B448" s="98" t="s">
        <v>112</v>
      </c>
      <c r="C448" s="98" t="s">
        <v>70</v>
      </c>
      <c r="F448" s="100">
        <v>-607851821.38999999</v>
      </c>
      <c r="G448" s="100">
        <v>19261726.960000001</v>
      </c>
      <c r="H448" s="100">
        <v>11127138.119999999</v>
      </c>
      <c r="I448" s="100">
        <v>5959148.3300000001</v>
      </c>
      <c r="J448" s="100">
        <v>-199074701.08000001</v>
      </c>
      <c r="K448" s="100">
        <v>-7690490.1799999997</v>
      </c>
      <c r="L448" s="100">
        <v>0</v>
      </c>
      <c r="M448" s="100">
        <v>-67467922.989999995</v>
      </c>
      <c r="N448" s="100">
        <v>-67247697.760000005</v>
      </c>
      <c r="O448" s="100">
        <v>-341475491.55000001</v>
      </c>
      <c r="P448" s="100">
        <v>51307228.399999999</v>
      </c>
      <c r="Q448" s="100">
        <v>-12550759.640000001</v>
      </c>
      <c r="R448" s="100">
        <v>0</v>
      </c>
      <c r="S448" s="100">
        <v>0</v>
      </c>
      <c r="T448" s="226">
        <v>0</v>
      </c>
      <c r="U448" s="226">
        <v>0</v>
      </c>
      <c r="V448" s="226">
        <v>0</v>
      </c>
      <c r="W448" s="226">
        <v>0</v>
      </c>
      <c r="X448" s="226">
        <v>0</v>
      </c>
      <c r="Y448" s="100">
        <v>0</v>
      </c>
      <c r="Z448" s="226">
        <v>0</v>
      </c>
    </row>
    <row r="449" spans="1:26" ht="12.75" customHeight="1" x14ac:dyDescent="0.25">
      <c r="A449" s="89" t="s">
        <v>79</v>
      </c>
      <c r="B449" s="89" t="s">
        <v>70</v>
      </c>
      <c r="F449" s="90">
        <v>-608109295.54999995</v>
      </c>
      <c r="G449" s="90">
        <v>19291078.030000001</v>
      </c>
      <c r="H449" s="90">
        <v>11143817.07</v>
      </c>
      <c r="I449" s="90">
        <v>5967867.6699999999</v>
      </c>
      <c r="J449" s="90">
        <v>-199194518.27000001</v>
      </c>
      <c r="K449" s="90">
        <v>-7694384.9400000004</v>
      </c>
      <c r="L449" s="90">
        <v>0</v>
      </c>
      <c r="M449" s="90">
        <v>-67502089.030000001</v>
      </c>
      <c r="N449" s="90">
        <v>-67285335.230000004</v>
      </c>
      <c r="O449" s="90">
        <v>-341663905.91000003</v>
      </c>
      <c r="P449" s="90">
        <v>51385289.539999999</v>
      </c>
      <c r="Q449" s="90">
        <v>-12557114.48</v>
      </c>
      <c r="R449" s="90">
        <v>0</v>
      </c>
      <c r="S449" s="90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 s="90">
        <v>0</v>
      </c>
      <c r="Z449">
        <v>0</v>
      </c>
    </row>
    <row r="450" spans="1:26" ht="12.75" customHeight="1" x14ac:dyDescent="0.25">
      <c r="A450" s="89" t="s">
        <v>70</v>
      </c>
      <c r="F450" s="90">
        <v>7085963940.6599998</v>
      </c>
      <c r="G450" s="90">
        <v>480076955.60000002</v>
      </c>
      <c r="H450" s="90">
        <v>268331934.46000001</v>
      </c>
      <c r="I450" s="90">
        <v>140368351.19999999</v>
      </c>
      <c r="J450" s="90">
        <v>1380700865.1500001</v>
      </c>
      <c r="K450" s="90">
        <v>54010222.780000001</v>
      </c>
      <c r="L450" s="90">
        <v>34128344.93</v>
      </c>
      <c r="M450" s="90">
        <v>474333055</v>
      </c>
      <c r="N450" s="90">
        <v>473070222.56999999</v>
      </c>
      <c r="O450" s="90">
        <v>2421735127.8499999</v>
      </c>
      <c r="P450" s="90">
        <v>1270888239.8299999</v>
      </c>
      <c r="Q450" s="90">
        <v>88337416.549999997</v>
      </c>
      <c r="R450" s="90">
        <v>-16266.45</v>
      </c>
      <c r="S450" s="90">
        <v>0.14000000000000001</v>
      </c>
      <c r="T450">
        <v>6.41</v>
      </c>
      <c r="U450">
        <v>0</v>
      </c>
      <c r="V450">
        <v>0</v>
      </c>
      <c r="W450">
        <v>0</v>
      </c>
      <c r="X450">
        <v>0</v>
      </c>
      <c r="Y450" s="90">
        <v>0</v>
      </c>
      <c r="Z450">
        <v>-535.36</v>
      </c>
    </row>
    <row r="451" spans="1:26" ht="12.75" customHeight="1" x14ac:dyDescent="0.25">
      <c r="A451" s="89"/>
      <c r="F451" s="90"/>
      <c r="G451" s="90"/>
      <c r="H451" s="90"/>
      <c r="I451" s="90"/>
      <c r="J451" s="90"/>
      <c r="K451" s="90"/>
      <c r="L451" s="90"/>
      <c r="M451" s="90"/>
      <c r="N451" s="90"/>
      <c r="O451" s="90"/>
      <c r="P451" s="90"/>
      <c r="Q451" s="90"/>
      <c r="R451" s="90"/>
      <c r="S451" s="90"/>
      <c r="T451" s="90"/>
      <c r="U451" s="90"/>
      <c r="V451" s="90"/>
      <c r="W451" s="90"/>
    </row>
    <row r="452" spans="1:26" ht="12.75" hidden="1" customHeight="1" x14ac:dyDescent="0.25">
      <c r="A452" s="89"/>
      <c r="F452" s="90"/>
      <c r="G452" s="90"/>
      <c r="H452" s="90"/>
      <c r="I452" s="90"/>
      <c r="J452" s="90"/>
      <c r="K452" s="90"/>
      <c r="L452" s="90"/>
      <c r="M452" s="90"/>
      <c r="N452" s="90"/>
      <c r="O452" s="90"/>
      <c r="P452" s="90"/>
      <c r="Q452" s="90"/>
      <c r="R452" s="90"/>
      <c r="S452" s="90"/>
    </row>
    <row r="453" spans="1:26" ht="12.75" hidden="1" customHeight="1" x14ac:dyDescent="0.25">
      <c r="A453" s="89"/>
      <c r="F453" s="90"/>
      <c r="G453" s="90"/>
      <c r="H453" s="90"/>
      <c r="I453" s="90"/>
      <c r="J453" s="90"/>
      <c r="K453" s="90"/>
      <c r="L453" s="90"/>
      <c r="M453" s="90"/>
      <c r="N453" s="90"/>
      <c r="O453" s="90"/>
      <c r="P453" s="90"/>
      <c r="Q453" s="90"/>
      <c r="R453" s="90"/>
      <c r="S453" s="90"/>
    </row>
    <row r="454" spans="1:26" ht="12.75" hidden="1" customHeight="1" x14ac:dyDescent="0.25">
      <c r="A454" s="89"/>
      <c r="F454" s="90"/>
      <c r="G454" s="90"/>
      <c r="H454" s="90"/>
      <c r="I454" s="90"/>
      <c r="J454" s="90"/>
      <c r="K454" s="90"/>
      <c r="L454" s="90"/>
      <c r="M454" s="90"/>
      <c r="N454" s="90"/>
      <c r="O454" s="90"/>
      <c r="P454" s="90"/>
      <c r="Q454" s="90"/>
      <c r="R454" s="90"/>
      <c r="S454" s="90"/>
    </row>
    <row r="455" spans="1:26" ht="12.75" hidden="1" customHeight="1" x14ac:dyDescent="0.25">
      <c r="A455" s="89"/>
      <c r="F455" s="90"/>
      <c r="G455" s="90"/>
      <c r="H455" s="90"/>
      <c r="I455" s="90"/>
      <c r="J455" s="90"/>
      <c r="K455" s="90"/>
      <c r="L455" s="90"/>
      <c r="M455" s="90"/>
      <c r="N455" s="90"/>
      <c r="O455" s="90"/>
      <c r="P455" s="90"/>
      <c r="Q455" s="90"/>
      <c r="R455" s="90"/>
      <c r="S455" s="90"/>
    </row>
    <row r="456" spans="1:26" ht="12.75" hidden="1" customHeight="1" x14ac:dyDescent="0.25">
      <c r="A456" s="89"/>
      <c r="F456" s="90"/>
      <c r="G456" s="90"/>
      <c r="H456" s="90"/>
      <c r="I456" s="90"/>
      <c r="J456" s="90"/>
      <c r="K456" s="90"/>
      <c r="L456" s="90"/>
      <c r="M456" s="90"/>
      <c r="N456" s="90"/>
      <c r="O456" s="90"/>
      <c r="P456" s="90"/>
      <c r="Q456" s="90"/>
      <c r="R456" s="90"/>
      <c r="S456" s="90"/>
    </row>
    <row r="457" spans="1:26" ht="12.75" hidden="1" customHeight="1" x14ac:dyDescent="0.25">
      <c r="A457" s="89"/>
      <c r="F457" s="90"/>
      <c r="G457" s="90"/>
      <c r="H457" s="90"/>
      <c r="I457" s="90"/>
      <c r="J457" s="90"/>
      <c r="K457" s="90"/>
      <c r="L457" s="90"/>
      <c r="M457" s="90"/>
      <c r="N457" s="90"/>
      <c r="O457" s="90"/>
      <c r="P457" s="90"/>
      <c r="Q457" s="90"/>
      <c r="R457" s="90"/>
      <c r="S457" s="90"/>
    </row>
    <row r="458" spans="1:26" ht="12.75" hidden="1" customHeight="1" x14ac:dyDescent="0.25">
      <c r="A458" s="89"/>
      <c r="F458" s="90"/>
      <c r="G458" s="90"/>
      <c r="H458" s="90"/>
      <c r="I458" s="90"/>
      <c r="J458" s="90"/>
      <c r="K458" s="90"/>
      <c r="L458" s="90"/>
      <c r="M458" s="90"/>
      <c r="N458" s="90"/>
      <c r="O458" s="90"/>
      <c r="P458" s="90"/>
      <c r="Q458" s="90"/>
      <c r="R458" s="90"/>
      <c r="S458" s="90"/>
    </row>
    <row r="459" spans="1:26" ht="12.75" hidden="1" customHeight="1" x14ac:dyDescent="0.25">
      <c r="A459" s="89"/>
      <c r="F459" s="90"/>
      <c r="G459" s="90"/>
      <c r="H459" s="90"/>
      <c r="I459" s="90"/>
      <c r="J459" s="90"/>
      <c r="K459" s="90"/>
      <c r="L459" s="90"/>
      <c r="M459" s="90"/>
      <c r="N459" s="90"/>
      <c r="O459" s="90"/>
      <c r="P459" s="90"/>
      <c r="Q459" s="90"/>
      <c r="R459" s="90"/>
      <c r="S459" s="90"/>
    </row>
    <row r="460" spans="1:26" ht="12.75" hidden="1" customHeight="1" x14ac:dyDescent="0.25">
      <c r="A460" s="89"/>
      <c r="F460" s="90"/>
      <c r="G460" s="90"/>
      <c r="H460" s="90"/>
      <c r="I460" s="90"/>
      <c r="J460" s="90"/>
      <c r="K460" s="90"/>
      <c r="L460" s="90"/>
      <c r="M460" s="90"/>
      <c r="N460" s="90"/>
      <c r="O460" s="90"/>
      <c r="P460" s="90"/>
      <c r="Q460" s="90"/>
      <c r="R460" s="90"/>
      <c r="S460" s="90"/>
    </row>
    <row r="461" spans="1:26" ht="12.75" hidden="1" customHeight="1" x14ac:dyDescent="0.25">
      <c r="A461" s="89"/>
      <c r="F461" s="90"/>
      <c r="G461" s="90"/>
      <c r="H461" s="90"/>
      <c r="I461" s="90"/>
      <c r="J461" s="90"/>
      <c r="K461" s="90"/>
      <c r="L461" s="90"/>
      <c r="M461" s="90"/>
      <c r="N461" s="90"/>
      <c r="O461" s="90"/>
      <c r="P461" s="90"/>
      <c r="Q461" s="90"/>
      <c r="R461" s="90"/>
      <c r="S461" s="90"/>
    </row>
    <row r="462" spans="1:26" ht="12.75" hidden="1" customHeight="1" x14ac:dyDescent="0.25">
      <c r="A462" s="89"/>
      <c r="F462" s="90"/>
      <c r="G462" s="90"/>
      <c r="H462" s="90"/>
      <c r="I462" s="90"/>
      <c r="J462" s="90"/>
      <c r="K462" s="90"/>
      <c r="L462" s="90"/>
      <c r="M462" s="90"/>
      <c r="N462" s="90"/>
      <c r="O462" s="90"/>
      <c r="P462" s="90"/>
      <c r="Q462" s="90"/>
      <c r="R462" s="90"/>
      <c r="S462" s="90"/>
    </row>
    <row r="463" spans="1:26" ht="12.75" hidden="1" customHeight="1" x14ac:dyDescent="0.25">
      <c r="A463" s="89"/>
      <c r="F463" s="90"/>
      <c r="G463" s="90"/>
      <c r="H463" s="90"/>
      <c r="I463" s="90"/>
      <c r="J463" s="90"/>
      <c r="K463" s="90"/>
      <c r="L463" s="90"/>
      <c r="M463" s="90"/>
      <c r="N463" s="90"/>
      <c r="O463" s="90"/>
      <c r="P463" s="90"/>
      <c r="Q463" s="90"/>
      <c r="R463" s="90"/>
      <c r="S463" s="90"/>
    </row>
    <row r="464" spans="1:26" ht="12.75" hidden="1" customHeight="1" x14ac:dyDescent="0.25">
      <c r="A464" s="89"/>
      <c r="F464" s="90"/>
      <c r="G464" s="90"/>
      <c r="H464" s="90"/>
      <c r="I464" s="90"/>
      <c r="J464" s="90"/>
      <c r="K464" s="90"/>
      <c r="L464" s="90"/>
      <c r="M464" s="90"/>
      <c r="N464" s="90"/>
      <c r="O464" s="90"/>
      <c r="P464" s="90"/>
      <c r="Q464" s="90"/>
      <c r="R464" s="90"/>
      <c r="S464" s="90"/>
    </row>
    <row r="465" spans="1:41" ht="12.75" hidden="1" customHeight="1" x14ac:dyDescent="0.25">
      <c r="A465" s="89"/>
      <c r="F465" s="90"/>
      <c r="G465" s="90"/>
      <c r="H465" s="90"/>
      <c r="I465" s="90"/>
      <c r="J465" s="90"/>
      <c r="K465" s="90"/>
      <c r="L465" s="90"/>
      <c r="M465" s="90"/>
      <c r="N465" s="90"/>
      <c r="O465" s="90"/>
      <c r="P465" s="90"/>
      <c r="Q465" s="90"/>
      <c r="R465" s="90"/>
      <c r="S465" s="90"/>
    </row>
    <row r="466" spans="1:41" ht="12.75" hidden="1" customHeight="1" x14ac:dyDescent="0.25">
      <c r="A466" s="89"/>
      <c r="F466" s="90"/>
      <c r="G466" s="90"/>
      <c r="H466" s="90"/>
      <c r="I466" s="90"/>
      <c r="J466" s="90"/>
      <c r="K466" s="90"/>
      <c r="L466" s="90"/>
      <c r="M466" s="90"/>
      <c r="N466" s="90"/>
      <c r="O466" s="90"/>
      <c r="P466" s="90"/>
      <c r="Q466" s="90"/>
      <c r="R466" s="90"/>
      <c r="S466" s="90"/>
    </row>
    <row r="467" spans="1:41" ht="12.75" customHeight="1" x14ac:dyDescent="0.25">
      <c r="A467" s="89"/>
      <c r="F467" s="90"/>
      <c r="G467" s="90"/>
      <c r="H467" s="90"/>
      <c r="I467" s="90"/>
      <c r="J467" s="90"/>
      <c r="K467" s="90"/>
      <c r="L467" s="90"/>
      <c r="M467" s="90"/>
      <c r="N467" s="90"/>
      <c r="O467" s="90"/>
      <c r="P467" s="90"/>
      <c r="Q467" s="90"/>
      <c r="R467" s="90"/>
      <c r="S467" s="90"/>
    </row>
    <row r="468" spans="1:41" ht="12.75" customHeight="1" x14ac:dyDescent="0.25">
      <c r="C468" s="774" t="s">
        <v>2</v>
      </c>
      <c r="D468" s="771" t="s">
        <v>132</v>
      </c>
      <c r="E468" s="98" t="s">
        <v>70</v>
      </c>
      <c r="F468" s="100">
        <f>F422+F448+F384-L384-L422</f>
        <v>7047492494.7299986</v>
      </c>
      <c r="G468" s="100">
        <f t="shared" ref="G468:AO468" si="20">G422+G384</f>
        <v>460474439.50999999</v>
      </c>
      <c r="H468" s="100">
        <f t="shared" si="20"/>
        <v>257013372.20000002</v>
      </c>
      <c r="I468" s="100">
        <f t="shared" si="20"/>
        <v>134305930.96000001</v>
      </c>
      <c r="J468" s="100">
        <f t="shared" si="20"/>
        <v>1578923907.48</v>
      </c>
      <c r="K468" s="100">
        <f t="shared" si="20"/>
        <v>61673075.199999996</v>
      </c>
      <c r="L468" s="100">
        <f t="shared" si="20"/>
        <v>34128344.93</v>
      </c>
      <c r="M468" s="100">
        <f t="shared" si="20"/>
        <v>541555023.57000005</v>
      </c>
      <c r="N468" s="100">
        <f t="shared" si="20"/>
        <v>540045654.16999996</v>
      </c>
      <c r="O468" s="100">
        <f t="shared" si="20"/>
        <v>2761855935.0099998</v>
      </c>
      <c r="P468" s="100">
        <f t="shared" si="20"/>
        <v>1218672485.6500001</v>
      </c>
      <c r="Q468" s="100">
        <f t="shared" si="20"/>
        <v>100841209.87</v>
      </c>
      <c r="R468" s="100">
        <f t="shared" si="20"/>
        <v>-16277.43</v>
      </c>
      <c r="S468" s="100">
        <f t="shared" si="20"/>
        <v>0.14000000000000001</v>
      </c>
      <c r="T468" s="100">
        <f t="shared" si="20"/>
        <v>6.41</v>
      </c>
      <c r="U468" s="100">
        <f t="shared" si="20"/>
        <v>0</v>
      </c>
      <c r="V468" s="100">
        <f t="shared" si="20"/>
        <v>0</v>
      </c>
      <c r="W468" s="100">
        <f t="shared" si="20"/>
        <v>0</v>
      </c>
      <c r="X468" s="100">
        <f t="shared" si="20"/>
        <v>0</v>
      </c>
      <c r="Y468" s="100">
        <f t="shared" si="20"/>
        <v>0</v>
      </c>
      <c r="Z468" s="100">
        <f t="shared" si="20"/>
        <v>-446.62</v>
      </c>
      <c r="AA468" s="100">
        <f t="shared" si="20"/>
        <v>0</v>
      </c>
      <c r="AB468" s="100">
        <f t="shared" si="20"/>
        <v>0</v>
      </c>
      <c r="AC468" s="100">
        <f t="shared" si="20"/>
        <v>0</v>
      </c>
      <c r="AD468" s="100">
        <f t="shared" si="20"/>
        <v>0</v>
      </c>
      <c r="AE468" s="100">
        <f t="shared" si="20"/>
        <v>0</v>
      </c>
      <c r="AF468" s="100">
        <f t="shared" si="20"/>
        <v>0</v>
      </c>
      <c r="AG468" s="100">
        <f t="shared" si="20"/>
        <v>0</v>
      </c>
      <c r="AH468" s="100">
        <f t="shared" si="20"/>
        <v>0</v>
      </c>
      <c r="AI468" s="100">
        <f t="shared" si="20"/>
        <v>0</v>
      </c>
      <c r="AJ468" s="100">
        <f t="shared" si="20"/>
        <v>0</v>
      </c>
      <c r="AK468" s="100">
        <f t="shared" si="20"/>
        <v>0</v>
      </c>
      <c r="AL468" s="100">
        <f t="shared" si="20"/>
        <v>0</v>
      </c>
      <c r="AM468" s="100">
        <f t="shared" si="20"/>
        <v>0</v>
      </c>
      <c r="AN468" s="100">
        <f t="shared" si="20"/>
        <v>0</v>
      </c>
      <c r="AO468" s="100">
        <f t="shared" si="20"/>
        <v>0</v>
      </c>
    </row>
    <row r="469" spans="1:41" ht="12.75" customHeight="1" x14ac:dyDescent="0.25">
      <c r="C469" s="774"/>
      <c r="D469" s="771"/>
      <c r="E469" s="98" t="s">
        <v>73</v>
      </c>
      <c r="F469" s="100">
        <f>F448</f>
        <v>-607851821.38999999</v>
      </c>
      <c r="G469" s="90"/>
      <c r="H469" s="90"/>
      <c r="I469" s="90"/>
      <c r="J469" s="90"/>
      <c r="K469" s="90"/>
      <c r="L469" s="90"/>
      <c r="M469" s="90"/>
      <c r="N469" s="90"/>
      <c r="O469" s="90"/>
      <c r="P469" s="90"/>
      <c r="Q469" s="90"/>
      <c r="R469" s="90"/>
      <c r="S469" s="90"/>
    </row>
    <row r="470" spans="1:41" ht="12.75" customHeight="1" x14ac:dyDescent="0.25">
      <c r="C470" s="774"/>
      <c r="D470" s="771" t="s">
        <v>133</v>
      </c>
      <c r="E470" s="233" t="s">
        <v>70</v>
      </c>
      <c r="F470" s="234">
        <f>F430+F397-L397</f>
        <v>4343101</v>
      </c>
      <c r="G470" s="234">
        <f t="shared" ref="G470:AA470" si="21">G397</f>
        <v>311438.06</v>
      </c>
      <c r="H470" s="234">
        <f t="shared" si="21"/>
        <v>174745.19</v>
      </c>
      <c r="I470" s="234">
        <f t="shared" si="21"/>
        <v>94552.57</v>
      </c>
      <c r="J470" s="234">
        <f t="shared" si="21"/>
        <v>971475.94</v>
      </c>
      <c r="K470" s="234">
        <f t="shared" si="21"/>
        <v>31532.52</v>
      </c>
      <c r="L470" s="234">
        <f t="shared" si="21"/>
        <v>0</v>
      </c>
      <c r="M470" s="234">
        <f t="shared" si="21"/>
        <v>280120.46000000002</v>
      </c>
      <c r="N470" s="234">
        <f t="shared" si="21"/>
        <v>309903.63</v>
      </c>
      <c r="O470" s="234">
        <f t="shared" si="21"/>
        <v>1543098.75</v>
      </c>
      <c r="P470" s="234">
        <f t="shared" si="21"/>
        <v>830464.64</v>
      </c>
      <c r="Q470" s="234">
        <f t="shared" si="21"/>
        <v>53321.16</v>
      </c>
      <c r="R470" s="234">
        <f t="shared" si="21"/>
        <v>10.98</v>
      </c>
      <c r="S470" s="234">
        <f t="shared" si="21"/>
        <v>0</v>
      </c>
      <c r="T470" s="234">
        <f t="shared" si="21"/>
        <v>0</v>
      </c>
      <c r="U470" s="234">
        <f t="shared" si="21"/>
        <v>0</v>
      </c>
      <c r="V470" s="234">
        <f t="shared" si="21"/>
        <v>0</v>
      </c>
      <c r="W470" s="234">
        <f t="shared" si="21"/>
        <v>0</v>
      </c>
      <c r="X470" s="234">
        <f t="shared" si="21"/>
        <v>0</v>
      </c>
      <c r="Y470" s="234">
        <f t="shared" si="21"/>
        <v>0</v>
      </c>
      <c r="Z470" s="234">
        <f t="shared" si="21"/>
        <v>-88.74</v>
      </c>
      <c r="AA470" s="234">
        <f t="shared" si="21"/>
        <v>0</v>
      </c>
    </row>
    <row r="471" spans="1:41" ht="12.75" customHeight="1" x14ac:dyDescent="0.25">
      <c r="C471" s="774"/>
      <c r="D471" s="771"/>
      <c r="E471" s="233" t="s">
        <v>73</v>
      </c>
      <c r="F471" s="234">
        <f>F430</f>
        <v>-257474.16</v>
      </c>
      <c r="G471" s="90"/>
      <c r="H471" s="90"/>
      <c r="I471" s="90"/>
      <c r="J471" s="90"/>
      <c r="K471" s="90"/>
      <c r="L471" s="90"/>
      <c r="M471" s="90"/>
      <c r="N471" s="90"/>
      <c r="O471" s="90"/>
      <c r="P471" s="90"/>
      <c r="Q471" s="90"/>
      <c r="R471" s="90"/>
    </row>
    <row r="472" spans="1:41" ht="12.75" customHeight="1" x14ac:dyDescent="0.3">
      <c r="A472" s="89"/>
      <c r="C472" s="97"/>
      <c r="F472" s="90"/>
      <c r="G472" s="90"/>
      <c r="H472" s="90"/>
      <c r="I472" s="90"/>
      <c r="J472" s="90"/>
      <c r="K472" s="90"/>
      <c r="L472" s="90"/>
      <c r="M472" s="90"/>
      <c r="N472" s="90"/>
      <c r="O472" s="90"/>
      <c r="P472" s="90"/>
      <c r="Q472" s="90"/>
      <c r="R472" s="90"/>
      <c r="S472" s="90"/>
    </row>
    <row r="473" spans="1:41" ht="12.75" customHeight="1" x14ac:dyDescent="0.25">
      <c r="C473" s="774" t="s">
        <v>160</v>
      </c>
      <c r="D473" s="771" t="s">
        <v>132</v>
      </c>
      <c r="E473" s="223" t="s">
        <v>70</v>
      </c>
      <c r="F473" s="225">
        <f>F440+F411-L411</f>
        <v>5616850</v>
      </c>
      <c r="G473" s="225">
        <f t="shared" ref="G473:AO473" si="22">G411</f>
        <v>348026.22</v>
      </c>
      <c r="H473" s="225">
        <f t="shared" si="22"/>
        <v>182658.96</v>
      </c>
      <c r="I473" s="225">
        <f t="shared" si="22"/>
        <v>98773.43</v>
      </c>
      <c r="J473" s="225">
        <f t="shared" si="22"/>
        <v>1121911.54</v>
      </c>
      <c r="K473" s="225">
        <f t="shared" si="22"/>
        <v>39196.07</v>
      </c>
      <c r="L473" s="225">
        <f t="shared" si="22"/>
        <v>0</v>
      </c>
      <c r="M473" s="225">
        <f t="shared" si="22"/>
        <v>344054.1</v>
      </c>
      <c r="N473" s="225">
        <f t="shared" si="22"/>
        <v>366770.81</v>
      </c>
      <c r="O473" s="225">
        <f t="shared" si="22"/>
        <v>1860672.37</v>
      </c>
      <c r="P473" s="225">
        <f t="shared" si="22"/>
        <v>927916.55</v>
      </c>
      <c r="Q473" s="225">
        <f t="shared" si="22"/>
        <v>64006.76</v>
      </c>
      <c r="R473" s="225">
        <f t="shared" si="22"/>
        <v>-38.130000000000003</v>
      </c>
      <c r="S473" s="225">
        <f t="shared" si="22"/>
        <v>0</v>
      </c>
      <c r="T473" s="225">
        <f t="shared" si="22"/>
        <v>0</v>
      </c>
      <c r="U473" s="225">
        <f t="shared" si="22"/>
        <v>0</v>
      </c>
      <c r="V473" s="225">
        <f t="shared" si="22"/>
        <v>0</v>
      </c>
      <c r="W473" s="225">
        <f t="shared" si="22"/>
        <v>0</v>
      </c>
      <c r="X473" s="225">
        <f t="shared" si="22"/>
        <v>0</v>
      </c>
      <c r="Y473" s="225">
        <f t="shared" si="22"/>
        <v>0</v>
      </c>
      <c r="Z473" s="225">
        <f t="shared" si="22"/>
        <v>0</v>
      </c>
      <c r="AA473" s="225">
        <f t="shared" si="22"/>
        <v>0</v>
      </c>
      <c r="AB473" s="225">
        <f t="shared" si="22"/>
        <v>0</v>
      </c>
      <c r="AC473" s="225">
        <f t="shared" si="22"/>
        <v>0</v>
      </c>
      <c r="AD473" s="225">
        <f t="shared" si="22"/>
        <v>0</v>
      </c>
      <c r="AE473" s="225">
        <f t="shared" si="22"/>
        <v>0</v>
      </c>
      <c r="AF473" s="225">
        <f t="shared" si="22"/>
        <v>0</v>
      </c>
      <c r="AG473" s="225">
        <f t="shared" si="22"/>
        <v>0</v>
      </c>
      <c r="AH473" s="225">
        <f t="shared" si="22"/>
        <v>0</v>
      </c>
      <c r="AI473" s="225">
        <f t="shared" si="22"/>
        <v>0</v>
      </c>
      <c r="AJ473" s="225">
        <f t="shared" si="22"/>
        <v>0</v>
      </c>
      <c r="AK473" s="225">
        <f t="shared" si="22"/>
        <v>0</v>
      </c>
      <c r="AL473" s="225">
        <f t="shared" si="22"/>
        <v>0</v>
      </c>
      <c r="AM473" s="225">
        <f t="shared" si="22"/>
        <v>0</v>
      </c>
      <c r="AN473" s="225">
        <f t="shared" si="22"/>
        <v>0</v>
      </c>
      <c r="AO473" s="225">
        <f t="shared" si="22"/>
        <v>0</v>
      </c>
    </row>
    <row r="474" spans="1:41" ht="12.75" customHeight="1" x14ac:dyDescent="0.25">
      <c r="C474" s="774"/>
      <c r="D474" s="771"/>
      <c r="E474" s="223" t="s">
        <v>73</v>
      </c>
      <c r="F474" s="225">
        <f>F440</f>
        <v>262901.32</v>
      </c>
      <c r="G474" s="90"/>
      <c r="H474" s="90"/>
      <c r="I474" s="90"/>
      <c r="J474" s="90"/>
      <c r="K474" s="90"/>
      <c r="L474" s="90"/>
      <c r="M474" s="90"/>
      <c r="N474" s="90"/>
      <c r="O474" s="90"/>
      <c r="P474" s="90"/>
      <c r="Q474" s="90"/>
      <c r="R474" s="90"/>
      <c r="S474" s="90"/>
    </row>
    <row r="475" spans="1:41" ht="12.75" customHeight="1" x14ac:dyDescent="0.25">
      <c r="C475" s="774"/>
      <c r="D475" s="771" t="s">
        <v>133</v>
      </c>
      <c r="E475" s="227" t="s">
        <v>70</v>
      </c>
      <c r="F475" s="228">
        <f>F392-L392</f>
        <v>41900</v>
      </c>
      <c r="G475" s="228">
        <f>G392</f>
        <v>2593.4699999999998</v>
      </c>
      <c r="H475" s="228">
        <f t="shared" ref="H475:Z475" si="23">H392</f>
        <v>1464.28</v>
      </c>
      <c r="I475" s="228">
        <f t="shared" si="23"/>
        <v>768.54</v>
      </c>
      <c r="J475" s="228">
        <f t="shared" si="23"/>
        <v>8475</v>
      </c>
      <c r="K475" s="228">
        <f t="shared" si="23"/>
        <v>336.82</v>
      </c>
      <c r="L475" s="228">
        <f t="shared" si="23"/>
        <v>0</v>
      </c>
      <c r="M475" s="228">
        <f t="shared" si="23"/>
        <v>2954.55</v>
      </c>
      <c r="N475" s="228">
        <f t="shared" si="23"/>
        <v>2903.79</v>
      </c>
      <c r="O475" s="228">
        <f t="shared" si="23"/>
        <v>14989.18</v>
      </c>
      <c r="P475" s="228">
        <f t="shared" si="23"/>
        <v>6864.83</v>
      </c>
      <c r="Q475" s="228">
        <f t="shared" si="23"/>
        <v>549.54</v>
      </c>
      <c r="R475" s="228">
        <f t="shared" si="23"/>
        <v>0</v>
      </c>
      <c r="S475" s="228">
        <f t="shared" si="23"/>
        <v>0</v>
      </c>
      <c r="T475" s="228">
        <f t="shared" si="23"/>
        <v>0</v>
      </c>
      <c r="U475" s="228">
        <f t="shared" si="23"/>
        <v>0</v>
      </c>
      <c r="V475" s="228">
        <f t="shared" si="23"/>
        <v>0</v>
      </c>
      <c r="W475" s="228">
        <f t="shared" si="23"/>
        <v>0</v>
      </c>
      <c r="X475" s="228">
        <f t="shared" si="23"/>
        <v>0</v>
      </c>
      <c r="Y475" s="228">
        <f t="shared" si="23"/>
        <v>0</v>
      </c>
      <c r="Z475" s="228">
        <f t="shared" si="23"/>
        <v>0</v>
      </c>
    </row>
    <row r="476" spans="1:41" ht="12.75" customHeight="1" x14ac:dyDescent="0.25">
      <c r="C476" s="774"/>
      <c r="D476" s="771"/>
      <c r="E476" s="227" t="s">
        <v>73</v>
      </c>
      <c r="F476" s="228">
        <v>0</v>
      </c>
      <c r="G476" s="90"/>
      <c r="H476" s="90"/>
      <c r="I476" s="90"/>
      <c r="J476" s="90"/>
      <c r="K476" s="90"/>
      <c r="L476" s="90"/>
      <c r="M476" s="90"/>
      <c r="N476" s="90"/>
      <c r="O476" s="90"/>
      <c r="P476" s="90"/>
      <c r="Q476" s="90"/>
      <c r="R476" s="90"/>
    </row>
    <row r="477" spans="1:41" ht="12.75" customHeight="1" x14ac:dyDescent="0.3">
      <c r="A477" s="89"/>
      <c r="C477" s="97"/>
      <c r="F477" s="90"/>
      <c r="G477" s="90"/>
      <c r="H477" s="90"/>
      <c r="I477" s="90"/>
      <c r="J477" s="90"/>
      <c r="K477" s="90"/>
      <c r="L477" s="90"/>
      <c r="M477" s="90"/>
      <c r="N477" s="90"/>
      <c r="O477" s="90"/>
      <c r="P477" s="90"/>
      <c r="Q477" s="90"/>
      <c r="R477" s="90"/>
      <c r="S477" s="90"/>
    </row>
    <row r="478" spans="1:41" ht="12.75" customHeight="1" x14ac:dyDescent="0.25">
      <c r="C478" s="774" t="s">
        <v>155</v>
      </c>
      <c r="D478" s="771" t="s">
        <v>132</v>
      </c>
      <c r="E478" s="221" t="s">
        <v>70</v>
      </c>
      <c r="F478" s="222">
        <f>F433+F401+F380-L380-L401</f>
        <v>6584787380.4700003</v>
      </c>
      <c r="G478" s="222">
        <f t="shared" ref="G478:Z478" si="24">G401+G380</f>
        <v>408144652.49000001</v>
      </c>
      <c r="H478" s="222">
        <f t="shared" si="24"/>
        <v>228232395.09</v>
      </c>
      <c r="I478" s="222">
        <f t="shared" si="24"/>
        <v>119582094.92999999</v>
      </c>
      <c r="J478" s="222">
        <f t="shared" si="24"/>
        <v>1524594519.48</v>
      </c>
      <c r="K478" s="222">
        <f t="shared" si="24"/>
        <v>59897729.049999997</v>
      </c>
      <c r="L478" s="222">
        <f t="shared" si="24"/>
        <v>19208887.530000001</v>
      </c>
      <c r="M478" s="222">
        <f t="shared" si="24"/>
        <v>524397834.05000001</v>
      </c>
      <c r="N478" s="222">
        <f t="shared" si="24"/>
        <v>518689495.65999997</v>
      </c>
      <c r="O478" s="222">
        <f t="shared" si="24"/>
        <v>2657171147.7400002</v>
      </c>
      <c r="P478" s="222">
        <f t="shared" si="24"/>
        <v>1079967383.1800001</v>
      </c>
      <c r="Q478" s="222">
        <f t="shared" si="24"/>
        <v>97939197.519999996</v>
      </c>
      <c r="R478" s="222">
        <f t="shared" si="24"/>
        <v>-16815.95</v>
      </c>
      <c r="S478" s="222">
        <f t="shared" si="24"/>
        <v>0.02</v>
      </c>
      <c r="T478" s="222">
        <f t="shared" si="24"/>
        <v>4.0599999999999996</v>
      </c>
      <c r="U478" s="222">
        <f t="shared" si="24"/>
        <v>0</v>
      </c>
      <c r="V478" s="222">
        <f t="shared" si="24"/>
        <v>0</v>
      </c>
      <c r="W478" s="222">
        <f t="shared" si="24"/>
        <v>0</v>
      </c>
      <c r="X478" s="222">
        <f t="shared" si="24"/>
        <v>0</v>
      </c>
      <c r="Y478" s="222">
        <f t="shared" si="24"/>
        <v>0</v>
      </c>
      <c r="Z478" s="222">
        <f t="shared" si="24"/>
        <v>-363.58</v>
      </c>
    </row>
    <row r="479" spans="1:41" ht="12.75" customHeight="1" x14ac:dyDescent="0.25">
      <c r="C479" s="774"/>
      <c r="D479" s="771"/>
      <c r="E479" s="221" t="s">
        <v>73</v>
      </c>
      <c r="F479" s="222">
        <f>F433</f>
        <v>-633811893.26999998</v>
      </c>
      <c r="G479" s="90"/>
      <c r="H479" s="90"/>
      <c r="I479" s="90"/>
      <c r="J479" s="90"/>
      <c r="K479" s="90"/>
      <c r="L479" s="90"/>
      <c r="M479" s="90"/>
      <c r="N479" s="90"/>
      <c r="O479" s="90"/>
      <c r="P479" s="90"/>
      <c r="Q479" s="90"/>
      <c r="R479" s="90"/>
      <c r="S479" s="90"/>
    </row>
    <row r="480" spans="1:41" ht="12.75" customHeight="1" x14ac:dyDescent="0.25">
      <c r="C480" s="774"/>
      <c r="D480" s="771" t="s">
        <v>133</v>
      </c>
      <c r="E480" s="229" t="s">
        <v>70</v>
      </c>
      <c r="F480" s="230">
        <f>F426+F389-L389</f>
        <v>3610007</v>
      </c>
      <c r="G480" s="230">
        <f>G389</f>
        <v>257262.75</v>
      </c>
      <c r="H480" s="230">
        <f t="shared" ref="H480:Z480" si="25">H389</f>
        <v>144117.51999999999</v>
      </c>
      <c r="I480" s="230">
        <f t="shared" si="25"/>
        <v>78318.55</v>
      </c>
      <c r="J480" s="230">
        <f t="shared" si="25"/>
        <v>797142.56</v>
      </c>
      <c r="K480" s="230">
        <f t="shared" si="25"/>
        <v>26303.65</v>
      </c>
      <c r="L480" s="230">
        <f t="shared" si="25"/>
        <v>0</v>
      </c>
      <c r="M480" s="230">
        <f t="shared" si="25"/>
        <v>230741.2</v>
      </c>
      <c r="N480" s="230">
        <f t="shared" si="25"/>
        <v>257553.6</v>
      </c>
      <c r="O480" s="230">
        <f t="shared" si="25"/>
        <v>1317195.17</v>
      </c>
      <c r="P480" s="230">
        <f t="shared" si="25"/>
        <v>682944.24</v>
      </c>
      <c r="Q480" s="230">
        <f t="shared" si="25"/>
        <v>44789.86</v>
      </c>
      <c r="R480" s="230">
        <f t="shared" si="25"/>
        <v>4.71</v>
      </c>
      <c r="S480" s="230">
        <f t="shared" si="25"/>
        <v>0</v>
      </c>
      <c r="T480" s="230">
        <f t="shared" si="25"/>
        <v>0</v>
      </c>
      <c r="U480" s="230">
        <f t="shared" si="25"/>
        <v>0</v>
      </c>
      <c r="V480" s="230">
        <f t="shared" si="25"/>
        <v>0</v>
      </c>
      <c r="W480" s="230">
        <f t="shared" si="25"/>
        <v>0</v>
      </c>
      <c r="X480" s="230">
        <f t="shared" si="25"/>
        <v>0</v>
      </c>
      <c r="Y480" s="230">
        <f t="shared" si="25"/>
        <v>0</v>
      </c>
      <c r="Z480" s="230">
        <f t="shared" si="25"/>
        <v>-88.74</v>
      </c>
    </row>
    <row r="481" spans="1:41" ht="12.75" customHeight="1" x14ac:dyDescent="0.25">
      <c r="C481" s="774"/>
      <c r="D481" s="771"/>
      <c r="E481" s="229" t="s">
        <v>73</v>
      </c>
      <c r="F481" s="230">
        <f>F426</f>
        <v>-226278.07</v>
      </c>
      <c r="G481" s="90"/>
      <c r="H481" s="90"/>
      <c r="I481" s="90"/>
      <c r="J481" s="90"/>
      <c r="K481" s="90"/>
      <c r="L481" s="90"/>
      <c r="M481" s="90"/>
      <c r="N481" s="90"/>
      <c r="O481" s="90"/>
      <c r="P481" s="90"/>
      <c r="Q481" s="90"/>
      <c r="R481" s="90"/>
    </row>
    <row r="482" spans="1:41" ht="12.75" customHeight="1" x14ac:dyDescent="0.3">
      <c r="A482" s="89"/>
      <c r="C482" s="97"/>
      <c r="F482" s="90"/>
      <c r="G482" s="90"/>
      <c r="H482" s="90"/>
      <c r="I482" s="90"/>
      <c r="J482" s="90"/>
      <c r="K482" s="90"/>
      <c r="L482" s="90"/>
      <c r="M482" s="90"/>
      <c r="N482" s="90"/>
      <c r="O482" s="90"/>
      <c r="P482" s="90"/>
      <c r="Q482" s="90"/>
      <c r="R482" s="90"/>
      <c r="S482" s="90"/>
    </row>
    <row r="483" spans="1:41" ht="12.75" customHeight="1" x14ac:dyDescent="0.25">
      <c r="C483" s="772" t="s">
        <v>328</v>
      </c>
      <c r="D483" s="771" t="s">
        <v>132</v>
      </c>
      <c r="E483" s="373" t="s">
        <v>70</v>
      </c>
      <c r="F483" s="374">
        <v>0</v>
      </c>
      <c r="G483" s="374">
        <v>0</v>
      </c>
      <c r="H483" s="374">
        <v>0</v>
      </c>
      <c r="I483" s="374">
        <v>0</v>
      </c>
      <c r="J483" s="374">
        <v>0</v>
      </c>
      <c r="K483" s="374">
        <v>0</v>
      </c>
      <c r="L483" s="374">
        <v>0</v>
      </c>
      <c r="M483" s="374">
        <v>0</v>
      </c>
      <c r="N483" s="374">
        <v>0</v>
      </c>
      <c r="O483" s="374">
        <v>0</v>
      </c>
      <c r="P483" s="374">
        <v>0</v>
      </c>
      <c r="Q483" s="374">
        <v>0</v>
      </c>
      <c r="R483" s="374">
        <v>0</v>
      </c>
      <c r="S483" s="374">
        <v>0</v>
      </c>
      <c r="T483" s="374">
        <v>0</v>
      </c>
      <c r="U483" s="374">
        <v>0</v>
      </c>
      <c r="V483" s="374">
        <v>0</v>
      </c>
      <c r="W483" s="374">
        <v>0</v>
      </c>
      <c r="X483" s="374">
        <v>0</v>
      </c>
      <c r="Y483" s="374">
        <v>0</v>
      </c>
      <c r="Z483" s="374">
        <v>0</v>
      </c>
      <c r="AA483" s="374">
        <v>0</v>
      </c>
      <c r="AB483" s="374">
        <v>0</v>
      </c>
      <c r="AC483" s="374">
        <v>0</v>
      </c>
      <c r="AD483" s="374">
        <v>0</v>
      </c>
      <c r="AE483" s="374">
        <v>0</v>
      </c>
      <c r="AF483" s="374">
        <v>0</v>
      </c>
      <c r="AG483" s="374">
        <v>0</v>
      </c>
      <c r="AH483" s="374">
        <v>0</v>
      </c>
      <c r="AI483" s="374">
        <v>0</v>
      </c>
      <c r="AJ483" s="374">
        <v>0</v>
      </c>
      <c r="AK483" s="374">
        <v>0</v>
      </c>
      <c r="AL483" s="374">
        <v>0</v>
      </c>
      <c r="AM483" s="374">
        <v>0</v>
      </c>
      <c r="AN483" s="374">
        <v>0</v>
      </c>
      <c r="AO483" s="374">
        <v>0</v>
      </c>
    </row>
    <row r="484" spans="1:41" ht="12.75" customHeight="1" x14ac:dyDescent="0.25">
      <c r="C484" s="772"/>
      <c r="D484" s="771"/>
      <c r="E484" s="373" t="s">
        <v>73</v>
      </c>
      <c r="F484" s="374">
        <v>0</v>
      </c>
      <c r="G484" s="90"/>
      <c r="H484" s="90"/>
      <c r="I484" s="90"/>
      <c r="J484" s="90"/>
      <c r="K484" s="90"/>
      <c r="L484" s="90"/>
      <c r="M484" s="90"/>
      <c r="N484" s="90"/>
      <c r="O484" s="90"/>
      <c r="P484" s="90"/>
      <c r="Q484" s="90"/>
      <c r="R484" s="90"/>
      <c r="S484" s="90"/>
    </row>
    <row r="485" spans="1:41" ht="12.75" customHeight="1" x14ac:dyDescent="0.25">
      <c r="C485" s="772"/>
      <c r="D485" s="771" t="s">
        <v>133</v>
      </c>
      <c r="E485" s="242" t="s">
        <v>70</v>
      </c>
      <c r="F485" s="243">
        <v>0</v>
      </c>
      <c r="G485" s="243">
        <v>0</v>
      </c>
      <c r="H485" s="243">
        <v>0</v>
      </c>
      <c r="I485" s="243">
        <v>0</v>
      </c>
      <c r="J485" s="243">
        <v>0</v>
      </c>
      <c r="K485" s="243">
        <v>0</v>
      </c>
      <c r="L485" s="243">
        <v>0</v>
      </c>
      <c r="M485" s="243">
        <v>0</v>
      </c>
      <c r="N485" s="243">
        <v>0</v>
      </c>
      <c r="O485" s="243">
        <v>0</v>
      </c>
      <c r="P485" s="243">
        <v>0</v>
      </c>
      <c r="Q485" s="243">
        <v>0</v>
      </c>
      <c r="R485" s="243">
        <v>0</v>
      </c>
      <c r="S485" s="243">
        <v>0</v>
      </c>
      <c r="T485" s="243">
        <v>0</v>
      </c>
      <c r="U485" s="243">
        <v>0</v>
      </c>
      <c r="V485" s="243">
        <v>0</v>
      </c>
      <c r="W485" s="243">
        <v>0</v>
      </c>
      <c r="X485" s="243">
        <v>0</v>
      </c>
      <c r="Y485" s="243">
        <v>0</v>
      </c>
      <c r="Z485" s="243">
        <v>0</v>
      </c>
      <c r="AA485" s="243">
        <v>0</v>
      </c>
      <c r="AB485" s="243">
        <v>0</v>
      </c>
      <c r="AC485" s="243">
        <v>0</v>
      </c>
      <c r="AD485" s="243">
        <v>0</v>
      </c>
      <c r="AE485" s="243">
        <v>0</v>
      </c>
      <c r="AF485" s="243">
        <v>0</v>
      </c>
      <c r="AG485" s="243">
        <v>0</v>
      </c>
      <c r="AH485" s="243">
        <v>0</v>
      </c>
      <c r="AI485" s="243">
        <v>0</v>
      </c>
      <c r="AJ485" s="243">
        <v>0</v>
      </c>
      <c r="AK485" s="243">
        <v>0</v>
      </c>
      <c r="AL485" s="243">
        <v>0</v>
      </c>
      <c r="AM485" s="243">
        <v>0</v>
      </c>
      <c r="AN485" s="243">
        <v>0</v>
      </c>
      <c r="AO485" s="243">
        <v>0</v>
      </c>
    </row>
    <row r="486" spans="1:41" ht="12.75" customHeight="1" x14ac:dyDescent="0.25">
      <c r="C486" s="772"/>
      <c r="D486" s="771"/>
      <c r="E486" s="242" t="s">
        <v>73</v>
      </c>
      <c r="F486" s="243">
        <v>0</v>
      </c>
      <c r="G486" s="90"/>
      <c r="H486" s="90"/>
      <c r="I486" s="90"/>
      <c r="J486" s="90"/>
      <c r="K486" s="90"/>
      <c r="L486" s="90"/>
      <c r="M486" s="90"/>
      <c r="N486" s="90"/>
      <c r="O486" s="90"/>
      <c r="P486" s="90"/>
      <c r="Q486" s="90"/>
      <c r="R486" s="90"/>
    </row>
    <row r="487" spans="1:41" ht="12.75" customHeight="1" x14ac:dyDescent="0.3">
      <c r="A487" s="89"/>
      <c r="C487" s="97"/>
      <c r="F487" s="90"/>
      <c r="G487" s="90"/>
      <c r="H487" s="90"/>
      <c r="I487" s="90"/>
      <c r="J487" s="90"/>
      <c r="K487" s="90"/>
      <c r="L487" s="90"/>
      <c r="M487" s="90"/>
      <c r="N487" s="90"/>
      <c r="O487" s="90"/>
      <c r="P487" s="90"/>
      <c r="Q487" s="90"/>
      <c r="R487" s="90"/>
      <c r="S487" s="90"/>
    </row>
    <row r="488" spans="1:41" ht="12.75" customHeight="1" x14ac:dyDescent="0.25">
      <c r="C488" s="774" t="s">
        <v>119</v>
      </c>
      <c r="D488" s="771" t="s">
        <v>132</v>
      </c>
      <c r="E488" s="101" t="s">
        <v>70</v>
      </c>
      <c r="F488" s="93">
        <f>F447+F421+F383-L383-L421</f>
        <v>457088264.26000005</v>
      </c>
      <c r="G488" s="93">
        <f t="shared" ref="G488:AO488" si="26">G421+G383</f>
        <v>51981760.799999997</v>
      </c>
      <c r="H488" s="93">
        <f t="shared" si="26"/>
        <v>28598318.150000002</v>
      </c>
      <c r="I488" s="93">
        <f t="shared" si="26"/>
        <v>14625062.6</v>
      </c>
      <c r="J488" s="93">
        <f t="shared" si="26"/>
        <v>53207476.460000001</v>
      </c>
      <c r="K488" s="93">
        <f t="shared" si="26"/>
        <v>1736150.0799999998</v>
      </c>
      <c r="L488" s="93">
        <f t="shared" si="26"/>
        <v>14919457.4</v>
      </c>
      <c r="M488" s="93">
        <f t="shared" si="26"/>
        <v>16813135.419999998</v>
      </c>
      <c r="N488" s="93">
        <f t="shared" si="26"/>
        <v>20989387.699999999</v>
      </c>
      <c r="O488" s="93">
        <f t="shared" si="26"/>
        <v>102824114.90000001</v>
      </c>
      <c r="P488" s="93">
        <f t="shared" si="26"/>
        <v>137777185.92000002</v>
      </c>
      <c r="Q488" s="93">
        <f t="shared" si="26"/>
        <v>2838005.5900000003</v>
      </c>
      <c r="R488" s="93">
        <f t="shared" si="26"/>
        <v>576.65</v>
      </c>
      <c r="S488" s="93">
        <f t="shared" si="26"/>
        <v>0.12</v>
      </c>
      <c r="T488" s="93">
        <f t="shared" si="26"/>
        <v>2.35</v>
      </c>
      <c r="U488" s="93">
        <f t="shared" si="26"/>
        <v>0</v>
      </c>
      <c r="V488" s="93">
        <f t="shared" si="26"/>
        <v>0</v>
      </c>
      <c r="W488" s="93">
        <f t="shared" si="26"/>
        <v>0</v>
      </c>
      <c r="X488" s="93">
        <f t="shared" si="26"/>
        <v>0</v>
      </c>
      <c r="Y488" s="93">
        <f t="shared" si="26"/>
        <v>0</v>
      </c>
      <c r="Z488" s="93">
        <f t="shared" si="26"/>
        <v>-83.04</v>
      </c>
      <c r="AA488" s="93">
        <f t="shared" si="26"/>
        <v>0</v>
      </c>
      <c r="AB488" s="93">
        <f t="shared" si="26"/>
        <v>0</v>
      </c>
      <c r="AC488" s="93">
        <f t="shared" si="26"/>
        <v>0</v>
      </c>
      <c r="AD488" s="93">
        <f t="shared" si="26"/>
        <v>0</v>
      </c>
      <c r="AE488" s="93">
        <f t="shared" si="26"/>
        <v>0</v>
      </c>
      <c r="AF488" s="93">
        <f t="shared" si="26"/>
        <v>0</v>
      </c>
      <c r="AG488" s="93">
        <f t="shared" si="26"/>
        <v>0</v>
      </c>
      <c r="AH488" s="93">
        <f t="shared" si="26"/>
        <v>0</v>
      </c>
      <c r="AI488" s="93">
        <f t="shared" si="26"/>
        <v>0</v>
      </c>
      <c r="AJ488" s="93">
        <f t="shared" si="26"/>
        <v>0</v>
      </c>
      <c r="AK488" s="93">
        <f t="shared" si="26"/>
        <v>0</v>
      </c>
      <c r="AL488" s="93">
        <f t="shared" si="26"/>
        <v>0</v>
      </c>
      <c r="AM488" s="93">
        <f t="shared" si="26"/>
        <v>0</v>
      </c>
      <c r="AN488" s="93">
        <f t="shared" si="26"/>
        <v>0</v>
      </c>
      <c r="AO488" s="93">
        <f t="shared" si="26"/>
        <v>0</v>
      </c>
    </row>
    <row r="489" spans="1:41" ht="12.75" customHeight="1" x14ac:dyDescent="0.25">
      <c r="C489" s="774"/>
      <c r="D489" s="771"/>
      <c r="E489" s="101" t="s">
        <v>73</v>
      </c>
      <c r="F489" s="93">
        <f>F447</f>
        <v>25697170.559999999</v>
      </c>
      <c r="G489" s="90"/>
      <c r="H489" s="90"/>
      <c r="I489" s="90"/>
      <c r="J489" s="90"/>
      <c r="K489" s="90"/>
      <c r="L489" s="90"/>
      <c r="M489" s="90"/>
      <c r="N489" s="90"/>
      <c r="O489" s="90"/>
      <c r="P489" s="90"/>
      <c r="Q489" s="90"/>
      <c r="R489" s="90"/>
      <c r="S489" s="90"/>
    </row>
    <row r="490" spans="1:41" ht="12.75" customHeight="1" x14ac:dyDescent="0.25">
      <c r="C490" s="774"/>
      <c r="D490" s="771" t="s">
        <v>133</v>
      </c>
      <c r="E490" s="235" t="s">
        <v>70</v>
      </c>
      <c r="F490" s="236">
        <f>F429+F396-L396</f>
        <v>691194</v>
      </c>
      <c r="G490" s="236">
        <f t="shared" ref="G490:Z490" si="27">G396</f>
        <v>51581.84</v>
      </c>
      <c r="H490" s="236">
        <f t="shared" si="27"/>
        <v>29163.39</v>
      </c>
      <c r="I490" s="236">
        <f t="shared" si="27"/>
        <v>15465.48</v>
      </c>
      <c r="J490" s="236">
        <f t="shared" si="27"/>
        <v>165858.38</v>
      </c>
      <c r="K490" s="236">
        <f t="shared" si="27"/>
        <v>4892.05</v>
      </c>
      <c r="L490" s="236">
        <f t="shared" si="27"/>
        <v>0</v>
      </c>
      <c r="M490" s="236">
        <f t="shared" si="27"/>
        <v>46424.71</v>
      </c>
      <c r="N490" s="236">
        <f t="shared" si="27"/>
        <v>49446.239999999998</v>
      </c>
      <c r="O490" s="236">
        <f t="shared" si="27"/>
        <v>210914.4</v>
      </c>
      <c r="P490" s="236">
        <f t="shared" si="27"/>
        <v>140655.57</v>
      </c>
      <c r="Q490" s="236">
        <f t="shared" si="27"/>
        <v>7981.76</v>
      </c>
      <c r="R490" s="236">
        <f t="shared" si="27"/>
        <v>6.27</v>
      </c>
      <c r="S490" s="236">
        <f t="shared" si="27"/>
        <v>0</v>
      </c>
      <c r="T490" s="236">
        <f t="shared" si="27"/>
        <v>0</v>
      </c>
      <c r="U490" s="236">
        <f t="shared" si="27"/>
        <v>0</v>
      </c>
      <c r="V490" s="236">
        <f t="shared" si="27"/>
        <v>0</v>
      </c>
      <c r="W490" s="236">
        <f t="shared" si="27"/>
        <v>0</v>
      </c>
      <c r="X490" s="236">
        <f t="shared" si="27"/>
        <v>0</v>
      </c>
      <c r="Y490" s="236">
        <f t="shared" si="27"/>
        <v>0</v>
      </c>
      <c r="Z490" s="236">
        <f t="shared" si="27"/>
        <v>0</v>
      </c>
    </row>
    <row r="491" spans="1:41" ht="12.75" customHeight="1" x14ac:dyDescent="0.25">
      <c r="C491" s="774"/>
      <c r="D491" s="771"/>
      <c r="E491" s="235" t="s">
        <v>73</v>
      </c>
      <c r="F491" s="236">
        <f>F429</f>
        <v>-31196.09</v>
      </c>
      <c r="G491" s="90"/>
      <c r="H491" s="90"/>
      <c r="I491" s="90"/>
      <c r="J491" s="90"/>
      <c r="K491" s="90"/>
      <c r="L491" s="90"/>
      <c r="M491" s="90"/>
      <c r="N491" s="90"/>
      <c r="O491" s="90"/>
      <c r="P491" s="90"/>
      <c r="Q491" s="90"/>
      <c r="R491" s="90"/>
    </row>
    <row r="492" spans="1:41" ht="12.75" customHeight="1" x14ac:dyDescent="0.3">
      <c r="A492" s="89"/>
      <c r="C492" s="97"/>
      <c r="F492" s="90"/>
      <c r="G492" s="90"/>
      <c r="H492" s="90"/>
      <c r="I492" s="90"/>
      <c r="J492" s="90"/>
      <c r="K492" s="90"/>
      <c r="L492" s="90"/>
      <c r="M492" s="90"/>
      <c r="N492" s="90"/>
      <c r="O492" s="90"/>
      <c r="P492" s="90"/>
      <c r="Q492" s="90"/>
      <c r="R492" s="90"/>
      <c r="S492" s="90"/>
    </row>
    <row r="493" spans="1:41" ht="12.75" customHeight="1" x14ac:dyDescent="0.25">
      <c r="C493" s="773" t="s">
        <v>161</v>
      </c>
      <c r="D493" s="771" t="s">
        <v>132</v>
      </c>
      <c r="E493" s="231" t="s">
        <v>70</v>
      </c>
      <c r="F493" s="232">
        <v>0</v>
      </c>
      <c r="G493" s="232">
        <v>0</v>
      </c>
      <c r="H493" s="232">
        <v>0</v>
      </c>
      <c r="I493" s="232">
        <v>0</v>
      </c>
      <c r="J493" s="232">
        <v>0</v>
      </c>
      <c r="K493" s="232">
        <v>0</v>
      </c>
      <c r="L493" s="232">
        <v>0</v>
      </c>
      <c r="M493" s="232">
        <v>0</v>
      </c>
      <c r="N493" s="232">
        <v>0</v>
      </c>
      <c r="O493" s="232">
        <v>0</v>
      </c>
      <c r="P493" s="232">
        <v>0</v>
      </c>
      <c r="Q493" s="232">
        <v>0</v>
      </c>
      <c r="R493" s="232">
        <v>0</v>
      </c>
      <c r="S493" s="232">
        <v>0</v>
      </c>
      <c r="T493" s="232">
        <v>0</v>
      </c>
      <c r="U493" s="232">
        <v>0</v>
      </c>
      <c r="V493" s="232">
        <v>0</v>
      </c>
      <c r="W493" s="232">
        <v>0</v>
      </c>
      <c r="X493" s="232">
        <v>0</v>
      </c>
      <c r="Y493" s="232">
        <v>0</v>
      </c>
      <c r="Z493" s="232">
        <v>0</v>
      </c>
      <c r="AA493" s="232">
        <v>0</v>
      </c>
      <c r="AB493" s="232">
        <v>0</v>
      </c>
      <c r="AC493" s="232">
        <v>0</v>
      </c>
      <c r="AD493" s="232">
        <v>0</v>
      </c>
      <c r="AE493" s="232">
        <v>0</v>
      </c>
      <c r="AF493" s="232">
        <v>0</v>
      </c>
      <c r="AG493" s="232">
        <v>0</v>
      </c>
      <c r="AH493" s="232">
        <v>0</v>
      </c>
      <c r="AI493" s="232">
        <v>0</v>
      </c>
      <c r="AJ493" s="232">
        <v>0</v>
      </c>
      <c r="AK493" s="232">
        <v>0</v>
      </c>
      <c r="AL493" s="232">
        <v>0</v>
      </c>
      <c r="AM493" s="232">
        <v>0</v>
      </c>
      <c r="AN493" s="232">
        <v>0</v>
      </c>
      <c r="AO493" s="232">
        <v>0</v>
      </c>
    </row>
    <row r="494" spans="1:41" ht="12.75" customHeight="1" x14ac:dyDescent="0.25">
      <c r="C494" s="773"/>
      <c r="D494" s="771"/>
      <c r="E494" s="231" t="s">
        <v>73</v>
      </c>
      <c r="F494" s="232">
        <v>0</v>
      </c>
      <c r="G494" s="90"/>
      <c r="H494" s="90"/>
      <c r="I494" s="90"/>
      <c r="J494" s="90"/>
      <c r="K494" s="90"/>
      <c r="L494" s="90"/>
      <c r="M494" s="90"/>
      <c r="N494" s="90"/>
      <c r="O494" s="90"/>
      <c r="P494" s="90"/>
      <c r="Q494" s="90"/>
      <c r="R494" s="90"/>
      <c r="S494" s="90"/>
    </row>
    <row r="495" spans="1:41" ht="12.75" customHeight="1" x14ac:dyDescent="0.25">
      <c r="C495" s="773"/>
      <c r="E495" s="148" t="s">
        <v>70</v>
      </c>
      <c r="F495" s="149">
        <v>0</v>
      </c>
      <c r="G495" s="149">
        <v>0</v>
      </c>
      <c r="H495" s="149">
        <v>0</v>
      </c>
      <c r="I495" s="149">
        <v>0</v>
      </c>
      <c r="J495" s="149">
        <v>0</v>
      </c>
      <c r="K495" s="149">
        <v>0</v>
      </c>
      <c r="L495" s="149">
        <v>0</v>
      </c>
      <c r="M495" s="149">
        <v>0</v>
      </c>
      <c r="N495" s="149">
        <v>0</v>
      </c>
      <c r="O495" s="149">
        <v>0</v>
      </c>
      <c r="P495" s="149">
        <v>0</v>
      </c>
      <c r="Q495" s="149">
        <v>0</v>
      </c>
      <c r="R495" s="149">
        <v>0</v>
      </c>
      <c r="S495" s="149">
        <v>0</v>
      </c>
      <c r="T495" s="149">
        <v>0</v>
      </c>
      <c r="U495" s="149">
        <v>0</v>
      </c>
      <c r="V495" s="149">
        <v>0</v>
      </c>
      <c r="W495" s="149">
        <v>0</v>
      </c>
      <c r="X495" s="149">
        <v>0</v>
      </c>
      <c r="Y495" s="149">
        <v>0</v>
      </c>
      <c r="Z495" s="149">
        <v>0</v>
      </c>
    </row>
    <row r="496" spans="1:41" ht="12.75" customHeight="1" x14ac:dyDescent="0.25">
      <c r="C496" s="773"/>
      <c r="D496" s="220" t="s">
        <v>132</v>
      </c>
      <c r="E496" s="148" t="s">
        <v>73</v>
      </c>
      <c r="F496" s="149">
        <v>0</v>
      </c>
      <c r="G496" s="90"/>
      <c r="H496" s="90"/>
      <c r="I496" s="90"/>
      <c r="J496" s="90"/>
      <c r="K496" s="90"/>
      <c r="L496" s="90"/>
      <c r="M496" s="90"/>
      <c r="N496" s="90"/>
      <c r="O496" s="90"/>
      <c r="P496" s="90"/>
      <c r="Q496" s="90"/>
      <c r="R496" s="90"/>
    </row>
    <row r="497" spans="1:26" ht="12.75" customHeight="1" x14ac:dyDescent="0.25">
      <c r="C497" s="388"/>
      <c r="D497" s="220"/>
      <c r="E497" s="89"/>
      <c r="F497" s="90"/>
      <c r="G497" s="90"/>
      <c r="H497" s="90"/>
      <c r="I497" s="90"/>
      <c r="J497" s="90"/>
      <c r="K497" s="90"/>
      <c r="L497" s="90"/>
      <c r="M497" s="90"/>
      <c r="N497" s="90"/>
      <c r="O497" s="90"/>
      <c r="P497" s="90"/>
      <c r="Q497" s="90"/>
      <c r="R497" s="90"/>
    </row>
    <row r="498" spans="1:26" ht="12.75" customHeight="1" x14ac:dyDescent="0.25">
      <c r="D498" s="458" t="s">
        <v>186</v>
      </c>
      <c r="E498" s="459" t="s">
        <v>70</v>
      </c>
      <c r="F498" s="460">
        <f t="shared" ref="F498:Z498" si="28">F385</f>
        <v>-439956.52</v>
      </c>
      <c r="G498" s="460">
        <f t="shared" si="28"/>
        <v>-35444.410000000003</v>
      </c>
      <c r="H498" s="460">
        <f t="shared" si="28"/>
        <v>-15058.04</v>
      </c>
      <c r="I498" s="460">
        <f t="shared" si="28"/>
        <v>-6575.73</v>
      </c>
      <c r="J498" s="460">
        <f t="shared" si="28"/>
        <v>-81642.179999999993</v>
      </c>
      <c r="K498" s="460">
        <f t="shared" si="28"/>
        <v>-3324.84</v>
      </c>
      <c r="L498" s="460">
        <f t="shared" si="28"/>
        <v>0</v>
      </c>
      <c r="M498" s="460">
        <f t="shared" si="28"/>
        <v>-29164.3</v>
      </c>
      <c r="N498" s="460">
        <f t="shared" si="28"/>
        <v>-37085.49</v>
      </c>
      <c r="O498" s="460">
        <f t="shared" si="28"/>
        <v>-136171.69</v>
      </c>
      <c r="P498" s="460">
        <f t="shared" si="28"/>
        <v>-90064.99</v>
      </c>
      <c r="Q498" s="460">
        <f t="shared" si="28"/>
        <v>-5424.85</v>
      </c>
      <c r="R498" s="460">
        <f t="shared" si="28"/>
        <v>0</v>
      </c>
      <c r="S498" s="460">
        <f t="shared" si="28"/>
        <v>0</v>
      </c>
      <c r="T498" s="460">
        <f t="shared" si="28"/>
        <v>0</v>
      </c>
      <c r="U498" s="460">
        <f t="shared" si="28"/>
        <v>0</v>
      </c>
      <c r="V498" s="460">
        <f t="shared" si="28"/>
        <v>0</v>
      </c>
      <c r="W498" s="460">
        <f t="shared" si="28"/>
        <v>0</v>
      </c>
      <c r="X498" s="460">
        <f t="shared" si="28"/>
        <v>0</v>
      </c>
      <c r="Y498" s="460">
        <f t="shared" si="28"/>
        <v>0</v>
      </c>
      <c r="Z498" s="460">
        <f t="shared" si="28"/>
        <v>0</v>
      </c>
    </row>
    <row r="499" spans="1:26" ht="12.75" customHeight="1" x14ac:dyDescent="0.25">
      <c r="C499" s="388"/>
      <c r="D499" s="220"/>
      <c r="E499" s="89"/>
      <c r="F499" s="90"/>
      <c r="G499" s="90"/>
      <c r="H499" s="90"/>
      <c r="I499" s="90"/>
      <c r="J499" s="90"/>
      <c r="K499" s="90"/>
      <c r="L499" s="90"/>
      <c r="M499" s="90"/>
      <c r="N499" s="90"/>
      <c r="O499" s="90"/>
      <c r="P499" s="90"/>
      <c r="Q499" s="90"/>
      <c r="R499" s="90"/>
    </row>
    <row r="500" spans="1:26" s="238" customFormat="1" ht="12.75" customHeight="1" x14ac:dyDescent="0.25">
      <c r="D500" s="239"/>
      <c r="E500" s="240"/>
      <c r="F500" s="240"/>
      <c r="G500" s="240"/>
      <c r="H500" s="240"/>
      <c r="I500" s="240"/>
      <c r="J500" s="240"/>
      <c r="K500" s="240"/>
      <c r="L500" s="240"/>
      <c r="M500" s="240"/>
      <c r="N500" s="240"/>
      <c r="O500" s="240"/>
      <c r="P500" s="240"/>
      <c r="Q500" s="240"/>
    </row>
    <row r="501" spans="1:26" ht="12.65" customHeight="1" x14ac:dyDescent="0.3">
      <c r="A501" s="89"/>
      <c r="B501" s="97" t="s">
        <v>93</v>
      </c>
      <c r="E501" s="90"/>
      <c r="F501" s="90"/>
      <c r="G501" s="90"/>
      <c r="H501" s="90"/>
      <c r="I501" s="90"/>
      <c r="J501" s="90"/>
      <c r="K501" s="90"/>
      <c r="L501" s="90"/>
      <c r="M501" s="90"/>
      <c r="N501" s="90"/>
      <c r="O501" s="90"/>
      <c r="P501" s="90"/>
      <c r="Q501" s="90"/>
    </row>
    <row r="502" spans="1:26" ht="12.75" customHeight="1" x14ac:dyDescent="0.25">
      <c r="F502" s="89" t="s">
        <v>70</v>
      </c>
      <c r="G502" s="89" t="s">
        <v>64</v>
      </c>
      <c r="H502" s="89" t="s">
        <v>65</v>
      </c>
      <c r="I502" s="218" t="s">
        <v>164</v>
      </c>
      <c r="J502" s="89" t="s">
        <v>69</v>
      </c>
      <c r="K502" s="89" t="s">
        <v>68</v>
      </c>
      <c r="L502" s="89" t="s">
        <v>71</v>
      </c>
      <c r="M502" s="89" t="s">
        <v>66</v>
      </c>
      <c r="N502" s="89" t="s">
        <v>63</v>
      </c>
      <c r="O502" s="89" t="s">
        <v>61</v>
      </c>
      <c r="P502" s="89" t="s">
        <v>62</v>
      </c>
      <c r="Q502" s="89" t="s">
        <v>67</v>
      </c>
      <c r="R502" s="89" t="s">
        <v>77</v>
      </c>
      <c r="S502" s="89" t="s">
        <v>80</v>
      </c>
      <c r="T502" s="89" t="s">
        <v>135</v>
      </c>
      <c r="U502" s="89" t="s">
        <v>224</v>
      </c>
      <c r="V502" s="89" t="s">
        <v>224</v>
      </c>
      <c r="W502" s="89" t="s">
        <v>173</v>
      </c>
      <c r="X502" t="s">
        <v>223</v>
      </c>
      <c r="Y502" s="89" t="s">
        <v>135</v>
      </c>
      <c r="Z502" t="s">
        <v>167</v>
      </c>
    </row>
    <row r="503" spans="1:26" ht="12.75" customHeight="1" x14ac:dyDescent="0.25">
      <c r="A503" s="89"/>
      <c r="B503" s="89"/>
      <c r="E503" t="s">
        <v>72</v>
      </c>
      <c r="F503" s="371">
        <v>52706.16</v>
      </c>
      <c r="G503" s="90">
        <v>3111.59</v>
      </c>
      <c r="H503" s="90">
        <v>1751.34</v>
      </c>
      <c r="I503" s="90">
        <v>897.63</v>
      </c>
      <c r="J503" s="90">
        <v>11377.58</v>
      </c>
      <c r="K503" s="90">
        <v>312.11</v>
      </c>
      <c r="L503" s="90">
        <v>0</v>
      </c>
      <c r="M503" s="90">
        <v>2737.85</v>
      </c>
      <c r="N503" s="90">
        <v>3754.56</v>
      </c>
      <c r="O503" s="90">
        <v>19228.87</v>
      </c>
      <c r="P503" s="90">
        <v>9026.77</v>
      </c>
      <c r="Q503" s="90">
        <v>509.25</v>
      </c>
      <c r="R503" s="90">
        <v>-1.39</v>
      </c>
      <c r="S503" s="90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</row>
    <row r="504" spans="1:26" ht="12.75" customHeight="1" x14ac:dyDescent="0.25">
      <c r="A504" s="89"/>
      <c r="B504" s="89"/>
      <c r="D504" t="s">
        <v>82</v>
      </c>
      <c r="E504" t="s">
        <v>70</v>
      </c>
      <c r="F504" s="371">
        <v>52706.16</v>
      </c>
      <c r="G504" s="90">
        <v>3111.59</v>
      </c>
      <c r="H504" s="90">
        <v>1751.34</v>
      </c>
      <c r="I504" s="90">
        <v>897.63</v>
      </c>
      <c r="J504" s="90">
        <v>11377.58</v>
      </c>
      <c r="K504" s="90">
        <v>312.11</v>
      </c>
      <c r="L504" s="90">
        <v>0</v>
      </c>
      <c r="M504" s="90">
        <v>2737.85</v>
      </c>
      <c r="N504" s="90">
        <v>3754.56</v>
      </c>
      <c r="O504" s="90">
        <v>19228.87</v>
      </c>
      <c r="P504" s="90">
        <v>9026.77</v>
      </c>
      <c r="Q504" s="90">
        <v>509.25</v>
      </c>
      <c r="R504" s="90">
        <v>-1.39</v>
      </c>
      <c r="S504" s="90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</row>
    <row r="505" spans="1:26" ht="12.75" customHeight="1" x14ac:dyDescent="0.25">
      <c r="A505" s="89"/>
      <c r="B505" s="89"/>
      <c r="E505" t="s">
        <v>72</v>
      </c>
      <c r="F505" s="371">
        <v>49921.06</v>
      </c>
      <c r="G505" s="90">
        <v>3993.69</v>
      </c>
      <c r="H505" s="90">
        <v>2254.83</v>
      </c>
      <c r="I505" s="90">
        <v>1183.5</v>
      </c>
      <c r="J505" s="90">
        <v>9237.34</v>
      </c>
      <c r="K505" s="90">
        <v>236.44</v>
      </c>
      <c r="L505" s="90">
        <v>0</v>
      </c>
      <c r="M505" s="90">
        <v>2074.09</v>
      </c>
      <c r="N505" s="90">
        <v>3047.22</v>
      </c>
      <c r="O505" s="90">
        <v>15606.67</v>
      </c>
      <c r="P505" s="90">
        <v>11901.49</v>
      </c>
      <c r="Q505" s="90">
        <v>385.79</v>
      </c>
      <c r="R505" s="90">
        <v>0</v>
      </c>
      <c r="S505" s="90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</row>
    <row r="506" spans="1:26" ht="12.75" customHeight="1" x14ac:dyDescent="0.25">
      <c r="A506" s="89"/>
      <c r="B506" s="89"/>
      <c r="E506" t="s">
        <v>81</v>
      </c>
      <c r="F506" s="371">
        <v>402.4</v>
      </c>
      <c r="G506" s="90">
        <v>32.54</v>
      </c>
      <c r="H506" s="90">
        <v>18.34</v>
      </c>
      <c r="I506" s="90">
        <v>9.5299999999999994</v>
      </c>
      <c r="J506" s="90">
        <v>74.319999999999993</v>
      </c>
      <c r="K506" s="90">
        <v>1.9</v>
      </c>
      <c r="L506" s="90">
        <v>0</v>
      </c>
      <c r="M506" s="90">
        <v>16.7</v>
      </c>
      <c r="N506" s="90">
        <v>24.53</v>
      </c>
      <c r="O506" s="90">
        <v>125.62</v>
      </c>
      <c r="P506" s="90">
        <v>95.81</v>
      </c>
      <c r="Q506" s="90">
        <v>3.11</v>
      </c>
      <c r="R506" s="90">
        <v>0</v>
      </c>
      <c r="S506" s="90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</row>
    <row r="507" spans="1:26" ht="12.75" customHeight="1" x14ac:dyDescent="0.25">
      <c r="A507" s="89"/>
      <c r="B507" s="89"/>
      <c r="D507" t="s">
        <v>86</v>
      </c>
      <c r="E507" t="s">
        <v>70</v>
      </c>
      <c r="F507" s="371">
        <v>50323.46</v>
      </c>
      <c r="G507" s="90">
        <v>4026.23</v>
      </c>
      <c r="H507" s="90">
        <v>2273.17</v>
      </c>
      <c r="I507" s="90">
        <v>1193.03</v>
      </c>
      <c r="J507" s="90">
        <v>9311.66</v>
      </c>
      <c r="K507" s="90">
        <v>238.34</v>
      </c>
      <c r="L507" s="90">
        <v>0</v>
      </c>
      <c r="M507" s="90">
        <v>2090.79</v>
      </c>
      <c r="N507" s="90">
        <v>3071.75</v>
      </c>
      <c r="O507" s="90">
        <v>15732.29</v>
      </c>
      <c r="P507" s="90">
        <v>11997.3</v>
      </c>
      <c r="Q507" s="90">
        <v>388.9</v>
      </c>
      <c r="R507" s="90">
        <v>0</v>
      </c>
      <c r="S507" s="90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</row>
    <row r="508" spans="1:26" ht="12.75" customHeight="1" x14ac:dyDescent="0.25">
      <c r="A508" s="89"/>
      <c r="B508" s="89"/>
      <c r="E508" t="s">
        <v>72</v>
      </c>
      <c r="F508" s="371">
        <v>306792.77</v>
      </c>
      <c r="G508" s="90">
        <v>19035.04</v>
      </c>
      <c r="H508" s="90">
        <v>9869.84</v>
      </c>
      <c r="I508" s="90">
        <v>5496.23</v>
      </c>
      <c r="J508" s="90">
        <v>71436.63</v>
      </c>
      <c r="K508" s="90">
        <v>1696.42</v>
      </c>
      <c r="L508" s="90">
        <v>0</v>
      </c>
      <c r="M508" s="90">
        <v>14880.73</v>
      </c>
      <c r="N508" s="90">
        <v>20748.09</v>
      </c>
      <c r="O508" s="90">
        <v>103786.58</v>
      </c>
      <c r="P508" s="90">
        <v>57071.46</v>
      </c>
      <c r="Q508" s="90">
        <v>2767.81</v>
      </c>
      <c r="R508" s="90">
        <v>3.94</v>
      </c>
      <c r="S508" s="90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</row>
    <row r="509" spans="1:26" ht="12.75" customHeight="1" x14ac:dyDescent="0.25">
      <c r="A509" s="89"/>
      <c r="B509" s="89"/>
      <c r="E509" t="s">
        <v>81</v>
      </c>
      <c r="F509" s="371">
        <v>7697.23</v>
      </c>
      <c r="G509" s="90">
        <v>484.57</v>
      </c>
      <c r="H509" s="90">
        <v>243.67</v>
      </c>
      <c r="I509" s="90">
        <v>136.38</v>
      </c>
      <c r="J509" s="90">
        <v>1785.86</v>
      </c>
      <c r="K509" s="90">
        <v>43.42</v>
      </c>
      <c r="L509" s="90">
        <v>0</v>
      </c>
      <c r="M509" s="90">
        <v>379.97</v>
      </c>
      <c r="N509" s="90">
        <v>517.96</v>
      </c>
      <c r="O509" s="90">
        <v>2585.2600000000002</v>
      </c>
      <c r="P509" s="90">
        <v>1449.26</v>
      </c>
      <c r="Q509" s="90">
        <v>70.739999999999995</v>
      </c>
      <c r="R509" s="90">
        <v>0.14000000000000001</v>
      </c>
      <c r="S509" s="90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</row>
    <row r="510" spans="1:26" ht="12.65" customHeight="1" x14ac:dyDescent="0.25">
      <c r="A510" s="89"/>
      <c r="B510" s="89"/>
      <c r="D510" t="s">
        <v>87</v>
      </c>
      <c r="E510" t="s">
        <v>70</v>
      </c>
      <c r="F510" s="371">
        <v>314490</v>
      </c>
      <c r="G510" s="90">
        <v>19519.61</v>
      </c>
      <c r="H510" s="90">
        <v>10113.51</v>
      </c>
      <c r="I510" s="90">
        <v>5632.61</v>
      </c>
      <c r="J510" s="90">
        <v>73222.490000000005</v>
      </c>
      <c r="K510" s="90">
        <v>1739.84</v>
      </c>
      <c r="L510" s="90">
        <v>0</v>
      </c>
      <c r="M510" s="90">
        <v>15260.7</v>
      </c>
      <c r="N510" s="90">
        <v>21266.05</v>
      </c>
      <c r="O510" s="90">
        <v>106371.84</v>
      </c>
      <c r="P510" s="90">
        <v>58520.72</v>
      </c>
      <c r="Q510" s="90">
        <v>2838.55</v>
      </c>
      <c r="R510" s="90">
        <v>4.08</v>
      </c>
      <c r="S510" s="9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</row>
    <row r="511" spans="1:26" s="94" customFormat="1" ht="12.75" customHeight="1" x14ac:dyDescent="0.25">
      <c r="A511" s="101"/>
      <c r="B511" s="101"/>
      <c r="C511" s="94" t="s">
        <v>119</v>
      </c>
      <c r="D511" s="94" t="s">
        <v>70</v>
      </c>
      <c r="F511" s="93">
        <v>417519.62</v>
      </c>
      <c r="G511" s="93">
        <v>26657.43</v>
      </c>
      <c r="H511" s="93">
        <v>14138.02</v>
      </c>
      <c r="I511" s="93">
        <v>7723.27</v>
      </c>
      <c r="J511" s="93">
        <v>93911.73</v>
      </c>
      <c r="K511" s="93">
        <v>2290.29</v>
      </c>
      <c r="L511" s="93">
        <v>0</v>
      </c>
      <c r="M511" s="93">
        <v>20089.34</v>
      </c>
      <c r="N511" s="93">
        <v>28092.36</v>
      </c>
      <c r="O511" s="93">
        <v>141333</v>
      </c>
      <c r="P511" s="93">
        <v>79544.789999999994</v>
      </c>
      <c r="Q511" s="93">
        <v>3736.7</v>
      </c>
      <c r="R511" s="93">
        <v>2.69</v>
      </c>
      <c r="S511" s="93">
        <v>0</v>
      </c>
      <c r="T511" s="94">
        <v>0</v>
      </c>
      <c r="U511" s="94">
        <v>0</v>
      </c>
      <c r="V511" s="94">
        <v>0</v>
      </c>
      <c r="W511" s="94">
        <v>0</v>
      </c>
      <c r="X511" s="94">
        <v>0</v>
      </c>
      <c r="Y511" s="94">
        <v>0</v>
      </c>
      <c r="Z511" s="94">
        <v>0</v>
      </c>
    </row>
    <row r="512" spans="1:26" s="378" customFormat="1" ht="12.75" customHeight="1" x14ac:dyDescent="0.25">
      <c r="A512" s="376"/>
      <c r="B512" s="376" t="s">
        <v>122</v>
      </c>
      <c r="C512" s="378" t="s">
        <v>70</v>
      </c>
      <c r="F512" s="711">
        <v>417519.62</v>
      </c>
      <c r="G512" s="378">
        <v>26657.43</v>
      </c>
      <c r="H512" s="377">
        <v>14138.02</v>
      </c>
      <c r="I512" s="377">
        <v>7723.27</v>
      </c>
      <c r="J512" s="377">
        <v>93911.73</v>
      </c>
      <c r="K512" s="377">
        <v>2290.29</v>
      </c>
      <c r="L512" s="377">
        <v>0</v>
      </c>
      <c r="M512" s="377">
        <v>20089.34</v>
      </c>
      <c r="N512" s="377">
        <v>28092.36</v>
      </c>
      <c r="O512" s="377">
        <v>141333</v>
      </c>
      <c r="P512" s="377">
        <v>79544.789999999994</v>
      </c>
      <c r="Q512" s="377">
        <v>3736.7</v>
      </c>
      <c r="R512" s="377">
        <v>2.69</v>
      </c>
      <c r="S512" s="377">
        <v>0</v>
      </c>
      <c r="T512" s="378">
        <v>0</v>
      </c>
      <c r="U512" s="378">
        <v>0</v>
      </c>
      <c r="V512" s="378">
        <v>0</v>
      </c>
      <c r="W512" s="378">
        <v>0</v>
      </c>
      <c r="X512" s="378">
        <v>0</v>
      </c>
      <c r="Y512" s="378">
        <v>0</v>
      </c>
      <c r="Z512" s="378">
        <v>0</v>
      </c>
    </row>
    <row r="513" spans="1:26" ht="12.75" customHeight="1" x14ac:dyDescent="0.25">
      <c r="C513" s="89"/>
      <c r="D513" s="89"/>
      <c r="E513" t="s">
        <v>72</v>
      </c>
      <c r="F513" s="371">
        <v>12815008425</v>
      </c>
      <c r="G513" s="90">
        <v>696132424.70000005</v>
      </c>
      <c r="H513" s="90">
        <v>392646983.91000003</v>
      </c>
      <c r="I513" s="90">
        <v>205894711.43000001</v>
      </c>
      <c r="J513" s="90">
        <v>2739311715.7199998</v>
      </c>
      <c r="K513" s="90">
        <v>104518413.20999999</v>
      </c>
      <c r="L513" s="90">
        <v>8994251.4000000004</v>
      </c>
      <c r="M513" s="90">
        <v>916374237.59000003</v>
      </c>
      <c r="N513" s="90">
        <v>897814237.13</v>
      </c>
      <c r="O513" s="90">
        <v>4614704417.4799995</v>
      </c>
      <c r="P513" s="90">
        <v>2068182494.3299999</v>
      </c>
      <c r="Q513" s="90">
        <v>170581693.38999999</v>
      </c>
      <c r="R513" s="90">
        <v>-147155.29</v>
      </c>
      <c r="S513" s="90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</row>
    <row r="514" spans="1:26" ht="12.75" customHeight="1" x14ac:dyDescent="0.25">
      <c r="C514" s="89"/>
      <c r="D514" s="89"/>
      <c r="E514" t="s">
        <v>81</v>
      </c>
      <c r="F514" s="90">
        <v>8188043.2599999998</v>
      </c>
      <c r="G514" s="90">
        <v>712370.33</v>
      </c>
      <c r="H514" s="90">
        <v>342656.4</v>
      </c>
      <c r="I514" s="90">
        <v>174871.02</v>
      </c>
      <c r="J514" s="90">
        <v>1410634.79</v>
      </c>
      <c r="K514" s="90">
        <v>60481.35</v>
      </c>
      <c r="L514" s="90">
        <v>2825.7</v>
      </c>
      <c r="M514" s="90">
        <v>530371.72</v>
      </c>
      <c r="N514" s="90">
        <v>474850.33</v>
      </c>
      <c r="O514" s="90">
        <v>2281402.9900000002</v>
      </c>
      <c r="P514" s="90">
        <v>2098966.4300000002</v>
      </c>
      <c r="Q514" s="90">
        <v>98638.71</v>
      </c>
      <c r="R514" s="90">
        <v>6.82</v>
      </c>
      <c r="S514" s="90">
        <v>0</v>
      </c>
      <c r="T514">
        <v>7.04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-40.369999999999997</v>
      </c>
    </row>
    <row r="515" spans="1:26" ht="12.75" customHeight="1" x14ac:dyDescent="0.25">
      <c r="D515" t="s">
        <v>156</v>
      </c>
      <c r="E515" s="89" t="s">
        <v>70</v>
      </c>
      <c r="F515" s="90">
        <v>12823196468.26</v>
      </c>
      <c r="G515" s="90">
        <v>696844795.02999997</v>
      </c>
      <c r="H515" s="90">
        <v>392989640.31</v>
      </c>
      <c r="I515" s="90">
        <v>206069582.44999999</v>
      </c>
      <c r="J515" s="90">
        <v>2740722350.5100002</v>
      </c>
      <c r="K515" s="90">
        <v>104578894.56</v>
      </c>
      <c r="L515" s="90">
        <v>8997077.0999999996</v>
      </c>
      <c r="M515" s="90">
        <v>916904609.30999994</v>
      </c>
      <c r="N515" s="90">
        <v>898289087.46000004</v>
      </c>
      <c r="O515" s="90">
        <v>4616985820.4700003</v>
      </c>
      <c r="P515" s="90">
        <v>2070281460.76</v>
      </c>
      <c r="Q515" s="90">
        <v>170680332.09999999</v>
      </c>
      <c r="R515" s="90">
        <v>-147148.47</v>
      </c>
      <c r="S515" s="90">
        <v>0</v>
      </c>
      <c r="T515">
        <v>7.04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-40.369999999999997</v>
      </c>
    </row>
    <row r="516" spans="1:26" s="657" customFormat="1" ht="12.75" customHeight="1" x14ac:dyDescent="0.25">
      <c r="A516" s="658"/>
      <c r="B516" s="658"/>
      <c r="C516" s="657" t="s">
        <v>155</v>
      </c>
      <c r="D516" s="657" t="s">
        <v>70</v>
      </c>
      <c r="F516" s="659">
        <v>12823196468.26</v>
      </c>
      <c r="G516" s="659">
        <v>696844795.02999997</v>
      </c>
      <c r="H516" s="659">
        <v>392989640.31</v>
      </c>
      <c r="I516" s="659">
        <v>206069582.44999999</v>
      </c>
      <c r="J516" s="659">
        <v>2740722350.5100002</v>
      </c>
      <c r="K516" s="659">
        <v>104578894.56</v>
      </c>
      <c r="L516" s="659">
        <v>8997077.0999999996</v>
      </c>
      <c r="M516" s="659">
        <v>916904609.30999994</v>
      </c>
      <c r="N516" s="659">
        <v>898289087.46000004</v>
      </c>
      <c r="O516" s="659">
        <v>4616985820.4700003</v>
      </c>
      <c r="P516" s="659">
        <v>2070281460.76</v>
      </c>
      <c r="Q516" s="659">
        <v>170680332.09999999</v>
      </c>
      <c r="R516" s="659">
        <v>-147148.47</v>
      </c>
      <c r="S516" s="659">
        <v>0</v>
      </c>
      <c r="T516" s="657">
        <v>7.04</v>
      </c>
      <c r="U516" s="657">
        <v>0</v>
      </c>
      <c r="V516" s="657">
        <v>0</v>
      </c>
      <c r="W516" s="657">
        <v>0</v>
      </c>
      <c r="X516" s="657">
        <v>0</v>
      </c>
      <c r="Y516" s="657">
        <v>0</v>
      </c>
      <c r="Z516" s="657">
        <v>-40.369999999999997</v>
      </c>
    </row>
    <row r="517" spans="1:26" ht="12.75" customHeight="1" x14ac:dyDescent="0.25">
      <c r="E517" s="89" t="s">
        <v>72</v>
      </c>
      <c r="F517" s="90">
        <v>31744217.359999999</v>
      </c>
      <c r="G517" s="90">
        <v>1896011.44</v>
      </c>
      <c r="H517" s="90">
        <v>1043946.05</v>
      </c>
      <c r="I517" s="90">
        <v>566202.44999999995</v>
      </c>
      <c r="J517" s="90">
        <v>6825335.7800000003</v>
      </c>
      <c r="K517" s="90">
        <v>247149.67</v>
      </c>
      <c r="L517" s="90">
        <v>0</v>
      </c>
      <c r="M517" s="90">
        <v>2156364.29</v>
      </c>
      <c r="N517" s="90">
        <v>2123158.7400000002</v>
      </c>
      <c r="O517" s="90">
        <v>11056616.23</v>
      </c>
      <c r="P517" s="90">
        <v>5422637.6600000001</v>
      </c>
      <c r="Q517" s="90">
        <v>406705.98</v>
      </c>
      <c r="R517" s="90">
        <v>89.07</v>
      </c>
      <c r="S517" s="90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</row>
    <row r="518" spans="1:26" ht="12.75" customHeight="1" x14ac:dyDescent="0.25">
      <c r="E518" s="89" t="s">
        <v>81</v>
      </c>
      <c r="F518" s="371">
        <v>90800.2</v>
      </c>
      <c r="G518" s="90">
        <v>5476.81</v>
      </c>
      <c r="H518" s="90">
        <v>2878.22</v>
      </c>
      <c r="I518" s="90">
        <v>1571.13</v>
      </c>
      <c r="J518" s="90">
        <v>19966.919999999998</v>
      </c>
      <c r="K518" s="90">
        <v>645.25</v>
      </c>
      <c r="L518" s="90">
        <v>0</v>
      </c>
      <c r="M518" s="90">
        <v>5639.74</v>
      </c>
      <c r="N518" s="90">
        <v>6109.13</v>
      </c>
      <c r="O518" s="90">
        <v>31292.26</v>
      </c>
      <c r="P518" s="90">
        <v>16162.57</v>
      </c>
      <c r="Q518" s="90">
        <v>1059.69</v>
      </c>
      <c r="R518" s="90">
        <v>-1.52</v>
      </c>
      <c r="S518" s="90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</row>
    <row r="519" spans="1:26" ht="12.75" customHeight="1" x14ac:dyDescent="0.25">
      <c r="D519" t="s">
        <v>156</v>
      </c>
      <c r="E519" s="89" t="s">
        <v>70</v>
      </c>
      <c r="F519" s="371">
        <v>31835017.559999999</v>
      </c>
      <c r="G519" s="90">
        <v>1901488.25</v>
      </c>
      <c r="H519" s="90">
        <v>1046824.27</v>
      </c>
      <c r="I519" s="90">
        <v>567773.57999999996</v>
      </c>
      <c r="J519" s="90">
        <v>6845302.7000000002</v>
      </c>
      <c r="K519" s="90">
        <v>247794.92</v>
      </c>
      <c r="L519" s="90">
        <v>0</v>
      </c>
      <c r="M519" s="90">
        <v>2162004.0299999998</v>
      </c>
      <c r="N519" s="90">
        <v>2129267.87</v>
      </c>
      <c r="O519" s="90">
        <v>11087908.49</v>
      </c>
      <c r="P519" s="90">
        <v>5438800.2300000004</v>
      </c>
      <c r="Q519" s="90">
        <v>407765.67</v>
      </c>
      <c r="R519" s="90">
        <v>87.55</v>
      </c>
      <c r="S519" s="90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</row>
    <row r="520" spans="1:26" s="740" customFormat="1" ht="12.75" customHeight="1" x14ac:dyDescent="0.25">
      <c r="C520" s="740" t="s">
        <v>328</v>
      </c>
      <c r="D520" s="740" t="s">
        <v>70</v>
      </c>
      <c r="E520" s="231"/>
      <c r="F520" s="741">
        <v>31835017.559999999</v>
      </c>
      <c r="G520" s="232">
        <v>1901488.25</v>
      </c>
      <c r="H520" s="232">
        <v>1046824.27</v>
      </c>
      <c r="I520" s="232">
        <v>567773.57999999996</v>
      </c>
      <c r="J520" s="232">
        <v>6845302.7000000002</v>
      </c>
      <c r="K520" s="232">
        <v>247794.92</v>
      </c>
      <c r="L520" s="232">
        <v>0</v>
      </c>
      <c r="M520" s="232">
        <v>2162004.0299999998</v>
      </c>
      <c r="N520" s="232">
        <v>2129267.87</v>
      </c>
      <c r="O520" s="232">
        <v>11087908.49</v>
      </c>
      <c r="P520" s="232">
        <v>5438800.2300000004</v>
      </c>
      <c r="Q520" s="232">
        <v>407765.67</v>
      </c>
      <c r="R520" s="232">
        <v>87.55</v>
      </c>
      <c r="S520" s="232">
        <v>0</v>
      </c>
      <c r="T520" s="740">
        <v>0</v>
      </c>
      <c r="U520" s="740">
        <v>0</v>
      </c>
      <c r="V520" s="740">
        <v>0</v>
      </c>
      <c r="W520" s="740">
        <v>0</v>
      </c>
      <c r="X520" s="740">
        <v>0</v>
      </c>
      <c r="Y520" s="740">
        <v>0</v>
      </c>
      <c r="Z520" s="740">
        <v>0</v>
      </c>
    </row>
    <row r="521" spans="1:26" ht="12.75" customHeight="1" x14ac:dyDescent="0.25">
      <c r="E521" s="89" t="s">
        <v>72</v>
      </c>
      <c r="F521" s="371">
        <v>23681387.870000001</v>
      </c>
      <c r="G521" s="90">
        <v>1342192.95</v>
      </c>
      <c r="H521" s="90">
        <v>741594.96</v>
      </c>
      <c r="I521" s="90">
        <v>386605.36</v>
      </c>
      <c r="J521" s="90">
        <v>3574834.93</v>
      </c>
      <c r="K521" s="90">
        <v>163810.99</v>
      </c>
      <c r="L521" s="90">
        <v>0</v>
      </c>
      <c r="M521" s="90">
        <v>1432646.73</v>
      </c>
      <c r="N521" s="90">
        <v>1903396.27</v>
      </c>
      <c r="O521" s="90">
        <v>9913238.5800000001</v>
      </c>
      <c r="P521" s="90">
        <v>3949237.62</v>
      </c>
      <c r="Q521" s="90">
        <v>273858.43</v>
      </c>
      <c r="R521" s="90">
        <v>-28.95</v>
      </c>
      <c r="S521" s="90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</row>
    <row r="522" spans="1:26" ht="12.75" customHeight="1" x14ac:dyDescent="0.25">
      <c r="E522" s="89" t="s">
        <v>81</v>
      </c>
      <c r="F522" s="90">
        <v>203478.11</v>
      </c>
      <c r="G522" s="90">
        <v>12513.73</v>
      </c>
      <c r="H522" s="90">
        <v>6267.59</v>
      </c>
      <c r="I522" s="90">
        <v>3281.56</v>
      </c>
      <c r="J522" s="90">
        <v>40756.89</v>
      </c>
      <c r="K522" s="90">
        <v>1395.27</v>
      </c>
      <c r="L522" s="90">
        <v>0</v>
      </c>
      <c r="M522" s="90">
        <v>12103.55</v>
      </c>
      <c r="N522" s="90">
        <v>15375.27</v>
      </c>
      <c r="O522" s="90">
        <v>72617.7</v>
      </c>
      <c r="P522" s="90">
        <v>36833.599999999999</v>
      </c>
      <c r="Q522" s="90">
        <v>2332.77</v>
      </c>
      <c r="R522" s="90">
        <v>0.24</v>
      </c>
      <c r="S522" s="90">
        <v>-0.06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</row>
    <row r="523" spans="1:26" ht="12.75" customHeight="1" x14ac:dyDescent="0.25">
      <c r="D523" s="89" t="s">
        <v>82</v>
      </c>
      <c r="E523" s="89" t="s">
        <v>70</v>
      </c>
      <c r="F523" s="90">
        <v>23884865.98</v>
      </c>
      <c r="G523" s="90">
        <v>1354706.68</v>
      </c>
      <c r="H523" s="90">
        <v>747862.55</v>
      </c>
      <c r="I523" s="90">
        <v>389886.92</v>
      </c>
      <c r="J523" s="90">
        <v>3615591.82</v>
      </c>
      <c r="K523" s="90">
        <v>165206.26</v>
      </c>
      <c r="L523" s="90">
        <v>0</v>
      </c>
      <c r="M523" s="90">
        <v>1444750.28</v>
      </c>
      <c r="N523" s="90">
        <v>1918771.54</v>
      </c>
      <c r="O523" s="90">
        <v>9985856.2799999993</v>
      </c>
      <c r="P523" s="90">
        <v>3986071.22</v>
      </c>
      <c r="Q523" s="90">
        <v>276191.2</v>
      </c>
      <c r="R523" s="90">
        <v>-28.71</v>
      </c>
      <c r="S523" s="90">
        <v>-0.06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</row>
    <row r="524" spans="1:26" ht="12.75" customHeight="1" x14ac:dyDescent="0.25">
      <c r="C524" s="89"/>
      <c r="D524" s="89"/>
      <c r="E524" t="s">
        <v>72</v>
      </c>
      <c r="F524" s="90">
        <v>37326194.020000003</v>
      </c>
      <c r="G524" s="90">
        <v>2341567.69</v>
      </c>
      <c r="H524" s="90">
        <v>1226225.5900000001</v>
      </c>
      <c r="I524" s="90">
        <v>646313.07999999996</v>
      </c>
      <c r="J524" s="90">
        <v>4830560.8899999997</v>
      </c>
      <c r="K524" s="90">
        <v>328790.96000000002</v>
      </c>
      <c r="L524" s="90">
        <v>10</v>
      </c>
      <c r="M524" s="90">
        <v>2887566.34</v>
      </c>
      <c r="N524" s="90">
        <v>2940701.95</v>
      </c>
      <c r="O524" s="90">
        <v>14675858.98</v>
      </c>
      <c r="P524" s="90">
        <v>6912081.8600000003</v>
      </c>
      <c r="Q524" s="90">
        <v>536760.03</v>
      </c>
      <c r="R524" s="90">
        <v>-243.35</v>
      </c>
      <c r="S524" s="90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</row>
    <row r="525" spans="1:26" ht="12.75" customHeight="1" x14ac:dyDescent="0.25">
      <c r="B525" s="89"/>
      <c r="C525" s="89"/>
      <c r="E525" t="s">
        <v>81</v>
      </c>
      <c r="F525" s="90">
        <v>1803780.95</v>
      </c>
      <c r="G525" s="90">
        <v>148635.04999999999</v>
      </c>
      <c r="H525" s="90">
        <v>70152.759999999995</v>
      </c>
      <c r="I525" s="90">
        <v>35493.919999999998</v>
      </c>
      <c r="J525" s="90">
        <v>325744.40000000002</v>
      </c>
      <c r="K525" s="90">
        <v>14357.08</v>
      </c>
      <c r="L525" s="90">
        <v>0</v>
      </c>
      <c r="M525" s="90">
        <v>125760.45</v>
      </c>
      <c r="N525" s="90">
        <v>115572.28</v>
      </c>
      <c r="O525" s="90">
        <v>509189.7</v>
      </c>
      <c r="P525" s="90">
        <v>435456.11</v>
      </c>
      <c r="Q525" s="90">
        <v>23424.97</v>
      </c>
      <c r="R525" s="90">
        <v>-6.29</v>
      </c>
      <c r="S525" s="90">
        <v>-0.02</v>
      </c>
      <c r="T525">
        <v>0.54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</row>
    <row r="526" spans="1:26" ht="12.75" customHeight="1" x14ac:dyDescent="0.25">
      <c r="A526" s="89"/>
      <c r="B526" s="89"/>
      <c r="D526" t="s">
        <v>86</v>
      </c>
      <c r="E526" t="s">
        <v>70</v>
      </c>
      <c r="F526" s="90">
        <v>39129974.969999999</v>
      </c>
      <c r="G526" s="90">
        <v>2490202.7400000002</v>
      </c>
      <c r="H526" s="90">
        <v>1296378.3500000001</v>
      </c>
      <c r="I526" s="90">
        <v>681807</v>
      </c>
      <c r="J526" s="90">
        <v>5156305.29</v>
      </c>
      <c r="K526" s="90">
        <v>343148.04</v>
      </c>
      <c r="L526" s="90">
        <v>10</v>
      </c>
      <c r="M526" s="90">
        <v>3013326.79</v>
      </c>
      <c r="N526" s="90">
        <v>3056274.23</v>
      </c>
      <c r="O526" s="90">
        <v>15185048.68</v>
      </c>
      <c r="P526" s="90">
        <v>7347537.9699999997</v>
      </c>
      <c r="Q526" s="90">
        <v>560185</v>
      </c>
      <c r="R526" s="90">
        <v>-249.64</v>
      </c>
      <c r="S526" s="90">
        <v>-0.02</v>
      </c>
      <c r="T526">
        <v>0.54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</row>
    <row r="527" spans="1:26" ht="12.75" customHeight="1" x14ac:dyDescent="0.25">
      <c r="E527" s="89" t="s">
        <v>72</v>
      </c>
      <c r="F527" s="90">
        <v>165149724.53999999</v>
      </c>
      <c r="G527" s="90">
        <v>26075002.84</v>
      </c>
      <c r="H527" s="90">
        <v>14679186.140000001</v>
      </c>
      <c r="I527" s="90">
        <v>7710705.0300000003</v>
      </c>
      <c r="J527" s="90">
        <v>8226271.1699999999</v>
      </c>
      <c r="K527" s="90">
        <v>298707.28000000003</v>
      </c>
      <c r="L527" s="90">
        <v>5865000</v>
      </c>
      <c r="M527" s="90">
        <v>2614088.5499999998</v>
      </c>
      <c r="N527" s="90">
        <v>3478316.82</v>
      </c>
      <c r="O527" s="90">
        <v>18102958.870000001</v>
      </c>
      <c r="P527" s="90">
        <v>77609539.060000002</v>
      </c>
      <c r="Q527" s="90">
        <v>490342.43</v>
      </c>
      <c r="R527" s="90">
        <v>-393.65</v>
      </c>
      <c r="S527" s="90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</row>
    <row r="528" spans="1:26" ht="12.75" customHeight="1" x14ac:dyDescent="0.25">
      <c r="A528" s="89"/>
      <c r="B528" s="89"/>
      <c r="E528" t="s">
        <v>81</v>
      </c>
      <c r="F528" s="90">
        <v>1037886.13</v>
      </c>
      <c r="G528" s="90">
        <v>151445.04</v>
      </c>
      <c r="H528" s="90">
        <v>83302.720000000001</v>
      </c>
      <c r="I528" s="90">
        <v>44417.4</v>
      </c>
      <c r="J528" s="90">
        <v>83722.740000000005</v>
      </c>
      <c r="K528" s="90">
        <v>2286.4899999999998</v>
      </c>
      <c r="L528" s="90">
        <v>39642.230000000003</v>
      </c>
      <c r="M528" s="90">
        <v>20012.88</v>
      </c>
      <c r="N528" s="90">
        <v>25666.09</v>
      </c>
      <c r="O528" s="90">
        <v>131338.6</v>
      </c>
      <c r="P528" s="90">
        <v>452293.81</v>
      </c>
      <c r="Q528" s="90">
        <v>3759.65</v>
      </c>
      <c r="R528" s="90">
        <v>-1.41</v>
      </c>
      <c r="S528" s="90">
        <v>-0.11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</row>
    <row r="529" spans="1:26" ht="12.75" customHeight="1" x14ac:dyDescent="0.25">
      <c r="D529" t="s">
        <v>87</v>
      </c>
      <c r="E529" s="89" t="s">
        <v>70</v>
      </c>
      <c r="F529" s="90">
        <v>166187610.66999999</v>
      </c>
      <c r="G529" s="90">
        <v>26226447.879999999</v>
      </c>
      <c r="H529" s="90">
        <v>14762488.859999999</v>
      </c>
      <c r="I529" s="90">
        <v>7755122.4299999997</v>
      </c>
      <c r="J529" s="90">
        <v>8309993.9100000001</v>
      </c>
      <c r="K529" s="90">
        <v>300993.77</v>
      </c>
      <c r="L529" s="90">
        <v>5904642.2300000004</v>
      </c>
      <c r="M529" s="90">
        <v>2634101.4300000002</v>
      </c>
      <c r="N529" s="90">
        <v>3503982.91</v>
      </c>
      <c r="O529" s="90">
        <v>18234297.469999999</v>
      </c>
      <c r="P529" s="90">
        <v>78061832.870000005</v>
      </c>
      <c r="Q529" s="90">
        <v>494102.08</v>
      </c>
      <c r="R529" s="90">
        <v>-395.06</v>
      </c>
      <c r="S529" s="90">
        <v>-0.11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</row>
    <row r="530" spans="1:26" s="94" customFormat="1" ht="12.75" customHeight="1" x14ac:dyDescent="0.25">
      <c r="A530" s="101"/>
      <c r="B530" s="101"/>
      <c r="C530" s="94" t="s">
        <v>119</v>
      </c>
      <c r="D530" s="94" t="s">
        <v>70</v>
      </c>
      <c r="F530" s="93">
        <v>229202451.62</v>
      </c>
      <c r="G530" s="93">
        <v>30071357.300000001</v>
      </c>
      <c r="H530" s="93">
        <v>16806729.760000002</v>
      </c>
      <c r="I530" s="93">
        <v>8826816.3499999996</v>
      </c>
      <c r="J530" s="93">
        <v>17081891.02</v>
      </c>
      <c r="K530" s="93">
        <v>809348.07</v>
      </c>
      <c r="L530" s="93">
        <v>5904652.2300000004</v>
      </c>
      <c r="M530" s="93">
        <v>7092178.5</v>
      </c>
      <c r="N530" s="93">
        <v>8479028.6799999997</v>
      </c>
      <c r="O530" s="93">
        <v>43405202.43</v>
      </c>
      <c r="P530" s="93">
        <v>89395442.060000002</v>
      </c>
      <c r="Q530" s="93">
        <v>1330478.28</v>
      </c>
      <c r="R530" s="93">
        <v>-673.41</v>
      </c>
      <c r="S530" s="93">
        <v>-0.19</v>
      </c>
      <c r="T530" s="94">
        <v>0.54</v>
      </c>
      <c r="U530" s="94">
        <v>0</v>
      </c>
      <c r="V530" s="94">
        <v>0</v>
      </c>
      <c r="W530" s="94">
        <v>0</v>
      </c>
      <c r="X530" s="94">
        <v>0</v>
      </c>
      <c r="Y530" s="94">
        <v>0</v>
      </c>
      <c r="Z530" s="94">
        <v>0</v>
      </c>
    </row>
    <row r="531" spans="1:26" s="226" customFormat="1" ht="12.75" customHeight="1" x14ac:dyDescent="0.25">
      <c r="B531" s="226" t="s">
        <v>112</v>
      </c>
      <c r="C531" s="226" t="s">
        <v>70</v>
      </c>
      <c r="E531" s="98"/>
      <c r="F531" s="100">
        <v>13084233937.440001</v>
      </c>
      <c r="G531" s="100">
        <v>728817640.58000004</v>
      </c>
      <c r="H531" s="100">
        <v>410843194.33999997</v>
      </c>
      <c r="I531" s="100">
        <v>215464172.38</v>
      </c>
      <c r="J531" s="100">
        <v>2764649544.23</v>
      </c>
      <c r="K531" s="100">
        <v>105636037.55</v>
      </c>
      <c r="L531" s="100">
        <v>14901729.33</v>
      </c>
      <c r="M531" s="100">
        <v>926158791.84000003</v>
      </c>
      <c r="N531" s="100">
        <v>908897384.00999999</v>
      </c>
      <c r="O531" s="100">
        <v>4671478931.3900003</v>
      </c>
      <c r="P531" s="100">
        <v>2165115703.0500002</v>
      </c>
      <c r="Q531" s="100">
        <v>172418576.05000001</v>
      </c>
      <c r="R531" s="100">
        <v>-147734.32999999999</v>
      </c>
      <c r="S531" s="100">
        <v>-0.19</v>
      </c>
      <c r="T531" s="226">
        <v>7.58</v>
      </c>
      <c r="U531" s="226">
        <v>0</v>
      </c>
      <c r="V531" s="226">
        <v>0</v>
      </c>
      <c r="W531" s="226">
        <v>0</v>
      </c>
      <c r="X531" s="226">
        <v>0</v>
      </c>
      <c r="Y531" s="226">
        <v>0</v>
      </c>
      <c r="Z531" s="226">
        <v>-40.369999999999997</v>
      </c>
    </row>
    <row r="532" spans="1:26" ht="13.5" customHeight="1" x14ac:dyDescent="0.25">
      <c r="A532" t="s">
        <v>78</v>
      </c>
      <c r="B532" t="s">
        <v>70</v>
      </c>
      <c r="E532" s="89"/>
      <c r="F532" s="90">
        <v>13084651457.059999</v>
      </c>
      <c r="G532" s="90">
        <v>728844298.00999999</v>
      </c>
      <c r="H532" s="90">
        <v>410857332.36000001</v>
      </c>
      <c r="I532" s="90">
        <v>215471895.65000001</v>
      </c>
      <c r="J532" s="90">
        <v>2764743455.96</v>
      </c>
      <c r="K532" s="90">
        <v>105638327.84</v>
      </c>
      <c r="L532" s="90">
        <v>14901729.33</v>
      </c>
      <c r="M532" s="90">
        <v>926178881.17999995</v>
      </c>
      <c r="N532" s="90">
        <v>908925476.37</v>
      </c>
      <c r="O532" s="90">
        <v>4671620264.3900003</v>
      </c>
      <c r="P532" s="90">
        <v>2165195247.8400002</v>
      </c>
      <c r="Q532" s="90">
        <v>172422312.75</v>
      </c>
      <c r="R532" s="90">
        <v>-147731.64000000001</v>
      </c>
      <c r="S532" s="90">
        <v>-0.19</v>
      </c>
      <c r="T532">
        <v>7.58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-40.369999999999997</v>
      </c>
    </row>
    <row r="533" spans="1:26" ht="13.5" customHeight="1" x14ac:dyDescent="0.25">
      <c r="E533" s="89" t="s">
        <v>73</v>
      </c>
      <c r="F533" s="90">
        <v>-7906.16</v>
      </c>
      <c r="G533" s="90">
        <v>-466.73</v>
      </c>
      <c r="H533" s="90">
        <v>-262.7</v>
      </c>
      <c r="I533" s="90">
        <v>-134.63999999999999</v>
      </c>
      <c r="J533" s="90">
        <v>-1706.65</v>
      </c>
      <c r="K533" s="90">
        <v>-46.82</v>
      </c>
      <c r="L533" s="90">
        <v>0</v>
      </c>
      <c r="M533" s="90">
        <v>-410.68</v>
      </c>
      <c r="N533" s="90">
        <v>-563.19000000000005</v>
      </c>
      <c r="O533" s="90">
        <v>-2884.34</v>
      </c>
      <c r="P533" s="90">
        <v>-1354.02</v>
      </c>
      <c r="Q533" s="90">
        <v>-76.39</v>
      </c>
      <c r="R533" s="90">
        <v>0</v>
      </c>
      <c r="S533" s="90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</row>
    <row r="534" spans="1:26" ht="13.5" customHeight="1" x14ac:dyDescent="0.25">
      <c r="D534" t="s">
        <v>82</v>
      </c>
      <c r="E534" s="89" t="s">
        <v>70</v>
      </c>
      <c r="F534" s="90">
        <v>-7906.16</v>
      </c>
      <c r="G534" s="90">
        <v>-466.73</v>
      </c>
      <c r="H534" s="90">
        <v>-262.7</v>
      </c>
      <c r="I534" s="90">
        <v>-134.63999999999999</v>
      </c>
      <c r="J534" s="90">
        <v>-1706.65</v>
      </c>
      <c r="K534" s="90">
        <v>-46.82</v>
      </c>
      <c r="L534" s="90">
        <v>0</v>
      </c>
      <c r="M534" s="90">
        <v>-410.68</v>
      </c>
      <c r="N534" s="90">
        <v>-563.19000000000005</v>
      </c>
      <c r="O534" s="90">
        <v>-2884.34</v>
      </c>
      <c r="P534" s="90">
        <v>-1354.02</v>
      </c>
      <c r="Q534" s="90">
        <v>-76.39</v>
      </c>
      <c r="R534" s="90">
        <v>0</v>
      </c>
      <c r="S534" s="90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</row>
    <row r="535" spans="1:26" ht="13.5" customHeight="1" x14ac:dyDescent="0.25">
      <c r="E535" s="89" t="s">
        <v>73</v>
      </c>
      <c r="F535" s="90">
        <v>32235.54</v>
      </c>
      <c r="G535" s="90">
        <v>2648.41</v>
      </c>
      <c r="H535" s="90">
        <v>1490.18</v>
      </c>
      <c r="I535" s="90">
        <v>761.92</v>
      </c>
      <c r="J535" s="90">
        <v>5936.43</v>
      </c>
      <c r="K535" s="90">
        <v>152.22</v>
      </c>
      <c r="L535" s="90">
        <v>0</v>
      </c>
      <c r="M535" s="90">
        <v>1335.24</v>
      </c>
      <c r="N535" s="90">
        <v>1960.56</v>
      </c>
      <c r="O535" s="90">
        <v>10040.34</v>
      </c>
      <c r="P535" s="90">
        <v>7661.89</v>
      </c>
      <c r="Q535" s="90">
        <v>248.35</v>
      </c>
      <c r="R535" s="90">
        <v>0</v>
      </c>
      <c r="S535" s="90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</row>
    <row r="536" spans="1:26" ht="13.5" customHeight="1" x14ac:dyDescent="0.25">
      <c r="D536" t="s">
        <v>86</v>
      </c>
      <c r="E536" s="89" t="s">
        <v>70</v>
      </c>
      <c r="F536" s="90">
        <v>32235.54</v>
      </c>
      <c r="G536" s="90">
        <v>2648.41</v>
      </c>
      <c r="H536" s="90">
        <v>1490.18</v>
      </c>
      <c r="I536" s="90">
        <v>761.92</v>
      </c>
      <c r="J536" s="90">
        <v>5936.43</v>
      </c>
      <c r="K536" s="90">
        <v>152.22</v>
      </c>
      <c r="L536" s="90">
        <v>0</v>
      </c>
      <c r="M536" s="90">
        <v>1335.24</v>
      </c>
      <c r="N536" s="90">
        <v>1960.56</v>
      </c>
      <c r="O536" s="90">
        <v>10040.34</v>
      </c>
      <c r="P536" s="90">
        <v>7661.89</v>
      </c>
      <c r="Q536" s="90">
        <v>248.35</v>
      </c>
      <c r="R536" s="90">
        <v>0</v>
      </c>
      <c r="S536" s="90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</row>
    <row r="537" spans="1:26" s="94" customFormat="1" ht="12.75" customHeight="1" x14ac:dyDescent="0.25">
      <c r="A537" s="101"/>
      <c r="B537" s="101"/>
      <c r="C537" s="94" t="s">
        <v>119</v>
      </c>
      <c r="D537" s="94" t="s">
        <v>70</v>
      </c>
      <c r="F537" s="93">
        <v>24329.38</v>
      </c>
      <c r="G537" s="93">
        <v>2181.6799999999998</v>
      </c>
      <c r="H537" s="93">
        <v>1227.48</v>
      </c>
      <c r="I537" s="93">
        <v>627.28</v>
      </c>
      <c r="J537" s="93">
        <v>4229.78</v>
      </c>
      <c r="K537" s="93">
        <v>105.4</v>
      </c>
      <c r="L537" s="93">
        <v>0</v>
      </c>
      <c r="M537" s="93">
        <v>924.56</v>
      </c>
      <c r="N537" s="93">
        <v>1397.37</v>
      </c>
      <c r="O537" s="93">
        <v>7156</v>
      </c>
      <c r="P537" s="93">
        <v>6307.87</v>
      </c>
      <c r="Q537" s="93">
        <v>171.96</v>
      </c>
      <c r="R537" s="93">
        <v>0</v>
      </c>
      <c r="S537" s="93">
        <v>0</v>
      </c>
      <c r="T537" s="94">
        <v>0</v>
      </c>
      <c r="U537" s="94">
        <v>0</v>
      </c>
      <c r="V537" s="94">
        <v>0</v>
      </c>
      <c r="W537" s="94">
        <v>0</v>
      </c>
      <c r="X537" s="94">
        <v>0</v>
      </c>
      <c r="Y537" s="94">
        <v>0</v>
      </c>
      <c r="Z537" s="94">
        <v>0</v>
      </c>
    </row>
    <row r="538" spans="1:26" s="378" customFormat="1" ht="12.75" customHeight="1" x14ac:dyDescent="0.25">
      <c r="A538" s="376"/>
      <c r="B538" s="376" t="s">
        <v>122</v>
      </c>
      <c r="C538" s="378" t="s">
        <v>70</v>
      </c>
      <c r="F538" s="711">
        <v>24329.38</v>
      </c>
      <c r="G538" s="378">
        <v>2181.6799999999998</v>
      </c>
      <c r="H538" s="377">
        <v>1227.48</v>
      </c>
      <c r="I538" s="377">
        <v>627.28</v>
      </c>
      <c r="J538" s="377">
        <v>4229.78</v>
      </c>
      <c r="K538" s="377">
        <v>105.4</v>
      </c>
      <c r="L538" s="377">
        <v>0</v>
      </c>
      <c r="M538" s="377">
        <v>924.56</v>
      </c>
      <c r="N538" s="377">
        <v>1397.37</v>
      </c>
      <c r="O538" s="377">
        <v>7156</v>
      </c>
      <c r="P538" s="377">
        <v>6307.87</v>
      </c>
      <c r="Q538" s="377">
        <v>171.96</v>
      </c>
      <c r="R538" s="377">
        <v>0</v>
      </c>
      <c r="S538" s="377">
        <v>0</v>
      </c>
      <c r="T538" s="378">
        <v>0</v>
      </c>
      <c r="U538" s="378">
        <v>0</v>
      </c>
      <c r="V538" s="378">
        <v>0</v>
      </c>
      <c r="W538" s="378">
        <v>0</v>
      </c>
      <c r="X538" s="378">
        <v>0</v>
      </c>
      <c r="Y538" s="378">
        <v>0</v>
      </c>
      <c r="Z538" s="378">
        <v>0</v>
      </c>
    </row>
    <row r="539" spans="1:26" ht="12.75" customHeight="1" x14ac:dyDescent="0.25">
      <c r="E539" s="89" t="s">
        <v>73</v>
      </c>
      <c r="F539" s="371">
        <v>-1113041546.26</v>
      </c>
      <c r="G539" s="90">
        <v>-34176388.439999998</v>
      </c>
      <c r="H539" s="90">
        <v>-19324425.780000001</v>
      </c>
      <c r="I539" s="90">
        <v>-10114900.890000001</v>
      </c>
      <c r="J539" s="90">
        <v>-275747180.08999997</v>
      </c>
      <c r="K539" s="90">
        <v>-10481720.58</v>
      </c>
      <c r="L539" s="90">
        <v>0</v>
      </c>
      <c r="M539" s="90">
        <v>-91967934.269999996</v>
      </c>
      <c r="N539" s="90">
        <v>-91302320.329999998</v>
      </c>
      <c r="O539" s="90">
        <v>-463542591.24000001</v>
      </c>
      <c r="P539" s="90">
        <v>-99282901.75</v>
      </c>
      <c r="Q539" s="90">
        <v>-17101182.890000001</v>
      </c>
      <c r="R539" s="90">
        <v>0</v>
      </c>
      <c r="S539" s="90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</row>
    <row r="540" spans="1:26" ht="12.75" customHeight="1" x14ac:dyDescent="0.25">
      <c r="D540" t="s">
        <v>156</v>
      </c>
      <c r="E540" s="89" t="s">
        <v>70</v>
      </c>
      <c r="F540" s="371">
        <v>-1113041546.26</v>
      </c>
      <c r="G540" s="90">
        <v>-34176388.439999998</v>
      </c>
      <c r="H540" s="90">
        <v>-19324425.780000001</v>
      </c>
      <c r="I540" s="90">
        <v>-10114900.890000001</v>
      </c>
      <c r="J540" s="90">
        <v>-275747180.08999997</v>
      </c>
      <c r="K540" s="90">
        <v>-10481720.58</v>
      </c>
      <c r="L540" s="90">
        <v>0</v>
      </c>
      <c r="M540" s="90">
        <v>-91967934.269999996</v>
      </c>
      <c r="N540" s="90">
        <v>-91302320.329999998</v>
      </c>
      <c r="O540" s="90">
        <v>-463542591.24000001</v>
      </c>
      <c r="P540" s="90">
        <v>-99282901.75</v>
      </c>
      <c r="Q540" s="90">
        <v>-17101182.890000001</v>
      </c>
      <c r="R540" s="90">
        <v>0</v>
      </c>
      <c r="S540" s="9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</row>
    <row r="541" spans="1:26" s="657" customFormat="1" ht="12.75" customHeight="1" x14ac:dyDescent="0.25">
      <c r="A541" s="658"/>
      <c r="B541" s="658"/>
      <c r="C541" s="657" t="s">
        <v>155</v>
      </c>
      <c r="D541" s="657" t="s">
        <v>70</v>
      </c>
      <c r="F541" s="659">
        <v>-1113041546.26</v>
      </c>
      <c r="G541" s="659">
        <v>-34176388.439999998</v>
      </c>
      <c r="H541" s="659">
        <v>-19324425.780000001</v>
      </c>
      <c r="I541" s="659">
        <v>-10114900.890000001</v>
      </c>
      <c r="J541" s="659">
        <v>-275747180.08999997</v>
      </c>
      <c r="K541" s="659">
        <v>-10481720.58</v>
      </c>
      <c r="L541" s="659">
        <v>0</v>
      </c>
      <c r="M541" s="659">
        <v>-91967934.269999996</v>
      </c>
      <c r="N541" s="659">
        <v>-91302320.329999998</v>
      </c>
      <c r="O541" s="659">
        <v>-463542591.24000001</v>
      </c>
      <c r="P541" s="659">
        <v>-99282901.75</v>
      </c>
      <c r="Q541" s="659">
        <v>-17101182.890000001</v>
      </c>
      <c r="R541" s="659">
        <v>0</v>
      </c>
      <c r="S541" s="659">
        <v>0</v>
      </c>
      <c r="T541" s="657">
        <v>0</v>
      </c>
      <c r="U541" s="657">
        <v>0</v>
      </c>
      <c r="V541" s="657">
        <v>0</v>
      </c>
      <c r="W541" s="657">
        <v>0</v>
      </c>
      <c r="X541" s="657">
        <v>0</v>
      </c>
      <c r="Y541" s="657">
        <v>0</v>
      </c>
      <c r="Z541" s="657">
        <v>0</v>
      </c>
    </row>
    <row r="542" spans="1:26" ht="12.75" customHeight="1" x14ac:dyDescent="0.25">
      <c r="E542" s="89" t="s">
        <v>73</v>
      </c>
      <c r="F542" s="371">
        <v>-4970797.5599999996</v>
      </c>
      <c r="G542" s="90">
        <v>-269325.89</v>
      </c>
      <c r="H542" s="90">
        <v>-149624.97</v>
      </c>
      <c r="I542" s="90">
        <v>-78121.59</v>
      </c>
      <c r="J542" s="90">
        <v>-1076036.6299999999</v>
      </c>
      <c r="K542" s="90">
        <v>-39426.57</v>
      </c>
      <c r="L542" s="90">
        <v>0</v>
      </c>
      <c r="M542" s="90">
        <v>-348506.58</v>
      </c>
      <c r="N542" s="90">
        <v>-354157.74</v>
      </c>
      <c r="O542" s="90">
        <v>-1798678.49</v>
      </c>
      <c r="P542" s="90">
        <v>-792592.58</v>
      </c>
      <c r="Q542" s="90">
        <v>-64326.52</v>
      </c>
      <c r="R542" s="90">
        <v>0</v>
      </c>
      <c r="S542" s="90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</row>
    <row r="543" spans="1:26" ht="12.75" customHeight="1" x14ac:dyDescent="0.25">
      <c r="D543" t="s">
        <v>156</v>
      </c>
      <c r="E543" s="89" t="s">
        <v>70</v>
      </c>
      <c r="F543" s="371">
        <v>-4970797.5599999996</v>
      </c>
      <c r="G543" s="90">
        <v>-269325.89</v>
      </c>
      <c r="H543" s="90">
        <v>-149624.97</v>
      </c>
      <c r="I543" s="90">
        <v>-78121.59</v>
      </c>
      <c r="J543" s="90">
        <v>-1076036.6299999999</v>
      </c>
      <c r="K543" s="90">
        <v>-39426.57</v>
      </c>
      <c r="L543" s="90">
        <v>0</v>
      </c>
      <c r="M543" s="90">
        <v>-348506.58</v>
      </c>
      <c r="N543" s="90">
        <v>-354157.74</v>
      </c>
      <c r="O543" s="90">
        <v>-1798678.49</v>
      </c>
      <c r="P543" s="90">
        <v>-792592.58</v>
      </c>
      <c r="Q543" s="90">
        <v>-64326.52</v>
      </c>
      <c r="R543" s="90">
        <v>0</v>
      </c>
      <c r="S543" s="90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</row>
    <row r="544" spans="1:26" s="740" customFormat="1" ht="12.75" customHeight="1" x14ac:dyDescent="0.25">
      <c r="C544" s="740" t="s">
        <v>328</v>
      </c>
      <c r="D544" s="740" t="s">
        <v>70</v>
      </c>
      <c r="E544" s="231"/>
      <c r="F544" s="741">
        <v>-4970797.5599999996</v>
      </c>
      <c r="G544" s="232">
        <v>-269325.89</v>
      </c>
      <c r="H544" s="232">
        <v>-149624.97</v>
      </c>
      <c r="I544" s="232">
        <v>-78121.59</v>
      </c>
      <c r="J544" s="232">
        <v>-1076036.6299999999</v>
      </c>
      <c r="K544" s="232">
        <v>-39426.57</v>
      </c>
      <c r="L544" s="232">
        <v>0</v>
      </c>
      <c r="M544" s="232">
        <v>-348506.58</v>
      </c>
      <c r="N544" s="232">
        <v>-354157.74</v>
      </c>
      <c r="O544" s="232">
        <v>-1798678.49</v>
      </c>
      <c r="P544" s="232">
        <v>-792592.58</v>
      </c>
      <c r="Q544" s="232">
        <v>-64326.52</v>
      </c>
      <c r="R544" s="232">
        <v>0</v>
      </c>
      <c r="S544" s="232">
        <v>0</v>
      </c>
      <c r="T544" s="740">
        <v>0</v>
      </c>
      <c r="U544" s="740">
        <v>0</v>
      </c>
      <c r="V544" s="740">
        <v>0</v>
      </c>
      <c r="W544" s="740">
        <v>0</v>
      </c>
      <c r="X544" s="740">
        <v>0</v>
      </c>
      <c r="Y544" s="740">
        <v>0</v>
      </c>
      <c r="Z544" s="740">
        <v>0</v>
      </c>
    </row>
    <row r="545" spans="1:41" ht="12.75" customHeight="1" x14ac:dyDescent="0.25">
      <c r="E545" s="89" t="s">
        <v>73</v>
      </c>
      <c r="F545" s="371">
        <v>-187855.98</v>
      </c>
      <c r="G545" s="90">
        <v>203417.85</v>
      </c>
      <c r="H545" s="90">
        <v>118300.72</v>
      </c>
      <c r="I545" s="90">
        <v>61829.01</v>
      </c>
      <c r="J545" s="90">
        <v>-228807.34</v>
      </c>
      <c r="K545" s="90">
        <v>-10295.56</v>
      </c>
      <c r="L545" s="90">
        <v>0</v>
      </c>
      <c r="M545" s="90">
        <v>-90305.3</v>
      </c>
      <c r="N545" s="90">
        <v>-128220.63</v>
      </c>
      <c r="O545" s="90">
        <v>-702462.52</v>
      </c>
      <c r="P545" s="90">
        <v>605486.11</v>
      </c>
      <c r="Q545" s="90">
        <v>-16798.32</v>
      </c>
      <c r="R545" s="90">
        <v>0</v>
      </c>
      <c r="S545" s="90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</row>
    <row r="546" spans="1:41" ht="12.75" customHeight="1" x14ac:dyDescent="0.25">
      <c r="D546" s="89" t="s">
        <v>82</v>
      </c>
      <c r="E546" s="89" t="s">
        <v>70</v>
      </c>
      <c r="F546" s="90">
        <v>-187855.98</v>
      </c>
      <c r="G546" s="90">
        <v>203417.85</v>
      </c>
      <c r="H546" s="90">
        <v>118300.72</v>
      </c>
      <c r="I546" s="90">
        <v>61829.01</v>
      </c>
      <c r="J546" s="90">
        <v>-228807.34</v>
      </c>
      <c r="K546" s="90">
        <v>-10295.56</v>
      </c>
      <c r="L546" s="90">
        <v>0</v>
      </c>
      <c r="M546" s="90">
        <v>-90305.3</v>
      </c>
      <c r="N546" s="90">
        <v>-128220.63</v>
      </c>
      <c r="O546" s="90">
        <v>-702462.52</v>
      </c>
      <c r="P546" s="90">
        <v>605486.11</v>
      </c>
      <c r="Q546" s="90">
        <v>-16798.32</v>
      </c>
      <c r="R546" s="90">
        <v>0</v>
      </c>
      <c r="S546" s="90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</row>
    <row r="547" spans="1:41" ht="12.75" customHeight="1" x14ac:dyDescent="0.25">
      <c r="E547" s="89" t="s">
        <v>73</v>
      </c>
      <c r="F547" s="90">
        <v>2459860.0299999998</v>
      </c>
      <c r="G547" s="90">
        <v>709867.57</v>
      </c>
      <c r="H547" s="90">
        <v>402138.38</v>
      </c>
      <c r="I547" s="90">
        <v>215517.65</v>
      </c>
      <c r="J547" s="90">
        <v>-244697.65</v>
      </c>
      <c r="K547" s="90">
        <v>-17630.91</v>
      </c>
      <c r="L547" s="90">
        <v>0</v>
      </c>
      <c r="M547" s="90">
        <v>-152005.54</v>
      </c>
      <c r="N547" s="90">
        <v>-109036.85</v>
      </c>
      <c r="O547" s="90">
        <v>-437383.69</v>
      </c>
      <c r="P547" s="90">
        <v>2121895.4</v>
      </c>
      <c r="Q547" s="90">
        <v>-28804.33</v>
      </c>
      <c r="R547" s="90">
        <v>0</v>
      </c>
      <c r="S547" s="90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</row>
    <row r="548" spans="1:41" ht="12.75" customHeight="1" x14ac:dyDescent="0.25">
      <c r="D548" s="89" t="s">
        <v>86</v>
      </c>
      <c r="E548" s="89" t="s">
        <v>70</v>
      </c>
      <c r="F548" s="90">
        <v>2459860.0299999998</v>
      </c>
      <c r="G548" s="90">
        <v>709867.57</v>
      </c>
      <c r="H548" s="90">
        <v>402138.38</v>
      </c>
      <c r="I548" s="90">
        <v>215517.65</v>
      </c>
      <c r="J548" s="90">
        <v>-244697.65</v>
      </c>
      <c r="K548" s="90">
        <v>-17630.91</v>
      </c>
      <c r="L548" s="90">
        <v>0</v>
      </c>
      <c r="M548" s="90">
        <v>-152005.54</v>
      </c>
      <c r="N548" s="90">
        <v>-109036.85</v>
      </c>
      <c r="O548" s="90">
        <v>-437383.69</v>
      </c>
      <c r="P548" s="90">
        <v>2121895.4</v>
      </c>
      <c r="Q548" s="90">
        <v>-28804.33</v>
      </c>
      <c r="R548" s="90">
        <v>0</v>
      </c>
      <c r="S548" s="90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</row>
    <row r="549" spans="1:41" ht="12.75" customHeight="1" x14ac:dyDescent="0.25">
      <c r="E549" s="89" t="s">
        <v>73</v>
      </c>
      <c r="F549" s="90">
        <v>79419817.370000005</v>
      </c>
      <c r="G549" s="90">
        <v>15404559.300000001</v>
      </c>
      <c r="H549" s="90">
        <v>8757302.6400000006</v>
      </c>
      <c r="I549" s="90">
        <v>4758799.7300000004</v>
      </c>
      <c r="J549" s="90">
        <v>1342820.06</v>
      </c>
      <c r="K549" s="90">
        <v>41036.71</v>
      </c>
      <c r="L549" s="90">
        <v>0</v>
      </c>
      <c r="M549" s="90">
        <v>357948.17</v>
      </c>
      <c r="N549" s="90">
        <v>413932.09</v>
      </c>
      <c r="O549" s="90">
        <v>2225480.44</v>
      </c>
      <c r="P549" s="90">
        <v>46050982.399999999</v>
      </c>
      <c r="Q549" s="90">
        <v>66955.83</v>
      </c>
      <c r="R549" s="90">
        <v>0</v>
      </c>
      <c r="S549" s="90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</row>
    <row r="550" spans="1:41" ht="12.75" customHeight="1" x14ac:dyDescent="0.25">
      <c r="D550" s="89" t="s">
        <v>87</v>
      </c>
      <c r="E550" s="89" t="s">
        <v>70</v>
      </c>
      <c r="F550" s="90">
        <v>79419817.370000005</v>
      </c>
      <c r="G550" s="90">
        <v>15404559.300000001</v>
      </c>
      <c r="H550" s="90">
        <v>8757302.6400000006</v>
      </c>
      <c r="I550" s="90">
        <v>4758799.7300000004</v>
      </c>
      <c r="J550" s="90">
        <v>1342820.06</v>
      </c>
      <c r="K550" s="90">
        <v>41036.71</v>
      </c>
      <c r="L550" s="90">
        <v>0</v>
      </c>
      <c r="M550" s="90">
        <v>357948.17</v>
      </c>
      <c r="N550" s="90">
        <v>413932.09</v>
      </c>
      <c r="O550" s="90">
        <v>2225480.44</v>
      </c>
      <c r="P550" s="90">
        <v>46050982.399999999</v>
      </c>
      <c r="Q550" s="90">
        <v>66955.83</v>
      </c>
      <c r="R550" s="90">
        <v>0</v>
      </c>
      <c r="S550" s="9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</row>
    <row r="551" spans="1:41" s="94" customFormat="1" ht="12.75" customHeight="1" x14ac:dyDescent="0.25">
      <c r="C551" s="94" t="s">
        <v>119</v>
      </c>
      <c r="D551" s="94" t="s">
        <v>70</v>
      </c>
      <c r="E551" s="101"/>
      <c r="F551" s="93">
        <v>81691821.420000002</v>
      </c>
      <c r="G551" s="93">
        <v>16317844.720000001</v>
      </c>
      <c r="H551" s="93">
        <v>9277741.7400000002</v>
      </c>
      <c r="I551" s="93">
        <v>5036146.3899999997</v>
      </c>
      <c r="J551" s="93">
        <v>869315.07</v>
      </c>
      <c r="K551" s="93">
        <v>13110.24</v>
      </c>
      <c r="L551" s="93">
        <v>0</v>
      </c>
      <c r="M551" s="93">
        <v>115637.33</v>
      </c>
      <c r="N551" s="93">
        <v>176674.61</v>
      </c>
      <c r="O551" s="93">
        <v>1085634.23</v>
      </c>
      <c r="P551" s="93">
        <v>48778363.909999996</v>
      </c>
      <c r="Q551" s="93">
        <v>21353.18</v>
      </c>
      <c r="R551" s="93">
        <v>0</v>
      </c>
      <c r="S551" s="93">
        <v>0</v>
      </c>
      <c r="T551" s="94">
        <v>0</v>
      </c>
      <c r="U551" s="94">
        <v>0</v>
      </c>
      <c r="V551" s="94">
        <v>0</v>
      </c>
      <c r="W551" s="94">
        <v>0</v>
      </c>
      <c r="X551" s="94">
        <v>0</v>
      </c>
      <c r="Y551" s="94">
        <v>0</v>
      </c>
      <c r="Z551" s="94">
        <v>0</v>
      </c>
    </row>
    <row r="552" spans="1:41" s="226" customFormat="1" ht="12.75" customHeight="1" x14ac:dyDescent="0.25">
      <c r="B552" s="98" t="s">
        <v>112</v>
      </c>
      <c r="C552" s="98" t="s">
        <v>70</v>
      </c>
      <c r="F552" s="100">
        <v>-1036320522.4</v>
      </c>
      <c r="G552" s="100">
        <v>-18127869.609999999</v>
      </c>
      <c r="H552" s="100">
        <v>-10196309.01</v>
      </c>
      <c r="I552" s="100">
        <v>-5156876.09</v>
      </c>
      <c r="J552" s="100">
        <v>-275953901.64999998</v>
      </c>
      <c r="K552" s="100">
        <v>-10508036.91</v>
      </c>
      <c r="L552" s="100">
        <v>0</v>
      </c>
      <c r="M552" s="100">
        <v>-92200803.519999996</v>
      </c>
      <c r="N552" s="100">
        <v>-91479803.459999993</v>
      </c>
      <c r="O552" s="100">
        <v>-464255635.5</v>
      </c>
      <c r="P552" s="100">
        <v>-51297130.420000002</v>
      </c>
      <c r="Q552" s="100">
        <v>-17144156.23</v>
      </c>
      <c r="R552" s="100">
        <v>0</v>
      </c>
      <c r="S552" s="100">
        <v>0</v>
      </c>
      <c r="T552" s="226">
        <v>0</v>
      </c>
      <c r="U552" s="226">
        <v>0</v>
      </c>
      <c r="V552" s="226">
        <v>0</v>
      </c>
      <c r="W552" s="226">
        <v>0</v>
      </c>
      <c r="X552" s="226">
        <v>0</v>
      </c>
      <c r="Y552" s="226">
        <v>0</v>
      </c>
      <c r="Z552" s="226">
        <v>0</v>
      </c>
    </row>
    <row r="553" spans="1:41" ht="12.75" customHeight="1" x14ac:dyDescent="0.25">
      <c r="A553" s="89" t="s">
        <v>79</v>
      </c>
      <c r="B553" s="89" t="s">
        <v>70</v>
      </c>
      <c r="F553" s="90">
        <v>-1036296193.02</v>
      </c>
      <c r="G553" s="90">
        <v>-18125687.93</v>
      </c>
      <c r="H553" s="90">
        <v>-10195081.529999999</v>
      </c>
      <c r="I553" s="90">
        <v>-5156248.8099999996</v>
      </c>
      <c r="J553" s="90">
        <v>-275949671.87</v>
      </c>
      <c r="K553" s="90">
        <v>-10507931.51</v>
      </c>
      <c r="L553" s="90">
        <v>0</v>
      </c>
      <c r="M553" s="90">
        <v>-92199878.959999993</v>
      </c>
      <c r="N553" s="90">
        <v>-91478406.090000004</v>
      </c>
      <c r="O553" s="90">
        <v>-464248479.5</v>
      </c>
      <c r="P553" s="90">
        <v>-51290822.549999997</v>
      </c>
      <c r="Q553" s="90">
        <v>-17143984.27</v>
      </c>
      <c r="R553" s="90">
        <v>0</v>
      </c>
      <c r="S553" s="90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</row>
    <row r="554" spans="1:41" ht="12.75" customHeight="1" x14ac:dyDescent="0.25">
      <c r="A554" s="89" t="s">
        <v>70</v>
      </c>
      <c r="F554" s="90">
        <v>12048355264.040001</v>
      </c>
      <c r="G554" s="90">
        <v>710718610.08000004</v>
      </c>
      <c r="H554" s="90">
        <v>400662250.82999998</v>
      </c>
      <c r="I554" s="90">
        <v>210315646.84</v>
      </c>
      <c r="J554" s="90">
        <v>2488793784.0900002</v>
      </c>
      <c r="K554" s="90">
        <v>95130396.329999998</v>
      </c>
      <c r="L554" s="90">
        <v>14901729.33</v>
      </c>
      <c r="M554" s="90">
        <v>833979002.22000003</v>
      </c>
      <c r="N554" s="90">
        <v>817447070.27999997</v>
      </c>
      <c r="O554" s="90">
        <v>4207371784.8899999</v>
      </c>
      <c r="P554" s="90">
        <v>2113904425.29</v>
      </c>
      <c r="Q554" s="90">
        <v>155278328.47999999</v>
      </c>
      <c r="R554" s="90">
        <v>-147731.64000000001</v>
      </c>
      <c r="S554" s="90">
        <v>-0.19</v>
      </c>
      <c r="T554">
        <v>7.58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-40.369999999999997</v>
      </c>
    </row>
    <row r="555" spans="1:41" ht="12.75" customHeight="1" x14ac:dyDescent="0.25">
      <c r="A555" s="89"/>
      <c r="F555" s="90"/>
      <c r="G555" s="90"/>
      <c r="H555" s="90"/>
      <c r="I555" s="90"/>
      <c r="J555" s="90"/>
      <c r="K555" s="90"/>
      <c r="L555" s="90"/>
      <c r="M555" s="90"/>
      <c r="N555" s="90"/>
      <c r="O555" s="90"/>
      <c r="P555" s="90"/>
      <c r="Q555" s="90"/>
      <c r="R555" s="90"/>
      <c r="S555" s="90"/>
      <c r="T555" s="90"/>
      <c r="U555" s="90"/>
      <c r="V555" s="90"/>
      <c r="W555" s="90"/>
      <c r="X555" s="150"/>
    </row>
    <row r="556" spans="1:41" ht="12.75" customHeight="1" x14ac:dyDescent="0.25">
      <c r="A556" s="89"/>
      <c r="F556" s="90"/>
      <c r="G556" s="90"/>
      <c r="H556" s="90"/>
      <c r="I556" s="90"/>
      <c r="J556" s="90"/>
      <c r="K556" s="90"/>
      <c r="L556" s="90"/>
      <c r="M556" s="90"/>
      <c r="N556" s="90"/>
      <c r="O556" s="90"/>
      <c r="P556" s="90"/>
      <c r="Q556" s="90"/>
      <c r="R556" s="90"/>
      <c r="S556" s="90"/>
    </row>
    <row r="557" spans="1:41" ht="12.75" customHeight="1" x14ac:dyDescent="0.25">
      <c r="A557" s="89"/>
      <c r="F557" s="90"/>
      <c r="G557" s="90"/>
      <c r="H557" s="90"/>
      <c r="I557" s="90"/>
      <c r="J557" s="90"/>
      <c r="K557" s="90"/>
      <c r="L557" s="90"/>
      <c r="M557" s="90"/>
      <c r="N557" s="90"/>
      <c r="O557" s="90"/>
      <c r="P557" s="90"/>
      <c r="Q557" s="90"/>
      <c r="R557" s="90"/>
      <c r="S557" s="90"/>
    </row>
    <row r="558" spans="1:41" ht="12.75" customHeight="1" x14ac:dyDescent="0.25">
      <c r="C558" s="774" t="s">
        <v>2</v>
      </c>
      <c r="D558" s="771" t="s">
        <v>132</v>
      </c>
      <c r="E558" s="98" t="s">
        <v>70</v>
      </c>
      <c r="F558" s="100">
        <f>F552+F531-L531</f>
        <v>12033011685.710001</v>
      </c>
      <c r="G558" s="100">
        <f>G531</f>
        <v>728817640.58000004</v>
      </c>
      <c r="H558" s="100">
        <f t="shared" ref="H558:AO558" si="29">H531</f>
        <v>410843194.33999997</v>
      </c>
      <c r="I558" s="100">
        <f t="shared" si="29"/>
        <v>215464172.38</v>
      </c>
      <c r="J558" s="100">
        <f t="shared" si="29"/>
        <v>2764649544.23</v>
      </c>
      <c r="K558" s="100">
        <f t="shared" si="29"/>
        <v>105636037.55</v>
      </c>
      <c r="L558" s="100">
        <f t="shared" si="29"/>
        <v>14901729.33</v>
      </c>
      <c r="M558" s="100">
        <f t="shared" si="29"/>
        <v>926158791.84000003</v>
      </c>
      <c r="N558" s="100">
        <f t="shared" si="29"/>
        <v>908897384.00999999</v>
      </c>
      <c r="O558" s="100">
        <f t="shared" si="29"/>
        <v>4671478931.3900003</v>
      </c>
      <c r="P558" s="100">
        <f t="shared" si="29"/>
        <v>2165115703.0500002</v>
      </c>
      <c r="Q558" s="100">
        <f t="shared" si="29"/>
        <v>172418576.05000001</v>
      </c>
      <c r="R558" s="100">
        <f t="shared" si="29"/>
        <v>-147734.32999999999</v>
      </c>
      <c r="S558" s="100">
        <f t="shared" si="29"/>
        <v>-0.19</v>
      </c>
      <c r="T558" s="100">
        <f t="shared" si="29"/>
        <v>7.58</v>
      </c>
      <c r="U558" s="100">
        <f t="shared" si="29"/>
        <v>0</v>
      </c>
      <c r="V558" s="100">
        <f t="shared" si="29"/>
        <v>0</v>
      </c>
      <c r="W558" s="100">
        <f t="shared" si="29"/>
        <v>0</v>
      </c>
      <c r="X558" s="100">
        <f t="shared" si="29"/>
        <v>0</v>
      </c>
      <c r="Y558" s="100">
        <f t="shared" si="29"/>
        <v>0</v>
      </c>
      <c r="Z558" s="100">
        <f t="shared" si="29"/>
        <v>-40.369999999999997</v>
      </c>
      <c r="AA558" s="100">
        <f t="shared" si="29"/>
        <v>0</v>
      </c>
      <c r="AB558" s="100">
        <f t="shared" si="29"/>
        <v>0</v>
      </c>
      <c r="AC558" s="100">
        <f t="shared" si="29"/>
        <v>0</v>
      </c>
      <c r="AD558" s="100">
        <f t="shared" si="29"/>
        <v>0</v>
      </c>
      <c r="AE558" s="100">
        <f t="shared" si="29"/>
        <v>0</v>
      </c>
      <c r="AF558" s="100">
        <f t="shared" si="29"/>
        <v>0</v>
      </c>
      <c r="AG558" s="100">
        <f t="shared" si="29"/>
        <v>0</v>
      </c>
      <c r="AH558" s="100">
        <f t="shared" si="29"/>
        <v>0</v>
      </c>
      <c r="AI558" s="100">
        <f t="shared" si="29"/>
        <v>0</v>
      </c>
      <c r="AJ558" s="100">
        <f t="shared" si="29"/>
        <v>0</v>
      </c>
      <c r="AK558" s="100">
        <f t="shared" si="29"/>
        <v>0</v>
      </c>
      <c r="AL558" s="100">
        <f t="shared" si="29"/>
        <v>0</v>
      </c>
      <c r="AM558" s="100">
        <f t="shared" si="29"/>
        <v>0</v>
      </c>
      <c r="AN558" s="100">
        <f t="shared" si="29"/>
        <v>0</v>
      </c>
      <c r="AO558" s="100">
        <f t="shared" si="29"/>
        <v>0</v>
      </c>
    </row>
    <row r="559" spans="1:41" ht="12.75" customHeight="1" x14ac:dyDescent="0.25">
      <c r="C559" s="774"/>
      <c r="D559" s="771"/>
      <c r="E559" s="98" t="s">
        <v>73</v>
      </c>
      <c r="F559" s="100">
        <f>F552</f>
        <v>-1036320522.4</v>
      </c>
      <c r="G559" s="90"/>
      <c r="H559" s="90"/>
      <c r="I559" s="90"/>
      <c r="J559" s="90"/>
      <c r="K559" s="90"/>
      <c r="L559" s="90"/>
      <c r="M559" s="90"/>
      <c r="N559" s="90"/>
      <c r="O559" s="90"/>
      <c r="P559" s="90"/>
      <c r="Q559" s="90"/>
      <c r="R559" s="90"/>
      <c r="S559" s="90"/>
    </row>
    <row r="560" spans="1:41" ht="12.75" customHeight="1" x14ac:dyDescent="0.25">
      <c r="C560" s="774"/>
      <c r="D560" s="771" t="s">
        <v>133</v>
      </c>
      <c r="E560" s="233" t="s">
        <v>70</v>
      </c>
      <c r="F560" s="234">
        <f>F538+F512-L512</f>
        <v>441849</v>
      </c>
      <c r="G560" s="234">
        <f>G512</f>
        <v>26657.43</v>
      </c>
      <c r="H560" s="234">
        <f t="shared" ref="H560:AO560" si="30">H512</f>
        <v>14138.02</v>
      </c>
      <c r="I560" s="234">
        <f t="shared" si="30"/>
        <v>7723.27</v>
      </c>
      <c r="J560" s="234">
        <f t="shared" si="30"/>
        <v>93911.73</v>
      </c>
      <c r="K560" s="234">
        <f t="shared" si="30"/>
        <v>2290.29</v>
      </c>
      <c r="L560" s="234">
        <f t="shared" si="30"/>
        <v>0</v>
      </c>
      <c r="M560" s="234">
        <f t="shared" si="30"/>
        <v>20089.34</v>
      </c>
      <c r="N560" s="234">
        <f t="shared" si="30"/>
        <v>28092.36</v>
      </c>
      <c r="O560" s="234">
        <f t="shared" si="30"/>
        <v>141333</v>
      </c>
      <c r="P560" s="234">
        <f t="shared" si="30"/>
        <v>79544.789999999994</v>
      </c>
      <c r="Q560" s="234">
        <f t="shared" si="30"/>
        <v>3736.7</v>
      </c>
      <c r="R560" s="234">
        <f t="shared" si="30"/>
        <v>2.69</v>
      </c>
      <c r="S560" s="234">
        <f t="shared" si="30"/>
        <v>0</v>
      </c>
      <c r="T560" s="234">
        <f t="shared" si="30"/>
        <v>0</v>
      </c>
      <c r="U560" s="234">
        <f t="shared" si="30"/>
        <v>0</v>
      </c>
      <c r="V560" s="234">
        <f t="shared" si="30"/>
        <v>0</v>
      </c>
      <c r="W560" s="234">
        <f t="shared" si="30"/>
        <v>0</v>
      </c>
      <c r="X560" s="234">
        <f t="shared" si="30"/>
        <v>0</v>
      </c>
      <c r="Y560" s="234">
        <f t="shared" si="30"/>
        <v>0</v>
      </c>
      <c r="Z560" s="234">
        <f t="shared" si="30"/>
        <v>0</v>
      </c>
      <c r="AA560" s="234">
        <f t="shared" si="30"/>
        <v>0</v>
      </c>
      <c r="AB560" s="234">
        <f t="shared" si="30"/>
        <v>0</v>
      </c>
      <c r="AC560" s="234">
        <f t="shared" si="30"/>
        <v>0</v>
      </c>
      <c r="AD560" s="234">
        <f t="shared" si="30"/>
        <v>0</v>
      </c>
      <c r="AE560" s="234">
        <f t="shared" si="30"/>
        <v>0</v>
      </c>
      <c r="AF560" s="234">
        <f t="shared" si="30"/>
        <v>0</v>
      </c>
      <c r="AG560" s="234">
        <f t="shared" si="30"/>
        <v>0</v>
      </c>
      <c r="AH560" s="234">
        <f t="shared" si="30"/>
        <v>0</v>
      </c>
      <c r="AI560" s="234">
        <f t="shared" si="30"/>
        <v>0</v>
      </c>
      <c r="AJ560" s="234">
        <f t="shared" si="30"/>
        <v>0</v>
      </c>
      <c r="AK560" s="234">
        <f t="shared" si="30"/>
        <v>0</v>
      </c>
      <c r="AL560" s="234">
        <f t="shared" si="30"/>
        <v>0</v>
      </c>
      <c r="AM560" s="234">
        <f t="shared" si="30"/>
        <v>0</v>
      </c>
      <c r="AN560" s="234">
        <f t="shared" si="30"/>
        <v>0</v>
      </c>
      <c r="AO560" s="234">
        <f t="shared" si="30"/>
        <v>0</v>
      </c>
    </row>
    <row r="561" spans="1:41" ht="12.75" customHeight="1" x14ac:dyDescent="0.25">
      <c r="C561" s="774"/>
      <c r="D561" s="771"/>
      <c r="E561" s="233" t="s">
        <v>73</v>
      </c>
      <c r="F561" s="234">
        <f>F538</f>
        <v>24329.38</v>
      </c>
      <c r="G561" s="90"/>
      <c r="H561" s="90"/>
      <c r="I561" s="90"/>
      <c r="J561" s="90"/>
      <c r="K561" s="90"/>
      <c r="L561" s="90"/>
      <c r="M561" s="90"/>
      <c r="N561" s="90"/>
      <c r="O561" s="90"/>
      <c r="P561" s="90"/>
      <c r="Q561" s="90"/>
      <c r="R561" s="90"/>
    </row>
    <row r="562" spans="1:41" ht="12.75" customHeight="1" x14ac:dyDescent="0.3">
      <c r="A562" s="89"/>
      <c r="C562" s="97"/>
      <c r="F562" s="90"/>
      <c r="G562" s="90"/>
      <c r="H562" s="90"/>
      <c r="I562" s="90"/>
      <c r="J562" s="90"/>
      <c r="K562" s="90"/>
      <c r="L562" s="90"/>
      <c r="M562" s="90"/>
      <c r="N562" s="90"/>
      <c r="O562" s="90"/>
      <c r="P562" s="90"/>
      <c r="Q562" s="90"/>
      <c r="R562" s="90"/>
      <c r="S562" s="90"/>
    </row>
    <row r="563" spans="1:41" ht="12.75" customHeight="1" x14ac:dyDescent="0.25">
      <c r="C563" s="774" t="s">
        <v>160</v>
      </c>
      <c r="D563" s="771" t="s">
        <v>132</v>
      </c>
      <c r="E563" s="223" t="s">
        <v>70</v>
      </c>
      <c r="F563" s="225">
        <v>0</v>
      </c>
      <c r="G563" s="225">
        <v>0</v>
      </c>
      <c r="H563" s="225">
        <v>0</v>
      </c>
      <c r="I563" s="225">
        <v>0</v>
      </c>
      <c r="J563" s="225">
        <v>0</v>
      </c>
      <c r="K563" s="225">
        <v>0</v>
      </c>
      <c r="L563" s="225">
        <v>0</v>
      </c>
      <c r="M563" s="225">
        <v>0</v>
      </c>
      <c r="N563" s="225">
        <v>0</v>
      </c>
      <c r="O563" s="225">
        <v>0</v>
      </c>
      <c r="P563" s="225">
        <v>0</v>
      </c>
      <c r="Q563" s="225">
        <v>0</v>
      </c>
      <c r="R563" s="225">
        <v>0</v>
      </c>
      <c r="S563" s="225">
        <v>0</v>
      </c>
      <c r="T563" s="225">
        <v>0</v>
      </c>
      <c r="U563" s="225"/>
      <c r="V563" s="225"/>
      <c r="W563" s="225"/>
      <c r="X563" s="225">
        <v>0</v>
      </c>
      <c r="Y563" s="225">
        <v>0</v>
      </c>
      <c r="Z563" s="225">
        <v>0</v>
      </c>
      <c r="AA563" s="225">
        <v>0</v>
      </c>
      <c r="AB563" s="225">
        <v>0</v>
      </c>
      <c r="AC563" s="225">
        <v>0</v>
      </c>
      <c r="AD563" s="225">
        <v>0</v>
      </c>
      <c r="AE563" s="225">
        <v>0</v>
      </c>
      <c r="AF563" s="225">
        <v>0</v>
      </c>
      <c r="AG563" s="225">
        <v>0</v>
      </c>
      <c r="AH563" s="225">
        <v>0</v>
      </c>
      <c r="AI563" s="225">
        <v>0</v>
      </c>
      <c r="AJ563" s="225">
        <v>0</v>
      </c>
      <c r="AK563" s="225">
        <v>0</v>
      </c>
      <c r="AL563" s="225">
        <v>0</v>
      </c>
      <c r="AM563" s="225">
        <v>0</v>
      </c>
      <c r="AN563" s="225">
        <v>0</v>
      </c>
      <c r="AO563" s="225">
        <v>0</v>
      </c>
    </row>
    <row r="564" spans="1:41" ht="12.75" customHeight="1" x14ac:dyDescent="0.25">
      <c r="C564" s="774"/>
      <c r="D564" s="771"/>
      <c r="E564" s="223" t="s">
        <v>73</v>
      </c>
      <c r="F564" s="225">
        <v>0</v>
      </c>
      <c r="G564" s="90"/>
      <c r="H564" s="90"/>
      <c r="I564" s="90"/>
      <c r="J564" s="90"/>
      <c r="K564" s="90"/>
      <c r="L564" s="90"/>
      <c r="M564" s="90"/>
      <c r="N564" s="90"/>
      <c r="O564" s="90"/>
      <c r="P564" s="90"/>
      <c r="Q564" s="90"/>
      <c r="R564" s="90"/>
      <c r="S564" s="90"/>
    </row>
    <row r="565" spans="1:41" ht="12.75" customHeight="1" x14ac:dyDescent="0.25">
      <c r="C565" s="774"/>
      <c r="D565" s="771" t="s">
        <v>133</v>
      </c>
      <c r="E565" s="227" t="s">
        <v>70</v>
      </c>
      <c r="F565" s="228">
        <v>0</v>
      </c>
      <c r="G565" s="228">
        <v>0</v>
      </c>
      <c r="H565" s="228">
        <v>0</v>
      </c>
      <c r="I565" s="228">
        <v>0</v>
      </c>
      <c r="J565" s="228">
        <v>0</v>
      </c>
      <c r="K565" s="228">
        <v>0</v>
      </c>
      <c r="L565" s="228">
        <v>0</v>
      </c>
      <c r="M565" s="228">
        <v>0</v>
      </c>
      <c r="N565" s="228">
        <v>0</v>
      </c>
      <c r="O565" s="228">
        <v>0</v>
      </c>
      <c r="P565" s="228">
        <v>0</v>
      </c>
      <c r="Q565" s="228">
        <v>0</v>
      </c>
      <c r="R565" s="228">
        <v>0</v>
      </c>
      <c r="S565" s="228">
        <v>0</v>
      </c>
      <c r="T565" s="228">
        <v>0</v>
      </c>
      <c r="U565" s="228"/>
      <c r="V565" s="228"/>
      <c r="W565" s="228"/>
      <c r="X565" s="228">
        <v>0</v>
      </c>
      <c r="Y565" s="228">
        <v>0</v>
      </c>
      <c r="Z565" s="228">
        <v>0</v>
      </c>
      <c r="AA565" s="228">
        <v>0</v>
      </c>
      <c r="AB565" s="228">
        <v>0</v>
      </c>
      <c r="AC565" s="228">
        <v>0</v>
      </c>
      <c r="AD565" s="228">
        <v>0</v>
      </c>
      <c r="AE565" s="228">
        <v>0</v>
      </c>
      <c r="AF565" s="228">
        <v>0</v>
      </c>
      <c r="AG565" s="228">
        <v>0</v>
      </c>
      <c r="AH565" s="228">
        <v>0</v>
      </c>
      <c r="AI565" s="228">
        <v>0</v>
      </c>
      <c r="AJ565" s="228">
        <v>0</v>
      </c>
      <c r="AK565" s="228">
        <v>0</v>
      </c>
      <c r="AL565" s="228">
        <v>0</v>
      </c>
      <c r="AM565" s="228">
        <v>0</v>
      </c>
      <c r="AN565" s="228">
        <v>0</v>
      </c>
      <c r="AO565" s="228">
        <v>0</v>
      </c>
    </row>
    <row r="566" spans="1:41" ht="12.75" customHeight="1" x14ac:dyDescent="0.25">
      <c r="C566" s="774"/>
      <c r="D566" s="771"/>
      <c r="E566" s="227" t="s">
        <v>73</v>
      </c>
      <c r="F566" s="228">
        <v>0</v>
      </c>
      <c r="G566" s="90"/>
      <c r="H566" s="90"/>
      <c r="I566" s="90"/>
      <c r="J566" s="90"/>
      <c r="K566" s="90"/>
      <c r="L566" s="90"/>
      <c r="M566" s="90"/>
      <c r="N566" s="90"/>
      <c r="O566" s="90"/>
      <c r="P566" s="90"/>
      <c r="Q566" s="90"/>
      <c r="R566" s="90"/>
    </row>
    <row r="567" spans="1:41" ht="12.75" customHeight="1" x14ac:dyDescent="0.3">
      <c r="A567" s="89"/>
      <c r="C567" s="97"/>
      <c r="F567" s="90"/>
      <c r="G567" s="90"/>
      <c r="H567" s="90"/>
      <c r="I567" s="90"/>
      <c r="J567" s="90"/>
      <c r="K567" s="90"/>
      <c r="L567" s="90"/>
      <c r="M567" s="90"/>
      <c r="N567" s="90"/>
      <c r="O567" s="90"/>
      <c r="P567" s="90"/>
      <c r="Q567" s="90"/>
      <c r="R567" s="90"/>
      <c r="S567" s="90"/>
    </row>
    <row r="568" spans="1:41" ht="12.75" customHeight="1" x14ac:dyDescent="0.25">
      <c r="C568" s="774" t="s">
        <v>155</v>
      </c>
      <c r="D568" s="771" t="s">
        <v>132</v>
      </c>
      <c r="E568" s="221" t="s">
        <v>70</v>
      </c>
      <c r="F568" s="222">
        <f>F541+F516-L516</f>
        <v>11701157844.9</v>
      </c>
      <c r="G568" s="222">
        <f>G516</f>
        <v>696844795.02999997</v>
      </c>
      <c r="H568" s="222">
        <f t="shared" ref="H568:AO568" si="31">H516</f>
        <v>392989640.31</v>
      </c>
      <c r="I568" s="222">
        <f t="shared" si="31"/>
        <v>206069582.44999999</v>
      </c>
      <c r="J568" s="222">
        <f t="shared" si="31"/>
        <v>2740722350.5100002</v>
      </c>
      <c r="K568" s="222">
        <f t="shared" si="31"/>
        <v>104578894.56</v>
      </c>
      <c r="L568" s="222">
        <f t="shared" si="31"/>
        <v>8997077.0999999996</v>
      </c>
      <c r="M568" s="222">
        <f t="shared" si="31"/>
        <v>916904609.30999994</v>
      </c>
      <c r="N568" s="222">
        <f t="shared" si="31"/>
        <v>898289087.46000004</v>
      </c>
      <c r="O568" s="222">
        <f t="shared" si="31"/>
        <v>4616985820.4700003</v>
      </c>
      <c r="P568" s="222">
        <f t="shared" si="31"/>
        <v>2070281460.76</v>
      </c>
      <c r="Q568" s="222">
        <f t="shared" si="31"/>
        <v>170680332.09999999</v>
      </c>
      <c r="R568" s="222">
        <f t="shared" si="31"/>
        <v>-147148.47</v>
      </c>
      <c r="S568" s="222">
        <f t="shared" si="31"/>
        <v>0</v>
      </c>
      <c r="T568" s="222">
        <f t="shared" si="31"/>
        <v>7.04</v>
      </c>
      <c r="U568" s="222">
        <f t="shared" si="31"/>
        <v>0</v>
      </c>
      <c r="V568" s="222">
        <f t="shared" si="31"/>
        <v>0</v>
      </c>
      <c r="W568" s="222">
        <f t="shared" si="31"/>
        <v>0</v>
      </c>
      <c r="X568" s="222">
        <f t="shared" si="31"/>
        <v>0</v>
      </c>
      <c r="Y568" s="222">
        <f t="shared" si="31"/>
        <v>0</v>
      </c>
      <c r="Z568" s="222">
        <f t="shared" si="31"/>
        <v>-40.369999999999997</v>
      </c>
      <c r="AA568" s="222">
        <f t="shared" si="31"/>
        <v>0</v>
      </c>
      <c r="AB568" s="222">
        <f t="shared" si="31"/>
        <v>0</v>
      </c>
      <c r="AC568" s="222">
        <f t="shared" si="31"/>
        <v>0</v>
      </c>
      <c r="AD568" s="222">
        <f t="shared" si="31"/>
        <v>0</v>
      </c>
      <c r="AE568" s="222">
        <f t="shared" si="31"/>
        <v>0</v>
      </c>
      <c r="AF568" s="222">
        <f t="shared" si="31"/>
        <v>0</v>
      </c>
      <c r="AG568" s="222">
        <f t="shared" si="31"/>
        <v>0</v>
      </c>
      <c r="AH568" s="222">
        <f t="shared" si="31"/>
        <v>0</v>
      </c>
      <c r="AI568" s="222">
        <f t="shared" si="31"/>
        <v>0</v>
      </c>
      <c r="AJ568" s="222">
        <f t="shared" si="31"/>
        <v>0</v>
      </c>
      <c r="AK568" s="222">
        <f t="shared" si="31"/>
        <v>0</v>
      </c>
      <c r="AL568" s="222">
        <f t="shared" si="31"/>
        <v>0</v>
      </c>
      <c r="AM568" s="222">
        <f t="shared" si="31"/>
        <v>0</v>
      </c>
      <c r="AN568" s="222">
        <f t="shared" si="31"/>
        <v>0</v>
      </c>
      <c r="AO568" s="222">
        <f t="shared" si="31"/>
        <v>0</v>
      </c>
    </row>
    <row r="569" spans="1:41" ht="12.75" customHeight="1" x14ac:dyDescent="0.25">
      <c r="C569" s="774"/>
      <c r="D569" s="771"/>
      <c r="E569" s="221" t="s">
        <v>73</v>
      </c>
      <c r="F569" s="222">
        <f>F541</f>
        <v>-1113041546.26</v>
      </c>
      <c r="G569" s="90"/>
      <c r="H569" s="90"/>
      <c r="I569" s="90"/>
      <c r="J569" s="90"/>
      <c r="K569" s="90"/>
      <c r="L569" s="90"/>
      <c r="M569" s="90"/>
      <c r="N569" s="90"/>
      <c r="O569" s="90"/>
      <c r="P569" s="90"/>
      <c r="Q569" s="90"/>
      <c r="R569" s="90"/>
      <c r="S569" s="90"/>
    </row>
    <row r="570" spans="1:41" ht="12.75" customHeight="1" x14ac:dyDescent="0.25">
      <c r="C570" s="774"/>
      <c r="D570" s="771" t="s">
        <v>133</v>
      </c>
      <c r="E570" s="242" t="s">
        <v>70</v>
      </c>
      <c r="F570" s="243">
        <v>0</v>
      </c>
      <c r="G570" s="243">
        <v>0</v>
      </c>
      <c r="H570" s="243">
        <v>0</v>
      </c>
      <c r="I570" s="243">
        <v>0</v>
      </c>
      <c r="J570" s="243">
        <v>0</v>
      </c>
      <c r="K570" s="243">
        <v>0</v>
      </c>
      <c r="L570" s="243">
        <v>0</v>
      </c>
      <c r="M570" s="243">
        <v>0</v>
      </c>
      <c r="N570" s="243">
        <v>0</v>
      </c>
      <c r="O570" s="243">
        <v>0</v>
      </c>
      <c r="P570" s="243">
        <v>0</v>
      </c>
      <c r="Q570" s="243">
        <v>0</v>
      </c>
      <c r="R570" s="243">
        <v>0</v>
      </c>
      <c r="S570" s="243">
        <v>0</v>
      </c>
      <c r="T570" s="243">
        <v>0</v>
      </c>
      <c r="U570" s="243">
        <v>0</v>
      </c>
      <c r="V570" s="243">
        <v>0</v>
      </c>
      <c r="W570" s="243">
        <v>0</v>
      </c>
      <c r="X570" s="243">
        <v>0</v>
      </c>
      <c r="Y570" s="243">
        <v>0</v>
      </c>
      <c r="Z570" s="243">
        <v>0</v>
      </c>
      <c r="AA570" s="243">
        <v>0</v>
      </c>
      <c r="AB570" s="243">
        <v>0</v>
      </c>
      <c r="AC570" s="243">
        <v>0</v>
      </c>
      <c r="AD570" s="243">
        <v>0</v>
      </c>
      <c r="AE570" s="243">
        <v>0</v>
      </c>
      <c r="AF570" s="243">
        <v>0</v>
      </c>
      <c r="AG570" s="243">
        <v>0</v>
      </c>
      <c r="AH570" s="243">
        <v>0</v>
      </c>
      <c r="AI570" s="243">
        <v>0</v>
      </c>
      <c r="AJ570" s="243">
        <v>0</v>
      </c>
      <c r="AK570" s="243">
        <v>0</v>
      </c>
      <c r="AL570" s="243">
        <v>0</v>
      </c>
      <c r="AM570" s="243">
        <v>0</v>
      </c>
      <c r="AN570" s="243">
        <v>0</v>
      </c>
      <c r="AO570" s="243">
        <v>0</v>
      </c>
    </row>
    <row r="571" spans="1:41" ht="12.75" customHeight="1" x14ac:dyDescent="0.25">
      <c r="C571" s="774"/>
      <c r="D571" s="771"/>
      <c r="E571" s="242" t="s">
        <v>73</v>
      </c>
      <c r="F571" s="243">
        <v>0</v>
      </c>
      <c r="G571" s="90"/>
      <c r="H571" s="90"/>
      <c r="I571" s="90"/>
      <c r="J571" s="90"/>
      <c r="K571" s="90"/>
      <c r="L571" s="90"/>
      <c r="M571" s="90"/>
      <c r="N571" s="90"/>
      <c r="O571" s="90"/>
      <c r="P571" s="90"/>
      <c r="Q571" s="90"/>
      <c r="R571" s="90"/>
    </row>
    <row r="572" spans="1:41" ht="12.75" customHeight="1" x14ac:dyDescent="0.3">
      <c r="A572" s="89"/>
      <c r="C572" s="97"/>
      <c r="F572" s="90"/>
      <c r="G572" s="90"/>
      <c r="H572" s="90"/>
      <c r="I572" s="90"/>
      <c r="J572" s="90"/>
      <c r="K572" s="90"/>
      <c r="L572" s="90"/>
      <c r="M572" s="90"/>
      <c r="N572" s="90"/>
      <c r="O572" s="90"/>
      <c r="P572" s="90"/>
      <c r="Q572" s="90"/>
      <c r="R572" s="90"/>
      <c r="S572" s="90"/>
    </row>
    <row r="573" spans="1:41" ht="12.75" customHeight="1" x14ac:dyDescent="0.25">
      <c r="C573" s="772" t="s">
        <v>328</v>
      </c>
      <c r="D573" s="771" t="s">
        <v>132</v>
      </c>
      <c r="E573" s="373" t="s">
        <v>70</v>
      </c>
      <c r="F573" s="374">
        <f>F544+F520-L520</f>
        <v>26864220</v>
      </c>
      <c r="G573" s="374">
        <f>G520</f>
        <v>1901488.25</v>
      </c>
      <c r="H573" s="374">
        <f t="shared" ref="H573:AO573" si="32">H520</f>
        <v>1046824.27</v>
      </c>
      <c r="I573" s="374">
        <f t="shared" si="32"/>
        <v>567773.57999999996</v>
      </c>
      <c r="J573" s="374">
        <f t="shared" si="32"/>
        <v>6845302.7000000002</v>
      </c>
      <c r="K573" s="374">
        <f t="shared" si="32"/>
        <v>247794.92</v>
      </c>
      <c r="L573" s="374">
        <f>L520</f>
        <v>0</v>
      </c>
      <c r="M573" s="374">
        <f t="shared" si="32"/>
        <v>2162004.0299999998</v>
      </c>
      <c r="N573" s="374">
        <f t="shared" si="32"/>
        <v>2129267.87</v>
      </c>
      <c r="O573" s="374">
        <f t="shared" si="32"/>
        <v>11087908.49</v>
      </c>
      <c r="P573" s="374">
        <f t="shared" si="32"/>
        <v>5438800.2300000004</v>
      </c>
      <c r="Q573" s="374">
        <f t="shared" si="32"/>
        <v>407765.67</v>
      </c>
      <c r="R573" s="374">
        <f t="shared" si="32"/>
        <v>87.55</v>
      </c>
      <c r="S573" s="374">
        <f t="shared" si="32"/>
        <v>0</v>
      </c>
      <c r="T573" s="374">
        <f t="shared" si="32"/>
        <v>0</v>
      </c>
      <c r="U573" s="374">
        <f t="shared" si="32"/>
        <v>0</v>
      </c>
      <c r="V573" s="374">
        <f t="shared" si="32"/>
        <v>0</v>
      </c>
      <c r="W573" s="374">
        <f t="shared" si="32"/>
        <v>0</v>
      </c>
      <c r="X573" s="374">
        <f t="shared" si="32"/>
        <v>0</v>
      </c>
      <c r="Y573" s="374">
        <f t="shared" si="32"/>
        <v>0</v>
      </c>
      <c r="Z573" s="374">
        <f t="shared" si="32"/>
        <v>0</v>
      </c>
      <c r="AA573" s="374">
        <f t="shared" si="32"/>
        <v>0</v>
      </c>
      <c r="AB573" s="374">
        <f t="shared" si="32"/>
        <v>0</v>
      </c>
      <c r="AC573" s="374">
        <f t="shared" si="32"/>
        <v>0</v>
      </c>
      <c r="AD573" s="374">
        <f t="shared" si="32"/>
        <v>0</v>
      </c>
      <c r="AE573" s="374">
        <f t="shared" si="32"/>
        <v>0</v>
      </c>
      <c r="AF573" s="374">
        <f t="shared" si="32"/>
        <v>0</v>
      </c>
      <c r="AG573" s="374">
        <f t="shared" si="32"/>
        <v>0</v>
      </c>
      <c r="AH573" s="374">
        <f t="shared" si="32"/>
        <v>0</v>
      </c>
      <c r="AI573" s="374">
        <f t="shared" si="32"/>
        <v>0</v>
      </c>
      <c r="AJ573" s="374">
        <f t="shared" si="32"/>
        <v>0</v>
      </c>
      <c r="AK573" s="374">
        <f t="shared" si="32"/>
        <v>0</v>
      </c>
      <c r="AL573" s="374">
        <f t="shared" si="32"/>
        <v>0</v>
      </c>
      <c r="AM573" s="374">
        <f t="shared" si="32"/>
        <v>0</v>
      </c>
      <c r="AN573" s="374">
        <f t="shared" si="32"/>
        <v>0</v>
      </c>
      <c r="AO573" s="374">
        <f t="shared" si="32"/>
        <v>0</v>
      </c>
    </row>
    <row r="574" spans="1:41" ht="12.75" customHeight="1" x14ac:dyDescent="0.25">
      <c r="C574" s="772"/>
      <c r="D574" s="771"/>
      <c r="E574" s="373" t="s">
        <v>73</v>
      </c>
      <c r="F574" s="374">
        <f>F544</f>
        <v>-4970797.5599999996</v>
      </c>
      <c r="G574" s="90"/>
      <c r="H574" s="90"/>
      <c r="I574" s="90"/>
      <c r="J574" s="90"/>
      <c r="K574" s="90"/>
      <c r="L574" s="90"/>
      <c r="M574" s="90"/>
      <c r="N574" s="90"/>
      <c r="O574" s="90"/>
      <c r="P574" s="90"/>
      <c r="Q574" s="90"/>
      <c r="R574" s="90"/>
      <c r="S574" s="90"/>
    </row>
    <row r="575" spans="1:41" ht="12.75" customHeight="1" x14ac:dyDescent="0.25">
      <c r="C575" s="772"/>
      <c r="D575" s="771" t="s">
        <v>133</v>
      </c>
      <c r="E575" s="242" t="s">
        <v>70</v>
      </c>
      <c r="F575" s="243">
        <v>0</v>
      </c>
      <c r="G575" s="243">
        <v>0</v>
      </c>
      <c r="H575" s="243">
        <v>0</v>
      </c>
      <c r="I575" s="243">
        <v>0</v>
      </c>
      <c r="J575" s="243">
        <v>0</v>
      </c>
      <c r="K575" s="243">
        <v>0</v>
      </c>
      <c r="L575" s="243">
        <v>0</v>
      </c>
      <c r="M575" s="243">
        <v>0</v>
      </c>
      <c r="N575" s="243">
        <v>0</v>
      </c>
      <c r="O575" s="243">
        <v>0</v>
      </c>
      <c r="P575" s="243">
        <v>0</v>
      </c>
      <c r="Q575" s="243">
        <v>0</v>
      </c>
      <c r="R575" s="243">
        <v>0</v>
      </c>
      <c r="S575" s="243">
        <v>0</v>
      </c>
      <c r="T575" s="243">
        <v>0</v>
      </c>
      <c r="U575" s="243">
        <v>0</v>
      </c>
      <c r="V575" s="243">
        <v>0</v>
      </c>
      <c r="W575" s="243">
        <v>0</v>
      </c>
      <c r="X575" s="243">
        <v>0</v>
      </c>
      <c r="Y575" s="243">
        <v>0</v>
      </c>
      <c r="Z575" s="243">
        <v>0</v>
      </c>
      <c r="AA575" s="243">
        <v>0</v>
      </c>
      <c r="AB575" s="243">
        <v>0</v>
      </c>
      <c r="AC575" s="243">
        <v>0</v>
      </c>
      <c r="AD575" s="243">
        <v>0</v>
      </c>
      <c r="AE575" s="243">
        <v>0</v>
      </c>
      <c r="AF575" s="243">
        <v>0</v>
      </c>
      <c r="AG575" s="243">
        <v>0</v>
      </c>
      <c r="AH575" s="243">
        <v>0</v>
      </c>
      <c r="AI575" s="243">
        <v>0</v>
      </c>
      <c r="AJ575" s="243">
        <v>0</v>
      </c>
      <c r="AK575" s="243">
        <v>0</v>
      </c>
      <c r="AL575" s="243">
        <v>0</v>
      </c>
      <c r="AM575" s="243">
        <v>0</v>
      </c>
      <c r="AN575" s="243">
        <v>0</v>
      </c>
      <c r="AO575" s="243">
        <v>0</v>
      </c>
    </row>
    <row r="576" spans="1:41" ht="12.75" customHeight="1" x14ac:dyDescent="0.25">
      <c r="C576" s="772"/>
      <c r="D576" s="771"/>
      <c r="E576" s="242" t="s">
        <v>73</v>
      </c>
      <c r="F576" s="243">
        <v>0</v>
      </c>
      <c r="G576" s="90"/>
      <c r="H576" s="90"/>
      <c r="I576" s="90"/>
      <c r="J576" s="90"/>
      <c r="K576" s="90"/>
      <c r="L576" s="90"/>
      <c r="M576" s="90"/>
      <c r="N576" s="90"/>
      <c r="O576" s="90"/>
      <c r="P576" s="90"/>
      <c r="Q576" s="90"/>
      <c r="R576" s="90"/>
    </row>
    <row r="577" spans="1:41" ht="12.75" customHeight="1" x14ac:dyDescent="0.25">
      <c r="C577" s="720"/>
      <c r="D577" s="220"/>
      <c r="E577" s="89"/>
      <c r="F577" s="90"/>
      <c r="G577" s="90"/>
      <c r="H577" s="90"/>
      <c r="I577" s="90"/>
      <c r="J577" s="90"/>
      <c r="K577" s="90"/>
      <c r="L577" s="90"/>
      <c r="M577" s="90"/>
      <c r="N577" s="90"/>
      <c r="O577" s="90"/>
      <c r="P577" s="90"/>
      <c r="Q577" s="90"/>
      <c r="R577" s="90"/>
    </row>
    <row r="578" spans="1:41" ht="12.75" customHeight="1" x14ac:dyDescent="0.25">
      <c r="C578" s="774" t="s">
        <v>119</v>
      </c>
      <c r="D578" s="771" t="s">
        <v>132</v>
      </c>
      <c r="E578" s="101" t="s">
        <v>70</v>
      </c>
      <c r="F578" s="93">
        <f>F530+F551-L530</f>
        <v>304989620.81</v>
      </c>
      <c r="G578" s="93">
        <f>G530</f>
        <v>30071357.300000001</v>
      </c>
      <c r="H578" s="93">
        <f t="shared" ref="H578:AO578" si="33">H530</f>
        <v>16806729.760000002</v>
      </c>
      <c r="I578" s="93">
        <f t="shared" si="33"/>
        <v>8826816.3499999996</v>
      </c>
      <c r="J578" s="93">
        <f t="shared" si="33"/>
        <v>17081891.02</v>
      </c>
      <c r="K578" s="93">
        <f t="shared" si="33"/>
        <v>809348.07</v>
      </c>
      <c r="L578" s="93">
        <f t="shared" si="33"/>
        <v>5904652.2300000004</v>
      </c>
      <c r="M578" s="93">
        <f t="shared" si="33"/>
        <v>7092178.5</v>
      </c>
      <c r="N578" s="93">
        <f t="shared" si="33"/>
        <v>8479028.6799999997</v>
      </c>
      <c r="O578" s="93">
        <f t="shared" si="33"/>
        <v>43405202.43</v>
      </c>
      <c r="P578" s="93">
        <f t="shared" si="33"/>
        <v>89395442.060000002</v>
      </c>
      <c r="Q578" s="93">
        <f t="shared" si="33"/>
        <v>1330478.28</v>
      </c>
      <c r="R578" s="93">
        <f t="shared" si="33"/>
        <v>-673.41</v>
      </c>
      <c r="S578" s="93">
        <f t="shared" si="33"/>
        <v>-0.19</v>
      </c>
      <c r="T578" s="93">
        <f t="shared" si="33"/>
        <v>0.54</v>
      </c>
      <c r="U578" s="93">
        <f t="shared" si="33"/>
        <v>0</v>
      </c>
      <c r="V578" s="93">
        <f t="shared" si="33"/>
        <v>0</v>
      </c>
      <c r="W578" s="93">
        <f t="shared" si="33"/>
        <v>0</v>
      </c>
      <c r="X578" s="93">
        <f t="shared" si="33"/>
        <v>0</v>
      </c>
      <c r="Y578" s="93">
        <f t="shared" si="33"/>
        <v>0</v>
      </c>
      <c r="Z578" s="93">
        <f t="shared" si="33"/>
        <v>0</v>
      </c>
      <c r="AA578" s="93">
        <f t="shared" si="33"/>
        <v>0</v>
      </c>
      <c r="AB578" s="93">
        <f t="shared" si="33"/>
        <v>0</v>
      </c>
      <c r="AC578" s="93">
        <f t="shared" si="33"/>
        <v>0</v>
      </c>
      <c r="AD578" s="93">
        <f t="shared" si="33"/>
        <v>0</v>
      </c>
      <c r="AE578" s="93">
        <f t="shared" si="33"/>
        <v>0</v>
      </c>
      <c r="AF578" s="93">
        <f t="shared" si="33"/>
        <v>0</v>
      </c>
      <c r="AG578" s="93">
        <f t="shared" si="33"/>
        <v>0</v>
      </c>
      <c r="AH578" s="93">
        <f t="shared" si="33"/>
        <v>0</v>
      </c>
      <c r="AI578" s="93">
        <f t="shared" si="33"/>
        <v>0</v>
      </c>
      <c r="AJ578" s="93">
        <f t="shared" si="33"/>
        <v>0</v>
      </c>
      <c r="AK578" s="93">
        <f t="shared" si="33"/>
        <v>0</v>
      </c>
      <c r="AL578" s="93">
        <f t="shared" si="33"/>
        <v>0</v>
      </c>
      <c r="AM578" s="93">
        <f t="shared" si="33"/>
        <v>0</v>
      </c>
      <c r="AN578" s="93">
        <f t="shared" si="33"/>
        <v>0</v>
      </c>
      <c r="AO578" s="93">
        <f t="shared" si="33"/>
        <v>0</v>
      </c>
    </row>
    <row r="579" spans="1:41" ht="12.75" customHeight="1" x14ac:dyDescent="0.25">
      <c r="C579" s="774"/>
      <c r="D579" s="771"/>
      <c r="E579" s="101" t="s">
        <v>73</v>
      </c>
      <c r="F579" s="93">
        <f>F551</f>
        <v>81691821.420000002</v>
      </c>
      <c r="G579" s="90"/>
      <c r="H579" s="90"/>
      <c r="I579" s="90"/>
      <c r="J579" s="90"/>
      <c r="K579" s="90"/>
      <c r="L579" s="90"/>
      <c r="M579" s="90"/>
      <c r="N579" s="90"/>
      <c r="O579" s="90"/>
      <c r="P579" s="90"/>
      <c r="Q579" s="90"/>
      <c r="R579" s="90"/>
      <c r="S579" s="90"/>
    </row>
    <row r="580" spans="1:41" ht="12.75" customHeight="1" x14ac:dyDescent="0.25">
      <c r="C580" s="774"/>
      <c r="D580" s="771" t="s">
        <v>133</v>
      </c>
      <c r="E580" s="235" t="s">
        <v>70</v>
      </c>
      <c r="F580" s="236">
        <f>F537+F511-L511</f>
        <v>441849</v>
      </c>
      <c r="G580" s="236">
        <f>G511</f>
        <v>26657.43</v>
      </c>
      <c r="H580" s="236">
        <f t="shared" ref="H580:AO580" si="34">H511</f>
        <v>14138.02</v>
      </c>
      <c r="I580" s="236">
        <f t="shared" si="34"/>
        <v>7723.27</v>
      </c>
      <c r="J580" s="236">
        <f t="shared" si="34"/>
        <v>93911.73</v>
      </c>
      <c r="K580" s="236">
        <f t="shared" si="34"/>
        <v>2290.29</v>
      </c>
      <c r="L580" s="236">
        <f t="shared" si="34"/>
        <v>0</v>
      </c>
      <c r="M580" s="236">
        <f t="shared" si="34"/>
        <v>20089.34</v>
      </c>
      <c r="N580" s="236">
        <f t="shared" si="34"/>
        <v>28092.36</v>
      </c>
      <c r="O580" s="236">
        <f t="shared" si="34"/>
        <v>141333</v>
      </c>
      <c r="P580" s="236">
        <f t="shared" si="34"/>
        <v>79544.789999999994</v>
      </c>
      <c r="Q580" s="236">
        <f t="shared" si="34"/>
        <v>3736.7</v>
      </c>
      <c r="R580" s="236">
        <f t="shared" si="34"/>
        <v>2.69</v>
      </c>
      <c r="S580" s="236">
        <f t="shared" si="34"/>
        <v>0</v>
      </c>
      <c r="T580" s="236">
        <f t="shared" si="34"/>
        <v>0</v>
      </c>
      <c r="U580" s="236">
        <f t="shared" si="34"/>
        <v>0</v>
      </c>
      <c r="V580" s="236">
        <f t="shared" si="34"/>
        <v>0</v>
      </c>
      <c r="W580" s="236">
        <f t="shared" si="34"/>
        <v>0</v>
      </c>
      <c r="X580" s="236">
        <f t="shared" si="34"/>
        <v>0</v>
      </c>
      <c r="Y580" s="236">
        <f t="shared" si="34"/>
        <v>0</v>
      </c>
      <c r="Z580" s="236">
        <f t="shared" si="34"/>
        <v>0</v>
      </c>
      <c r="AA580" s="236">
        <f t="shared" si="34"/>
        <v>0</v>
      </c>
      <c r="AB580" s="236">
        <f t="shared" si="34"/>
        <v>0</v>
      </c>
      <c r="AC580" s="236">
        <f t="shared" si="34"/>
        <v>0</v>
      </c>
      <c r="AD580" s="236">
        <f t="shared" si="34"/>
        <v>0</v>
      </c>
      <c r="AE580" s="236">
        <f t="shared" si="34"/>
        <v>0</v>
      </c>
      <c r="AF580" s="236">
        <f t="shared" si="34"/>
        <v>0</v>
      </c>
      <c r="AG580" s="236">
        <f t="shared" si="34"/>
        <v>0</v>
      </c>
      <c r="AH580" s="236">
        <f t="shared" si="34"/>
        <v>0</v>
      </c>
      <c r="AI580" s="236">
        <f t="shared" si="34"/>
        <v>0</v>
      </c>
      <c r="AJ580" s="236">
        <f t="shared" si="34"/>
        <v>0</v>
      </c>
      <c r="AK580" s="236">
        <f t="shared" si="34"/>
        <v>0</v>
      </c>
      <c r="AL580" s="236">
        <f t="shared" si="34"/>
        <v>0</v>
      </c>
      <c r="AM580" s="236">
        <f t="shared" si="34"/>
        <v>0</v>
      </c>
      <c r="AN580" s="236">
        <f t="shared" si="34"/>
        <v>0</v>
      </c>
      <c r="AO580" s="236">
        <f t="shared" si="34"/>
        <v>0</v>
      </c>
    </row>
    <row r="581" spans="1:41" ht="12.75" customHeight="1" x14ac:dyDescent="0.25">
      <c r="C581" s="774"/>
      <c r="D581" s="771"/>
      <c r="E581" s="235" t="s">
        <v>73</v>
      </c>
      <c r="F581" s="236">
        <f>F537</f>
        <v>24329.38</v>
      </c>
      <c r="G581" s="90"/>
      <c r="H581" s="90"/>
      <c r="I581" s="90"/>
      <c r="J581" s="90"/>
      <c r="K581" s="90"/>
      <c r="L581" s="90"/>
      <c r="M581" s="90"/>
      <c r="N581" s="90"/>
      <c r="O581" s="90"/>
      <c r="P581" s="90"/>
      <c r="Q581" s="90"/>
      <c r="R581" s="90"/>
    </row>
    <row r="582" spans="1:41" ht="12.75" customHeight="1" x14ac:dyDescent="0.3">
      <c r="A582" s="89"/>
      <c r="C582" s="97"/>
      <c r="F582" s="90"/>
      <c r="G582" s="90"/>
      <c r="H582" s="90"/>
      <c r="I582" s="90"/>
      <c r="J582" s="90"/>
      <c r="K582" s="90"/>
      <c r="L582" s="90"/>
      <c r="M582" s="90"/>
      <c r="N582" s="90"/>
      <c r="O582" s="90"/>
      <c r="P582" s="90"/>
      <c r="Q582" s="90"/>
      <c r="R582" s="90"/>
      <c r="S582" s="90"/>
    </row>
    <row r="583" spans="1:41" ht="12.75" customHeight="1" x14ac:dyDescent="0.25">
      <c r="C583" s="773" t="s">
        <v>161</v>
      </c>
      <c r="D583" s="771" t="s">
        <v>132</v>
      </c>
      <c r="E583" s="231" t="s">
        <v>70</v>
      </c>
      <c r="F583" s="232">
        <v>0</v>
      </c>
      <c r="G583" s="232">
        <v>0</v>
      </c>
      <c r="H583" s="232">
        <v>0</v>
      </c>
      <c r="I583" s="232">
        <v>0</v>
      </c>
      <c r="J583" s="232">
        <v>0</v>
      </c>
      <c r="K583" s="232">
        <v>0</v>
      </c>
      <c r="L583" s="232">
        <v>0</v>
      </c>
      <c r="M583" s="232">
        <v>0</v>
      </c>
      <c r="N583" s="232">
        <v>0</v>
      </c>
      <c r="O583" s="232">
        <v>0</v>
      </c>
      <c r="P583" s="232">
        <v>0</v>
      </c>
      <c r="Q583" s="232">
        <v>0</v>
      </c>
      <c r="R583" s="232">
        <v>0</v>
      </c>
      <c r="S583" s="232">
        <v>0</v>
      </c>
      <c r="T583" s="232">
        <v>0</v>
      </c>
      <c r="U583" s="232"/>
      <c r="V583" s="232"/>
      <c r="W583" s="232"/>
      <c r="X583" s="232">
        <v>0</v>
      </c>
      <c r="Y583" s="232">
        <v>0</v>
      </c>
      <c r="Z583" s="232">
        <v>0</v>
      </c>
      <c r="AA583" s="232">
        <v>0</v>
      </c>
      <c r="AB583" s="232">
        <v>0</v>
      </c>
      <c r="AC583" s="232">
        <v>0</v>
      </c>
      <c r="AD583" s="232">
        <v>0</v>
      </c>
      <c r="AE583" s="232">
        <v>0</v>
      </c>
      <c r="AF583" s="232">
        <v>0</v>
      </c>
      <c r="AG583" s="232">
        <v>0</v>
      </c>
      <c r="AH583" s="232">
        <v>0</v>
      </c>
      <c r="AI583" s="232">
        <v>0</v>
      </c>
      <c r="AJ583" s="232">
        <v>0</v>
      </c>
      <c r="AK583" s="232">
        <v>0</v>
      </c>
      <c r="AL583" s="232">
        <v>0</v>
      </c>
      <c r="AM583" s="232">
        <v>0</v>
      </c>
      <c r="AN583" s="232">
        <v>0</v>
      </c>
      <c r="AO583" s="232">
        <v>0</v>
      </c>
    </row>
    <row r="584" spans="1:41" ht="12.75" customHeight="1" x14ac:dyDescent="0.25">
      <c r="C584" s="773"/>
      <c r="D584" s="771"/>
      <c r="E584" s="231" t="s">
        <v>73</v>
      </c>
      <c r="F584" s="232">
        <v>0</v>
      </c>
      <c r="G584" s="90"/>
      <c r="H584" s="90"/>
      <c r="I584" s="90"/>
      <c r="J584" s="90"/>
      <c r="K584" s="90"/>
      <c r="L584" s="90"/>
      <c r="M584" s="90"/>
      <c r="N584" s="90"/>
      <c r="O584" s="90"/>
      <c r="P584" s="90"/>
      <c r="Q584" s="90"/>
      <c r="R584" s="90"/>
      <c r="S584" s="90"/>
    </row>
    <row r="585" spans="1:41" ht="12.75" customHeight="1" x14ac:dyDescent="0.25">
      <c r="C585" s="773"/>
      <c r="E585" s="148" t="s">
        <v>70</v>
      </c>
      <c r="F585" s="149">
        <v>0</v>
      </c>
      <c r="G585" s="149">
        <v>0</v>
      </c>
      <c r="H585" s="149">
        <v>0</v>
      </c>
      <c r="I585" s="149">
        <v>0</v>
      </c>
      <c r="J585" s="149">
        <v>0</v>
      </c>
      <c r="K585" s="149">
        <v>0</v>
      </c>
      <c r="L585" s="149">
        <v>0</v>
      </c>
      <c r="M585" s="149">
        <v>0</v>
      </c>
      <c r="N585" s="149">
        <v>0</v>
      </c>
      <c r="O585" s="149">
        <v>0</v>
      </c>
      <c r="P585" s="149">
        <v>0</v>
      </c>
      <c r="Q585" s="149">
        <v>0</v>
      </c>
      <c r="R585" s="149">
        <v>0</v>
      </c>
      <c r="S585" s="149">
        <v>0</v>
      </c>
      <c r="T585" s="149">
        <v>0</v>
      </c>
      <c r="U585" s="149"/>
      <c r="V585" s="149"/>
      <c r="W585" s="149"/>
      <c r="X585" s="149">
        <v>0</v>
      </c>
      <c r="Y585" s="149">
        <v>0</v>
      </c>
      <c r="Z585" s="149">
        <v>0</v>
      </c>
      <c r="AA585" s="149">
        <v>0</v>
      </c>
    </row>
    <row r="586" spans="1:41" ht="12.75" customHeight="1" x14ac:dyDescent="0.25">
      <c r="C586" s="773"/>
      <c r="D586" s="220" t="s">
        <v>132</v>
      </c>
      <c r="E586" s="148" t="s">
        <v>73</v>
      </c>
      <c r="F586" s="149">
        <v>0</v>
      </c>
      <c r="G586" s="90"/>
      <c r="H586" s="90"/>
      <c r="I586" s="90"/>
      <c r="J586" s="90"/>
      <c r="K586" s="90"/>
      <c r="L586" s="90"/>
      <c r="M586" s="90"/>
      <c r="N586" s="90"/>
      <c r="O586" s="90"/>
      <c r="P586" s="90"/>
      <c r="Q586" s="90"/>
      <c r="R586" s="90"/>
    </row>
    <row r="587" spans="1:41" ht="12.75" customHeight="1" x14ac:dyDescent="0.25">
      <c r="C587" s="388"/>
      <c r="D587" s="220"/>
      <c r="E587" s="89"/>
      <c r="F587" s="90"/>
      <c r="G587" s="90"/>
      <c r="H587" s="90"/>
      <c r="I587" s="90"/>
      <c r="J587" s="90"/>
      <c r="K587" s="90"/>
      <c r="L587" s="90"/>
      <c r="M587" s="90"/>
      <c r="N587" s="90"/>
      <c r="O587" s="90"/>
      <c r="P587" s="90"/>
      <c r="Q587" s="90"/>
      <c r="R587" s="90"/>
    </row>
    <row r="588" spans="1:41" ht="12.75" customHeight="1" x14ac:dyDescent="0.25">
      <c r="D588" s="458" t="s">
        <v>186</v>
      </c>
      <c r="E588" s="459" t="s">
        <v>70</v>
      </c>
      <c r="F588" s="460">
        <v>0</v>
      </c>
      <c r="G588" s="460">
        <v>0</v>
      </c>
      <c r="H588" s="460">
        <v>0</v>
      </c>
      <c r="I588" s="460">
        <v>0</v>
      </c>
      <c r="J588" s="460">
        <v>0</v>
      </c>
      <c r="K588" s="460">
        <v>0</v>
      </c>
      <c r="L588" s="460">
        <v>0</v>
      </c>
      <c r="M588" s="460">
        <v>0</v>
      </c>
      <c r="N588" s="460">
        <v>0</v>
      </c>
      <c r="O588" s="460">
        <v>0</v>
      </c>
      <c r="P588" s="460">
        <v>0</v>
      </c>
      <c r="Q588" s="460">
        <v>0</v>
      </c>
      <c r="R588" s="460">
        <v>0</v>
      </c>
      <c r="S588" s="460">
        <v>0</v>
      </c>
      <c r="T588" s="460">
        <v>0</v>
      </c>
      <c r="U588" s="460">
        <v>0</v>
      </c>
      <c r="V588" s="460">
        <v>0</v>
      </c>
      <c r="W588" s="460">
        <v>0</v>
      </c>
      <c r="X588" s="460">
        <v>0</v>
      </c>
      <c r="Y588" s="460">
        <v>0</v>
      </c>
      <c r="Z588" s="460">
        <v>0</v>
      </c>
      <c r="AA588" s="460">
        <v>0</v>
      </c>
    </row>
    <row r="589" spans="1:41" ht="12.75" customHeight="1" x14ac:dyDescent="0.25">
      <c r="C589" s="388"/>
      <c r="D589" s="220"/>
      <c r="E589" s="89"/>
      <c r="F589" s="90"/>
      <c r="G589" s="90"/>
      <c r="H589" s="90"/>
      <c r="I589" s="90"/>
      <c r="J589" s="90"/>
      <c r="K589" s="90"/>
      <c r="L589" s="90"/>
      <c r="M589" s="90"/>
      <c r="N589" s="90"/>
      <c r="O589" s="90"/>
      <c r="P589" s="90"/>
      <c r="Q589" s="90"/>
      <c r="R589" s="90"/>
    </row>
    <row r="590" spans="1:41" s="238" customFormat="1" ht="12.75" customHeight="1" x14ac:dyDescent="0.25">
      <c r="D590" s="239"/>
      <c r="E590" s="240"/>
      <c r="F590" s="240"/>
      <c r="G590" s="240"/>
      <c r="H590" s="240"/>
      <c r="I590" s="240"/>
      <c r="J590" s="240"/>
      <c r="K590" s="240"/>
      <c r="L590" s="240"/>
      <c r="M590" s="240"/>
      <c r="N590" s="240"/>
      <c r="O590" s="240"/>
      <c r="P590" s="240"/>
      <c r="Q590" s="240"/>
    </row>
  </sheetData>
  <mergeCells count="87">
    <mergeCell ref="D575:D576"/>
    <mergeCell ref="C493:C496"/>
    <mergeCell ref="C473:C476"/>
    <mergeCell ref="D473:D474"/>
    <mergeCell ref="D475:D476"/>
    <mergeCell ref="C478:C481"/>
    <mergeCell ref="D478:D479"/>
    <mergeCell ref="D480:D481"/>
    <mergeCell ref="C488:C491"/>
    <mergeCell ref="D488:D489"/>
    <mergeCell ref="D490:D491"/>
    <mergeCell ref="D493:D494"/>
    <mergeCell ref="C483:C486"/>
    <mergeCell ref="D483:D484"/>
    <mergeCell ref="D485:D486"/>
    <mergeCell ref="C468:C471"/>
    <mergeCell ref="D468:D469"/>
    <mergeCell ref="D470:D471"/>
    <mergeCell ref="C348:C351"/>
    <mergeCell ref="D348:D349"/>
    <mergeCell ref="D350:D351"/>
    <mergeCell ref="C353:C356"/>
    <mergeCell ref="D353:D354"/>
    <mergeCell ref="D355:D356"/>
    <mergeCell ref="C363:C366"/>
    <mergeCell ref="D363:D364"/>
    <mergeCell ref="D365:D366"/>
    <mergeCell ref="C368:C371"/>
    <mergeCell ref="D368:D369"/>
    <mergeCell ref="D370:D371"/>
    <mergeCell ref="C358:C361"/>
    <mergeCell ref="D75:D76"/>
    <mergeCell ref="C58:C61"/>
    <mergeCell ref="C63:C66"/>
    <mergeCell ref="D213:D214"/>
    <mergeCell ref="C53:C56"/>
    <mergeCell ref="D53:D54"/>
    <mergeCell ref="D55:D56"/>
    <mergeCell ref="C73:C76"/>
    <mergeCell ref="D58:D59"/>
    <mergeCell ref="D60:D61"/>
    <mergeCell ref="D63:D64"/>
    <mergeCell ref="D65:D66"/>
    <mergeCell ref="D73:D74"/>
    <mergeCell ref="C68:C71"/>
    <mergeCell ref="D68:D69"/>
    <mergeCell ref="D70:D71"/>
    <mergeCell ref="D218:D219"/>
    <mergeCell ref="D228:D229"/>
    <mergeCell ref="C78:C81"/>
    <mergeCell ref="D78:D79"/>
    <mergeCell ref="D80:D81"/>
    <mergeCell ref="C206:C209"/>
    <mergeCell ref="D206:D207"/>
    <mergeCell ref="D208:D209"/>
    <mergeCell ref="C211:C214"/>
    <mergeCell ref="D211:D212"/>
    <mergeCell ref="D216:D217"/>
    <mergeCell ref="C216:C219"/>
    <mergeCell ref="C226:C229"/>
    <mergeCell ref="D226:D227"/>
    <mergeCell ref="C583:C586"/>
    <mergeCell ref="C558:C561"/>
    <mergeCell ref="D558:D559"/>
    <mergeCell ref="D560:D561"/>
    <mergeCell ref="C563:C566"/>
    <mergeCell ref="D563:D564"/>
    <mergeCell ref="D565:D566"/>
    <mergeCell ref="C568:C571"/>
    <mergeCell ref="D568:D569"/>
    <mergeCell ref="D570:D571"/>
    <mergeCell ref="C578:C581"/>
    <mergeCell ref="D578:D579"/>
    <mergeCell ref="D580:D581"/>
    <mergeCell ref="D583:D584"/>
    <mergeCell ref="C573:C576"/>
    <mergeCell ref="D573:D574"/>
    <mergeCell ref="D358:D359"/>
    <mergeCell ref="D360:D361"/>
    <mergeCell ref="C221:C224"/>
    <mergeCell ref="D221:D222"/>
    <mergeCell ref="D223:D224"/>
    <mergeCell ref="C231:C234"/>
    <mergeCell ref="D231:D232"/>
    <mergeCell ref="C343:C346"/>
    <mergeCell ref="D343:D344"/>
    <mergeCell ref="D345:D346"/>
  </mergeCells>
  <pageMargins left="0.7" right="0.7" top="0.75" bottom="0.75" header="0.3" footer="0.3"/>
  <pageSetup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S455"/>
  <sheetViews>
    <sheetView zoomScaleNormal="100" workbookViewId="0">
      <pane ySplit="2" topLeftCell="A3" activePane="bottomLeft" state="frozen"/>
      <selection activeCell="A6" sqref="A6"/>
      <selection pane="bottomLeft" activeCell="A3" sqref="A3"/>
    </sheetView>
  </sheetViews>
  <sheetFormatPr baseColWidth="10" defaultRowHeight="12.5" x14ac:dyDescent="0.25"/>
  <cols>
    <col min="2" max="2" width="22.453125" bestFit="1" customWidth="1"/>
    <col min="3" max="3" width="18.81640625" customWidth="1"/>
    <col min="4" max="4" width="23.1796875" bestFit="1" customWidth="1"/>
    <col min="5" max="5" width="15.1796875" bestFit="1" customWidth="1"/>
    <col min="6" max="6" width="15.453125" bestFit="1" customWidth="1"/>
    <col min="7" max="8" width="16.1796875" bestFit="1" customWidth="1"/>
    <col min="9" max="9" width="15.1796875" bestFit="1" customWidth="1"/>
    <col min="10" max="10" width="17" bestFit="1" customWidth="1"/>
    <col min="11" max="11" width="13.54296875" bestFit="1" customWidth="1"/>
    <col min="12" max="12" width="15.54296875" bestFit="1" customWidth="1"/>
    <col min="13" max="15" width="15.1796875" bestFit="1" customWidth="1"/>
    <col min="16" max="16" width="20.453125" bestFit="1" customWidth="1"/>
    <col min="17" max="17" width="11.54296875" customWidth="1"/>
    <col min="18" max="18" width="13.54296875" bestFit="1" customWidth="1"/>
  </cols>
  <sheetData>
    <row r="1" spans="2:18" ht="13" x14ac:dyDescent="0.3">
      <c r="B1" s="97" t="s">
        <v>74</v>
      </c>
    </row>
    <row r="2" spans="2:18" ht="12.75" customHeight="1" x14ac:dyDescent="0.25">
      <c r="E2" s="89" t="s">
        <v>70</v>
      </c>
      <c r="F2" s="89" t="s">
        <v>64</v>
      </c>
      <c r="G2" s="89" t="s">
        <v>65</v>
      </c>
      <c r="H2" s="219" t="s">
        <v>164</v>
      </c>
      <c r="I2" s="89" t="s">
        <v>69</v>
      </c>
      <c r="J2" s="89" t="s">
        <v>68</v>
      </c>
      <c r="K2" s="89" t="s">
        <v>83</v>
      </c>
      <c r="L2" s="89" t="s">
        <v>66</v>
      </c>
      <c r="M2" s="89" t="s">
        <v>63</v>
      </c>
      <c r="N2" s="89" t="s">
        <v>61</v>
      </c>
      <c r="O2" s="89" t="s">
        <v>62</v>
      </c>
      <c r="P2" s="89" t="s">
        <v>67</v>
      </c>
      <c r="Q2" s="89" t="s">
        <v>84</v>
      </c>
      <c r="R2" s="384" t="s">
        <v>227</v>
      </c>
    </row>
    <row r="3" spans="2:18" ht="12.75" customHeight="1" x14ac:dyDescent="0.25">
      <c r="D3" t="s">
        <v>72</v>
      </c>
      <c r="E3" s="384">
        <v>104754634.94</v>
      </c>
      <c r="F3" s="89">
        <v>6975298.6900000004</v>
      </c>
      <c r="G3" s="89">
        <v>3988878.11</v>
      </c>
      <c r="H3" s="384">
        <v>1891710.46</v>
      </c>
      <c r="I3" s="89">
        <v>21813833.059999999</v>
      </c>
      <c r="J3" s="89">
        <v>885097.78</v>
      </c>
      <c r="K3" s="89">
        <v>0</v>
      </c>
      <c r="L3" s="89">
        <v>8065770.6100000003</v>
      </c>
      <c r="M3" s="89">
        <v>7536469.1200000001</v>
      </c>
      <c r="N3" s="89">
        <v>33213003.719999999</v>
      </c>
      <c r="O3" s="89">
        <v>19115514.460000001</v>
      </c>
      <c r="P3" s="89">
        <v>1269059.56</v>
      </c>
      <c r="Q3" s="89">
        <v>-0.63</v>
      </c>
      <c r="R3">
        <v>0</v>
      </c>
    </row>
    <row r="4" spans="2:18" ht="12.75" customHeight="1" x14ac:dyDescent="0.25">
      <c r="D4" t="s">
        <v>81</v>
      </c>
      <c r="E4">
        <v>15816.77</v>
      </c>
      <c r="F4">
        <v>1163.3800000000001</v>
      </c>
      <c r="G4">
        <v>642.32000000000005</v>
      </c>
      <c r="H4">
        <v>341.55</v>
      </c>
      <c r="I4">
        <v>3027.69</v>
      </c>
      <c r="J4">
        <v>126.06</v>
      </c>
      <c r="K4">
        <v>0</v>
      </c>
      <c r="L4">
        <v>1110.6099999999999</v>
      </c>
      <c r="M4">
        <v>1054.19</v>
      </c>
      <c r="N4">
        <v>4963.7299999999996</v>
      </c>
      <c r="O4">
        <v>3181.55</v>
      </c>
      <c r="P4">
        <v>205.61</v>
      </c>
      <c r="Q4">
        <v>0.08</v>
      </c>
      <c r="R4">
        <v>0</v>
      </c>
    </row>
    <row r="5" spans="2:18" ht="12.75" customHeight="1" x14ac:dyDescent="0.25">
      <c r="C5" t="s">
        <v>156</v>
      </c>
      <c r="D5" t="s">
        <v>70</v>
      </c>
      <c r="E5">
        <v>104770451.70999999</v>
      </c>
      <c r="F5">
        <v>6976462.0700000003</v>
      </c>
      <c r="G5">
        <v>3989520.43</v>
      </c>
      <c r="H5">
        <v>1892052.01</v>
      </c>
      <c r="I5">
        <v>21816860.75</v>
      </c>
      <c r="J5">
        <v>885223.84</v>
      </c>
      <c r="K5">
        <v>0</v>
      </c>
      <c r="L5">
        <v>8066881.2199999997</v>
      </c>
      <c r="M5">
        <v>7537523.3099999996</v>
      </c>
      <c r="N5">
        <v>33217967.449999999</v>
      </c>
      <c r="O5">
        <v>19118696.010000002</v>
      </c>
      <c r="P5">
        <v>1269265.17</v>
      </c>
      <c r="Q5">
        <v>-0.55000000000000004</v>
      </c>
      <c r="R5">
        <v>0</v>
      </c>
    </row>
    <row r="6" spans="2:18" s="286" customFormat="1" ht="12.75" customHeight="1" x14ac:dyDescent="0.25">
      <c r="B6" s="286" t="s">
        <v>155</v>
      </c>
      <c r="C6" s="286" t="s">
        <v>70</v>
      </c>
      <c r="E6" s="286">
        <v>104770451.70999999</v>
      </c>
      <c r="F6" s="286">
        <v>6976462.0700000003</v>
      </c>
      <c r="G6" s="286">
        <v>3989520.43</v>
      </c>
      <c r="H6" s="286">
        <v>1892052.01</v>
      </c>
      <c r="I6" s="286">
        <v>21816860.75</v>
      </c>
      <c r="J6" s="286">
        <v>885223.84</v>
      </c>
      <c r="K6" s="286">
        <v>0</v>
      </c>
      <c r="L6" s="286">
        <v>8066881.2199999997</v>
      </c>
      <c r="M6" s="286">
        <v>7537523.3099999996</v>
      </c>
      <c r="N6" s="286">
        <v>33217967.449999999</v>
      </c>
      <c r="O6" s="286">
        <v>19118696.010000002</v>
      </c>
      <c r="P6" s="286">
        <v>1269265.17</v>
      </c>
      <c r="Q6" s="286">
        <v>-0.55000000000000004</v>
      </c>
      <c r="R6" s="286">
        <v>0</v>
      </c>
    </row>
    <row r="7" spans="2:18" ht="12.75" customHeight="1" x14ac:dyDescent="0.25">
      <c r="B7" s="142"/>
      <c r="D7" t="s">
        <v>72</v>
      </c>
      <c r="E7" s="142">
        <v>2066328.15</v>
      </c>
      <c r="F7">
        <v>95509.13</v>
      </c>
      <c r="G7">
        <v>53786.6</v>
      </c>
      <c r="H7">
        <v>25807.38</v>
      </c>
      <c r="I7">
        <v>498516.51</v>
      </c>
      <c r="J7">
        <v>14869.65</v>
      </c>
      <c r="K7">
        <v>0</v>
      </c>
      <c r="L7">
        <v>154839.34</v>
      </c>
      <c r="M7">
        <v>178346.64</v>
      </c>
      <c r="N7">
        <v>760377.7</v>
      </c>
      <c r="O7">
        <v>261105.9</v>
      </c>
      <c r="P7">
        <v>23181.14</v>
      </c>
      <c r="Q7">
        <v>-11.84</v>
      </c>
      <c r="R7">
        <v>0</v>
      </c>
    </row>
    <row r="8" spans="2:18" ht="12.75" customHeight="1" x14ac:dyDescent="0.25">
      <c r="B8" s="142"/>
      <c r="D8" t="s">
        <v>81</v>
      </c>
      <c r="E8" s="142">
        <v>53.09</v>
      </c>
      <c r="F8">
        <v>2.2000000000000002</v>
      </c>
      <c r="G8">
        <v>1.21</v>
      </c>
      <c r="H8">
        <v>0.66</v>
      </c>
      <c r="I8">
        <v>13.81</v>
      </c>
      <c r="J8">
        <v>0.47</v>
      </c>
      <c r="K8">
        <v>0</v>
      </c>
      <c r="L8">
        <v>4.1100000000000003</v>
      </c>
      <c r="M8">
        <v>4.2</v>
      </c>
      <c r="N8">
        <v>19.61</v>
      </c>
      <c r="O8">
        <v>6.05</v>
      </c>
      <c r="P8">
        <v>0.77</v>
      </c>
      <c r="Q8">
        <v>0</v>
      </c>
      <c r="R8">
        <v>0</v>
      </c>
    </row>
    <row r="9" spans="2:18" ht="12.75" customHeight="1" x14ac:dyDescent="0.25">
      <c r="B9" s="142"/>
      <c r="C9" t="s">
        <v>82</v>
      </c>
      <c r="D9" t="s">
        <v>70</v>
      </c>
      <c r="E9" s="142">
        <v>2066381.24</v>
      </c>
      <c r="F9">
        <v>95511.33</v>
      </c>
      <c r="G9">
        <v>53787.81</v>
      </c>
      <c r="H9">
        <v>25808.04</v>
      </c>
      <c r="I9">
        <v>498530.32</v>
      </c>
      <c r="J9">
        <v>14870.12</v>
      </c>
      <c r="K9">
        <v>0</v>
      </c>
      <c r="L9">
        <v>154843.45000000001</v>
      </c>
      <c r="M9">
        <v>178350.84</v>
      </c>
      <c r="N9">
        <v>760397.31</v>
      </c>
      <c r="O9">
        <v>261111.95</v>
      </c>
      <c r="P9">
        <v>23181.91</v>
      </c>
      <c r="Q9">
        <v>-11.84</v>
      </c>
      <c r="R9">
        <v>0</v>
      </c>
    </row>
    <row r="10" spans="2:18" ht="12.75" customHeight="1" x14ac:dyDescent="0.25">
      <c r="B10" s="142"/>
      <c r="D10" t="s">
        <v>72</v>
      </c>
      <c r="E10">
        <v>1667705.29</v>
      </c>
      <c r="F10">
        <v>94831.21</v>
      </c>
      <c r="G10">
        <v>53653.37</v>
      </c>
      <c r="H10">
        <v>23974.41</v>
      </c>
      <c r="I10">
        <v>360931.98</v>
      </c>
      <c r="J10">
        <v>13656.23</v>
      </c>
      <c r="K10">
        <v>0</v>
      </c>
      <c r="L10">
        <v>118901.31</v>
      </c>
      <c r="M10">
        <v>135021.65</v>
      </c>
      <c r="N10">
        <v>589240.87</v>
      </c>
      <c r="O10">
        <v>258802.75</v>
      </c>
      <c r="P10">
        <v>18683.400000000001</v>
      </c>
      <c r="Q10">
        <v>8.11</v>
      </c>
      <c r="R10">
        <v>0</v>
      </c>
    </row>
    <row r="11" spans="2:18" ht="12.75" customHeight="1" x14ac:dyDescent="0.25">
      <c r="B11" s="142"/>
      <c r="D11" t="s">
        <v>81</v>
      </c>
      <c r="E11">
        <v>534.46</v>
      </c>
      <c r="F11">
        <v>31.52</v>
      </c>
      <c r="G11">
        <v>17.829999999999998</v>
      </c>
      <c r="H11">
        <v>9.34</v>
      </c>
      <c r="I11">
        <v>118.64</v>
      </c>
      <c r="J11">
        <v>4.45</v>
      </c>
      <c r="K11">
        <v>0</v>
      </c>
      <c r="L11">
        <v>39.04</v>
      </c>
      <c r="M11">
        <v>38.33</v>
      </c>
      <c r="N11">
        <v>181.9</v>
      </c>
      <c r="O11">
        <v>86.11</v>
      </c>
      <c r="P11">
        <v>7.3</v>
      </c>
      <c r="Q11">
        <v>0</v>
      </c>
      <c r="R11">
        <v>0</v>
      </c>
    </row>
    <row r="12" spans="2:18" ht="12.75" customHeight="1" x14ac:dyDescent="0.25">
      <c r="B12" s="142"/>
      <c r="C12" t="s">
        <v>86</v>
      </c>
      <c r="D12" t="s">
        <v>70</v>
      </c>
      <c r="E12" s="142">
        <v>1668239.75</v>
      </c>
      <c r="F12">
        <v>94862.73</v>
      </c>
      <c r="G12">
        <v>53671.199999999997</v>
      </c>
      <c r="H12">
        <v>23983.75</v>
      </c>
      <c r="I12">
        <v>361050.62</v>
      </c>
      <c r="J12">
        <v>13660.68</v>
      </c>
      <c r="K12">
        <v>0</v>
      </c>
      <c r="L12">
        <v>118940.35</v>
      </c>
      <c r="M12">
        <v>135059.98000000001</v>
      </c>
      <c r="N12">
        <v>589422.77</v>
      </c>
      <c r="O12">
        <v>258888.86</v>
      </c>
      <c r="P12">
        <v>18690.7</v>
      </c>
      <c r="Q12">
        <v>8.11</v>
      </c>
      <c r="R12">
        <v>0</v>
      </c>
    </row>
    <row r="13" spans="2:18" ht="12.75" customHeight="1" x14ac:dyDescent="0.25">
      <c r="B13" s="142"/>
      <c r="D13" t="s">
        <v>72</v>
      </c>
      <c r="E13" s="142">
        <v>18251249.02</v>
      </c>
      <c r="F13">
        <v>2466979.2999999998</v>
      </c>
      <c r="G13">
        <v>1389961.36</v>
      </c>
      <c r="H13">
        <v>841642.79</v>
      </c>
      <c r="I13">
        <v>1865966.03</v>
      </c>
      <c r="J13">
        <v>51082.32</v>
      </c>
      <c r="K13">
        <v>0</v>
      </c>
      <c r="L13">
        <v>482981.31</v>
      </c>
      <c r="M13">
        <v>671717.75</v>
      </c>
      <c r="N13">
        <v>3043351.32</v>
      </c>
      <c r="O13">
        <v>7354815.6399999997</v>
      </c>
      <c r="P13">
        <v>82820.66</v>
      </c>
      <c r="Q13">
        <v>-69.459999999999994</v>
      </c>
      <c r="R13">
        <v>0</v>
      </c>
    </row>
    <row r="14" spans="2:18" ht="12.75" customHeight="1" x14ac:dyDescent="0.25">
      <c r="B14" s="142"/>
      <c r="D14" t="s">
        <v>81</v>
      </c>
      <c r="E14" s="142">
        <v>35670.699999999997</v>
      </c>
      <c r="F14">
        <v>6587.48</v>
      </c>
      <c r="G14">
        <v>3721.93</v>
      </c>
      <c r="H14">
        <v>1963.44</v>
      </c>
      <c r="I14">
        <v>1660.15</v>
      </c>
      <c r="J14">
        <v>49.7</v>
      </c>
      <c r="K14">
        <v>0</v>
      </c>
      <c r="L14">
        <v>436.97</v>
      </c>
      <c r="M14">
        <v>541.21</v>
      </c>
      <c r="N14">
        <v>2526.1</v>
      </c>
      <c r="O14">
        <v>18102.54</v>
      </c>
      <c r="P14">
        <v>81.19</v>
      </c>
      <c r="Q14">
        <v>-0.01</v>
      </c>
      <c r="R14">
        <v>0</v>
      </c>
    </row>
    <row r="15" spans="2:18" ht="12.75" customHeight="1" x14ac:dyDescent="0.25">
      <c r="B15" s="142"/>
      <c r="C15" s="89" t="s">
        <v>87</v>
      </c>
      <c r="D15" s="89" t="s">
        <v>70</v>
      </c>
      <c r="E15" s="90">
        <v>18286919.719999999</v>
      </c>
      <c r="F15" s="90">
        <v>2473566.7799999998</v>
      </c>
      <c r="G15" s="90">
        <v>1393683.29</v>
      </c>
      <c r="H15" s="90">
        <v>843606.23</v>
      </c>
      <c r="I15" s="90">
        <v>1867626.18</v>
      </c>
      <c r="J15" s="90">
        <v>51132.02</v>
      </c>
      <c r="K15" s="90">
        <v>0</v>
      </c>
      <c r="L15" s="90">
        <v>483418.28</v>
      </c>
      <c r="M15" s="90">
        <v>672258.96</v>
      </c>
      <c r="N15" s="90">
        <v>3045877.42</v>
      </c>
      <c r="O15" s="90">
        <v>7372918.1799999997</v>
      </c>
      <c r="P15" s="90">
        <v>82901.850000000006</v>
      </c>
      <c r="Q15" s="90">
        <v>-69.47</v>
      </c>
      <c r="R15">
        <v>0</v>
      </c>
    </row>
    <row r="16" spans="2:18" s="94" customFormat="1" ht="12.75" customHeight="1" x14ac:dyDescent="0.25">
      <c r="B16" s="101" t="s">
        <v>119</v>
      </c>
      <c r="C16" s="101" t="s">
        <v>70</v>
      </c>
      <c r="E16" s="93">
        <v>22021540.710000001</v>
      </c>
      <c r="F16" s="93">
        <v>2663940.84</v>
      </c>
      <c r="G16" s="93">
        <v>1501142.3</v>
      </c>
      <c r="H16" s="93">
        <v>893398.02</v>
      </c>
      <c r="I16" s="93">
        <v>2727207.12</v>
      </c>
      <c r="J16" s="93">
        <v>79662.820000000007</v>
      </c>
      <c r="K16" s="93">
        <v>0</v>
      </c>
      <c r="L16" s="93">
        <v>757202.08</v>
      </c>
      <c r="M16" s="93">
        <v>985669.78</v>
      </c>
      <c r="N16" s="93">
        <v>4395697.5</v>
      </c>
      <c r="O16" s="93">
        <v>7892918.9900000002</v>
      </c>
      <c r="P16" s="93">
        <v>124774.46</v>
      </c>
      <c r="Q16" s="93">
        <v>-73.2</v>
      </c>
      <c r="R16" s="94">
        <v>0</v>
      </c>
    </row>
    <row r="17" spans="1:18" s="226" customFormat="1" ht="12.75" customHeight="1" x14ac:dyDescent="0.25">
      <c r="A17" s="98" t="s">
        <v>78</v>
      </c>
      <c r="B17" s="98" t="s">
        <v>70</v>
      </c>
      <c r="E17" s="100">
        <v>126791992.42</v>
      </c>
      <c r="F17" s="100">
        <v>9640402.9100000001</v>
      </c>
      <c r="G17" s="100">
        <v>5490662.7300000004</v>
      </c>
      <c r="H17" s="100">
        <v>2785450.03</v>
      </c>
      <c r="I17" s="100">
        <v>24544067.870000001</v>
      </c>
      <c r="J17" s="100">
        <v>964886.66</v>
      </c>
      <c r="K17" s="100">
        <v>0</v>
      </c>
      <c r="L17" s="100">
        <v>8824083.3000000007</v>
      </c>
      <c r="M17" s="100">
        <v>8523193.0899999999</v>
      </c>
      <c r="N17" s="100">
        <v>37613664.950000003</v>
      </c>
      <c r="O17" s="100">
        <v>27011615</v>
      </c>
      <c r="P17" s="100">
        <v>1394039.63</v>
      </c>
      <c r="Q17" s="100">
        <v>-73.75</v>
      </c>
      <c r="R17" s="226">
        <v>0</v>
      </c>
    </row>
    <row r="18" spans="1:18" ht="12.75" customHeight="1" x14ac:dyDescent="0.25">
      <c r="D18" s="89" t="s">
        <v>73</v>
      </c>
      <c r="E18" s="371">
        <v>-7679309.1900000004</v>
      </c>
      <c r="F18" s="90">
        <v>637875.65</v>
      </c>
      <c r="G18" s="90">
        <v>341985.27</v>
      </c>
      <c r="H18" s="90">
        <v>179997</v>
      </c>
      <c r="I18" s="90">
        <v>-2784147.34</v>
      </c>
      <c r="J18" s="90">
        <v>-136924.32</v>
      </c>
      <c r="K18" s="90">
        <v>0</v>
      </c>
      <c r="L18" s="90">
        <v>-1201987.1299999999</v>
      </c>
      <c r="M18" s="90">
        <v>-1088414.75</v>
      </c>
      <c r="N18" s="90">
        <v>-5141699.01</v>
      </c>
      <c r="O18" s="90">
        <v>1734349.59</v>
      </c>
      <c r="P18" s="90">
        <v>-220344.15</v>
      </c>
      <c r="Q18" s="90">
        <v>0</v>
      </c>
      <c r="R18">
        <v>0</v>
      </c>
    </row>
    <row r="19" spans="1:18" ht="12.75" customHeight="1" x14ac:dyDescent="0.25">
      <c r="C19" s="89" t="s">
        <v>156</v>
      </c>
      <c r="D19" s="89" t="s">
        <v>70</v>
      </c>
      <c r="E19" s="90">
        <v>-7679309.1900000004</v>
      </c>
      <c r="F19" s="90">
        <v>637875.65</v>
      </c>
      <c r="G19" s="90">
        <v>341985.27</v>
      </c>
      <c r="H19" s="90">
        <v>179997</v>
      </c>
      <c r="I19" s="90">
        <v>-2784147.34</v>
      </c>
      <c r="J19" s="90">
        <v>-136924.32</v>
      </c>
      <c r="K19" s="90">
        <v>0</v>
      </c>
      <c r="L19" s="90">
        <v>-1201987.1299999999</v>
      </c>
      <c r="M19" s="90">
        <v>-1088414.75</v>
      </c>
      <c r="N19" s="90">
        <v>-5141699.01</v>
      </c>
      <c r="O19" s="90">
        <v>1734349.59</v>
      </c>
      <c r="P19" s="90">
        <v>-220344.15</v>
      </c>
      <c r="Q19" s="90">
        <v>0</v>
      </c>
      <c r="R19">
        <v>0</v>
      </c>
    </row>
    <row r="20" spans="1:18" s="286" customFormat="1" ht="12.75" customHeight="1" x14ac:dyDescent="0.25">
      <c r="B20" s="286" t="s">
        <v>155</v>
      </c>
      <c r="C20" s="286" t="s">
        <v>70</v>
      </c>
      <c r="E20" s="286">
        <v>-7679309.1900000004</v>
      </c>
      <c r="F20" s="286">
        <v>637875.65</v>
      </c>
      <c r="G20" s="286">
        <v>341985.27</v>
      </c>
      <c r="H20" s="286">
        <v>179997</v>
      </c>
      <c r="I20" s="286">
        <v>-2784147.34</v>
      </c>
      <c r="J20" s="286">
        <v>-136924.32</v>
      </c>
      <c r="K20" s="286">
        <v>0</v>
      </c>
      <c r="L20" s="286">
        <v>-1201987.1299999999</v>
      </c>
      <c r="M20" s="286">
        <v>-1088414.75</v>
      </c>
      <c r="N20" s="286">
        <v>-5141699.01</v>
      </c>
      <c r="O20" s="286">
        <v>1734349.59</v>
      </c>
      <c r="P20" s="286">
        <v>-220344.15</v>
      </c>
      <c r="Q20" s="286">
        <v>0</v>
      </c>
      <c r="R20" s="286">
        <v>0</v>
      </c>
    </row>
    <row r="21" spans="1:18" ht="12.75" customHeight="1" x14ac:dyDescent="0.25">
      <c r="D21" s="89" t="s">
        <v>73</v>
      </c>
      <c r="E21" s="371">
        <v>-50554.720000000001</v>
      </c>
      <c r="F21" s="90">
        <v>4736.1099999999997</v>
      </c>
      <c r="G21" s="90">
        <v>2674.07</v>
      </c>
      <c r="H21" s="90">
        <v>345.4</v>
      </c>
      <c r="I21" s="90">
        <v>-23429.040000000001</v>
      </c>
      <c r="J21" s="90">
        <v>-1776.06</v>
      </c>
      <c r="K21" s="90">
        <v>0</v>
      </c>
      <c r="L21" s="90">
        <v>-14634.19</v>
      </c>
      <c r="M21" s="90">
        <v>-5072.07</v>
      </c>
      <c r="N21" s="90">
        <v>-23919.85</v>
      </c>
      <c r="O21" s="90">
        <v>13249.96</v>
      </c>
      <c r="P21" s="90">
        <v>-2729.05</v>
      </c>
      <c r="Q21" s="90">
        <v>0</v>
      </c>
      <c r="R21">
        <v>0</v>
      </c>
    </row>
    <row r="22" spans="1:18" ht="12.75" customHeight="1" x14ac:dyDescent="0.25">
      <c r="C22" s="89" t="s">
        <v>82</v>
      </c>
      <c r="D22" s="89" t="s">
        <v>70</v>
      </c>
      <c r="E22" s="90">
        <v>-50554.720000000001</v>
      </c>
      <c r="F22" s="90">
        <v>4736.1099999999997</v>
      </c>
      <c r="G22" s="90">
        <v>2674.07</v>
      </c>
      <c r="H22" s="90">
        <v>345.4</v>
      </c>
      <c r="I22" s="90">
        <v>-23429.040000000001</v>
      </c>
      <c r="J22" s="90">
        <v>-1776.06</v>
      </c>
      <c r="K22" s="90">
        <v>0</v>
      </c>
      <c r="L22" s="90">
        <v>-14634.19</v>
      </c>
      <c r="M22" s="90">
        <v>-5072.07</v>
      </c>
      <c r="N22" s="90">
        <v>-23919.85</v>
      </c>
      <c r="O22" s="90">
        <v>13249.96</v>
      </c>
      <c r="P22" s="90">
        <v>-2729.05</v>
      </c>
      <c r="Q22" s="90">
        <v>0</v>
      </c>
      <c r="R22">
        <v>0</v>
      </c>
    </row>
    <row r="23" spans="1:18" ht="12.75" customHeight="1" x14ac:dyDescent="0.25">
      <c r="D23" s="89" t="s">
        <v>73</v>
      </c>
      <c r="E23" s="90">
        <v>-41372.31</v>
      </c>
      <c r="F23" s="90">
        <v>12793.71</v>
      </c>
      <c r="G23" s="90">
        <v>7223.37</v>
      </c>
      <c r="H23" s="90">
        <v>821.96</v>
      </c>
      <c r="I23" s="90">
        <v>-13378.5</v>
      </c>
      <c r="J23" s="90">
        <v>-1510.5</v>
      </c>
      <c r="K23" s="90">
        <v>0</v>
      </c>
      <c r="L23" s="90">
        <v>-12344.21</v>
      </c>
      <c r="M23" s="90">
        <v>-12400.64</v>
      </c>
      <c r="N23" s="90">
        <v>-55249.52</v>
      </c>
      <c r="O23" s="90">
        <v>35136.410000000003</v>
      </c>
      <c r="P23" s="90">
        <v>-2464.39</v>
      </c>
      <c r="Q23" s="90">
        <v>0</v>
      </c>
      <c r="R23">
        <v>0</v>
      </c>
    </row>
    <row r="24" spans="1:18" ht="12.75" customHeight="1" x14ac:dyDescent="0.25">
      <c r="C24" s="89" t="s">
        <v>86</v>
      </c>
      <c r="D24" s="89" t="s">
        <v>70</v>
      </c>
      <c r="E24" s="90">
        <v>-41372.31</v>
      </c>
      <c r="F24" s="90">
        <v>12793.71</v>
      </c>
      <c r="G24" s="90">
        <v>7223.37</v>
      </c>
      <c r="H24" s="90">
        <v>821.96</v>
      </c>
      <c r="I24" s="90">
        <v>-13378.5</v>
      </c>
      <c r="J24" s="90">
        <v>-1510.5</v>
      </c>
      <c r="K24" s="90">
        <v>0</v>
      </c>
      <c r="L24" s="90">
        <v>-12344.21</v>
      </c>
      <c r="M24" s="90">
        <v>-12400.64</v>
      </c>
      <c r="N24" s="90">
        <v>-55249.52</v>
      </c>
      <c r="O24" s="90">
        <v>35136.410000000003</v>
      </c>
      <c r="P24" s="90">
        <v>-2464.39</v>
      </c>
      <c r="Q24" s="90">
        <v>0</v>
      </c>
      <c r="R24">
        <v>0</v>
      </c>
    </row>
    <row r="25" spans="1:18" ht="12.75" customHeight="1" x14ac:dyDescent="0.25">
      <c r="D25" s="89" t="s">
        <v>73</v>
      </c>
      <c r="E25" s="90">
        <v>6927796.9199999999</v>
      </c>
      <c r="F25" s="90">
        <v>1130170.6499999999</v>
      </c>
      <c r="G25" s="90">
        <v>623361.6</v>
      </c>
      <c r="H25" s="90">
        <v>304609.90999999997</v>
      </c>
      <c r="I25" s="90">
        <v>533203.52</v>
      </c>
      <c r="J25" s="90">
        <v>13692.34</v>
      </c>
      <c r="K25" s="90">
        <v>0</v>
      </c>
      <c r="L25" s="90">
        <v>126469.3</v>
      </c>
      <c r="M25" s="90">
        <v>172463.37</v>
      </c>
      <c r="N25" s="90">
        <v>810419.93</v>
      </c>
      <c r="O25" s="90">
        <v>3191349.94</v>
      </c>
      <c r="P25" s="90">
        <v>22056.36</v>
      </c>
      <c r="Q25" s="90">
        <v>0</v>
      </c>
      <c r="R25">
        <v>0</v>
      </c>
    </row>
    <row r="26" spans="1:18" ht="12.75" customHeight="1" x14ac:dyDescent="0.25">
      <c r="C26" s="89" t="s">
        <v>87</v>
      </c>
      <c r="D26" s="89" t="s">
        <v>70</v>
      </c>
      <c r="E26" s="90">
        <v>6927796.9199999999</v>
      </c>
      <c r="F26" s="90">
        <v>1130170.6499999999</v>
      </c>
      <c r="G26" s="90">
        <v>623361.6</v>
      </c>
      <c r="H26" s="90">
        <v>304609.90999999997</v>
      </c>
      <c r="I26" s="90">
        <v>533203.52</v>
      </c>
      <c r="J26" s="90">
        <v>13692.34</v>
      </c>
      <c r="K26" s="90">
        <v>0</v>
      </c>
      <c r="L26" s="90">
        <v>126469.3</v>
      </c>
      <c r="M26" s="90">
        <v>172463.37</v>
      </c>
      <c r="N26" s="90">
        <v>810419.93</v>
      </c>
      <c r="O26" s="90">
        <v>3191349.94</v>
      </c>
      <c r="P26" s="90">
        <v>22056.36</v>
      </c>
      <c r="Q26" s="90">
        <v>0</v>
      </c>
      <c r="R26">
        <v>0</v>
      </c>
    </row>
    <row r="27" spans="1:18" s="94" customFormat="1" ht="12.75" customHeight="1" x14ac:dyDescent="0.25">
      <c r="B27" s="101" t="s">
        <v>119</v>
      </c>
      <c r="C27" s="101" t="s">
        <v>70</v>
      </c>
      <c r="E27" s="93">
        <v>6835869.8899999997</v>
      </c>
      <c r="F27" s="93">
        <v>1147700.47</v>
      </c>
      <c r="G27" s="93">
        <v>633259.04</v>
      </c>
      <c r="H27" s="93">
        <v>305777.27</v>
      </c>
      <c r="I27" s="93">
        <v>496395.98</v>
      </c>
      <c r="J27" s="93">
        <v>10405.780000000001</v>
      </c>
      <c r="K27" s="93">
        <v>0</v>
      </c>
      <c r="L27" s="93">
        <v>99490.9</v>
      </c>
      <c r="M27" s="93">
        <v>154990.66</v>
      </c>
      <c r="N27" s="93">
        <v>731250.56</v>
      </c>
      <c r="O27" s="93">
        <v>3239736.31</v>
      </c>
      <c r="P27" s="93">
        <v>16862.919999999998</v>
      </c>
      <c r="Q27" s="93">
        <v>0</v>
      </c>
      <c r="R27" s="94">
        <v>0</v>
      </c>
    </row>
    <row r="28" spans="1:18" s="226" customFormat="1" ht="12.75" customHeight="1" x14ac:dyDescent="0.25">
      <c r="A28" s="98" t="s">
        <v>79</v>
      </c>
      <c r="B28" s="98" t="s">
        <v>70</v>
      </c>
      <c r="E28" s="100">
        <v>-843439.3</v>
      </c>
      <c r="F28" s="100">
        <v>1785576.12</v>
      </c>
      <c r="G28" s="100">
        <v>975244.31</v>
      </c>
      <c r="H28" s="100">
        <v>485774.27</v>
      </c>
      <c r="I28" s="100">
        <v>-2287751.36</v>
      </c>
      <c r="J28" s="100">
        <v>-126518.54</v>
      </c>
      <c r="K28" s="100">
        <v>0</v>
      </c>
      <c r="L28" s="100">
        <v>-1102496.23</v>
      </c>
      <c r="M28" s="100">
        <v>-933424.09</v>
      </c>
      <c r="N28" s="100">
        <v>-4410448.45</v>
      </c>
      <c r="O28" s="100">
        <v>4974085.9000000004</v>
      </c>
      <c r="P28" s="100">
        <v>-203481.23</v>
      </c>
      <c r="Q28" s="100">
        <v>0</v>
      </c>
      <c r="R28" s="226">
        <v>0</v>
      </c>
    </row>
    <row r="29" spans="1:18" ht="12.75" customHeight="1" x14ac:dyDescent="0.25">
      <c r="A29" s="89" t="s">
        <v>70</v>
      </c>
      <c r="E29" s="90">
        <v>125948553.12</v>
      </c>
      <c r="F29" s="90">
        <v>11425979.029999999</v>
      </c>
      <c r="G29" s="90">
        <v>6465907.04</v>
      </c>
      <c r="H29" s="90">
        <v>3271224.3</v>
      </c>
      <c r="I29" s="90">
        <v>22256316.510000002</v>
      </c>
      <c r="J29" s="90">
        <v>838368.12</v>
      </c>
      <c r="K29" s="90">
        <v>0</v>
      </c>
      <c r="L29" s="90">
        <v>7721587.0700000003</v>
      </c>
      <c r="M29" s="90">
        <v>7589769</v>
      </c>
      <c r="N29" s="90">
        <v>33203216.5</v>
      </c>
      <c r="O29" s="90">
        <v>31985700.899999999</v>
      </c>
      <c r="P29" s="90">
        <v>1190558.3999999999</v>
      </c>
      <c r="Q29" s="90">
        <v>-73.75</v>
      </c>
      <c r="R29" s="144">
        <v>0</v>
      </c>
    </row>
    <row r="30" spans="1:18" ht="12.75" customHeight="1" x14ac:dyDescent="0.25">
      <c r="A30" s="89"/>
      <c r="E30" s="90"/>
      <c r="F30" s="90"/>
      <c r="G30" s="90"/>
      <c r="H30" s="90"/>
      <c r="I30" s="90"/>
      <c r="J30" s="90"/>
      <c r="K30" s="90"/>
      <c r="L30" s="90"/>
      <c r="M30" s="90"/>
      <c r="N30" s="90"/>
      <c r="O30" s="90"/>
      <c r="P30" s="90"/>
      <c r="Q30" s="90"/>
    </row>
    <row r="31" spans="1:18" ht="12.75" customHeight="1" x14ac:dyDescent="0.25">
      <c r="A31" s="89"/>
      <c r="E31" s="90"/>
      <c r="F31" s="90"/>
      <c r="G31" s="90"/>
      <c r="H31" s="90"/>
      <c r="I31" s="90"/>
      <c r="J31" s="90"/>
      <c r="K31" s="90"/>
      <c r="L31" s="90"/>
      <c r="M31" s="90"/>
      <c r="N31" s="90"/>
      <c r="O31" s="90"/>
      <c r="P31" s="90"/>
      <c r="Q31" s="90"/>
    </row>
    <row r="32" spans="1:18" ht="12.75" hidden="1" customHeight="1" x14ac:dyDescent="0.25">
      <c r="A32" s="89"/>
      <c r="E32" s="90"/>
      <c r="F32" s="90"/>
      <c r="G32" s="90"/>
      <c r="H32" s="90"/>
      <c r="I32" s="90"/>
      <c r="J32" s="90"/>
      <c r="K32" s="90"/>
      <c r="L32" s="90"/>
      <c r="M32" s="90"/>
      <c r="N32" s="90"/>
      <c r="O32" s="90"/>
      <c r="P32" s="90"/>
      <c r="Q32" s="90"/>
    </row>
    <row r="33" spans="1:19" ht="12.75" hidden="1" customHeight="1" x14ac:dyDescent="0.25">
      <c r="A33" s="89"/>
      <c r="E33" s="90"/>
      <c r="F33" s="90"/>
      <c r="G33" s="90"/>
      <c r="H33" s="90"/>
      <c r="I33" s="90"/>
      <c r="J33" s="90"/>
      <c r="K33" s="90"/>
      <c r="L33" s="90"/>
      <c r="M33" s="90"/>
      <c r="N33" s="90"/>
      <c r="O33" s="90"/>
      <c r="P33" s="90"/>
      <c r="Q33" s="90"/>
    </row>
    <row r="34" spans="1:19" ht="12.75" hidden="1" customHeight="1" x14ac:dyDescent="0.25">
      <c r="A34" s="89"/>
      <c r="E34" s="90"/>
      <c r="F34" s="90"/>
      <c r="G34" s="90"/>
      <c r="H34" s="90"/>
      <c r="I34" s="90"/>
      <c r="J34" s="90"/>
      <c r="K34" s="90"/>
      <c r="L34" s="90"/>
      <c r="M34" s="90"/>
      <c r="N34" s="90"/>
      <c r="O34" s="90"/>
      <c r="P34" s="90"/>
      <c r="Q34" s="90"/>
    </row>
    <row r="35" spans="1:19" ht="12.75" hidden="1" customHeight="1" x14ac:dyDescent="0.25">
      <c r="A35" s="89"/>
      <c r="E35" s="90"/>
      <c r="F35" s="90"/>
      <c r="G35" s="90"/>
      <c r="H35" s="90"/>
      <c r="I35" s="90"/>
      <c r="J35" s="90"/>
      <c r="K35" s="90"/>
      <c r="L35" s="90"/>
      <c r="M35" s="90"/>
      <c r="N35" s="90"/>
      <c r="O35" s="90"/>
      <c r="P35" s="90"/>
      <c r="Q35" s="90"/>
    </row>
    <row r="36" spans="1:19" ht="12.75" hidden="1" customHeight="1" x14ac:dyDescent="0.25">
      <c r="A36" s="89"/>
      <c r="E36" s="90"/>
      <c r="F36" s="90"/>
      <c r="G36" s="90"/>
      <c r="H36" s="90"/>
      <c r="I36" s="90"/>
      <c r="J36" s="90"/>
      <c r="K36" s="90"/>
      <c r="L36" s="90"/>
      <c r="M36" s="90"/>
      <c r="N36" s="90"/>
      <c r="O36" s="90"/>
      <c r="P36" s="90"/>
      <c r="Q36" s="90"/>
    </row>
    <row r="37" spans="1:19" ht="12.75" hidden="1" customHeight="1" x14ac:dyDescent="0.25">
      <c r="A37" s="89"/>
      <c r="E37" s="90"/>
      <c r="F37" s="90"/>
      <c r="G37" s="90"/>
      <c r="H37" s="90"/>
      <c r="I37" s="90"/>
      <c r="J37" s="90"/>
      <c r="K37" s="90"/>
      <c r="L37" s="90"/>
      <c r="M37" s="90"/>
      <c r="N37" s="90"/>
      <c r="O37" s="90"/>
      <c r="P37" s="90"/>
      <c r="Q37" s="90"/>
    </row>
    <row r="38" spans="1:19" ht="12.75" hidden="1" customHeight="1" x14ac:dyDescent="0.25">
      <c r="A38" s="89"/>
      <c r="E38" s="90"/>
      <c r="F38" s="90"/>
      <c r="G38" s="90"/>
      <c r="H38" s="90"/>
      <c r="I38" s="90"/>
      <c r="J38" s="90"/>
      <c r="K38" s="90"/>
      <c r="L38" s="90"/>
      <c r="M38" s="90"/>
      <c r="N38" s="90"/>
      <c r="O38" s="90"/>
      <c r="P38" s="90"/>
      <c r="Q38" s="90"/>
    </row>
    <row r="39" spans="1:19" ht="12.75" hidden="1" customHeight="1" x14ac:dyDescent="0.25">
      <c r="A39" s="89"/>
      <c r="E39" s="90"/>
      <c r="F39" s="90"/>
      <c r="G39" s="90"/>
      <c r="H39" s="90"/>
      <c r="I39" s="90"/>
      <c r="J39" s="90"/>
      <c r="K39" s="90"/>
      <c r="L39" s="90"/>
      <c r="M39" s="90"/>
      <c r="N39" s="90"/>
      <c r="O39" s="90"/>
      <c r="P39" s="90"/>
      <c r="Q39" s="90"/>
    </row>
    <row r="40" spans="1:19" ht="12.75" hidden="1" customHeight="1" x14ac:dyDescent="0.25">
      <c r="A40" s="89"/>
      <c r="E40" s="90"/>
      <c r="F40" s="90"/>
      <c r="G40" s="90"/>
      <c r="H40" s="90"/>
      <c r="I40" s="90"/>
      <c r="J40" s="90"/>
      <c r="K40" s="90"/>
      <c r="L40" s="90"/>
      <c r="M40" s="90"/>
      <c r="N40" s="90"/>
      <c r="O40" s="90"/>
      <c r="P40" s="90"/>
      <c r="Q40" s="90"/>
    </row>
    <row r="41" spans="1:19" ht="12.75" customHeight="1" x14ac:dyDescent="0.25">
      <c r="A41" s="89"/>
      <c r="E41" s="90"/>
      <c r="F41" s="90"/>
      <c r="G41" s="90"/>
      <c r="H41" s="90"/>
      <c r="I41" s="90"/>
      <c r="J41" s="90"/>
      <c r="K41" s="90"/>
      <c r="L41" s="90"/>
      <c r="M41" s="90"/>
      <c r="N41" s="90"/>
      <c r="O41" s="90"/>
      <c r="P41" s="90"/>
      <c r="Q41" s="90"/>
    </row>
    <row r="42" spans="1:19" ht="12.75" customHeight="1" x14ac:dyDescent="0.25">
      <c r="A42" s="89"/>
      <c r="E42" s="90"/>
      <c r="F42" s="90"/>
      <c r="G42" s="90"/>
      <c r="H42" s="90"/>
      <c r="I42" s="90"/>
      <c r="J42" s="90"/>
      <c r="K42" s="90"/>
      <c r="L42" s="90"/>
      <c r="M42" s="90"/>
      <c r="N42" s="90"/>
      <c r="O42" s="90"/>
      <c r="P42" s="90"/>
      <c r="Q42" s="90"/>
    </row>
    <row r="43" spans="1:19" ht="12.75" customHeight="1" x14ac:dyDescent="0.25">
      <c r="B43" s="774" t="s">
        <v>2</v>
      </c>
      <c r="C43" s="771" t="s">
        <v>132</v>
      </c>
      <c r="D43" s="98" t="s">
        <v>70</v>
      </c>
      <c r="E43" s="100">
        <f>E17+E28-K17</f>
        <v>125948553.12</v>
      </c>
      <c r="F43" s="100">
        <f>F17</f>
        <v>9640402.9100000001</v>
      </c>
      <c r="G43" s="100">
        <f t="shared" ref="G43:S43" si="0">G17</f>
        <v>5490662.7300000004</v>
      </c>
      <c r="H43" s="100">
        <f t="shared" si="0"/>
        <v>2785450.03</v>
      </c>
      <c r="I43" s="100">
        <f t="shared" si="0"/>
        <v>24544067.870000001</v>
      </c>
      <c r="J43" s="100">
        <f t="shared" si="0"/>
        <v>964886.66</v>
      </c>
      <c r="K43" s="100">
        <f t="shared" si="0"/>
        <v>0</v>
      </c>
      <c r="L43" s="100">
        <f t="shared" si="0"/>
        <v>8824083.3000000007</v>
      </c>
      <c r="M43" s="100">
        <f t="shared" si="0"/>
        <v>8523193.0899999999</v>
      </c>
      <c r="N43" s="100">
        <f t="shared" si="0"/>
        <v>37613664.950000003</v>
      </c>
      <c r="O43" s="100">
        <f t="shared" si="0"/>
        <v>27011615</v>
      </c>
      <c r="P43" s="100">
        <f t="shared" si="0"/>
        <v>1394039.63</v>
      </c>
      <c r="Q43" s="100">
        <f t="shared" si="0"/>
        <v>-73.75</v>
      </c>
      <c r="R43" s="100">
        <f t="shared" si="0"/>
        <v>0</v>
      </c>
      <c r="S43" s="100">
        <f t="shared" si="0"/>
        <v>0</v>
      </c>
    </row>
    <row r="44" spans="1:19" ht="12.75" customHeight="1" x14ac:dyDescent="0.25">
      <c r="B44" s="774"/>
      <c r="C44" s="771"/>
      <c r="D44" s="98" t="s">
        <v>73</v>
      </c>
      <c r="E44" s="100">
        <f>E28</f>
        <v>-843439.3</v>
      </c>
      <c r="F44" s="90"/>
      <c r="G44" s="90"/>
      <c r="H44" s="90"/>
      <c r="I44" s="90"/>
      <c r="J44" s="90"/>
      <c r="K44" s="90"/>
      <c r="L44" s="90"/>
      <c r="M44" s="90"/>
      <c r="N44" s="90"/>
      <c r="O44" s="90"/>
      <c r="P44" s="90"/>
      <c r="Q44" s="90"/>
      <c r="R44" s="90"/>
      <c r="S44" s="90"/>
    </row>
    <row r="45" spans="1:19" ht="12.75" customHeight="1" x14ac:dyDescent="0.3">
      <c r="A45" s="89"/>
      <c r="B45" s="97"/>
      <c r="E45" s="371"/>
      <c r="F45" s="90"/>
      <c r="G45" s="90"/>
      <c r="H45" s="90"/>
      <c r="I45" s="90"/>
      <c r="J45" s="90"/>
      <c r="K45" s="90"/>
      <c r="L45" s="90"/>
      <c r="M45" s="90"/>
      <c r="N45" s="90"/>
      <c r="O45" s="90"/>
      <c r="P45" s="90"/>
      <c r="Q45" s="90"/>
      <c r="R45" s="90"/>
      <c r="S45" s="90"/>
    </row>
    <row r="46" spans="1:19" ht="12.75" customHeight="1" x14ac:dyDescent="0.25">
      <c r="B46" s="774" t="s">
        <v>160</v>
      </c>
      <c r="C46" s="771" t="s">
        <v>132</v>
      </c>
      <c r="D46" s="223" t="s">
        <v>70</v>
      </c>
      <c r="E46" s="225">
        <v>0</v>
      </c>
      <c r="F46" s="225">
        <v>0</v>
      </c>
      <c r="G46" s="225">
        <v>0</v>
      </c>
      <c r="H46" s="225">
        <v>0</v>
      </c>
      <c r="I46" s="225">
        <v>0</v>
      </c>
      <c r="J46" s="225">
        <v>0</v>
      </c>
      <c r="K46" s="225">
        <v>0</v>
      </c>
      <c r="L46" s="225">
        <v>0</v>
      </c>
      <c r="M46" s="225">
        <v>0</v>
      </c>
      <c r="N46" s="225">
        <v>0</v>
      </c>
      <c r="O46" s="225">
        <v>0</v>
      </c>
      <c r="P46" s="225">
        <v>0</v>
      </c>
      <c r="Q46" s="225">
        <v>0</v>
      </c>
      <c r="R46" s="225">
        <v>0</v>
      </c>
      <c r="S46" s="225">
        <v>0</v>
      </c>
    </row>
    <row r="47" spans="1:19" ht="12.75" customHeight="1" x14ac:dyDescent="0.25">
      <c r="B47" s="774"/>
      <c r="C47" s="771"/>
      <c r="D47" s="223" t="s">
        <v>73</v>
      </c>
      <c r="E47" s="225">
        <v>0</v>
      </c>
      <c r="F47" s="90"/>
      <c r="G47" s="90"/>
      <c r="H47" s="90"/>
      <c r="I47" s="90"/>
      <c r="J47" s="90"/>
      <c r="K47" s="90"/>
      <c r="L47" s="90"/>
      <c r="M47" s="90"/>
      <c r="N47" s="90"/>
      <c r="O47" s="90"/>
      <c r="P47" s="90"/>
      <c r="Q47" s="90"/>
      <c r="R47" s="90"/>
      <c r="S47" s="90"/>
    </row>
    <row r="48" spans="1:19" ht="12.75" customHeight="1" x14ac:dyDescent="0.3">
      <c r="A48" s="89"/>
      <c r="B48" s="97"/>
      <c r="E48" s="90"/>
      <c r="F48" s="90"/>
      <c r="G48" s="90"/>
      <c r="H48" s="90"/>
      <c r="I48" s="90"/>
      <c r="J48" s="90"/>
      <c r="K48" s="90"/>
      <c r="L48" s="90"/>
      <c r="M48" s="90"/>
      <c r="N48" s="90"/>
      <c r="O48" s="90"/>
      <c r="P48" s="90"/>
      <c r="Q48" s="90"/>
      <c r="R48" s="90"/>
      <c r="S48" s="90"/>
    </row>
    <row r="49" spans="1:19" ht="12.75" customHeight="1" x14ac:dyDescent="0.25">
      <c r="B49" s="774" t="s">
        <v>155</v>
      </c>
      <c r="C49" s="771" t="s">
        <v>132</v>
      </c>
      <c r="D49" s="221" t="s">
        <v>70</v>
      </c>
      <c r="E49" s="222">
        <f>E20+E6-K6</f>
        <v>97091142.519999996</v>
      </c>
      <c r="F49" s="222">
        <f>F6</f>
        <v>6976462.0700000003</v>
      </c>
      <c r="G49" s="222">
        <f t="shared" ref="G49:S49" si="1">G6</f>
        <v>3989520.43</v>
      </c>
      <c r="H49" s="222">
        <f t="shared" si="1"/>
        <v>1892052.01</v>
      </c>
      <c r="I49" s="222">
        <f t="shared" si="1"/>
        <v>21816860.75</v>
      </c>
      <c r="J49" s="222">
        <f t="shared" si="1"/>
        <v>885223.84</v>
      </c>
      <c r="K49" s="222">
        <f t="shared" si="1"/>
        <v>0</v>
      </c>
      <c r="L49" s="222">
        <f t="shared" si="1"/>
        <v>8066881.2199999997</v>
      </c>
      <c r="M49" s="222">
        <f t="shared" si="1"/>
        <v>7537523.3099999996</v>
      </c>
      <c r="N49" s="222">
        <f t="shared" si="1"/>
        <v>33217967.449999999</v>
      </c>
      <c r="O49" s="222">
        <f t="shared" si="1"/>
        <v>19118696.010000002</v>
      </c>
      <c r="P49" s="222">
        <f t="shared" si="1"/>
        <v>1269265.17</v>
      </c>
      <c r="Q49" s="222">
        <f t="shared" si="1"/>
        <v>-0.55000000000000004</v>
      </c>
      <c r="R49" s="222">
        <f t="shared" si="1"/>
        <v>0</v>
      </c>
      <c r="S49" s="222">
        <f t="shared" si="1"/>
        <v>0</v>
      </c>
    </row>
    <row r="50" spans="1:19" ht="12.75" customHeight="1" x14ac:dyDescent="0.25">
      <c r="B50" s="774"/>
      <c r="C50" s="771"/>
      <c r="D50" s="221" t="s">
        <v>73</v>
      </c>
      <c r="E50" s="222">
        <f>E20</f>
        <v>-7679309.1900000004</v>
      </c>
      <c r="F50" s="90"/>
      <c r="G50" s="90"/>
      <c r="H50" s="90"/>
      <c r="I50" s="90"/>
      <c r="J50" s="90"/>
      <c r="K50" s="90"/>
      <c r="L50" s="90"/>
      <c r="M50" s="90"/>
      <c r="N50" s="90"/>
      <c r="O50" s="90"/>
      <c r="P50" s="90"/>
      <c r="Q50" s="90"/>
      <c r="R50" s="90"/>
      <c r="S50" s="90"/>
    </row>
    <row r="51" spans="1:19" ht="12.75" customHeight="1" x14ac:dyDescent="0.3">
      <c r="A51" s="89"/>
      <c r="B51" s="97"/>
      <c r="E51" s="90"/>
      <c r="F51" s="90"/>
      <c r="G51" s="90"/>
      <c r="H51" s="90"/>
      <c r="I51" s="90"/>
      <c r="J51" s="90"/>
      <c r="K51" s="90"/>
      <c r="L51" s="90"/>
      <c r="M51" s="90"/>
      <c r="N51" s="90"/>
      <c r="O51" s="90"/>
      <c r="P51" s="90"/>
      <c r="Q51" s="90"/>
      <c r="R51" s="90"/>
      <c r="S51" s="90"/>
    </row>
    <row r="52" spans="1:19" ht="12.75" customHeight="1" x14ac:dyDescent="0.25">
      <c r="B52" s="772" t="s">
        <v>328</v>
      </c>
      <c r="C52" s="771" t="s">
        <v>132</v>
      </c>
      <c r="D52" s="373" t="s">
        <v>70</v>
      </c>
      <c r="E52" s="374">
        <v>0</v>
      </c>
      <c r="F52" s="374">
        <v>0</v>
      </c>
      <c r="G52" s="374">
        <v>0</v>
      </c>
      <c r="H52" s="374">
        <v>0</v>
      </c>
      <c r="I52" s="374">
        <v>0</v>
      </c>
      <c r="J52" s="374">
        <v>0</v>
      </c>
      <c r="K52" s="374">
        <v>0</v>
      </c>
      <c r="L52" s="374">
        <v>0</v>
      </c>
      <c r="M52" s="374">
        <v>0</v>
      </c>
      <c r="N52" s="374">
        <v>0</v>
      </c>
      <c r="O52" s="374">
        <v>0</v>
      </c>
      <c r="P52" s="374">
        <v>0</v>
      </c>
      <c r="Q52" s="374">
        <v>0</v>
      </c>
      <c r="R52" s="374">
        <v>0</v>
      </c>
    </row>
    <row r="53" spans="1:19" ht="12.75" customHeight="1" x14ac:dyDescent="0.25">
      <c r="B53" s="772"/>
      <c r="C53" s="771"/>
      <c r="D53" s="373" t="s">
        <v>73</v>
      </c>
      <c r="E53" s="374">
        <v>0</v>
      </c>
      <c r="F53" s="90"/>
      <c r="G53" s="90"/>
      <c r="H53" s="90"/>
      <c r="I53" s="90"/>
      <c r="J53" s="90"/>
      <c r="K53" s="90"/>
      <c r="L53" s="90"/>
      <c r="M53" s="90"/>
      <c r="N53" s="90"/>
      <c r="O53" s="90"/>
      <c r="P53" s="90"/>
      <c r="Q53" s="90"/>
      <c r="R53" s="90"/>
    </row>
    <row r="54" spans="1:19" ht="12.75" customHeight="1" x14ac:dyDescent="0.3">
      <c r="A54" s="89"/>
      <c r="B54" s="97"/>
      <c r="E54" s="90"/>
      <c r="F54" s="90"/>
      <c r="G54" s="90"/>
      <c r="H54" s="90"/>
      <c r="I54" s="90"/>
      <c r="J54" s="90"/>
      <c r="K54" s="90"/>
      <c r="L54" s="90"/>
      <c r="M54" s="90"/>
      <c r="N54" s="90"/>
      <c r="O54" s="90"/>
      <c r="P54" s="90"/>
      <c r="Q54" s="90"/>
      <c r="R54" s="90"/>
      <c r="S54" s="90"/>
    </row>
    <row r="55" spans="1:19" ht="12.75" customHeight="1" x14ac:dyDescent="0.25">
      <c r="B55" s="774" t="s">
        <v>119</v>
      </c>
      <c r="C55" s="771" t="s">
        <v>132</v>
      </c>
      <c r="D55" s="101" t="s">
        <v>70</v>
      </c>
      <c r="E55" s="93">
        <f>E16+E27-K16</f>
        <v>28857410.600000001</v>
      </c>
      <c r="F55" s="93">
        <f>F16</f>
        <v>2663940.84</v>
      </c>
      <c r="G55" s="93">
        <f t="shared" ref="G55:S55" si="2">G16</f>
        <v>1501142.3</v>
      </c>
      <c r="H55" s="93">
        <f t="shared" si="2"/>
        <v>893398.02</v>
      </c>
      <c r="I55" s="93">
        <f t="shared" si="2"/>
        <v>2727207.12</v>
      </c>
      <c r="J55" s="93">
        <f t="shared" si="2"/>
        <v>79662.820000000007</v>
      </c>
      <c r="K55" s="93">
        <f t="shared" si="2"/>
        <v>0</v>
      </c>
      <c r="L55" s="93">
        <f t="shared" si="2"/>
        <v>757202.08</v>
      </c>
      <c r="M55" s="93">
        <f t="shared" si="2"/>
        <v>985669.78</v>
      </c>
      <c r="N55" s="93">
        <f t="shared" si="2"/>
        <v>4395697.5</v>
      </c>
      <c r="O55" s="93">
        <f t="shared" si="2"/>
        <v>7892918.9900000002</v>
      </c>
      <c r="P55" s="93">
        <f t="shared" si="2"/>
        <v>124774.46</v>
      </c>
      <c r="Q55" s="93">
        <f t="shared" si="2"/>
        <v>-73.2</v>
      </c>
      <c r="R55" s="93">
        <f t="shared" si="2"/>
        <v>0</v>
      </c>
      <c r="S55" s="93">
        <f t="shared" si="2"/>
        <v>0</v>
      </c>
    </row>
    <row r="56" spans="1:19" ht="12.75" customHeight="1" x14ac:dyDescent="0.25">
      <c r="B56" s="774"/>
      <c r="C56" s="771"/>
      <c r="D56" s="101" t="s">
        <v>73</v>
      </c>
      <c r="E56" s="93">
        <f>E27</f>
        <v>6835869.8899999997</v>
      </c>
      <c r="F56" s="90"/>
      <c r="G56" s="90"/>
      <c r="H56" s="90"/>
      <c r="I56" s="90"/>
      <c r="J56" s="90"/>
      <c r="K56" s="90"/>
      <c r="L56" s="90"/>
      <c r="M56" s="90"/>
      <c r="N56" s="90"/>
      <c r="O56" s="90"/>
      <c r="P56" s="90"/>
      <c r="Q56" s="90"/>
      <c r="R56" s="90"/>
      <c r="S56" s="90"/>
    </row>
    <row r="57" spans="1:19" ht="12.75" customHeight="1" x14ac:dyDescent="0.3">
      <c r="A57" s="89"/>
      <c r="B57" s="97"/>
      <c r="E57" s="90"/>
      <c r="F57" s="90"/>
      <c r="G57" s="90"/>
      <c r="H57" s="90"/>
      <c r="I57" s="90"/>
      <c r="J57" s="90"/>
      <c r="K57" s="90"/>
      <c r="L57" s="90"/>
      <c r="M57" s="90"/>
      <c r="N57" s="90"/>
      <c r="O57" s="90"/>
      <c r="P57" s="90"/>
      <c r="Q57" s="90"/>
      <c r="R57" s="90"/>
      <c r="S57" s="90"/>
    </row>
    <row r="58" spans="1:19" ht="12.75" customHeight="1" x14ac:dyDescent="0.25">
      <c r="B58" s="773" t="s">
        <v>161</v>
      </c>
      <c r="C58" s="771" t="s">
        <v>132</v>
      </c>
      <c r="D58" s="231" t="s">
        <v>70</v>
      </c>
      <c r="E58" s="232">
        <v>0</v>
      </c>
      <c r="F58" s="232">
        <v>0</v>
      </c>
      <c r="G58" s="232">
        <v>0</v>
      </c>
      <c r="H58" s="232">
        <v>0</v>
      </c>
      <c r="I58" s="232">
        <v>0</v>
      </c>
      <c r="J58" s="232">
        <v>0</v>
      </c>
      <c r="K58" s="232">
        <v>0</v>
      </c>
      <c r="L58" s="232">
        <v>0</v>
      </c>
      <c r="M58" s="232">
        <v>0</v>
      </c>
      <c r="N58" s="232">
        <v>0</v>
      </c>
      <c r="O58" s="232">
        <v>0</v>
      </c>
      <c r="P58" s="232">
        <v>0</v>
      </c>
      <c r="Q58" s="232">
        <v>0</v>
      </c>
      <c r="R58" s="232">
        <v>0</v>
      </c>
      <c r="S58" s="232">
        <v>0</v>
      </c>
    </row>
    <row r="59" spans="1:19" ht="12.75" customHeight="1" x14ac:dyDescent="0.25">
      <c r="B59" s="773"/>
      <c r="C59" s="771"/>
      <c r="D59" s="231" t="s">
        <v>73</v>
      </c>
      <c r="E59" s="232">
        <v>0</v>
      </c>
      <c r="F59" s="90"/>
      <c r="G59" s="90"/>
      <c r="H59" s="90"/>
      <c r="I59" s="90"/>
      <c r="J59" s="90"/>
      <c r="K59" s="90"/>
      <c r="L59" s="90"/>
      <c r="M59" s="90"/>
      <c r="N59" s="90"/>
      <c r="O59" s="90"/>
      <c r="P59" s="90"/>
      <c r="Q59" s="90"/>
      <c r="R59" s="90"/>
    </row>
    <row r="60" spans="1:19" s="238" customFormat="1" x14ac:dyDescent="0.25"/>
    <row r="61" spans="1:19" ht="13" x14ac:dyDescent="0.3">
      <c r="B61" s="97" t="s">
        <v>75</v>
      </c>
    </row>
    <row r="62" spans="1:19" ht="12.75" customHeight="1" x14ac:dyDescent="0.25">
      <c r="E62" s="89" t="s">
        <v>70</v>
      </c>
      <c r="F62" s="89" t="s">
        <v>64</v>
      </c>
      <c r="G62" s="89" t="s">
        <v>65</v>
      </c>
      <c r="H62" s="219" t="s">
        <v>164</v>
      </c>
      <c r="I62" s="89" t="s">
        <v>69</v>
      </c>
      <c r="J62" s="89" t="s">
        <v>68</v>
      </c>
      <c r="K62" s="89" t="s">
        <v>83</v>
      </c>
      <c r="L62" s="89" t="s">
        <v>66</v>
      </c>
      <c r="M62" s="89" t="s">
        <v>63</v>
      </c>
      <c r="N62" s="89" t="s">
        <v>61</v>
      </c>
      <c r="O62" s="89" t="s">
        <v>62</v>
      </c>
      <c r="P62" s="89" t="s">
        <v>67</v>
      </c>
      <c r="Q62" s="89" t="s">
        <v>84</v>
      </c>
      <c r="R62" s="384" t="s">
        <v>227</v>
      </c>
    </row>
    <row r="63" spans="1:19" ht="12.75" customHeight="1" x14ac:dyDescent="0.25">
      <c r="B63" s="142"/>
      <c r="D63" s="89" t="s">
        <v>72</v>
      </c>
      <c r="E63" s="90">
        <v>71702408.709999993</v>
      </c>
      <c r="F63" s="90">
        <v>4119196.88</v>
      </c>
      <c r="G63" s="90">
        <v>2445784.34</v>
      </c>
      <c r="H63" s="90">
        <v>988499.28</v>
      </c>
      <c r="I63" s="90">
        <v>18958221.460000001</v>
      </c>
      <c r="J63" s="90">
        <v>632942.16</v>
      </c>
      <c r="K63" s="90">
        <v>0</v>
      </c>
      <c r="L63" s="90">
        <v>5923929.5</v>
      </c>
      <c r="M63" s="90">
        <v>5752498.0499999998</v>
      </c>
      <c r="N63" s="90">
        <v>23264098.649999999</v>
      </c>
      <c r="O63" s="90">
        <v>8731555.5600000005</v>
      </c>
      <c r="P63" s="90">
        <v>885560.39</v>
      </c>
      <c r="Q63" s="90">
        <v>122.44</v>
      </c>
      <c r="R63">
        <v>0</v>
      </c>
    </row>
    <row r="64" spans="1:19" ht="12.75" customHeight="1" x14ac:dyDescent="0.25">
      <c r="B64" s="142"/>
      <c r="D64" s="89" t="s">
        <v>81</v>
      </c>
      <c r="E64" s="90">
        <v>95038.85</v>
      </c>
      <c r="F64" s="90">
        <v>9024.33</v>
      </c>
      <c r="G64" s="90">
        <v>4730.41</v>
      </c>
      <c r="H64" s="90">
        <v>2571.8200000000002</v>
      </c>
      <c r="I64" s="90">
        <v>19131.48</v>
      </c>
      <c r="J64" s="90">
        <v>648.99</v>
      </c>
      <c r="K64" s="90">
        <v>0</v>
      </c>
      <c r="L64" s="90">
        <v>5659.74</v>
      </c>
      <c r="M64" s="90">
        <v>6117.92</v>
      </c>
      <c r="N64" s="90">
        <v>28047</v>
      </c>
      <c r="O64" s="90">
        <v>18026.080000000002</v>
      </c>
      <c r="P64" s="90">
        <v>1059.27</v>
      </c>
      <c r="Q64" s="90">
        <v>21.81</v>
      </c>
      <c r="R64">
        <v>0</v>
      </c>
    </row>
    <row r="65" spans="2:18" ht="12.75" customHeight="1" x14ac:dyDescent="0.25">
      <c r="B65" s="142"/>
      <c r="C65" t="s">
        <v>156</v>
      </c>
      <c r="D65" s="89" t="s">
        <v>70</v>
      </c>
      <c r="E65" s="371">
        <v>71797447.560000002</v>
      </c>
      <c r="F65" s="90">
        <v>4128221.21</v>
      </c>
      <c r="G65" s="90">
        <v>2450514.75</v>
      </c>
      <c r="H65" s="90">
        <v>991071.1</v>
      </c>
      <c r="I65" s="90">
        <v>18977352.940000001</v>
      </c>
      <c r="J65" s="90">
        <v>633591.15</v>
      </c>
      <c r="K65" s="90">
        <v>0</v>
      </c>
      <c r="L65" s="90">
        <v>5929589.2400000002</v>
      </c>
      <c r="M65" s="90">
        <v>5758615.9699999997</v>
      </c>
      <c r="N65" s="90">
        <v>23292145.649999999</v>
      </c>
      <c r="O65" s="90">
        <v>8749581.6400000006</v>
      </c>
      <c r="P65" s="90">
        <v>886619.66</v>
      </c>
      <c r="Q65" s="90">
        <v>144.25</v>
      </c>
      <c r="R65">
        <v>0</v>
      </c>
    </row>
    <row r="66" spans="2:18" s="286" customFormat="1" ht="12.75" customHeight="1" x14ac:dyDescent="0.25">
      <c r="B66" s="752" t="s">
        <v>155</v>
      </c>
      <c r="C66" s="286" t="s">
        <v>70</v>
      </c>
      <c r="D66" s="229"/>
      <c r="E66" s="753">
        <v>71797447.560000002</v>
      </c>
      <c r="F66" s="230">
        <v>4128221.21</v>
      </c>
      <c r="G66" s="230">
        <v>2450514.75</v>
      </c>
      <c r="H66" s="230">
        <v>991071.1</v>
      </c>
      <c r="I66" s="230">
        <v>18977352.940000001</v>
      </c>
      <c r="J66" s="230">
        <v>633591.15</v>
      </c>
      <c r="K66" s="230">
        <v>0</v>
      </c>
      <c r="L66" s="230">
        <v>5929589.2400000002</v>
      </c>
      <c r="M66" s="230">
        <v>5758615.9699999997</v>
      </c>
      <c r="N66" s="230">
        <v>23292145.649999999</v>
      </c>
      <c r="O66" s="230">
        <v>8749581.6400000006</v>
      </c>
      <c r="P66" s="230">
        <v>886619.66</v>
      </c>
      <c r="Q66" s="230">
        <v>144.25</v>
      </c>
      <c r="R66" s="286">
        <v>0</v>
      </c>
    </row>
    <row r="67" spans="2:18" ht="12.65" customHeight="1" x14ac:dyDescent="0.25">
      <c r="B67" s="142"/>
      <c r="D67" s="89" t="s">
        <v>72</v>
      </c>
      <c r="E67" s="371">
        <v>22093258.93</v>
      </c>
      <c r="F67" s="90">
        <v>1421141.73</v>
      </c>
      <c r="G67" s="90">
        <v>778144.37</v>
      </c>
      <c r="H67" s="90">
        <v>342749</v>
      </c>
      <c r="I67" s="90">
        <v>6034872.3399999999</v>
      </c>
      <c r="J67" s="90">
        <v>158457.39000000001</v>
      </c>
      <c r="K67" s="90">
        <v>0</v>
      </c>
      <c r="L67" s="90">
        <v>1458906.22</v>
      </c>
      <c r="M67" s="90">
        <v>1770857.01</v>
      </c>
      <c r="N67" s="90">
        <v>5515356.04</v>
      </c>
      <c r="O67" s="90">
        <v>4418000.63</v>
      </c>
      <c r="P67" s="90">
        <v>194910.48</v>
      </c>
      <c r="Q67" s="90">
        <v>-136.28</v>
      </c>
      <c r="R67">
        <v>0</v>
      </c>
    </row>
    <row r="68" spans="2:18" ht="12.75" customHeight="1" x14ac:dyDescent="0.25">
      <c r="B68" s="142"/>
      <c r="D68" s="89" t="s">
        <v>81</v>
      </c>
      <c r="E68" s="371">
        <v>17021.45</v>
      </c>
      <c r="F68" s="90">
        <v>1413.33</v>
      </c>
      <c r="G68" s="90">
        <v>751.77</v>
      </c>
      <c r="H68" s="90">
        <v>431.98</v>
      </c>
      <c r="I68" s="90">
        <v>3886.9</v>
      </c>
      <c r="J68" s="90">
        <v>91.78</v>
      </c>
      <c r="K68" s="90">
        <v>0</v>
      </c>
      <c r="L68" s="90">
        <v>805.04</v>
      </c>
      <c r="M68" s="90">
        <v>1177.57</v>
      </c>
      <c r="N68" s="90">
        <v>5500.97</v>
      </c>
      <c r="O68" s="90">
        <v>2812.31</v>
      </c>
      <c r="P68" s="90">
        <v>149.78</v>
      </c>
      <c r="Q68" s="90">
        <v>0.02</v>
      </c>
      <c r="R68">
        <v>0</v>
      </c>
    </row>
    <row r="69" spans="2:18" ht="12.75" customHeight="1" x14ac:dyDescent="0.25">
      <c r="B69" s="142"/>
      <c r="C69" t="s">
        <v>115</v>
      </c>
      <c r="D69" s="89" t="s">
        <v>70</v>
      </c>
      <c r="E69" s="90">
        <v>22110280.379999999</v>
      </c>
      <c r="F69" s="90">
        <v>1422555.06</v>
      </c>
      <c r="G69" s="90">
        <v>778896.14</v>
      </c>
      <c r="H69" s="90">
        <v>343180.98</v>
      </c>
      <c r="I69" s="90">
        <v>6038759.2400000002</v>
      </c>
      <c r="J69" s="90">
        <v>158549.17000000001</v>
      </c>
      <c r="K69" s="90">
        <v>0</v>
      </c>
      <c r="L69" s="90">
        <v>1459711.26</v>
      </c>
      <c r="M69" s="90">
        <v>1772034.58</v>
      </c>
      <c r="N69" s="90">
        <v>5520857.0099999998</v>
      </c>
      <c r="O69" s="90">
        <v>4420812.9400000004</v>
      </c>
      <c r="P69" s="90">
        <v>195060.26</v>
      </c>
      <c r="Q69" s="90">
        <v>-136.26</v>
      </c>
      <c r="R69">
        <v>0</v>
      </c>
    </row>
    <row r="70" spans="2:18" ht="12.75" customHeight="1" x14ac:dyDescent="0.25">
      <c r="B70" s="142"/>
      <c r="D70" s="89" t="s">
        <v>72</v>
      </c>
      <c r="E70" s="90">
        <v>1616173.63</v>
      </c>
      <c r="F70" s="90">
        <v>90529.5</v>
      </c>
      <c r="G70" s="90">
        <v>47826.83</v>
      </c>
      <c r="H70" s="90">
        <v>24108.87</v>
      </c>
      <c r="I70" s="90">
        <v>433611.64</v>
      </c>
      <c r="J70" s="90">
        <v>13309</v>
      </c>
      <c r="K70" s="90">
        <v>0</v>
      </c>
      <c r="L70" s="90">
        <v>100420.03</v>
      </c>
      <c r="M70" s="90">
        <v>121133.57</v>
      </c>
      <c r="N70" s="90">
        <v>423371.69</v>
      </c>
      <c r="O70" s="90">
        <v>346736.28</v>
      </c>
      <c r="P70" s="90">
        <v>15115.46</v>
      </c>
      <c r="Q70" s="90">
        <v>10.76</v>
      </c>
      <c r="R70">
        <v>0</v>
      </c>
    </row>
    <row r="71" spans="2:18" ht="12.75" customHeight="1" x14ac:dyDescent="0.25">
      <c r="B71" s="142"/>
      <c r="C71" s="89"/>
      <c r="D71" s="89" t="s">
        <v>81</v>
      </c>
      <c r="E71" s="371">
        <v>406.42</v>
      </c>
      <c r="F71" s="90">
        <v>41.47</v>
      </c>
      <c r="G71" s="90">
        <v>21.23</v>
      </c>
      <c r="H71" s="90">
        <v>12.67</v>
      </c>
      <c r="I71" s="90">
        <v>83.96</v>
      </c>
      <c r="J71" s="90">
        <v>1.95</v>
      </c>
      <c r="K71" s="90">
        <v>0</v>
      </c>
      <c r="L71" s="90">
        <v>17.12</v>
      </c>
      <c r="M71" s="90">
        <v>25.02</v>
      </c>
      <c r="N71" s="90">
        <v>117.24</v>
      </c>
      <c r="O71" s="90">
        <v>82.58</v>
      </c>
      <c r="P71" s="90">
        <v>3.19</v>
      </c>
      <c r="Q71" s="90">
        <v>-0.01</v>
      </c>
      <c r="R71">
        <v>0</v>
      </c>
    </row>
    <row r="72" spans="2:18" ht="12.75" customHeight="1" x14ac:dyDescent="0.25">
      <c r="B72" s="142"/>
      <c r="C72" s="89" t="s">
        <v>116</v>
      </c>
      <c r="D72" s="89" t="s">
        <v>70</v>
      </c>
      <c r="E72" s="371">
        <v>1616580.05</v>
      </c>
      <c r="F72" s="90">
        <v>90570.97</v>
      </c>
      <c r="G72" s="90">
        <v>47848.06</v>
      </c>
      <c r="H72" s="90">
        <v>24121.54</v>
      </c>
      <c r="I72" s="90">
        <v>433695.6</v>
      </c>
      <c r="J72" s="90">
        <v>13310.95</v>
      </c>
      <c r="K72" s="90">
        <v>0</v>
      </c>
      <c r="L72" s="90">
        <v>100437.15</v>
      </c>
      <c r="M72" s="90">
        <v>121158.59</v>
      </c>
      <c r="N72" s="90">
        <v>423488.93</v>
      </c>
      <c r="O72" s="90">
        <v>346818.86</v>
      </c>
      <c r="P72" s="90">
        <v>15118.65</v>
      </c>
      <c r="Q72" s="90">
        <v>10.75</v>
      </c>
      <c r="R72">
        <v>0</v>
      </c>
    </row>
    <row r="73" spans="2:18" ht="12.75" customHeight="1" x14ac:dyDescent="0.25">
      <c r="B73" s="142"/>
      <c r="C73" s="89"/>
      <c r="D73" s="89" t="s">
        <v>72</v>
      </c>
      <c r="E73" s="371">
        <v>27690465.370000001</v>
      </c>
      <c r="F73" s="90">
        <v>1701572.26</v>
      </c>
      <c r="G73" s="90">
        <v>971553.65</v>
      </c>
      <c r="H73" s="90">
        <v>405189.21</v>
      </c>
      <c r="I73" s="90">
        <v>7839404.5700000003</v>
      </c>
      <c r="J73" s="90">
        <v>234550.49</v>
      </c>
      <c r="K73" s="90">
        <v>0</v>
      </c>
      <c r="L73" s="90">
        <v>2072653.22</v>
      </c>
      <c r="M73" s="90">
        <v>2236559.98</v>
      </c>
      <c r="N73" s="90">
        <v>8259845.4400000004</v>
      </c>
      <c r="O73" s="90">
        <v>3677240.61</v>
      </c>
      <c r="P73" s="90">
        <v>291796.3</v>
      </c>
      <c r="Q73" s="90">
        <v>99.64</v>
      </c>
      <c r="R73">
        <v>0</v>
      </c>
    </row>
    <row r="74" spans="2:18" ht="12.75" customHeight="1" x14ac:dyDescent="0.25">
      <c r="B74" s="142"/>
      <c r="C74" s="89"/>
      <c r="D74" s="89" t="s">
        <v>81</v>
      </c>
      <c r="E74" s="371">
        <v>220606.32</v>
      </c>
      <c r="F74" s="90">
        <v>2079.3000000000002</v>
      </c>
      <c r="G74" s="90">
        <v>1101.5999999999999</v>
      </c>
      <c r="H74" s="90">
        <v>634.08000000000004</v>
      </c>
      <c r="I74" s="90">
        <v>4056.19</v>
      </c>
      <c r="J74" s="90">
        <v>100.05</v>
      </c>
      <c r="K74" s="90">
        <v>0</v>
      </c>
      <c r="L74" s="90">
        <v>31497.06</v>
      </c>
      <c r="M74" s="90">
        <v>39422.949999999997</v>
      </c>
      <c r="N74" s="90">
        <v>118658.47</v>
      </c>
      <c r="O74" s="90">
        <v>22893.4</v>
      </c>
      <c r="P74" s="90">
        <v>163.27000000000001</v>
      </c>
      <c r="Q74" s="90">
        <v>-0.05</v>
      </c>
      <c r="R74">
        <v>0</v>
      </c>
    </row>
    <row r="75" spans="2:18" ht="12.75" customHeight="1" x14ac:dyDescent="0.25">
      <c r="B75" s="142"/>
      <c r="C75" s="89" t="s">
        <v>118</v>
      </c>
      <c r="D75" s="89" t="s">
        <v>70</v>
      </c>
      <c r="E75" s="371">
        <v>27911071.690000001</v>
      </c>
      <c r="F75" s="90">
        <v>1703651.56</v>
      </c>
      <c r="G75" s="90">
        <v>972655.25</v>
      </c>
      <c r="H75" s="90">
        <v>405823.29</v>
      </c>
      <c r="I75" s="90">
        <v>7843460.7599999998</v>
      </c>
      <c r="J75" s="90">
        <v>234650.54</v>
      </c>
      <c r="K75" s="90">
        <v>0</v>
      </c>
      <c r="L75" s="90">
        <v>2104150.2799999998</v>
      </c>
      <c r="M75" s="90">
        <v>2275982.9300000002</v>
      </c>
      <c r="N75" s="90">
        <v>8378503.9100000001</v>
      </c>
      <c r="O75" s="90">
        <v>3700134.01</v>
      </c>
      <c r="P75" s="90">
        <v>291959.57</v>
      </c>
      <c r="Q75" s="90">
        <v>99.59</v>
      </c>
      <c r="R75">
        <v>0</v>
      </c>
    </row>
    <row r="76" spans="2:18" ht="12.75" customHeight="1" x14ac:dyDescent="0.25">
      <c r="B76" s="142"/>
      <c r="C76" s="89"/>
      <c r="D76" s="89" t="s">
        <v>72</v>
      </c>
      <c r="E76" s="371">
        <v>831919.29</v>
      </c>
      <c r="F76" s="90">
        <v>0</v>
      </c>
      <c r="G76" s="90">
        <v>0</v>
      </c>
      <c r="H76" s="90">
        <v>0</v>
      </c>
      <c r="I76" s="90">
        <v>0</v>
      </c>
      <c r="J76" s="90">
        <v>0</v>
      </c>
      <c r="K76" s="90">
        <v>0</v>
      </c>
      <c r="L76" s="90">
        <v>4321.1400000000003</v>
      </c>
      <c r="M76" s="90">
        <v>6126.52</v>
      </c>
      <c r="N76" s="90">
        <v>6629.52</v>
      </c>
      <c r="O76" s="90">
        <v>814845.14</v>
      </c>
      <c r="P76" s="90">
        <v>0</v>
      </c>
      <c r="Q76" s="90">
        <v>-3.03</v>
      </c>
      <c r="R76">
        <v>0</v>
      </c>
    </row>
    <row r="77" spans="2:18" ht="12.75" customHeight="1" x14ac:dyDescent="0.25">
      <c r="B77" s="142"/>
      <c r="C77" s="89" t="s">
        <v>334</v>
      </c>
      <c r="D77" s="89" t="s">
        <v>70</v>
      </c>
      <c r="E77" s="371">
        <v>831919.29</v>
      </c>
      <c r="F77" s="90">
        <v>0</v>
      </c>
      <c r="G77" s="90">
        <v>0</v>
      </c>
      <c r="H77" s="90">
        <v>0</v>
      </c>
      <c r="I77" s="90">
        <v>0</v>
      </c>
      <c r="J77" s="90">
        <v>0</v>
      </c>
      <c r="K77" s="90">
        <v>0</v>
      </c>
      <c r="L77" s="90">
        <v>4321.1400000000003</v>
      </c>
      <c r="M77" s="90">
        <v>6126.52</v>
      </c>
      <c r="N77" s="90">
        <v>6629.52</v>
      </c>
      <c r="O77" s="90">
        <v>814845.14</v>
      </c>
      <c r="P77" s="90">
        <v>0</v>
      </c>
      <c r="Q77" s="90">
        <v>-3.03</v>
      </c>
      <c r="R77">
        <v>0</v>
      </c>
    </row>
    <row r="78" spans="2:18" s="224" customFormat="1" ht="12.75" customHeight="1" x14ac:dyDescent="0.25">
      <c r="B78" s="224" t="s">
        <v>120</v>
      </c>
      <c r="C78" s="224" t="s">
        <v>70</v>
      </c>
      <c r="E78" s="224">
        <v>52469851.409999996</v>
      </c>
      <c r="F78" s="224">
        <v>3216777.59</v>
      </c>
      <c r="G78" s="224">
        <v>1799399.45</v>
      </c>
      <c r="H78" s="224">
        <v>773125.81</v>
      </c>
      <c r="I78" s="224">
        <v>14315915.6</v>
      </c>
      <c r="J78" s="224">
        <v>406510.66</v>
      </c>
      <c r="K78" s="224">
        <v>0</v>
      </c>
      <c r="L78" s="224">
        <v>3668619.83</v>
      </c>
      <c r="M78" s="224">
        <v>4175302.62</v>
      </c>
      <c r="N78" s="224">
        <v>14329479.369999999</v>
      </c>
      <c r="O78" s="224">
        <v>9282610.9499999993</v>
      </c>
      <c r="P78" s="224">
        <v>502138.48</v>
      </c>
      <c r="Q78" s="224">
        <v>-28.95</v>
      </c>
      <c r="R78" s="224">
        <v>0</v>
      </c>
    </row>
    <row r="79" spans="2:18" ht="12.75" customHeight="1" x14ac:dyDescent="0.25">
      <c r="D79" t="s">
        <v>72</v>
      </c>
      <c r="E79" s="142">
        <v>11075334.51</v>
      </c>
      <c r="F79">
        <v>821378.55</v>
      </c>
      <c r="G79">
        <v>465927.35</v>
      </c>
      <c r="H79">
        <v>215214.87</v>
      </c>
      <c r="I79">
        <v>2963943.27</v>
      </c>
      <c r="J79">
        <v>82515.34</v>
      </c>
      <c r="K79">
        <v>0</v>
      </c>
      <c r="L79">
        <v>658290.51</v>
      </c>
      <c r="M79">
        <v>834824.5</v>
      </c>
      <c r="N79">
        <v>3348380.91</v>
      </c>
      <c r="O79">
        <v>1591238.38</v>
      </c>
      <c r="P79">
        <v>93600.37</v>
      </c>
      <c r="Q79">
        <v>20.46</v>
      </c>
      <c r="R79">
        <v>0</v>
      </c>
    </row>
    <row r="80" spans="2:18" ht="12.75" customHeight="1" x14ac:dyDescent="0.25">
      <c r="D80" t="s">
        <v>81</v>
      </c>
      <c r="E80" s="142">
        <v>20136.060000000001</v>
      </c>
      <c r="F80">
        <v>2455.33</v>
      </c>
      <c r="G80">
        <v>1132.97</v>
      </c>
      <c r="H80">
        <v>675.49</v>
      </c>
      <c r="I80">
        <v>3924.78</v>
      </c>
      <c r="J80">
        <v>92.44</v>
      </c>
      <c r="K80">
        <v>0</v>
      </c>
      <c r="L80">
        <v>810.75</v>
      </c>
      <c r="M80">
        <v>1058.05</v>
      </c>
      <c r="N80">
        <v>4906.9799999999996</v>
      </c>
      <c r="O80">
        <v>4928.45</v>
      </c>
      <c r="P80">
        <v>150.80000000000001</v>
      </c>
      <c r="Q80">
        <v>0.02</v>
      </c>
      <c r="R80">
        <v>0</v>
      </c>
    </row>
    <row r="81" spans="1:18" ht="12.75" customHeight="1" x14ac:dyDescent="0.25">
      <c r="C81" t="s">
        <v>82</v>
      </c>
      <c r="D81" t="s">
        <v>70</v>
      </c>
      <c r="E81" s="142">
        <v>11095470.57</v>
      </c>
      <c r="F81">
        <v>823833.88</v>
      </c>
      <c r="G81">
        <v>467060.32</v>
      </c>
      <c r="H81">
        <v>215890.36</v>
      </c>
      <c r="I81">
        <v>2967868.05</v>
      </c>
      <c r="J81">
        <v>82607.78</v>
      </c>
      <c r="K81">
        <v>0</v>
      </c>
      <c r="L81">
        <v>659101.26</v>
      </c>
      <c r="M81">
        <v>835882.55</v>
      </c>
      <c r="N81">
        <v>3353287.89</v>
      </c>
      <c r="O81">
        <v>1596166.83</v>
      </c>
      <c r="P81">
        <v>93751.17</v>
      </c>
      <c r="Q81">
        <v>20.48</v>
      </c>
      <c r="R81">
        <v>0</v>
      </c>
    </row>
    <row r="82" spans="1:18" ht="12.75" customHeight="1" x14ac:dyDescent="0.25">
      <c r="D82" t="s">
        <v>72</v>
      </c>
      <c r="E82" s="142">
        <v>38346937.409999996</v>
      </c>
      <c r="F82">
        <v>3218428.18</v>
      </c>
      <c r="G82">
        <v>1802927.88</v>
      </c>
      <c r="H82">
        <v>864947.8</v>
      </c>
      <c r="I82">
        <v>8956303.5800000001</v>
      </c>
      <c r="J82">
        <v>272835.84999999998</v>
      </c>
      <c r="K82">
        <v>0</v>
      </c>
      <c r="L82">
        <v>2439524.5499999998</v>
      </c>
      <c r="M82">
        <v>2783253.06</v>
      </c>
      <c r="N82">
        <v>10966064.279999999</v>
      </c>
      <c r="O82">
        <v>6668396.54</v>
      </c>
      <c r="P82">
        <v>374240.28</v>
      </c>
      <c r="Q82">
        <v>15.41</v>
      </c>
      <c r="R82">
        <v>0</v>
      </c>
    </row>
    <row r="83" spans="1:18" ht="12.75" customHeight="1" x14ac:dyDescent="0.25">
      <c r="D83" t="s">
        <v>81</v>
      </c>
      <c r="E83" s="142">
        <v>435116.55</v>
      </c>
      <c r="F83">
        <v>47759.13</v>
      </c>
      <c r="G83">
        <v>22622.799999999999</v>
      </c>
      <c r="H83">
        <v>11464.99</v>
      </c>
      <c r="I83">
        <v>86745.59</v>
      </c>
      <c r="J83">
        <v>2665.2</v>
      </c>
      <c r="K83">
        <v>0</v>
      </c>
      <c r="L83">
        <v>22811.78</v>
      </c>
      <c r="M83">
        <v>28601.42</v>
      </c>
      <c r="N83">
        <v>113175.65</v>
      </c>
      <c r="O83">
        <v>94916.98</v>
      </c>
      <c r="P83">
        <v>4352.25</v>
      </c>
      <c r="Q83">
        <v>0.76</v>
      </c>
      <c r="R83">
        <v>0</v>
      </c>
    </row>
    <row r="84" spans="1:18" ht="12.75" customHeight="1" x14ac:dyDescent="0.25">
      <c r="C84" t="s">
        <v>86</v>
      </c>
      <c r="D84" t="s">
        <v>70</v>
      </c>
      <c r="E84">
        <v>38782053.960000001</v>
      </c>
      <c r="F84">
        <v>3266187.31</v>
      </c>
      <c r="G84">
        <v>1825550.68</v>
      </c>
      <c r="H84">
        <v>876412.79</v>
      </c>
      <c r="I84">
        <v>9043049.1699999999</v>
      </c>
      <c r="J84">
        <v>275501.05</v>
      </c>
      <c r="K84">
        <v>0</v>
      </c>
      <c r="L84">
        <v>2462336.33</v>
      </c>
      <c r="M84">
        <v>2811854.48</v>
      </c>
      <c r="N84">
        <v>11079239.93</v>
      </c>
      <c r="O84">
        <v>6763313.5199999996</v>
      </c>
      <c r="P84">
        <v>378592.53</v>
      </c>
      <c r="Q84">
        <v>16.170000000000002</v>
      </c>
      <c r="R84">
        <v>0</v>
      </c>
    </row>
    <row r="85" spans="1:18" ht="12.75" customHeight="1" x14ac:dyDescent="0.25">
      <c r="D85" t="s">
        <v>72</v>
      </c>
      <c r="E85">
        <v>42498048.93</v>
      </c>
      <c r="F85">
        <v>5756619.9299999997</v>
      </c>
      <c r="G85">
        <v>3216233.52</v>
      </c>
      <c r="H85">
        <v>1817946.33</v>
      </c>
      <c r="I85">
        <v>1910670.24</v>
      </c>
      <c r="J85">
        <v>53108.69</v>
      </c>
      <c r="K85">
        <v>0</v>
      </c>
      <c r="L85">
        <v>473073.31</v>
      </c>
      <c r="M85">
        <v>611269.16</v>
      </c>
      <c r="N85">
        <v>2270384.89</v>
      </c>
      <c r="O85">
        <v>26329366.120000001</v>
      </c>
      <c r="P85">
        <v>59347.07</v>
      </c>
      <c r="Q85">
        <v>29.67</v>
      </c>
      <c r="R85">
        <v>0</v>
      </c>
    </row>
    <row r="86" spans="1:18" ht="12.75" customHeight="1" x14ac:dyDescent="0.25">
      <c r="D86" t="s">
        <v>81</v>
      </c>
      <c r="E86" s="142">
        <v>9526.39</v>
      </c>
      <c r="F86">
        <v>1485.4</v>
      </c>
      <c r="G86">
        <v>831.8</v>
      </c>
      <c r="H86">
        <v>440.06</v>
      </c>
      <c r="I86">
        <v>1225.21</v>
      </c>
      <c r="J86">
        <v>39.880000000000003</v>
      </c>
      <c r="K86">
        <v>0</v>
      </c>
      <c r="L86">
        <v>349.95</v>
      </c>
      <c r="M86">
        <v>378.78</v>
      </c>
      <c r="N86">
        <v>1754.01</v>
      </c>
      <c r="O86">
        <v>2956.22</v>
      </c>
      <c r="P86">
        <v>65.09</v>
      </c>
      <c r="Q86">
        <v>-0.01</v>
      </c>
      <c r="R86">
        <v>0</v>
      </c>
    </row>
    <row r="87" spans="1:18" ht="12.75" customHeight="1" x14ac:dyDescent="0.25">
      <c r="C87" s="89" t="s">
        <v>87</v>
      </c>
      <c r="D87" s="89" t="s">
        <v>70</v>
      </c>
      <c r="E87" s="90">
        <v>42507575.32</v>
      </c>
      <c r="F87" s="90">
        <v>5758105.3300000001</v>
      </c>
      <c r="G87" s="90">
        <v>3217065.32</v>
      </c>
      <c r="H87" s="90">
        <v>1818386.39</v>
      </c>
      <c r="I87" s="90">
        <v>1911895.45</v>
      </c>
      <c r="J87" s="90">
        <v>53148.57</v>
      </c>
      <c r="K87" s="90">
        <v>0</v>
      </c>
      <c r="L87" s="90">
        <v>473423.26</v>
      </c>
      <c r="M87" s="90">
        <v>611647.93999999994</v>
      </c>
      <c r="N87" s="90">
        <v>2272138.9</v>
      </c>
      <c r="O87" s="90">
        <v>26332322.34</v>
      </c>
      <c r="P87" s="90">
        <v>59412.160000000003</v>
      </c>
      <c r="Q87" s="90">
        <v>29.66</v>
      </c>
      <c r="R87">
        <v>0</v>
      </c>
    </row>
    <row r="88" spans="1:18" s="94" customFormat="1" ht="12.75" customHeight="1" x14ac:dyDescent="0.25">
      <c r="B88" s="94" t="s">
        <v>119</v>
      </c>
      <c r="C88" s="101" t="s">
        <v>70</v>
      </c>
      <c r="D88" s="101"/>
      <c r="E88" s="93">
        <v>92385099.849999994</v>
      </c>
      <c r="F88" s="93">
        <v>9848126.5199999996</v>
      </c>
      <c r="G88" s="93">
        <v>5509676.3200000003</v>
      </c>
      <c r="H88" s="93">
        <v>2910689.54</v>
      </c>
      <c r="I88" s="93">
        <v>13922812.67</v>
      </c>
      <c r="J88" s="93">
        <v>411257.4</v>
      </c>
      <c r="K88" s="93">
        <v>0</v>
      </c>
      <c r="L88" s="93">
        <v>3594860.85</v>
      </c>
      <c r="M88" s="93">
        <v>4259384.97</v>
      </c>
      <c r="N88" s="93">
        <v>16704666.720000001</v>
      </c>
      <c r="O88" s="93">
        <v>34691802.689999998</v>
      </c>
      <c r="P88" s="93">
        <v>531755.86</v>
      </c>
      <c r="Q88" s="93">
        <v>66.31</v>
      </c>
      <c r="R88" s="94">
        <v>0</v>
      </c>
    </row>
    <row r="89" spans="1:18" s="226" customFormat="1" ht="12.75" customHeight="1" x14ac:dyDescent="0.25">
      <c r="A89" s="98" t="s">
        <v>78</v>
      </c>
      <c r="B89" s="98" t="s">
        <v>70</v>
      </c>
      <c r="E89" s="100">
        <v>216652398.81999999</v>
      </c>
      <c r="F89" s="100">
        <v>17193125.32</v>
      </c>
      <c r="G89" s="100">
        <v>9759590.5199999996</v>
      </c>
      <c r="H89" s="100">
        <v>4674886.45</v>
      </c>
      <c r="I89" s="100">
        <v>47216081.210000001</v>
      </c>
      <c r="J89" s="100">
        <v>1451359.21</v>
      </c>
      <c r="K89" s="100">
        <v>0</v>
      </c>
      <c r="L89" s="100">
        <v>13193069.92</v>
      </c>
      <c r="M89" s="100">
        <v>14193303.560000001</v>
      </c>
      <c r="N89" s="100">
        <v>54326291.740000002</v>
      </c>
      <c r="O89" s="100">
        <v>52723995.280000001</v>
      </c>
      <c r="P89" s="100">
        <v>1920514</v>
      </c>
      <c r="Q89" s="100">
        <v>181.61</v>
      </c>
      <c r="R89" s="226">
        <v>0</v>
      </c>
    </row>
    <row r="90" spans="1:18" ht="12.75" customHeight="1" x14ac:dyDescent="0.25">
      <c r="C90" s="89"/>
      <c r="D90" s="89" t="s">
        <v>73</v>
      </c>
      <c r="E90" s="90">
        <v>-16121294.859999999</v>
      </c>
      <c r="F90" s="90">
        <v>-535197.18999999994</v>
      </c>
      <c r="G90" s="90">
        <v>-315094.83</v>
      </c>
      <c r="H90" s="90">
        <v>-189104.93</v>
      </c>
      <c r="I90" s="90">
        <v>-4617623.13</v>
      </c>
      <c r="J90" s="90">
        <v>-160785.5</v>
      </c>
      <c r="K90" s="90">
        <v>0</v>
      </c>
      <c r="L90" s="90">
        <v>-1360058.01</v>
      </c>
      <c r="M90" s="90">
        <v>-1315487.9099999999</v>
      </c>
      <c r="N90" s="90">
        <v>-6434917.6900000004</v>
      </c>
      <c r="O90" s="90">
        <v>-931826.69</v>
      </c>
      <c r="P90" s="90">
        <v>-261198.98</v>
      </c>
      <c r="Q90" s="90">
        <v>0</v>
      </c>
      <c r="R90">
        <v>0</v>
      </c>
    </row>
    <row r="91" spans="1:18" ht="12.75" customHeight="1" x14ac:dyDescent="0.25">
      <c r="C91" s="89" t="s">
        <v>156</v>
      </c>
      <c r="D91" s="89" t="s">
        <v>70</v>
      </c>
      <c r="E91" s="371">
        <v>-16121294.859999999</v>
      </c>
      <c r="F91" s="90">
        <v>-535197.18999999994</v>
      </c>
      <c r="G91" s="90">
        <v>-315094.83</v>
      </c>
      <c r="H91" s="90">
        <v>-189104.93</v>
      </c>
      <c r="I91" s="90">
        <v>-4617623.13</v>
      </c>
      <c r="J91" s="90">
        <v>-160785.5</v>
      </c>
      <c r="K91" s="90">
        <v>0</v>
      </c>
      <c r="L91" s="90">
        <v>-1360058.01</v>
      </c>
      <c r="M91" s="90">
        <v>-1315487.9099999999</v>
      </c>
      <c r="N91" s="90">
        <v>-6434917.6900000004</v>
      </c>
      <c r="O91" s="90">
        <v>-931826.69</v>
      </c>
      <c r="P91" s="90">
        <v>-261198.98</v>
      </c>
      <c r="Q91" s="90">
        <v>0</v>
      </c>
      <c r="R91">
        <v>0</v>
      </c>
    </row>
    <row r="92" spans="1:18" s="286" customFormat="1" ht="12.75" customHeight="1" x14ac:dyDescent="0.25">
      <c r="B92" s="286" t="s">
        <v>155</v>
      </c>
      <c r="C92" s="229" t="s">
        <v>70</v>
      </c>
      <c r="D92" s="229"/>
      <c r="E92" s="753">
        <v>-16121294.859999999</v>
      </c>
      <c r="F92" s="230">
        <v>-535197.18999999994</v>
      </c>
      <c r="G92" s="230">
        <v>-315094.83</v>
      </c>
      <c r="H92" s="230">
        <v>-189104.93</v>
      </c>
      <c r="I92" s="230">
        <v>-4617623.13</v>
      </c>
      <c r="J92" s="230">
        <v>-160785.5</v>
      </c>
      <c r="K92" s="230">
        <v>0</v>
      </c>
      <c r="L92" s="230">
        <v>-1360058.01</v>
      </c>
      <c r="M92" s="230">
        <v>-1315487.9099999999</v>
      </c>
      <c r="N92" s="230">
        <v>-6434917.6900000004</v>
      </c>
      <c r="O92" s="230">
        <v>-931826.69</v>
      </c>
      <c r="P92" s="230">
        <v>-261198.98</v>
      </c>
      <c r="Q92" s="230">
        <v>0</v>
      </c>
      <c r="R92" s="286">
        <v>0</v>
      </c>
    </row>
    <row r="93" spans="1:18" ht="12.75" customHeight="1" x14ac:dyDescent="0.25">
      <c r="C93" s="89"/>
      <c r="D93" s="89" t="s">
        <v>73</v>
      </c>
      <c r="E93" s="371">
        <v>-7006158.79</v>
      </c>
      <c r="F93" s="90">
        <v>-282130</v>
      </c>
      <c r="G93" s="90">
        <v>-165135.70000000001</v>
      </c>
      <c r="H93" s="90">
        <v>-90452.73</v>
      </c>
      <c r="I93" s="90">
        <v>-1975334.97</v>
      </c>
      <c r="J93" s="90">
        <v>-54298.01</v>
      </c>
      <c r="K93" s="90">
        <v>0</v>
      </c>
      <c r="L93" s="90">
        <v>-461440.15</v>
      </c>
      <c r="M93" s="90">
        <v>-581546.05000000005</v>
      </c>
      <c r="N93" s="90">
        <v>-2784117.01</v>
      </c>
      <c r="O93" s="90">
        <v>-524106.95</v>
      </c>
      <c r="P93" s="90">
        <v>-87597.22</v>
      </c>
      <c r="Q93" s="90">
        <v>0</v>
      </c>
      <c r="R93">
        <v>0</v>
      </c>
    </row>
    <row r="94" spans="1:18" ht="12.75" customHeight="1" x14ac:dyDescent="0.25">
      <c r="C94" s="89" t="s">
        <v>115</v>
      </c>
      <c r="D94" s="89" t="s">
        <v>70</v>
      </c>
      <c r="E94" s="90">
        <v>-7006158.79</v>
      </c>
      <c r="F94" s="90">
        <v>-282130</v>
      </c>
      <c r="G94" s="90">
        <v>-165135.70000000001</v>
      </c>
      <c r="H94" s="90">
        <v>-90452.73</v>
      </c>
      <c r="I94" s="90">
        <v>-1975334.97</v>
      </c>
      <c r="J94" s="90">
        <v>-54298.01</v>
      </c>
      <c r="K94" s="90">
        <v>0</v>
      </c>
      <c r="L94" s="90">
        <v>-461440.15</v>
      </c>
      <c r="M94" s="90">
        <v>-581546.05000000005</v>
      </c>
      <c r="N94" s="90">
        <v>-2784117.01</v>
      </c>
      <c r="O94" s="90">
        <v>-524106.95</v>
      </c>
      <c r="P94" s="90">
        <v>-87597.22</v>
      </c>
      <c r="Q94" s="90">
        <v>0</v>
      </c>
      <c r="R94">
        <v>0</v>
      </c>
    </row>
    <row r="95" spans="1:18" ht="12.75" customHeight="1" x14ac:dyDescent="0.25">
      <c r="C95" s="89"/>
      <c r="D95" s="89" t="s">
        <v>73</v>
      </c>
      <c r="E95" s="90">
        <v>-413701.38</v>
      </c>
      <c r="F95" s="90">
        <v>-13440.26</v>
      </c>
      <c r="G95" s="90">
        <v>-10533.25</v>
      </c>
      <c r="H95" s="90">
        <v>-5516.47</v>
      </c>
      <c r="I95" s="90">
        <v>-126463.9</v>
      </c>
      <c r="J95" s="90">
        <v>-3757.16</v>
      </c>
      <c r="K95" s="90">
        <v>0</v>
      </c>
      <c r="L95" s="90">
        <v>-30796.66</v>
      </c>
      <c r="M95" s="90">
        <v>-32644.48</v>
      </c>
      <c r="N95" s="90">
        <v>-158503.21</v>
      </c>
      <c r="O95" s="90">
        <v>-25915.95</v>
      </c>
      <c r="P95" s="90">
        <v>-6130.04</v>
      </c>
      <c r="Q95" s="90">
        <v>0</v>
      </c>
      <c r="R95">
        <v>0</v>
      </c>
    </row>
    <row r="96" spans="1:18" ht="12.75" customHeight="1" x14ac:dyDescent="0.25">
      <c r="C96" s="89" t="s">
        <v>116</v>
      </c>
      <c r="D96" s="89" t="s">
        <v>70</v>
      </c>
      <c r="E96" s="90">
        <v>-413701.38</v>
      </c>
      <c r="F96" s="90">
        <v>-13440.26</v>
      </c>
      <c r="G96" s="90">
        <v>-10533.25</v>
      </c>
      <c r="H96" s="90">
        <v>-5516.47</v>
      </c>
      <c r="I96" s="90">
        <v>-126463.9</v>
      </c>
      <c r="J96" s="90">
        <v>-3757.16</v>
      </c>
      <c r="K96" s="90">
        <v>0</v>
      </c>
      <c r="L96" s="90">
        <v>-30796.66</v>
      </c>
      <c r="M96" s="90">
        <v>-32644.48</v>
      </c>
      <c r="N96" s="90">
        <v>-158503.21</v>
      </c>
      <c r="O96" s="90">
        <v>-25915.95</v>
      </c>
      <c r="P96" s="90">
        <v>-6130.04</v>
      </c>
      <c r="Q96" s="90">
        <v>0</v>
      </c>
      <c r="R96">
        <v>0</v>
      </c>
    </row>
    <row r="97" spans="1:19" ht="12.75" customHeight="1" x14ac:dyDescent="0.25">
      <c r="C97" s="89"/>
      <c r="D97" s="89" t="s">
        <v>73</v>
      </c>
      <c r="E97" s="371">
        <v>-9635661.9499999993</v>
      </c>
      <c r="F97" s="90">
        <v>-380166.3</v>
      </c>
      <c r="G97" s="90">
        <v>-217737.2</v>
      </c>
      <c r="H97" s="90">
        <v>-115469.42</v>
      </c>
      <c r="I97" s="90">
        <v>-2737350.45</v>
      </c>
      <c r="J97" s="90">
        <v>-82659.66</v>
      </c>
      <c r="K97" s="90">
        <v>0</v>
      </c>
      <c r="L97" s="90">
        <v>-722316.87</v>
      </c>
      <c r="M97" s="90">
        <v>-795775.12</v>
      </c>
      <c r="N97" s="90">
        <v>-3736800.42</v>
      </c>
      <c r="O97" s="90">
        <v>-713130.36</v>
      </c>
      <c r="P97" s="90">
        <v>-134256.15</v>
      </c>
      <c r="Q97" s="90">
        <v>0</v>
      </c>
      <c r="R97">
        <v>0</v>
      </c>
    </row>
    <row r="98" spans="1:19" ht="12.75" customHeight="1" x14ac:dyDescent="0.25">
      <c r="C98" s="89" t="s">
        <v>118</v>
      </c>
      <c r="D98" s="89" t="s">
        <v>70</v>
      </c>
      <c r="E98" s="371">
        <v>-9635661.9499999993</v>
      </c>
      <c r="F98" s="90">
        <v>-380166.3</v>
      </c>
      <c r="G98" s="90">
        <v>-217737.2</v>
      </c>
      <c r="H98" s="90">
        <v>-115469.42</v>
      </c>
      <c r="I98" s="90">
        <v>-2737350.45</v>
      </c>
      <c r="J98" s="90">
        <v>-82659.66</v>
      </c>
      <c r="K98" s="90">
        <v>0</v>
      </c>
      <c r="L98" s="90">
        <v>-722316.87</v>
      </c>
      <c r="M98" s="90">
        <v>-795775.12</v>
      </c>
      <c r="N98" s="90">
        <v>-3736800.42</v>
      </c>
      <c r="O98" s="90">
        <v>-713130.36</v>
      </c>
      <c r="P98" s="90">
        <v>-134256.15</v>
      </c>
      <c r="Q98" s="90">
        <v>0</v>
      </c>
      <c r="R98">
        <v>0</v>
      </c>
    </row>
    <row r="99" spans="1:19" s="224" customFormat="1" ht="12.75" customHeight="1" x14ac:dyDescent="0.25">
      <c r="B99" s="223" t="s">
        <v>120</v>
      </c>
      <c r="C99" s="223" t="s">
        <v>70</v>
      </c>
      <c r="E99" s="225">
        <v>-17055522.120000001</v>
      </c>
      <c r="F99" s="225">
        <v>-675736.56</v>
      </c>
      <c r="G99" s="225">
        <v>-393406.15</v>
      </c>
      <c r="H99" s="225">
        <v>-211438.62</v>
      </c>
      <c r="I99" s="225">
        <v>-4839149.32</v>
      </c>
      <c r="J99" s="225">
        <v>-140714.82999999999</v>
      </c>
      <c r="K99" s="225">
        <v>0</v>
      </c>
      <c r="L99" s="225">
        <v>-1214553.68</v>
      </c>
      <c r="M99" s="225">
        <v>-1409965.65</v>
      </c>
      <c r="N99" s="225">
        <v>-6679420.6399999997</v>
      </c>
      <c r="O99" s="225">
        <v>-1263153.26</v>
      </c>
      <c r="P99" s="225">
        <v>-227983.41</v>
      </c>
      <c r="Q99" s="225">
        <v>0</v>
      </c>
      <c r="R99" s="224">
        <v>0</v>
      </c>
    </row>
    <row r="100" spans="1:19" ht="12.75" customHeight="1" x14ac:dyDescent="0.25">
      <c r="D100" s="89" t="s">
        <v>73</v>
      </c>
      <c r="E100" s="371">
        <v>-2195603.12</v>
      </c>
      <c r="F100" s="90">
        <v>-15588.17</v>
      </c>
      <c r="G100" s="90">
        <v>-50720.73</v>
      </c>
      <c r="H100" s="90">
        <v>1774.73</v>
      </c>
      <c r="I100" s="90">
        <v>-677747.58</v>
      </c>
      <c r="J100" s="90">
        <v>-19775.439999999999</v>
      </c>
      <c r="K100" s="90">
        <v>0</v>
      </c>
      <c r="L100" s="90">
        <v>-165236.81</v>
      </c>
      <c r="M100" s="90">
        <v>-211413.62</v>
      </c>
      <c r="N100" s="90">
        <v>-1031747.22</v>
      </c>
      <c r="O100" s="90">
        <v>5802.43</v>
      </c>
      <c r="P100" s="90">
        <v>-30950.71</v>
      </c>
      <c r="Q100" s="90">
        <v>0</v>
      </c>
      <c r="R100">
        <v>0</v>
      </c>
    </row>
    <row r="101" spans="1:19" ht="12.75" customHeight="1" x14ac:dyDescent="0.25">
      <c r="C101" t="s">
        <v>82</v>
      </c>
      <c r="D101" s="89" t="s">
        <v>70</v>
      </c>
      <c r="E101" s="371">
        <v>-2195603.12</v>
      </c>
      <c r="F101" s="90">
        <v>-15588.17</v>
      </c>
      <c r="G101" s="90">
        <v>-50720.73</v>
      </c>
      <c r="H101" s="90">
        <v>1774.73</v>
      </c>
      <c r="I101" s="90">
        <v>-677747.58</v>
      </c>
      <c r="J101" s="90">
        <v>-19775.439999999999</v>
      </c>
      <c r="K101" s="90">
        <v>0</v>
      </c>
      <c r="L101" s="90">
        <v>-165236.81</v>
      </c>
      <c r="M101" s="90">
        <v>-211413.62</v>
      </c>
      <c r="N101" s="90">
        <v>-1031747.22</v>
      </c>
      <c r="O101" s="90">
        <v>5802.43</v>
      </c>
      <c r="P101" s="90">
        <v>-30950.71</v>
      </c>
      <c r="Q101" s="90">
        <v>0</v>
      </c>
      <c r="R101">
        <v>0</v>
      </c>
    </row>
    <row r="102" spans="1:19" ht="12.75" customHeight="1" x14ac:dyDescent="0.25">
      <c r="D102" s="89" t="s">
        <v>73</v>
      </c>
      <c r="E102" s="371">
        <v>-3983459.54</v>
      </c>
      <c r="F102" s="90">
        <v>385104.44</v>
      </c>
      <c r="G102" s="90">
        <v>177913.53</v>
      </c>
      <c r="H102" s="90">
        <v>79365.09</v>
      </c>
      <c r="I102" s="90">
        <v>-1770775.18</v>
      </c>
      <c r="J102" s="90">
        <v>-54327.37</v>
      </c>
      <c r="K102" s="90">
        <v>0</v>
      </c>
      <c r="L102" s="90">
        <v>-463238.89</v>
      </c>
      <c r="M102" s="90">
        <v>-534634.66</v>
      </c>
      <c r="N102" s="90">
        <v>-2522494.73</v>
      </c>
      <c r="O102" s="90">
        <v>806737.08</v>
      </c>
      <c r="P102" s="90">
        <v>-87108.85</v>
      </c>
      <c r="Q102" s="90">
        <v>0</v>
      </c>
      <c r="R102">
        <v>0</v>
      </c>
    </row>
    <row r="103" spans="1:19" ht="12.75" customHeight="1" x14ac:dyDescent="0.25">
      <c r="C103" t="s">
        <v>86</v>
      </c>
      <c r="D103" s="89" t="s">
        <v>70</v>
      </c>
      <c r="E103" s="371">
        <v>-3983459.54</v>
      </c>
      <c r="F103" s="90">
        <v>385104.44</v>
      </c>
      <c r="G103" s="90">
        <v>177913.53</v>
      </c>
      <c r="H103" s="90">
        <v>79365.09</v>
      </c>
      <c r="I103" s="90">
        <v>-1770775.18</v>
      </c>
      <c r="J103" s="90">
        <v>-54327.37</v>
      </c>
      <c r="K103" s="90">
        <v>0</v>
      </c>
      <c r="L103" s="90">
        <v>-463238.89</v>
      </c>
      <c r="M103" s="90">
        <v>-534634.66</v>
      </c>
      <c r="N103" s="90">
        <v>-2522494.73</v>
      </c>
      <c r="O103" s="90">
        <v>806737.08</v>
      </c>
      <c r="P103" s="90">
        <v>-87108.85</v>
      </c>
      <c r="Q103" s="90">
        <v>0</v>
      </c>
      <c r="R103">
        <v>0</v>
      </c>
    </row>
    <row r="104" spans="1:19" ht="12.75" customHeight="1" x14ac:dyDescent="0.25">
      <c r="D104" s="89" t="s">
        <v>73</v>
      </c>
      <c r="E104" s="371">
        <v>1242572.98</v>
      </c>
      <c r="F104" s="90">
        <v>343686.51</v>
      </c>
      <c r="G104" s="90">
        <v>192507.93</v>
      </c>
      <c r="H104" s="90">
        <v>97880.49</v>
      </c>
      <c r="I104" s="90">
        <v>-39549.620000000003</v>
      </c>
      <c r="J104" s="90">
        <v>-1348.98</v>
      </c>
      <c r="K104" s="90">
        <v>0</v>
      </c>
      <c r="L104" s="90">
        <v>-4691</v>
      </c>
      <c r="M104" s="90">
        <v>-3711.96</v>
      </c>
      <c r="N104" s="90">
        <v>-23147.87</v>
      </c>
      <c r="O104" s="90">
        <v>682556.78</v>
      </c>
      <c r="P104" s="90">
        <v>-1609.3</v>
      </c>
      <c r="Q104" s="90">
        <v>0</v>
      </c>
      <c r="R104">
        <v>0</v>
      </c>
    </row>
    <row r="105" spans="1:19" ht="12.75" customHeight="1" x14ac:dyDescent="0.25">
      <c r="C105" t="s">
        <v>87</v>
      </c>
      <c r="D105" s="89" t="s">
        <v>70</v>
      </c>
      <c r="E105" s="90">
        <v>1242572.98</v>
      </c>
      <c r="F105" s="90">
        <v>343686.51</v>
      </c>
      <c r="G105" s="90">
        <v>192507.93</v>
      </c>
      <c r="H105" s="90">
        <v>97880.49</v>
      </c>
      <c r="I105" s="90">
        <v>-39549.620000000003</v>
      </c>
      <c r="J105" s="90">
        <v>-1348.98</v>
      </c>
      <c r="K105" s="90">
        <v>0</v>
      </c>
      <c r="L105" s="90">
        <v>-4691</v>
      </c>
      <c r="M105" s="90">
        <v>-3711.96</v>
      </c>
      <c r="N105" s="90">
        <v>-23147.87</v>
      </c>
      <c r="O105" s="90">
        <v>682556.78</v>
      </c>
      <c r="P105" s="90">
        <v>-1609.3</v>
      </c>
      <c r="Q105" s="90">
        <v>0</v>
      </c>
      <c r="R105">
        <v>0</v>
      </c>
    </row>
    <row r="106" spans="1:19" s="94" customFormat="1" ht="12.75" customHeight="1" x14ac:dyDescent="0.25">
      <c r="B106" s="101" t="s">
        <v>119</v>
      </c>
      <c r="C106" s="101" t="s">
        <v>70</v>
      </c>
      <c r="E106" s="93">
        <v>-4936489.68</v>
      </c>
      <c r="F106" s="93">
        <v>713202.78</v>
      </c>
      <c r="G106" s="93">
        <v>319700.73</v>
      </c>
      <c r="H106" s="93">
        <v>179020.31</v>
      </c>
      <c r="I106" s="93">
        <v>-2488072.38</v>
      </c>
      <c r="J106" s="93">
        <v>-75451.789999999994</v>
      </c>
      <c r="K106" s="93">
        <v>0</v>
      </c>
      <c r="L106" s="93">
        <v>-633166.69999999995</v>
      </c>
      <c r="M106" s="93">
        <v>-749760.24</v>
      </c>
      <c r="N106" s="93">
        <v>-3577389.82</v>
      </c>
      <c r="O106" s="93">
        <v>1495096.29</v>
      </c>
      <c r="P106" s="93">
        <v>-119668.86</v>
      </c>
      <c r="Q106" s="93">
        <v>0</v>
      </c>
      <c r="R106" s="94">
        <v>0</v>
      </c>
    </row>
    <row r="107" spans="1:19" s="226" customFormat="1" ht="12.75" customHeight="1" x14ac:dyDescent="0.25">
      <c r="A107" s="98" t="s">
        <v>79</v>
      </c>
      <c r="B107" s="98" t="s">
        <v>70</v>
      </c>
      <c r="E107" s="100">
        <v>-38113306.659999996</v>
      </c>
      <c r="F107" s="100">
        <v>-497730.97</v>
      </c>
      <c r="G107" s="100">
        <v>-388800.25</v>
      </c>
      <c r="H107" s="100">
        <v>-221523.24</v>
      </c>
      <c r="I107" s="100">
        <v>-11944844.83</v>
      </c>
      <c r="J107" s="100">
        <v>-376952.12</v>
      </c>
      <c r="K107" s="100">
        <v>0</v>
      </c>
      <c r="L107" s="100">
        <v>-3207778.39</v>
      </c>
      <c r="M107" s="100">
        <v>-3475213.8</v>
      </c>
      <c r="N107" s="100">
        <v>-16691728.15</v>
      </c>
      <c r="O107" s="100">
        <v>-699883.66</v>
      </c>
      <c r="P107" s="100">
        <v>-608851.25</v>
      </c>
      <c r="Q107" s="100">
        <v>0</v>
      </c>
      <c r="R107" s="226">
        <v>0</v>
      </c>
    </row>
    <row r="108" spans="1:19" ht="12.75" customHeight="1" x14ac:dyDescent="0.25">
      <c r="A108" s="89" t="s">
        <v>70</v>
      </c>
      <c r="E108" s="90">
        <v>178539092.16</v>
      </c>
      <c r="F108" s="90">
        <v>16695394.35</v>
      </c>
      <c r="G108" s="90">
        <v>9370790.2699999996</v>
      </c>
      <c r="H108" s="90">
        <v>4453363.21</v>
      </c>
      <c r="I108" s="90">
        <v>35271236.380000003</v>
      </c>
      <c r="J108" s="90">
        <v>1074407.0900000001</v>
      </c>
      <c r="K108" s="90">
        <v>0</v>
      </c>
      <c r="L108" s="90">
        <v>9985291.5299999993</v>
      </c>
      <c r="M108" s="90">
        <v>10718089.76</v>
      </c>
      <c r="N108" s="90">
        <v>37634563.590000004</v>
      </c>
      <c r="O108" s="90">
        <v>52024111.619999997</v>
      </c>
      <c r="P108" s="90">
        <v>1311662.75</v>
      </c>
      <c r="Q108" s="90">
        <v>181.61</v>
      </c>
      <c r="R108">
        <v>0</v>
      </c>
    </row>
    <row r="109" spans="1:19" ht="12.75" customHeight="1" x14ac:dyDescent="0.25">
      <c r="A109" s="89"/>
      <c r="E109" s="90"/>
      <c r="F109" s="90"/>
      <c r="G109" s="90"/>
      <c r="H109" s="90"/>
      <c r="I109" s="90"/>
      <c r="J109" s="90"/>
      <c r="K109" s="90"/>
      <c r="L109" s="90"/>
      <c r="M109" s="90"/>
      <c r="N109" s="90"/>
      <c r="O109" s="90"/>
      <c r="P109" s="90"/>
      <c r="Q109" s="90"/>
      <c r="R109" s="90"/>
      <c r="S109" s="90"/>
    </row>
    <row r="110" spans="1:19" ht="12.75" hidden="1" customHeight="1" x14ac:dyDescent="0.25">
      <c r="A110" s="89"/>
      <c r="E110" s="90"/>
      <c r="F110" s="90"/>
      <c r="G110" s="90"/>
      <c r="H110" s="90"/>
      <c r="I110" s="90"/>
      <c r="J110" s="90"/>
      <c r="K110" s="90"/>
      <c r="L110" s="90"/>
      <c r="M110" s="90"/>
      <c r="N110" s="90"/>
      <c r="O110" s="90"/>
      <c r="P110" s="90"/>
      <c r="Q110" s="90"/>
      <c r="R110" s="90"/>
      <c r="S110" s="90"/>
    </row>
    <row r="111" spans="1:19" ht="12.75" hidden="1" customHeight="1" x14ac:dyDescent="0.25">
      <c r="A111" s="89"/>
      <c r="E111" s="90"/>
      <c r="F111" s="90"/>
      <c r="G111" s="90"/>
      <c r="H111" s="90"/>
      <c r="I111" s="90"/>
      <c r="J111" s="90"/>
      <c r="K111" s="90"/>
      <c r="L111" s="90"/>
      <c r="M111" s="90"/>
      <c r="N111" s="90"/>
      <c r="O111" s="90"/>
      <c r="P111" s="90"/>
      <c r="Q111" s="90"/>
      <c r="R111" s="90"/>
      <c r="S111" s="90"/>
    </row>
    <row r="112" spans="1:19" ht="12.75" hidden="1" customHeight="1" x14ac:dyDescent="0.25">
      <c r="A112" s="89"/>
      <c r="E112" s="90"/>
      <c r="F112" s="90"/>
      <c r="G112" s="90"/>
      <c r="H112" s="90"/>
      <c r="I112" s="90"/>
      <c r="J112" s="90"/>
      <c r="K112" s="90"/>
      <c r="L112" s="90"/>
      <c r="M112" s="90"/>
      <c r="N112" s="90"/>
      <c r="O112" s="90"/>
      <c r="P112" s="90"/>
      <c r="Q112" s="90"/>
      <c r="R112" s="90"/>
      <c r="S112" s="90"/>
    </row>
    <row r="113" spans="1:19" ht="12.75" hidden="1" customHeight="1" x14ac:dyDescent="0.25">
      <c r="A113" s="89"/>
      <c r="E113" s="90"/>
      <c r="F113" s="90"/>
      <c r="G113" s="90"/>
      <c r="H113" s="90"/>
      <c r="I113" s="90"/>
      <c r="J113" s="90"/>
      <c r="K113" s="90"/>
      <c r="L113" s="90"/>
      <c r="M113" s="90"/>
      <c r="N113" s="90"/>
      <c r="O113" s="90"/>
      <c r="P113" s="90"/>
      <c r="Q113" s="90"/>
      <c r="R113" s="90"/>
      <c r="S113" s="90"/>
    </row>
    <row r="114" spans="1:19" ht="12.75" hidden="1" customHeight="1" x14ac:dyDescent="0.25">
      <c r="A114" s="89"/>
      <c r="E114" s="90"/>
      <c r="F114" s="90"/>
      <c r="G114" s="90"/>
      <c r="H114" s="90"/>
      <c r="I114" s="90"/>
      <c r="J114" s="90"/>
      <c r="K114" s="90"/>
      <c r="L114" s="90"/>
      <c r="M114" s="90"/>
      <c r="N114" s="90"/>
      <c r="O114" s="90"/>
      <c r="P114" s="90"/>
      <c r="Q114" s="90"/>
      <c r="R114" s="90"/>
      <c r="S114" s="90"/>
    </row>
    <row r="115" spans="1:19" ht="12.75" hidden="1" customHeight="1" x14ac:dyDescent="0.25">
      <c r="A115" s="89"/>
      <c r="E115" s="90"/>
      <c r="F115" s="90"/>
      <c r="G115" s="90"/>
      <c r="H115" s="90"/>
      <c r="I115" s="90"/>
      <c r="J115" s="90"/>
      <c r="K115" s="90"/>
      <c r="L115" s="90"/>
      <c r="M115" s="90"/>
      <c r="N115" s="90"/>
      <c r="O115" s="90"/>
      <c r="P115" s="90"/>
      <c r="Q115" s="90"/>
      <c r="R115" s="90"/>
      <c r="S115" s="90"/>
    </row>
    <row r="116" spans="1:19" ht="12.75" hidden="1" customHeight="1" x14ac:dyDescent="0.25">
      <c r="A116" s="89"/>
      <c r="E116" s="90"/>
      <c r="F116" s="90"/>
      <c r="G116" s="90"/>
      <c r="H116" s="90"/>
      <c r="I116" s="90"/>
      <c r="J116" s="90"/>
      <c r="K116" s="90"/>
      <c r="L116" s="90"/>
      <c r="M116" s="90"/>
      <c r="N116" s="90"/>
      <c r="O116" s="90"/>
      <c r="P116" s="90"/>
      <c r="Q116" s="90"/>
      <c r="R116" s="90"/>
      <c r="S116" s="90"/>
    </row>
    <row r="117" spans="1:19" ht="12.75" hidden="1" customHeight="1" x14ac:dyDescent="0.25">
      <c r="A117" s="89"/>
      <c r="E117" s="90"/>
      <c r="F117" s="90"/>
      <c r="G117" s="90"/>
      <c r="H117" s="90"/>
      <c r="I117" s="90"/>
      <c r="J117" s="90"/>
      <c r="K117" s="90"/>
      <c r="L117" s="90"/>
      <c r="M117" s="90"/>
      <c r="N117" s="90"/>
      <c r="O117" s="90"/>
      <c r="P117" s="90"/>
      <c r="Q117" s="90"/>
      <c r="R117" s="90"/>
      <c r="S117" s="90"/>
    </row>
    <row r="118" spans="1:19" ht="12.75" hidden="1" customHeight="1" x14ac:dyDescent="0.25">
      <c r="A118" s="89"/>
      <c r="E118" s="90"/>
      <c r="F118" s="90"/>
      <c r="G118" s="90"/>
      <c r="H118" s="90"/>
      <c r="I118" s="90"/>
      <c r="J118" s="90"/>
      <c r="K118" s="90"/>
      <c r="L118" s="90"/>
      <c r="M118" s="90"/>
      <c r="N118" s="90"/>
      <c r="O118" s="90"/>
      <c r="P118" s="90"/>
      <c r="Q118" s="90"/>
      <c r="R118" s="90"/>
      <c r="S118" s="90"/>
    </row>
    <row r="119" spans="1:19" ht="12.75" hidden="1" customHeight="1" x14ac:dyDescent="0.25">
      <c r="A119" s="89"/>
      <c r="E119" s="90"/>
      <c r="F119" s="90"/>
      <c r="G119" s="90"/>
      <c r="H119" s="90"/>
      <c r="I119" s="90"/>
      <c r="J119" s="90"/>
      <c r="K119" s="90"/>
      <c r="L119" s="90"/>
      <c r="M119" s="90"/>
      <c r="N119" s="90"/>
      <c r="O119" s="90"/>
      <c r="P119" s="90"/>
      <c r="Q119" s="90"/>
      <c r="R119" s="90"/>
      <c r="S119" s="90"/>
    </row>
    <row r="120" spans="1:19" ht="12.75" hidden="1" customHeight="1" x14ac:dyDescent="0.25">
      <c r="A120" s="89"/>
      <c r="E120" s="90"/>
      <c r="F120" s="90"/>
      <c r="G120" s="90"/>
      <c r="H120" s="90"/>
      <c r="I120" s="90"/>
      <c r="J120" s="90"/>
      <c r="K120" s="90"/>
      <c r="L120" s="90"/>
      <c r="M120" s="90"/>
      <c r="N120" s="90"/>
      <c r="O120" s="90"/>
      <c r="P120" s="90"/>
      <c r="Q120" s="90"/>
      <c r="R120" s="90"/>
      <c r="S120" s="90"/>
    </row>
    <row r="121" spans="1:19" ht="12.75" hidden="1" customHeight="1" x14ac:dyDescent="0.25">
      <c r="A121" s="89"/>
      <c r="E121" s="90"/>
      <c r="F121" s="90"/>
      <c r="G121" s="90"/>
      <c r="H121" s="90"/>
      <c r="I121" s="90"/>
      <c r="J121" s="90"/>
      <c r="K121" s="90"/>
      <c r="L121" s="90"/>
      <c r="M121" s="90"/>
      <c r="N121" s="90"/>
      <c r="O121" s="90"/>
      <c r="P121" s="90"/>
      <c r="Q121" s="90"/>
      <c r="R121" s="90"/>
      <c r="S121" s="90"/>
    </row>
    <row r="122" spans="1:19" ht="12.75" hidden="1" customHeight="1" x14ac:dyDescent="0.25">
      <c r="A122" s="89"/>
      <c r="E122" s="90"/>
      <c r="F122" s="90"/>
      <c r="G122" s="90"/>
      <c r="H122" s="90"/>
      <c r="I122" s="90"/>
      <c r="J122" s="90"/>
      <c r="K122" s="90"/>
      <c r="L122" s="90"/>
      <c r="M122" s="90"/>
      <c r="N122" s="90"/>
      <c r="O122" s="90"/>
      <c r="P122" s="90"/>
      <c r="Q122" s="90"/>
      <c r="R122" s="90"/>
      <c r="S122" s="90"/>
    </row>
    <row r="123" spans="1:19" ht="12.75" hidden="1" customHeight="1" x14ac:dyDescent="0.25">
      <c r="A123" s="89"/>
      <c r="E123" s="90"/>
      <c r="F123" s="90"/>
      <c r="G123" s="90"/>
      <c r="H123" s="90"/>
      <c r="I123" s="90"/>
      <c r="J123" s="90"/>
      <c r="K123" s="90"/>
      <c r="L123" s="90"/>
      <c r="M123" s="90"/>
      <c r="N123" s="90"/>
      <c r="O123" s="90"/>
      <c r="P123" s="90"/>
      <c r="Q123" s="90"/>
      <c r="R123" s="90"/>
      <c r="S123" s="90"/>
    </row>
    <row r="124" spans="1:19" ht="12.75" hidden="1" customHeight="1" x14ac:dyDescent="0.25">
      <c r="A124" s="89"/>
      <c r="E124" s="90"/>
      <c r="F124" s="90"/>
      <c r="G124" s="90"/>
      <c r="H124" s="90"/>
      <c r="I124" s="90"/>
      <c r="J124" s="90"/>
      <c r="K124" s="90"/>
      <c r="L124" s="90"/>
      <c r="M124" s="90"/>
      <c r="N124" s="90"/>
      <c r="O124" s="90"/>
      <c r="P124" s="90"/>
      <c r="Q124" s="90"/>
      <c r="R124" s="90"/>
      <c r="S124" s="90"/>
    </row>
    <row r="125" spans="1:19" ht="12.75" hidden="1" customHeight="1" x14ac:dyDescent="0.25">
      <c r="A125" s="89"/>
      <c r="E125" s="90"/>
      <c r="F125" s="90"/>
      <c r="G125" s="90"/>
      <c r="H125" s="90"/>
      <c r="I125" s="90"/>
      <c r="J125" s="90"/>
      <c r="K125" s="90"/>
      <c r="L125" s="90"/>
      <c r="M125" s="90"/>
      <c r="N125" s="90"/>
      <c r="O125" s="90"/>
      <c r="P125" s="90"/>
      <c r="Q125" s="90"/>
      <c r="R125" s="90"/>
      <c r="S125" s="90"/>
    </row>
    <row r="126" spans="1:19" ht="12.75" hidden="1" customHeight="1" x14ac:dyDescent="0.25">
      <c r="A126" s="89"/>
      <c r="E126" s="90"/>
      <c r="F126" s="90"/>
      <c r="G126" s="90"/>
      <c r="H126" s="90"/>
      <c r="I126" s="90"/>
      <c r="J126" s="90"/>
      <c r="K126" s="90"/>
      <c r="L126" s="90"/>
      <c r="M126" s="90"/>
      <c r="N126" s="90"/>
      <c r="O126" s="90"/>
      <c r="P126" s="90"/>
      <c r="Q126" s="90"/>
      <c r="R126" s="90"/>
      <c r="S126" s="90"/>
    </row>
    <row r="127" spans="1:19" ht="12.75" hidden="1" customHeight="1" x14ac:dyDescent="0.25">
      <c r="A127" s="89"/>
      <c r="E127" s="90"/>
      <c r="F127" s="90"/>
      <c r="G127" s="90"/>
      <c r="H127" s="90"/>
      <c r="I127" s="90"/>
      <c r="J127" s="90"/>
      <c r="K127" s="90"/>
      <c r="L127" s="90"/>
      <c r="M127" s="90"/>
      <c r="N127" s="90"/>
      <c r="O127" s="90"/>
      <c r="P127" s="90"/>
      <c r="Q127" s="90"/>
      <c r="R127" s="90"/>
      <c r="S127" s="90"/>
    </row>
    <row r="128" spans="1:19" ht="12.75" hidden="1" customHeight="1" x14ac:dyDescent="0.25">
      <c r="A128" s="89"/>
      <c r="E128" s="90"/>
      <c r="F128" s="90"/>
      <c r="G128" s="90"/>
      <c r="H128" s="90"/>
      <c r="I128" s="90"/>
      <c r="J128" s="90"/>
      <c r="K128" s="90"/>
      <c r="L128" s="90"/>
      <c r="M128" s="90"/>
      <c r="N128" s="90"/>
      <c r="O128" s="90"/>
      <c r="P128" s="90"/>
      <c r="Q128" s="90"/>
      <c r="R128" s="90"/>
      <c r="S128" s="90"/>
    </row>
    <row r="129" spans="1:19" ht="12.75" hidden="1" customHeight="1" x14ac:dyDescent="0.25">
      <c r="A129" s="89"/>
      <c r="E129" s="90"/>
      <c r="F129" s="90"/>
      <c r="G129" s="90"/>
      <c r="H129" s="90"/>
      <c r="I129" s="90"/>
      <c r="J129" s="90"/>
      <c r="K129" s="90"/>
      <c r="L129" s="90"/>
      <c r="M129" s="90"/>
      <c r="N129" s="90"/>
      <c r="O129" s="90"/>
      <c r="P129" s="90"/>
      <c r="Q129" s="90"/>
      <c r="R129" s="90"/>
      <c r="S129" s="90"/>
    </row>
    <row r="130" spans="1:19" ht="12.75" hidden="1" customHeight="1" x14ac:dyDescent="0.25">
      <c r="A130" s="89"/>
      <c r="E130" s="90"/>
      <c r="F130" s="90"/>
      <c r="G130" s="90"/>
      <c r="H130" s="90"/>
      <c r="I130" s="90"/>
      <c r="J130" s="90"/>
      <c r="K130" s="90"/>
      <c r="L130" s="90"/>
      <c r="M130" s="90"/>
      <c r="N130" s="90"/>
      <c r="O130" s="90"/>
      <c r="P130" s="90"/>
      <c r="Q130" s="90"/>
      <c r="R130" s="90"/>
      <c r="S130" s="90"/>
    </row>
    <row r="131" spans="1:19" ht="12.75" hidden="1" customHeight="1" x14ac:dyDescent="0.25">
      <c r="A131" s="89"/>
      <c r="E131" s="90"/>
      <c r="F131" s="90"/>
      <c r="G131" s="90"/>
      <c r="H131" s="90"/>
      <c r="I131" s="90"/>
      <c r="J131" s="90"/>
      <c r="K131" s="90"/>
      <c r="L131" s="90"/>
      <c r="M131" s="90"/>
      <c r="N131" s="90"/>
      <c r="O131" s="90"/>
      <c r="P131" s="90"/>
      <c r="Q131" s="90"/>
      <c r="R131" s="90"/>
      <c r="S131" s="90"/>
    </row>
    <row r="132" spans="1:19" ht="12.75" hidden="1" customHeight="1" x14ac:dyDescent="0.25">
      <c r="A132" s="89"/>
      <c r="E132" s="90"/>
      <c r="F132" s="90"/>
      <c r="G132" s="90"/>
      <c r="H132" s="90"/>
      <c r="I132" s="90"/>
      <c r="J132" s="90"/>
      <c r="K132" s="90"/>
      <c r="L132" s="90"/>
      <c r="M132" s="90"/>
      <c r="N132" s="90"/>
      <c r="O132" s="90"/>
      <c r="P132" s="90"/>
      <c r="Q132" s="90"/>
      <c r="R132" s="90"/>
      <c r="S132" s="90"/>
    </row>
    <row r="133" spans="1:19" ht="12.75" hidden="1" customHeight="1" x14ac:dyDescent="0.25">
      <c r="A133" s="89"/>
      <c r="E133" s="90"/>
      <c r="F133" s="90"/>
      <c r="G133" s="90"/>
      <c r="H133" s="90"/>
      <c r="I133" s="90"/>
      <c r="J133" s="90"/>
      <c r="K133" s="90"/>
      <c r="L133" s="90"/>
      <c r="M133" s="90"/>
      <c r="N133" s="90"/>
      <c r="O133" s="90"/>
      <c r="P133" s="90"/>
      <c r="Q133" s="90"/>
      <c r="R133" s="90"/>
      <c r="S133" s="90"/>
    </row>
    <row r="134" spans="1:19" ht="12.75" hidden="1" customHeight="1" x14ac:dyDescent="0.25">
      <c r="A134" s="89"/>
      <c r="E134" s="90"/>
      <c r="F134" s="90"/>
      <c r="G134" s="90"/>
      <c r="H134" s="90"/>
      <c r="I134" s="90"/>
      <c r="J134" s="90"/>
      <c r="K134" s="90"/>
      <c r="L134" s="90"/>
      <c r="M134" s="90"/>
      <c r="N134" s="90"/>
      <c r="O134" s="90"/>
      <c r="P134" s="90"/>
      <c r="Q134" s="90"/>
      <c r="R134" s="90"/>
      <c r="S134" s="90"/>
    </row>
    <row r="135" spans="1:19" ht="12.75" hidden="1" customHeight="1" x14ac:dyDescent="0.25">
      <c r="A135" s="89"/>
      <c r="E135" s="90"/>
      <c r="F135" s="90"/>
      <c r="G135" s="90"/>
      <c r="H135" s="90"/>
      <c r="I135" s="90"/>
      <c r="J135" s="90"/>
      <c r="K135" s="90"/>
      <c r="L135" s="90"/>
      <c r="M135" s="90"/>
      <c r="N135" s="90"/>
      <c r="O135" s="90"/>
      <c r="P135" s="90"/>
      <c r="Q135" s="90"/>
      <c r="R135" s="90"/>
      <c r="S135" s="90"/>
    </row>
    <row r="136" spans="1:19" ht="12.75" hidden="1" customHeight="1" x14ac:dyDescent="0.25">
      <c r="A136" s="89"/>
      <c r="E136" s="90"/>
      <c r="F136" s="90"/>
      <c r="G136" s="90"/>
      <c r="H136" s="90"/>
      <c r="I136" s="90"/>
      <c r="J136" s="90"/>
      <c r="K136" s="90"/>
      <c r="L136" s="90"/>
      <c r="M136" s="90"/>
      <c r="N136" s="90"/>
      <c r="O136" s="90"/>
      <c r="P136" s="90"/>
      <c r="Q136" s="90"/>
      <c r="R136" s="90"/>
      <c r="S136" s="90"/>
    </row>
    <row r="137" spans="1:19" ht="12.75" hidden="1" customHeight="1" x14ac:dyDescent="0.25">
      <c r="A137" s="89"/>
      <c r="E137" s="90"/>
      <c r="F137" s="90"/>
      <c r="G137" s="90"/>
      <c r="H137" s="90"/>
      <c r="I137" s="90"/>
      <c r="J137" s="90"/>
      <c r="K137" s="90"/>
      <c r="L137" s="90"/>
      <c r="M137" s="90"/>
      <c r="N137" s="90"/>
      <c r="O137" s="90"/>
      <c r="P137" s="90"/>
      <c r="Q137" s="90"/>
      <c r="R137" s="90"/>
      <c r="S137" s="90"/>
    </row>
    <row r="138" spans="1:19" ht="12.75" customHeight="1" x14ac:dyDescent="0.25">
      <c r="A138" s="89"/>
      <c r="E138" s="90"/>
      <c r="F138" s="90"/>
      <c r="G138" s="90"/>
      <c r="H138" s="90"/>
      <c r="I138" s="90"/>
      <c r="J138" s="90"/>
      <c r="K138" s="90"/>
      <c r="L138" s="90"/>
      <c r="M138" s="90"/>
      <c r="N138" s="90"/>
      <c r="O138" s="90"/>
      <c r="P138" s="90"/>
      <c r="Q138" s="90"/>
      <c r="R138" s="90"/>
      <c r="S138" s="90"/>
    </row>
    <row r="139" spans="1:19" ht="12.75" customHeight="1" x14ac:dyDescent="0.25">
      <c r="B139" s="774" t="s">
        <v>2</v>
      </c>
      <c r="C139" s="771" t="s">
        <v>132</v>
      </c>
      <c r="D139" s="98" t="s">
        <v>70</v>
      </c>
      <c r="E139" s="100">
        <f>E89+E107-K89</f>
        <v>178539092.16</v>
      </c>
      <c r="F139" s="100">
        <f t="shared" ref="F139:R139" si="3">F89</f>
        <v>17193125.32</v>
      </c>
      <c r="G139" s="100">
        <f t="shared" si="3"/>
        <v>9759590.5199999996</v>
      </c>
      <c r="H139" s="100">
        <f t="shared" si="3"/>
        <v>4674886.45</v>
      </c>
      <c r="I139" s="100">
        <f t="shared" si="3"/>
        <v>47216081.210000001</v>
      </c>
      <c r="J139" s="100">
        <f t="shared" si="3"/>
        <v>1451359.21</v>
      </c>
      <c r="K139" s="100">
        <f t="shared" si="3"/>
        <v>0</v>
      </c>
      <c r="L139" s="100">
        <f t="shared" si="3"/>
        <v>13193069.92</v>
      </c>
      <c r="M139" s="100">
        <f t="shared" si="3"/>
        <v>14193303.560000001</v>
      </c>
      <c r="N139" s="100">
        <f t="shared" si="3"/>
        <v>54326291.740000002</v>
      </c>
      <c r="O139" s="100">
        <f t="shared" si="3"/>
        <v>52723995.280000001</v>
      </c>
      <c r="P139" s="100">
        <f t="shared" si="3"/>
        <v>1920514</v>
      </c>
      <c r="Q139" s="100">
        <f t="shared" si="3"/>
        <v>181.61</v>
      </c>
      <c r="R139" s="100">
        <f t="shared" si="3"/>
        <v>0</v>
      </c>
    </row>
    <row r="140" spans="1:19" ht="12.75" customHeight="1" x14ac:dyDescent="0.25">
      <c r="B140" s="774"/>
      <c r="C140" s="771"/>
      <c r="D140" s="98" t="s">
        <v>73</v>
      </c>
      <c r="E140" s="100">
        <f>E107</f>
        <v>-38113306.659999996</v>
      </c>
      <c r="F140" s="90"/>
      <c r="G140" s="90"/>
      <c r="H140" s="90"/>
      <c r="I140" s="90"/>
      <c r="J140" s="90"/>
      <c r="K140" s="90"/>
      <c r="L140" s="90"/>
      <c r="M140" s="90"/>
      <c r="N140" s="90"/>
      <c r="O140" s="90"/>
      <c r="P140" s="90"/>
      <c r="Q140" s="90"/>
      <c r="R140" s="90"/>
    </row>
    <row r="141" spans="1:19" ht="12.75" customHeight="1" x14ac:dyDescent="0.3">
      <c r="A141" s="89"/>
      <c r="B141" s="97"/>
      <c r="E141" s="90"/>
      <c r="F141" s="90"/>
      <c r="G141" s="90"/>
      <c r="H141" s="90"/>
      <c r="I141" s="90"/>
      <c r="J141" s="90"/>
      <c r="K141" s="90"/>
      <c r="L141" s="90"/>
      <c r="M141" s="90"/>
      <c r="N141" s="90"/>
      <c r="O141" s="90"/>
      <c r="P141" s="90"/>
      <c r="Q141" s="90"/>
      <c r="R141" s="90"/>
    </row>
    <row r="142" spans="1:19" ht="12.75" customHeight="1" x14ac:dyDescent="0.25">
      <c r="B142" s="774" t="s">
        <v>160</v>
      </c>
      <c r="C142" s="771" t="s">
        <v>132</v>
      </c>
      <c r="D142" s="223" t="s">
        <v>70</v>
      </c>
      <c r="E142" s="225">
        <f>E99+E78-K78</f>
        <v>35414329.289999992</v>
      </c>
      <c r="F142" s="225">
        <f t="shared" ref="F142:R142" si="4">F78</f>
        <v>3216777.59</v>
      </c>
      <c r="G142" s="225">
        <f t="shared" si="4"/>
        <v>1799399.45</v>
      </c>
      <c r="H142" s="225">
        <f t="shared" si="4"/>
        <v>773125.81</v>
      </c>
      <c r="I142" s="225">
        <f t="shared" si="4"/>
        <v>14315915.6</v>
      </c>
      <c r="J142" s="225">
        <f t="shared" si="4"/>
        <v>406510.66</v>
      </c>
      <c r="K142" s="225">
        <f t="shared" si="4"/>
        <v>0</v>
      </c>
      <c r="L142" s="225">
        <f t="shared" si="4"/>
        <v>3668619.83</v>
      </c>
      <c r="M142" s="225">
        <f t="shared" si="4"/>
        <v>4175302.62</v>
      </c>
      <c r="N142" s="225">
        <f t="shared" si="4"/>
        <v>14329479.369999999</v>
      </c>
      <c r="O142" s="225">
        <f t="shared" si="4"/>
        <v>9282610.9499999993</v>
      </c>
      <c r="P142" s="225">
        <f t="shared" si="4"/>
        <v>502138.48</v>
      </c>
      <c r="Q142" s="225">
        <f t="shared" si="4"/>
        <v>-28.95</v>
      </c>
      <c r="R142" s="225">
        <f t="shared" si="4"/>
        <v>0</v>
      </c>
    </row>
    <row r="143" spans="1:19" ht="12.75" customHeight="1" x14ac:dyDescent="0.25">
      <c r="B143" s="774"/>
      <c r="C143" s="771"/>
      <c r="D143" s="223" t="s">
        <v>73</v>
      </c>
      <c r="E143" s="225">
        <f>E99</f>
        <v>-17055522.120000001</v>
      </c>
      <c r="F143" s="90"/>
      <c r="G143" s="90"/>
      <c r="H143" s="90"/>
      <c r="I143" s="90"/>
      <c r="J143" s="90"/>
      <c r="K143" s="90"/>
      <c r="L143" s="90"/>
      <c r="M143" s="90"/>
      <c r="N143" s="90"/>
      <c r="O143" s="90"/>
      <c r="P143" s="90"/>
      <c r="Q143" s="90"/>
      <c r="R143" s="90"/>
    </row>
    <row r="144" spans="1:19" ht="12.65" customHeight="1" x14ac:dyDescent="0.3">
      <c r="A144" s="89"/>
      <c r="B144" s="97"/>
      <c r="E144" s="90"/>
      <c r="F144" s="90"/>
      <c r="G144" s="90"/>
      <c r="H144" s="90"/>
      <c r="I144" s="90"/>
      <c r="J144" s="90"/>
      <c r="K144" s="90"/>
      <c r="L144" s="90"/>
      <c r="M144" s="90"/>
      <c r="N144" s="90"/>
      <c r="O144" s="90"/>
      <c r="P144" s="90"/>
      <c r="Q144" s="90"/>
      <c r="R144" s="90"/>
    </row>
    <row r="145" spans="1:18" ht="12.75" customHeight="1" x14ac:dyDescent="0.25">
      <c r="B145" s="774" t="s">
        <v>155</v>
      </c>
      <c r="C145" s="771" t="s">
        <v>132</v>
      </c>
      <c r="D145" s="221" t="s">
        <v>70</v>
      </c>
      <c r="E145" s="222">
        <f>E92+E66-K66</f>
        <v>55676152.700000003</v>
      </c>
      <c r="F145" s="222">
        <f t="shared" ref="F145:R145" si="5">F66</f>
        <v>4128221.21</v>
      </c>
      <c r="G145" s="222">
        <f t="shared" si="5"/>
        <v>2450514.75</v>
      </c>
      <c r="H145" s="222">
        <f t="shared" si="5"/>
        <v>991071.1</v>
      </c>
      <c r="I145" s="222">
        <f t="shared" si="5"/>
        <v>18977352.940000001</v>
      </c>
      <c r="J145" s="222">
        <f t="shared" si="5"/>
        <v>633591.15</v>
      </c>
      <c r="K145" s="222">
        <f t="shared" si="5"/>
        <v>0</v>
      </c>
      <c r="L145" s="222">
        <f t="shared" si="5"/>
        <v>5929589.2400000002</v>
      </c>
      <c r="M145" s="222">
        <f t="shared" si="5"/>
        <v>5758615.9699999997</v>
      </c>
      <c r="N145" s="222">
        <f t="shared" si="5"/>
        <v>23292145.649999999</v>
      </c>
      <c r="O145" s="222">
        <f t="shared" si="5"/>
        <v>8749581.6400000006</v>
      </c>
      <c r="P145" s="222">
        <f t="shared" si="5"/>
        <v>886619.66</v>
      </c>
      <c r="Q145" s="222">
        <f t="shared" si="5"/>
        <v>144.25</v>
      </c>
      <c r="R145" s="222">
        <f t="shared" si="5"/>
        <v>0</v>
      </c>
    </row>
    <row r="146" spans="1:18" ht="12.75" customHeight="1" x14ac:dyDescent="0.25">
      <c r="B146" s="774"/>
      <c r="C146" s="771"/>
      <c r="D146" s="221" t="s">
        <v>73</v>
      </c>
      <c r="E146" s="222">
        <f>E92</f>
        <v>-16121294.859999999</v>
      </c>
      <c r="F146" s="90"/>
      <c r="G146" s="90"/>
      <c r="H146" s="90"/>
      <c r="I146" s="90"/>
      <c r="J146" s="90"/>
      <c r="K146" s="90"/>
      <c r="L146" s="90"/>
      <c r="M146" s="90"/>
      <c r="N146" s="90"/>
      <c r="O146" s="90"/>
      <c r="P146" s="90"/>
      <c r="Q146" s="90"/>
      <c r="R146" s="90"/>
    </row>
    <row r="147" spans="1:18" ht="12.75" customHeight="1" x14ac:dyDescent="0.3">
      <c r="A147" s="89"/>
      <c r="B147" s="97"/>
      <c r="E147" s="90"/>
      <c r="F147" s="90"/>
      <c r="G147" s="90"/>
      <c r="H147" s="90"/>
      <c r="I147" s="90"/>
      <c r="J147" s="90"/>
      <c r="K147" s="90"/>
      <c r="L147" s="90"/>
      <c r="M147" s="90"/>
      <c r="N147" s="90"/>
      <c r="O147" s="90"/>
      <c r="P147" s="90"/>
      <c r="Q147" s="90"/>
      <c r="R147" s="90"/>
    </row>
    <row r="148" spans="1:18" ht="12.75" customHeight="1" x14ac:dyDescent="0.25">
      <c r="B148" s="772" t="s">
        <v>328</v>
      </c>
      <c r="C148" s="771" t="s">
        <v>132</v>
      </c>
      <c r="D148" s="373" t="s">
        <v>70</v>
      </c>
      <c r="E148" s="374">
        <v>0</v>
      </c>
      <c r="F148" s="374">
        <v>0</v>
      </c>
      <c r="G148" s="374">
        <v>0</v>
      </c>
      <c r="H148" s="374">
        <v>0</v>
      </c>
      <c r="I148" s="374">
        <v>0</v>
      </c>
      <c r="J148" s="374">
        <v>0</v>
      </c>
      <c r="K148" s="374">
        <v>0</v>
      </c>
      <c r="L148" s="374">
        <v>0</v>
      </c>
      <c r="M148" s="374">
        <v>0</v>
      </c>
      <c r="N148" s="374">
        <v>0</v>
      </c>
      <c r="O148" s="374">
        <v>0</v>
      </c>
      <c r="P148" s="374">
        <v>0</v>
      </c>
      <c r="Q148" s="374">
        <v>0</v>
      </c>
      <c r="R148" s="374">
        <v>0</v>
      </c>
    </row>
    <row r="149" spans="1:18" ht="12.75" customHeight="1" x14ac:dyDescent="0.25">
      <c r="B149" s="772"/>
      <c r="C149" s="771"/>
      <c r="D149" s="373" t="s">
        <v>73</v>
      </c>
      <c r="E149" s="374">
        <v>0</v>
      </c>
      <c r="F149" s="90"/>
      <c r="G149" s="90"/>
      <c r="H149" s="90"/>
      <c r="I149" s="90"/>
      <c r="J149" s="90"/>
      <c r="K149" s="90"/>
      <c r="L149" s="90"/>
      <c r="M149" s="90"/>
      <c r="N149" s="90"/>
      <c r="O149" s="90"/>
      <c r="P149" s="90"/>
      <c r="Q149" s="90"/>
      <c r="R149" s="90"/>
    </row>
    <row r="150" spans="1:18" ht="12.75" customHeight="1" x14ac:dyDescent="0.3">
      <c r="A150" s="89"/>
      <c r="B150" s="97"/>
      <c r="E150" s="90"/>
      <c r="F150" s="90"/>
      <c r="G150" s="90"/>
      <c r="H150" s="90"/>
      <c r="I150" s="90"/>
      <c r="J150" s="90"/>
      <c r="K150" s="90"/>
      <c r="L150" s="90"/>
      <c r="M150" s="90"/>
      <c r="N150" s="90"/>
      <c r="O150" s="90"/>
      <c r="P150" s="90"/>
      <c r="Q150" s="90"/>
      <c r="R150" s="90"/>
    </row>
    <row r="151" spans="1:18" ht="12.75" customHeight="1" x14ac:dyDescent="0.25">
      <c r="B151" s="774" t="s">
        <v>119</v>
      </c>
      <c r="C151" s="771" t="s">
        <v>132</v>
      </c>
      <c r="D151" s="101" t="s">
        <v>70</v>
      </c>
      <c r="E151" s="93">
        <f>E88+E106-K88</f>
        <v>87448610.169999987</v>
      </c>
      <c r="F151" s="93">
        <f t="shared" ref="F151:R151" si="6">F88</f>
        <v>9848126.5199999996</v>
      </c>
      <c r="G151" s="93">
        <f t="shared" si="6"/>
        <v>5509676.3200000003</v>
      </c>
      <c r="H151" s="93">
        <f t="shared" si="6"/>
        <v>2910689.54</v>
      </c>
      <c r="I151" s="93">
        <f t="shared" si="6"/>
        <v>13922812.67</v>
      </c>
      <c r="J151" s="93">
        <f t="shared" si="6"/>
        <v>411257.4</v>
      </c>
      <c r="K151" s="93">
        <f t="shared" si="6"/>
        <v>0</v>
      </c>
      <c r="L151" s="93">
        <f t="shared" si="6"/>
        <v>3594860.85</v>
      </c>
      <c r="M151" s="93">
        <f t="shared" si="6"/>
        <v>4259384.97</v>
      </c>
      <c r="N151" s="93">
        <f t="shared" si="6"/>
        <v>16704666.720000001</v>
      </c>
      <c r="O151" s="93">
        <f t="shared" si="6"/>
        <v>34691802.689999998</v>
      </c>
      <c r="P151" s="93">
        <f t="shared" si="6"/>
        <v>531755.86</v>
      </c>
      <c r="Q151" s="93">
        <f t="shared" si="6"/>
        <v>66.31</v>
      </c>
      <c r="R151" s="93">
        <f t="shared" si="6"/>
        <v>0</v>
      </c>
    </row>
    <row r="152" spans="1:18" ht="12.75" customHeight="1" x14ac:dyDescent="0.25">
      <c r="B152" s="774"/>
      <c r="C152" s="771"/>
      <c r="D152" s="101" t="s">
        <v>73</v>
      </c>
      <c r="E152" s="93">
        <f>E106</f>
        <v>-4936489.68</v>
      </c>
      <c r="F152" s="90"/>
      <c r="G152" s="90"/>
      <c r="H152" s="90"/>
      <c r="I152" s="90"/>
      <c r="J152" s="90"/>
      <c r="K152" s="90"/>
      <c r="L152" s="90"/>
      <c r="M152" s="90"/>
      <c r="N152" s="90"/>
      <c r="O152" s="90"/>
      <c r="P152" s="90"/>
      <c r="Q152" s="90"/>
      <c r="R152" s="90"/>
    </row>
    <row r="153" spans="1:18" ht="12.75" customHeight="1" x14ac:dyDescent="0.3">
      <c r="A153" s="89"/>
      <c r="B153" s="97"/>
      <c r="E153" s="90"/>
      <c r="F153" s="90"/>
      <c r="G153" s="90"/>
      <c r="H153" s="90"/>
      <c r="I153" s="90"/>
      <c r="J153" s="90"/>
      <c r="K153" s="90"/>
      <c r="L153" s="90"/>
      <c r="M153" s="90"/>
      <c r="N153" s="90"/>
      <c r="O153" s="90"/>
      <c r="P153" s="90"/>
      <c r="Q153" s="90"/>
      <c r="R153" s="90"/>
    </row>
    <row r="154" spans="1:18" ht="12.75" customHeight="1" x14ac:dyDescent="0.25">
      <c r="B154" s="773" t="s">
        <v>161</v>
      </c>
      <c r="C154" s="771" t="s">
        <v>132</v>
      </c>
      <c r="D154" s="231" t="s">
        <v>70</v>
      </c>
      <c r="E154" s="232">
        <v>0</v>
      </c>
      <c r="F154" s="232">
        <v>0</v>
      </c>
      <c r="G154" s="232">
        <v>0</v>
      </c>
      <c r="H154" s="232">
        <v>0</v>
      </c>
      <c r="I154" s="232">
        <v>0</v>
      </c>
      <c r="J154" s="232">
        <v>0</v>
      </c>
      <c r="K154" s="232">
        <v>0</v>
      </c>
      <c r="L154" s="232">
        <v>0</v>
      </c>
      <c r="M154" s="232">
        <v>0</v>
      </c>
      <c r="N154" s="232">
        <v>0</v>
      </c>
      <c r="O154" s="232">
        <v>0</v>
      </c>
      <c r="P154" s="232">
        <v>0</v>
      </c>
      <c r="Q154" s="232">
        <v>0</v>
      </c>
      <c r="R154" s="232">
        <v>0</v>
      </c>
    </row>
    <row r="155" spans="1:18" ht="12.75" customHeight="1" x14ac:dyDescent="0.25">
      <c r="B155" s="773"/>
      <c r="C155" s="771"/>
      <c r="D155" s="231" t="s">
        <v>73</v>
      </c>
      <c r="E155" s="232">
        <v>0</v>
      </c>
      <c r="F155" s="90"/>
      <c r="G155" s="90"/>
      <c r="H155" s="90"/>
      <c r="I155" s="90"/>
      <c r="J155" s="90"/>
      <c r="K155" s="90"/>
      <c r="L155" s="90"/>
      <c r="M155" s="90"/>
      <c r="N155" s="90"/>
      <c r="O155" s="90"/>
      <c r="P155" s="90"/>
      <c r="Q155" s="90"/>
      <c r="R155" s="90"/>
    </row>
    <row r="156" spans="1:18" s="238" customFormat="1" x14ac:dyDescent="0.25"/>
    <row r="157" spans="1:18" ht="13" x14ac:dyDescent="0.3">
      <c r="B157" s="97" t="s">
        <v>76</v>
      </c>
    </row>
    <row r="158" spans="1:18" ht="12.65" customHeight="1" x14ac:dyDescent="0.25">
      <c r="E158" s="89" t="s">
        <v>70</v>
      </c>
      <c r="F158" s="89" t="s">
        <v>64</v>
      </c>
      <c r="G158" s="89" t="s">
        <v>65</v>
      </c>
      <c r="H158" s="219" t="s">
        <v>164</v>
      </c>
      <c r="I158" s="89" t="s">
        <v>69</v>
      </c>
      <c r="J158" s="89" t="s">
        <v>68</v>
      </c>
      <c r="K158" s="89" t="s">
        <v>83</v>
      </c>
      <c r="L158" s="89" t="s">
        <v>66</v>
      </c>
      <c r="M158" s="89" t="s">
        <v>63</v>
      </c>
      <c r="N158" s="89" t="s">
        <v>61</v>
      </c>
      <c r="O158" s="89" t="s">
        <v>62</v>
      </c>
      <c r="P158" s="89" t="s">
        <v>67</v>
      </c>
      <c r="Q158" s="89" t="s">
        <v>84</v>
      </c>
      <c r="R158" s="384" t="s">
        <v>227</v>
      </c>
    </row>
    <row r="159" spans="1:18" ht="12.75" customHeight="1" x14ac:dyDescent="0.25">
      <c r="D159" s="89" t="s">
        <v>72</v>
      </c>
      <c r="E159" s="371">
        <v>73523.100000000006</v>
      </c>
      <c r="F159" s="90">
        <v>9264.07</v>
      </c>
      <c r="G159" s="90">
        <v>5230.51</v>
      </c>
      <c r="H159" s="90">
        <v>2745.35</v>
      </c>
      <c r="I159" s="90">
        <v>13953.55</v>
      </c>
      <c r="J159" s="90">
        <v>241.72</v>
      </c>
      <c r="K159" s="90">
        <v>0</v>
      </c>
      <c r="L159" s="90">
        <v>2120.39</v>
      </c>
      <c r="M159" s="90">
        <v>3083.67</v>
      </c>
      <c r="N159" s="90">
        <v>14598.9</v>
      </c>
      <c r="O159" s="90">
        <v>21890.54</v>
      </c>
      <c r="P159" s="90">
        <v>394.4</v>
      </c>
      <c r="Q159" s="90">
        <v>0</v>
      </c>
      <c r="R159">
        <v>0</v>
      </c>
    </row>
    <row r="160" spans="1:18" ht="12.75" customHeight="1" x14ac:dyDescent="0.25">
      <c r="C160" t="s">
        <v>335</v>
      </c>
      <c r="D160" s="89" t="s">
        <v>70</v>
      </c>
      <c r="E160" s="371">
        <v>73523.100000000006</v>
      </c>
      <c r="F160" s="90">
        <v>9264.07</v>
      </c>
      <c r="G160" s="90">
        <v>5230.51</v>
      </c>
      <c r="H160" s="90">
        <v>2745.35</v>
      </c>
      <c r="I160" s="90">
        <v>13953.55</v>
      </c>
      <c r="J160" s="90">
        <v>241.72</v>
      </c>
      <c r="K160" s="90">
        <v>0</v>
      </c>
      <c r="L160" s="90">
        <v>2120.39</v>
      </c>
      <c r="M160" s="90">
        <v>3083.67</v>
      </c>
      <c r="N160" s="90">
        <v>14598.9</v>
      </c>
      <c r="O160" s="90">
        <v>21890.54</v>
      </c>
      <c r="P160" s="90">
        <v>394.4</v>
      </c>
      <c r="Q160" s="90">
        <v>0</v>
      </c>
      <c r="R160">
        <v>0</v>
      </c>
    </row>
    <row r="161" spans="1:18" s="740" customFormat="1" ht="12.75" customHeight="1" x14ac:dyDescent="0.25">
      <c r="B161" s="740" t="s">
        <v>85</v>
      </c>
      <c r="C161" s="740" t="s">
        <v>70</v>
      </c>
      <c r="D161" s="231"/>
      <c r="E161" s="741">
        <v>73523.100000000006</v>
      </c>
      <c r="F161" s="232">
        <v>9264.07</v>
      </c>
      <c r="G161" s="232">
        <v>5230.51</v>
      </c>
      <c r="H161" s="232">
        <v>2745.35</v>
      </c>
      <c r="I161" s="232">
        <v>13953.55</v>
      </c>
      <c r="J161" s="232">
        <v>241.72</v>
      </c>
      <c r="K161" s="232">
        <v>0</v>
      </c>
      <c r="L161" s="232">
        <v>2120.39</v>
      </c>
      <c r="M161" s="232">
        <v>3083.67</v>
      </c>
      <c r="N161" s="232">
        <v>14598.9</v>
      </c>
      <c r="O161" s="232">
        <v>21890.54</v>
      </c>
      <c r="P161" s="232">
        <v>394.4</v>
      </c>
      <c r="Q161" s="232">
        <v>0</v>
      </c>
      <c r="R161" s="740">
        <v>0</v>
      </c>
    </row>
    <row r="162" spans="1:18" ht="12.65" customHeight="1" x14ac:dyDescent="0.25">
      <c r="D162" t="s">
        <v>72</v>
      </c>
      <c r="E162">
        <v>10207291.73</v>
      </c>
      <c r="F162">
        <v>691727.66</v>
      </c>
      <c r="G162">
        <v>397192.92</v>
      </c>
      <c r="H162">
        <v>197980.04</v>
      </c>
      <c r="I162">
        <v>2063996.04</v>
      </c>
      <c r="J162">
        <v>75420.05</v>
      </c>
      <c r="K162">
        <v>22742.37</v>
      </c>
      <c r="L162">
        <v>669158.80000000005</v>
      </c>
      <c r="M162">
        <v>682630.8</v>
      </c>
      <c r="N162">
        <v>3576274.42</v>
      </c>
      <c r="O162">
        <v>1725169.95</v>
      </c>
      <c r="P162">
        <v>104984.24</v>
      </c>
      <c r="Q162">
        <v>14.44</v>
      </c>
      <c r="R162">
        <v>0</v>
      </c>
    </row>
    <row r="163" spans="1:18" ht="12.75" customHeight="1" x14ac:dyDescent="0.25">
      <c r="D163" t="s">
        <v>81</v>
      </c>
      <c r="E163">
        <v>10777.75</v>
      </c>
      <c r="F163">
        <v>739.4</v>
      </c>
      <c r="G163">
        <v>426.95</v>
      </c>
      <c r="H163">
        <v>220.46</v>
      </c>
      <c r="I163">
        <v>2409.2399999999998</v>
      </c>
      <c r="J163">
        <v>88.57</v>
      </c>
      <c r="K163">
        <v>0</v>
      </c>
      <c r="L163">
        <v>743.28</v>
      </c>
      <c r="M163">
        <v>730.41</v>
      </c>
      <c r="N163">
        <v>3555.68</v>
      </c>
      <c r="O163">
        <v>1718.33</v>
      </c>
      <c r="P163">
        <v>145.30000000000001</v>
      </c>
      <c r="Q163">
        <v>0.13</v>
      </c>
      <c r="R163">
        <v>0</v>
      </c>
    </row>
    <row r="164" spans="1:18" ht="12.75" customHeight="1" x14ac:dyDescent="0.25">
      <c r="C164" t="s">
        <v>156</v>
      </c>
      <c r="D164" s="89" t="s">
        <v>70</v>
      </c>
      <c r="E164" s="371">
        <v>10218069.48</v>
      </c>
      <c r="F164" s="90">
        <v>692467.06</v>
      </c>
      <c r="G164" s="90">
        <v>397619.87</v>
      </c>
      <c r="H164" s="90">
        <v>198200.5</v>
      </c>
      <c r="I164" s="90">
        <v>2066405.28</v>
      </c>
      <c r="J164" s="90">
        <v>75508.62</v>
      </c>
      <c r="K164" s="90">
        <v>22742.37</v>
      </c>
      <c r="L164" s="90">
        <v>669902.07999999996</v>
      </c>
      <c r="M164" s="90">
        <v>683361.21</v>
      </c>
      <c r="N164" s="90">
        <v>3579830.1</v>
      </c>
      <c r="O164" s="90">
        <v>1726888.28</v>
      </c>
      <c r="P164" s="90">
        <v>105129.54</v>
      </c>
      <c r="Q164" s="90">
        <v>14.57</v>
      </c>
      <c r="R164">
        <v>0</v>
      </c>
    </row>
    <row r="165" spans="1:18" s="657" customFormat="1" ht="12.75" customHeight="1" x14ac:dyDescent="0.25">
      <c r="B165" s="657" t="s">
        <v>155</v>
      </c>
      <c r="C165" s="657" t="s">
        <v>70</v>
      </c>
      <c r="E165" s="742">
        <v>10218069.48</v>
      </c>
      <c r="F165" s="657">
        <v>692467.06</v>
      </c>
      <c r="G165" s="657">
        <v>397619.87</v>
      </c>
      <c r="H165" s="657">
        <v>198200.5</v>
      </c>
      <c r="I165" s="657">
        <v>2066405.28</v>
      </c>
      <c r="J165" s="657">
        <v>75508.62</v>
      </c>
      <c r="K165" s="657">
        <v>22742.37</v>
      </c>
      <c r="L165" s="657">
        <v>669902.07999999996</v>
      </c>
      <c r="M165" s="657">
        <v>683361.21</v>
      </c>
      <c r="N165" s="657">
        <v>3579830.1</v>
      </c>
      <c r="O165" s="657">
        <v>1726888.28</v>
      </c>
      <c r="P165" s="657">
        <v>105129.54</v>
      </c>
      <c r="Q165" s="657">
        <v>14.57</v>
      </c>
      <c r="R165" s="657">
        <v>0</v>
      </c>
    </row>
    <row r="166" spans="1:18" ht="12.75" customHeight="1" x14ac:dyDescent="0.25">
      <c r="D166" t="s">
        <v>72</v>
      </c>
      <c r="E166" s="142">
        <v>1272712.9099999999</v>
      </c>
      <c r="F166">
        <v>67036.89</v>
      </c>
      <c r="G166">
        <v>39501.06</v>
      </c>
      <c r="H166">
        <v>23477.74</v>
      </c>
      <c r="I166">
        <v>289895.21000000002</v>
      </c>
      <c r="J166">
        <v>8195.0499999999993</v>
      </c>
      <c r="K166">
        <v>0</v>
      </c>
      <c r="L166">
        <v>74764.14</v>
      </c>
      <c r="M166">
        <v>110184.35</v>
      </c>
      <c r="N166">
        <v>481645.44</v>
      </c>
      <c r="O166">
        <v>163596.31</v>
      </c>
      <c r="P166">
        <v>14405.04</v>
      </c>
      <c r="Q166">
        <v>11.68</v>
      </c>
      <c r="R166">
        <v>0</v>
      </c>
    </row>
    <row r="167" spans="1:18" ht="12.75" customHeight="1" x14ac:dyDescent="0.25">
      <c r="D167" t="s">
        <v>81</v>
      </c>
      <c r="E167" s="142">
        <v>12.81</v>
      </c>
      <c r="F167">
        <v>0.52</v>
      </c>
      <c r="G167">
        <v>0.28999999999999998</v>
      </c>
      <c r="H167">
        <v>0.15</v>
      </c>
      <c r="I167">
        <v>3.5</v>
      </c>
      <c r="J167">
        <v>0.08</v>
      </c>
      <c r="K167">
        <v>0</v>
      </c>
      <c r="L167">
        <v>0.73</v>
      </c>
      <c r="M167">
        <v>1.08</v>
      </c>
      <c r="N167">
        <v>5.1100000000000003</v>
      </c>
      <c r="O167">
        <v>1.21</v>
      </c>
      <c r="P167">
        <v>0.14000000000000001</v>
      </c>
      <c r="Q167">
        <v>0</v>
      </c>
      <c r="R167">
        <v>0</v>
      </c>
    </row>
    <row r="168" spans="1:18" ht="12.75" customHeight="1" x14ac:dyDescent="0.25">
      <c r="C168" t="s">
        <v>82</v>
      </c>
      <c r="D168" t="s">
        <v>70</v>
      </c>
      <c r="E168" s="142">
        <v>1272725.72</v>
      </c>
      <c r="F168">
        <v>67037.41</v>
      </c>
      <c r="G168">
        <v>39501.35</v>
      </c>
      <c r="H168">
        <v>23477.89</v>
      </c>
      <c r="I168">
        <v>289898.71000000002</v>
      </c>
      <c r="J168">
        <v>8195.1299999999992</v>
      </c>
      <c r="K168">
        <v>0</v>
      </c>
      <c r="L168">
        <v>74764.87</v>
      </c>
      <c r="M168">
        <v>110185.43</v>
      </c>
      <c r="N168">
        <v>481650.55</v>
      </c>
      <c r="O168">
        <v>163597.51999999999</v>
      </c>
      <c r="P168">
        <v>14405.18</v>
      </c>
      <c r="Q168">
        <v>11.68</v>
      </c>
      <c r="R168">
        <v>0</v>
      </c>
    </row>
    <row r="169" spans="1:18" ht="12.75" customHeight="1" x14ac:dyDescent="0.25">
      <c r="D169" t="s">
        <v>72</v>
      </c>
      <c r="E169" s="142">
        <v>983440.41</v>
      </c>
      <c r="F169">
        <v>68653.41</v>
      </c>
      <c r="G169">
        <v>38553.57</v>
      </c>
      <c r="H169">
        <v>20740.34</v>
      </c>
      <c r="I169">
        <v>220594.68</v>
      </c>
      <c r="J169">
        <v>4977.4799999999996</v>
      </c>
      <c r="K169">
        <v>0</v>
      </c>
      <c r="L169">
        <v>53236.89</v>
      </c>
      <c r="M169">
        <v>65079.83</v>
      </c>
      <c r="N169">
        <v>340285.14</v>
      </c>
      <c r="O169">
        <v>162040.31</v>
      </c>
      <c r="P169">
        <v>9295.93</v>
      </c>
      <c r="Q169">
        <v>-17.170000000000002</v>
      </c>
      <c r="R169">
        <v>0</v>
      </c>
    </row>
    <row r="170" spans="1:18" ht="12.75" customHeight="1" x14ac:dyDescent="0.25">
      <c r="D170" t="s">
        <v>81</v>
      </c>
      <c r="E170" s="142">
        <v>593.62</v>
      </c>
      <c r="F170">
        <v>4.2</v>
      </c>
      <c r="G170">
        <v>2.37</v>
      </c>
      <c r="H170">
        <v>1.25</v>
      </c>
      <c r="I170">
        <v>0</v>
      </c>
      <c r="J170">
        <v>9.5399999999999991</v>
      </c>
      <c r="K170">
        <v>0</v>
      </c>
      <c r="L170">
        <v>83.75</v>
      </c>
      <c r="M170">
        <v>82.2</v>
      </c>
      <c r="N170">
        <v>385.01</v>
      </c>
      <c r="O170">
        <v>9.75</v>
      </c>
      <c r="P170">
        <v>15.58</v>
      </c>
      <c r="Q170">
        <v>-0.03</v>
      </c>
      <c r="R170">
        <v>0</v>
      </c>
    </row>
    <row r="171" spans="1:18" ht="12.75" customHeight="1" x14ac:dyDescent="0.25">
      <c r="C171" t="s">
        <v>86</v>
      </c>
      <c r="D171" t="s">
        <v>70</v>
      </c>
      <c r="E171" s="142">
        <v>984034.03</v>
      </c>
      <c r="F171">
        <v>68657.61</v>
      </c>
      <c r="G171">
        <v>38555.94</v>
      </c>
      <c r="H171">
        <v>20741.59</v>
      </c>
      <c r="I171">
        <v>220594.68</v>
      </c>
      <c r="J171">
        <v>4987.0200000000004</v>
      </c>
      <c r="K171">
        <v>0</v>
      </c>
      <c r="L171">
        <v>53320.639999999999</v>
      </c>
      <c r="M171">
        <v>65162.03</v>
      </c>
      <c r="N171">
        <v>340670.15</v>
      </c>
      <c r="O171">
        <v>162050.06</v>
      </c>
      <c r="P171">
        <v>9311.51</v>
      </c>
      <c r="Q171">
        <v>-17.2</v>
      </c>
      <c r="R171">
        <v>0</v>
      </c>
    </row>
    <row r="172" spans="1:18" ht="12.75" customHeight="1" x14ac:dyDescent="0.25">
      <c r="D172" t="s">
        <v>72</v>
      </c>
      <c r="E172" s="142">
        <v>10889834.800000001</v>
      </c>
      <c r="F172">
        <v>1776974.67</v>
      </c>
      <c r="G172">
        <v>603192.44999999995</v>
      </c>
      <c r="H172">
        <v>505061.73</v>
      </c>
      <c r="I172">
        <v>1046769.67</v>
      </c>
      <c r="J172">
        <v>28744.59</v>
      </c>
      <c r="K172">
        <v>0</v>
      </c>
      <c r="L172">
        <v>266799.07</v>
      </c>
      <c r="M172">
        <v>384022.27</v>
      </c>
      <c r="N172">
        <v>1863093.08</v>
      </c>
      <c r="O172">
        <v>4364983.13</v>
      </c>
      <c r="P172">
        <v>50156.58</v>
      </c>
      <c r="Q172">
        <v>37.56</v>
      </c>
      <c r="R172">
        <v>0</v>
      </c>
    </row>
    <row r="173" spans="1:18" ht="12.75" customHeight="1" x14ac:dyDescent="0.25">
      <c r="D173" t="s">
        <v>81</v>
      </c>
      <c r="E173" s="142">
        <v>269071.07</v>
      </c>
      <c r="F173">
        <v>55015.17</v>
      </c>
      <c r="G173">
        <v>31018.76</v>
      </c>
      <c r="H173">
        <v>16363.81</v>
      </c>
      <c r="I173">
        <v>12244.44</v>
      </c>
      <c r="J173">
        <v>300.42</v>
      </c>
      <c r="K173">
        <v>0</v>
      </c>
      <c r="L173">
        <v>2679.67</v>
      </c>
      <c r="M173">
        <v>3831.33</v>
      </c>
      <c r="N173">
        <v>17411.71</v>
      </c>
      <c r="O173">
        <v>129718.24</v>
      </c>
      <c r="P173">
        <v>487.91</v>
      </c>
      <c r="Q173">
        <v>-0.39</v>
      </c>
      <c r="R173">
        <v>0</v>
      </c>
    </row>
    <row r="174" spans="1:18" ht="12.75" customHeight="1" x14ac:dyDescent="0.25">
      <c r="A174" s="89"/>
      <c r="B174" s="89"/>
      <c r="C174" t="s">
        <v>87</v>
      </c>
      <c r="D174" t="s">
        <v>70</v>
      </c>
      <c r="E174" s="90">
        <v>11158905.869999999</v>
      </c>
      <c r="F174" s="90">
        <v>1831989.84</v>
      </c>
      <c r="G174" s="90">
        <v>634211.21</v>
      </c>
      <c r="H174" s="90">
        <v>521425.54</v>
      </c>
      <c r="I174" s="90">
        <v>1059014.1100000001</v>
      </c>
      <c r="J174" s="90">
        <v>29045.01</v>
      </c>
      <c r="K174" s="90">
        <v>0</v>
      </c>
      <c r="L174" s="90">
        <v>269478.74</v>
      </c>
      <c r="M174" s="90">
        <v>387853.6</v>
      </c>
      <c r="N174" s="90">
        <v>1880504.79</v>
      </c>
      <c r="O174" s="90">
        <v>4494701.37</v>
      </c>
      <c r="P174" s="90">
        <v>50644.49</v>
      </c>
      <c r="Q174" s="90">
        <v>37.17</v>
      </c>
      <c r="R174">
        <v>0</v>
      </c>
    </row>
    <row r="175" spans="1:18" s="94" customFormat="1" ht="12.75" customHeight="1" x14ac:dyDescent="0.25">
      <c r="A175" s="101"/>
      <c r="B175" s="101" t="s">
        <v>119</v>
      </c>
      <c r="C175" s="94" t="s">
        <v>70</v>
      </c>
      <c r="E175" s="93">
        <v>13415665.619999999</v>
      </c>
      <c r="F175" s="93">
        <v>1967684.86</v>
      </c>
      <c r="G175" s="93">
        <v>712268.5</v>
      </c>
      <c r="H175" s="93">
        <v>565645.02</v>
      </c>
      <c r="I175" s="93">
        <v>1569507.5</v>
      </c>
      <c r="J175" s="93">
        <v>42227.16</v>
      </c>
      <c r="K175" s="93">
        <v>0</v>
      </c>
      <c r="L175" s="93">
        <v>397564.25</v>
      </c>
      <c r="M175" s="93">
        <v>563201.06000000006</v>
      </c>
      <c r="N175" s="93">
        <v>2702825.49</v>
      </c>
      <c r="O175" s="93">
        <v>4820348.95</v>
      </c>
      <c r="P175" s="93">
        <v>74361.179999999993</v>
      </c>
      <c r="Q175" s="93">
        <v>31.65</v>
      </c>
      <c r="R175" s="94">
        <v>0</v>
      </c>
    </row>
    <row r="176" spans="1:18" s="226" customFormat="1" ht="12.75" customHeight="1" x14ac:dyDescent="0.25">
      <c r="A176" s="226" t="s">
        <v>78</v>
      </c>
      <c r="B176" s="226" t="s">
        <v>70</v>
      </c>
      <c r="D176" s="98"/>
      <c r="E176" s="100">
        <v>23707258.199999999</v>
      </c>
      <c r="F176" s="100">
        <v>2669415.9900000002</v>
      </c>
      <c r="G176" s="100">
        <v>1115118.8799999999</v>
      </c>
      <c r="H176" s="100">
        <v>766590.87</v>
      </c>
      <c r="I176" s="100">
        <v>3649866.33</v>
      </c>
      <c r="J176" s="100">
        <v>117977.5</v>
      </c>
      <c r="K176" s="100">
        <v>22742.37</v>
      </c>
      <c r="L176" s="100">
        <v>1069586.72</v>
      </c>
      <c r="M176" s="100">
        <v>1249645.94</v>
      </c>
      <c r="N176" s="100">
        <v>6297254.4900000002</v>
      </c>
      <c r="O176" s="100">
        <v>6569127.7699999996</v>
      </c>
      <c r="P176" s="100">
        <v>179885.12</v>
      </c>
      <c r="Q176" s="100">
        <v>46.22</v>
      </c>
      <c r="R176" s="226">
        <v>0</v>
      </c>
    </row>
    <row r="177" spans="1:18" ht="12.75" customHeight="1" x14ac:dyDescent="0.25">
      <c r="C177" s="89"/>
      <c r="D177" s="89" t="s">
        <v>73</v>
      </c>
      <c r="E177" s="371">
        <v>-235930.54</v>
      </c>
      <c r="F177" s="90">
        <v>179509.93</v>
      </c>
      <c r="G177" s="90">
        <v>97518.46</v>
      </c>
      <c r="H177" s="90">
        <v>31515.45</v>
      </c>
      <c r="I177" s="90">
        <v>-494732.77</v>
      </c>
      <c r="J177" s="90">
        <v>-10768.31</v>
      </c>
      <c r="K177" s="90">
        <v>0</v>
      </c>
      <c r="L177" s="90">
        <v>-79292.72</v>
      </c>
      <c r="M177" s="90">
        <v>-76908.97</v>
      </c>
      <c r="N177" s="90">
        <v>-361796.09</v>
      </c>
      <c r="O177" s="90">
        <v>496533.67</v>
      </c>
      <c r="P177" s="90">
        <v>-17509.189999999999</v>
      </c>
      <c r="Q177" s="90">
        <v>0</v>
      </c>
      <c r="R177">
        <v>0</v>
      </c>
    </row>
    <row r="178" spans="1:18" ht="12.75" customHeight="1" x14ac:dyDescent="0.25">
      <c r="C178" s="89" t="s">
        <v>156</v>
      </c>
      <c r="D178" s="89" t="s">
        <v>70</v>
      </c>
      <c r="E178" s="371">
        <v>-235930.54</v>
      </c>
      <c r="F178" s="90">
        <v>179509.93</v>
      </c>
      <c r="G178" s="90">
        <v>97518.46</v>
      </c>
      <c r="H178" s="90">
        <v>31515.45</v>
      </c>
      <c r="I178" s="90">
        <v>-494732.77</v>
      </c>
      <c r="J178" s="90">
        <v>-10768.31</v>
      </c>
      <c r="K178" s="90">
        <v>0</v>
      </c>
      <c r="L178" s="90">
        <v>-79292.72</v>
      </c>
      <c r="M178" s="90">
        <v>-76908.97</v>
      </c>
      <c r="N178" s="90">
        <v>-361796.09</v>
      </c>
      <c r="O178" s="90">
        <v>496533.67</v>
      </c>
      <c r="P178" s="90">
        <v>-17509.189999999999</v>
      </c>
      <c r="Q178" s="90">
        <v>0</v>
      </c>
      <c r="R178">
        <v>0</v>
      </c>
    </row>
    <row r="179" spans="1:18" s="237" customFormat="1" ht="12.75" customHeight="1" x14ac:dyDescent="0.25">
      <c r="B179" s="237" t="s">
        <v>155</v>
      </c>
      <c r="C179" s="221" t="s">
        <v>70</v>
      </c>
      <c r="D179" s="221"/>
      <c r="E179" s="566">
        <v>-235930.54</v>
      </c>
      <c r="F179" s="222">
        <v>179509.93</v>
      </c>
      <c r="G179" s="222">
        <v>97518.46</v>
      </c>
      <c r="H179" s="222">
        <v>31515.45</v>
      </c>
      <c r="I179" s="222">
        <v>-494732.77</v>
      </c>
      <c r="J179" s="222">
        <v>-10768.31</v>
      </c>
      <c r="K179" s="222">
        <v>0</v>
      </c>
      <c r="L179" s="222">
        <v>-79292.72</v>
      </c>
      <c r="M179" s="222">
        <v>-76908.97</v>
      </c>
      <c r="N179" s="222">
        <v>-361796.09</v>
      </c>
      <c r="O179" s="222">
        <v>496533.67</v>
      </c>
      <c r="P179" s="222">
        <v>-17509.189999999999</v>
      </c>
      <c r="Q179" s="222">
        <v>0</v>
      </c>
      <c r="R179" s="237">
        <v>0</v>
      </c>
    </row>
    <row r="180" spans="1:18" ht="12.75" customHeight="1" x14ac:dyDescent="0.25">
      <c r="C180" s="89"/>
      <c r="D180" s="89" t="s">
        <v>73</v>
      </c>
      <c r="E180" s="371">
        <v>64033.1</v>
      </c>
      <c r="F180" s="90">
        <v>7214.71</v>
      </c>
      <c r="G180" s="90">
        <v>4104.6000000000004</v>
      </c>
      <c r="H180" s="90">
        <v>2011.77</v>
      </c>
      <c r="I180" s="90">
        <v>10666.45</v>
      </c>
      <c r="J180" s="90">
        <v>222.72</v>
      </c>
      <c r="K180" s="90">
        <v>0</v>
      </c>
      <c r="L180" s="90">
        <v>1953.71</v>
      </c>
      <c r="M180" s="90">
        <v>3521.83</v>
      </c>
      <c r="N180" s="90">
        <v>16901.91</v>
      </c>
      <c r="O180" s="90">
        <v>17071.919999999998</v>
      </c>
      <c r="P180" s="90">
        <v>363.48</v>
      </c>
      <c r="Q180" s="90">
        <v>0</v>
      </c>
      <c r="R180">
        <v>0</v>
      </c>
    </row>
    <row r="181" spans="1:18" ht="12.75" customHeight="1" x14ac:dyDescent="0.25">
      <c r="C181" t="s">
        <v>82</v>
      </c>
      <c r="D181" t="s">
        <v>70</v>
      </c>
      <c r="E181">
        <v>64033.1</v>
      </c>
      <c r="F181">
        <v>7214.71</v>
      </c>
      <c r="G181">
        <v>4104.6000000000004</v>
      </c>
      <c r="H181">
        <v>2011.77</v>
      </c>
      <c r="I181">
        <v>10666.45</v>
      </c>
      <c r="J181">
        <v>222.72</v>
      </c>
      <c r="K181">
        <v>0</v>
      </c>
      <c r="L181">
        <v>1953.71</v>
      </c>
      <c r="M181">
        <v>3521.83</v>
      </c>
      <c r="N181">
        <v>16901.91</v>
      </c>
      <c r="O181">
        <v>17071.919999999998</v>
      </c>
      <c r="P181">
        <v>363.48</v>
      </c>
      <c r="Q181">
        <v>0</v>
      </c>
      <c r="R181">
        <v>0</v>
      </c>
    </row>
    <row r="182" spans="1:18" ht="12.75" customHeight="1" x14ac:dyDescent="0.25">
      <c r="D182" t="s">
        <v>73</v>
      </c>
      <c r="E182">
        <v>143391.71</v>
      </c>
      <c r="F182">
        <v>17683.3</v>
      </c>
      <c r="G182">
        <v>9483.69</v>
      </c>
      <c r="H182">
        <v>4051.59</v>
      </c>
      <c r="I182">
        <v>19388.95</v>
      </c>
      <c r="J182">
        <v>458.99</v>
      </c>
      <c r="K182">
        <v>0</v>
      </c>
      <c r="L182">
        <v>4524.54</v>
      </c>
      <c r="M182">
        <v>8575.41</v>
      </c>
      <c r="N182">
        <v>33527.4</v>
      </c>
      <c r="O182">
        <v>44872.41</v>
      </c>
      <c r="P182">
        <v>825.43</v>
      </c>
      <c r="Q182">
        <v>0</v>
      </c>
      <c r="R182">
        <v>0</v>
      </c>
    </row>
    <row r="183" spans="1:18" ht="12.75" customHeight="1" x14ac:dyDescent="0.25">
      <c r="C183" t="s">
        <v>86</v>
      </c>
      <c r="D183" t="s">
        <v>70</v>
      </c>
      <c r="E183">
        <v>143391.71</v>
      </c>
      <c r="F183">
        <v>17683.3</v>
      </c>
      <c r="G183">
        <v>9483.69</v>
      </c>
      <c r="H183">
        <v>4051.59</v>
      </c>
      <c r="I183">
        <v>19388.95</v>
      </c>
      <c r="J183">
        <v>458.99</v>
      </c>
      <c r="K183">
        <v>0</v>
      </c>
      <c r="L183">
        <v>4524.54</v>
      </c>
      <c r="M183">
        <v>8575.41</v>
      </c>
      <c r="N183">
        <v>33527.4</v>
      </c>
      <c r="O183">
        <v>44872.41</v>
      </c>
      <c r="P183">
        <v>825.43</v>
      </c>
      <c r="Q183">
        <v>0</v>
      </c>
      <c r="R183">
        <v>0</v>
      </c>
    </row>
    <row r="184" spans="1:18" ht="12.75" customHeight="1" x14ac:dyDescent="0.25">
      <c r="D184" s="89" t="s">
        <v>73</v>
      </c>
      <c r="E184" s="90">
        <v>2930318.19</v>
      </c>
      <c r="F184" s="90">
        <v>567936.48</v>
      </c>
      <c r="G184" s="90">
        <v>316279.55</v>
      </c>
      <c r="H184" s="90">
        <v>167772.67</v>
      </c>
      <c r="I184" s="90">
        <v>74829.75</v>
      </c>
      <c r="J184" s="90">
        <v>1886.12</v>
      </c>
      <c r="K184" s="90">
        <v>0</v>
      </c>
      <c r="L184" s="90">
        <v>25238.91</v>
      </c>
      <c r="M184" s="90">
        <v>37822.78</v>
      </c>
      <c r="N184" s="90">
        <v>177754.7</v>
      </c>
      <c r="O184" s="90">
        <v>1557167.31</v>
      </c>
      <c r="P184" s="90">
        <v>3629.92</v>
      </c>
      <c r="Q184" s="90">
        <v>0</v>
      </c>
      <c r="R184">
        <v>0</v>
      </c>
    </row>
    <row r="185" spans="1:18" ht="12.75" customHeight="1" x14ac:dyDescent="0.25">
      <c r="C185" t="s">
        <v>87</v>
      </c>
      <c r="D185" s="89" t="s">
        <v>70</v>
      </c>
      <c r="E185" s="90">
        <v>2930318.19</v>
      </c>
      <c r="F185" s="90">
        <v>567936.48</v>
      </c>
      <c r="G185" s="90">
        <v>316279.55</v>
      </c>
      <c r="H185" s="90">
        <v>167772.67</v>
      </c>
      <c r="I185" s="90">
        <v>74829.75</v>
      </c>
      <c r="J185" s="90">
        <v>1886.12</v>
      </c>
      <c r="K185" s="90">
        <v>0</v>
      </c>
      <c r="L185" s="90">
        <v>25238.91</v>
      </c>
      <c r="M185" s="90">
        <v>37822.78</v>
      </c>
      <c r="N185" s="90">
        <v>177754.7</v>
      </c>
      <c r="O185" s="90">
        <v>1557167.31</v>
      </c>
      <c r="P185" s="90">
        <v>3629.92</v>
      </c>
      <c r="Q185" s="90">
        <v>0</v>
      </c>
      <c r="R185">
        <v>0</v>
      </c>
    </row>
    <row r="186" spans="1:18" s="94" customFormat="1" ht="12.75" customHeight="1" x14ac:dyDescent="0.25">
      <c r="B186" s="101" t="s">
        <v>119</v>
      </c>
      <c r="C186" s="101" t="s">
        <v>70</v>
      </c>
      <c r="E186" s="93">
        <v>3137743</v>
      </c>
      <c r="F186" s="93">
        <v>592834.49</v>
      </c>
      <c r="G186" s="93">
        <v>329867.84000000003</v>
      </c>
      <c r="H186" s="93">
        <v>173836.03</v>
      </c>
      <c r="I186" s="93">
        <v>104885.15</v>
      </c>
      <c r="J186" s="93">
        <v>2567.83</v>
      </c>
      <c r="K186" s="93">
        <v>0</v>
      </c>
      <c r="L186" s="93">
        <v>31717.16</v>
      </c>
      <c r="M186" s="93">
        <v>49920.02</v>
      </c>
      <c r="N186" s="93">
        <v>228184.01</v>
      </c>
      <c r="O186" s="93">
        <v>1619111.64</v>
      </c>
      <c r="P186" s="93">
        <v>4818.83</v>
      </c>
      <c r="Q186" s="93">
        <v>0</v>
      </c>
      <c r="R186" s="94">
        <v>0</v>
      </c>
    </row>
    <row r="187" spans="1:18" s="226" customFormat="1" ht="12.75" customHeight="1" x14ac:dyDescent="0.25">
      <c r="A187" s="98" t="s">
        <v>79</v>
      </c>
      <c r="B187" s="98" t="s">
        <v>70</v>
      </c>
      <c r="E187" s="100">
        <v>2901812.46</v>
      </c>
      <c r="F187" s="100">
        <v>772344.42</v>
      </c>
      <c r="G187" s="100">
        <v>427386.3</v>
      </c>
      <c r="H187" s="100">
        <v>205351.48</v>
      </c>
      <c r="I187" s="100">
        <v>-389847.62</v>
      </c>
      <c r="J187" s="100">
        <v>-8200.48</v>
      </c>
      <c r="K187" s="100">
        <v>0</v>
      </c>
      <c r="L187" s="100">
        <v>-47575.56</v>
      </c>
      <c r="M187" s="100">
        <v>-26988.95</v>
      </c>
      <c r="N187" s="100">
        <v>-133612.07999999999</v>
      </c>
      <c r="O187" s="100">
        <v>2115645.31</v>
      </c>
      <c r="P187" s="100">
        <v>-12690.36</v>
      </c>
      <c r="Q187" s="100">
        <v>0</v>
      </c>
      <c r="R187" s="226">
        <v>0</v>
      </c>
    </row>
    <row r="188" spans="1:18" ht="12.75" customHeight="1" x14ac:dyDescent="0.25">
      <c r="A188" s="89" t="s">
        <v>70</v>
      </c>
      <c r="E188" s="90">
        <v>26609070.66</v>
      </c>
      <c r="F188" s="90">
        <v>3441760.41</v>
      </c>
      <c r="G188" s="90">
        <v>1542505.18</v>
      </c>
      <c r="H188" s="90">
        <v>971942.35</v>
      </c>
      <c r="I188" s="90">
        <v>3260018.71</v>
      </c>
      <c r="J188" s="90">
        <v>109777.02</v>
      </c>
      <c r="K188" s="90">
        <v>22742.37</v>
      </c>
      <c r="L188" s="90">
        <v>1022011.16</v>
      </c>
      <c r="M188" s="90">
        <v>1222656.99</v>
      </c>
      <c r="N188" s="90">
        <v>6163642.4100000001</v>
      </c>
      <c r="O188" s="90">
        <v>8684773.0800000001</v>
      </c>
      <c r="P188" s="90">
        <v>167194.76</v>
      </c>
      <c r="Q188" s="90">
        <v>46.22</v>
      </c>
      <c r="R188">
        <v>0</v>
      </c>
    </row>
    <row r="189" spans="1:18" ht="12.75" customHeight="1" x14ac:dyDescent="0.25">
      <c r="A189" s="89"/>
      <c r="E189" s="90"/>
      <c r="F189" s="90"/>
      <c r="G189" s="90"/>
      <c r="H189" s="90"/>
      <c r="I189" s="90"/>
      <c r="J189" s="90"/>
      <c r="K189" s="90"/>
      <c r="L189" s="90"/>
      <c r="M189" s="90"/>
      <c r="N189" s="90"/>
      <c r="O189" s="90"/>
      <c r="P189" s="90"/>
      <c r="Q189" s="90"/>
    </row>
    <row r="190" spans="1:18" ht="12.75" hidden="1" customHeight="1" x14ac:dyDescent="0.25">
      <c r="A190" s="89"/>
      <c r="E190" s="90"/>
      <c r="F190" s="90"/>
      <c r="G190" s="90"/>
      <c r="H190" s="90"/>
      <c r="I190" s="90"/>
      <c r="J190" s="90"/>
      <c r="K190" s="90"/>
      <c r="L190" s="90"/>
      <c r="M190" s="90"/>
      <c r="N190" s="90"/>
      <c r="O190" s="90"/>
      <c r="P190" s="90"/>
      <c r="Q190" s="90"/>
    </row>
    <row r="191" spans="1:18" ht="12.75" hidden="1" customHeight="1" x14ac:dyDescent="0.25">
      <c r="A191" s="89"/>
      <c r="E191" s="90"/>
      <c r="F191" s="90"/>
      <c r="G191" s="90"/>
      <c r="H191" s="90"/>
      <c r="I191" s="90"/>
      <c r="J191" s="90"/>
      <c r="K191" s="90"/>
      <c r="L191" s="90"/>
      <c r="M191" s="90"/>
      <c r="N191" s="90"/>
      <c r="O191" s="90"/>
      <c r="P191" s="90"/>
      <c r="Q191" s="90"/>
    </row>
    <row r="192" spans="1:18" ht="12.75" hidden="1" customHeight="1" x14ac:dyDescent="0.25">
      <c r="A192" s="89"/>
      <c r="E192" s="90"/>
      <c r="F192" s="90"/>
      <c r="G192" s="90"/>
      <c r="H192" s="90"/>
      <c r="I192" s="90"/>
      <c r="J192" s="90"/>
      <c r="K192" s="90"/>
      <c r="L192" s="90"/>
      <c r="M192" s="90"/>
      <c r="N192" s="90"/>
      <c r="O192" s="90"/>
      <c r="P192" s="90"/>
      <c r="Q192" s="90"/>
    </row>
    <row r="193" spans="1:17" ht="12.75" hidden="1" customHeight="1" x14ac:dyDescent="0.25">
      <c r="A193" s="89"/>
      <c r="E193" s="90"/>
      <c r="F193" s="90"/>
      <c r="G193" s="90"/>
      <c r="H193" s="90"/>
      <c r="I193" s="90"/>
      <c r="J193" s="90"/>
      <c r="K193" s="90"/>
      <c r="L193" s="90"/>
      <c r="M193" s="90"/>
      <c r="N193" s="90"/>
      <c r="O193" s="90"/>
      <c r="P193" s="90"/>
      <c r="Q193" s="90"/>
    </row>
    <row r="194" spans="1:17" ht="12.75" hidden="1" customHeight="1" x14ac:dyDescent="0.25">
      <c r="A194" s="89"/>
      <c r="E194" s="90"/>
      <c r="F194" s="90"/>
      <c r="G194" s="90"/>
      <c r="H194" s="90"/>
      <c r="I194" s="90"/>
      <c r="J194" s="90"/>
      <c r="K194" s="90"/>
      <c r="L194" s="90"/>
      <c r="M194" s="90"/>
      <c r="N194" s="90"/>
      <c r="O194" s="90"/>
      <c r="P194" s="90"/>
      <c r="Q194" s="90"/>
    </row>
    <row r="195" spans="1:17" ht="12.75" hidden="1" customHeight="1" x14ac:dyDescent="0.25">
      <c r="A195" s="89"/>
      <c r="E195" s="90"/>
      <c r="F195" s="90"/>
      <c r="G195" s="90"/>
      <c r="H195" s="90"/>
      <c r="I195" s="90"/>
      <c r="J195" s="90"/>
      <c r="K195" s="90"/>
      <c r="L195" s="90"/>
      <c r="M195" s="90"/>
      <c r="N195" s="90"/>
      <c r="O195" s="90"/>
      <c r="P195" s="90"/>
      <c r="Q195" s="90"/>
    </row>
    <row r="196" spans="1:17" ht="12.75" hidden="1" customHeight="1" x14ac:dyDescent="0.25">
      <c r="A196" s="89"/>
      <c r="E196" s="90"/>
      <c r="F196" s="90"/>
      <c r="G196" s="90"/>
      <c r="H196" s="90"/>
      <c r="I196" s="90"/>
      <c r="J196" s="90"/>
      <c r="K196" s="90"/>
      <c r="L196" s="90"/>
      <c r="M196" s="90"/>
      <c r="N196" s="90"/>
      <c r="O196" s="90"/>
      <c r="P196" s="90"/>
      <c r="Q196" s="90"/>
    </row>
    <row r="197" spans="1:17" ht="12.75" hidden="1" customHeight="1" x14ac:dyDescent="0.25">
      <c r="A197" s="89"/>
      <c r="E197" s="90"/>
      <c r="F197" s="90"/>
      <c r="G197" s="90"/>
      <c r="H197" s="90"/>
      <c r="I197" s="90"/>
      <c r="J197" s="90"/>
      <c r="K197" s="90"/>
      <c r="L197" s="90"/>
      <c r="M197" s="90"/>
      <c r="N197" s="90"/>
      <c r="O197" s="90"/>
      <c r="P197" s="90"/>
      <c r="Q197" s="90"/>
    </row>
    <row r="198" spans="1:17" ht="12.75" hidden="1" customHeight="1" x14ac:dyDescent="0.25">
      <c r="A198" s="89"/>
      <c r="E198" s="90"/>
      <c r="F198" s="90"/>
      <c r="G198" s="90"/>
      <c r="H198" s="90"/>
      <c r="I198" s="90"/>
      <c r="J198" s="90"/>
      <c r="K198" s="90"/>
      <c r="L198" s="90"/>
      <c r="M198" s="90"/>
      <c r="N198" s="90"/>
      <c r="O198" s="90"/>
      <c r="P198" s="90"/>
      <c r="Q198" s="90"/>
    </row>
    <row r="199" spans="1:17" ht="12.75" hidden="1" customHeight="1" x14ac:dyDescent="0.25">
      <c r="A199" s="89"/>
      <c r="E199" s="90"/>
      <c r="F199" s="90"/>
      <c r="G199" s="90"/>
      <c r="H199" s="90"/>
      <c r="I199" s="90"/>
      <c r="J199" s="90"/>
      <c r="K199" s="90"/>
      <c r="L199" s="90"/>
      <c r="M199" s="90"/>
      <c r="N199" s="90"/>
      <c r="O199" s="90"/>
      <c r="P199" s="90"/>
      <c r="Q199" s="90"/>
    </row>
    <row r="200" spans="1:17" ht="12.75" hidden="1" customHeight="1" x14ac:dyDescent="0.25">
      <c r="A200" s="89"/>
      <c r="E200" s="90"/>
      <c r="F200" s="90"/>
      <c r="G200" s="90"/>
      <c r="H200" s="90"/>
      <c r="I200" s="90"/>
      <c r="J200" s="90"/>
      <c r="K200" s="90"/>
      <c r="L200" s="90"/>
      <c r="M200" s="90"/>
      <c r="N200" s="90"/>
      <c r="O200" s="90"/>
      <c r="P200" s="90"/>
      <c r="Q200" s="90"/>
    </row>
    <row r="201" spans="1:17" ht="12.75" hidden="1" customHeight="1" x14ac:dyDescent="0.25">
      <c r="A201" s="89"/>
      <c r="E201" s="90"/>
      <c r="F201" s="90"/>
      <c r="G201" s="90"/>
      <c r="H201" s="90"/>
      <c r="I201" s="90"/>
      <c r="J201" s="90"/>
      <c r="K201" s="90"/>
      <c r="L201" s="90"/>
      <c r="M201" s="90"/>
      <c r="N201" s="90"/>
      <c r="O201" s="90"/>
      <c r="P201" s="90"/>
      <c r="Q201" s="90"/>
    </row>
    <row r="202" spans="1:17" ht="12.75" hidden="1" customHeight="1" x14ac:dyDescent="0.25">
      <c r="A202" s="89"/>
      <c r="E202" s="90"/>
      <c r="F202" s="90"/>
      <c r="G202" s="90"/>
      <c r="H202" s="90"/>
      <c r="I202" s="90"/>
      <c r="J202" s="90"/>
      <c r="K202" s="90"/>
      <c r="L202" s="90"/>
      <c r="M202" s="90"/>
      <c r="N202" s="90"/>
      <c r="O202" s="90"/>
      <c r="P202" s="90"/>
      <c r="Q202" s="90"/>
    </row>
    <row r="203" spans="1:17" ht="12.75" hidden="1" customHeight="1" x14ac:dyDescent="0.25">
      <c r="A203" s="89"/>
      <c r="E203" s="90"/>
      <c r="F203" s="90"/>
      <c r="G203" s="90"/>
      <c r="H203" s="90"/>
      <c r="I203" s="90"/>
      <c r="J203" s="90"/>
      <c r="K203" s="90"/>
      <c r="L203" s="90"/>
      <c r="M203" s="90"/>
      <c r="N203" s="90"/>
      <c r="O203" s="90"/>
      <c r="P203" s="90"/>
      <c r="Q203" s="90"/>
    </row>
    <row r="204" spans="1:17" ht="12.75" hidden="1" customHeight="1" x14ac:dyDescent="0.25">
      <c r="A204" s="89"/>
      <c r="E204" s="90"/>
      <c r="F204" s="90"/>
      <c r="G204" s="90"/>
      <c r="H204" s="90"/>
      <c r="I204" s="90"/>
      <c r="J204" s="90"/>
      <c r="K204" s="90"/>
      <c r="L204" s="90"/>
      <c r="M204" s="90"/>
      <c r="N204" s="90"/>
      <c r="O204" s="90"/>
      <c r="P204" s="90"/>
      <c r="Q204" s="90"/>
    </row>
    <row r="205" spans="1:17" ht="12.75" hidden="1" customHeight="1" x14ac:dyDescent="0.25">
      <c r="A205" s="89"/>
      <c r="E205" s="90"/>
      <c r="F205" s="90"/>
      <c r="G205" s="90"/>
      <c r="H205" s="90"/>
      <c r="I205" s="90"/>
      <c r="J205" s="90"/>
      <c r="K205" s="90"/>
      <c r="L205" s="90"/>
      <c r="M205" s="90"/>
      <c r="N205" s="90"/>
      <c r="O205" s="90"/>
      <c r="P205" s="90"/>
      <c r="Q205" s="90"/>
    </row>
    <row r="206" spans="1:17" ht="12.75" hidden="1" customHeight="1" x14ac:dyDescent="0.25">
      <c r="A206" s="89"/>
      <c r="E206" s="90"/>
      <c r="F206" s="90"/>
      <c r="G206" s="90"/>
      <c r="H206" s="90"/>
      <c r="I206" s="90"/>
      <c r="J206" s="90"/>
      <c r="K206" s="90"/>
      <c r="L206" s="90"/>
      <c r="M206" s="90"/>
      <c r="N206" s="90"/>
      <c r="O206" s="90"/>
      <c r="P206" s="90"/>
      <c r="Q206" s="90"/>
    </row>
    <row r="207" spans="1:17" ht="12.75" hidden="1" customHeight="1" x14ac:dyDescent="0.25">
      <c r="A207" s="89"/>
      <c r="E207" s="90"/>
      <c r="F207" s="90"/>
      <c r="G207" s="90"/>
      <c r="H207" s="90"/>
      <c r="I207" s="90"/>
      <c r="J207" s="90"/>
      <c r="K207" s="90"/>
      <c r="L207" s="90"/>
      <c r="M207" s="90"/>
      <c r="N207" s="90"/>
      <c r="O207" s="90"/>
      <c r="P207" s="90"/>
      <c r="Q207" s="90"/>
    </row>
    <row r="208" spans="1:17" ht="12.75" hidden="1" customHeight="1" x14ac:dyDescent="0.25">
      <c r="A208" s="89"/>
      <c r="E208" s="90"/>
      <c r="F208" s="90"/>
      <c r="G208" s="90"/>
      <c r="H208" s="90"/>
      <c r="I208" s="90"/>
      <c r="J208" s="90"/>
      <c r="K208" s="90"/>
      <c r="L208" s="90"/>
      <c r="M208" s="90"/>
      <c r="N208" s="90"/>
      <c r="O208" s="90"/>
      <c r="P208" s="90"/>
      <c r="Q208" s="90"/>
    </row>
    <row r="209" spans="1:18" ht="12.75" hidden="1" customHeight="1" x14ac:dyDescent="0.25">
      <c r="A209" s="89"/>
      <c r="E209" s="90"/>
      <c r="F209" s="90"/>
      <c r="G209" s="90"/>
      <c r="H209" s="90"/>
      <c r="I209" s="90"/>
      <c r="J209" s="90"/>
      <c r="K209" s="90"/>
      <c r="L209" s="90"/>
      <c r="M209" s="90"/>
      <c r="N209" s="90"/>
      <c r="O209" s="90"/>
      <c r="P209" s="90"/>
      <c r="Q209" s="90"/>
    </row>
    <row r="210" spans="1:18" ht="12.75" hidden="1" customHeight="1" x14ac:dyDescent="0.25">
      <c r="A210" s="89"/>
      <c r="E210" s="90"/>
      <c r="F210" s="90"/>
      <c r="G210" s="90"/>
      <c r="H210" s="90"/>
      <c r="I210" s="90"/>
      <c r="J210" s="90"/>
      <c r="K210" s="90"/>
      <c r="L210" s="90"/>
      <c r="M210" s="90"/>
      <c r="N210" s="90"/>
      <c r="O210" s="90"/>
      <c r="P210" s="90"/>
      <c r="Q210" s="90"/>
    </row>
    <row r="211" spans="1:18" ht="12.75" hidden="1" customHeight="1" x14ac:dyDescent="0.25">
      <c r="A211" s="89"/>
      <c r="E211" s="90"/>
      <c r="F211" s="90"/>
      <c r="G211" s="90"/>
      <c r="H211" s="90"/>
      <c r="I211" s="90"/>
      <c r="J211" s="90"/>
      <c r="K211" s="90"/>
      <c r="L211" s="90"/>
      <c r="M211" s="90"/>
      <c r="N211" s="90"/>
      <c r="O211" s="90"/>
      <c r="P211" s="90"/>
      <c r="Q211" s="90"/>
    </row>
    <row r="212" spans="1:18" ht="12.75" hidden="1" customHeight="1" x14ac:dyDescent="0.25">
      <c r="A212" s="89"/>
      <c r="E212" s="90"/>
      <c r="F212" s="90"/>
      <c r="G212" s="90"/>
      <c r="H212" s="90"/>
      <c r="I212" s="90"/>
      <c r="J212" s="90"/>
      <c r="K212" s="90"/>
      <c r="L212" s="90"/>
      <c r="M212" s="90"/>
      <c r="N212" s="90"/>
      <c r="O212" s="90"/>
      <c r="P212" s="90"/>
      <c r="Q212" s="90"/>
    </row>
    <row r="213" spans="1:18" ht="12.75" hidden="1" customHeight="1" x14ac:dyDescent="0.25">
      <c r="A213" s="89"/>
      <c r="E213" s="90"/>
      <c r="F213" s="90"/>
      <c r="G213" s="90"/>
      <c r="H213" s="90"/>
      <c r="I213" s="90"/>
      <c r="J213" s="90"/>
      <c r="K213" s="90"/>
      <c r="L213" s="90"/>
      <c r="M213" s="90"/>
      <c r="N213" s="90"/>
      <c r="O213" s="90"/>
      <c r="P213" s="90"/>
      <c r="Q213" s="90"/>
    </row>
    <row r="214" spans="1:18" ht="12.75" hidden="1" customHeight="1" x14ac:dyDescent="0.25">
      <c r="A214" s="89"/>
      <c r="E214" s="90"/>
      <c r="F214" s="90"/>
      <c r="G214" s="90"/>
      <c r="H214" s="90"/>
      <c r="I214" s="90"/>
      <c r="J214" s="90"/>
      <c r="K214" s="90"/>
      <c r="L214" s="90"/>
      <c r="M214" s="90"/>
      <c r="N214" s="90"/>
      <c r="O214" s="90"/>
      <c r="P214" s="90"/>
      <c r="Q214" s="90"/>
    </row>
    <row r="215" spans="1:18" ht="12.75" hidden="1" customHeight="1" x14ac:dyDescent="0.25">
      <c r="A215" s="89"/>
      <c r="E215" s="90"/>
      <c r="F215" s="90"/>
      <c r="G215" s="90"/>
      <c r="H215" s="90"/>
      <c r="I215" s="90"/>
      <c r="J215" s="90"/>
      <c r="K215" s="90"/>
      <c r="L215" s="90"/>
      <c r="M215" s="90"/>
      <c r="N215" s="90"/>
      <c r="O215" s="90"/>
      <c r="P215" s="90"/>
      <c r="Q215" s="90"/>
    </row>
    <row r="216" spans="1:18" ht="12.75" hidden="1" customHeight="1" x14ac:dyDescent="0.25">
      <c r="A216" s="89"/>
      <c r="E216" s="90"/>
      <c r="F216" s="90"/>
      <c r="G216" s="90"/>
      <c r="H216" s="90"/>
      <c r="I216" s="90"/>
      <c r="J216" s="90"/>
      <c r="K216" s="90"/>
      <c r="L216" s="90"/>
      <c r="M216" s="90"/>
      <c r="N216" s="90"/>
      <c r="O216" s="90"/>
      <c r="P216" s="90"/>
      <c r="Q216" s="90"/>
    </row>
    <row r="217" spans="1:18" ht="12.75" hidden="1" customHeight="1" x14ac:dyDescent="0.25">
      <c r="A217" s="89"/>
      <c r="E217" s="90"/>
      <c r="F217" s="90"/>
      <c r="G217" s="90"/>
      <c r="H217" s="90"/>
      <c r="I217" s="90"/>
      <c r="J217" s="90"/>
      <c r="K217" s="90"/>
      <c r="L217" s="90"/>
      <c r="M217" s="90"/>
      <c r="N217" s="90"/>
      <c r="O217" s="90"/>
      <c r="P217" s="90"/>
      <c r="Q217" s="90"/>
    </row>
    <row r="218" spans="1:18" ht="12.75" hidden="1" customHeight="1" x14ac:dyDescent="0.25">
      <c r="A218" s="89"/>
      <c r="E218" s="90"/>
      <c r="F218" s="90"/>
      <c r="G218" s="90"/>
      <c r="H218" s="90"/>
      <c r="I218" s="90"/>
      <c r="J218" s="90"/>
      <c r="K218" s="90"/>
      <c r="L218" s="90"/>
      <c r="M218" s="90"/>
      <c r="N218" s="90"/>
      <c r="O218" s="90"/>
      <c r="P218" s="90"/>
      <c r="Q218" s="90"/>
    </row>
    <row r="219" spans="1:18" ht="12.75" hidden="1" customHeight="1" x14ac:dyDescent="0.25">
      <c r="A219" s="89"/>
      <c r="E219" s="90"/>
      <c r="F219" s="90"/>
      <c r="G219" s="90"/>
      <c r="H219" s="90"/>
      <c r="I219" s="90"/>
      <c r="J219" s="90"/>
      <c r="K219" s="90"/>
      <c r="L219" s="90"/>
      <c r="M219" s="90"/>
      <c r="N219" s="90"/>
      <c r="O219" s="90"/>
      <c r="P219" s="90"/>
      <c r="Q219" s="90"/>
    </row>
    <row r="220" spans="1:18" ht="12.75" customHeight="1" x14ac:dyDescent="0.25">
      <c r="C220" s="89"/>
      <c r="D220" s="89"/>
      <c r="E220" s="90"/>
      <c r="F220" s="90"/>
      <c r="G220" s="90"/>
      <c r="H220" s="90"/>
      <c r="I220" s="90"/>
      <c r="J220" s="90"/>
      <c r="K220" s="90"/>
      <c r="L220" s="90"/>
      <c r="M220" s="90"/>
      <c r="N220" s="90"/>
      <c r="O220" s="90"/>
      <c r="P220" s="90"/>
      <c r="Q220" s="90"/>
      <c r="R220" s="90"/>
    </row>
    <row r="221" spans="1:18" ht="12.75" hidden="1" customHeight="1" x14ac:dyDescent="0.25">
      <c r="D221" s="89"/>
      <c r="E221" s="90"/>
      <c r="F221" s="90"/>
      <c r="G221" s="90"/>
      <c r="H221" s="90"/>
      <c r="I221" s="90"/>
      <c r="J221" s="90"/>
      <c r="K221" s="90"/>
      <c r="L221" s="90"/>
      <c r="M221" s="90"/>
      <c r="N221" s="90"/>
      <c r="O221" s="90"/>
      <c r="P221" s="90"/>
      <c r="Q221" s="90"/>
      <c r="R221" s="90"/>
    </row>
    <row r="222" spans="1:18" ht="12.75" hidden="1" customHeight="1" x14ac:dyDescent="0.25">
      <c r="C222" s="89"/>
      <c r="D222" s="89"/>
      <c r="E222" s="90"/>
      <c r="F222" s="90"/>
      <c r="G222" s="90"/>
      <c r="H222" s="90"/>
      <c r="I222" s="90"/>
      <c r="J222" s="90"/>
      <c r="K222" s="90"/>
      <c r="L222" s="90"/>
      <c r="M222" s="90"/>
      <c r="N222" s="90"/>
      <c r="O222" s="90"/>
      <c r="P222" s="90"/>
      <c r="Q222" s="90"/>
      <c r="R222" s="90"/>
    </row>
    <row r="223" spans="1:18" ht="12.75" hidden="1" customHeight="1" x14ac:dyDescent="0.25">
      <c r="D223" s="89"/>
      <c r="E223" s="90"/>
      <c r="F223" s="90"/>
      <c r="G223" s="90"/>
      <c r="H223" s="90"/>
      <c r="I223" s="90"/>
      <c r="J223" s="90"/>
      <c r="K223" s="90"/>
      <c r="L223" s="90"/>
      <c r="M223" s="90"/>
      <c r="N223" s="90"/>
      <c r="O223" s="90"/>
      <c r="P223" s="90"/>
      <c r="Q223" s="90"/>
      <c r="R223" s="90"/>
    </row>
    <row r="224" spans="1:18" ht="12.75" hidden="1" customHeight="1" x14ac:dyDescent="0.25">
      <c r="C224" s="89"/>
      <c r="D224" s="89"/>
      <c r="E224" s="90"/>
      <c r="F224" s="90"/>
      <c r="G224" s="90"/>
      <c r="H224" s="90"/>
      <c r="I224" s="90"/>
      <c r="J224" s="90"/>
      <c r="K224" s="90"/>
      <c r="L224" s="90"/>
      <c r="M224" s="90"/>
      <c r="N224" s="90"/>
      <c r="O224" s="90"/>
      <c r="P224" s="90"/>
      <c r="Q224" s="90"/>
      <c r="R224" s="90"/>
    </row>
    <row r="225" spans="1:18" ht="12.75" hidden="1" customHeight="1" x14ac:dyDescent="0.25">
      <c r="B225" s="89"/>
      <c r="C225" s="89"/>
      <c r="E225" s="90"/>
      <c r="F225" s="90"/>
      <c r="G225" s="90"/>
      <c r="H225" s="90"/>
      <c r="I225" s="90"/>
      <c r="J225" s="90"/>
      <c r="K225" s="90"/>
      <c r="L225" s="90"/>
      <c r="M225" s="90"/>
      <c r="N225" s="90"/>
      <c r="O225" s="90"/>
      <c r="P225" s="90"/>
      <c r="Q225" s="90"/>
      <c r="R225" s="90"/>
    </row>
    <row r="226" spans="1:18" ht="12.75" hidden="1" customHeight="1" x14ac:dyDescent="0.25">
      <c r="A226" s="89"/>
      <c r="B226" s="89"/>
      <c r="E226" s="90"/>
      <c r="F226" s="90"/>
      <c r="G226" s="90"/>
      <c r="H226" s="90"/>
      <c r="I226" s="90"/>
      <c r="J226" s="90"/>
      <c r="K226" s="90"/>
      <c r="L226" s="90"/>
      <c r="M226" s="90"/>
      <c r="N226" s="90"/>
      <c r="O226" s="90"/>
      <c r="P226" s="90"/>
      <c r="Q226" s="90"/>
      <c r="R226" s="90"/>
    </row>
    <row r="227" spans="1:18" ht="12.75" hidden="1" customHeight="1" x14ac:dyDescent="0.25">
      <c r="A227" s="89"/>
      <c r="E227" s="90"/>
      <c r="F227" s="90"/>
      <c r="G227" s="90"/>
      <c r="H227" s="90"/>
      <c r="I227" s="90"/>
      <c r="J227" s="90"/>
      <c r="K227" s="90"/>
      <c r="L227" s="90"/>
      <c r="M227" s="90"/>
      <c r="N227" s="90"/>
      <c r="O227" s="90"/>
      <c r="P227" s="90"/>
      <c r="Q227" s="90"/>
      <c r="R227" s="90"/>
    </row>
    <row r="228" spans="1:18" ht="12.75" hidden="1" customHeight="1" x14ac:dyDescent="0.25">
      <c r="A228" s="89"/>
      <c r="E228" s="90"/>
      <c r="F228" s="90"/>
      <c r="G228" s="90"/>
      <c r="H228" s="90"/>
      <c r="I228" s="90"/>
      <c r="J228" s="90"/>
      <c r="K228" s="90"/>
      <c r="L228" s="90"/>
      <c r="M228" s="90"/>
      <c r="N228" s="90"/>
      <c r="O228" s="90"/>
      <c r="P228" s="90"/>
      <c r="Q228" s="90"/>
    </row>
    <row r="229" spans="1:18" ht="12.75" hidden="1" customHeight="1" x14ac:dyDescent="0.25">
      <c r="A229" s="89"/>
      <c r="E229" s="90"/>
      <c r="F229" s="90"/>
      <c r="G229" s="90"/>
      <c r="H229" s="90"/>
      <c r="I229" s="90"/>
      <c r="J229" s="90"/>
      <c r="K229" s="90"/>
      <c r="L229" s="90"/>
      <c r="M229" s="90"/>
      <c r="N229" s="90"/>
      <c r="O229" s="90"/>
      <c r="P229" s="90"/>
      <c r="Q229" s="90"/>
    </row>
    <row r="230" spans="1:18" ht="12.75" hidden="1" customHeight="1" x14ac:dyDescent="0.25">
      <c r="A230" s="89"/>
      <c r="E230" s="90"/>
      <c r="F230" s="90"/>
      <c r="G230" s="90"/>
      <c r="H230" s="90"/>
      <c r="I230" s="90"/>
      <c r="J230" s="90"/>
      <c r="K230" s="90"/>
      <c r="L230" s="90"/>
      <c r="M230" s="90"/>
      <c r="N230" s="90"/>
      <c r="O230" s="90"/>
      <c r="P230" s="90"/>
      <c r="Q230" s="90"/>
    </row>
    <row r="231" spans="1:18" ht="12.75" hidden="1" customHeight="1" x14ac:dyDescent="0.25">
      <c r="A231" s="89"/>
      <c r="E231" s="90"/>
      <c r="F231" s="90"/>
      <c r="G231" s="90"/>
      <c r="H231" s="90"/>
      <c r="I231" s="90"/>
      <c r="J231" s="90"/>
      <c r="K231" s="90"/>
      <c r="L231" s="90"/>
      <c r="M231" s="90"/>
      <c r="N231" s="90"/>
      <c r="O231" s="90"/>
      <c r="P231" s="90"/>
      <c r="Q231" s="90"/>
    </row>
    <row r="232" spans="1:18" ht="12.75" hidden="1" customHeight="1" x14ac:dyDescent="0.25">
      <c r="A232" s="89"/>
      <c r="E232" s="90"/>
      <c r="F232" s="90"/>
      <c r="G232" s="90"/>
      <c r="H232" s="90"/>
      <c r="I232" s="90"/>
      <c r="J232" s="90"/>
      <c r="K232" s="90"/>
      <c r="L232" s="90"/>
      <c r="M232" s="90"/>
      <c r="N232" s="90"/>
      <c r="O232" s="90"/>
      <c r="P232" s="90"/>
      <c r="Q232" s="90"/>
    </row>
    <row r="233" spans="1:18" ht="12.75" hidden="1" customHeight="1" x14ac:dyDescent="0.25">
      <c r="A233" s="89"/>
      <c r="E233" s="90"/>
      <c r="F233" s="90"/>
      <c r="G233" s="90"/>
      <c r="H233" s="90"/>
      <c r="I233" s="90"/>
      <c r="J233" s="90"/>
      <c r="K233" s="90"/>
      <c r="L233" s="90"/>
      <c r="M233" s="90"/>
      <c r="N233" s="90"/>
      <c r="O233" s="90"/>
      <c r="P233" s="90"/>
      <c r="Q233" s="90"/>
    </row>
    <row r="234" spans="1:18" ht="12.75" hidden="1" customHeight="1" x14ac:dyDescent="0.25">
      <c r="A234" s="89"/>
      <c r="E234" s="90"/>
      <c r="F234" s="90"/>
      <c r="G234" s="90"/>
      <c r="H234" s="90"/>
      <c r="I234" s="90"/>
      <c r="J234" s="90"/>
      <c r="K234" s="90"/>
      <c r="L234" s="90"/>
      <c r="M234" s="90"/>
      <c r="N234" s="90"/>
      <c r="O234" s="90"/>
      <c r="P234" s="90"/>
      <c r="Q234" s="90"/>
    </row>
    <row r="235" spans="1:18" ht="12.75" hidden="1" customHeight="1" x14ac:dyDescent="0.25">
      <c r="A235" s="89"/>
      <c r="E235" s="90"/>
      <c r="F235" s="90"/>
      <c r="G235" s="90"/>
      <c r="H235" s="90"/>
      <c r="I235" s="90"/>
      <c r="J235" s="90"/>
      <c r="K235" s="90"/>
      <c r="L235" s="90"/>
      <c r="M235" s="90"/>
      <c r="N235" s="90"/>
      <c r="O235" s="90"/>
      <c r="P235" s="90"/>
      <c r="Q235" s="90"/>
    </row>
    <row r="236" spans="1:18" ht="12.75" hidden="1" customHeight="1" x14ac:dyDescent="0.25">
      <c r="A236" s="89"/>
      <c r="E236" s="90"/>
      <c r="F236" s="90"/>
      <c r="G236" s="90"/>
      <c r="H236" s="90"/>
      <c r="I236" s="90"/>
      <c r="J236" s="90"/>
      <c r="K236" s="90"/>
      <c r="L236" s="90"/>
      <c r="M236" s="90"/>
      <c r="N236" s="90"/>
      <c r="O236" s="90"/>
      <c r="P236" s="90"/>
      <c r="Q236" s="90"/>
    </row>
    <row r="237" spans="1:18" ht="12.75" hidden="1" customHeight="1" x14ac:dyDescent="0.25">
      <c r="A237" s="89"/>
      <c r="E237" s="90"/>
      <c r="F237" s="90"/>
      <c r="G237" s="90"/>
      <c r="H237" s="90"/>
      <c r="I237" s="90"/>
      <c r="J237" s="90"/>
      <c r="K237" s="90"/>
      <c r="L237" s="90"/>
      <c r="M237" s="90"/>
      <c r="N237" s="90"/>
      <c r="O237" s="90"/>
      <c r="P237" s="90"/>
      <c r="Q237" s="90"/>
    </row>
    <row r="238" spans="1:18" ht="12.75" hidden="1" customHeight="1" x14ac:dyDescent="0.25">
      <c r="A238" s="89"/>
      <c r="E238" s="90"/>
      <c r="F238" s="90"/>
      <c r="G238" s="90"/>
      <c r="H238" s="90"/>
      <c r="I238" s="90"/>
      <c r="J238" s="90"/>
      <c r="K238" s="90"/>
      <c r="L238" s="90"/>
      <c r="M238" s="90"/>
      <c r="N238" s="90"/>
      <c r="O238" s="90"/>
      <c r="P238" s="90"/>
      <c r="Q238" s="90"/>
    </row>
    <row r="239" spans="1:18" ht="12.75" hidden="1" customHeight="1" x14ac:dyDescent="0.25">
      <c r="A239" s="89"/>
      <c r="E239" s="90"/>
      <c r="F239" s="90"/>
      <c r="G239" s="90"/>
      <c r="H239" s="90"/>
      <c r="I239" s="90"/>
      <c r="J239" s="90"/>
      <c r="K239" s="90"/>
      <c r="L239" s="90"/>
      <c r="M239" s="90"/>
      <c r="N239" s="90"/>
      <c r="O239" s="90"/>
      <c r="P239" s="90"/>
      <c r="Q239" s="90"/>
    </row>
    <row r="240" spans="1:18" ht="12.75" hidden="1" customHeight="1" x14ac:dyDescent="0.25">
      <c r="A240" s="89"/>
      <c r="E240" s="90"/>
      <c r="F240" s="90"/>
      <c r="G240" s="90"/>
      <c r="H240" s="90"/>
      <c r="I240" s="90"/>
      <c r="J240" s="90"/>
      <c r="K240" s="90"/>
      <c r="L240" s="90"/>
      <c r="M240" s="90"/>
      <c r="N240" s="90"/>
      <c r="O240" s="90"/>
      <c r="P240" s="90"/>
      <c r="Q240" s="90"/>
    </row>
    <row r="241" spans="1:18" ht="12.75" hidden="1" customHeight="1" x14ac:dyDescent="0.25">
      <c r="A241" s="89"/>
      <c r="E241" s="90"/>
      <c r="F241" s="90"/>
      <c r="G241" s="90"/>
      <c r="H241" s="90"/>
      <c r="I241" s="90"/>
      <c r="J241" s="90"/>
      <c r="K241" s="90"/>
      <c r="L241" s="90"/>
      <c r="M241" s="90"/>
      <c r="N241" s="90"/>
      <c r="O241" s="90"/>
      <c r="P241" s="90"/>
      <c r="Q241" s="90"/>
    </row>
    <row r="242" spans="1:18" ht="12.75" hidden="1" customHeight="1" x14ac:dyDescent="0.25">
      <c r="A242" s="89"/>
      <c r="E242" s="90"/>
      <c r="F242" s="90"/>
      <c r="G242" s="90"/>
      <c r="H242" s="90"/>
      <c r="I242" s="90"/>
      <c r="J242" s="90"/>
      <c r="K242" s="90"/>
      <c r="L242" s="90"/>
      <c r="M242" s="90"/>
      <c r="N242" s="90"/>
      <c r="O242" s="90"/>
      <c r="P242" s="90"/>
      <c r="Q242" s="90"/>
    </row>
    <row r="243" spans="1:18" ht="12.75" hidden="1" customHeight="1" x14ac:dyDescent="0.25">
      <c r="A243" s="89"/>
      <c r="E243" s="90"/>
      <c r="F243" s="90"/>
      <c r="G243" s="90"/>
      <c r="H243" s="90"/>
      <c r="I243" s="90"/>
      <c r="J243" s="90"/>
      <c r="K243" s="90"/>
      <c r="L243" s="90"/>
      <c r="M243" s="90"/>
      <c r="N243" s="90"/>
      <c r="O243" s="90"/>
      <c r="P243" s="90"/>
      <c r="Q243" s="90"/>
    </row>
    <row r="244" spans="1:18" ht="12.75" hidden="1" customHeight="1" x14ac:dyDescent="0.25">
      <c r="A244" s="89"/>
      <c r="E244" s="90"/>
      <c r="F244" s="90"/>
      <c r="G244" s="90"/>
      <c r="H244" s="90"/>
      <c r="I244" s="90"/>
      <c r="J244" s="90"/>
      <c r="K244" s="90"/>
      <c r="L244" s="90"/>
      <c r="M244" s="90"/>
      <c r="N244" s="90"/>
      <c r="O244" s="90"/>
      <c r="P244" s="90"/>
      <c r="Q244" s="90"/>
    </row>
    <row r="245" spans="1:18" ht="12.75" hidden="1" customHeight="1" x14ac:dyDescent="0.25">
      <c r="A245" s="89"/>
      <c r="E245" s="90"/>
      <c r="F245" s="90"/>
      <c r="G245" s="90"/>
      <c r="H245" s="90"/>
      <c r="I245" s="90"/>
      <c r="J245" s="90"/>
      <c r="K245" s="90"/>
      <c r="L245" s="90"/>
      <c r="M245" s="90"/>
      <c r="N245" s="90"/>
      <c r="O245" s="90"/>
      <c r="P245" s="90"/>
      <c r="Q245" s="90"/>
    </row>
    <row r="246" spans="1:18" ht="12.75" hidden="1" customHeight="1" x14ac:dyDescent="0.25">
      <c r="A246" s="89"/>
      <c r="E246" s="90"/>
      <c r="F246" s="90"/>
      <c r="G246" s="90"/>
      <c r="H246" s="90"/>
      <c r="I246" s="90"/>
      <c r="J246" s="90"/>
      <c r="K246" s="90"/>
      <c r="L246" s="90"/>
      <c r="M246" s="90"/>
      <c r="N246" s="90"/>
      <c r="O246" s="90"/>
      <c r="P246" s="90"/>
      <c r="Q246" s="90"/>
    </row>
    <row r="247" spans="1:18" ht="12.75" hidden="1" customHeight="1" x14ac:dyDescent="0.25">
      <c r="A247" s="89"/>
      <c r="E247" s="90"/>
      <c r="F247" s="90"/>
      <c r="G247" s="90"/>
      <c r="H247" s="90"/>
      <c r="I247" s="90"/>
      <c r="J247" s="90"/>
      <c r="K247" s="90"/>
      <c r="L247" s="90"/>
      <c r="M247" s="90"/>
      <c r="N247" s="90"/>
      <c r="O247" s="90"/>
      <c r="P247" s="90"/>
      <c r="Q247" s="90"/>
    </row>
    <row r="248" spans="1:18" ht="12.75" hidden="1" customHeight="1" x14ac:dyDescent="0.25">
      <c r="A248" s="89"/>
      <c r="E248" s="90"/>
      <c r="F248" s="90"/>
      <c r="G248" s="90"/>
      <c r="H248" s="90"/>
      <c r="I248" s="90"/>
      <c r="J248" s="90"/>
      <c r="K248" s="90"/>
      <c r="L248" s="90"/>
      <c r="M248" s="90"/>
      <c r="N248" s="90"/>
      <c r="O248" s="90"/>
      <c r="P248" s="90"/>
      <c r="Q248" s="90"/>
    </row>
    <row r="249" spans="1:18" ht="12.75" hidden="1" customHeight="1" x14ac:dyDescent="0.25">
      <c r="A249" s="89"/>
      <c r="E249" s="90"/>
      <c r="F249" s="90"/>
      <c r="G249" s="90"/>
      <c r="H249" s="90"/>
      <c r="I249" s="90"/>
      <c r="J249" s="90"/>
      <c r="K249" s="90"/>
      <c r="L249" s="90"/>
      <c r="M249" s="90"/>
      <c r="N249" s="90"/>
      <c r="O249" s="90"/>
      <c r="P249" s="90"/>
      <c r="Q249" s="90"/>
    </row>
    <row r="250" spans="1:18" ht="12.75" hidden="1" customHeight="1" x14ac:dyDescent="0.25">
      <c r="A250" s="89"/>
      <c r="E250" s="90"/>
      <c r="F250" s="90"/>
      <c r="G250" s="90"/>
      <c r="H250" s="90"/>
      <c r="I250" s="90"/>
      <c r="J250" s="90"/>
      <c r="K250" s="90"/>
      <c r="L250" s="90"/>
      <c r="M250" s="90"/>
      <c r="N250" s="90"/>
      <c r="O250" s="90"/>
      <c r="P250" s="90"/>
      <c r="Q250" s="90"/>
    </row>
    <row r="251" spans="1:18" ht="12.75" hidden="1" customHeight="1" x14ac:dyDescent="0.25">
      <c r="A251" s="89"/>
      <c r="E251" s="90"/>
      <c r="F251" s="90"/>
      <c r="G251" s="90"/>
      <c r="H251" s="90"/>
      <c r="I251" s="90"/>
      <c r="J251" s="90"/>
      <c r="K251" s="90"/>
      <c r="L251" s="90"/>
      <c r="M251" s="90"/>
      <c r="N251" s="90"/>
      <c r="O251" s="90"/>
      <c r="P251" s="90"/>
      <c r="Q251" s="90"/>
    </row>
    <row r="252" spans="1:18" ht="12.75" hidden="1" customHeight="1" x14ac:dyDescent="0.25">
      <c r="A252" s="89"/>
      <c r="E252" s="90"/>
      <c r="F252" s="90"/>
      <c r="G252" s="90"/>
      <c r="H252" s="90"/>
      <c r="I252" s="90"/>
      <c r="J252" s="90"/>
      <c r="K252" s="90"/>
      <c r="L252" s="90"/>
      <c r="M252" s="90"/>
      <c r="N252" s="90"/>
      <c r="O252" s="90"/>
      <c r="P252" s="90"/>
      <c r="Q252" s="90"/>
    </row>
    <row r="253" spans="1:18" ht="12.75" hidden="1" customHeight="1" x14ac:dyDescent="0.25">
      <c r="A253" s="89"/>
      <c r="E253" s="90"/>
      <c r="F253" s="90"/>
      <c r="G253" s="90"/>
      <c r="H253" s="90"/>
      <c r="I253" s="90"/>
      <c r="J253" s="90"/>
      <c r="K253" s="90"/>
      <c r="L253" s="90"/>
      <c r="M253" s="90"/>
      <c r="N253" s="90"/>
      <c r="O253" s="90"/>
      <c r="P253" s="90"/>
      <c r="Q253" s="90"/>
    </row>
    <row r="254" spans="1:18" ht="12.75" hidden="1" customHeight="1" x14ac:dyDescent="0.25">
      <c r="A254" s="89"/>
      <c r="E254" s="90"/>
      <c r="F254" s="90"/>
      <c r="G254" s="90"/>
      <c r="H254" s="90"/>
      <c r="I254" s="90"/>
      <c r="J254" s="90"/>
      <c r="K254" s="90"/>
      <c r="L254" s="90"/>
      <c r="M254" s="90"/>
      <c r="N254" s="90"/>
      <c r="O254" s="90"/>
      <c r="P254" s="90"/>
      <c r="Q254" s="90"/>
    </row>
    <row r="255" spans="1:18" ht="12.75" customHeight="1" x14ac:dyDescent="0.25">
      <c r="A255" s="89"/>
      <c r="E255" s="90"/>
      <c r="F255" s="90"/>
      <c r="G255" s="90"/>
      <c r="H255" s="90"/>
      <c r="I255" s="90"/>
      <c r="J255" s="90"/>
      <c r="K255" s="90"/>
      <c r="L255" s="90"/>
      <c r="M255" s="90"/>
      <c r="N255" s="90"/>
      <c r="O255" s="90"/>
      <c r="P255" s="90"/>
      <c r="Q255" s="90"/>
    </row>
    <row r="256" spans="1:18" ht="12.75" customHeight="1" x14ac:dyDescent="0.25">
      <c r="B256" s="774" t="s">
        <v>2</v>
      </c>
      <c r="C256" s="771" t="s">
        <v>132</v>
      </c>
      <c r="D256" s="98" t="s">
        <v>70</v>
      </c>
      <c r="E256" s="100">
        <f>E176+E187-K176</f>
        <v>26586328.289999999</v>
      </c>
      <c r="F256" s="100">
        <f>F176</f>
        <v>2669415.9900000002</v>
      </c>
      <c r="G256" s="100">
        <f t="shared" ref="G256:R256" si="7">G176</f>
        <v>1115118.8799999999</v>
      </c>
      <c r="H256" s="100">
        <f t="shared" si="7"/>
        <v>766590.87</v>
      </c>
      <c r="I256" s="100">
        <f t="shared" si="7"/>
        <v>3649866.33</v>
      </c>
      <c r="J256" s="100">
        <f t="shared" si="7"/>
        <v>117977.5</v>
      </c>
      <c r="K256" s="100">
        <f t="shared" si="7"/>
        <v>22742.37</v>
      </c>
      <c r="L256" s="100">
        <f t="shared" si="7"/>
        <v>1069586.72</v>
      </c>
      <c r="M256" s="100">
        <f t="shared" si="7"/>
        <v>1249645.94</v>
      </c>
      <c r="N256" s="100">
        <f t="shared" si="7"/>
        <v>6297254.4900000002</v>
      </c>
      <c r="O256" s="100">
        <f t="shared" si="7"/>
        <v>6569127.7699999996</v>
      </c>
      <c r="P256" s="100">
        <f t="shared" si="7"/>
        <v>179885.12</v>
      </c>
      <c r="Q256" s="100">
        <f t="shared" si="7"/>
        <v>46.22</v>
      </c>
      <c r="R256" s="100">
        <f t="shared" si="7"/>
        <v>0</v>
      </c>
    </row>
    <row r="257" spans="1:18" ht="12.75" customHeight="1" x14ac:dyDescent="0.25">
      <c r="B257" s="774"/>
      <c r="C257" s="771"/>
      <c r="D257" s="98" t="s">
        <v>73</v>
      </c>
      <c r="E257" s="100">
        <f>E187</f>
        <v>2901812.46</v>
      </c>
      <c r="F257" s="90"/>
      <c r="G257" s="90"/>
      <c r="H257" s="90"/>
      <c r="I257" s="90"/>
      <c r="J257" s="90"/>
      <c r="K257" s="90"/>
      <c r="L257" s="90"/>
      <c r="M257" s="90"/>
      <c r="N257" s="90"/>
      <c r="O257" s="90"/>
      <c r="P257" s="90"/>
      <c r="Q257" s="90"/>
      <c r="R257" s="90"/>
    </row>
    <row r="258" spans="1:18" ht="12.75" customHeight="1" x14ac:dyDescent="0.3">
      <c r="A258" s="89"/>
      <c r="B258" s="97"/>
      <c r="E258" s="90"/>
      <c r="F258" s="90"/>
      <c r="G258" s="90"/>
      <c r="H258" s="90"/>
      <c r="I258" s="90"/>
      <c r="J258" s="90"/>
      <c r="K258" s="90"/>
      <c r="L258" s="90"/>
      <c r="M258" s="90"/>
      <c r="N258" s="90"/>
      <c r="O258" s="90"/>
      <c r="P258" s="90"/>
      <c r="Q258" s="90"/>
      <c r="R258" s="90"/>
    </row>
    <row r="259" spans="1:18" ht="12.75" customHeight="1" x14ac:dyDescent="0.25">
      <c r="B259" s="774" t="s">
        <v>160</v>
      </c>
      <c r="C259" s="771" t="s">
        <v>132</v>
      </c>
      <c r="D259" s="223" t="s">
        <v>70</v>
      </c>
      <c r="E259" s="225">
        <v>0</v>
      </c>
      <c r="F259" s="225">
        <v>0</v>
      </c>
      <c r="G259" s="225">
        <v>0</v>
      </c>
      <c r="H259" s="225">
        <v>0</v>
      </c>
      <c r="I259" s="225">
        <v>0</v>
      </c>
      <c r="J259" s="225">
        <v>0</v>
      </c>
      <c r="K259" s="225">
        <v>0</v>
      </c>
      <c r="L259" s="225">
        <v>0</v>
      </c>
      <c r="M259" s="225">
        <v>0</v>
      </c>
      <c r="N259" s="225">
        <v>0</v>
      </c>
      <c r="O259" s="225">
        <v>0</v>
      </c>
      <c r="P259" s="225">
        <v>0</v>
      </c>
      <c r="Q259" s="225">
        <v>0</v>
      </c>
      <c r="R259" s="225">
        <v>0</v>
      </c>
    </row>
    <row r="260" spans="1:18" ht="12.75" customHeight="1" x14ac:dyDescent="0.25">
      <c r="B260" s="774"/>
      <c r="C260" s="771"/>
      <c r="D260" s="223" t="s">
        <v>73</v>
      </c>
      <c r="E260" s="225">
        <v>0</v>
      </c>
      <c r="F260" s="90"/>
      <c r="G260" s="90"/>
      <c r="H260" s="90"/>
      <c r="I260" s="90"/>
      <c r="J260" s="90"/>
      <c r="K260" s="90"/>
      <c r="L260" s="90"/>
      <c r="M260" s="90"/>
      <c r="N260" s="90"/>
      <c r="O260" s="90"/>
      <c r="P260" s="90"/>
      <c r="Q260" s="90"/>
      <c r="R260" s="90"/>
    </row>
    <row r="261" spans="1:18" ht="12.75" customHeight="1" x14ac:dyDescent="0.3">
      <c r="A261" s="89"/>
      <c r="B261" s="97"/>
      <c r="E261" s="90"/>
      <c r="F261" s="90"/>
      <c r="G261" s="90"/>
      <c r="H261" s="90"/>
      <c r="I261" s="90"/>
      <c r="J261" s="90"/>
      <c r="K261" s="90"/>
      <c r="L261" s="90"/>
      <c r="M261" s="90"/>
      <c r="N261" s="90"/>
      <c r="O261" s="90"/>
      <c r="P261" s="90"/>
      <c r="Q261" s="90"/>
      <c r="R261" s="90"/>
    </row>
    <row r="262" spans="1:18" ht="12.75" customHeight="1" x14ac:dyDescent="0.25">
      <c r="B262" s="774" t="s">
        <v>155</v>
      </c>
      <c r="C262" s="771" t="s">
        <v>132</v>
      </c>
      <c r="D262" s="221" t="s">
        <v>70</v>
      </c>
      <c r="E262" s="222">
        <f>E179+E165+E161-K165-K161</f>
        <v>10032919.670000002</v>
      </c>
      <c r="F262" s="222">
        <f>F161+F165</f>
        <v>701731.13</v>
      </c>
      <c r="G262" s="222">
        <f t="shared" ref="G262:R262" si="8">G161+G165</f>
        <v>402850.38</v>
      </c>
      <c r="H262" s="222">
        <f t="shared" si="8"/>
        <v>200945.85</v>
      </c>
      <c r="I262" s="222">
        <f t="shared" si="8"/>
        <v>2080358.83</v>
      </c>
      <c r="J262" s="222">
        <f t="shared" si="8"/>
        <v>75750.34</v>
      </c>
      <c r="K262" s="222">
        <f t="shared" si="8"/>
        <v>22742.37</v>
      </c>
      <c r="L262" s="222">
        <f t="shared" si="8"/>
        <v>672022.47</v>
      </c>
      <c r="M262" s="222">
        <f t="shared" si="8"/>
        <v>686444.88</v>
      </c>
      <c r="N262" s="222">
        <f t="shared" si="8"/>
        <v>3594429</v>
      </c>
      <c r="O262" s="222">
        <f t="shared" si="8"/>
        <v>1748778.82</v>
      </c>
      <c r="P262" s="222">
        <f t="shared" si="8"/>
        <v>105523.93999999999</v>
      </c>
      <c r="Q262" s="222">
        <f t="shared" si="8"/>
        <v>14.57</v>
      </c>
      <c r="R262" s="222">
        <f t="shared" si="8"/>
        <v>0</v>
      </c>
    </row>
    <row r="263" spans="1:18" ht="12.75" customHeight="1" x14ac:dyDescent="0.25">
      <c r="B263" s="774"/>
      <c r="C263" s="771"/>
      <c r="D263" s="221" t="s">
        <v>73</v>
      </c>
      <c r="E263" s="222">
        <f>E179</f>
        <v>-235930.54</v>
      </c>
      <c r="F263" s="90"/>
      <c r="G263" s="90"/>
      <c r="H263" s="90"/>
      <c r="I263" s="90"/>
      <c r="J263" s="90"/>
      <c r="K263" s="90"/>
      <c r="L263" s="90"/>
      <c r="M263" s="90"/>
      <c r="N263" s="90"/>
      <c r="O263" s="90"/>
      <c r="P263" s="90"/>
      <c r="Q263" s="90"/>
      <c r="R263" s="90"/>
    </row>
    <row r="264" spans="1:18" ht="12.75" customHeight="1" x14ac:dyDescent="0.25">
      <c r="B264" s="720"/>
      <c r="C264" s="220"/>
      <c r="D264" s="89"/>
      <c r="E264" s="90"/>
      <c r="F264" s="90"/>
      <c r="G264" s="90"/>
      <c r="H264" s="90"/>
      <c r="I264" s="90"/>
      <c r="J264" s="90"/>
      <c r="K264" s="90"/>
      <c r="L264" s="90"/>
      <c r="M264" s="90"/>
      <c r="N264" s="90"/>
      <c r="O264" s="90"/>
      <c r="P264" s="90"/>
      <c r="Q264" s="90"/>
      <c r="R264" s="90"/>
    </row>
    <row r="265" spans="1:18" ht="12.75" customHeight="1" x14ac:dyDescent="0.25">
      <c r="B265" s="772" t="s">
        <v>328</v>
      </c>
      <c r="C265" s="771" t="s">
        <v>132</v>
      </c>
      <c r="D265" s="373" t="s">
        <v>70</v>
      </c>
      <c r="E265" s="374">
        <v>0</v>
      </c>
      <c r="F265" s="374">
        <v>0</v>
      </c>
      <c r="G265" s="374">
        <v>0</v>
      </c>
      <c r="H265" s="374">
        <v>0</v>
      </c>
      <c r="I265" s="374">
        <v>0</v>
      </c>
      <c r="J265" s="374">
        <v>0</v>
      </c>
      <c r="K265" s="374">
        <v>0</v>
      </c>
      <c r="L265" s="374">
        <v>0</v>
      </c>
      <c r="M265" s="374">
        <v>0</v>
      </c>
      <c r="N265" s="374">
        <v>0</v>
      </c>
      <c r="O265" s="374">
        <v>0</v>
      </c>
      <c r="P265" s="374">
        <v>0</v>
      </c>
      <c r="Q265" s="374">
        <v>0</v>
      </c>
      <c r="R265" s="374">
        <v>0</v>
      </c>
    </row>
    <row r="266" spans="1:18" ht="12.75" customHeight="1" x14ac:dyDescent="0.25">
      <c r="B266" s="772"/>
      <c r="C266" s="771"/>
      <c r="D266" s="373" t="s">
        <v>73</v>
      </c>
      <c r="E266" s="374">
        <v>0</v>
      </c>
      <c r="F266" s="90"/>
      <c r="G266" s="90"/>
      <c r="H266" s="90"/>
      <c r="I266" s="90"/>
      <c r="J266" s="90"/>
      <c r="K266" s="90"/>
      <c r="L266" s="90"/>
      <c r="M266" s="90"/>
      <c r="N266" s="90"/>
      <c r="O266" s="90"/>
      <c r="P266" s="90"/>
      <c r="Q266" s="90"/>
      <c r="R266" s="90"/>
    </row>
    <row r="267" spans="1:18" ht="12.75" customHeight="1" x14ac:dyDescent="0.25">
      <c r="B267" s="720"/>
      <c r="C267" s="220"/>
      <c r="D267" s="89"/>
      <c r="E267" s="90"/>
      <c r="F267" s="90"/>
      <c r="G267" s="90"/>
      <c r="H267" s="90"/>
      <c r="I267" s="90"/>
      <c r="J267" s="90"/>
      <c r="K267" s="90"/>
      <c r="L267" s="90"/>
      <c r="M267" s="90"/>
      <c r="N267" s="90"/>
      <c r="O267" s="90"/>
      <c r="P267" s="90"/>
      <c r="Q267" s="90"/>
      <c r="R267" s="90"/>
    </row>
    <row r="268" spans="1:18" ht="12.75" customHeight="1" x14ac:dyDescent="0.25">
      <c r="B268" s="774" t="s">
        <v>119</v>
      </c>
      <c r="C268" s="771" t="s">
        <v>132</v>
      </c>
      <c r="D268" s="101" t="s">
        <v>70</v>
      </c>
      <c r="E268" s="93">
        <f>E175+E186-K175</f>
        <v>16553408.619999999</v>
      </c>
      <c r="F268" s="93">
        <f>F175</f>
        <v>1967684.86</v>
      </c>
      <c r="G268" s="93">
        <f t="shared" ref="G268:R268" si="9">G175</f>
        <v>712268.5</v>
      </c>
      <c r="H268" s="93">
        <f t="shared" si="9"/>
        <v>565645.02</v>
      </c>
      <c r="I268" s="93">
        <f t="shared" si="9"/>
        <v>1569507.5</v>
      </c>
      <c r="J268" s="93">
        <f t="shared" si="9"/>
        <v>42227.16</v>
      </c>
      <c r="K268" s="93">
        <f t="shared" si="9"/>
        <v>0</v>
      </c>
      <c r="L268" s="93">
        <f t="shared" si="9"/>
        <v>397564.25</v>
      </c>
      <c r="M268" s="93">
        <f t="shared" si="9"/>
        <v>563201.06000000006</v>
      </c>
      <c r="N268" s="93">
        <f t="shared" si="9"/>
        <v>2702825.49</v>
      </c>
      <c r="O268" s="93">
        <f t="shared" si="9"/>
        <v>4820348.95</v>
      </c>
      <c r="P268" s="93">
        <f t="shared" si="9"/>
        <v>74361.179999999993</v>
      </c>
      <c r="Q268" s="93">
        <f t="shared" si="9"/>
        <v>31.65</v>
      </c>
      <c r="R268" s="93">
        <f t="shared" si="9"/>
        <v>0</v>
      </c>
    </row>
    <row r="269" spans="1:18" ht="12.75" customHeight="1" x14ac:dyDescent="0.25">
      <c r="B269" s="774"/>
      <c r="C269" s="771"/>
      <c r="D269" s="101" t="s">
        <v>73</v>
      </c>
      <c r="E269" s="93">
        <f>E186</f>
        <v>3137743</v>
      </c>
      <c r="F269" s="90"/>
      <c r="G269" s="90"/>
      <c r="H269" s="90"/>
      <c r="I269" s="90"/>
      <c r="J269" s="90"/>
      <c r="K269" s="90"/>
      <c r="L269" s="90"/>
      <c r="M269" s="90"/>
      <c r="N269" s="90"/>
      <c r="O269" s="90"/>
      <c r="P269" s="90"/>
      <c r="Q269" s="90"/>
      <c r="R269" s="90"/>
    </row>
    <row r="270" spans="1:18" ht="12.75" customHeight="1" x14ac:dyDescent="0.3">
      <c r="A270" s="89"/>
      <c r="B270" s="97"/>
      <c r="E270" s="90"/>
      <c r="F270" s="90"/>
      <c r="G270" s="90"/>
      <c r="H270" s="90"/>
      <c r="I270" s="90"/>
      <c r="J270" s="90"/>
      <c r="K270" s="90"/>
      <c r="L270" s="90"/>
      <c r="M270" s="90"/>
      <c r="N270" s="90"/>
      <c r="O270" s="90"/>
      <c r="P270" s="90"/>
      <c r="Q270" s="90"/>
      <c r="R270" s="90"/>
    </row>
    <row r="271" spans="1:18" ht="12.75" customHeight="1" x14ac:dyDescent="0.25">
      <c r="B271" s="773" t="s">
        <v>161</v>
      </c>
      <c r="C271" s="771" t="s">
        <v>132</v>
      </c>
      <c r="D271" s="231" t="s">
        <v>70</v>
      </c>
      <c r="E271" s="232">
        <v>0</v>
      </c>
      <c r="F271" s="232">
        <v>0</v>
      </c>
      <c r="G271" s="232">
        <v>0</v>
      </c>
      <c r="H271" s="232">
        <v>0</v>
      </c>
      <c r="I271" s="232">
        <v>0</v>
      </c>
      <c r="J271" s="232">
        <v>0</v>
      </c>
      <c r="K271" s="232">
        <v>0</v>
      </c>
      <c r="L271" s="232">
        <v>0</v>
      </c>
      <c r="M271" s="232">
        <v>0</v>
      </c>
      <c r="N271" s="232">
        <v>0</v>
      </c>
      <c r="O271" s="232">
        <v>0</v>
      </c>
      <c r="P271" s="232">
        <v>0</v>
      </c>
      <c r="Q271" s="232">
        <v>0</v>
      </c>
      <c r="R271" s="232">
        <v>0</v>
      </c>
    </row>
    <row r="272" spans="1:18" ht="12.75" customHeight="1" x14ac:dyDescent="0.25">
      <c r="B272" s="773"/>
      <c r="C272" s="771"/>
      <c r="D272" s="231" t="s">
        <v>73</v>
      </c>
      <c r="E272" s="232">
        <v>0</v>
      </c>
      <c r="F272" s="90"/>
      <c r="G272" s="90"/>
      <c r="H272" s="90"/>
      <c r="I272" s="90"/>
      <c r="J272" s="90"/>
      <c r="K272" s="90"/>
      <c r="L272" s="90"/>
      <c r="M272" s="90"/>
      <c r="N272" s="90"/>
      <c r="O272" s="90"/>
      <c r="P272" s="90"/>
      <c r="Q272" s="90"/>
      <c r="R272" s="90"/>
    </row>
    <row r="273" spans="2:18" s="238" customFormat="1" x14ac:dyDescent="0.25"/>
    <row r="274" spans="2:18" ht="15" customHeight="1" x14ac:dyDescent="0.3">
      <c r="B274" s="97" t="s">
        <v>88</v>
      </c>
    </row>
    <row r="275" spans="2:18" ht="11.5" customHeight="1" x14ac:dyDescent="0.25">
      <c r="E275" s="89" t="s">
        <v>70</v>
      </c>
      <c r="F275" s="89" t="s">
        <v>64</v>
      </c>
      <c r="G275" s="89" t="s">
        <v>65</v>
      </c>
      <c r="H275" s="219" t="s">
        <v>164</v>
      </c>
      <c r="I275" s="89" t="s">
        <v>69</v>
      </c>
      <c r="J275" s="89" t="s">
        <v>68</v>
      </c>
      <c r="K275" s="89" t="s">
        <v>83</v>
      </c>
      <c r="L275" s="89" t="s">
        <v>66</v>
      </c>
      <c r="M275" s="89" t="s">
        <v>63</v>
      </c>
      <c r="N275" s="89" t="s">
        <v>61</v>
      </c>
      <c r="O275" s="89" t="s">
        <v>62</v>
      </c>
      <c r="P275" s="89" t="s">
        <v>67</v>
      </c>
      <c r="Q275" s="89" t="s">
        <v>84</v>
      </c>
      <c r="R275" s="384" t="s">
        <v>227</v>
      </c>
    </row>
    <row r="276" spans="2:18" ht="11.5" customHeight="1" x14ac:dyDescent="0.25">
      <c r="D276" t="s">
        <v>72</v>
      </c>
      <c r="E276" s="89">
        <v>76457865.810000002</v>
      </c>
      <c r="F276" s="89">
        <v>3641666.89</v>
      </c>
      <c r="G276" s="89">
        <v>2133608.73</v>
      </c>
      <c r="H276" s="219">
        <v>921850.4</v>
      </c>
      <c r="I276" s="89">
        <v>19097451.010000002</v>
      </c>
      <c r="J276" s="89">
        <v>695259.51</v>
      </c>
      <c r="K276" s="89">
        <v>0</v>
      </c>
      <c r="L276" s="89">
        <v>6005916.7599999998</v>
      </c>
      <c r="M276" s="89">
        <v>5940381.5199999996</v>
      </c>
      <c r="N276" s="89">
        <v>26946237.780000001</v>
      </c>
      <c r="O276" s="89">
        <v>9968241.8399999999</v>
      </c>
      <c r="P276" s="89">
        <v>1107336.69</v>
      </c>
      <c r="Q276" s="89">
        <v>-85.32</v>
      </c>
      <c r="R276" s="384">
        <v>0</v>
      </c>
    </row>
    <row r="277" spans="2:18" ht="12.75" customHeight="1" x14ac:dyDescent="0.25">
      <c r="D277" t="s">
        <v>81</v>
      </c>
      <c r="E277" s="384">
        <v>-546491.49</v>
      </c>
      <c r="F277" s="89">
        <v>1918.82</v>
      </c>
      <c r="G277" s="89">
        <v>919.78</v>
      </c>
      <c r="H277" s="384">
        <v>476.91</v>
      </c>
      <c r="I277" s="89">
        <v>3849.93</v>
      </c>
      <c r="J277" s="89">
        <v>129.94</v>
      </c>
      <c r="K277" s="89">
        <v>0</v>
      </c>
      <c r="L277" s="89">
        <v>1057.79</v>
      </c>
      <c r="M277" s="89">
        <v>1241.1199999999999</v>
      </c>
      <c r="N277" s="89">
        <v>-561414.15</v>
      </c>
      <c r="O277" s="89">
        <v>5114.92</v>
      </c>
      <c r="P277" s="89">
        <v>213.4</v>
      </c>
      <c r="Q277" s="89">
        <v>0.05</v>
      </c>
      <c r="R277" s="384">
        <v>0</v>
      </c>
    </row>
    <row r="278" spans="2:18" ht="12.75" customHeight="1" x14ac:dyDescent="0.25">
      <c r="C278" t="s">
        <v>156</v>
      </c>
      <c r="D278" t="s">
        <v>70</v>
      </c>
      <c r="E278" s="384">
        <v>75911374.319999993</v>
      </c>
      <c r="F278" s="89">
        <v>3643585.71</v>
      </c>
      <c r="G278" s="89">
        <v>2134528.5099999998</v>
      </c>
      <c r="H278" s="384">
        <v>922327.31</v>
      </c>
      <c r="I278" s="89">
        <v>19101300.940000001</v>
      </c>
      <c r="J278" s="89">
        <v>695389.45</v>
      </c>
      <c r="K278" s="89">
        <v>0</v>
      </c>
      <c r="L278" s="89">
        <v>6006974.5499999998</v>
      </c>
      <c r="M278" s="89">
        <v>5941622.6399999997</v>
      </c>
      <c r="N278" s="89">
        <v>26384823.629999999</v>
      </c>
      <c r="O278" s="89">
        <v>9973356.7599999998</v>
      </c>
      <c r="P278" s="89">
        <v>1107550.0900000001</v>
      </c>
      <c r="Q278" s="89">
        <v>-85.27</v>
      </c>
      <c r="R278">
        <v>0</v>
      </c>
    </row>
    <row r="279" spans="2:18" s="286" customFormat="1" ht="12.75" customHeight="1" x14ac:dyDescent="0.25">
      <c r="B279" s="286" t="s">
        <v>155</v>
      </c>
      <c r="C279" s="286" t="s">
        <v>70</v>
      </c>
      <c r="E279" s="754">
        <v>75911374.319999993</v>
      </c>
      <c r="F279" s="229">
        <v>3643585.71</v>
      </c>
      <c r="G279" s="229">
        <v>2134528.5099999998</v>
      </c>
      <c r="H279" s="754">
        <v>922327.31</v>
      </c>
      <c r="I279" s="229">
        <v>19101300.940000001</v>
      </c>
      <c r="J279" s="229">
        <v>695389.45</v>
      </c>
      <c r="K279" s="229">
        <v>0</v>
      </c>
      <c r="L279" s="229">
        <v>6006974.5499999998</v>
      </c>
      <c r="M279" s="229">
        <v>5941622.6399999997</v>
      </c>
      <c r="N279" s="229">
        <v>26384823.629999999</v>
      </c>
      <c r="O279" s="229">
        <v>9973356.7599999998</v>
      </c>
      <c r="P279" s="229">
        <v>1107550.0900000001</v>
      </c>
      <c r="Q279" s="229">
        <v>-85.27</v>
      </c>
      <c r="R279" s="286">
        <v>0</v>
      </c>
    </row>
    <row r="280" spans="2:18" ht="12.75" customHeight="1" x14ac:dyDescent="0.25">
      <c r="D280" t="s">
        <v>72</v>
      </c>
      <c r="E280" s="384">
        <v>18002757.07</v>
      </c>
      <c r="F280" s="89">
        <v>1980153.06</v>
      </c>
      <c r="G280" s="89">
        <v>1079854.53</v>
      </c>
      <c r="H280" s="384">
        <v>147100.26999999999</v>
      </c>
      <c r="I280" s="89">
        <v>3091993.19</v>
      </c>
      <c r="J280" s="89">
        <v>84501.79</v>
      </c>
      <c r="K280" s="89">
        <v>0</v>
      </c>
      <c r="L280" s="89">
        <v>825464.85</v>
      </c>
      <c r="M280" s="89">
        <v>929998.07</v>
      </c>
      <c r="N280" s="89">
        <v>4347249.1399999997</v>
      </c>
      <c r="O280" s="89">
        <v>5394420.5199999996</v>
      </c>
      <c r="P280" s="89">
        <v>121980.8</v>
      </c>
      <c r="Q280" s="89">
        <v>40.85</v>
      </c>
      <c r="R280">
        <v>0</v>
      </c>
    </row>
    <row r="281" spans="2:18" ht="12.75" customHeight="1" x14ac:dyDescent="0.25">
      <c r="D281" t="s">
        <v>81</v>
      </c>
      <c r="E281" s="384">
        <v>-51796.34</v>
      </c>
      <c r="F281" s="89">
        <v>3.25</v>
      </c>
      <c r="G281" s="89">
        <v>1.82</v>
      </c>
      <c r="H281" s="384">
        <v>1.49</v>
      </c>
      <c r="I281" s="89">
        <v>15.8</v>
      </c>
      <c r="J281" s="89">
        <v>0.87</v>
      </c>
      <c r="K281" s="89">
        <v>0</v>
      </c>
      <c r="L281" s="89">
        <v>4.9000000000000004</v>
      </c>
      <c r="M281" s="89">
        <v>4.8899999999999997</v>
      </c>
      <c r="N281" s="89">
        <v>-51839.46</v>
      </c>
      <c r="O281" s="89">
        <v>8.66</v>
      </c>
      <c r="P281" s="89">
        <v>1.44</v>
      </c>
      <c r="Q281" s="89">
        <v>0</v>
      </c>
      <c r="R281">
        <v>0</v>
      </c>
    </row>
    <row r="282" spans="2:18" ht="12.75" customHeight="1" x14ac:dyDescent="0.25">
      <c r="C282" t="s">
        <v>115</v>
      </c>
      <c r="D282" t="s">
        <v>70</v>
      </c>
      <c r="E282" s="384">
        <v>17950960.73</v>
      </c>
      <c r="F282" s="89">
        <v>1980156.31</v>
      </c>
      <c r="G282" s="89">
        <v>1079856.3500000001</v>
      </c>
      <c r="H282" s="384">
        <v>147101.76000000001</v>
      </c>
      <c r="I282" s="89">
        <v>3092008.99</v>
      </c>
      <c r="J282" s="89">
        <v>84502.66</v>
      </c>
      <c r="K282" s="89">
        <v>0</v>
      </c>
      <c r="L282" s="89">
        <v>825469.75</v>
      </c>
      <c r="M282" s="89">
        <v>930002.96</v>
      </c>
      <c r="N282" s="89">
        <v>4295409.68</v>
      </c>
      <c r="O282" s="89">
        <v>5394429.1799999997</v>
      </c>
      <c r="P282" s="89">
        <v>121982.24</v>
      </c>
      <c r="Q282" s="89">
        <v>40.85</v>
      </c>
      <c r="R282">
        <v>0</v>
      </c>
    </row>
    <row r="283" spans="2:18" ht="12.75" customHeight="1" x14ac:dyDescent="0.25">
      <c r="D283" t="s">
        <v>72</v>
      </c>
      <c r="E283" s="384">
        <v>6669914.1100000003</v>
      </c>
      <c r="F283" s="89">
        <v>1324974.27</v>
      </c>
      <c r="G283" s="89">
        <v>751701.9</v>
      </c>
      <c r="H283" s="384">
        <v>74006.929999999993</v>
      </c>
      <c r="I283" s="89">
        <v>332831.09000000003</v>
      </c>
      <c r="J283" s="89">
        <v>10219.219999999999</v>
      </c>
      <c r="K283" s="89">
        <v>0</v>
      </c>
      <c r="L283" s="89">
        <v>73839.360000000001</v>
      </c>
      <c r="M283" s="89">
        <v>81220.13</v>
      </c>
      <c r="N283" s="89">
        <v>435049.09</v>
      </c>
      <c r="O283" s="89">
        <v>3571186.75</v>
      </c>
      <c r="P283" s="89">
        <v>14889.6</v>
      </c>
      <c r="Q283" s="89">
        <v>-4.2300000000000004</v>
      </c>
      <c r="R283">
        <v>0</v>
      </c>
    </row>
    <row r="284" spans="2:18" ht="12.75" customHeight="1" x14ac:dyDescent="0.25">
      <c r="D284" t="s">
        <v>81</v>
      </c>
      <c r="E284" s="384">
        <v>-8785.59</v>
      </c>
      <c r="F284" s="89">
        <v>0</v>
      </c>
      <c r="G284" s="89">
        <v>0</v>
      </c>
      <c r="H284" s="384">
        <v>0</v>
      </c>
      <c r="I284" s="89">
        <v>0</v>
      </c>
      <c r="J284" s="89">
        <v>0</v>
      </c>
      <c r="K284" s="89">
        <v>0</v>
      </c>
      <c r="L284" s="89">
        <v>0</v>
      </c>
      <c r="M284" s="89">
        <v>0</v>
      </c>
      <c r="N284" s="89">
        <v>-8785.59</v>
      </c>
      <c r="O284" s="89">
        <v>0</v>
      </c>
      <c r="P284" s="89">
        <v>0</v>
      </c>
      <c r="Q284" s="89">
        <v>0</v>
      </c>
      <c r="R284">
        <v>0</v>
      </c>
    </row>
    <row r="285" spans="2:18" ht="12.75" customHeight="1" x14ac:dyDescent="0.25">
      <c r="C285" t="s">
        <v>116</v>
      </c>
      <c r="D285" t="s">
        <v>70</v>
      </c>
      <c r="E285" s="384">
        <v>6661128.5199999996</v>
      </c>
      <c r="F285" s="89">
        <v>1324974.27</v>
      </c>
      <c r="G285" s="89">
        <v>751701.9</v>
      </c>
      <c r="H285" s="384">
        <v>74006.929999999993</v>
      </c>
      <c r="I285" s="89">
        <v>332831.09000000003</v>
      </c>
      <c r="J285" s="89">
        <v>10219.219999999999</v>
      </c>
      <c r="K285" s="89">
        <v>0</v>
      </c>
      <c r="L285" s="89">
        <v>73839.360000000001</v>
      </c>
      <c r="M285" s="89">
        <v>81220.13</v>
      </c>
      <c r="N285" s="89">
        <v>426263.5</v>
      </c>
      <c r="O285" s="89">
        <v>3571186.75</v>
      </c>
      <c r="P285" s="89">
        <v>14889.6</v>
      </c>
      <c r="Q285" s="89">
        <v>-4.2300000000000004</v>
      </c>
      <c r="R285">
        <v>0</v>
      </c>
    </row>
    <row r="286" spans="2:18" ht="12.75" customHeight="1" x14ac:dyDescent="0.25">
      <c r="D286" t="s">
        <v>72</v>
      </c>
      <c r="E286" s="384">
        <v>18793865.449999999</v>
      </c>
      <c r="F286" s="89">
        <v>1178975.76</v>
      </c>
      <c r="G286" s="89">
        <v>662155.76</v>
      </c>
      <c r="H286" s="384">
        <v>252823.43</v>
      </c>
      <c r="I286" s="89">
        <v>4498808.16</v>
      </c>
      <c r="J286" s="89">
        <v>134388.49</v>
      </c>
      <c r="K286" s="89">
        <v>0</v>
      </c>
      <c r="L286" s="89">
        <v>1287740.81</v>
      </c>
      <c r="M286" s="89">
        <v>1382529.63</v>
      </c>
      <c r="N286" s="89">
        <v>5942810.0499999998</v>
      </c>
      <c r="O286" s="89">
        <v>3255861.06</v>
      </c>
      <c r="P286" s="89">
        <v>197723.5</v>
      </c>
      <c r="Q286" s="89">
        <v>48.8</v>
      </c>
      <c r="R286">
        <v>0</v>
      </c>
    </row>
    <row r="287" spans="2:18" ht="12.75" customHeight="1" x14ac:dyDescent="0.25">
      <c r="D287" t="s">
        <v>81</v>
      </c>
      <c r="E287" s="384">
        <v>-95398.53</v>
      </c>
      <c r="F287" s="89">
        <v>34.9</v>
      </c>
      <c r="G287" s="89">
        <v>18.75</v>
      </c>
      <c r="H287" s="384">
        <v>10.18</v>
      </c>
      <c r="I287" s="89">
        <v>106.03</v>
      </c>
      <c r="J287" s="89">
        <v>3.53</v>
      </c>
      <c r="K287" s="89">
        <v>0</v>
      </c>
      <c r="L287" s="89">
        <v>31</v>
      </c>
      <c r="M287" s="89">
        <v>32.71</v>
      </c>
      <c r="N287" s="89">
        <v>-95734.22</v>
      </c>
      <c r="O287" s="89">
        <v>92.81</v>
      </c>
      <c r="P287" s="89">
        <v>5.78</v>
      </c>
      <c r="Q287" s="89">
        <v>0</v>
      </c>
      <c r="R287">
        <v>0</v>
      </c>
    </row>
    <row r="288" spans="2:18" ht="12.75" customHeight="1" x14ac:dyDescent="0.25">
      <c r="B288" s="89"/>
      <c r="C288" s="89" t="s">
        <v>118</v>
      </c>
      <c r="D288" t="s">
        <v>70</v>
      </c>
      <c r="E288" s="371">
        <v>18698466.920000002</v>
      </c>
      <c r="F288" s="90">
        <v>1179010.6599999999</v>
      </c>
      <c r="G288" s="90">
        <v>662174.51</v>
      </c>
      <c r="H288" s="90">
        <v>252833.61</v>
      </c>
      <c r="I288" s="90">
        <v>4498914.1900000004</v>
      </c>
      <c r="J288" s="90">
        <v>134392.01999999999</v>
      </c>
      <c r="K288" s="90">
        <v>0</v>
      </c>
      <c r="L288" s="90">
        <v>1287771.81</v>
      </c>
      <c r="M288" s="90">
        <v>1382562.34</v>
      </c>
      <c r="N288" s="90">
        <v>5847075.8300000001</v>
      </c>
      <c r="O288" s="90">
        <v>3255953.87</v>
      </c>
      <c r="P288" s="90">
        <v>197729.28</v>
      </c>
      <c r="Q288" s="90">
        <v>48.8</v>
      </c>
      <c r="R288">
        <v>0</v>
      </c>
    </row>
    <row r="289" spans="1:18" ht="12.75" customHeight="1" x14ac:dyDescent="0.25">
      <c r="B289" s="89"/>
      <c r="C289" s="89"/>
      <c r="D289" t="s">
        <v>72</v>
      </c>
      <c r="E289" s="371">
        <v>20152773.109999999</v>
      </c>
      <c r="F289" s="90">
        <v>4557090.0199999996</v>
      </c>
      <c r="G289" s="90">
        <v>2578655.79</v>
      </c>
      <c r="H289" s="90">
        <v>537655.12</v>
      </c>
      <c r="I289" s="90">
        <v>59605.89</v>
      </c>
      <c r="J289" s="90">
        <v>1466.04</v>
      </c>
      <c r="K289" s="90">
        <v>0</v>
      </c>
      <c r="L289" s="90">
        <v>12859.98</v>
      </c>
      <c r="M289" s="90">
        <v>18847.080000000002</v>
      </c>
      <c r="N289" s="90">
        <v>93515.82</v>
      </c>
      <c r="O289" s="90">
        <v>12290686.24</v>
      </c>
      <c r="P289" s="90">
        <v>2391.9899999999998</v>
      </c>
      <c r="Q289" s="90">
        <v>-0.86</v>
      </c>
      <c r="R289">
        <v>0</v>
      </c>
    </row>
    <row r="290" spans="1:18" ht="12.75" customHeight="1" x14ac:dyDescent="0.25">
      <c r="B290" s="89"/>
      <c r="C290" s="89"/>
      <c r="D290" t="s">
        <v>81</v>
      </c>
      <c r="E290" s="371">
        <v>-2377.86</v>
      </c>
      <c r="F290" s="90">
        <v>0</v>
      </c>
      <c r="G290" s="90">
        <v>0</v>
      </c>
      <c r="H290" s="90">
        <v>0</v>
      </c>
      <c r="I290" s="90">
        <v>0</v>
      </c>
      <c r="J290" s="90">
        <v>0</v>
      </c>
      <c r="K290" s="90">
        <v>0</v>
      </c>
      <c r="L290" s="90">
        <v>0</v>
      </c>
      <c r="M290" s="90">
        <v>0</v>
      </c>
      <c r="N290" s="90">
        <v>-2377.86</v>
      </c>
      <c r="O290" s="90">
        <v>0</v>
      </c>
      <c r="P290" s="90">
        <v>0</v>
      </c>
      <c r="Q290" s="90">
        <v>0</v>
      </c>
      <c r="R290">
        <v>0</v>
      </c>
    </row>
    <row r="291" spans="1:18" ht="12.75" customHeight="1" x14ac:dyDescent="0.25">
      <c r="B291" s="89"/>
      <c r="C291" s="89" t="s">
        <v>334</v>
      </c>
      <c r="D291" t="s">
        <v>70</v>
      </c>
      <c r="E291" s="371">
        <v>20150395.25</v>
      </c>
      <c r="F291" s="90">
        <v>4557090.0199999996</v>
      </c>
      <c r="G291" s="90">
        <v>2578655.79</v>
      </c>
      <c r="H291" s="90">
        <v>537655.12</v>
      </c>
      <c r="I291" s="90">
        <v>59605.89</v>
      </c>
      <c r="J291" s="90">
        <v>1466.04</v>
      </c>
      <c r="K291" s="90">
        <v>0</v>
      </c>
      <c r="L291" s="90">
        <v>12859.98</v>
      </c>
      <c r="M291" s="90">
        <v>18847.080000000002</v>
      </c>
      <c r="N291" s="90">
        <v>91137.96</v>
      </c>
      <c r="O291" s="90">
        <v>12290686.24</v>
      </c>
      <c r="P291" s="90">
        <v>2391.9899999999998</v>
      </c>
      <c r="Q291" s="90">
        <v>-0.86</v>
      </c>
      <c r="R291">
        <v>0</v>
      </c>
    </row>
    <row r="292" spans="1:18" s="224" customFormat="1" ht="12.75" customHeight="1" x14ac:dyDescent="0.25">
      <c r="B292" s="224" t="s">
        <v>120</v>
      </c>
      <c r="C292" s="223" t="s">
        <v>70</v>
      </c>
      <c r="D292" s="223"/>
      <c r="E292" s="225">
        <v>63460951.420000002</v>
      </c>
      <c r="F292" s="225">
        <v>9041231.2599999998</v>
      </c>
      <c r="G292" s="225">
        <v>5072388.55</v>
      </c>
      <c r="H292" s="225">
        <v>1011597.42</v>
      </c>
      <c r="I292" s="225">
        <v>7983360.1600000001</v>
      </c>
      <c r="J292" s="225">
        <v>230579.94</v>
      </c>
      <c r="K292" s="225">
        <v>0</v>
      </c>
      <c r="L292" s="225">
        <v>2199940.9</v>
      </c>
      <c r="M292" s="225">
        <v>2412632.5099999998</v>
      </c>
      <c r="N292" s="225">
        <v>10659886.970000001</v>
      </c>
      <c r="O292" s="225">
        <v>24512256.039999999</v>
      </c>
      <c r="P292" s="225">
        <v>336993.11</v>
      </c>
      <c r="Q292" s="225">
        <v>84.56</v>
      </c>
      <c r="R292" s="224">
        <v>0</v>
      </c>
    </row>
    <row r="293" spans="1:18" ht="12.75" customHeight="1" x14ac:dyDescent="0.25">
      <c r="C293" s="89"/>
      <c r="D293" s="89" t="s">
        <v>72</v>
      </c>
      <c r="E293" s="371">
        <v>2277123.2799999998</v>
      </c>
      <c r="F293" s="90">
        <v>152739.62</v>
      </c>
      <c r="G293" s="90">
        <v>87677.85</v>
      </c>
      <c r="H293" s="90">
        <v>38295.050000000003</v>
      </c>
      <c r="I293" s="90">
        <v>554007.76</v>
      </c>
      <c r="J293" s="90">
        <v>14388.41</v>
      </c>
      <c r="K293" s="90">
        <v>0</v>
      </c>
      <c r="L293" s="90">
        <v>147147.26999999999</v>
      </c>
      <c r="M293" s="90">
        <v>179783.34</v>
      </c>
      <c r="N293" s="90">
        <v>665128.14</v>
      </c>
      <c r="O293" s="90">
        <v>417327.57</v>
      </c>
      <c r="P293" s="90">
        <v>20628.34</v>
      </c>
      <c r="Q293" s="90">
        <v>-7.0000000000000007E-2</v>
      </c>
      <c r="R293">
        <v>0</v>
      </c>
    </row>
    <row r="294" spans="1:18" ht="12.75" customHeight="1" x14ac:dyDescent="0.25">
      <c r="C294" s="89"/>
      <c r="D294" s="89" t="s">
        <v>81</v>
      </c>
      <c r="E294" s="371">
        <v>-10387.44</v>
      </c>
      <c r="F294" s="90">
        <v>1.9</v>
      </c>
      <c r="G294" s="90">
        <v>1.07</v>
      </c>
      <c r="H294" s="90">
        <v>0.56999999999999995</v>
      </c>
      <c r="I294" s="90">
        <v>4.54</v>
      </c>
      <c r="J294" s="90">
        <v>0.19</v>
      </c>
      <c r="K294" s="90">
        <v>0</v>
      </c>
      <c r="L294" s="90">
        <v>1.71</v>
      </c>
      <c r="M294" s="90">
        <v>1.68</v>
      </c>
      <c r="N294" s="90">
        <v>-10404.469999999999</v>
      </c>
      <c r="O294" s="90">
        <v>5.05</v>
      </c>
      <c r="P294" s="90">
        <v>0.32</v>
      </c>
      <c r="Q294" s="90">
        <v>0</v>
      </c>
      <c r="R294">
        <v>0</v>
      </c>
    </row>
    <row r="295" spans="1:18" ht="12.75" customHeight="1" x14ac:dyDescent="0.25">
      <c r="C295" s="89" t="s">
        <v>82</v>
      </c>
      <c r="D295" s="89" t="s">
        <v>70</v>
      </c>
      <c r="E295" s="371">
        <v>2266735.84</v>
      </c>
      <c r="F295" s="90">
        <v>152741.51999999999</v>
      </c>
      <c r="G295" s="90">
        <v>87678.92</v>
      </c>
      <c r="H295" s="90">
        <v>38295.620000000003</v>
      </c>
      <c r="I295" s="90">
        <v>554012.30000000005</v>
      </c>
      <c r="J295" s="90">
        <v>14388.6</v>
      </c>
      <c r="K295" s="90">
        <v>0</v>
      </c>
      <c r="L295" s="90">
        <v>147148.98000000001</v>
      </c>
      <c r="M295" s="90">
        <v>179785.02</v>
      </c>
      <c r="N295" s="90">
        <v>654723.67000000004</v>
      </c>
      <c r="O295" s="90">
        <v>417332.62</v>
      </c>
      <c r="P295" s="90">
        <v>20628.66</v>
      </c>
      <c r="Q295" s="90">
        <v>-7.0000000000000007E-2</v>
      </c>
      <c r="R295">
        <v>0</v>
      </c>
    </row>
    <row r="296" spans="1:18" ht="12.75" customHeight="1" x14ac:dyDescent="0.25">
      <c r="C296" s="89"/>
      <c r="D296" s="89" t="s">
        <v>72</v>
      </c>
      <c r="E296" s="371">
        <v>17823216.399999999</v>
      </c>
      <c r="F296" s="90">
        <v>1523087.01</v>
      </c>
      <c r="G296" s="90">
        <v>848548.71</v>
      </c>
      <c r="H296" s="90">
        <v>462824.84</v>
      </c>
      <c r="I296" s="90">
        <v>2992961.48</v>
      </c>
      <c r="J296" s="90">
        <v>133872.67000000001</v>
      </c>
      <c r="K296" s="90">
        <v>0</v>
      </c>
      <c r="L296" s="90">
        <v>965569.75</v>
      </c>
      <c r="M296" s="90">
        <v>960588.18</v>
      </c>
      <c r="N296" s="90">
        <v>5618487.4000000004</v>
      </c>
      <c r="O296" s="90">
        <v>4104888.6</v>
      </c>
      <c r="P296" s="90">
        <v>212352.11</v>
      </c>
      <c r="Q296" s="90">
        <v>35.65</v>
      </c>
      <c r="R296">
        <v>0</v>
      </c>
    </row>
    <row r="297" spans="1:18" ht="12.75" customHeight="1" x14ac:dyDescent="0.25">
      <c r="C297" s="89"/>
      <c r="D297" s="89" t="s">
        <v>81</v>
      </c>
      <c r="E297" s="371">
        <v>-46587.5</v>
      </c>
      <c r="F297" s="90">
        <v>1483</v>
      </c>
      <c r="G297" s="90">
        <v>717.39</v>
      </c>
      <c r="H297" s="90">
        <v>339.69</v>
      </c>
      <c r="I297" s="90">
        <v>5293.47</v>
      </c>
      <c r="J297" s="90">
        <v>169.6</v>
      </c>
      <c r="K297" s="90">
        <v>0</v>
      </c>
      <c r="L297" s="90">
        <v>1488.2</v>
      </c>
      <c r="M297" s="90">
        <v>1776.19</v>
      </c>
      <c r="N297" s="90">
        <v>-62026.43</v>
      </c>
      <c r="O297" s="90">
        <v>3894.77</v>
      </c>
      <c r="P297" s="90">
        <v>276.56</v>
      </c>
      <c r="Q297" s="90">
        <v>0.06</v>
      </c>
      <c r="R297">
        <v>0</v>
      </c>
    </row>
    <row r="298" spans="1:18" ht="12.75" customHeight="1" x14ac:dyDescent="0.25">
      <c r="C298" s="89" t="s">
        <v>86</v>
      </c>
      <c r="D298" s="89" t="s">
        <v>70</v>
      </c>
      <c r="E298" s="371">
        <v>17776628.899999999</v>
      </c>
      <c r="F298" s="90">
        <v>1524570.01</v>
      </c>
      <c r="G298" s="90">
        <v>849266.1</v>
      </c>
      <c r="H298" s="90">
        <v>463164.53</v>
      </c>
      <c r="I298" s="90">
        <v>2998254.95</v>
      </c>
      <c r="J298" s="90">
        <v>134042.26999999999</v>
      </c>
      <c r="K298" s="90">
        <v>0</v>
      </c>
      <c r="L298" s="90">
        <v>967057.95</v>
      </c>
      <c r="M298" s="90">
        <v>962364.37</v>
      </c>
      <c r="N298" s="90">
        <v>5556460.9699999997</v>
      </c>
      <c r="O298" s="90">
        <v>4108783.37</v>
      </c>
      <c r="P298" s="90">
        <v>212628.67</v>
      </c>
      <c r="Q298" s="90">
        <v>35.71</v>
      </c>
      <c r="R298">
        <v>0</v>
      </c>
    </row>
    <row r="299" spans="1:18" ht="12.75" customHeight="1" x14ac:dyDescent="0.25">
      <c r="C299" s="89"/>
      <c r="D299" s="89" t="s">
        <v>72</v>
      </c>
      <c r="E299" s="371">
        <v>13787623.17</v>
      </c>
      <c r="F299" s="90">
        <v>1736916.2</v>
      </c>
      <c r="G299" s="90">
        <v>917147.14</v>
      </c>
      <c r="H299" s="90">
        <v>417543.06</v>
      </c>
      <c r="I299" s="90">
        <v>1703135.96</v>
      </c>
      <c r="J299" s="90">
        <v>49848.3</v>
      </c>
      <c r="K299" s="90">
        <v>0</v>
      </c>
      <c r="L299" s="90">
        <v>466832.57</v>
      </c>
      <c r="M299" s="90">
        <v>613137.31999999995</v>
      </c>
      <c r="N299" s="90">
        <v>3103461.76</v>
      </c>
      <c r="O299" s="90">
        <v>4698151.2699999996</v>
      </c>
      <c r="P299" s="90">
        <v>81479.960000000006</v>
      </c>
      <c r="Q299" s="90">
        <v>-30.37</v>
      </c>
      <c r="R299">
        <v>0</v>
      </c>
    </row>
    <row r="300" spans="1:18" ht="12.75" customHeight="1" x14ac:dyDescent="0.25">
      <c r="C300" s="89"/>
      <c r="D300" s="89" t="s">
        <v>81</v>
      </c>
      <c r="E300" s="371">
        <v>-32280.94</v>
      </c>
      <c r="F300" s="90">
        <v>60.61</v>
      </c>
      <c r="G300" s="90">
        <v>33.97</v>
      </c>
      <c r="H300" s="90">
        <v>18.12</v>
      </c>
      <c r="I300" s="90">
        <v>181.51</v>
      </c>
      <c r="J300" s="90">
        <v>4.47</v>
      </c>
      <c r="K300" s="90">
        <v>0</v>
      </c>
      <c r="L300" s="90">
        <v>38.979999999999997</v>
      </c>
      <c r="M300" s="90">
        <v>56.44</v>
      </c>
      <c r="N300" s="90">
        <v>-32843.919999999998</v>
      </c>
      <c r="O300" s="90">
        <v>161.6</v>
      </c>
      <c r="P300" s="90">
        <v>7.28</v>
      </c>
      <c r="Q300" s="90">
        <v>0</v>
      </c>
      <c r="R300">
        <v>0</v>
      </c>
    </row>
    <row r="301" spans="1:18" ht="12.75" customHeight="1" x14ac:dyDescent="0.25">
      <c r="A301" s="89"/>
      <c r="B301" s="89"/>
      <c r="C301" t="s">
        <v>87</v>
      </c>
      <c r="D301" t="s">
        <v>70</v>
      </c>
      <c r="E301" s="90">
        <v>13755342.23</v>
      </c>
      <c r="F301" s="90">
        <v>1736976.81</v>
      </c>
      <c r="G301" s="90">
        <v>917181.11</v>
      </c>
      <c r="H301" s="90">
        <v>417561.18</v>
      </c>
      <c r="I301" s="90">
        <v>1703317.47</v>
      </c>
      <c r="J301" s="90">
        <v>49852.77</v>
      </c>
      <c r="K301" s="90">
        <v>0</v>
      </c>
      <c r="L301" s="90">
        <v>466871.55</v>
      </c>
      <c r="M301" s="90">
        <v>613193.76</v>
      </c>
      <c r="N301" s="90">
        <v>3070617.84</v>
      </c>
      <c r="O301" s="90">
        <v>4698312.87</v>
      </c>
      <c r="P301" s="90">
        <v>81487.240000000005</v>
      </c>
      <c r="Q301" s="90">
        <v>-30.37</v>
      </c>
      <c r="R301">
        <v>0</v>
      </c>
    </row>
    <row r="302" spans="1:18" s="94" customFormat="1" ht="12.75" customHeight="1" x14ac:dyDescent="0.25">
      <c r="B302" s="101" t="s">
        <v>119</v>
      </c>
      <c r="C302" s="101" t="s">
        <v>70</v>
      </c>
      <c r="E302" s="93">
        <v>33798706.969999999</v>
      </c>
      <c r="F302" s="93">
        <v>3414288.34</v>
      </c>
      <c r="G302" s="93">
        <v>1854126.13</v>
      </c>
      <c r="H302" s="93">
        <v>919021.33</v>
      </c>
      <c r="I302" s="93">
        <v>5255584.72</v>
      </c>
      <c r="J302" s="93">
        <v>198283.64</v>
      </c>
      <c r="K302" s="93">
        <v>0</v>
      </c>
      <c r="L302" s="93">
        <v>1581078.48</v>
      </c>
      <c r="M302" s="93">
        <v>1755343.15</v>
      </c>
      <c r="N302" s="93">
        <v>9281802.4800000004</v>
      </c>
      <c r="O302" s="93">
        <v>9224428.8599999994</v>
      </c>
      <c r="P302" s="93">
        <v>314744.57</v>
      </c>
      <c r="Q302" s="93">
        <v>5.27</v>
      </c>
      <c r="R302" s="94">
        <v>0</v>
      </c>
    </row>
    <row r="303" spans="1:18" s="226" customFormat="1" ht="12.75" customHeight="1" x14ac:dyDescent="0.25">
      <c r="A303" s="98" t="s">
        <v>78</v>
      </c>
      <c r="B303" s="98" t="s">
        <v>70</v>
      </c>
      <c r="E303" s="100">
        <v>173171032.71000001</v>
      </c>
      <c r="F303" s="100">
        <v>16099105.310000001</v>
      </c>
      <c r="G303" s="100">
        <v>9061043.1899999995</v>
      </c>
      <c r="H303" s="100">
        <v>2852946.06</v>
      </c>
      <c r="I303" s="100">
        <v>32340245.82</v>
      </c>
      <c r="J303" s="100">
        <v>1124253.03</v>
      </c>
      <c r="K303" s="100">
        <v>0</v>
      </c>
      <c r="L303" s="100">
        <v>9787993.9299999997</v>
      </c>
      <c r="M303" s="100">
        <v>10109598.300000001</v>
      </c>
      <c r="N303" s="100">
        <v>46326513.079999998</v>
      </c>
      <c r="O303" s="100">
        <v>43710041.659999996</v>
      </c>
      <c r="P303" s="100">
        <v>1759287.77</v>
      </c>
      <c r="Q303" s="100">
        <v>4.5599999999999996</v>
      </c>
      <c r="R303" s="226">
        <v>0</v>
      </c>
    </row>
    <row r="304" spans="1:18" ht="12.75" customHeight="1" x14ac:dyDescent="0.25">
      <c r="B304" s="89"/>
      <c r="C304" s="89"/>
      <c r="D304" t="s">
        <v>73</v>
      </c>
      <c r="E304" s="371">
        <v>-15136443.210000001</v>
      </c>
      <c r="F304" s="90">
        <v>-369511.1</v>
      </c>
      <c r="G304" s="90">
        <v>-227710.81</v>
      </c>
      <c r="H304" s="90">
        <v>-126803.1</v>
      </c>
      <c r="I304" s="90">
        <v>-4033648.5</v>
      </c>
      <c r="J304" s="90">
        <v>-147379.69</v>
      </c>
      <c r="K304" s="90">
        <v>0</v>
      </c>
      <c r="L304" s="90">
        <v>-1289953.2</v>
      </c>
      <c r="M304" s="90">
        <v>-1256717.02</v>
      </c>
      <c r="N304" s="90">
        <v>-6507002.75</v>
      </c>
      <c r="O304" s="90">
        <v>-933290.3</v>
      </c>
      <c r="P304" s="90">
        <v>-244426.74</v>
      </c>
      <c r="Q304" s="90">
        <v>0</v>
      </c>
      <c r="R304">
        <v>0</v>
      </c>
    </row>
    <row r="305" spans="2:18" ht="12.75" customHeight="1" x14ac:dyDescent="0.25">
      <c r="B305" s="89"/>
      <c r="C305" s="89" t="s">
        <v>156</v>
      </c>
      <c r="D305" t="s">
        <v>70</v>
      </c>
      <c r="E305" s="371">
        <v>-15136443.210000001</v>
      </c>
      <c r="F305" s="90">
        <v>-369511.1</v>
      </c>
      <c r="G305" s="90">
        <v>-227710.81</v>
      </c>
      <c r="H305" s="90">
        <v>-126803.1</v>
      </c>
      <c r="I305" s="90">
        <v>-4033648.5</v>
      </c>
      <c r="J305" s="90">
        <v>-147379.69</v>
      </c>
      <c r="K305" s="90">
        <v>0</v>
      </c>
      <c r="L305" s="90">
        <v>-1289953.2</v>
      </c>
      <c r="M305" s="90">
        <v>-1256717.02</v>
      </c>
      <c r="N305" s="90">
        <v>-6507002.75</v>
      </c>
      <c r="O305" s="90">
        <v>-933290.3</v>
      </c>
      <c r="P305" s="90">
        <v>-244426.74</v>
      </c>
      <c r="Q305" s="90">
        <v>0</v>
      </c>
      <c r="R305">
        <v>0</v>
      </c>
    </row>
    <row r="306" spans="2:18" s="286" customFormat="1" ht="12.75" customHeight="1" x14ac:dyDescent="0.25">
      <c r="B306" s="229" t="s">
        <v>155</v>
      </c>
      <c r="C306" s="229" t="s">
        <v>70</v>
      </c>
      <c r="E306" s="753">
        <v>-15136443.210000001</v>
      </c>
      <c r="F306" s="230">
        <v>-369511.1</v>
      </c>
      <c r="G306" s="230">
        <v>-227710.81</v>
      </c>
      <c r="H306" s="230">
        <v>-126803.1</v>
      </c>
      <c r="I306" s="230">
        <v>-4033648.5</v>
      </c>
      <c r="J306" s="230">
        <v>-147379.69</v>
      </c>
      <c r="K306" s="230">
        <v>0</v>
      </c>
      <c r="L306" s="230">
        <v>-1289953.2</v>
      </c>
      <c r="M306" s="230">
        <v>-1256717.02</v>
      </c>
      <c r="N306" s="230">
        <v>-6507002.75</v>
      </c>
      <c r="O306" s="230">
        <v>-933290.3</v>
      </c>
      <c r="P306" s="230">
        <v>-244426.74</v>
      </c>
      <c r="Q306" s="230">
        <v>0</v>
      </c>
      <c r="R306" s="286">
        <v>0</v>
      </c>
    </row>
    <row r="307" spans="2:18" ht="12.75" customHeight="1" x14ac:dyDescent="0.25">
      <c r="B307" s="89"/>
      <c r="C307" s="89"/>
      <c r="D307" t="s">
        <v>73</v>
      </c>
      <c r="E307" s="371">
        <v>-1043741.98</v>
      </c>
      <c r="F307" s="90">
        <v>-14192.02</v>
      </c>
      <c r="G307" s="90">
        <v>-10774.43</v>
      </c>
      <c r="H307" s="90">
        <v>-10859.18</v>
      </c>
      <c r="I307" s="90">
        <v>-330949.89</v>
      </c>
      <c r="J307" s="90">
        <v>-7903.04</v>
      </c>
      <c r="K307" s="90">
        <v>0</v>
      </c>
      <c r="L307" s="90">
        <v>-70303.88</v>
      </c>
      <c r="M307" s="90">
        <v>-94909.58</v>
      </c>
      <c r="N307" s="90">
        <v>-462724.97</v>
      </c>
      <c r="O307" s="90">
        <v>-28052.959999999999</v>
      </c>
      <c r="P307" s="90">
        <v>-13072.03</v>
      </c>
      <c r="Q307" s="90">
        <v>0</v>
      </c>
      <c r="R307">
        <v>0</v>
      </c>
    </row>
    <row r="308" spans="2:18" ht="12.75" customHeight="1" x14ac:dyDescent="0.25">
      <c r="B308" s="89"/>
      <c r="C308" s="89" t="s">
        <v>115</v>
      </c>
      <c r="D308" t="s">
        <v>70</v>
      </c>
      <c r="E308" s="371">
        <v>-1043741.98</v>
      </c>
      <c r="F308" s="90">
        <v>-14192.02</v>
      </c>
      <c r="G308" s="90">
        <v>-10774.43</v>
      </c>
      <c r="H308" s="90">
        <v>-10859.18</v>
      </c>
      <c r="I308" s="90">
        <v>-330949.89</v>
      </c>
      <c r="J308" s="90">
        <v>-7903.04</v>
      </c>
      <c r="K308" s="90">
        <v>0</v>
      </c>
      <c r="L308" s="90">
        <v>-70303.88</v>
      </c>
      <c r="M308" s="90">
        <v>-94909.58</v>
      </c>
      <c r="N308" s="90">
        <v>-462724.97</v>
      </c>
      <c r="O308" s="90">
        <v>-28052.959999999999</v>
      </c>
      <c r="P308" s="90">
        <v>-13072.03</v>
      </c>
      <c r="Q308" s="90">
        <v>0</v>
      </c>
      <c r="R308">
        <v>0</v>
      </c>
    </row>
    <row r="309" spans="2:18" ht="12.75" customHeight="1" x14ac:dyDescent="0.25">
      <c r="B309" s="89"/>
      <c r="C309" s="89"/>
      <c r="D309" t="s">
        <v>73</v>
      </c>
      <c r="E309" s="371">
        <v>409790.29</v>
      </c>
      <c r="F309" s="90">
        <v>71510.58</v>
      </c>
      <c r="G309" s="90">
        <v>40399.269999999997</v>
      </c>
      <c r="H309" s="90">
        <v>20582.099999999999</v>
      </c>
      <c r="I309" s="90">
        <v>26016.28</v>
      </c>
      <c r="J309" s="90">
        <v>512.45000000000005</v>
      </c>
      <c r="K309" s="90">
        <v>0</v>
      </c>
      <c r="L309" s="90">
        <v>4821.18</v>
      </c>
      <c r="M309" s="90">
        <v>7956.37</v>
      </c>
      <c r="N309" s="90">
        <v>47274.38</v>
      </c>
      <c r="O309" s="90">
        <v>190253.72</v>
      </c>
      <c r="P309" s="90">
        <v>463.96</v>
      </c>
      <c r="Q309" s="90">
        <v>0</v>
      </c>
      <c r="R309">
        <v>0</v>
      </c>
    </row>
    <row r="310" spans="2:18" ht="12.75" customHeight="1" x14ac:dyDescent="0.25">
      <c r="B310" s="89"/>
      <c r="C310" s="89" t="s">
        <v>116</v>
      </c>
      <c r="D310" t="s">
        <v>70</v>
      </c>
      <c r="E310" s="371">
        <v>409790.29</v>
      </c>
      <c r="F310" s="90">
        <v>71510.58</v>
      </c>
      <c r="G310" s="90">
        <v>40399.269999999997</v>
      </c>
      <c r="H310" s="90">
        <v>20582.099999999999</v>
      </c>
      <c r="I310" s="90">
        <v>26016.28</v>
      </c>
      <c r="J310" s="90">
        <v>512.45000000000005</v>
      </c>
      <c r="K310" s="90">
        <v>0</v>
      </c>
      <c r="L310" s="90">
        <v>4821.18</v>
      </c>
      <c r="M310" s="90">
        <v>7956.37</v>
      </c>
      <c r="N310" s="90">
        <v>47274.38</v>
      </c>
      <c r="O310" s="90">
        <v>190253.72</v>
      </c>
      <c r="P310" s="90">
        <v>463.96</v>
      </c>
      <c r="Q310" s="90">
        <v>0</v>
      </c>
      <c r="R310">
        <v>0</v>
      </c>
    </row>
    <row r="311" spans="2:18" ht="12.75" customHeight="1" x14ac:dyDescent="0.25">
      <c r="B311" s="89"/>
      <c r="C311" s="89"/>
      <c r="D311" t="s">
        <v>73</v>
      </c>
      <c r="E311" s="371">
        <v>-1982195.66</v>
      </c>
      <c r="F311" s="90">
        <v>-22977.42</v>
      </c>
      <c r="G311" s="90">
        <v>-17204.09</v>
      </c>
      <c r="H311" s="90">
        <v>-9704.7199999999993</v>
      </c>
      <c r="I311" s="90">
        <v>-625614.14</v>
      </c>
      <c r="J311" s="90">
        <v>-19604.240000000002</v>
      </c>
      <c r="K311" s="90">
        <v>0</v>
      </c>
      <c r="L311" s="90">
        <v>-164286.15</v>
      </c>
      <c r="M311" s="90">
        <v>-182986.96</v>
      </c>
      <c r="N311" s="90">
        <v>-899171.51</v>
      </c>
      <c r="O311" s="90">
        <v>-7932.64</v>
      </c>
      <c r="P311" s="90">
        <v>-32713.79</v>
      </c>
      <c r="Q311" s="90">
        <v>0</v>
      </c>
      <c r="R311">
        <v>0</v>
      </c>
    </row>
    <row r="312" spans="2:18" ht="12.75" customHeight="1" x14ac:dyDescent="0.25">
      <c r="B312" s="89"/>
      <c r="C312" s="89" t="s">
        <v>118</v>
      </c>
      <c r="D312" t="s">
        <v>70</v>
      </c>
      <c r="E312" s="371">
        <v>-1982195.66</v>
      </c>
      <c r="F312" s="90">
        <v>-22977.42</v>
      </c>
      <c r="G312" s="90">
        <v>-17204.09</v>
      </c>
      <c r="H312" s="90">
        <v>-9704.7199999999993</v>
      </c>
      <c r="I312" s="90">
        <v>-625614.14</v>
      </c>
      <c r="J312" s="90">
        <v>-19604.240000000002</v>
      </c>
      <c r="K312" s="90">
        <v>0</v>
      </c>
      <c r="L312" s="90">
        <v>-164286.15</v>
      </c>
      <c r="M312" s="90">
        <v>-182986.96</v>
      </c>
      <c r="N312" s="90">
        <v>-899171.51</v>
      </c>
      <c r="O312" s="90">
        <v>-7932.64</v>
      </c>
      <c r="P312" s="90">
        <v>-32713.79</v>
      </c>
      <c r="Q312" s="90">
        <v>0</v>
      </c>
      <c r="R312">
        <v>0</v>
      </c>
    </row>
    <row r="313" spans="2:18" ht="12.75" customHeight="1" x14ac:dyDescent="0.25">
      <c r="B313" s="89"/>
      <c r="C313" s="89"/>
      <c r="D313" t="s">
        <v>73</v>
      </c>
      <c r="E313" s="371">
        <v>5663564.75</v>
      </c>
      <c r="F313" s="90">
        <v>1321214.3500000001</v>
      </c>
      <c r="G313" s="90">
        <v>747616.79</v>
      </c>
      <c r="H313" s="90">
        <v>398940.3</v>
      </c>
      <c r="I313" s="90">
        <v>17881.759999999998</v>
      </c>
      <c r="J313" s="90">
        <v>439.81</v>
      </c>
      <c r="K313" s="90">
        <v>0</v>
      </c>
      <c r="L313" s="90">
        <v>3857.99</v>
      </c>
      <c r="M313" s="90">
        <v>5654.13</v>
      </c>
      <c r="N313" s="90">
        <v>28054.76</v>
      </c>
      <c r="O313" s="90">
        <v>3139187.26</v>
      </c>
      <c r="P313" s="90">
        <v>717.6</v>
      </c>
      <c r="Q313" s="90">
        <v>0</v>
      </c>
      <c r="R313">
        <v>0</v>
      </c>
    </row>
    <row r="314" spans="2:18" ht="12.75" customHeight="1" x14ac:dyDescent="0.25">
      <c r="B314" s="89"/>
      <c r="C314" s="89" t="s">
        <v>334</v>
      </c>
      <c r="D314" t="s">
        <v>70</v>
      </c>
      <c r="E314" s="371">
        <v>5663564.75</v>
      </c>
      <c r="F314" s="90">
        <v>1321214.3500000001</v>
      </c>
      <c r="G314" s="90">
        <v>747616.79</v>
      </c>
      <c r="H314" s="90">
        <v>398940.3</v>
      </c>
      <c r="I314" s="90">
        <v>17881.759999999998</v>
      </c>
      <c r="J314" s="90">
        <v>439.81</v>
      </c>
      <c r="K314" s="90">
        <v>0</v>
      </c>
      <c r="L314" s="90">
        <v>3857.99</v>
      </c>
      <c r="M314" s="90">
        <v>5654.13</v>
      </c>
      <c r="N314" s="90">
        <v>28054.76</v>
      </c>
      <c r="O314" s="90">
        <v>3139187.26</v>
      </c>
      <c r="P314" s="90">
        <v>717.6</v>
      </c>
      <c r="Q314" s="90">
        <v>0</v>
      </c>
      <c r="R314">
        <v>0</v>
      </c>
    </row>
    <row r="315" spans="2:18" s="224" customFormat="1" ht="12.75" customHeight="1" x14ac:dyDescent="0.25">
      <c r="B315" s="224" t="s">
        <v>120</v>
      </c>
      <c r="C315" s="224" t="s">
        <v>70</v>
      </c>
      <c r="D315" s="223"/>
      <c r="E315" s="225">
        <v>3047417.4</v>
      </c>
      <c r="F315" s="225">
        <v>1355555.49</v>
      </c>
      <c r="G315" s="225">
        <v>760037.54</v>
      </c>
      <c r="H315" s="225">
        <v>398958.5</v>
      </c>
      <c r="I315" s="225">
        <v>-912665.99</v>
      </c>
      <c r="J315" s="225">
        <v>-26555.02</v>
      </c>
      <c r="K315" s="225">
        <v>0</v>
      </c>
      <c r="L315" s="225">
        <v>-225910.86</v>
      </c>
      <c r="M315" s="225">
        <v>-264286.03999999998</v>
      </c>
      <c r="N315" s="225">
        <v>-1286567.3400000001</v>
      </c>
      <c r="O315" s="225">
        <v>3293455.38</v>
      </c>
      <c r="P315" s="225">
        <v>-44604.26</v>
      </c>
      <c r="Q315" s="225">
        <v>0</v>
      </c>
      <c r="R315" s="224">
        <v>0</v>
      </c>
    </row>
    <row r="316" spans="2:18" ht="12.75" customHeight="1" x14ac:dyDescent="0.25">
      <c r="D316" s="89" t="s">
        <v>73</v>
      </c>
      <c r="E316" s="371">
        <v>9692.06</v>
      </c>
      <c r="F316" s="90">
        <v>18576</v>
      </c>
      <c r="G316" s="90">
        <v>10518.42</v>
      </c>
      <c r="H316" s="90">
        <v>4573.71</v>
      </c>
      <c r="I316" s="90">
        <v>-24440.48</v>
      </c>
      <c r="J316" s="90">
        <v>-562.32000000000005</v>
      </c>
      <c r="K316" s="90">
        <v>0</v>
      </c>
      <c r="L316" s="90">
        <v>-4141.51</v>
      </c>
      <c r="M316" s="90">
        <v>-6583.19</v>
      </c>
      <c r="N316" s="90">
        <v>-37234</v>
      </c>
      <c r="O316" s="90">
        <v>50301.63</v>
      </c>
      <c r="P316" s="90">
        <v>-1316.2</v>
      </c>
      <c r="Q316" s="90">
        <v>0</v>
      </c>
      <c r="R316">
        <v>0</v>
      </c>
    </row>
    <row r="317" spans="2:18" ht="12.75" customHeight="1" x14ac:dyDescent="0.25">
      <c r="C317" t="s">
        <v>82</v>
      </c>
      <c r="D317" s="89" t="s">
        <v>70</v>
      </c>
      <c r="E317" s="371">
        <v>9692.06</v>
      </c>
      <c r="F317" s="90">
        <v>18576</v>
      </c>
      <c r="G317" s="90">
        <v>10518.42</v>
      </c>
      <c r="H317" s="90">
        <v>4573.71</v>
      </c>
      <c r="I317" s="90">
        <v>-24440.48</v>
      </c>
      <c r="J317" s="90">
        <v>-562.32000000000005</v>
      </c>
      <c r="K317" s="90">
        <v>0</v>
      </c>
      <c r="L317" s="90">
        <v>-4141.51</v>
      </c>
      <c r="M317" s="90">
        <v>-6583.19</v>
      </c>
      <c r="N317" s="90">
        <v>-37234</v>
      </c>
      <c r="O317" s="90">
        <v>50301.63</v>
      </c>
      <c r="P317" s="90">
        <v>-1316.2</v>
      </c>
      <c r="Q317" s="90">
        <v>0</v>
      </c>
      <c r="R317">
        <v>0</v>
      </c>
    </row>
    <row r="318" spans="2:18" ht="12.75" customHeight="1" x14ac:dyDescent="0.25">
      <c r="D318" s="89" t="s">
        <v>73</v>
      </c>
      <c r="E318" s="371">
        <v>-2115945.87</v>
      </c>
      <c r="F318" s="90">
        <v>-122058.6</v>
      </c>
      <c r="G318" s="90">
        <v>-70601.09</v>
      </c>
      <c r="H318" s="90">
        <v>-36379.54</v>
      </c>
      <c r="I318" s="90">
        <v>-755087.5</v>
      </c>
      <c r="J318" s="90">
        <v>-27028.55</v>
      </c>
      <c r="K318" s="90">
        <v>0</v>
      </c>
      <c r="L318" s="90">
        <v>-232649.91</v>
      </c>
      <c r="M318" s="90">
        <v>-236476.23</v>
      </c>
      <c r="N318" s="90">
        <v>-1214265.58</v>
      </c>
      <c r="O318" s="90">
        <v>622705.67000000004</v>
      </c>
      <c r="P318" s="90">
        <v>-44104.54</v>
      </c>
      <c r="Q318" s="90">
        <v>0</v>
      </c>
      <c r="R318">
        <v>0</v>
      </c>
    </row>
    <row r="319" spans="2:18" ht="12.75" customHeight="1" x14ac:dyDescent="0.25">
      <c r="C319" t="s">
        <v>86</v>
      </c>
      <c r="D319" s="89" t="s">
        <v>70</v>
      </c>
      <c r="E319" s="371">
        <v>-2115945.87</v>
      </c>
      <c r="F319" s="90">
        <v>-122058.6</v>
      </c>
      <c r="G319" s="90">
        <v>-70601.09</v>
      </c>
      <c r="H319" s="90">
        <v>-36379.54</v>
      </c>
      <c r="I319" s="90">
        <v>-755087.5</v>
      </c>
      <c r="J319" s="90">
        <v>-27028.55</v>
      </c>
      <c r="K319" s="90">
        <v>0</v>
      </c>
      <c r="L319" s="90">
        <v>-232649.91</v>
      </c>
      <c r="M319" s="90">
        <v>-236476.23</v>
      </c>
      <c r="N319" s="90">
        <v>-1214265.58</v>
      </c>
      <c r="O319" s="90">
        <v>622705.67000000004</v>
      </c>
      <c r="P319" s="90">
        <v>-44104.54</v>
      </c>
      <c r="Q319" s="90">
        <v>0</v>
      </c>
      <c r="R319">
        <v>0</v>
      </c>
    </row>
    <row r="320" spans="2:18" ht="12.75" customHeight="1" x14ac:dyDescent="0.25">
      <c r="C320" s="89"/>
      <c r="D320" s="89" t="s">
        <v>73</v>
      </c>
      <c r="E320" s="90">
        <v>2486196.64</v>
      </c>
      <c r="F320" s="90">
        <v>154533.22</v>
      </c>
      <c r="G320" s="90">
        <v>85945.77</v>
      </c>
      <c r="H320" s="90">
        <v>39304.26</v>
      </c>
      <c r="I320" s="90">
        <v>304865</v>
      </c>
      <c r="J320" s="90">
        <v>11493.68</v>
      </c>
      <c r="K320" s="90">
        <v>0</v>
      </c>
      <c r="L320" s="90">
        <v>105978.94</v>
      </c>
      <c r="M320" s="90">
        <v>138622.16</v>
      </c>
      <c r="N320" s="90">
        <v>699474.3</v>
      </c>
      <c r="O320" s="90">
        <v>927281.31</v>
      </c>
      <c r="P320" s="90">
        <v>18698</v>
      </c>
      <c r="Q320" s="90">
        <v>0</v>
      </c>
      <c r="R320">
        <v>0</v>
      </c>
    </row>
    <row r="321" spans="1:18" ht="12.75" customHeight="1" x14ac:dyDescent="0.25">
      <c r="B321" s="89"/>
      <c r="C321" s="89" t="s">
        <v>87</v>
      </c>
      <c r="D321" t="s">
        <v>70</v>
      </c>
      <c r="E321" s="90">
        <v>2486196.64</v>
      </c>
      <c r="F321" s="90">
        <v>154533.22</v>
      </c>
      <c r="G321" s="90">
        <v>85945.77</v>
      </c>
      <c r="H321" s="90">
        <v>39304.26</v>
      </c>
      <c r="I321" s="90">
        <v>304865</v>
      </c>
      <c r="J321" s="90">
        <v>11493.68</v>
      </c>
      <c r="K321" s="90">
        <v>0</v>
      </c>
      <c r="L321" s="90">
        <v>105978.94</v>
      </c>
      <c r="M321" s="90">
        <v>138622.16</v>
      </c>
      <c r="N321" s="90">
        <v>699474.3</v>
      </c>
      <c r="O321" s="90">
        <v>927281.31</v>
      </c>
      <c r="P321" s="90">
        <v>18698</v>
      </c>
      <c r="Q321" s="90">
        <v>0</v>
      </c>
      <c r="R321">
        <v>0</v>
      </c>
    </row>
    <row r="322" spans="1:18" s="94" customFormat="1" ht="12.75" customHeight="1" x14ac:dyDescent="0.25">
      <c r="B322" s="101" t="s">
        <v>119</v>
      </c>
      <c r="C322" s="101" t="s">
        <v>70</v>
      </c>
      <c r="E322" s="93">
        <v>379942.83</v>
      </c>
      <c r="F322" s="93">
        <v>51050.62</v>
      </c>
      <c r="G322" s="93">
        <v>25863.1</v>
      </c>
      <c r="H322" s="93">
        <v>7498.43</v>
      </c>
      <c r="I322" s="93">
        <v>-474662.98</v>
      </c>
      <c r="J322" s="93">
        <v>-16097.19</v>
      </c>
      <c r="K322" s="93">
        <v>0</v>
      </c>
      <c r="L322" s="93">
        <v>-130812.48</v>
      </c>
      <c r="M322" s="93">
        <v>-104437.26</v>
      </c>
      <c r="N322" s="93">
        <v>-552025.28</v>
      </c>
      <c r="O322" s="93">
        <v>1600288.61</v>
      </c>
      <c r="P322" s="93">
        <v>-26722.74</v>
      </c>
      <c r="Q322" s="93">
        <v>0</v>
      </c>
      <c r="R322" s="94">
        <v>0</v>
      </c>
    </row>
    <row r="323" spans="1:18" s="226" customFormat="1" ht="12.75" customHeight="1" x14ac:dyDescent="0.25">
      <c r="A323" s="98" t="s">
        <v>79</v>
      </c>
      <c r="B323" s="98" t="s">
        <v>70</v>
      </c>
      <c r="E323" s="100">
        <v>-11709082.98</v>
      </c>
      <c r="F323" s="100">
        <v>1037095.01</v>
      </c>
      <c r="G323" s="100">
        <v>558189.82999999996</v>
      </c>
      <c r="H323" s="100">
        <v>279653.83</v>
      </c>
      <c r="I323" s="100">
        <v>-5420977.4699999997</v>
      </c>
      <c r="J323" s="100">
        <v>-190031.9</v>
      </c>
      <c r="K323" s="100">
        <v>0</v>
      </c>
      <c r="L323" s="100">
        <v>-1646676.54</v>
      </c>
      <c r="M323" s="100">
        <v>-1625440.32</v>
      </c>
      <c r="N323" s="100">
        <v>-8345595.3700000001</v>
      </c>
      <c r="O323" s="100">
        <v>3960453.69</v>
      </c>
      <c r="P323" s="100">
        <v>-315753.74</v>
      </c>
      <c r="Q323" s="100">
        <v>0</v>
      </c>
      <c r="R323" s="226">
        <v>0</v>
      </c>
    </row>
    <row r="324" spans="1:18" ht="12.75" customHeight="1" x14ac:dyDescent="0.25">
      <c r="A324" s="89" t="s">
        <v>70</v>
      </c>
      <c r="E324" s="90">
        <v>161461949.72999999</v>
      </c>
      <c r="F324" s="90">
        <v>17136200.32</v>
      </c>
      <c r="G324" s="90">
        <v>9619233.0199999996</v>
      </c>
      <c r="H324" s="90">
        <v>3132599.89</v>
      </c>
      <c r="I324" s="90">
        <v>26919268.350000001</v>
      </c>
      <c r="J324" s="90">
        <v>934221.13</v>
      </c>
      <c r="K324" s="90">
        <v>0</v>
      </c>
      <c r="L324" s="90">
        <v>8141317.3899999997</v>
      </c>
      <c r="M324" s="90">
        <v>8484157.9800000004</v>
      </c>
      <c r="N324" s="90">
        <v>37980917.710000001</v>
      </c>
      <c r="O324" s="90">
        <v>47670495.350000001</v>
      </c>
      <c r="P324" s="90">
        <v>1443534.03</v>
      </c>
      <c r="Q324" s="90">
        <v>4.5599999999999996</v>
      </c>
      <c r="R324">
        <v>0</v>
      </c>
    </row>
    <row r="325" spans="1:18" ht="12.75" customHeight="1" x14ac:dyDescent="0.25">
      <c r="C325" s="89"/>
      <c r="D325" s="89"/>
      <c r="E325" s="90"/>
      <c r="F325" s="90"/>
      <c r="G325" s="90"/>
      <c r="H325" s="90"/>
      <c r="I325" s="90"/>
      <c r="J325" s="90"/>
      <c r="K325" s="90"/>
      <c r="L325" s="90"/>
      <c r="M325" s="90"/>
      <c r="N325" s="90"/>
      <c r="O325" s="90"/>
      <c r="P325" s="90"/>
      <c r="Q325" s="90"/>
    </row>
    <row r="326" spans="1:18" ht="12.75" customHeight="1" x14ac:dyDescent="0.25">
      <c r="C326" s="89"/>
      <c r="D326" s="89"/>
      <c r="E326" s="90"/>
      <c r="F326" s="90"/>
      <c r="G326" s="90"/>
      <c r="H326" s="90"/>
      <c r="I326" s="90"/>
      <c r="J326" s="90"/>
      <c r="K326" s="90"/>
      <c r="L326" s="90"/>
      <c r="M326" s="90"/>
      <c r="N326" s="90"/>
      <c r="O326" s="90"/>
      <c r="P326" s="90"/>
      <c r="Q326" s="90"/>
    </row>
    <row r="327" spans="1:18" ht="12.75" hidden="1" customHeight="1" x14ac:dyDescent="0.25">
      <c r="C327" s="89"/>
      <c r="D327" s="89"/>
      <c r="E327" s="90"/>
      <c r="F327" s="90"/>
      <c r="G327" s="90"/>
      <c r="H327" s="90"/>
      <c r="I327" s="90"/>
      <c r="J327" s="90"/>
      <c r="K327" s="90"/>
      <c r="L327" s="90"/>
      <c r="M327" s="90"/>
      <c r="N327" s="90"/>
      <c r="O327" s="90"/>
      <c r="P327" s="90"/>
      <c r="Q327" s="90"/>
    </row>
    <row r="328" spans="1:18" ht="12.75" hidden="1" customHeight="1" x14ac:dyDescent="0.25">
      <c r="C328" s="89"/>
      <c r="D328" s="89"/>
      <c r="E328" s="90"/>
      <c r="F328" s="90"/>
      <c r="G328" s="90"/>
      <c r="H328" s="90"/>
      <c r="I328" s="90"/>
      <c r="J328" s="90"/>
      <c r="K328" s="90"/>
      <c r="L328" s="90"/>
      <c r="M328" s="90"/>
      <c r="N328" s="90"/>
      <c r="O328" s="90"/>
      <c r="P328" s="90"/>
      <c r="Q328" s="90"/>
    </row>
    <row r="329" spans="1:18" ht="12.75" hidden="1" customHeight="1" x14ac:dyDescent="0.25">
      <c r="C329" s="89"/>
      <c r="D329" s="89"/>
      <c r="E329" s="90"/>
      <c r="F329" s="90"/>
      <c r="G329" s="90"/>
      <c r="H329" s="90"/>
      <c r="I329" s="90"/>
      <c r="J329" s="90"/>
      <c r="K329" s="90"/>
      <c r="L329" s="90"/>
      <c r="M329" s="90"/>
      <c r="N329" s="90"/>
      <c r="O329" s="90"/>
      <c r="P329" s="90"/>
      <c r="Q329" s="90"/>
    </row>
    <row r="330" spans="1:18" ht="12.75" hidden="1" customHeight="1" x14ac:dyDescent="0.25">
      <c r="C330" s="89"/>
      <c r="D330" s="89"/>
      <c r="E330" s="90"/>
      <c r="F330" s="90"/>
      <c r="G330" s="90"/>
      <c r="H330" s="90"/>
      <c r="I330" s="90"/>
      <c r="J330" s="90"/>
      <c r="K330" s="90"/>
      <c r="L330" s="90"/>
      <c r="M330" s="90"/>
      <c r="N330" s="90"/>
      <c r="O330" s="90"/>
      <c r="P330" s="90"/>
      <c r="Q330" s="90"/>
    </row>
    <row r="331" spans="1:18" ht="12.75" hidden="1" customHeight="1" x14ac:dyDescent="0.25">
      <c r="C331" s="89"/>
      <c r="D331" s="89"/>
      <c r="E331" s="90"/>
      <c r="F331" s="90"/>
      <c r="G331" s="90"/>
      <c r="H331" s="90"/>
      <c r="I331" s="90"/>
      <c r="J331" s="90"/>
      <c r="K331" s="90"/>
      <c r="L331" s="90"/>
      <c r="M331" s="90"/>
      <c r="N331" s="90"/>
      <c r="O331" s="90"/>
      <c r="P331" s="90"/>
      <c r="Q331" s="90"/>
    </row>
    <row r="332" spans="1:18" ht="12.75" hidden="1" customHeight="1" x14ac:dyDescent="0.25">
      <c r="C332" s="89"/>
      <c r="D332" s="89"/>
      <c r="E332" s="90"/>
      <c r="F332" s="90"/>
      <c r="G332" s="90"/>
      <c r="H332" s="90"/>
      <c r="I332" s="90"/>
      <c r="J332" s="90"/>
      <c r="K332" s="90"/>
      <c r="L332" s="90"/>
      <c r="M332" s="90"/>
      <c r="N332" s="90"/>
      <c r="O332" s="90"/>
      <c r="P332" s="90"/>
      <c r="Q332" s="90"/>
    </row>
    <row r="333" spans="1:18" ht="12.75" hidden="1" customHeight="1" x14ac:dyDescent="0.25">
      <c r="C333" s="89"/>
      <c r="D333" s="89"/>
      <c r="E333" s="90"/>
      <c r="F333" s="90"/>
      <c r="G333" s="90"/>
      <c r="H333" s="90"/>
      <c r="I333" s="90"/>
      <c r="J333" s="90"/>
      <c r="K333" s="90"/>
      <c r="L333" s="90"/>
      <c r="M333" s="90"/>
      <c r="N333" s="90"/>
      <c r="O333" s="90"/>
      <c r="P333" s="90"/>
      <c r="Q333" s="90"/>
    </row>
    <row r="334" spans="1:18" ht="12.75" hidden="1" customHeight="1" x14ac:dyDescent="0.25">
      <c r="C334" s="89"/>
      <c r="D334" s="89"/>
      <c r="E334" s="90"/>
      <c r="F334" s="90"/>
      <c r="G334" s="90"/>
      <c r="H334" s="90"/>
      <c r="I334" s="90"/>
      <c r="J334" s="90"/>
      <c r="K334" s="90"/>
      <c r="L334" s="90"/>
      <c r="M334" s="90"/>
      <c r="N334" s="90"/>
      <c r="O334" s="90"/>
      <c r="P334" s="90"/>
      <c r="Q334" s="90"/>
    </row>
    <row r="335" spans="1:18" ht="12.75" hidden="1" customHeight="1" x14ac:dyDescent="0.25">
      <c r="C335" s="89"/>
      <c r="D335" s="89"/>
      <c r="E335" s="90"/>
      <c r="F335" s="90"/>
      <c r="G335" s="90"/>
      <c r="H335" s="90"/>
      <c r="I335" s="90"/>
      <c r="J335" s="90"/>
      <c r="K335" s="90"/>
      <c r="L335" s="90"/>
      <c r="M335" s="90"/>
      <c r="N335" s="90"/>
      <c r="O335" s="90"/>
      <c r="P335" s="90"/>
      <c r="Q335" s="90"/>
    </row>
    <row r="336" spans="1:18" ht="12.75" hidden="1" customHeight="1" x14ac:dyDescent="0.25">
      <c r="C336" s="89"/>
      <c r="D336" s="89"/>
      <c r="E336" s="90"/>
      <c r="F336" s="90"/>
      <c r="G336" s="90"/>
      <c r="H336" s="90"/>
      <c r="I336" s="90"/>
      <c r="J336" s="90"/>
      <c r="K336" s="90"/>
      <c r="L336" s="90"/>
      <c r="M336" s="90"/>
      <c r="N336" s="90"/>
      <c r="O336" s="90"/>
      <c r="P336" s="90"/>
      <c r="Q336" s="90"/>
    </row>
    <row r="337" spans="3:17" ht="12.75" hidden="1" customHeight="1" x14ac:dyDescent="0.25">
      <c r="C337" s="89"/>
      <c r="D337" s="89"/>
      <c r="E337" s="90"/>
      <c r="F337" s="90"/>
      <c r="G337" s="90"/>
      <c r="H337" s="90"/>
      <c r="I337" s="90"/>
      <c r="J337" s="90"/>
      <c r="K337" s="90"/>
      <c r="L337" s="90"/>
      <c r="M337" s="90"/>
      <c r="N337" s="90"/>
      <c r="O337" s="90"/>
      <c r="P337" s="90"/>
      <c r="Q337" s="90"/>
    </row>
    <row r="338" spans="3:17" ht="12.75" hidden="1" customHeight="1" x14ac:dyDescent="0.25">
      <c r="C338" s="89"/>
      <c r="D338" s="89"/>
      <c r="E338" s="90"/>
      <c r="F338" s="90"/>
      <c r="G338" s="90"/>
      <c r="H338" s="90"/>
      <c r="I338" s="90"/>
      <c r="J338" s="90"/>
      <c r="K338" s="90"/>
      <c r="L338" s="90"/>
      <c r="M338" s="90"/>
      <c r="N338" s="90"/>
      <c r="O338" s="90"/>
      <c r="P338" s="90"/>
      <c r="Q338" s="90"/>
    </row>
    <row r="339" spans="3:17" ht="12.75" hidden="1" customHeight="1" x14ac:dyDescent="0.25">
      <c r="C339" s="89"/>
      <c r="D339" s="89"/>
      <c r="E339" s="90"/>
      <c r="F339" s="90"/>
      <c r="G339" s="90"/>
      <c r="H339" s="90"/>
      <c r="I339" s="90"/>
      <c r="J339" s="90"/>
      <c r="K339" s="90"/>
      <c r="L339" s="90"/>
      <c r="M339" s="90"/>
      <c r="N339" s="90"/>
      <c r="O339" s="90"/>
      <c r="P339" s="90"/>
      <c r="Q339" s="90"/>
    </row>
    <row r="340" spans="3:17" ht="12.75" hidden="1" customHeight="1" x14ac:dyDescent="0.25">
      <c r="C340" s="89"/>
      <c r="D340" s="89"/>
      <c r="E340" s="90"/>
      <c r="F340" s="90"/>
      <c r="G340" s="90"/>
      <c r="H340" s="90"/>
      <c r="I340" s="90"/>
      <c r="J340" s="90"/>
      <c r="K340" s="90"/>
      <c r="L340" s="90"/>
      <c r="M340" s="90"/>
      <c r="N340" s="90"/>
      <c r="O340" s="90"/>
      <c r="P340" s="90"/>
      <c r="Q340" s="90"/>
    </row>
    <row r="341" spans="3:17" ht="12.75" hidden="1" customHeight="1" x14ac:dyDescent="0.25">
      <c r="C341" s="89"/>
      <c r="D341" s="89"/>
      <c r="E341" s="90"/>
      <c r="F341" s="90"/>
      <c r="G341" s="90"/>
      <c r="H341" s="90"/>
      <c r="I341" s="90"/>
      <c r="J341" s="90"/>
      <c r="K341" s="90"/>
      <c r="L341" s="90"/>
      <c r="M341" s="90"/>
      <c r="N341" s="90"/>
      <c r="O341" s="90"/>
      <c r="P341" s="90"/>
      <c r="Q341" s="90"/>
    </row>
    <row r="342" spans="3:17" ht="12.75" hidden="1" customHeight="1" x14ac:dyDescent="0.25">
      <c r="C342" s="89"/>
      <c r="D342" s="89"/>
      <c r="E342" s="90"/>
      <c r="F342" s="90"/>
      <c r="G342" s="90"/>
      <c r="H342" s="90"/>
      <c r="I342" s="90"/>
      <c r="J342" s="90"/>
      <c r="K342" s="90"/>
      <c r="L342" s="90"/>
      <c r="M342" s="90"/>
      <c r="N342" s="90"/>
      <c r="O342" s="90"/>
      <c r="P342" s="90"/>
      <c r="Q342" s="90"/>
    </row>
    <row r="343" spans="3:17" ht="12.75" hidden="1" customHeight="1" x14ac:dyDescent="0.25">
      <c r="C343" s="89"/>
      <c r="D343" s="89"/>
      <c r="E343" s="90"/>
      <c r="F343" s="90"/>
      <c r="G343" s="90"/>
      <c r="H343" s="90"/>
      <c r="I343" s="90"/>
      <c r="J343" s="90"/>
      <c r="K343" s="90"/>
      <c r="L343" s="90"/>
      <c r="M343" s="90"/>
      <c r="N343" s="90"/>
      <c r="O343" s="90"/>
      <c r="P343" s="90"/>
      <c r="Q343" s="90"/>
    </row>
    <row r="344" spans="3:17" ht="12.75" hidden="1" customHeight="1" x14ac:dyDescent="0.25">
      <c r="C344" s="89"/>
      <c r="D344" s="89"/>
      <c r="E344" s="90"/>
      <c r="F344" s="90"/>
      <c r="G344" s="90"/>
      <c r="H344" s="90"/>
      <c r="I344" s="90"/>
      <c r="J344" s="90"/>
      <c r="K344" s="90"/>
      <c r="L344" s="90"/>
      <c r="M344" s="90"/>
      <c r="N344" s="90"/>
      <c r="O344" s="90"/>
      <c r="P344" s="90"/>
      <c r="Q344" s="90"/>
    </row>
    <row r="345" spans="3:17" ht="12.75" hidden="1" customHeight="1" x14ac:dyDescent="0.25">
      <c r="C345" s="89"/>
      <c r="D345" s="89"/>
      <c r="E345" s="90"/>
      <c r="F345" s="90"/>
      <c r="G345" s="90"/>
      <c r="H345" s="90"/>
      <c r="I345" s="90"/>
      <c r="J345" s="90"/>
      <c r="K345" s="90"/>
      <c r="L345" s="90"/>
      <c r="M345" s="90"/>
      <c r="N345" s="90"/>
      <c r="O345" s="90"/>
      <c r="P345" s="90"/>
      <c r="Q345" s="90"/>
    </row>
    <row r="346" spans="3:17" ht="12.75" hidden="1" customHeight="1" x14ac:dyDescent="0.25">
      <c r="C346" s="89"/>
      <c r="D346" s="89"/>
      <c r="E346" s="90"/>
      <c r="F346" s="90"/>
      <c r="G346" s="90"/>
      <c r="H346" s="90"/>
      <c r="I346" s="90"/>
      <c r="J346" s="90"/>
      <c r="K346" s="90"/>
      <c r="L346" s="90"/>
      <c r="M346" s="90"/>
      <c r="N346" s="90"/>
      <c r="O346" s="90"/>
      <c r="P346" s="90"/>
      <c r="Q346" s="90"/>
    </row>
    <row r="347" spans="3:17" ht="12.75" hidden="1" customHeight="1" x14ac:dyDescent="0.25">
      <c r="C347" s="89"/>
      <c r="D347" s="89"/>
      <c r="E347" s="90"/>
      <c r="F347" s="90"/>
      <c r="G347" s="90"/>
      <c r="H347" s="90"/>
      <c r="I347" s="90"/>
      <c r="J347" s="90"/>
      <c r="K347" s="90"/>
      <c r="L347" s="90"/>
      <c r="M347" s="90"/>
      <c r="N347" s="90"/>
      <c r="O347" s="90"/>
      <c r="P347" s="90"/>
      <c r="Q347" s="90"/>
    </row>
    <row r="348" spans="3:17" ht="12.75" hidden="1" customHeight="1" x14ac:dyDescent="0.25">
      <c r="C348" s="89"/>
      <c r="D348" s="89"/>
      <c r="E348" s="90"/>
      <c r="F348" s="90"/>
      <c r="G348" s="90"/>
      <c r="H348" s="90"/>
      <c r="I348" s="90"/>
      <c r="J348" s="90"/>
      <c r="K348" s="90"/>
      <c r="L348" s="90"/>
      <c r="M348" s="90"/>
      <c r="N348" s="90"/>
      <c r="O348" s="90"/>
      <c r="P348" s="90"/>
      <c r="Q348" s="90"/>
    </row>
    <row r="349" spans="3:17" ht="12.75" hidden="1" customHeight="1" x14ac:dyDescent="0.25">
      <c r="C349" s="89"/>
      <c r="D349" s="89"/>
      <c r="E349" s="90"/>
      <c r="F349" s="90"/>
      <c r="G349" s="90"/>
      <c r="H349" s="90"/>
      <c r="I349" s="90"/>
      <c r="J349" s="90"/>
      <c r="K349" s="90"/>
      <c r="L349" s="90"/>
      <c r="M349" s="90"/>
      <c r="N349" s="90"/>
      <c r="O349" s="90"/>
      <c r="P349" s="90"/>
      <c r="Q349" s="90"/>
    </row>
    <row r="350" spans="3:17" ht="12.75" hidden="1" customHeight="1" x14ac:dyDescent="0.25">
      <c r="C350" s="89"/>
      <c r="D350" s="89"/>
      <c r="E350" s="90"/>
      <c r="F350" s="90"/>
      <c r="G350" s="90"/>
      <c r="H350" s="90"/>
      <c r="I350" s="90"/>
      <c r="J350" s="90"/>
      <c r="K350" s="90"/>
      <c r="L350" s="90"/>
      <c r="M350" s="90"/>
      <c r="N350" s="90"/>
      <c r="O350" s="90"/>
      <c r="P350" s="90"/>
      <c r="Q350" s="90"/>
    </row>
    <row r="351" spans="3:17" ht="12.75" hidden="1" customHeight="1" x14ac:dyDescent="0.25">
      <c r="C351" s="89"/>
      <c r="D351" s="89"/>
      <c r="E351" s="90"/>
      <c r="F351" s="90"/>
      <c r="G351" s="90"/>
      <c r="H351" s="90"/>
      <c r="I351" s="90"/>
      <c r="J351" s="90"/>
      <c r="K351" s="90"/>
      <c r="L351" s="90"/>
      <c r="M351" s="90"/>
      <c r="N351" s="90"/>
      <c r="O351" s="90"/>
      <c r="P351" s="90"/>
      <c r="Q351" s="90"/>
    </row>
    <row r="352" spans="3:17" ht="12.75" hidden="1" customHeight="1" x14ac:dyDescent="0.25">
      <c r="C352" s="89"/>
      <c r="D352" s="89"/>
      <c r="E352" s="90"/>
      <c r="F352" s="90"/>
      <c r="G352" s="90"/>
      <c r="H352" s="90"/>
      <c r="I352" s="90"/>
      <c r="J352" s="90"/>
      <c r="K352" s="90"/>
      <c r="L352" s="90"/>
      <c r="M352" s="90"/>
      <c r="N352" s="90"/>
      <c r="O352" s="90"/>
      <c r="P352" s="90"/>
      <c r="Q352" s="90"/>
    </row>
    <row r="353" spans="1:18" ht="12.75" hidden="1" customHeight="1" x14ac:dyDescent="0.25">
      <c r="C353" s="89"/>
      <c r="D353" s="89"/>
      <c r="E353" s="90"/>
      <c r="F353" s="90"/>
      <c r="G353" s="90"/>
      <c r="H353" s="90"/>
      <c r="I353" s="90"/>
      <c r="J353" s="90"/>
      <c r="K353" s="90"/>
      <c r="L353" s="90"/>
      <c r="M353" s="90"/>
      <c r="N353" s="90"/>
      <c r="O353" s="90"/>
      <c r="P353" s="90"/>
      <c r="Q353" s="90"/>
    </row>
    <row r="354" spans="1:18" ht="12.75" hidden="1" customHeight="1" x14ac:dyDescent="0.25">
      <c r="C354" s="89"/>
      <c r="D354" s="89"/>
      <c r="E354" s="90"/>
      <c r="F354" s="90"/>
      <c r="G354" s="90"/>
      <c r="H354" s="90"/>
      <c r="I354" s="90"/>
      <c r="J354" s="90"/>
      <c r="K354" s="90"/>
      <c r="L354" s="90"/>
      <c r="M354" s="90"/>
      <c r="N354" s="90"/>
      <c r="O354" s="90"/>
      <c r="P354" s="90"/>
      <c r="Q354" s="90"/>
    </row>
    <row r="355" spans="1:18" ht="12.75" hidden="1" customHeight="1" x14ac:dyDescent="0.25">
      <c r="C355" s="89"/>
      <c r="D355" s="89"/>
      <c r="E355" s="90"/>
      <c r="F355" s="90"/>
      <c r="G355" s="90"/>
      <c r="H355" s="90"/>
      <c r="I355" s="90"/>
      <c r="J355" s="90"/>
      <c r="K355" s="90"/>
      <c r="L355" s="90"/>
      <c r="M355" s="90"/>
      <c r="N355" s="90"/>
      <c r="O355" s="90"/>
      <c r="P355" s="90"/>
      <c r="Q355" s="90"/>
    </row>
    <row r="356" spans="1:18" ht="12.75" hidden="1" customHeight="1" x14ac:dyDescent="0.25">
      <c r="C356" s="89"/>
      <c r="D356" s="89"/>
      <c r="E356" s="90"/>
      <c r="F356" s="90"/>
      <c r="G356" s="90"/>
      <c r="H356" s="90"/>
      <c r="I356" s="90"/>
      <c r="J356" s="90"/>
      <c r="K356" s="90"/>
      <c r="L356" s="90"/>
      <c r="M356" s="90"/>
      <c r="N356" s="90"/>
      <c r="O356" s="90"/>
      <c r="P356" s="90"/>
      <c r="Q356" s="90"/>
    </row>
    <row r="357" spans="1:18" ht="12.75" customHeight="1" x14ac:dyDescent="0.25">
      <c r="C357" s="89"/>
      <c r="D357" s="89"/>
      <c r="E357" s="90"/>
      <c r="F357" s="90"/>
      <c r="G357" s="90"/>
      <c r="H357" s="90"/>
      <c r="I357" s="90"/>
      <c r="J357" s="90"/>
      <c r="K357" s="90"/>
      <c r="L357" s="90"/>
      <c r="M357" s="90"/>
      <c r="N357" s="90"/>
      <c r="O357" s="90"/>
      <c r="P357" s="90"/>
      <c r="Q357" s="90"/>
    </row>
    <row r="358" spans="1:18" ht="12.75" customHeight="1" x14ac:dyDescent="0.25">
      <c r="B358" s="774" t="s">
        <v>2</v>
      </c>
      <c r="C358" s="771" t="s">
        <v>132</v>
      </c>
      <c r="D358" s="98" t="s">
        <v>70</v>
      </c>
      <c r="E358" s="100">
        <f>E303+E323-K303</f>
        <v>161461949.73000002</v>
      </c>
      <c r="F358" s="100">
        <f>F303</f>
        <v>16099105.310000001</v>
      </c>
      <c r="G358" s="100">
        <f t="shared" ref="G358:R358" si="10">G303</f>
        <v>9061043.1899999995</v>
      </c>
      <c r="H358" s="100">
        <f t="shared" si="10"/>
        <v>2852946.06</v>
      </c>
      <c r="I358" s="100">
        <f t="shared" si="10"/>
        <v>32340245.82</v>
      </c>
      <c r="J358" s="100">
        <f t="shared" si="10"/>
        <v>1124253.03</v>
      </c>
      <c r="K358" s="100">
        <f t="shared" si="10"/>
        <v>0</v>
      </c>
      <c r="L358" s="100">
        <f t="shared" si="10"/>
        <v>9787993.9299999997</v>
      </c>
      <c r="M358" s="100">
        <f t="shared" si="10"/>
        <v>10109598.300000001</v>
      </c>
      <c r="N358" s="100">
        <f t="shared" si="10"/>
        <v>46326513.079999998</v>
      </c>
      <c r="O358" s="100">
        <f t="shared" si="10"/>
        <v>43710041.659999996</v>
      </c>
      <c r="P358" s="100">
        <f t="shared" si="10"/>
        <v>1759287.77</v>
      </c>
      <c r="Q358" s="100">
        <f t="shared" si="10"/>
        <v>4.5599999999999996</v>
      </c>
      <c r="R358" s="100">
        <f t="shared" si="10"/>
        <v>0</v>
      </c>
    </row>
    <row r="359" spans="1:18" ht="12.75" customHeight="1" x14ac:dyDescent="0.25">
      <c r="B359" s="774"/>
      <c r="C359" s="771"/>
      <c r="D359" s="98" t="s">
        <v>73</v>
      </c>
      <c r="E359" s="100">
        <f>E323</f>
        <v>-11709082.98</v>
      </c>
      <c r="F359" s="90"/>
      <c r="G359" s="90"/>
      <c r="H359" s="90"/>
      <c r="I359" s="90"/>
      <c r="J359" s="90"/>
      <c r="K359" s="90"/>
      <c r="L359" s="90"/>
      <c r="M359" s="90"/>
      <c r="N359" s="90"/>
      <c r="O359" s="90"/>
      <c r="P359" s="90"/>
      <c r="Q359" s="90"/>
      <c r="R359" s="90"/>
    </row>
    <row r="360" spans="1:18" ht="12.75" customHeight="1" x14ac:dyDescent="0.3">
      <c r="A360" s="89"/>
      <c r="B360" s="97"/>
      <c r="E360" s="90"/>
      <c r="F360" s="90"/>
      <c r="G360" s="90"/>
      <c r="H360" s="90"/>
      <c r="I360" s="90"/>
      <c r="J360" s="90"/>
      <c r="K360" s="90"/>
      <c r="L360" s="90"/>
      <c r="M360" s="90"/>
      <c r="N360" s="90"/>
      <c r="O360" s="90"/>
      <c r="P360" s="90"/>
      <c r="Q360" s="90"/>
      <c r="R360" s="90"/>
    </row>
    <row r="361" spans="1:18" ht="12.75" customHeight="1" x14ac:dyDescent="0.25">
      <c r="B361" s="774" t="s">
        <v>160</v>
      </c>
      <c r="C361" s="771" t="s">
        <v>132</v>
      </c>
      <c r="D361" s="223" t="s">
        <v>70</v>
      </c>
      <c r="E361" s="225">
        <f>E315+E292-K292</f>
        <v>66508368.82</v>
      </c>
      <c r="F361" s="225">
        <f>F292</f>
        <v>9041231.2599999998</v>
      </c>
      <c r="G361" s="225">
        <f t="shared" ref="G361:R361" si="11">G292</f>
        <v>5072388.55</v>
      </c>
      <c r="H361" s="225">
        <f t="shared" si="11"/>
        <v>1011597.42</v>
      </c>
      <c r="I361" s="225">
        <f t="shared" si="11"/>
        <v>7983360.1600000001</v>
      </c>
      <c r="J361" s="225">
        <f t="shared" si="11"/>
        <v>230579.94</v>
      </c>
      <c r="K361" s="225">
        <f t="shared" si="11"/>
        <v>0</v>
      </c>
      <c r="L361" s="225">
        <f t="shared" si="11"/>
        <v>2199940.9</v>
      </c>
      <c r="M361" s="225">
        <f t="shared" si="11"/>
        <v>2412632.5099999998</v>
      </c>
      <c r="N361" s="225">
        <f t="shared" si="11"/>
        <v>10659886.970000001</v>
      </c>
      <c r="O361" s="225">
        <f t="shared" si="11"/>
        <v>24512256.039999999</v>
      </c>
      <c r="P361" s="225">
        <f t="shared" si="11"/>
        <v>336993.11</v>
      </c>
      <c r="Q361" s="225">
        <f t="shared" si="11"/>
        <v>84.56</v>
      </c>
      <c r="R361" s="225">
        <f t="shared" si="11"/>
        <v>0</v>
      </c>
    </row>
    <row r="362" spans="1:18" ht="12.75" customHeight="1" x14ac:dyDescent="0.25">
      <c r="B362" s="774"/>
      <c r="C362" s="771"/>
      <c r="D362" s="223" t="s">
        <v>73</v>
      </c>
      <c r="E362" s="225">
        <f>E315</f>
        <v>3047417.4</v>
      </c>
      <c r="F362" s="90"/>
      <c r="G362" s="90"/>
      <c r="H362" s="90"/>
      <c r="I362" s="90"/>
      <c r="J362" s="90"/>
      <c r="K362" s="90"/>
      <c r="L362" s="90"/>
      <c r="M362" s="90"/>
      <c r="N362" s="90"/>
      <c r="O362" s="90"/>
      <c r="P362" s="90"/>
      <c r="Q362" s="90"/>
      <c r="R362" s="90"/>
    </row>
    <row r="363" spans="1:18" ht="12.75" customHeight="1" x14ac:dyDescent="0.3">
      <c r="A363" s="89"/>
      <c r="B363" s="97"/>
      <c r="E363" s="90"/>
      <c r="F363" s="90"/>
      <c r="G363" s="90"/>
      <c r="H363" s="90"/>
      <c r="I363" s="90"/>
      <c r="J363" s="90"/>
      <c r="K363" s="90"/>
      <c r="L363" s="90"/>
      <c r="M363" s="90"/>
      <c r="N363" s="90"/>
      <c r="O363" s="90"/>
      <c r="P363" s="90"/>
      <c r="Q363" s="90"/>
      <c r="R363" s="90"/>
    </row>
    <row r="364" spans="1:18" ht="12.75" customHeight="1" x14ac:dyDescent="0.25">
      <c r="B364" s="774" t="s">
        <v>155</v>
      </c>
      <c r="C364" s="771" t="s">
        <v>132</v>
      </c>
      <c r="D364" s="221" t="s">
        <v>70</v>
      </c>
      <c r="E364" s="222">
        <f>E306+E279-K279</f>
        <v>60774931.109999992</v>
      </c>
      <c r="F364" s="222">
        <f t="shared" ref="F364:R364" si="12">F279</f>
        <v>3643585.71</v>
      </c>
      <c r="G364" s="222">
        <f t="shared" si="12"/>
        <v>2134528.5099999998</v>
      </c>
      <c r="H364" s="222">
        <f t="shared" si="12"/>
        <v>922327.31</v>
      </c>
      <c r="I364" s="222">
        <f t="shared" si="12"/>
        <v>19101300.940000001</v>
      </c>
      <c r="J364" s="222">
        <f t="shared" si="12"/>
        <v>695389.45</v>
      </c>
      <c r="K364" s="222">
        <f t="shared" si="12"/>
        <v>0</v>
      </c>
      <c r="L364" s="222">
        <f t="shared" si="12"/>
        <v>6006974.5499999998</v>
      </c>
      <c r="M364" s="222">
        <f t="shared" si="12"/>
        <v>5941622.6399999997</v>
      </c>
      <c r="N364" s="222">
        <f t="shared" si="12"/>
        <v>26384823.629999999</v>
      </c>
      <c r="O364" s="222">
        <f t="shared" si="12"/>
        <v>9973356.7599999998</v>
      </c>
      <c r="P364" s="222">
        <f t="shared" si="12"/>
        <v>1107550.0900000001</v>
      </c>
      <c r="Q364" s="222">
        <f t="shared" si="12"/>
        <v>-85.27</v>
      </c>
      <c r="R364" s="222">
        <f t="shared" si="12"/>
        <v>0</v>
      </c>
    </row>
    <row r="365" spans="1:18" ht="12.75" customHeight="1" x14ac:dyDescent="0.25">
      <c r="B365" s="774"/>
      <c r="C365" s="771"/>
      <c r="D365" s="221" t="s">
        <v>73</v>
      </c>
      <c r="E365" s="222">
        <f>E306</f>
        <v>-15136443.210000001</v>
      </c>
      <c r="F365" s="90"/>
      <c r="G365" s="90"/>
      <c r="H365" s="90"/>
      <c r="I365" s="90"/>
      <c r="J365" s="90"/>
      <c r="K365" s="90"/>
      <c r="L365" s="90"/>
      <c r="M365" s="90"/>
      <c r="N365" s="90"/>
      <c r="O365" s="90"/>
      <c r="P365" s="90"/>
      <c r="Q365" s="90"/>
      <c r="R365" s="90"/>
    </row>
    <row r="366" spans="1:18" ht="12.75" customHeight="1" x14ac:dyDescent="0.3">
      <c r="A366" s="89"/>
      <c r="B366" s="97"/>
      <c r="E366" s="90"/>
      <c r="F366" s="90"/>
      <c r="G366" s="90"/>
      <c r="H366" s="90"/>
      <c r="I366" s="90"/>
      <c r="J366" s="90"/>
      <c r="K366" s="90"/>
      <c r="L366" s="90"/>
      <c r="M366" s="90"/>
      <c r="N366" s="90"/>
      <c r="O366" s="90"/>
      <c r="P366" s="90"/>
      <c r="Q366" s="90"/>
      <c r="R366" s="90"/>
    </row>
    <row r="367" spans="1:18" ht="12.75" customHeight="1" x14ac:dyDescent="0.25">
      <c r="B367" s="772" t="s">
        <v>328</v>
      </c>
      <c r="C367" s="771" t="s">
        <v>132</v>
      </c>
      <c r="D367" s="373" t="s">
        <v>70</v>
      </c>
      <c r="E367" s="374">
        <v>0</v>
      </c>
      <c r="F367" s="374">
        <v>0</v>
      </c>
      <c r="G367" s="374">
        <v>0</v>
      </c>
      <c r="H367" s="374">
        <v>0</v>
      </c>
      <c r="I367" s="374">
        <v>0</v>
      </c>
      <c r="J367" s="374">
        <v>0</v>
      </c>
      <c r="K367" s="374">
        <v>0</v>
      </c>
      <c r="L367" s="374">
        <v>0</v>
      </c>
      <c r="M367" s="374">
        <v>0</v>
      </c>
      <c r="N367" s="374">
        <v>0</v>
      </c>
      <c r="O367" s="374">
        <v>0</v>
      </c>
      <c r="P367" s="374">
        <v>0</v>
      </c>
      <c r="Q367" s="374">
        <v>0</v>
      </c>
      <c r="R367" s="374">
        <v>0</v>
      </c>
    </row>
    <row r="368" spans="1:18" ht="12.75" customHeight="1" x14ac:dyDescent="0.25">
      <c r="B368" s="772"/>
      <c r="C368" s="771"/>
      <c r="D368" s="373" t="s">
        <v>73</v>
      </c>
      <c r="E368" s="374">
        <v>0</v>
      </c>
      <c r="F368" s="90"/>
      <c r="G368" s="90"/>
      <c r="H368" s="90"/>
      <c r="I368" s="90"/>
      <c r="J368" s="90"/>
      <c r="K368" s="90"/>
      <c r="L368" s="90"/>
      <c r="M368" s="90"/>
      <c r="N368" s="90"/>
      <c r="O368" s="90"/>
      <c r="P368" s="90"/>
      <c r="Q368" s="90"/>
      <c r="R368" s="90"/>
    </row>
    <row r="369" spans="1:18" ht="12.75" customHeight="1" x14ac:dyDescent="0.3">
      <c r="A369" s="89"/>
      <c r="B369" s="97"/>
      <c r="E369" s="90"/>
      <c r="F369" s="90"/>
      <c r="G369" s="90"/>
      <c r="H369" s="90"/>
      <c r="I369" s="90"/>
      <c r="J369" s="90"/>
      <c r="K369" s="90"/>
      <c r="L369" s="90"/>
      <c r="M369" s="90"/>
      <c r="N369" s="90"/>
      <c r="O369" s="90"/>
      <c r="P369" s="90"/>
      <c r="Q369" s="90"/>
      <c r="R369" s="90"/>
    </row>
    <row r="370" spans="1:18" ht="12.75" customHeight="1" x14ac:dyDescent="0.25">
      <c r="A370" s="142" t="s">
        <v>228</v>
      </c>
      <c r="B370" s="774" t="s">
        <v>119</v>
      </c>
      <c r="C370" s="771" t="s">
        <v>132</v>
      </c>
      <c r="D370" s="101" t="s">
        <v>70</v>
      </c>
      <c r="E370" s="93">
        <f>E302+E322-K302</f>
        <v>34178649.799999997</v>
      </c>
      <c r="F370" s="93">
        <f>F302</f>
        <v>3414288.34</v>
      </c>
      <c r="G370" s="93">
        <f t="shared" ref="G370:R370" si="13">G302</f>
        <v>1854126.13</v>
      </c>
      <c r="H370" s="93">
        <f t="shared" si="13"/>
        <v>919021.33</v>
      </c>
      <c r="I370" s="93">
        <f t="shared" si="13"/>
        <v>5255584.72</v>
      </c>
      <c r="J370" s="93">
        <f t="shared" si="13"/>
        <v>198283.64</v>
      </c>
      <c r="K370" s="93">
        <f t="shared" si="13"/>
        <v>0</v>
      </c>
      <c r="L370" s="93">
        <f t="shared" si="13"/>
        <v>1581078.48</v>
      </c>
      <c r="M370" s="93">
        <f t="shared" si="13"/>
        <v>1755343.15</v>
      </c>
      <c r="N370" s="93">
        <f t="shared" si="13"/>
        <v>9281802.4800000004</v>
      </c>
      <c r="O370" s="93">
        <f t="shared" si="13"/>
        <v>9224428.8599999994</v>
      </c>
      <c r="P370" s="93">
        <f t="shared" si="13"/>
        <v>314744.57</v>
      </c>
      <c r="Q370" s="93">
        <f t="shared" si="13"/>
        <v>5.27</v>
      </c>
      <c r="R370" s="93">
        <f t="shared" si="13"/>
        <v>0</v>
      </c>
    </row>
    <row r="371" spans="1:18" ht="12.75" customHeight="1" x14ac:dyDescent="0.25">
      <c r="B371" s="774"/>
      <c r="C371" s="771"/>
      <c r="D371" s="101" t="s">
        <v>73</v>
      </c>
      <c r="E371" s="93">
        <f>E322</f>
        <v>379942.83</v>
      </c>
      <c r="F371" s="90"/>
      <c r="G371" s="90"/>
      <c r="H371" s="90"/>
      <c r="I371" s="90"/>
      <c r="J371" s="90"/>
      <c r="K371" s="90"/>
      <c r="L371" s="90"/>
      <c r="M371" s="90"/>
      <c r="N371" s="90"/>
      <c r="O371" s="90"/>
      <c r="P371" s="90"/>
      <c r="Q371" s="90"/>
      <c r="R371" s="90"/>
    </row>
    <row r="372" spans="1:18" ht="12.75" customHeight="1" x14ac:dyDescent="0.3">
      <c r="A372" s="89"/>
      <c r="B372" s="97"/>
      <c r="E372" s="90"/>
      <c r="F372" s="90"/>
      <c r="G372" s="90"/>
      <c r="H372" s="90"/>
      <c r="I372" s="90"/>
      <c r="J372" s="90"/>
      <c r="K372" s="90"/>
      <c r="L372" s="90"/>
      <c r="M372" s="90"/>
      <c r="N372" s="90"/>
      <c r="O372" s="90"/>
      <c r="P372" s="90"/>
      <c r="Q372" s="90"/>
      <c r="R372" s="90"/>
    </row>
    <row r="373" spans="1:18" ht="12.75" customHeight="1" x14ac:dyDescent="0.25">
      <c r="B373" s="773" t="s">
        <v>161</v>
      </c>
      <c r="C373" s="771" t="s">
        <v>132</v>
      </c>
      <c r="D373" s="231" t="s">
        <v>70</v>
      </c>
      <c r="E373" s="232">
        <v>0</v>
      </c>
      <c r="F373" s="232">
        <v>0</v>
      </c>
      <c r="G373" s="232">
        <v>0</v>
      </c>
      <c r="H373" s="232">
        <v>0</v>
      </c>
      <c r="I373" s="232">
        <v>0</v>
      </c>
      <c r="J373" s="232">
        <v>0</v>
      </c>
      <c r="K373" s="232">
        <v>0</v>
      </c>
      <c r="L373" s="232">
        <v>0</v>
      </c>
      <c r="M373" s="232">
        <v>0</v>
      </c>
      <c r="N373" s="232">
        <v>0</v>
      </c>
      <c r="O373" s="232">
        <v>0</v>
      </c>
      <c r="P373" s="232">
        <v>0</v>
      </c>
      <c r="Q373" s="232">
        <v>0</v>
      </c>
      <c r="R373" s="232">
        <v>0</v>
      </c>
    </row>
    <row r="374" spans="1:18" ht="12.75" customHeight="1" x14ac:dyDescent="0.25">
      <c r="B374" s="773"/>
      <c r="C374" s="771"/>
      <c r="D374" s="231" t="s">
        <v>73</v>
      </c>
      <c r="E374" s="232">
        <v>0</v>
      </c>
      <c r="F374" s="90"/>
      <c r="G374" s="90"/>
      <c r="H374" s="90"/>
      <c r="I374" s="90"/>
      <c r="J374" s="90"/>
      <c r="K374" s="90"/>
      <c r="L374" s="90"/>
      <c r="M374" s="90"/>
      <c r="N374" s="90"/>
      <c r="O374" s="90"/>
      <c r="P374" s="90"/>
      <c r="Q374" s="90"/>
      <c r="R374" s="90"/>
    </row>
    <row r="375" spans="1:18" s="238" customFormat="1" x14ac:dyDescent="0.25"/>
    <row r="376" spans="1:18" ht="13" x14ac:dyDescent="0.3">
      <c r="B376" s="97" t="s">
        <v>93</v>
      </c>
    </row>
    <row r="377" spans="1:18" x14ac:dyDescent="0.25">
      <c r="E377" s="89" t="s">
        <v>70</v>
      </c>
      <c r="F377" s="89" t="s">
        <v>64</v>
      </c>
      <c r="G377" s="89" t="s">
        <v>65</v>
      </c>
      <c r="H377" s="219" t="s">
        <v>164</v>
      </c>
      <c r="I377" s="89" t="s">
        <v>69</v>
      </c>
      <c r="J377" s="89" t="s">
        <v>68</v>
      </c>
      <c r="K377" s="89" t="s">
        <v>83</v>
      </c>
      <c r="L377" s="89" t="s">
        <v>66</v>
      </c>
      <c r="M377" s="89" t="s">
        <v>63</v>
      </c>
      <c r="N377" s="89" t="s">
        <v>61</v>
      </c>
      <c r="O377" s="89" t="s">
        <v>62</v>
      </c>
      <c r="P377" s="89" t="s">
        <v>67</v>
      </c>
      <c r="Q377" s="89" t="s">
        <v>84</v>
      </c>
      <c r="R377" s="384" t="s">
        <v>227</v>
      </c>
    </row>
    <row r="378" spans="1:18" ht="12.75" customHeight="1" x14ac:dyDescent="0.25">
      <c r="D378" s="89" t="s">
        <v>72</v>
      </c>
      <c r="E378" s="90">
        <v>19713558.23</v>
      </c>
      <c r="F378" s="90">
        <v>1433611.21</v>
      </c>
      <c r="G378" s="90">
        <v>821473.98</v>
      </c>
      <c r="H378" s="90">
        <v>381759.58</v>
      </c>
      <c r="I378" s="90">
        <v>4009241.14</v>
      </c>
      <c r="J378" s="90">
        <v>149648.65</v>
      </c>
      <c r="K378" s="90">
        <v>0</v>
      </c>
      <c r="L378" s="90">
        <v>1253740.49</v>
      </c>
      <c r="M378" s="90">
        <v>1363565.37</v>
      </c>
      <c r="N378" s="90">
        <v>5819071.1500000004</v>
      </c>
      <c r="O378" s="90">
        <v>4269755.25</v>
      </c>
      <c r="P378" s="90">
        <v>211601.51</v>
      </c>
      <c r="Q378" s="90">
        <v>89.9</v>
      </c>
      <c r="R378">
        <v>0</v>
      </c>
    </row>
    <row r="379" spans="1:18" ht="12.75" customHeight="1" x14ac:dyDescent="0.25">
      <c r="D379" s="89" t="s">
        <v>81</v>
      </c>
      <c r="E379" s="90">
        <v>18754.009999999998</v>
      </c>
      <c r="F379" s="90">
        <v>1185.98</v>
      </c>
      <c r="G379" s="90">
        <v>657.93</v>
      </c>
      <c r="H379" s="90">
        <v>342.39</v>
      </c>
      <c r="I379" s="90">
        <v>3726.74</v>
      </c>
      <c r="J379" s="90">
        <v>150.80000000000001</v>
      </c>
      <c r="K379" s="90">
        <v>0</v>
      </c>
      <c r="L379" s="90">
        <v>1322.67</v>
      </c>
      <c r="M379" s="90">
        <v>1225.1400000000001</v>
      </c>
      <c r="N379" s="90">
        <v>6423.46</v>
      </c>
      <c r="O379" s="90">
        <v>3472.69</v>
      </c>
      <c r="P379" s="90">
        <v>246.08</v>
      </c>
      <c r="Q379" s="90">
        <v>0.13</v>
      </c>
      <c r="R379">
        <v>0</v>
      </c>
    </row>
    <row r="380" spans="1:18" ht="12.75" customHeight="1" x14ac:dyDescent="0.25">
      <c r="B380" s="89"/>
      <c r="C380" s="89" t="s">
        <v>156</v>
      </c>
      <c r="D380" t="s">
        <v>70</v>
      </c>
      <c r="E380" s="90">
        <v>19732312.239999998</v>
      </c>
      <c r="F380" s="90">
        <v>1434797.19</v>
      </c>
      <c r="G380" s="90">
        <v>822131.91</v>
      </c>
      <c r="H380" s="90">
        <v>382101.97</v>
      </c>
      <c r="I380" s="90">
        <v>4012967.88</v>
      </c>
      <c r="J380" s="90">
        <v>149799.45000000001</v>
      </c>
      <c r="K380" s="90">
        <v>0</v>
      </c>
      <c r="L380" s="90">
        <v>1255063.1599999999</v>
      </c>
      <c r="M380" s="90">
        <v>1364790.51</v>
      </c>
      <c r="N380" s="90">
        <v>5825494.6100000003</v>
      </c>
      <c r="O380" s="90">
        <v>4273227.9400000004</v>
      </c>
      <c r="P380" s="90">
        <v>211847.59</v>
      </c>
      <c r="Q380" s="90">
        <v>90.03</v>
      </c>
      <c r="R380">
        <v>0</v>
      </c>
    </row>
    <row r="381" spans="1:18" s="237" customFormat="1" ht="12.75" customHeight="1" x14ac:dyDescent="0.25">
      <c r="B381" s="221" t="s">
        <v>155</v>
      </c>
      <c r="C381" s="221" t="s">
        <v>70</v>
      </c>
      <c r="E381" s="222">
        <v>19732312.239999998</v>
      </c>
      <c r="F381" s="222">
        <v>1434797.19</v>
      </c>
      <c r="G381" s="222">
        <v>822131.91</v>
      </c>
      <c r="H381" s="222">
        <v>382101.97</v>
      </c>
      <c r="I381" s="222">
        <v>4012967.88</v>
      </c>
      <c r="J381" s="222">
        <v>149799.45000000001</v>
      </c>
      <c r="K381" s="222">
        <v>0</v>
      </c>
      <c r="L381" s="222">
        <v>1255063.1599999999</v>
      </c>
      <c r="M381" s="222">
        <v>1364790.51</v>
      </c>
      <c r="N381" s="222">
        <v>5825494.6100000003</v>
      </c>
      <c r="O381" s="222">
        <v>4273227.9400000004</v>
      </c>
      <c r="P381" s="222">
        <v>211847.59</v>
      </c>
      <c r="Q381" s="222">
        <v>90.03</v>
      </c>
      <c r="R381" s="237">
        <v>0</v>
      </c>
    </row>
    <row r="382" spans="1:18" ht="12.75" customHeight="1" x14ac:dyDescent="0.25">
      <c r="D382" t="s">
        <v>72</v>
      </c>
      <c r="E382" s="142">
        <v>7522088.9400000004</v>
      </c>
      <c r="F382">
        <v>452084.23</v>
      </c>
      <c r="G382">
        <v>257859.84</v>
      </c>
      <c r="H382">
        <v>110457.94</v>
      </c>
      <c r="I382">
        <v>1817304.03</v>
      </c>
      <c r="J382">
        <v>58755.74</v>
      </c>
      <c r="K382">
        <v>0</v>
      </c>
      <c r="L382">
        <v>533049.52</v>
      </c>
      <c r="M382">
        <v>533000.77</v>
      </c>
      <c r="N382">
        <v>2377838.02</v>
      </c>
      <c r="O382">
        <v>1292657.05</v>
      </c>
      <c r="P382">
        <v>89104.17</v>
      </c>
      <c r="Q382">
        <v>-22.37</v>
      </c>
      <c r="R382">
        <v>0</v>
      </c>
    </row>
    <row r="383" spans="1:18" ht="12.75" customHeight="1" x14ac:dyDescent="0.25">
      <c r="D383" t="s">
        <v>81</v>
      </c>
      <c r="E383" s="142">
        <v>7478.7</v>
      </c>
      <c r="F383">
        <v>443.1</v>
      </c>
      <c r="G383">
        <v>249.22</v>
      </c>
      <c r="H383">
        <v>133.69</v>
      </c>
      <c r="I383">
        <v>1658</v>
      </c>
      <c r="J383">
        <v>59.23</v>
      </c>
      <c r="K383">
        <v>0</v>
      </c>
      <c r="L383">
        <v>512.44000000000005</v>
      </c>
      <c r="M383">
        <v>531.97</v>
      </c>
      <c r="N383">
        <v>2482.92</v>
      </c>
      <c r="O383">
        <v>1311.38</v>
      </c>
      <c r="P383">
        <v>96.59</v>
      </c>
      <c r="Q383">
        <v>0.16</v>
      </c>
      <c r="R383">
        <v>0</v>
      </c>
    </row>
    <row r="384" spans="1:18" ht="12.75" customHeight="1" x14ac:dyDescent="0.25">
      <c r="C384" t="s">
        <v>156</v>
      </c>
      <c r="D384" t="s">
        <v>70</v>
      </c>
      <c r="E384" s="142">
        <v>7529567.6399999997</v>
      </c>
      <c r="F384">
        <v>452527.33</v>
      </c>
      <c r="G384">
        <v>258109.06</v>
      </c>
      <c r="H384">
        <v>110591.63</v>
      </c>
      <c r="I384">
        <v>1818962.03</v>
      </c>
      <c r="J384">
        <v>58814.97</v>
      </c>
      <c r="K384">
        <v>0</v>
      </c>
      <c r="L384">
        <v>533561.96</v>
      </c>
      <c r="M384">
        <v>533532.74</v>
      </c>
      <c r="N384">
        <v>2380320.94</v>
      </c>
      <c r="O384">
        <v>1293968.43</v>
      </c>
      <c r="P384">
        <v>89200.76</v>
      </c>
      <c r="Q384">
        <v>-22.21</v>
      </c>
      <c r="R384">
        <v>0</v>
      </c>
    </row>
    <row r="385" spans="1:19" s="740" customFormat="1" ht="12.75" customHeight="1" x14ac:dyDescent="0.25">
      <c r="B385" s="740" t="s">
        <v>328</v>
      </c>
      <c r="C385" s="740" t="s">
        <v>70</v>
      </c>
      <c r="E385" s="231">
        <v>7529567.6399999997</v>
      </c>
      <c r="F385" s="741">
        <v>452527.33</v>
      </c>
      <c r="G385" s="232">
        <v>258109.06</v>
      </c>
      <c r="H385" s="232">
        <v>110591.63</v>
      </c>
      <c r="I385" s="232">
        <v>1818962.03</v>
      </c>
      <c r="J385" s="232">
        <v>58814.97</v>
      </c>
      <c r="K385" s="232">
        <v>0</v>
      </c>
      <c r="L385" s="232">
        <v>533561.96</v>
      </c>
      <c r="M385" s="232">
        <v>533532.74</v>
      </c>
      <c r="N385" s="232">
        <v>2380320.94</v>
      </c>
      <c r="O385" s="232">
        <v>1293968.43</v>
      </c>
      <c r="P385" s="232">
        <v>89200.76</v>
      </c>
      <c r="Q385" s="232">
        <v>-22.21</v>
      </c>
      <c r="R385" s="232">
        <v>0</v>
      </c>
      <c r="S385" s="232"/>
    </row>
    <row r="386" spans="1:19" ht="12.75" customHeight="1" x14ac:dyDescent="0.25">
      <c r="D386" t="s">
        <v>72</v>
      </c>
      <c r="E386" s="142">
        <v>2071705.94</v>
      </c>
      <c r="F386">
        <v>103319.02</v>
      </c>
      <c r="G386">
        <v>57420.42</v>
      </c>
      <c r="H386">
        <v>21085.54</v>
      </c>
      <c r="I386">
        <v>346150.26</v>
      </c>
      <c r="J386">
        <v>11031.32</v>
      </c>
      <c r="K386">
        <v>0</v>
      </c>
      <c r="L386">
        <v>145571.06</v>
      </c>
      <c r="M386">
        <v>183039.97</v>
      </c>
      <c r="N386">
        <v>809955.99</v>
      </c>
      <c r="O386">
        <v>379524.28</v>
      </c>
      <c r="P386">
        <v>14610.01</v>
      </c>
      <c r="Q386">
        <v>-1.93</v>
      </c>
      <c r="R386">
        <v>0</v>
      </c>
    </row>
    <row r="387" spans="1:19" ht="12.75" customHeight="1" x14ac:dyDescent="0.25">
      <c r="D387" t="s">
        <v>81</v>
      </c>
      <c r="E387" s="142">
        <v>5827.74</v>
      </c>
      <c r="F387">
        <v>335.75</v>
      </c>
      <c r="G387">
        <v>183.23</v>
      </c>
      <c r="H387">
        <v>102.43</v>
      </c>
      <c r="I387">
        <v>1405.62</v>
      </c>
      <c r="J387">
        <v>35.880000000000003</v>
      </c>
      <c r="K387">
        <v>0</v>
      </c>
      <c r="L387">
        <v>312.68</v>
      </c>
      <c r="M387">
        <v>400.21</v>
      </c>
      <c r="N387">
        <v>1989.45</v>
      </c>
      <c r="O387">
        <v>1003.89</v>
      </c>
      <c r="P387">
        <v>58.46</v>
      </c>
      <c r="Q387">
        <v>0.14000000000000001</v>
      </c>
      <c r="R387">
        <v>0</v>
      </c>
    </row>
    <row r="388" spans="1:19" ht="12.75" customHeight="1" x14ac:dyDescent="0.25">
      <c r="C388" t="s">
        <v>82</v>
      </c>
      <c r="D388" t="s">
        <v>70</v>
      </c>
      <c r="E388" s="142">
        <v>2077533.68</v>
      </c>
      <c r="F388">
        <v>103654.77</v>
      </c>
      <c r="G388">
        <v>57603.65</v>
      </c>
      <c r="H388">
        <v>21187.97</v>
      </c>
      <c r="I388">
        <v>347555.88</v>
      </c>
      <c r="J388">
        <v>11067.2</v>
      </c>
      <c r="K388">
        <v>0</v>
      </c>
      <c r="L388">
        <v>145883.74</v>
      </c>
      <c r="M388">
        <v>183440.18</v>
      </c>
      <c r="N388">
        <v>811945.44</v>
      </c>
      <c r="O388">
        <v>380528.17</v>
      </c>
      <c r="P388">
        <v>14668.47</v>
      </c>
      <c r="Q388">
        <v>-1.79</v>
      </c>
      <c r="R388">
        <v>0</v>
      </c>
    </row>
    <row r="389" spans="1:19" ht="12.75" customHeight="1" x14ac:dyDescent="0.25">
      <c r="D389" t="s">
        <v>72</v>
      </c>
      <c r="E389" s="142">
        <v>564214.29</v>
      </c>
      <c r="F389">
        <v>17423.509999999998</v>
      </c>
      <c r="G389">
        <v>9851.94</v>
      </c>
      <c r="H389">
        <v>1306.08</v>
      </c>
      <c r="I389">
        <v>70737.58</v>
      </c>
      <c r="J389">
        <v>2919.74</v>
      </c>
      <c r="K389">
        <v>0</v>
      </c>
      <c r="L389">
        <v>56924.86</v>
      </c>
      <c r="M389">
        <v>66619.45</v>
      </c>
      <c r="N389">
        <v>239269.57</v>
      </c>
      <c r="O389">
        <v>97907.86</v>
      </c>
      <c r="P389">
        <v>1248.93</v>
      </c>
      <c r="Q389">
        <v>4.7699999999999996</v>
      </c>
      <c r="R389">
        <v>0</v>
      </c>
    </row>
    <row r="390" spans="1:19" ht="12.75" customHeight="1" x14ac:dyDescent="0.25">
      <c r="D390" t="s">
        <v>81</v>
      </c>
      <c r="E390" s="142">
        <v>15983.37</v>
      </c>
      <c r="F390">
        <v>1350.57</v>
      </c>
      <c r="G390">
        <v>675.27</v>
      </c>
      <c r="H390">
        <v>377.77</v>
      </c>
      <c r="I390">
        <v>2442.13</v>
      </c>
      <c r="J390">
        <v>121.05</v>
      </c>
      <c r="K390">
        <v>0</v>
      </c>
      <c r="L390">
        <v>1025.0999999999999</v>
      </c>
      <c r="M390">
        <v>984.77</v>
      </c>
      <c r="N390">
        <v>4740.8500000000004</v>
      </c>
      <c r="O390">
        <v>4068.12</v>
      </c>
      <c r="P390">
        <v>197.44</v>
      </c>
      <c r="Q390">
        <v>0.3</v>
      </c>
      <c r="R390">
        <v>0</v>
      </c>
    </row>
    <row r="391" spans="1:19" ht="12.75" customHeight="1" x14ac:dyDescent="0.25">
      <c r="C391" t="s">
        <v>86</v>
      </c>
      <c r="D391" t="s">
        <v>70</v>
      </c>
      <c r="E391" s="142">
        <v>580197.66</v>
      </c>
      <c r="F391">
        <v>18774.080000000002</v>
      </c>
      <c r="G391">
        <v>10527.21</v>
      </c>
      <c r="H391">
        <v>1683.85</v>
      </c>
      <c r="I391">
        <v>73179.710000000006</v>
      </c>
      <c r="J391">
        <v>3040.79</v>
      </c>
      <c r="K391">
        <v>0</v>
      </c>
      <c r="L391">
        <v>57949.96</v>
      </c>
      <c r="M391">
        <v>67604.22</v>
      </c>
      <c r="N391">
        <v>244010.42</v>
      </c>
      <c r="O391">
        <v>101975.98</v>
      </c>
      <c r="P391">
        <v>1446.37</v>
      </c>
      <c r="Q391">
        <v>5.07</v>
      </c>
      <c r="R391">
        <v>0</v>
      </c>
    </row>
    <row r="392" spans="1:19" ht="12.75" customHeight="1" x14ac:dyDescent="0.25">
      <c r="D392" t="s">
        <v>72</v>
      </c>
      <c r="E392" s="142">
        <v>9223422.1400000006</v>
      </c>
      <c r="F392">
        <v>1035458.12</v>
      </c>
      <c r="G392">
        <v>588303.9</v>
      </c>
      <c r="H392">
        <v>292492.33</v>
      </c>
      <c r="I392">
        <v>925765.26</v>
      </c>
      <c r="J392">
        <v>26352.799999999999</v>
      </c>
      <c r="K392">
        <v>990006.55</v>
      </c>
      <c r="L392">
        <v>272062.34000000003</v>
      </c>
      <c r="M392">
        <v>350629.12</v>
      </c>
      <c r="N392">
        <v>1502001.28</v>
      </c>
      <c r="O392">
        <v>3205703.11</v>
      </c>
      <c r="P392">
        <v>34728.980000000003</v>
      </c>
      <c r="Q392">
        <v>-81.650000000000006</v>
      </c>
      <c r="R392">
        <v>0</v>
      </c>
    </row>
    <row r="393" spans="1:19" ht="12.75" customHeight="1" x14ac:dyDescent="0.25">
      <c r="B393" s="142"/>
      <c r="D393" t="s">
        <v>81</v>
      </c>
      <c r="E393" s="142">
        <v>19833.349999999999</v>
      </c>
      <c r="F393">
        <v>1583.47</v>
      </c>
      <c r="G393">
        <v>870.86</v>
      </c>
      <c r="H393">
        <v>471.95</v>
      </c>
      <c r="I393">
        <v>3975.48</v>
      </c>
      <c r="J393">
        <v>100.34</v>
      </c>
      <c r="K393">
        <v>0</v>
      </c>
      <c r="L393">
        <v>881.78</v>
      </c>
      <c r="M393">
        <v>1143.53</v>
      </c>
      <c r="N393">
        <v>5829.84</v>
      </c>
      <c r="O393">
        <v>4812.5200000000004</v>
      </c>
      <c r="P393">
        <v>163.4</v>
      </c>
      <c r="Q393">
        <v>0.18</v>
      </c>
      <c r="R393">
        <v>0</v>
      </c>
    </row>
    <row r="394" spans="1:19" ht="12.75" customHeight="1" x14ac:dyDescent="0.25">
      <c r="B394" s="142"/>
      <c r="C394" t="s">
        <v>87</v>
      </c>
      <c r="D394" t="s">
        <v>70</v>
      </c>
      <c r="E394" s="142">
        <v>9243255.4900000002</v>
      </c>
      <c r="F394">
        <v>1037041.59</v>
      </c>
      <c r="G394">
        <v>589174.76</v>
      </c>
      <c r="H394">
        <v>292964.28000000003</v>
      </c>
      <c r="I394">
        <v>929740.74</v>
      </c>
      <c r="J394">
        <v>26453.14</v>
      </c>
      <c r="K394">
        <v>990006.55</v>
      </c>
      <c r="L394">
        <v>272944.12</v>
      </c>
      <c r="M394">
        <v>351772.65</v>
      </c>
      <c r="N394">
        <v>1507831.12</v>
      </c>
      <c r="O394">
        <v>3210515.63</v>
      </c>
      <c r="P394">
        <v>34892.379999999997</v>
      </c>
      <c r="Q394">
        <v>-81.47</v>
      </c>
      <c r="R394">
        <v>0</v>
      </c>
    </row>
    <row r="395" spans="1:19" s="94" customFormat="1" ht="12.75" customHeight="1" x14ac:dyDescent="0.25">
      <c r="B395" s="101" t="s">
        <v>119</v>
      </c>
      <c r="C395" s="101" t="s">
        <v>70</v>
      </c>
      <c r="E395" s="93">
        <v>11900986.83</v>
      </c>
      <c r="F395" s="93">
        <v>1159470.44</v>
      </c>
      <c r="G395" s="93">
        <v>657305.62</v>
      </c>
      <c r="H395" s="93">
        <v>315836.09999999998</v>
      </c>
      <c r="I395" s="93">
        <v>1350476.33</v>
      </c>
      <c r="J395" s="93">
        <v>40561.129999999997</v>
      </c>
      <c r="K395" s="93">
        <v>990006.55</v>
      </c>
      <c r="L395" s="93">
        <v>476777.82</v>
      </c>
      <c r="M395" s="93">
        <v>602817.05000000005</v>
      </c>
      <c r="N395" s="93">
        <v>2563786.98</v>
      </c>
      <c r="O395" s="93">
        <v>3693019.78</v>
      </c>
      <c r="P395" s="93">
        <v>51007.22</v>
      </c>
      <c r="Q395" s="93">
        <v>-78.19</v>
      </c>
      <c r="R395" s="94">
        <v>0</v>
      </c>
    </row>
    <row r="396" spans="1:19" s="226" customFormat="1" ht="12.75" customHeight="1" x14ac:dyDescent="0.25">
      <c r="A396" s="98" t="s">
        <v>78</v>
      </c>
      <c r="B396" s="98" t="s">
        <v>70</v>
      </c>
      <c r="E396" s="100">
        <v>39162866.710000001</v>
      </c>
      <c r="F396" s="100">
        <v>3046794.96</v>
      </c>
      <c r="G396" s="100">
        <v>1737546.59</v>
      </c>
      <c r="H396" s="100">
        <v>808529.7</v>
      </c>
      <c r="I396" s="100">
        <v>7182406.2400000002</v>
      </c>
      <c r="J396" s="100">
        <v>249175.55</v>
      </c>
      <c r="K396" s="100">
        <v>990006.55</v>
      </c>
      <c r="L396" s="100">
        <v>2265402.94</v>
      </c>
      <c r="M396" s="100">
        <v>2501140.2999999998</v>
      </c>
      <c r="N396" s="100">
        <v>10769602.529999999</v>
      </c>
      <c r="O396" s="100">
        <v>9260216.1500000004</v>
      </c>
      <c r="P396" s="100">
        <v>352055.57</v>
      </c>
      <c r="Q396" s="100">
        <v>-10.37</v>
      </c>
      <c r="R396" s="226">
        <v>0</v>
      </c>
    </row>
    <row r="397" spans="1:19" ht="12.75" customHeight="1" x14ac:dyDescent="0.25">
      <c r="C397" s="89"/>
      <c r="D397" s="89" t="s">
        <v>73</v>
      </c>
      <c r="E397" s="90">
        <v>3691549.5</v>
      </c>
      <c r="F397" s="90">
        <v>530921.56999999995</v>
      </c>
      <c r="G397" s="90">
        <v>272938.43</v>
      </c>
      <c r="H397" s="90">
        <v>117564.27</v>
      </c>
      <c r="I397" s="90">
        <v>369298.5</v>
      </c>
      <c r="J397" s="90">
        <v>12339.48</v>
      </c>
      <c r="K397" s="90">
        <v>0</v>
      </c>
      <c r="L397" s="90">
        <v>114960.22</v>
      </c>
      <c r="M397" s="90">
        <v>67403.39</v>
      </c>
      <c r="N397" s="90">
        <v>586625.34</v>
      </c>
      <c r="O397" s="90">
        <v>1598903.62</v>
      </c>
      <c r="P397" s="90">
        <v>20594.68</v>
      </c>
      <c r="Q397" s="90">
        <v>0</v>
      </c>
      <c r="R397">
        <v>0</v>
      </c>
    </row>
    <row r="398" spans="1:19" ht="12.75" customHeight="1" x14ac:dyDescent="0.25">
      <c r="B398" s="89"/>
      <c r="C398" s="89" t="s">
        <v>156</v>
      </c>
      <c r="D398" t="s">
        <v>70</v>
      </c>
      <c r="E398" s="90">
        <v>3691549.5</v>
      </c>
      <c r="F398" s="90">
        <v>530921.56999999995</v>
      </c>
      <c r="G398" s="90">
        <v>272938.43</v>
      </c>
      <c r="H398" s="90">
        <v>117564.27</v>
      </c>
      <c r="I398" s="90">
        <v>369298.5</v>
      </c>
      <c r="J398" s="90">
        <v>12339.48</v>
      </c>
      <c r="K398" s="90">
        <v>0</v>
      </c>
      <c r="L398" s="90">
        <v>114960.22</v>
      </c>
      <c r="M398" s="90">
        <v>67403.39</v>
      </c>
      <c r="N398" s="90">
        <v>586625.34</v>
      </c>
      <c r="O398" s="90">
        <v>1598903.62</v>
      </c>
      <c r="P398" s="90">
        <v>20594.68</v>
      </c>
      <c r="Q398" s="90">
        <v>0</v>
      </c>
      <c r="R398">
        <v>0</v>
      </c>
    </row>
    <row r="399" spans="1:19" s="237" customFormat="1" ht="12.75" customHeight="1" x14ac:dyDescent="0.25">
      <c r="B399" s="221" t="s">
        <v>155</v>
      </c>
      <c r="C399" s="221" t="s">
        <v>70</v>
      </c>
      <c r="E399" s="222">
        <v>3691549.5</v>
      </c>
      <c r="F399" s="222">
        <v>530921.56999999995</v>
      </c>
      <c r="G399" s="222">
        <v>272938.43</v>
      </c>
      <c r="H399" s="222">
        <v>117564.27</v>
      </c>
      <c r="I399" s="222">
        <v>369298.5</v>
      </c>
      <c r="J399" s="222">
        <v>12339.48</v>
      </c>
      <c r="K399" s="222">
        <v>0</v>
      </c>
      <c r="L399" s="222">
        <v>114960.22</v>
      </c>
      <c r="M399" s="222">
        <v>67403.39</v>
      </c>
      <c r="N399" s="222">
        <v>586625.34</v>
      </c>
      <c r="O399" s="222">
        <v>1598903.62</v>
      </c>
      <c r="P399" s="222">
        <v>20594.68</v>
      </c>
      <c r="Q399" s="222">
        <v>0</v>
      </c>
      <c r="R399" s="237">
        <v>0</v>
      </c>
    </row>
    <row r="400" spans="1:19" ht="12.75" customHeight="1" x14ac:dyDescent="0.25">
      <c r="B400" s="142"/>
      <c r="C400" s="89"/>
      <c r="D400" s="89" t="s">
        <v>73</v>
      </c>
      <c r="E400" s="371">
        <v>-1287165.1599999999</v>
      </c>
      <c r="F400" s="90">
        <v>-66624.22</v>
      </c>
      <c r="G400" s="90">
        <v>-37615.300000000003</v>
      </c>
      <c r="H400" s="90">
        <v>-19739.189999999999</v>
      </c>
      <c r="I400" s="90">
        <v>-287087.38</v>
      </c>
      <c r="J400" s="90">
        <v>-10837.21</v>
      </c>
      <c r="K400" s="90">
        <v>0</v>
      </c>
      <c r="L400" s="90">
        <v>-91013.79</v>
      </c>
      <c r="M400" s="90">
        <v>-91573.95</v>
      </c>
      <c r="N400" s="90">
        <v>-468346.31</v>
      </c>
      <c r="O400" s="90">
        <v>-196727.98</v>
      </c>
      <c r="P400" s="90">
        <v>-17599.830000000002</v>
      </c>
      <c r="Q400" s="90">
        <v>0</v>
      </c>
      <c r="R400">
        <v>0</v>
      </c>
    </row>
    <row r="401" spans="1:19" ht="12.75" customHeight="1" x14ac:dyDescent="0.25">
      <c r="B401" s="142"/>
      <c r="C401" s="89" t="s">
        <v>156</v>
      </c>
      <c r="D401" s="89" t="s">
        <v>70</v>
      </c>
      <c r="E401" s="371">
        <v>-1287165.1599999999</v>
      </c>
      <c r="F401" s="90">
        <v>-66624.22</v>
      </c>
      <c r="G401" s="90">
        <v>-37615.300000000003</v>
      </c>
      <c r="H401" s="90">
        <v>-19739.189999999999</v>
      </c>
      <c r="I401" s="90">
        <v>-287087.38</v>
      </c>
      <c r="J401" s="90">
        <v>-10837.21</v>
      </c>
      <c r="K401" s="90">
        <v>0</v>
      </c>
      <c r="L401" s="90">
        <v>-91013.79</v>
      </c>
      <c r="M401" s="90">
        <v>-91573.95</v>
      </c>
      <c r="N401" s="90">
        <v>-468346.31</v>
      </c>
      <c r="O401" s="90">
        <v>-196727.98</v>
      </c>
      <c r="P401" s="90">
        <v>-17599.830000000002</v>
      </c>
      <c r="Q401" s="90">
        <v>0</v>
      </c>
      <c r="R401">
        <v>0</v>
      </c>
    </row>
    <row r="402" spans="1:19" s="740" customFormat="1" ht="12.75" customHeight="1" x14ac:dyDescent="0.25">
      <c r="B402" s="740" t="s">
        <v>328</v>
      </c>
      <c r="C402" s="740" t="s">
        <v>70</v>
      </c>
      <c r="E402" s="231">
        <v>-1287165.1599999999</v>
      </c>
      <c r="F402" s="741">
        <v>-66624.22</v>
      </c>
      <c r="G402" s="232">
        <v>-37615.300000000003</v>
      </c>
      <c r="H402" s="232">
        <v>-19739.189999999999</v>
      </c>
      <c r="I402" s="232">
        <v>-287087.38</v>
      </c>
      <c r="J402" s="232">
        <v>-10837.21</v>
      </c>
      <c r="K402" s="232">
        <v>0</v>
      </c>
      <c r="L402" s="232">
        <v>-91013.79</v>
      </c>
      <c r="M402" s="232">
        <v>-91573.95</v>
      </c>
      <c r="N402" s="232">
        <v>-468346.31</v>
      </c>
      <c r="O402" s="232">
        <v>-196727.98</v>
      </c>
      <c r="P402" s="232">
        <v>-17599.830000000002</v>
      </c>
      <c r="Q402" s="232">
        <v>0</v>
      </c>
      <c r="R402" s="232">
        <v>0</v>
      </c>
      <c r="S402" s="232"/>
    </row>
    <row r="403" spans="1:19" ht="12.75" customHeight="1" x14ac:dyDescent="0.25">
      <c r="B403" s="142"/>
      <c r="C403" s="89"/>
      <c r="D403" s="89" t="s">
        <v>73</v>
      </c>
      <c r="E403" s="371">
        <v>-210692.92</v>
      </c>
      <c r="F403" s="90">
        <v>-10566.31</v>
      </c>
      <c r="G403" s="90">
        <v>-5965.83</v>
      </c>
      <c r="H403" s="90">
        <v>-3131.3</v>
      </c>
      <c r="I403" s="90">
        <v>-45955.45</v>
      </c>
      <c r="J403" s="90">
        <v>-1566.98</v>
      </c>
      <c r="K403" s="90">
        <v>0</v>
      </c>
      <c r="L403" s="90">
        <v>-13745.76</v>
      </c>
      <c r="M403" s="90">
        <v>-15917.58</v>
      </c>
      <c r="N403" s="90">
        <v>-79341.42</v>
      </c>
      <c r="O403" s="90">
        <v>-31945.58</v>
      </c>
      <c r="P403" s="90">
        <v>-2556.71</v>
      </c>
      <c r="Q403" s="90">
        <v>0</v>
      </c>
      <c r="R403">
        <v>0</v>
      </c>
    </row>
    <row r="404" spans="1:19" ht="12.75" customHeight="1" x14ac:dyDescent="0.25">
      <c r="B404" s="142"/>
      <c r="C404" s="89" t="s">
        <v>82</v>
      </c>
      <c r="D404" s="89" t="s">
        <v>70</v>
      </c>
      <c r="E404" s="371">
        <v>-210692.92</v>
      </c>
      <c r="F404" s="90">
        <v>-10566.31</v>
      </c>
      <c r="G404" s="90">
        <v>-5965.83</v>
      </c>
      <c r="H404" s="90">
        <v>-3131.3</v>
      </c>
      <c r="I404" s="90">
        <v>-45955.45</v>
      </c>
      <c r="J404" s="90">
        <v>-1566.98</v>
      </c>
      <c r="K404" s="90">
        <v>0</v>
      </c>
      <c r="L404" s="90">
        <v>-13745.76</v>
      </c>
      <c r="M404" s="90">
        <v>-15917.58</v>
      </c>
      <c r="N404" s="90">
        <v>-79341.42</v>
      </c>
      <c r="O404" s="90">
        <v>-31945.58</v>
      </c>
      <c r="P404" s="90">
        <v>-2556.71</v>
      </c>
      <c r="Q404" s="90">
        <v>0</v>
      </c>
      <c r="R404">
        <v>0</v>
      </c>
    </row>
    <row r="405" spans="1:19" ht="12.75" customHeight="1" x14ac:dyDescent="0.25">
      <c r="B405" s="142"/>
      <c r="C405" s="89"/>
      <c r="D405" s="89" t="s">
        <v>73</v>
      </c>
      <c r="E405" s="371">
        <v>-108192.45</v>
      </c>
      <c r="F405" s="90">
        <v>-4309.76</v>
      </c>
      <c r="G405" s="90">
        <v>-2433.3200000000002</v>
      </c>
      <c r="H405" s="90">
        <v>-1277.18</v>
      </c>
      <c r="I405" s="90">
        <v>-18004.79</v>
      </c>
      <c r="J405" s="90">
        <v>-1041.42</v>
      </c>
      <c r="K405" s="90">
        <v>0</v>
      </c>
      <c r="L405" s="90">
        <v>-9135.26</v>
      </c>
      <c r="M405" s="90">
        <v>-8882.84</v>
      </c>
      <c r="N405" s="90">
        <v>-48363.54</v>
      </c>
      <c r="O405" s="90">
        <v>-13045.17</v>
      </c>
      <c r="P405" s="90">
        <v>-1699.17</v>
      </c>
      <c r="Q405" s="90">
        <v>0</v>
      </c>
      <c r="R405">
        <v>0</v>
      </c>
    </row>
    <row r="406" spans="1:19" ht="12.75" customHeight="1" x14ac:dyDescent="0.25">
      <c r="B406" s="142"/>
      <c r="C406" s="89" t="s">
        <v>86</v>
      </c>
      <c r="D406" s="89" t="s">
        <v>70</v>
      </c>
      <c r="E406" s="371">
        <v>-108192.45</v>
      </c>
      <c r="F406" s="90">
        <v>-4309.76</v>
      </c>
      <c r="G406" s="90">
        <v>-2433.3200000000002</v>
      </c>
      <c r="H406" s="90">
        <v>-1277.18</v>
      </c>
      <c r="I406" s="90">
        <v>-18004.79</v>
      </c>
      <c r="J406" s="90">
        <v>-1041.42</v>
      </c>
      <c r="K406" s="90">
        <v>0</v>
      </c>
      <c r="L406" s="90">
        <v>-9135.26</v>
      </c>
      <c r="M406" s="90">
        <v>-8882.84</v>
      </c>
      <c r="N406" s="90">
        <v>-48363.54</v>
      </c>
      <c r="O406" s="90">
        <v>-13045.17</v>
      </c>
      <c r="P406" s="90">
        <v>-1699.17</v>
      </c>
      <c r="Q406" s="90">
        <v>0</v>
      </c>
      <c r="R406">
        <v>0</v>
      </c>
    </row>
    <row r="407" spans="1:19" ht="12.75" customHeight="1" x14ac:dyDescent="0.25">
      <c r="B407" s="142"/>
      <c r="C407" s="89"/>
      <c r="D407" s="89" t="s">
        <v>73</v>
      </c>
      <c r="E407" s="371">
        <v>2725143.28</v>
      </c>
      <c r="F407" s="90">
        <v>679374.88</v>
      </c>
      <c r="G407" s="90">
        <v>126898.74</v>
      </c>
      <c r="H407" s="90">
        <v>10627.02</v>
      </c>
      <c r="I407" s="90">
        <v>-60093.33</v>
      </c>
      <c r="J407" s="90">
        <v>-2491.7399999999998</v>
      </c>
      <c r="K407" s="90">
        <v>0</v>
      </c>
      <c r="L407" s="90">
        <v>-16227.77</v>
      </c>
      <c r="M407" s="90">
        <v>-16672.310000000001</v>
      </c>
      <c r="N407" s="90">
        <v>-94111.77</v>
      </c>
      <c r="O407" s="90">
        <v>2101905.15</v>
      </c>
      <c r="P407" s="90">
        <v>-4065.59</v>
      </c>
      <c r="Q407" s="90">
        <v>0</v>
      </c>
      <c r="R407">
        <v>0</v>
      </c>
    </row>
    <row r="408" spans="1:19" ht="12.75" customHeight="1" x14ac:dyDescent="0.25">
      <c r="B408" s="142"/>
      <c r="C408" s="89" t="s">
        <v>87</v>
      </c>
      <c r="D408" s="89" t="s">
        <v>70</v>
      </c>
      <c r="E408" s="371">
        <v>2725143.28</v>
      </c>
      <c r="F408" s="90">
        <v>679374.88</v>
      </c>
      <c r="G408" s="90">
        <v>126898.74</v>
      </c>
      <c r="H408" s="90">
        <v>10627.02</v>
      </c>
      <c r="I408" s="90">
        <v>-60093.33</v>
      </c>
      <c r="J408" s="90">
        <v>-2491.7399999999998</v>
      </c>
      <c r="K408" s="90">
        <v>0</v>
      </c>
      <c r="L408" s="90">
        <v>-16227.77</v>
      </c>
      <c r="M408" s="90">
        <v>-16672.310000000001</v>
      </c>
      <c r="N408" s="90">
        <v>-94111.77</v>
      </c>
      <c r="O408" s="90">
        <v>2101905.15</v>
      </c>
      <c r="P408" s="90">
        <v>-4065.59</v>
      </c>
      <c r="Q408" s="90">
        <v>0</v>
      </c>
      <c r="R408">
        <v>0</v>
      </c>
    </row>
    <row r="409" spans="1:19" s="94" customFormat="1" ht="12.75" customHeight="1" x14ac:dyDescent="0.25">
      <c r="B409" s="101" t="s">
        <v>119</v>
      </c>
      <c r="C409" s="101" t="s">
        <v>70</v>
      </c>
      <c r="E409" s="93">
        <v>2406257.91</v>
      </c>
      <c r="F409" s="93">
        <v>664498.81000000006</v>
      </c>
      <c r="G409" s="93">
        <v>118499.59</v>
      </c>
      <c r="H409" s="93">
        <v>6218.54</v>
      </c>
      <c r="I409" s="93">
        <v>-124053.57</v>
      </c>
      <c r="J409" s="93">
        <v>-5100.1400000000003</v>
      </c>
      <c r="K409" s="93">
        <v>0</v>
      </c>
      <c r="L409" s="93">
        <v>-39108.79</v>
      </c>
      <c r="M409" s="93">
        <v>-41472.730000000003</v>
      </c>
      <c r="N409" s="93">
        <v>-221816.73</v>
      </c>
      <c r="O409" s="93">
        <v>2056914.4</v>
      </c>
      <c r="P409" s="93">
        <v>-8321.4699999999993</v>
      </c>
      <c r="Q409" s="93">
        <v>0</v>
      </c>
      <c r="R409" s="94">
        <v>0</v>
      </c>
    </row>
    <row r="410" spans="1:19" s="226" customFormat="1" ht="12.75" customHeight="1" x14ac:dyDescent="0.25">
      <c r="A410" s="98" t="s">
        <v>79</v>
      </c>
      <c r="B410" s="98" t="s">
        <v>70</v>
      </c>
      <c r="E410" s="100">
        <v>4810642.25</v>
      </c>
      <c r="F410" s="100">
        <v>1128796.1599999999</v>
      </c>
      <c r="G410" s="100">
        <v>353822.71999999997</v>
      </c>
      <c r="H410" s="100">
        <v>104043.62</v>
      </c>
      <c r="I410" s="100">
        <v>-41842.449999999997</v>
      </c>
      <c r="J410" s="100">
        <v>-3597.87</v>
      </c>
      <c r="K410" s="100">
        <v>0</v>
      </c>
      <c r="L410" s="100">
        <v>-15162.36</v>
      </c>
      <c r="M410" s="100">
        <v>-65643.289999999994</v>
      </c>
      <c r="N410" s="100">
        <v>-103537.7</v>
      </c>
      <c r="O410" s="100">
        <v>3459090.04</v>
      </c>
      <c r="P410" s="100">
        <v>-5326.62</v>
      </c>
      <c r="Q410" s="100">
        <v>0</v>
      </c>
      <c r="R410" s="226">
        <v>0</v>
      </c>
    </row>
    <row r="411" spans="1:19" ht="12.75" customHeight="1" x14ac:dyDescent="0.25">
      <c r="A411" s="89" t="s">
        <v>70</v>
      </c>
      <c r="E411" s="90">
        <v>43973508.960000001</v>
      </c>
      <c r="F411" s="90">
        <v>4175591.12</v>
      </c>
      <c r="G411" s="90">
        <v>2091369.31</v>
      </c>
      <c r="H411" s="90">
        <v>912573.32</v>
      </c>
      <c r="I411" s="90">
        <v>7140563.79</v>
      </c>
      <c r="J411" s="90">
        <v>245577.68</v>
      </c>
      <c r="K411" s="90">
        <v>990006.55</v>
      </c>
      <c r="L411" s="90">
        <v>2250240.58</v>
      </c>
      <c r="M411" s="90">
        <v>2435497.0099999998</v>
      </c>
      <c r="N411" s="90">
        <v>10666064.83</v>
      </c>
      <c r="O411" s="90">
        <v>12719306.189999999</v>
      </c>
      <c r="P411" s="90">
        <v>346728.95</v>
      </c>
      <c r="Q411" s="90">
        <v>-10.37</v>
      </c>
      <c r="R411" s="90">
        <v>0</v>
      </c>
    </row>
    <row r="412" spans="1:19" ht="12.75" hidden="1" customHeight="1" x14ac:dyDescent="0.25">
      <c r="A412" s="89"/>
      <c r="E412" s="90"/>
      <c r="F412" s="90"/>
      <c r="G412" s="90"/>
      <c r="H412" s="90"/>
      <c r="I412" s="90"/>
      <c r="J412" s="90"/>
      <c r="K412" s="90"/>
      <c r="L412" s="90"/>
      <c r="M412" s="90"/>
      <c r="N412" s="90"/>
      <c r="O412" s="90"/>
      <c r="P412" s="90"/>
      <c r="Q412" s="90"/>
      <c r="R412" s="90"/>
    </row>
    <row r="413" spans="1:19" ht="12.75" hidden="1" customHeight="1" x14ac:dyDescent="0.25">
      <c r="A413" s="89"/>
      <c r="E413" s="90"/>
      <c r="F413" s="90"/>
      <c r="G413" s="90"/>
      <c r="H413" s="90"/>
      <c r="I413" s="90"/>
      <c r="J413" s="90"/>
      <c r="K413" s="90"/>
      <c r="L413" s="90"/>
      <c r="M413" s="90"/>
      <c r="N413" s="90"/>
      <c r="O413" s="90"/>
      <c r="P413" s="90"/>
      <c r="Q413" s="90"/>
      <c r="R413" s="90"/>
    </row>
    <row r="414" spans="1:19" ht="12.75" hidden="1" customHeight="1" x14ac:dyDescent="0.25">
      <c r="A414" s="89"/>
      <c r="E414" s="90"/>
      <c r="F414" s="90"/>
      <c r="G414" s="90"/>
      <c r="H414" s="90"/>
      <c r="I414" s="90"/>
      <c r="J414" s="90"/>
      <c r="K414" s="90"/>
      <c r="L414" s="90"/>
      <c r="M414" s="90"/>
      <c r="N414" s="90"/>
      <c r="O414" s="90"/>
      <c r="P414" s="90"/>
      <c r="Q414" s="90"/>
      <c r="R414" s="90"/>
    </row>
    <row r="415" spans="1:19" ht="12.75" hidden="1" customHeight="1" x14ac:dyDescent="0.25">
      <c r="A415" s="89"/>
      <c r="E415" s="90"/>
      <c r="F415" s="90"/>
      <c r="G415" s="90"/>
      <c r="H415" s="90"/>
      <c r="I415" s="90"/>
      <c r="J415" s="90"/>
      <c r="K415" s="90"/>
      <c r="L415" s="90"/>
      <c r="M415" s="90"/>
      <c r="N415" s="90"/>
      <c r="O415" s="90"/>
      <c r="P415" s="90"/>
      <c r="Q415" s="90"/>
      <c r="R415" s="90"/>
    </row>
    <row r="416" spans="1:19" ht="12.75" hidden="1" customHeight="1" x14ac:dyDescent="0.25">
      <c r="A416" s="89"/>
      <c r="E416" s="90"/>
      <c r="F416" s="90"/>
      <c r="G416" s="90"/>
      <c r="H416" s="90"/>
      <c r="I416" s="90"/>
      <c r="J416" s="90"/>
      <c r="K416" s="90"/>
      <c r="L416" s="90"/>
      <c r="M416" s="90"/>
      <c r="N416" s="90"/>
      <c r="O416" s="90"/>
      <c r="P416" s="90"/>
      <c r="Q416" s="90"/>
      <c r="R416" s="90"/>
    </row>
    <row r="417" spans="1:18" ht="12.75" hidden="1" customHeight="1" x14ac:dyDescent="0.25">
      <c r="A417" s="89"/>
      <c r="E417" s="90"/>
      <c r="F417" s="90"/>
      <c r="G417" s="90"/>
      <c r="H417" s="90"/>
      <c r="I417" s="90"/>
      <c r="J417" s="90"/>
      <c r="K417" s="90"/>
      <c r="L417" s="90"/>
      <c r="M417" s="90"/>
      <c r="N417" s="90"/>
      <c r="O417" s="90"/>
      <c r="P417" s="90"/>
      <c r="Q417" s="90"/>
      <c r="R417" s="90"/>
    </row>
    <row r="418" spans="1:18" ht="12.75" hidden="1" customHeight="1" x14ac:dyDescent="0.25">
      <c r="A418" s="89"/>
      <c r="E418" s="90"/>
      <c r="F418" s="90"/>
      <c r="G418" s="90"/>
      <c r="H418" s="90"/>
      <c r="I418" s="90"/>
      <c r="J418" s="90"/>
      <c r="K418" s="90"/>
      <c r="L418" s="90"/>
      <c r="M418" s="90"/>
      <c r="N418" s="90"/>
      <c r="O418" s="90"/>
      <c r="P418" s="90"/>
      <c r="Q418" s="90"/>
      <c r="R418" s="90"/>
    </row>
    <row r="419" spans="1:18" ht="12.75" hidden="1" customHeight="1" x14ac:dyDescent="0.25">
      <c r="A419" s="89"/>
      <c r="E419" s="90"/>
      <c r="F419" s="90"/>
      <c r="G419" s="90"/>
      <c r="H419" s="90"/>
      <c r="I419" s="90"/>
      <c r="J419" s="90"/>
      <c r="K419" s="90"/>
      <c r="L419" s="90"/>
      <c r="M419" s="90"/>
      <c r="N419" s="90"/>
      <c r="O419" s="90"/>
      <c r="P419" s="90"/>
      <c r="Q419" s="90"/>
      <c r="R419" s="90"/>
    </row>
    <row r="420" spans="1:18" ht="12.75" hidden="1" customHeight="1" x14ac:dyDescent="0.25">
      <c r="A420" s="89"/>
      <c r="E420" s="90"/>
      <c r="F420" s="90"/>
      <c r="G420" s="90"/>
      <c r="H420" s="90"/>
      <c r="I420" s="90"/>
      <c r="J420" s="90"/>
      <c r="K420" s="90"/>
      <c r="L420" s="90"/>
      <c r="M420" s="90"/>
      <c r="N420" s="90"/>
      <c r="O420" s="90"/>
      <c r="P420" s="90"/>
      <c r="Q420" s="90"/>
      <c r="R420" s="90"/>
    </row>
    <row r="421" spans="1:18" ht="12.75" hidden="1" customHeight="1" x14ac:dyDescent="0.25">
      <c r="A421" s="89"/>
      <c r="E421" s="90"/>
      <c r="F421" s="90"/>
      <c r="G421" s="90"/>
      <c r="H421" s="90"/>
      <c r="I421" s="90"/>
      <c r="J421" s="90"/>
      <c r="K421" s="90"/>
      <c r="L421" s="90"/>
      <c r="M421" s="90"/>
      <c r="N421" s="90"/>
      <c r="O421" s="90"/>
      <c r="P421" s="90"/>
      <c r="Q421" s="90"/>
      <c r="R421" s="90"/>
    </row>
    <row r="422" spans="1:18" ht="12.75" hidden="1" customHeight="1" x14ac:dyDescent="0.25">
      <c r="A422" s="89"/>
      <c r="E422" s="90"/>
      <c r="F422" s="90"/>
      <c r="G422" s="90"/>
      <c r="H422" s="90"/>
      <c r="I422" s="90"/>
      <c r="J422" s="90"/>
      <c r="K422" s="90"/>
      <c r="L422" s="90"/>
      <c r="M422" s="90"/>
      <c r="N422" s="90"/>
      <c r="O422" s="90"/>
      <c r="P422" s="90"/>
      <c r="Q422" s="90"/>
      <c r="R422" s="90"/>
    </row>
    <row r="423" spans="1:18" ht="12.75" hidden="1" customHeight="1" x14ac:dyDescent="0.25">
      <c r="A423" s="89"/>
      <c r="E423" s="90"/>
      <c r="F423" s="90"/>
      <c r="G423" s="90"/>
      <c r="H423" s="90"/>
      <c r="I423" s="90"/>
      <c r="J423" s="90"/>
      <c r="K423" s="90"/>
      <c r="L423" s="90"/>
      <c r="M423" s="90"/>
      <c r="N423" s="90"/>
      <c r="O423" s="90"/>
      <c r="P423" s="90"/>
      <c r="Q423" s="90"/>
      <c r="R423" s="90"/>
    </row>
    <row r="424" spans="1:18" ht="12.75" hidden="1" customHeight="1" x14ac:dyDescent="0.25">
      <c r="A424" s="89"/>
      <c r="E424" s="90"/>
      <c r="F424" s="90"/>
      <c r="G424" s="90"/>
      <c r="H424" s="90"/>
      <c r="I424" s="90"/>
      <c r="J424" s="90"/>
      <c r="K424" s="90"/>
      <c r="L424" s="90"/>
      <c r="M424" s="90"/>
      <c r="N424" s="90"/>
      <c r="O424" s="90"/>
      <c r="P424" s="90"/>
      <c r="Q424" s="90"/>
      <c r="R424" s="90"/>
    </row>
    <row r="425" spans="1:18" ht="12.75" hidden="1" customHeight="1" x14ac:dyDescent="0.25">
      <c r="A425" s="89"/>
      <c r="E425" s="90"/>
      <c r="F425" s="90"/>
      <c r="G425" s="90"/>
      <c r="H425" s="90"/>
      <c r="I425" s="90"/>
      <c r="J425" s="90"/>
      <c r="K425" s="90"/>
      <c r="L425" s="90"/>
      <c r="M425" s="90"/>
      <c r="N425" s="90"/>
      <c r="O425" s="90"/>
      <c r="P425" s="90"/>
      <c r="Q425" s="90"/>
      <c r="R425" s="90"/>
    </row>
    <row r="426" spans="1:18" ht="12.75" hidden="1" customHeight="1" x14ac:dyDescent="0.25">
      <c r="A426" s="89"/>
      <c r="E426" s="90"/>
      <c r="F426" s="90"/>
      <c r="G426" s="90"/>
      <c r="H426" s="90"/>
      <c r="I426" s="90"/>
      <c r="J426" s="90"/>
      <c r="K426" s="90"/>
      <c r="L426" s="90"/>
      <c r="M426" s="90"/>
      <c r="N426" s="90"/>
      <c r="O426" s="90"/>
      <c r="P426" s="90"/>
      <c r="Q426" s="90"/>
      <c r="R426" s="90"/>
    </row>
    <row r="427" spans="1:18" ht="12.75" hidden="1" customHeight="1" x14ac:dyDescent="0.25">
      <c r="A427" s="89"/>
      <c r="E427" s="90"/>
      <c r="F427" s="90"/>
      <c r="G427" s="90"/>
      <c r="H427" s="90"/>
      <c r="I427" s="90"/>
      <c r="J427" s="90"/>
      <c r="K427" s="90"/>
      <c r="L427" s="90"/>
      <c r="M427" s="90"/>
      <c r="N427" s="90"/>
      <c r="O427" s="90"/>
      <c r="P427" s="90"/>
      <c r="Q427" s="90"/>
      <c r="R427" s="90"/>
    </row>
    <row r="428" spans="1:18" ht="12.75" hidden="1" customHeight="1" x14ac:dyDescent="0.25">
      <c r="A428" s="89"/>
      <c r="E428" s="90"/>
      <c r="F428" s="90"/>
      <c r="G428" s="90"/>
      <c r="H428" s="90"/>
      <c r="I428" s="90"/>
      <c r="J428" s="90"/>
      <c r="K428" s="90"/>
      <c r="L428" s="90"/>
      <c r="M428" s="90"/>
      <c r="N428" s="90"/>
      <c r="O428" s="90"/>
      <c r="P428" s="90"/>
      <c r="Q428" s="90"/>
      <c r="R428" s="90"/>
    </row>
    <row r="429" spans="1:18" ht="12.75" hidden="1" customHeight="1" x14ac:dyDescent="0.25">
      <c r="A429" s="89"/>
      <c r="E429" s="90"/>
      <c r="F429" s="90"/>
      <c r="G429" s="90"/>
      <c r="H429" s="90"/>
      <c r="I429" s="90"/>
      <c r="J429" s="90"/>
      <c r="K429" s="90"/>
      <c r="L429" s="90"/>
      <c r="M429" s="90"/>
      <c r="N429" s="90"/>
      <c r="O429" s="90"/>
      <c r="P429" s="90"/>
      <c r="Q429" s="90"/>
      <c r="R429" s="90"/>
    </row>
    <row r="430" spans="1:18" ht="12.75" hidden="1" customHeight="1" x14ac:dyDescent="0.25">
      <c r="A430" s="89"/>
      <c r="E430" s="90"/>
      <c r="F430" s="90"/>
      <c r="G430" s="90"/>
      <c r="H430" s="90"/>
      <c r="I430" s="90"/>
      <c r="J430" s="90"/>
      <c r="K430" s="90"/>
      <c r="L430" s="90"/>
      <c r="M430" s="90"/>
      <c r="N430" s="90"/>
      <c r="O430" s="90"/>
      <c r="P430" s="90"/>
      <c r="Q430" s="90"/>
      <c r="R430" s="90"/>
    </row>
    <row r="431" spans="1:18" ht="12.75" hidden="1" customHeight="1" x14ac:dyDescent="0.25">
      <c r="A431" s="89"/>
      <c r="E431" s="90"/>
      <c r="F431" s="90"/>
      <c r="G431" s="90"/>
      <c r="H431" s="90"/>
      <c r="I431" s="90"/>
      <c r="J431" s="90"/>
      <c r="K431" s="90"/>
      <c r="L431" s="90"/>
      <c r="M431" s="90"/>
      <c r="N431" s="90"/>
      <c r="O431" s="90"/>
      <c r="P431" s="90"/>
      <c r="Q431" s="90"/>
      <c r="R431" s="90"/>
    </row>
    <row r="432" spans="1:18" ht="12.75" hidden="1" customHeight="1" x14ac:dyDescent="0.25">
      <c r="A432" s="89"/>
      <c r="E432" s="90"/>
      <c r="F432" s="90"/>
      <c r="G432" s="90"/>
      <c r="H432" s="90"/>
      <c r="I432" s="90"/>
      <c r="J432" s="90"/>
      <c r="K432" s="90"/>
      <c r="L432" s="90"/>
      <c r="M432" s="90"/>
      <c r="N432" s="90"/>
      <c r="O432" s="90"/>
      <c r="P432" s="90"/>
      <c r="Q432" s="90"/>
      <c r="R432" s="90"/>
    </row>
    <row r="433" spans="1:18" ht="12.75" hidden="1" customHeight="1" x14ac:dyDescent="0.25">
      <c r="A433" s="89"/>
      <c r="E433" s="90"/>
      <c r="F433" s="90"/>
      <c r="G433" s="90"/>
      <c r="H433" s="90"/>
      <c r="I433" s="90"/>
      <c r="J433" s="90"/>
      <c r="K433" s="90"/>
      <c r="L433" s="90"/>
      <c r="M433" s="90"/>
      <c r="N433" s="90"/>
      <c r="O433" s="90"/>
      <c r="P433" s="90"/>
      <c r="Q433" s="90"/>
      <c r="R433" s="90"/>
    </row>
    <row r="434" spans="1:18" ht="12.75" hidden="1" customHeight="1" x14ac:dyDescent="0.25">
      <c r="A434" s="89"/>
      <c r="E434" s="90"/>
      <c r="F434" s="90"/>
      <c r="G434" s="90"/>
      <c r="H434" s="90"/>
      <c r="I434" s="90"/>
      <c r="J434" s="90"/>
      <c r="K434" s="90"/>
      <c r="L434" s="90"/>
      <c r="M434" s="90"/>
      <c r="N434" s="90"/>
      <c r="O434" s="90"/>
      <c r="P434" s="90"/>
      <c r="Q434" s="90"/>
      <c r="R434" s="90"/>
    </row>
    <row r="435" spans="1:18" ht="12.75" hidden="1" customHeight="1" x14ac:dyDescent="0.25">
      <c r="A435" s="89"/>
      <c r="E435" s="90"/>
      <c r="F435" s="90"/>
      <c r="G435" s="90"/>
      <c r="H435" s="90"/>
      <c r="I435" s="90"/>
      <c r="J435" s="90"/>
      <c r="K435" s="90"/>
      <c r="L435" s="90"/>
      <c r="M435" s="90"/>
      <c r="N435" s="90"/>
      <c r="O435" s="90"/>
      <c r="P435" s="90"/>
      <c r="Q435" s="90"/>
      <c r="R435" s="90"/>
    </row>
    <row r="436" spans="1:18" ht="12.75" customHeight="1" x14ac:dyDescent="0.25">
      <c r="A436" s="89"/>
      <c r="E436" s="90"/>
      <c r="F436" s="90"/>
      <c r="G436" s="90"/>
      <c r="H436" s="90"/>
      <c r="I436" s="90"/>
      <c r="J436" s="90"/>
      <c r="K436" s="90"/>
      <c r="L436" s="90"/>
      <c r="M436" s="90"/>
      <c r="N436" s="90"/>
      <c r="O436" s="90"/>
      <c r="P436" s="90"/>
      <c r="Q436" s="90"/>
      <c r="R436" s="90"/>
    </row>
    <row r="437" spans="1:18" ht="12.75" customHeight="1" x14ac:dyDescent="0.25">
      <c r="A437" s="89"/>
      <c r="E437" s="90"/>
      <c r="F437" s="90"/>
      <c r="G437" s="90"/>
      <c r="H437" s="90"/>
      <c r="I437" s="90"/>
      <c r="J437" s="90"/>
      <c r="K437" s="90"/>
      <c r="L437" s="90"/>
      <c r="M437" s="90"/>
      <c r="N437" s="90"/>
      <c r="O437" s="90"/>
      <c r="P437" s="90"/>
      <c r="Q437" s="90"/>
      <c r="R437" s="90"/>
    </row>
    <row r="438" spans="1:18" ht="12.75" customHeight="1" x14ac:dyDescent="0.25">
      <c r="B438" s="774" t="s">
        <v>2</v>
      </c>
      <c r="C438" s="771" t="s">
        <v>132</v>
      </c>
      <c r="D438" s="98" t="s">
        <v>70</v>
      </c>
      <c r="E438" s="100">
        <f>E410+E396-K396</f>
        <v>42983502.410000004</v>
      </c>
      <c r="F438" s="100">
        <f>F396</f>
        <v>3046794.96</v>
      </c>
      <c r="G438" s="100">
        <f t="shared" ref="G438:R438" si="14">G396</f>
        <v>1737546.59</v>
      </c>
      <c r="H438" s="100">
        <f t="shared" si="14"/>
        <v>808529.7</v>
      </c>
      <c r="I438" s="100">
        <f t="shared" si="14"/>
        <v>7182406.2400000002</v>
      </c>
      <c r="J438" s="100">
        <f t="shared" si="14"/>
        <v>249175.55</v>
      </c>
      <c r="K438" s="100">
        <f t="shared" si="14"/>
        <v>990006.55</v>
      </c>
      <c r="L438" s="100">
        <f t="shared" si="14"/>
        <v>2265402.94</v>
      </c>
      <c r="M438" s="100">
        <f t="shared" si="14"/>
        <v>2501140.2999999998</v>
      </c>
      <c r="N438" s="100">
        <f t="shared" si="14"/>
        <v>10769602.529999999</v>
      </c>
      <c r="O438" s="100">
        <f t="shared" si="14"/>
        <v>9260216.1500000004</v>
      </c>
      <c r="P438" s="100">
        <f t="shared" si="14"/>
        <v>352055.57</v>
      </c>
      <c r="Q438" s="100">
        <f t="shared" si="14"/>
        <v>-10.37</v>
      </c>
      <c r="R438" s="100">
        <f t="shared" si="14"/>
        <v>0</v>
      </c>
    </row>
    <row r="439" spans="1:18" ht="12.75" customHeight="1" x14ac:dyDescent="0.25">
      <c r="B439" s="774"/>
      <c r="C439" s="771"/>
      <c r="D439" s="98" t="s">
        <v>73</v>
      </c>
      <c r="E439" s="100">
        <f>E410</f>
        <v>4810642.25</v>
      </c>
      <c r="F439" s="90"/>
      <c r="G439" s="90"/>
      <c r="H439" s="90"/>
      <c r="I439" s="90"/>
      <c r="J439" s="90"/>
      <c r="K439" s="90"/>
      <c r="L439" s="90"/>
      <c r="M439" s="90"/>
      <c r="N439" s="90"/>
      <c r="O439" s="90"/>
      <c r="P439" s="90"/>
      <c r="Q439" s="90"/>
      <c r="R439" s="90"/>
    </row>
    <row r="440" spans="1:18" ht="12.75" customHeight="1" x14ac:dyDescent="0.3">
      <c r="A440" s="89"/>
      <c r="B440" s="97"/>
      <c r="E440" s="90"/>
      <c r="F440" s="90"/>
      <c r="G440" s="90"/>
      <c r="H440" s="90"/>
      <c r="I440" s="90"/>
      <c r="J440" s="90"/>
      <c r="K440" s="90"/>
      <c r="L440" s="90"/>
      <c r="M440" s="90"/>
      <c r="N440" s="90"/>
      <c r="O440" s="90"/>
      <c r="P440" s="90"/>
      <c r="Q440" s="90"/>
      <c r="R440" s="90"/>
    </row>
    <row r="441" spans="1:18" ht="12.75" customHeight="1" x14ac:dyDescent="0.25">
      <c r="B441" s="774" t="s">
        <v>160</v>
      </c>
      <c r="C441" s="771" t="s">
        <v>132</v>
      </c>
      <c r="D441" s="223" t="s">
        <v>70</v>
      </c>
      <c r="E441" s="225">
        <v>0</v>
      </c>
      <c r="F441" s="225">
        <v>0</v>
      </c>
      <c r="G441" s="225">
        <v>0</v>
      </c>
      <c r="H441" s="225">
        <v>0</v>
      </c>
      <c r="I441" s="225">
        <v>0</v>
      </c>
      <c r="J441" s="225">
        <v>0</v>
      </c>
      <c r="K441" s="225">
        <v>0</v>
      </c>
      <c r="L441" s="225">
        <v>0</v>
      </c>
      <c r="M441" s="225">
        <v>0</v>
      </c>
      <c r="N441" s="225">
        <v>0</v>
      </c>
      <c r="O441" s="225">
        <v>0</v>
      </c>
      <c r="P441" s="225">
        <v>0</v>
      </c>
      <c r="Q441" s="225">
        <v>0</v>
      </c>
      <c r="R441" s="225">
        <v>0</v>
      </c>
    </row>
    <row r="442" spans="1:18" ht="12.75" customHeight="1" x14ac:dyDescent="0.25">
      <c r="B442" s="774"/>
      <c r="C442" s="771"/>
      <c r="D442" s="223" t="s">
        <v>73</v>
      </c>
      <c r="E442" s="225">
        <v>0</v>
      </c>
      <c r="F442" s="90"/>
      <c r="G442" s="90"/>
      <c r="H442" s="90"/>
      <c r="I442" s="90"/>
      <c r="J442" s="90"/>
      <c r="K442" s="90"/>
      <c r="L442" s="90"/>
      <c r="M442" s="90"/>
      <c r="N442" s="90"/>
      <c r="O442" s="90"/>
      <c r="P442" s="90"/>
      <c r="Q442" s="90"/>
      <c r="R442" s="90"/>
    </row>
    <row r="443" spans="1:18" ht="12.75" customHeight="1" x14ac:dyDescent="0.3">
      <c r="A443" s="89"/>
      <c r="B443" s="97"/>
      <c r="E443" s="90"/>
      <c r="F443" s="90"/>
      <c r="G443" s="90"/>
      <c r="H443" s="90"/>
      <c r="I443" s="90"/>
      <c r="J443" s="90"/>
      <c r="K443" s="90"/>
      <c r="L443" s="90"/>
      <c r="M443" s="90"/>
      <c r="N443" s="90"/>
      <c r="O443" s="90"/>
      <c r="P443" s="90"/>
      <c r="Q443" s="90"/>
      <c r="R443" s="90"/>
    </row>
    <row r="444" spans="1:18" ht="12.75" customHeight="1" x14ac:dyDescent="0.25">
      <c r="B444" s="774" t="s">
        <v>155</v>
      </c>
      <c r="C444" s="771" t="s">
        <v>132</v>
      </c>
      <c r="D444" s="221" t="s">
        <v>70</v>
      </c>
      <c r="E444" s="222">
        <f>E399+E381-K381</f>
        <v>23423861.739999998</v>
      </c>
      <c r="F444" s="222">
        <f>F381</f>
        <v>1434797.19</v>
      </c>
      <c r="G444" s="222">
        <f t="shared" ref="G444:R444" si="15">G381</f>
        <v>822131.91</v>
      </c>
      <c r="H444" s="222">
        <f t="shared" si="15"/>
        <v>382101.97</v>
      </c>
      <c r="I444" s="222">
        <f t="shared" si="15"/>
        <v>4012967.88</v>
      </c>
      <c r="J444" s="222">
        <f t="shared" si="15"/>
        <v>149799.45000000001</v>
      </c>
      <c r="K444" s="222">
        <f t="shared" si="15"/>
        <v>0</v>
      </c>
      <c r="L444" s="222">
        <f t="shared" si="15"/>
        <v>1255063.1599999999</v>
      </c>
      <c r="M444" s="222">
        <f t="shared" si="15"/>
        <v>1364790.51</v>
      </c>
      <c r="N444" s="222">
        <f t="shared" si="15"/>
        <v>5825494.6100000003</v>
      </c>
      <c r="O444" s="222">
        <f t="shared" si="15"/>
        <v>4273227.9400000004</v>
      </c>
      <c r="P444" s="222">
        <f t="shared" si="15"/>
        <v>211847.59</v>
      </c>
      <c r="Q444" s="222">
        <f t="shared" si="15"/>
        <v>90.03</v>
      </c>
      <c r="R444" s="222">
        <f t="shared" si="15"/>
        <v>0</v>
      </c>
    </row>
    <row r="445" spans="1:18" ht="12.75" customHeight="1" x14ac:dyDescent="0.25">
      <c r="B445" s="774"/>
      <c r="C445" s="771"/>
      <c r="D445" s="221" t="s">
        <v>73</v>
      </c>
      <c r="E445" s="222">
        <f>E399</f>
        <v>3691549.5</v>
      </c>
      <c r="F445" s="90"/>
      <c r="G445" s="90"/>
      <c r="H445" s="90"/>
      <c r="I445" s="90"/>
      <c r="J445" s="90"/>
      <c r="K445" s="90"/>
      <c r="L445" s="90"/>
      <c r="M445" s="90"/>
      <c r="N445" s="90"/>
      <c r="O445" s="90"/>
      <c r="P445" s="90"/>
      <c r="Q445" s="90"/>
      <c r="R445" s="90"/>
    </row>
    <row r="446" spans="1:18" ht="12.75" customHeight="1" x14ac:dyDescent="0.3">
      <c r="A446" s="89"/>
      <c r="B446" s="97"/>
      <c r="E446" s="90"/>
      <c r="F446" s="90"/>
      <c r="G446" s="90"/>
      <c r="H446" s="90"/>
      <c r="I446" s="90"/>
      <c r="J446" s="90"/>
      <c r="K446" s="90"/>
      <c r="L446" s="90"/>
      <c r="M446" s="90"/>
      <c r="N446" s="90"/>
      <c r="O446" s="90"/>
      <c r="P446" s="90"/>
      <c r="Q446" s="90"/>
      <c r="R446" s="90"/>
    </row>
    <row r="447" spans="1:18" ht="12.75" customHeight="1" x14ac:dyDescent="0.25">
      <c r="B447" s="772" t="s">
        <v>328</v>
      </c>
      <c r="C447" s="771" t="s">
        <v>132</v>
      </c>
      <c r="D447" s="373" t="s">
        <v>70</v>
      </c>
      <c r="E447" s="374">
        <f>E402+E385-K385</f>
        <v>6242402.4799999995</v>
      </c>
      <c r="F447" s="374">
        <f>F385</f>
        <v>452527.33</v>
      </c>
      <c r="G447" s="374">
        <f t="shared" ref="G447:R447" si="16">G385</f>
        <v>258109.06</v>
      </c>
      <c r="H447" s="374">
        <f t="shared" si="16"/>
        <v>110591.63</v>
      </c>
      <c r="I447" s="374">
        <f t="shared" si="16"/>
        <v>1818962.03</v>
      </c>
      <c r="J447" s="374">
        <f t="shared" si="16"/>
        <v>58814.97</v>
      </c>
      <c r="K447" s="374">
        <f t="shared" si="16"/>
        <v>0</v>
      </c>
      <c r="L447" s="374">
        <f t="shared" si="16"/>
        <v>533561.96</v>
      </c>
      <c r="M447" s="374">
        <f t="shared" si="16"/>
        <v>533532.74</v>
      </c>
      <c r="N447" s="374">
        <f t="shared" si="16"/>
        <v>2380320.94</v>
      </c>
      <c r="O447" s="374">
        <f t="shared" si="16"/>
        <v>1293968.43</v>
      </c>
      <c r="P447" s="374">
        <f t="shared" si="16"/>
        <v>89200.76</v>
      </c>
      <c r="Q447" s="374">
        <f t="shared" si="16"/>
        <v>-22.21</v>
      </c>
      <c r="R447" s="374">
        <f t="shared" si="16"/>
        <v>0</v>
      </c>
    </row>
    <row r="448" spans="1:18" ht="12.75" customHeight="1" x14ac:dyDescent="0.25">
      <c r="B448" s="772"/>
      <c r="C448" s="771"/>
      <c r="D448" s="373" t="s">
        <v>73</v>
      </c>
      <c r="E448" s="374">
        <f>E402</f>
        <v>-1287165.1599999999</v>
      </c>
      <c r="F448" s="90"/>
      <c r="G448" s="90"/>
      <c r="H448" s="90"/>
      <c r="I448" s="90"/>
      <c r="J448" s="90"/>
      <c r="K448" s="90"/>
      <c r="L448" s="90"/>
      <c r="M448" s="90"/>
      <c r="N448" s="90"/>
      <c r="O448" s="90"/>
      <c r="P448" s="90"/>
      <c r="Q448" s="90"/>
      <c r="R448" s="90"/>
    </row>
    <row r="449" spans="1:18" ht="12.75" customHeight="1" x14ac:dyDescent="0.25">
      <c r="B449" s="720"/>
      <c r="C449" s="220"/>
      <c r="D449" s="89"/>
      <c r="E449" s="90"/>
      <c r="F449" s="90"/>
      <c r="G449" s="90"/>
      <c r="H449" s="90"/>
      <c r="I449" s="90"/>
      <c r="J449" s="90"/>
      <c r="K449" s="90"/>
      <c r="L449" s="90"/>
      <c r="M449" s="90"/>
      <c r="N449" s="90"/>
      <c r="O449" s="90"/>
      <c r="P449" s="90"/>
      <c r="Q449" s="90"/>
      <c r="R449" s="90"/>
    </row>
    <row r="450" spans="1:18" ht="12.75" customHeight="1" x14ac:dyDescent="0.25">
      <c r="B450" s="774" t="s">
        <v>119</v>
      </c>
      <c r="C450" s="771" t="s">
        <v>132</v>
      </c>
      <c r="D450" s="101" t="s">
        <v>70</v>
      </c>
      <c r="E450" s="93">
        <f>E395+E409-K395</f>
        <v>13317238.189999999</v>
      </c>
      <c r="F450" s="93">
        <f>F395</f>
        <v>1159470.44</v>
      </c>
      <c r="G450" s="93">
        <f t="shared" ref="G450:R450" si="17">G395</f>
        <v>657305.62</v>
      </c>
      <c r="H450" s="93">
        <f t="shared" si="17"/>
        <v>315836.09999999998</v>
      </c>
      <c r="I450" s="93">
        <f t="shared" si="17"/>
        <v>1350476.33</v>
      </c>
      <c r="J450" s="93">
        <f t="shared" si="17"/>
        <v>40561.129999999997</v>
      </c>
      <c r="K450" s="93">
        <f t="shared" si="17"/>
        <v>990006.55</v>
      </c>
      <c r="L450" s="93">
        <f t="shared" si="17"/>
        <v>476777.82</v>
      </c>
      <c r="M450" s="93">
        <f t="shared" si="17"/>
        <v>602817.05000000005</v>
      </c>
      <c r="N450" s="93">
        <f t="shared" si="17"/>
        <v>2563786.98</v>
      </c>
      <c r="O450" s="93">
        <f t="shared" si="17"/>
        <v>3693019.78</v>
      </c>
      <c r="P450" s="93">
        <f t="shared" si="17"/>
        <v>51007.22</v>
      </c>
      <c r="Q450" s="93">
        <f t="shared" si="17"/>
        <v>-78.19</v>
      </c>
      <c r="R450" s="93">
        <f t="shared" si="17"/>
        <v>0</v>
      </c>
    </row>
    <row r="451" spans="1:18" ht="12.75" customHeight="1" x14ac:dyDescent="0.25">
      <c r="B451" s="774"/>
      <c r="C451" s="771"/>
      <c r="D451" s="101" t="s">
        <v>73</v>
      </c>
      <c r="E451" s="93">
        <f>E409</f>
        <v>2406257.91</v>
      </c>
      <c r="F451" s="90"/>
      <c r="G451" s="90"/>
      <c r="H451" s="90"/>
      <c r="I451" s="90"/>
      <c r="J451" s="90"/>
      <c r="K451" s="90"/>
      <c r="L451" s="90"/>
      <c r="M451" s="90"/>
      <c r="N451" s="90"/>
      <c r="O451" s="90"/>
      <c r="P451" s="90"/>
      <c r="Q451" s="90"/>
      <c r="R451" s="90"/>
    </row>
    <row r="452" spans="1:18" ht="12.75" customHeight="1" x14ac:dyDescent="0.3">
      <c r="A452" s="89"/>
      <c r="B452" s="97"/>
      <c r="E452" s="90"/>
      <c r="F452" s="90"/>
      <c r="G452" s="90"/>
      <c r="H452" s="90"/>
      <c r="I452" s="90"/>
      <c r="J452" s="90"/>
      <c r="K452" s="90"/>
      <c r="L452" s="90"/>
      <c r="M452" s="90"/>
      <c r="N452" s="90"/>
      <c r="O452" s="90"/>
      <c r="P452" s="90"/>
      <c r="Q452" s="90"/>
      <c r="R452" s="90"/>
    </row>
    <row r="453" spans="1:18" ht="12.75" customHeight="1" x14ac:dyDescent="0.25">
      <c r="B453" s="773" t="s">
        <v>161</v>
      </c>
      <c r="C453" s="771" t="s">
        <v>132</v>
      </c>
      <c r="D453" s="231" t="s">
        <v>70</v>
      </c>
      <c r="E453" s="232">
        <v>0</v>
      </c>
      <c r="F453" s="232">
        <v>0</v>
      </c>
      <c r="G453" s="232">
        <v>0</v>
      </c>
      <c r="H453" s="232">
        <v>0</v>
      </c>
      <c r="I453" s="232">
        <v>0</v>
      </c>
      <c r="J453" s="232">
        <v>0</v>
      </c>
      <c r="K453" s="232">
        <v>0</v>
      </c>
      <c r="L453" s="232">
        <v>0</v>
      </c>
      <c r="M453" s="232">
        <v>0</v>
      </c>
      <c r="N453" s="232">
        <v>0</v>
      </c>
      <c r="O453" s="232">
        <v>0</v>
      </c>
      <c r="P453" s="232">
        <v>0</v>
      </c>
      <c r="Q453" s="232">
        <v>0</v>
      </c>
      <c r="R453" s="232">
        <v>0</v>
      </c>
    </row>
    <row r="454" spans="1:18" ht="12.75" customHeight="1" x14ac:dyDescent="0.25">
      <c r="B454" s="773"/>
      <c r="C454" s="771"/>
      <c r="D454" s="231" t="s">
        <v>73</v>
      </c>
      <c r="E454" s="232">
        <v>0</v>
      </c>
      <c r="F454" s="90"/>
      <c r="G454" s="90"/>
      <c r="H454" s="90"/>
      <c r="I454" s="90"/>
      <c r="J454" s="90"/>
      <c r="K454" s="90"/>
      <c r="L454" s="90"/>
      <c r="M454" s="90"/>
      <c r="N454" s="90"/>
      <c r="O454" s="90"/>
      <c r="P454" s="90"/>
      <c r="Q454" s="90"/>
      <c r="R454" s="90"/>
    </row>
    <row r="455" spans="1:18" s="238" customFormat="1" x14ac:dyDescent="0.25"/>
  </sheetData>
  <mergeCells count="60">
    <mergeCell ref="B55:B56"/>
    <mergeCell ref="C55:C56"/>
    <mergeCell ref="B154:B155"/>
    <mergeCell ref="C154:C155"/>
    <mergeCell ref="B58:B59"/>
    <mergeCell ref="C58:C59"/>
    <mergeCell ref="B139:B140"/>
    <mergeCell ref="C139:C140"/>
    <mergeCell ref="B142:B143"/>
    <mergeCell ref="C142:C143"/>
    <mergeCell ref="B145:B146"/>
    <mergeCell ref="C145:C146"/>
    <mergeCell ref="B151:B152"/>
    <mergeCell ref="C151:C152"/>
    <mergeCell ref="B148:B149"/>
    <mergeCell ref="C148:C149"/>
    <mergeCell ref="B43:B44"/>
    <mergeCell ref="C43:C44"/>
    <mergeCell ref="B46:B47"/>
    <mergeCell ref="C46:C47"/>
    <mergeCell ref="B52:B53"/>
    <mergeCell ref="C52:C53"/>
    <mergeCell ref="B49:B50"/>
    <mergeCell ref="C49:C50"/>
    <mergeCell ref="B256:B257"/>
    <mergeCell ref="C256:C257"/>
    <mergeCell ref="B259:B260"/>
    <mergeCell ref="C259:C260"/>
    <mergeCell ref="B262:B263"/>
    <mergeCell ref="C262:C263"/>
    <mergeCell ref="B268:B269"/>
    <mergeCell ref="C268:C269"/>
    <mergeCell ref="B265:B266"/>
    <mergeCell ref="C265:C266"/>
    <mergeCell ref="B271:B272"/>
    <mergeCell ref="C271:C272"/>
    <mergeCell ref="B358:B359"/>
    <mergeCell ref="C358:C359"/>
    <mergeCell ref="B361:B362"/>
    <mergeCell ref="C361:C362"/>
    <mergeCell ref="B364:B365"/>
    <mergeCell ref="C364:C365"/>
    <mergeCell ref="B370:B371"/>
    <mergeCell ref="C370:C371"/>
    <mergeCell ref="B373:B374"/>
    <mergeCell ref="C373:C374"/>
    <mergeCell ref="B367:B368"/>
    <mergeCell ref="C367:C368"/>
    <mergeCell ref="B438:B439"/>
    <mergeCell ref="C438:C439"/>
    <mergeCell ref="B441:B442"/>
    <mergeCell ref="C441:C442"/>
    <mergeCell ref="B444:B445"/>
    <mergeCell ref="C444:C445"/>
    <mergeCell ref="B450:B451"/>
    <mergeCell ref="C450:C451"/>
    <mergeCell ref="B453:B454"/>
    <mergeCell ref="C453:C454"/>
    <mergeCell ref="B447:B448"/>
    <mergeCell ref="C447:C448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R376"/>
  <sheetViews>
    <sheetView zoomScale="90" zoomScaleNormal="90" workbookViewId="0">
      <pane ySplit="2" topLeftCell="A3" activePane="bottomLeft" state="frozen"/>
      <selection activeCell="A6" sqref="A6"/>
      <selection pane="bottomLeft" activeCell="A3" sqref="A3"/>
    </sheetView>
  </sheetViews>
  <sheetFormatPr baseColWidth="10" defaultColWidth="11.453125" defaultRowHeight="12.5" x14ac:dyDescent="0.25"/>
  <cols>
    <col min="1" max="1" width="21.1796875" style="617" customWidth="1"/>
    <col min="2" max="2" width="19.81640625" style="617" bestFit="1" customWidth="1"/>
    <col min="3" max="3" width="24.81640625" style="617" bestFit="1" customWidth="1"/>
    <col min="4" max="4" width="23.1796875" style="617" bestFit="1" customWidth="1"/>
    <col min="5" max="5" width="15.81640625" style="617" bestFit="1" customWidth="1"/>
    <col min="6" max="6" width="15.453125" style="617" bestFit="1" customWidth="1"/>
    <col min="7" max="7" width="15.453125" style="617" customWidth="1"/>
    <col min="8" max="8" width="16.453125" style="617" bestFit="1" customWidth="1"/>
    <col min="9" max="9" width="18" style="617" bestFit="1" customWidth="1"/>
    <col min="10" max="10" width="17" style="617" bestFit="1" customWidth="1"/>
    <col min="11" max="11" width="15.54296875" style="617" bestFit="1" customWidth="1"/>
    <col min="12" max="13" width="15.81640625" style="617" bestFit="1" customWidth="1"/>
    <col min="14" max="14" width="21.453125" style="617" bestFit="1" customWidth="1"/>
    <col min="15" max="16" width="20.453125" style="617" bestFit="1" customWidth="1"/>
    <col min="17" max="17" width="20" style="617" bestFit="1" customWidth="1"/>
    <col min="18" max="16384" width="11.453125" style="617"/>
  </cols>
  <sheetData>
    <row r="1" spans="1:18" ht="13" x14ac:dyDescent="0.3">
      <c r="B1" s="618" t="s">
        <v>74</v>
      </c>
    </row>
    <row r="2" spans="1:18" ht="12.75" customHeight="1" x14ac:dyDescent="0.25">
      <c r="D2" s="619" t="s">
        <v>70</v>
      </c>
      <c r="E2" s="619" t="s">
        <v>64</v>
      </c>
      <c r="F2" s="619" t="s">
        <v>65</v>
      </c>
      <c r="G2" s="620" t="s">
        <v>164</v>
      </c>
      <c r="H2" s="619" t="s">
        <v>69</v>
      </c>
      <c r="I2" s="619" t="s">
        <v>68</v>
      </c>
      <c r="J2" s="619" t="s">
        <v>66</v>
      </c>
      <c r="K2" s="619" t="s">
        <v>63</v>
      </c>
      <c r="L2" s="619" t="s">
        <v>61</v>
      </c>
      <c r="M2" s="619" t="s">
        <v>62</v>
      </c>
      <c r="N2" s="619" t="s">
        <v>67</v>
      </c>
      <c r="O2" s="619" t="s">
        <v>77</v>
      </c>
      <c r="P2" s="617" t="s">
        <v>71</v>
      </c>
      <c r="Q2" s="619" t="s">
        <v>80</v>
      </c>
      <c r="R2" s="617" t="s">
        <v>168</v>
      </c>
    </row>
    <row r="3" spans="1:18" ht="12.65" customHeight="1" x14ac:dyDescent="0.25">
      <c r="C3" s="617" t="s">
        <v>72</v>
      </c>
      <c r="D3" s="619">
        <v>-15794348.210000001</v>
      </c>
      <c r="E3" s="619">
        <v>-792653.97</v>
      </c>
      <c r="F3" s="619">
        <v>-443520.95</v>
      </c>
      <c r="G3" s="621">
        <v>-235150.45</v>
      </c>
      <c r="H3" s="619">
        <v>-3808729.66</v>
      </c>
      <c r="I3" s="619">
        <v>-139986.99</v>
      </c>
      <c r="J3" s="619">
        <v>-1241530.57</v>
      </c>
      <c r="K3" s="619">
        <v>-1202003.46</v>
      </c>
      <c r="L3" s="619">
        <v>-5520144.8200000003</v>
      </c>
      <c r="M3" s="619">
        <v>-2181286.4300000002</v>
      </c>
      <c r="N3" s="619">
        <v>-229451.13</v>
      </c>
      <c r="O3" s="619">
        <v>110.22</v>
      </c>
      <c r="P3" s="619">
        <v>0</v>
      </c>
      <c r="Q3" s="619">
        <v>0</v>
      </c>
      <c r="R3" s="617">
        <v>0</v>
      </c>
    </row>
    <row r="4" spans="1:18" ht="12.65" customHeight="1" x14ac:dyDescent="0.25">
      <c r="C4" s="617" t="s">
        <v>81</v>
      </c>
      <c r="D4" s="621">
        <v>-23575</v>
      </c>
      <c r="E4" s="619">
        <v>-1070.04</v>
      </c>
      <c r="F4" s="619">
        <v>-517.29999999999995</v>
      </c>
      <c r="G4" s="621">
        <v>-287.08999999999997</v>
      </c>
      <c r="H4" s="619">
        <v>-5416.02</v>
      </c>
      <c r="I4" s="619">
        <v>-247.11</v>
      </c>
      <c r="J4" s="619">
        <v>-2165.6999999999998</v>
      </c>
      <c r="K4" s="619">
        <v>-1867.54</v>
      </c>
      <c r="L4" s="619">
        <v>-8699.17</v>
      </c>
      <c r="M4" s="619">
        <v>-2902.92</v>
      </c>
      <c r="N4" s="619">
        <v>-402.93</v>
      </c>
      <c r="O4" s="619">
        <v>0.82</v>
      </c>
      <c r="P4" s="619">
        <v>0</v>
      </c>
      <c r="Q4" s="619">
        <v>0</v>
      </c>
      <c r="R4" s="617">
        <v>0</v>
      </c>
    </row>
    <row r="5" spans="1:18" s="622" customFormat="1" ht="12.75" customHeight="1" x14ac:dyDescent="0.25">
      <c r="B5" s="623" t="s">
        <v>78</v>
      </c>
      <c r="C5" s="623" t="s">
        <v>70</v>
      </c>
      <c r="D5" s="623">
        <v>-15817923.210000001</v>
      </c>
      <c r="E5" s="623">
        <v>-793724.01</v>
      </c>
      <c r="F5" s="623">
        <v>-444038.25</v>
      </c>
      <c r="G5" s="623">
        <v>-235437.54</v>
      </c>
      <c r="H5" s="623">
        <v>-3814145.68</v>
      </c>
      <c r="I5" s="623">
        <v>-140234.1</v>
      </c>
      <c r="J5" s="623">
        <v>-1243696.27</v>
      </c>
      <c r="K5" s="623">
        <v>-1203871</v>
      </c>
      <c r="L5" s="623">
        <v>-5528843.9900000002</v>
      </c>
      <c r="M5" s="623">
        <v>-2184189.35</v>
      </c>
      <c r="N5" s="623">
        <v>-229854.06</v>
      </c>
      <c r="O5" s="623">
        <v>111.04</v>
      </c>
      <c r="P5" s="622">
        <v>0</v>
      </c>
      <c r="Q5" s="623">
        <v>0</v>
      </c>
      <c r="R5" s="623">
        <v>0</v>
      </c>
    </row>
    <row r="6" spans="1:18" ht="12.75" customHeight="1" x14ac:dyDescent="0.25">
      <c r="C6" s="617" t="s">
        <v>73</v>
      </c>
      <c r="D6" s="619">
        <v>283961.51</v>
      </c>
      <c r="E6" s="619">
        <v>-50016.63</v>
      </c>
      <c r="F6" s="619">
        <v>-28439.29</v>
      </c>
      <c r="G6" s="621">
        <v>-8473.6</v>
      </c>
      <c r="H6" s="619">
        <v>123071.72</v>
      </c>
      <c r="I6" s="619">
        <v>6856.23</v>
      </c>
      <c r="J6" s="619">
        <v>57818.27</v>
      </c>
      <c r="K6" s="619">
        <v>55412.62</v>
      </c>
      <c r="L6" s="619">
        <v>258242.83</v>
      </c>
      <c r="M6" s="619">
        <v>-141530</v>
      </c>
      <c r="N6" s="619">
        <v>11019.36</v>
      </c>
      <c r="O6" s="619">
        <v>0</v>
      </c>
      <c r="P6" s="619">
        <v>0</v>
      </c>
      <c r="Q6" s="619">
        <v>0</v>
      </c>
      <c r="R6" s="617">
        <v>0</v>
      </c>
    </row>
    <row r="7" spans="1:18" s="624" customFormat="1" ht="12.75" customHeight="1" x14ac:dyDescent="0.25">
      <c r="B7" s="625" t="s">
        <v>79</v>
      </c>
      <c r="C7" s="625" t="s">
        <v>70</v>
      </c>
      <c r="D7" s="625">
        <v>283961.51</v>
      </c>
      <c r="E7" s="625">
        <v>-50016.63</v>
      </c>
      <c r="F7" s="625">
        <v>-28439.29</v>
      </c>
      <c r="G7" s="625">
        <v>-8473.6</v>
      </c>
      <c r="H7" s="625">
        <v>123071.72</v>
      </c>
      <c r="I7" s="625">
        <v>6856.23</v>
      </c>
      <c r="J7" s="625">
        <v>57818.27</v>
      </c>
      <c r="K7" s="625">
        <v>55412.62</v>
      </c>
      <c r="L7" s="625">
        <v>258242.83</v>
      </c>
      <c r="M7" s="625">
        <v>-141530</v>
      </c>
      <c r="N7" s="625">
        <v>11019.36</v>
      </c>
      <c r="O7" s="625">
        <v>0</v>
      </c>
      <c r="P7" s="624">
        <v>0</v>
      </c>
      <c r="Q7" s="625">
        <v>0</v>
      </c>
      <c r="R7" s="625">
        <v>0</v>
      </c>
    </row>
    <row r="8" spans="1:18" s="626" customFormat="1" ht="12.75" customHeight="1" x14ac:dyDescent="0.25">
      <c r="A8" s="626" t="s">
        <v>155</v>
      </c>
      <c r="B8" s="626" t="s">
        <v>70</v>
      </c>
      <c r="D8" s="627">
        <v>-15533961.699999999</v>
      </c>
      <c r="E8" s="627">
        <v>-843740.64</v>
      </c>
      <c r="F8" s="627">
        <v>-472477.54</v>
      </c>
      <c r="G8" s="628">
        <v>-243911.14</v>
      </c>
      <c r="H8" s="627">
        <v>-3691073.96</v>
      </c>
      <c r="I8" s="627">
        <v>-133377.87</v>
      </c>
      <c r="J8" s="627">
        <v>-1185878</v>
      </c>
      <c r="K8" s="627">
        <v>-1148458.3799999999</v>
      </c>
      <c r="L8" s="627">
        <v>-5270601.16</v>
      </c>
      <c r="M8" s="627">
        <v>-2325719.35</v>
      </c>
      <c r="N8" s="627">
        <v>-218834.7</v>
      </c>
      <c r="O8" s="627">
        <v>111.04</v>
      </c>
      <c r="P8" s="627">
        <v>0</v>
      </c>
      <c r="Q8" s="627">
        <v>0</v>
      </c>
      <c r="R8" s="626">
        <v>0</v>
      </c>
    </row>
    <row r="9" spans="1:18" ht="12.75" customHeight="1" x14ac:dyDescent="0.25">
      <c r="C9" s="617" t="s">
        <v>72</v>
      </c>
      <c r="D9" s="619">
        <v>-762167.27</v>
      </c>
      <c r="E9" s="619">
        <v>-48309.04</v>
      </c>
      <c r="F9" s="619">
        <v>-26455.25</v>
      </c>
      <c r="G9" s="621">
        <v>-13891.43</v>
      </c>
      <c r="H9" s="619">
        <v>-192277.47</v>
      </c>
      <c r="I9" s="619">
        <v>-4768.8500000000004</v>
      </c>
      <c r="J9" s="619">
        <v>-58119.3</v>
      </c>
      <c r="K9" s="619">
        <v>-51919.38</v>
      </c>
      <c r="L9" s="619">
        <v>-246558.5</v>
      </c>
      <c r="M9" s="619">
        <v>-112077.14</v>
      </c>
      <c r="N9" s="619">
        <v>-7780.61</v>
      </c>
      <c r="O9" s="619">
        <v>-10.3</v>
      </c>
      <c r="P9" s="619">
        <v>0</v>
      </c>
      <c r="Q9" s="619">
        <v>0</v>
      </c>
      <c r="R9" s="617">
        <v>0</v>
      </c>
    </row>
    <row r="10" spans="1:18" ht="12.75" customHeight="1" x14ac:dyDescent="0.25">
      <c r="C10" s="617" t="s">
        <v>81</v>
      </c>
      <c r="D10" s="619">
        <v>-177.06</v>
      </c>
      <c r="E10" s="619">
        <v>-11.22</v>
      </c>
      <c r="F10" s="619">
        <v>-6.34</v>
      </c>
      <c r="G10" s="621">
        <v>-3.35</v>
      </c>
      <c r="H10" s="619">
        <v>-43.6</v>
      </c>
      <c r="I10" s="619">
        <v>-1.05</v>
      </c>
      <c r="J10" s="619">
        <v>-9.24</v>
      </c>
      <c r="K10" s="619">
        <v>-12.57</v>
      </c>
      <c r="L10" s="619">
        <v>-57.05</v>
      </c>
      <c r="M10" s="619">
        <v>-30.93</v>
      </c>
      <c r="N10" s="619">
        <v>-1.71</v>
      </c>
      <c r="O10" s="619">
        <v>0</v>
      </c>
      <c r="P10" s="619">
        <v>0</v>
      </c>
      <c r="Q10" s="619">
        <v>0</v>
      </c>
      <c r="R10" s="617">
        <v>0</v>
      </c>
    </row>
    <row r="11" spans="1:18" s="622" customFormat="1" ht="12.75" customHeight="1" x14ac:dyDescent="0.25">
      <c r="B11" s="623" t="s">
        <v>78</v>
      </c>
      <c r="C11" s="623" t="s">
        <v>70</v>
      </c>
      <c r="D11" s="623">
        <v>-762344.33</v>
      </c>
      <c r="E11" s="623">
        <v>-48320.26</v>
      </c>
      <c r="F11" s="623">
        <v>-26461.59</v>
      </c>
      <c r="G11" s="623">
        <v>-13894.78</v>
      </c>
      <c r="H11" s="623">
        <v>-192321.07</v>
      </c>
      <c r="I11" s="623">
        <v>-4769.8999999999996</v>
      </c>
      <c r="J11" s="623">
        <v>-58128.54</v>
      </c>
      <c r="K11" s="623">
        <v>-51931.95</v>
      </c>
      <c r="L11" s="623">
        <v>-246615.55</v>
      </c>
      <c r="M11" s="623">
        <v>-112108.07</v>
      </c>
      <c r="N11" s="623">
        <v>-7782.32</v>
      </c>
      <c r="O11" s="623">
        <v>-10.3</v>
      </c>
      <c r="P11" s="622">
        <v>0</v>
      </c>
      <c r="Q11" s="623">
        <v>0</v>
      </c>
      <c r="R11" s="623">
        <v>0</v>
      </c>
    </row>
    <row r="12" spans="1:18" ht="12.75" customHeight="1" x14ac:dyDescent="0.25">
      <c r="C12" s="617" t="s">
        <v>73</v>
      </c>
      <c r="D12" s="619">
        <v>-240407.06</v>
      </c>
      <c r="E12" s="619">
        <v>-14057.56</v>
      </c>
      <c r="F12" s="619">
        <v>-7937.89</v>
      </c>
      <c r="G12" s="621">
        <v>-4170.17</v>
      </c>
      <c r="H12" s="619">
        <v>-58249.85</v>
      </c>
      <c r="I12" s="619">
        <v>-1605.37</v>
      </c>
      <c r="J12" s="619">
        <v>-14082</v>
      </c>
      <c r="K12" s="619">
        <v>-17535.88</v>
      </c>
      <c r="L12" s="619">
        <v>-81716.350000000006</v>
      </c>
      <c r="M12" s="619">
        <v>-38432.730000000003</v>
      </c>
      <c r="N12" s="619">
        <v>-2619.2600000000002</v>
      </c>
      <c r="O12" s="619">
        <v>0</v>
      </c>
      <c r="P12" s="619">
        <v>0</v>
      </c>
      <c r="Q12" s="619">
        <v>0</v>
      </c>
      <c r="R12" s="617">
        <v>0</v>
      </c>
    </row>
    <row r="13" spans="1:18" s="624" customFormat="1" ht="12.75" customHeight="1" x14ac:dyDescent="0.25">
      <c r="B13" s="625" t="s">
        <v>79</v>
      </c>
      <c r="C13" s="625" t="s">
        <v>70</v>
      </c>
      <c r="D13" s="625">
        <v>-240407.06</v>
      </c>
      <c r="E13" s="625">
        <v>-14057.56</v>
      </c>
      <c r="F13" s="625">
        <v>-7937.89</v>
      </c>
      <c r="G13" s="625">
        <v>-4170.17</v>
      </c>
      <c r="H13" s="625">
        <v>-58249.85</v>
      </c>
      <c r="I13" s="625">
        <v>-1605.37</v>
      </c>
      <c r="J13" s="625">
        <v>-14082</v>
      </c>
      <c r="K13" s="625">
        <v>-17535.88</v>
      </c>
      <c r="L13" s="625">
        <v>-81716.350000000006</v>
      </c>
      <c r="M13" s="625">
        <v>-38432.730000000003</v>
      </c>
      <c r="N13" s="625">
        <v>-2619.2600000000002</v>
      </c>
      <c r="O13" s="625">
        <v>0</v>
      </c>
      <c r="P13" s="624">
        <v>0</v>
      </c>
      <c r="Q13" s="625">
        <v>0</v>
      </c>
      <c r="R13" s="625">
        <v>0</v>
      </c>
    </row>
    <row r="14" spans="1:18" s="755" customFormat="1" ht="12.75" customHeight="1" x14ac:dyDescent="0.25">
      <c r="A14" s="755" t="s">
        <v>119</v>
      </c>
      <c r="B14" s="755" t="s">
        <v>70</v>
      </c>
      <c r="D14" s="629">
        <v>-1002751.39</v>
      </c>
      <c r="E14" s="629">
        <v>-62377.82</v>
      </c>
      <c r="F14" s="629">
        <v>-34399.480000000003</v>
      </c>
      <c r="G14" s="630">
        <v>-18064.95</v>
      </c>
      <c r="H14" s="629">
        <v>-250570.92</v>
      </c>
      <c r="I14" s="629">
        <v>-6375.27</v>
      </c>
      <c r="J14" s="629">
        <v>-72210.539999999994</v>
      </c>
      <c r="K14" s="629">
        <v>-69467.83</v>
      </c>
      <c r="L14" s="629">
        <v>-328331.90000000002</v>
      </c>
      <c r="M14" s="629">
        <v>-150540.79999999999</v>
      </c>
      <c r="N14" s="629">
        <v>-10401.58</v>
      </c>
      <c r="O14" s="629">
        <v>-10.3</v>
      </c>
      <c r="P14" s="629">
        <v>0</v>
      </c>
      <c r="Q14" s="629">
        <v>0</v>
      </c>
      <c r="R14" s="755">
        <v>0</v>
      </c>
    </row>
    <row r="15" spans="1:18" s="632" customFormat="1" ht="12.75" customHeight="1" x14ac:dyDescent="0.25">
      <c r="A15" s="631" t="s">
        <v>70</v>
      </c>
      <c r="D15" s="631">
        <v>-16536713.09</v>
      </c>
      <c r="E15" s="631">
        <v>-906118.46</v>
      </c>
      <c r="F15" s="631">
        <v>-506877.02</v>
      </c>
      <c r="G15" s="631">
        <v>-261976.09</v>
      </c>
      <c r="H15" s="631">
        <v>-3941644.88</v>
      </c>
      <c r="I15" s="631">
        <v>-139753.14000000001</v>
      </c>
      <c r="J15" s="631">
        <v>-1258088.54</v>
      </c>
      <c r="K15" s="631">
        <v>-1217926.21</v>
      </c>
      <c r="L15" s="631">
        <v>-5598933.0599999996</v>
      </c>
      <c r="M15" s="631">
        <v>-2476260.15</v>
      </c>
      <c r="N15" s="631">
        <v>-229236.28</v>
      </c>
      <c r="O15" s="631">
        <v>100.74</v>
      </c>
      <c r="P15" s="632">
        <v>0</v>
      </c>
      <c r="Q15" s="631">
        <v>0</v>
      </c>
      <c r="R15" s="631">
        <v>0</v>
      </c>
    </row>
    <row r="16" spans="1:18" ht="12.75" customHeight="1" x14ac:dyDescent="0.25">
      <c r="A16" s="619"/>
      <c r="D16" s="619"/>
      <c r="E16" s="619"/>
      <c r="F16" s="619"/>
      <c r="G16" s="619"/>
      <c r="H16" s="619"/>
      <c r="I16" s="619"/>
      <c r="J16" s="619"/>
      <c r="K16" s="619"/>
      <c r="L16" s="619"/>
      <c r="M16" s="619"/>
      <c r="N16" s="619"/>
      <c r="O16" s="619"/>
    </row>
    <row r="17" spans="1:15" ht="12.75" customHeight="1" x14ac:dyDescent="0.25">
      <c r="A17" s="619"/>
      <c r="D17" s="619"/>
      <c r="E17" s="619"/>
      <c r="F17" s="619"/>
      <c r="G17" s="619"/>
      <c r="H17" s="619"/>
      <c r="I17" s="619"/>
      <c r="J17" s="619"/>
      <c r="K17" s="619"/>
      <c r="L17" s="619"/>
      <c r="M17" s="619"/>
      <c r="N17" s="619"/>
      <c r="O17" s="619"/>
    </row>
    <row r="18" spans="1:15" ht="12.75" hidden="1" customHeight="1" x14ac:dyDescent="0.25">
      <c r="A18" s="619"/>
      <c r="D18" s="619"/>
      <c r="E18" s="619"/>
      <c r="F18" s="619"/>
      <c r="G18" s="619"/>
      <c r="H18" s="619"/>
      <c r="I18" s="619"/>
      <c r="J18" s="619"/>
      <c r="K18" s="619"/>
      <c r="L18" s="619"/>
      <c r="M18" s="619"/>
      <c r="N18" s="619"/>
      <c r="O18" s="619"/>
    </row>
    <row r="19" spans="1:15" ht="12.75" hidden="1" customHeight="1" x14ac:dyDescent="0.25">
      <c r="A19" s="619"/>
      <c r="D19" s="619"/>
      <c r="E19" s="619"/>
      <c r="F19" s="619"/>
      <c r="G19" s="619"/>
      <c r="H19" s="619"/>
      <c r="I19" s="619"/>
      <c r="J19" s="619"/>
      <c r="K19" s="619"/>
      <c r="L19" s="619"/>
      <c r="M19" s="619"/>
      <c r="N19" s="619"/>
      <c r="O19" s="619"/>
    </row>
    <row r="20" spans="1:15" ht="12.75" hidden="1" customHeight="1" x14ac:dyDescent="0.25">
      <c r="A20" s="619"/>
      <c r="D20" s="619"/>
      <c r="E20" s="619"/>
      <c r="F20" s="619"/>
      <c r="G20" s="619"/>
      <c r="H20" s="619"/>
      <c r="I20" s="619"/>
      <c r="J20" s="619"/>
      <c r="K20" s="619"/>
      <c r="L20" s="619"/>
      <c r="M20" s="619"/>
      <c r="N20" s="619"/>
      <c r="O20" s="619"/>
    </row>
    <row r="21" spans="1:15" ht="12.75" hidden="1" customHeight="1" x14ac:dyDescent="0.25">
      <c r="A21" s="619"/>
      <c r="D21" s="619"/>
      <c r="E21" s="619"/>
      <c r="F21" s="619"/>
      <c r="G21" s="619"/>
      <c r="H21" s="619"/>
      <c r="I21" s="619"/>
      <c r="J21" s="619"/>
      <c r="K21" s="619"/>
      <c r="L21" s="619"/>
      <c r="M21" s="619"/>
      <c r="N21" s="619"/>
      <c r="O21" s="619"/>
    </row>
    <row r="22" spans="1:15" ht="12.75" hidden="1" customHeight="1" x14ac:dyDescent="0.25">
      <c r="A22" s="619"/>
      <c r="D22" s="619"/>
      <c r="E22" s="619"/>
      <c r="F22" s="619"/>
      <c r="G22" s="619"/>
      <c r="H22" s="619"/>
      <c r="I22" s="619"/>
      <c r="J22" s="619"/>
      <c r="K22" s="619"/>
      <c r="L22" s="619"/>
      <c r="M22" s="619"/>
      <c r="N22" s="619"/>
      <c r="O22" s="619"/>
    </row>
    <row r="23" spans="1:15" ht="12.75" hidden="1" customHeight="1" x14ac:dyDescent="0.25">
      <c r="A23" s="619"/>
      <c r="D23" s="619"/>
      <c r="E23" s="619"/>
      <c r="F23" s="619"/>
      <c r="G23" s="619"/>
      <c r="H23" s="619"/>
      <c r="I23" s="619"/>
      <c r="J23" s="619"/>
      <c r="K23" s="619"/>
      <c r="L23" s="619"/>
      <c r="M23" s="619"/>
      <c r="N23" s="619"/>
      <c r="O23" s="619"/>
    </row>
    <row r="24" spans="1:15" ht="12.75" hidden="1" customHeight="1" x14ac:dyDescent="0.25">
      <c r="A24" s="619"/>
      <c r="D24" s="619"/>
      <c r="E24" s="619"/>
      <c r="F24" s="619"/>
      <c r="G24" s="619"/>
      <c r="H24" s="619"/>
      <c r="I24" s="619"/>
      <c r="J24" s="619"/>
      <c r="K24" s="619"/>
      <c r="L24" s="619"/>
      <c r="M24" s="619"/>
      <c r="N24" s="619"/>
      <c r="O24" s="619"/>
    </row>
    <row r="25" spans="1:15" ht="12.75" hidden="1" customHeight="1" x14ac:dyDescent="0.25">
      <c r="A25" s="619"/>
      <c r="D25" s="619"/>
      <c r="E25" s="619"/>
      <c r="F25" s="619"/>
      <c r="G25" s="619"/>
      <c r="H25" s="619"/>
      <c r="I25" s="619"/>
      <c r="J25" s="619"/>
      <c r="K25" s="619"/>
      <c r="L25" s="619"/>
      <c r="M25" s="619"/>
      <c r="N25" s="619"/>
      <c r="O25" s="619"/>
    </row>
    <row r="26" spans="1:15" ht="12.75" hidden="1" customHeight="1" x14ac:dyDescent="0.25">
      <c r="A26" s="619"/>
      <c r="D26" s="619"/>
      <c r="E26" s="619"/>
      <c r="F26" s="619"/>
      <c r="G26" s="619"/>
      <c r="H26" s="619"/>
      <c r="I26" s="619"/>
      <c r="J26" s="619"/>
      <c r="K26" s="619"/>
      <c r="L26" s="619"/>
      <c r="M26" s="619"/>
      <c r="N26" s="619"/>
      <c r="O26" s="619"/>
    </row>
    <row r="27" spans="1:15" ht="12.75" hidden="1" customHeight="1" x14ac:dyDescent="0.25">
      <c r="A27" s="619"/>
      <c r="D27" s="619"/>
      <c r="E27" s="619"/>
      <c r="F27" s="619"/>
      <c r="G27" s="619"/>
      <c r="H27" s="619"/>
      <c r="I27" s="619"/>
      <c r="J27" s="619"/>
      <c r="K27" s="619"/>
      <c r="L27" s="619"/>
      <c r="M27" s="619"/>
      <c r="N27" s="619"/>
      <c r="O27" s="619"/>
    </row>
    <row r="28" spans="1:15" ht="12.75" hidden="1" customHeight="1" x14ac:dyDescent="0.25">
      <c r="A28" s="619"/>
      <c r="D28" s="619"/>
      <c r="E28" s="619"/>
      <c r="F28" s="619"/>
      <c r="G28" s="619"/>
      <c r="H28" s="619"/>
      <c r="I28" s="619"/>
      <c r="J28" s="619"/>
      <c r="K28" s="619"/>
      <c r="L28" s="619"/>
      <c r="M28" s="619"/>
      <c r="N28" s="619"/>
      <c r="O28" s="619"/>
    </row>
    <row r="29" spans="1:15" ht="12.75" hidden="1" customHeight="1" x14ac:dyDescent="0.25">
      <c r="A29" s="619"/>
      <c r="D29" s="619"/>
      <c r="E29" s="619"/>
      <c r="F29" s="619"/>
      <c r="G29" s="619"/>
      <c r="H29" s="619"/>
      <c r="I29" s="619"/>
      <c r="J29" s="619"/>
      <c r="K29" s="619"/>
      <c r="L29" s="619"/>
      <c r="M29" s="619"/>
      <c r="N29" s="619"/>
      <c r="O29" s="619"/>
    </row>
    <row r="30" spans="1:15" ht="12.75" hidden="1" customHeight="1" x14ac:dyDescent="0.25">
      <c r="A30" s="619"/>
      <c r="D30" s="619"/>
      <c r="E30" s="619"/>
      <c r="F30" s="619"/>
      <c r="G30" s="619"/>
      <c r="H30" s="619"/>
      <c r="I30" s="619"/>
      <c r="J30" s="619"/>
      <c r="K30" s="619"/>
      <c r="L30" s="619"/>
      <c r="M30" s="619"/>
      <c r="N30" s="619"/>
      <c r="O30" s="619"/>
    </row>
    <row r="31" spans="1:15" ht="12.75" hidden="1" customHeight="1" x14ac:dyDescent="0.25">
      <c r="A31" s="619"/>
      <c r="D31" s="619"/>
      <c r="E31" s="619"/>
      <c r="F31" s="619"/>
      <c r="G31" s="619"/>
      <c r="H31" s="619"/>
      <c r="I31" s="619"/>
      <c r="J31" s="619"/>
      <c r="K31" s="619"/>
      <c r="L31" s="619"/>
      <c r="M31" s="619"/>
      <c r="N31" s="619"/>
      <c r="O31" s="619"/>
    </row>
    <row r="32" spans="1:15" ht="12.75" hidden="1" customHeight="1" x14ac:dyDescent="0.25">
      <c r="A32" s="619"/>
      <c r="D32" s="619"/>
      <c r="E32" s="619"/>
      <c r="F32" s="619"/>
      <c r="G32" s="619"/>
      <c r="H32" s="619"/>
      <c r="I32" s="619"/>
      <c r="J32" s="619"/>
      <c r="K32" s="619"/>
      <c r="L32" s="619"/>
      <c r="M32" s="619"/>
      <c r="N32" s="619"/>
      <c r="O32" s="619"/>
    </row>
    <row r="33" spans="1:15" ht="12.75" hidden="1" customHeight="1" x14ac:dyDescent="0.25">
      <c r="A33" s="619"/>
      <c r="D33" s="619"/>
      <c r="E33" s="619"/>
      <c r="F33" s="619"/>
      <c r="G33" s="619"/>
      <c r="H33" s="619"/>
      <c r="I33" s="619"/>
      <c r="J33" s="619"/>
      <c r="K33" s="619"/>
      <c r="L33" s="619"/>
      <c r="M33" s="619"/>
      <c r="N33" s="619"/>
      <c r="O33" s="619"/>
    </row>
    <row r="34" spans="1:15" ht="12.75" hidden="1" customHeight="1" x14ac:dyDescent="0.25">
      <c r="A34" s="619"/>
      <c r="D34" s="619"/>
      <c r="E34" s="619"/>
      <c r="F34" s="619"/>
      <c r="G34" s="619"/>
      <c r="H34" s="619"/>
      <c r="I34" s="619"/>
      <c r="J34" s="619"/>
      <c r="K34" s="619"/>
      <c r="L34" s="619"/>
      <c r="M34" s="619"/>
      <c r="N34" s="619"/>
      <c r="O34" s="619"/>
    </row>
    <row r="35" spans="1:15" ht="12.75" hidden="1" customHeight="1" x14ac:dyDescent="0.25">
      <c r="A35" s="619"/>
      <c r="D35" s="619"/>
      <c r="E35" s="619"/>
      <c r="F35" s="619"/>
      <c r="G35" s="619"/>
      <c r="H35" s="619"/>
      <c r="I35" s="619"/>
      <c r="J35" s="619"/>
      <c r="K35" s="619"/>
      <c r="L35" s="619"/>
      <c r="M35" s="619"/>
      <c r="N35" s="619"/>
      <c r="O35" s="619"/>
    </row>
    <row r="36" spans="1:15" ht="12.75" hidden="1" customHeight="1" x14ac:dyDescent="0.25">
      <c r="A36" s="619"/>
      <c r="D36" s="619"/>
      <c r="E36" s="619"/>
      <c r="F36" s="619"/>
      <c r="G36" s="619"/>
      <c r="H36" s="619"/>
      <c r="I36" s="619"/>
      <c r="J36" s="619"/>
      <c r="K36" s="619"/>
      <c r="L36" s="619"/>
      <c r="M36" s="619"/>
      <c r="N36" s="619"/>
      <c r="O36" s="619"/>
    </row>
    <row r="37" spans="1:15" ht="12.75" hidden="1" customHeight="1" x14ac:dyDescent="0.25">
      <c r="A37" s="619"/>
      <c r="D37" s="619"/>
      <c r="E37" s="619"/>
      <c r="F37" s="619"/>
      <c r="G37" s="619"/>
      <c r="H37" s="619"/>
      <c r="I37" s="619"/>
      <c r="J37" s="619"/>
      <c r="K37" s="619"/>
      <c r="L37" s="619"/>
      <c r="M37" s="619"/>
      <c r="N37" s="619"/>
      <c r="O37" s="619"/>
    </row>
    <row r="38" spans="1:15" ht="12.75" hidden="1" customHeight="1" x14ac:dyDescent="0.25">
      <c r="A38" s="619"/>
      <c r="D38" s="619"/>
      <c r="E38" s="619"/>
      <c r="F38" s="619"/>
      <c r="G38" s="619"/>
      <c r="H38" s="619"/>
      <c r="I38" s="619"/>
      <c r="J38" s="619"/>
      <c r="K38" s="619"/>
      <c r="L38" s="619"/>
      <c r="M38" s="619"/>
      <c r="N38" s="619"/>
      <c r="O38" s="619"/>
    </row>
    <row r="39" spans="1:15" ht="12.75" hidden="1" customHeight="1" x14ac:dyDescent="0.25">
      <c r="A39" s="619"/>
      <c r="D39" s="619"/>
      <c r="E39" s="619"/>
      <c r="F39" s="619"/>
      <c r="G39" s="619"/>
      <c r="H39" s="619"/>
      <c r="I39" s="619"/>
      <c r="J39" s="619"/>
      <c r="K39" s="619"/>
      <c r="L39" s="619"/>
      <c r="M39" s="619"/>
      <c r="N39" s="619"/>
      <c r="O39" s="619"/>
    </row>
    <row r="40" spans="1:15" ht="12.75" hidden="1" customHeight="1" x14ac:dyDescent="0.25">
      <c r="A40" s="619"/>
      <c r="D40" s="619"/>
      <c r="E40" s="619"/>
      <c r="F40" s="619"/>
      <c r="G40" s="619"/>
      <c r="H40" s="619"/>
      <c r="I40" s="619"/>
      <c r="J40" s="619"/>
      <c r="K40" s="619"/>
      <c r="L40" s="619"/>
      <c r="M40" s="619"/>
      <c r="N40" s="619"/>
      <c r="O40" s="619"/>
    </row>
    <row r="41" spans="1:15" ht="12.75" hidden="1" customHeight="1" x14ac:dyDescent="0.25">
      <c r="A41" s="619"/>
      <c r="D41" s="619"/>
      <c r="E41" s="619"/>
      <c r="F41" s="619"/>
      <c r="G41" s="619"/>
      <c r="H41" s="619"/>
      <c r="I41" s="619"/>
      <c r="J41" s="619"/>
      <c r="K41" s="619"/>
      <c r="L41" s="619"/>
      <c r="M41" s="619"/>
      <c r="N41" s="619"/>
      <c r="O41" s="619"/>
    </row>
    <row r="42" spans="1:15" ht="12.75" hidden="1" customHeight="1" x14ac:dyDescent="0.25">
      <c r="A42" s="619"/>
      <c r="D42" s="619"/>
      <c r="E42" s="619"/>
      <c r="F42" s="619"/>
      <c r="G42" s="619"/>
      <c r="H42" s="619"/>
      <c r="I42" s="619"/>
      <c r="J42" s="619"/>
      <c r="K42" s="619"/>
      <c r="L42" s="619"/>
      <c r="M42" s="619"/>
      <c r="N42" s="619"/>
      <c r="O42" s="619"/>
    </row>
    <row r="43" spans="1:15" ht="12.75" hidden="1" customHeight="1" x14ac:dyDescent="0.25">
      <c r="A43" s="619"/>
      <c r="D43" s="619"/>
      <c r="E43" s="619"/>
      <c r="F43" s="619"/>
      <c r="G43" s="619"/>
      <c r="H43" s="619"/>
      <c r="I43" s="619"/>
      <c r="J43" s="619"/>
      <c r="K43" s="619"/>
      <c r="L43" s="619"/>
      <c r="M43" s="619"/>
      <c r="N43" s="619"/>
      <c r="O43" s="619"/>
    </row>
    <row r="44" spans="1:15" ht="12.75" hidden="1" customHeight="1" x14ac:dyDescent="0.25">
      <c r="A44" s="619"/>
      <c r="D44" s="619"/>
      <c r="E44" s="619"/>
      <c r="F44" s="619"/>
      <c r="G44" s="619"/>
      <c r="H44" s="619"/>
      <c r="I44" s="619"/>
      <c r="J44" s="619"/>
      <c r="K44" s="619"/>
      <c r="L44" s="619"/>
      <c r="M44" s="619"/>
      <c r="N44" s="619"/>
      <c r="O44" s="619"/>
    </row>
    <row r="45" spans="1:15" ht="12.75" hidden="1" customHeight="1" x14ac:dyDescent="0.25">
      <c r="A45" s="619"/>
      <c r="D45" s="619"/>
      <c r="E45" s="619"/>
      <c r="F45" s="619"/>
      <c r="G45" s="619"/>
      <c r="H45" s="619"/>
      <c r="I45" s="619"/>
      <c r="J45" s="619"/>
      <c r="K45" s="619"/>
      <c r="L45" s="619"/>
      <c r="M45" s="619"/>
      <c r="N45" s="619"/>
      <c r="O45" s="619"/>
    </row>
    <row r="46" spans="1:15" ht="12.75" hidden="1" customHeight="1" x14ac:dyDescent="0.25">
      <c r="A46" s="619"/>
      <c r="D46" s="619"/>
      <c r="E46" s="619"/>
      <c r="F46" s="619"/>
      <c r="G46" s="619"/>
      <c r="H46" s="619"/>
      <c r="I46" s="619"/>
      <c r="J46" s="619"/>
      <c r="K46" s="619"/>
      <c r="L46" s="619"/>
      <c r="M46" s="619"/>
      <c r="N46" s="619"/>
      <c r="O46" s="619"/>
    </row>
    <row r="47" spans="1:15" ht="12.75" hidden="1" customHeight="1" x14ac:dyDescent="0.25">
      <c r="A47" s="619"/>
      <c r="D47" s="619"/>
      <c r="E47" s="619"/>
      <c r="F47" s="619"/>
      <c r="G47" s="619"/>
      <c r="H47" s="619"/>
      <c r="I47" s="619"/>
      <c r="J47" s="619"/>
      <c r="K47" s="619"/>
      <c r="L47" s="619"/>
      <c r="M47" s="619"/>
      <c r="N47" s="619"/>
      <c r="O47" s="619"/>
    </row>
    <row r="48" spans="1:15" ht="12.75" hidden="1" customHeight="1" x14ac:dyDescent="0.25">
      <c r="A48" s="619"/>
      <c r="D48" s="619"/>
      <c r="E48" s="619"/>
      <c r="F48" s="619"/>
      <c r="G48" s="619"/>
      <c r="H48" s="619"/>
      <c r="I48" s="619"/>
      <c r="J48" s="619"/>
      <c r="K48" s="619"/>
      <c r="L48" s="619"/>
      <c r="M48" s="619"/>
      <c r="N48" s="619"/>
      <c r="O48" s="619"/>
    </row>
    <row r="49" spans="1:15" ht="12.75" hidden="1" customHeight="1" x14ac:dyDescent="0.25">
      <c r="A49" s="619"/>
      <c r="D49" s="619"/>
      <c r="E49" s="619"/>
      <c r="F49" s="619"/>
      <c r="G49" s="619"/>
      <c r="H49" s="619"/>
      <c r="I49" s="619"/>
      <c r="J49" s="619"/>
      <c r="K49" s="619"/>
      <c r="L49" s="619"/>
      <c r="M49" s="619"/>
      <c r="N49" s="619"/>
      <c r="O49" s="619"/>
    </row>
    <row r="50" spans="1:15" ht="12.75" hidden="1" customHeight="1" x14ac:dyDescent="0.25">
      <c r="A50" s="619"/>
      <c r="D50" s="619"/>
      <c r="E50" s="619"/>
      <c r="F50" s="619"/>
      <c r="G50" s="619"/>
      <c r="H50" s="619"/>
      <c r="I50" s="619"/>
      <c r="J50" s="619"/>
      <c r="K50" s="619"/>
      <c r="L50" s="619"/>
      <c r="M50" s="619"/>
      <c r="N50" s="619"/>
      <c r="O50" s="619"/>
    </row>
    <row r="51" spans="1:15" ht="12.75" hidden="1" customHeight="1" x14ac:dyDescent="0.25">
      <c r="A51" s="619"/>
      <c r="D51" s="619"/>
      <c r="E51" s="619"/>
      <c r="F51" s="619"/>
      <c r="G51" s="619"/>
      <c r="H51" s="619"/>
      <c r="I51" s="619"/>
      <c r="J51" s="619"/>
      <c r="K51" s="619"/>
      <c r="L51" s="619"/>
      <c r="M51" s="619"/>
      <c r="N51" s="619"/>
      <c r="O51" s="619"/>
    </row>
    <row r="52" spans="1:15" ht="12.75" hidden="1" customHeight="1" x14ac:dyDescent="0.25">
      <c r="A52" s="619"/>
      <c r="D52" s="619"/>
      <c r="E52" s="619"/>
      <c r="F52" s="619"/>
      <c r="G52" s="619"/>
      <c r="H52" s="619"/>
      <c r="I52" s="619"/>
      <c r="J52" s="619"/>
      <c r="K52" s="619"/>
      <c r="L52" s="619"/>
      <c r="M52" s="619"/>
      <c r="N52" s="619"/>
      <c r="O52" s="619"/>
    </row>
    <row r="53" spans="1:15" ht="12.75" hidden="1" customHeight="1" x14ac:dyDescent="0.25">
      <c r="A53" s="619"/>
      <c r="D53" s="619"/>
      <c r="E53" s="619"/>
      <c r="F53" s="619"/>
      <c r="G53" s="619"/>
      <c r="H53" s="619"/>
      <c r="I53" s="619"/>
      <c r="J53" s="619"/>
      <c r="K53" s="619"/>
      <c r="L53" s="619"/>
      <c r="M53" s="619"/>
      <c r="N53" s="619"/>
      <c r="O53" s="619"/>
    </row>
    <row r="54" spans="1:15" ht="12.75" hidden="1" customHeight="1" x14ac:dyDescent="0.25">
      <c r="A54" s="619"/>
      <c r="D54" s="619"/>
      <c r="E54" s="619"/>
      <c r="F54" s="619"/>
      <c r="G54" s="619"/>
      <c r="H54" s="619"/>
      <c r="I54" s="619"/>
      <c r="J54" s="619"/>
      <c r="K54" s="619"/>
      <c r="L54" s="619"/>
      <c r="M54" s="619"/>
      <c r="N54" s="619"/>
      <c r="O54" s="619"/>
    </row>
    <row r="55" spans="1:15" ht="12.75" hidden="1" customHeight="1" x14ac:dyDescent="0.25">
      <c r="A55" s="619"/>
      <c r="D55" s="619"/>
      <c r="E55" s="619"/>
      <c r="F55" s="619"/>
      <c r="G55" s="619"/>
      <c r="H55" s="619"/>
      <c r="I55" s="619"/>
      <c r="J55" s="619"/>
      <c r="K55" s="619"/>
      <c r="L55" s="619"/>
      <c r="M55" s="619"/>
      <c r="N55" s="619"/>
      <c r="O55" s="619"/>
    </row>
    <row r="56" spans="1:15" ht="12.75" hidden="1" customHeight="1" x14ac:dyDescent="0.25">
      <c r="A56" s="619"/>
      <c r="D56" s="619"/>
      <c r="E56" s="619"/>
      <c r="F56" s="619"/>
      <c r="G56" s="619"/>
      <c r="H56" s="619"/>
      <c r="I56" s="619"/>
      <c r="J56" s="619"/>
      <c r="K56" s="619"/>
      <c r="L56" s="619"/>
      <c r="M56" s="619"/>
      <c r="N56" s="619"/>
      <c r="O56" s="619"/>
    </row>
    <row r="57" spans="1:15" ht="12.75" hidden="1" customHeight="1" x14ac:dyDescent="0.25">
      <c r="A57" s="619"/>
      <c r="D57" s="619"/>
      <c r="E57" s="619"/>
      <c r="F57" s="619"/>
      <c r="G57" s="619"/>
      <c r="H57" s="619"/>
      <c r="I57" s="619"/>
      <c r="J57" s="619"/>
      <c r="K57" s="619"/>
      <c r="L57" s="619"/>
      <c r="M57" s="619"/>
      <c r="N57" s="619"/>
      <c r="O57" s="619"/>
    </row>
    <row r="58" spans="1:15" ht="12.75" hidden="1" customHeight="1" x14ac:dyDescent="0.25">
      <c r="A58" s="619"/>
      <c r="D58" s="619"/>
      <c r="E58" s="619"/>
      <c r="F58" s="619"/>
      <c r="G58" s="619"/>
      <c r="H58" s="619"/>
      <c r="I58" s="619"/>
      <c r="J58" s="619"/>
      <c r="K58" s="619"/>
      <c r="L58" s="619"/>
      <c r="M58" s="619"/>
      <c r="N58" s="619"/>
      <c r="O58" s="619"/>
    </row>
    <row r="59" spans="1:15" ht="12.75" hidden="1" customHeight="1" x14ac:dyDescent="0.25">
      <c r="A59" s="619"/>
      <c r="D59" s="619"/>
      <c r="E59" s="619"/>
      <c r="F59" s="619"/>
      <c r="G59" s="619"/>
      <c r="H59" s="619"/>
      <c r="I59" s="619"/>
      <c r="J59" s="619"/>
      <c r="K59" s="619"/>
      <c r="L59" s="619"/>
      <c r="M59" s="619"/>
      <c r="N59" s="619"/>
      <c r="O59" s="619"/>
    </row>
    <row r="60" spans="1:15" ht="12.75" hidden="1" customHeight="1" x14ac:dyDescent="0.25">
      <c r="A60" s="619"/>
      <c r="D60" s="619"/>
      <c r="E60" s="619"/>
      <c r="F60" s="619"/>
      <c r="G60" s="619"/>
      <c r="H60" s="619"/>
      <c r="I60" s="619"/>
      <c r="J60" s="619"/>
      <c r="K60" s="619"/>
      <c r="L60" s="619"/>
      <c r="M60" s="619"/>
      <c r="N60" s="619"/>
      <c r="O60" s="619"/>
    </row>
    <row r="61" spans="1:15" ht="12.75" hidden="1" customHeight="1" x14ac:dyDescent="0.25">
      <c r="A61" s="619"/>
      <c r="D61" s="619"/>
      <c r="E61" s="619"/>
      <c r="F61" s="619"/>
      <c r="G61" s="619"/>
      <c r="H61" s="619"/>
      <c r="I61" s="619"/>
      <c r="J61" s="619"/>
      <c r="K61" s="619"/>
      <c r="L61" s="619"/>
      <c r="M61" s="619"/>
      <c r="N61" s="619"/>
      <c r="O61" s="619"/>
    </row>
    <row r="62" spans="1:15" ht="12.75" hidden="1" customHeight="1" x14ac:dyDescent="0.25">
      <c r="A62" s="619"/>
      <c r="D62" s="619"/>
      <c r="E62" s="619"/>
      <c r="F62" s="619"/>
      <c r="G62" s="619"/>
      <c r="H62" s="619"/>
      <c r="I62" s="619"/>
      <c r="J62" s="619"/>
      <c r="K62" s="619"/>
      <c r="L62" s="619"/>
      <c r="M62" s="619"/>
      <c r="N62" s="619"/>
      <c r="O62" s="619"/>
    </row>
    <row r="63" spans="1:15" ht="12.75" hidden="1" customHeight="1" x14ac:dyDescent="0.25">
      <c r="A63" s="619"/>
      <c r="D63" s="619"/>
      <c r="E63" s="619"/>
      <c r="F63" s="619"/>
      <c r="G63" s="619"/>
      <c r="H63" s="619"/>
      <c r="I63" s="619"/>
      <c r="J63" s="619"/>
      <c r="K63" s="619"/>
      <c r="L63" s="619"/>
      <c r="M63" s="619"/>
      <c r="N63" s="619"/>
      <c r="O63" s="619"/>
    </row>
    <row r="64" spans="1:15" ht="12.75" hidden="1" customHeight="1" x14ac:dyDescent="0.25">
      <c r="A64" s="619"/>
      <c r="D64" s="619"/>
      <c r="E64" s="619"/>
      <c r="F64" s="619"/>
      <c r="G64" s="619"/>
      <c r="H64" s="619"/>
      <c r="I64" s="619"/>
      <c r="J64" s="619"/>
      <c r="K64" s="619"/>
      <c r="L64" s="619"/>
      <c r="M64" s="619"/>
      <c r="N64" s="619"/>
      <c r="O64" s="619"/>
    </row>
    <row r="65" spans="1:18" ht="12.75" hidden="1" customHeight="1" x14ac:dyDescent="0.25">
      <c r="A65" s="619"/>
      <c r="D65" s="619"/>
      <c r="E65" s="619"/>
      <c r="F65" s="619"/>
      <c r="G65" s="619"/>
      <c r="H65" s="619"/>
      <c r="I65" s="619"/>
      <c r="J65" s="619"/>
      <c r="K65" s="619"/>
      <c r="L65" s="619"/>
      <c r="M65" s="619"/>
      <c r="N65" s="619"/>
      <c r="O65" s="619"/>
    </row>
    <row r="66" spans="1:18" ht="12.75" hidden="1" customHeight="1" x14ac:dyDescent="0.25">
      <c r="A66" s="619"/>
      <c r="D66" s="619"/>
      <c r="E66" s="619"/>
      <c r="F66" s="619"/>
      <c r="G66" s="619"/>
      <c r="H66" s="619"/>
      <c r="I66" s="619"/>
      <c r="J66" s="619"/>
      <c r="K66" s="619"/>
      <c r="L66" s="619"/>
      <c r="M66" s="619"/>
      <c r="N66" s="619"/>
      <c r="O66" s="619"/>
    </row>
    <row r="67" spans="1:18" ht="12.75" hidden="1" customHeight="1" x14ac:dyDescent="0.25">
      <c r="A67" s="619"/>
      <c r="D67" s="619"/>
      <c r="E67" s="619"/>
      <c r="F67" s="619"/>
      <c r="G67" s="619"/>
      <c r="H67" s="619"/>
      <c r="I67" s="619"/>
      <c r="J67" s="619"/>
      <c r="K67" s="619"/>
      <c r="L67" s="619"/>
      <c r="M67" s="619"/>
      <c r="N67" s="619"/>
      <c r="O67" s="619"/>
    </row>
    <row r="68" spans="1:18" ht="12.75" hidden="1" customHeight="1" x14ac:dyDescent="0.25">
      <c r="A68" s="619"/>
      <c r="D68" s="619"/>
      <c r="E68" s="619"/>
      <c r="F68" s="619"/>
      <c r="G68" s="619"/>
      <c r="H68" s="619"/>
      <c r="I68" s="619"/>
      <c r="J68" s="619"/>
      <c r="K68" s="619"/>
      <c r="L68" s="619"/>
      <c r="M68" s="619"/>
      <c r="N68" s="619"/>
      <c r="O68" s="619"/>
    </row>
    <row r="69" spans="1:18" ht="12.75" hidden="1" customHeight="1" x14ac:dyDescent="0.25">
      <c r="A69" s="619"/>
      <c r="D69" s="619"/>
      <c r="E69" s="619"/>
      <c r="F69" s="619"/>
      <c r="G69" s="619"/>
      <c r="H69" s="619"/>
      <c r="I69" s="619"/>
      <c r="J69" s="619"/>
      <c r="K69" s="619"/>
      <c r="L69" s="619"/>
      <c r="M69" s="619"/>
      <c r="N69" s="619"/>
      <c r="O69" s="619"/>
    </row>
    <row r="70" spans="1:18" ht="12.75" hidden="1" customHeight="1" x14ac:dyDescent="0.25">
      <c r="A70" s="619"/>
      <c r="D70" s="619"/>
      <c r="E70" s="619"/>
      <c r="F70" s="619"/>
      <c r="G70" s="619"/>
      <c r="H70" s="619"/>
      <c r="I70" s="619"/>
      <c r="J70" s="619"/>
      <c r="K70" s="619"/>
      <c r="L70" s="619"/>
      <c r="M70" s="619"/>
      <c r="N70" s="619"/>
      <c r="O70" s="619"/>
    </row>
    <row r="71" spans="1:18" ht="12.75" hidden="1" customHeight="1" x14ac:dyDescent="0.25">
      <c r="A71" s="619"/>
      <c r="D71" s="619"/>
      <c r="E71" s="619"/>
      <c r="F71" s="619"/>
      <c r="G71" s="619"/>
      <c r="H71" s="619"/>
      <c r="I71" s="619"/>
      <c r="J71" s="619"/>
      <c r="K71" s="619"/>
      <c r="L71" s="619"/>
      <c r="M71" s="619"/>
      <c r="N71" s="619"/>
      <c r="O71" s="619"/>
    </row>
    <row r="72" spans="1:18" x14ac:dyDescent="0.25">
      <c r="A72" s="619"/>
      <c r="D72" s="619"/>
      <c r="E72" s="619"/>
      <c r="F72" s="619"/>
      <c r="G72" s="619"/>
      <c r="H72" s="619"/>
      <c r="I72" s="619"/>
      <c r="J72" s="619"/>
      <c r="K72" s="619"/>
      <c r="L72" s="619"/>
      <c r="M72" s="619"/>
      <c r="N72" s="619"/>
      <c r="O72" s="619"/>
    </row>
    <row r="73" spans="1:18" x14ac:dyDescent="0.25">
      <c r="A73" s="777" t="s">
        <v>2</v>
      </c>
      <c r="B73" s="776" t="s">
        <v>132</v>
      </c>
      <c r="C73" s="767" t="s">
        <v>70</v>
      </c>
      <c r="D73" s="767">
        <f>D15-P15</f>
        <v>-16536713.09</v>
      </c>
      <c r="E73" s="767">
        <f>E5+E11</f>
        <v>-842044.27</v>
      </c>
      <c r="F73" s="767">
        <f t="shared" ref="F73:R73" si="0">F5+F11</f>
        <v>-470499.84000000003</v>
      </c>
      <c r="G73" s="767">
        <f t="shared" si="0"/>
        <v>-249332.32</v>
      </c>
      <c r="H73" s="767">
        <f t="shared" si="0"/>
        <v>-4006466.75</v>
      </c>
      <c r="I73" s="767">
        <f t="shared" si="0"/>
        <v>-145004</v>
      </c>
      <c r="J73" s="767">
        <f t="shared" si="0"/>
        <v>-1301824.81</v>
      </c>
      <c r="K73" s="767">
        <f t="shared" si="0"/>
        <v>-1255802.95</v>
      </c>
      <c r="L73" s="767">
        <f t="shared" si="0"/>
        <v>-5775459.54</v>
      </c>
      <c r="M73" s="767">
        <f t="shared" si="0"/>
        <v>-2296297.42</v>
      </c>
      <c r="N73" s="767">
        <f t="shared" si="0"/>
        <v>-237636.38</v>
      </c>
      <c r="O73" s="767">
        <f t="shared" si="0"/>
        <v>100.74000000000001</v>
      </c>
      <c r="P73" s="767">
        <f t="shared" si="0"/>
        <v>0</v>
      </c>
      <c r="Q73" s="767">
        <f t="shared" si="0"/>
        <v>0</v>
      </c>
      <c r="R73" s="767">
        <f t="shared" si="0"/>
        <v>0</v>
      </c>
    </row>
    <row r="74" spans="1:18" x14ac:dyDescent="0.25">
      <c r="A74" s="777"/>
      <c r="B74" s="776"/>
      <c r="C74" s="767" t="s">
        <v>73</v>
      </c>
      <c r="D74" s="767">
        <f>D7+D13</f>
        <v>43554.450000000012</v>
      </c>
      <c r="E74" s="619"/>
      <c r="F74" s="619"/>
      <c r="G74" s="619"/>
      <c r="H74" s="619"/>
      <c r="I74" s="619"/>
      <c r="J74" s="619"/>
      <c r="K74" s="619"/>
      <c r="L74" s="619"/>
      <c r="M74" s="619"/>
      <c r="N74" s="619"/>
      <c r="O74" s="619"/>
      <c r="P74" s="619"/>
      <c r="Q74" s="619"/>
      <c r="R74" s="619"/>
    </row>
    <row r="75" spans="1:18" ht="13" x14ac:dyDescent="0.3">
      <c r="A75" s="618"/>
      <c r="D75" s="619"/>
      <c r="E75" s="619"/>
      <c r="F75" s="619"/>
      <c r="G75" s="619"/>
      <c r="H75" s="619"/>
      <c r="I75" s="619"/>
      <c r="J75" s="619"/>
      <c r="K75" s="619"/>
      <c r="L75" s="619"/>
      <c r="M75" s="619"/>
      <c r="N75" s="619"/>
      <c r="O75" s="619"/>
      <c r="P75" s="619"/>
      <c r="Q75" s="619"/>
      <c r="R75" s="619"/>
    </row>
    <row r="76" spans="1:18" x14ac:dyDescent="0.25">
      <c r="A76" s="777" t="s">
        <v>160</v>
      </c>
      <c r="B76" s="776" t="s">
        <v>132</v>
      </c>
      <c r="C76" s="633" t="s">
        <v>70</v>
      </c>
      <c r="D76" s="633">
        <v>0</v>
      </c>
      <c r="E76" s="633">
        <v>0</v>
      </c>
      <c r="F76" s="633">
        <v>0</v>
      </c>
      <c r="G76" s="633">
        <v>0</v>
      </c>
      <c r="H76" s="633">
        <v>0</v>
      </c>
      <c r="I76" s="633">
        <v>0</v>
      </c>
      <c r="J76" s="633">
        <v>0</v>
      </c>
      <c r="K76" s="633">
        <v>0</v>
      </c>
      <c r="L76" s="633">
        <v>0</v>
      </c>
      <c r="M76" s="633">
        <v>0</v>
      </c>
      <c r="N76" s="633">
        <v>0</v>
      </c>
      <c r="O76" s="633">
        <v>0</v>
      </c>
      <c r="P76" s="633">
        <v>0</v>
      </c>
      <c r="Q76" s="633">
        <v>0</v>
      </c>
      <c r="R76" s="633">
        <v>0</v>
      </c>
    </row>
    <row r="77" spans="1:18" x14ac:dyDescent="0.25">
      <c r="A77" s="777"/>
      <c r="B77" s="776"/>
      <c r="C77" s="633" t="s">
        <v>73</v>
      </c>
      <c r="D77" s="633">
        <v>0</v>
      </c>
      <c r="E77" s="619"/>
      <c r="F77" s="619"/>
      <c r="G77" s="619"/>
      <c r="H77" s="619"/>
      <c r="I77" s="619"/>
      <c r="J77" s="619"/>
      <c r="K77" s="619"/>
      <c r="L77" s="619"/>
      <c r="M77" s="619"/>
      <c r="N77" s="619"/>
      <c r="O77" s="619"/>
      <c r="P77" s="619"/>
      <c r="Q77" s="619"/>
      <c r="R77" s="619"/>
    </row>
    <row r="78" spans="1:18" ht="13" x14ac:dyDescent="0.3">
      <c r="A78" s="618"/>
      <c r="D78" s="619"/>
      <c r="E78" s="619"/>
      <c r="F78" s="619"/>
      <c r="G78" s="619"/>
      <c r="H78" s="619"/>
      <c r="I78" s="619"/>
      <c r="J78" s="619"/>
      <c r="K78" s="619"/>
      <c r="L78" s="619"/>
      <c r="M78" s="619"/>
      <c r="N78" s="619"/>
      <c r="O78" s="619"/>
      <c r="P78" s="619"/>
      <c r="Q78" s="619"/>
      <c r="R78" s="619"/>
    </row>
    <row r="79" spans="1:18" x14ac:dyDescent="0.25">
      <c r="A79" s="777" t="s">
        <v>155</v>
      </c>
      <c r="B79" s="776" t="s">
        <v>132</v>
      </c>
      <c r="C79" s="634" t="s">
        <v>70</v>
      </c>
      <c r="D79" s="634">
        <f>D8-P8</f>
        <v>-15533961.699999999</v>
      </c>
      <c r="E79" s="634">
        <f>E5</f>
        <v>-793724.01</v>
      </c>
      <c r="F79" s="634">
        <f t="shared" ref="F79:R79" si="1">F5</f>
        <v>-444038.25</v>
      </c>
      <c r="G79" s="634">
        <f t="shared" si="1"/>
        <v>-235437.54</v>
      </c>
      <c r="H79" s="634">
        <f t="shared" si="1"/>
        <v>-3814145.68</v>
      </c>
      <c r="I79" s="634">
        <f t="shared" si="1"/>
        <v>-140234.1</v>
      </c>
      <c r="J79" s="634">
        <f t="shared" si="1"/>
        <v>-1243696.27</v>
      </c>
      <c r="K79" s="634">
        <f t="shared" si="1"/>
        <v>-1203871</v>
      </c>
      <c r="L79" s="634">
        <f t="shared" si="1"/>
        <v>-5528843.9900000002</v>
      </c>
      <c r="M79" s="634">
        <f t="shared" si="1"/>
        <v>-2184189.35</v>
      </c>
      <c r="N79" s="634">
        <f t="shared" si="1"/>
        <v>-229854.06</v>
      </c>
      <c r="O79" s="634">
        <f t="shared" si="1"/>
        <v>111.04</v>
      </c>
      <c r="P79" s="634">
        <f t="shared" si="1"/>
        <v>0</v>
      </c>
      <c r="Q79" s="634">
        <f t="shared" si="1"/>
        <v>0</v>
      </c>
      <c r="R79" s="634">
        <f t="shared" si="1"/>
        <v>0</v>
      </c>
    </row>
    <row r="80" spans="1:18" x14ac:dyDescent="0.25">
      <c r="A80" s="777"/>
      <c r="B80" s="776"/>
      <c r="C80" s="634" t="s">
        <v>73</v>
      </c>
      <c r="D80" s="634">
        <f>D7</f>
        <v>283961.51</v>
      </c>
      <c r="E80" s="619"/>
      <c r="F80" s="619"/>
      <c r="G80" s="619"/>
      <c r="H80" s="619"/>
      <c r="I80" s="619"/>
      <c r="J80" s="619"/>
      <c r="K80" s="619"/>
      <c r="L80" s="619"/>
      <c r="M80" s="619"/>
      <c r="N80" s="619"/>
      <c r="O80" s="619"/>
      <c r="P80" s="619"/>
      <c r="Q80" s="619"/>
      <c r="R80" s="619"/>
    </row>
    <row r="81" spans="1:18" ht="13" x14ac:dyDescent="0.25">
      <c r="A81" s="723"/>
      <c r="B81" s="722"/>
      <c r="C81" s="619"/>
      <c r="D81" s="619"/>
      <c r="E81" s="619"/>
      <c r="F81" s="619"/>
      <c r="G81" s="619"/>
      <c r="H81" s="619"/>
      <c r="I81" s="619"/>
      <c r="J81" s="619"/>
      <c r="K81" s="619"/>
      <c r="L81" s="619"/>
      <c r="M81" s="619"/>
      <c r="N81" s="619"/>
      <c r="O81" s="619"/>
      <c r="P81" s="619"/>
      <c r="Q81" s="619"/>
      <c r="R81" s="619"/>
    </row>
    <row r="82" spans="1:18" ht="12.75" customHeight="1" x14ac:dyDescent="0.25">
      <c r="A82" s="775" t="s">
        <v>328</v>
      </c>
      <c r="B82" s="776" t="s">
        <v>132</v>
      </c>
      <c r="C82" s="634" t="s">
        <v>70</v>
      </c>
      <c r="D82" s="721">
        <v>0</v>
      </c>
      <c r="E82" s="721">
        <v>0</v>
      </c>
      <c r="F82" s="721">
        <v>0</v>
      </c>
      <c r="G82" s="721">
        <v>0</v>
      </c>
      <c r="H82" s="721">
        <v>0</v>
      </c>
      <c r="I82" s="721">
        <v>0</v>
      </c>
      <c r="J82" s="721">
        <v>0</v>
      </c>
      <c r="K82" s="721">
        <v>0</v>
      </c>
      <c r="L82" s="721">
        <v>0</v>
      </c>
      <c r="M82" s="721">
        <v>0</v>
      </c>
      <c r="N82" s="721">
        <v>0</v>
      </c>
      <c r="O82" s="721">
        <v>0</v>
      </c>
      <c r="P82" s="721">
        <v>0</v>
      </c>
      <c r="Q82" s="721">
        <v>0</v>
      </c>
      <c r="R82" s="721">
        <v>0</v>
      </c>
    </row>
    <row r="83" spans="1:18" ht="12.75" customHeight="1" x14ac:dyDescent="0.25">
      <c r="A83" s="775"/>
      <c r="B83" s="776"/>
      <c r="C83" s="634" t="s">
        <v>73</v>
      </c>
      <c r="D83" s="721">
        <v>0</v>
      </c>
      <c r="E83" s="619"/>
      <c r="F83" s="619"/>
      <c r="G83" s="619"/>
      <c r="H83" s="619"/>
      <c r="I83" s="619"/>
      <c r="J83" s="619"/>
      <c r="K83" s="619"/>
      <c r="L83" s="619"/>
      <c r="M83" s="619"/>
      <c r="N83" s="619"/>
      <c r="O83" s="619"/>
      <c r="P83" s="619"/>
      <c r="Q83" s="619"/>
    </row>
    <row r="84" spans="1:18" ht="13" x14ac:dyDescent="0.3">
      <c r="A84" s="618"/>
      <c r="D84" s="619"/>
      <c r="E84" s="619"/>
      <c r="F84" s="619"/>
      <c r="G84" s="619"/>
      <c r="H84" s="619"/>
      <c r="I84" s="619"/>
      <c r="J84" s="619"/>
      <c r="K84" s="619"/>
      <c r="L84" s="619"/>
      <c r="M84" s="619"/>
      <c r="N84" s="619"/>
      <c r="O84" s="619"/>
      <c r="P84" s="619"/>
      <c r="Q84" s="619"/>
      <c r="R84" s="619"/>
    </row>
    <row r="85" spans="1:18" x14ac:dyDescent="0.25">
      <c r="A85" s="777" t="s">
        <v>119</v>
      </c>
      <c r="B85" s="776" t="s">
        <v>132</v>
      </c>
      <c r="C85" s="629" t="s">
        <v>70</v>
      </c>
      <c r="D85" s="629">
        <f>D14-P14</f>
        <v>-1002751.39</v>
      </c>
      <c r="E85" s="629">
        <f>E11</f>
        <v>-48320.26</v>
      </c>
      <c r="F85" s="629">
        <f t="shared" ref="F85:R85" si="2">F11</f>
        <v>-26461.59</v>
      </c>
      <c r="G85" s="629">
        <f t="shared" si="2"/>
        <v>-13894.78</v>
      </c>
      <c r="H85" s="629">
        <f t="shared" si="2"/>
        <v>-192321.07</v>
      </c>
      <c r="I85" s="629">
        <f t="shared" si="2"/>
        <v>-4769.8999999999996</v>
      </c>
      <c r="J85" s="629">
        <f t="shared" si="2"/>
        <v>-58128.54</v>
      </c>
      <c r="K85" s="629">
        <f t="shared" si="2"/>
        <v>-51931.95</v>
      </c>
      <c r="L85" s="629">
        <f t="shared" si="2"/>
        <v>-246615.55</v>
      </c>
      <c r="M85" s="629">
        <f t="shared" si="2"/>
        <v>-112108.07</v>
      </c>
      <c r="N85" s="629">
        <f t="shared" si="2"/>
        <v>-7782.32</v>
      </c>
      <c r="O85" s="629">
        <f t="shared" si="2"/>
        <v>-10.3</v>
      </c>
      <c r="P85" s="629">
        <f t="shared" si="2"/>
        <v>0</v>
      </c>
      <c r="Q85" s="629">
        <f t="shared" si="2"/>
        <v>0</v>
      </c>
      <c r="R85" s="629">
        <f t="shared" si="2"/>
        <v>0</v>
      </c>
    </row>
    <row r="86" spans="1:18" ht="12.75" customHeight="1" x14ac:dyDescent="0.25">
      <c r="A86" s="777"/>
      <c r="B86" s="776"/>
      <c r="C86" s="629" t="s">
        <v>73</v>
      </c>
      <c r="D86" s="629">
        <f>D13</f>
        <v>-240407.06</v>
      </c>
      <c r="E86" s="619"/>
      <c r="F86" s="619"/>
      <c r="G86" s="619"/>
      <c r="H86" s="619"/>
      <c r="I86" s="619"/>
      <c r="J86" s="619"/>
      <c r="K86" s="619"/>
      <c r="L86" s="619"/>
      <c r="M86" s="619"/>
      <c r="N86" s="619"/>
      <c r="O86" s="619"/>
      <c r="P86" s="619"/>
      <c r="Q86" s="619"/>
      <c r="R86" s="619"/>
    </row>
    <row r="87" spans="1:18" ht="12.75" customHeight="1" x14ac:dyDescent="0.3">
      <c r="A87" s="618"/>
      <c r="D87" s="619"/>
      <c r="E87" s="619"/>
      <c r="F87" s="619"/>
      <c r="G87" s="619"/>
      <c r="H87" s="619"/>
      <c r="I87" s="619"/>
      <c r="J87" s="619"/>
      <c r="K87" s="619"/>
      <c r="L87" s="619"/>
      <c r="M87" s="619"/>
      <c r="N87" s="619"/>
      <c r="O87" s="619"/>
      <c r="P87" s="619"/>
      <c r="Q87" s="619"/>
      <c r="R87" s="619"/>
    </row>
    <row r="88" spans="1:18" ht="12.75" customHeight="1" x14ac:dyDescent="0.25">
      <c r="A88" s="778" t="s">
        <v>161</v>
      </c>
      <c r="B88" s="776" t="s">
        <v>132</v>
      </c>
      <c r="C88" s="635" t="s">
        <v>70</v>
      </c>
      <c r="D88" s="635">
        <v>0</v>
      </c>
      <c r="E88" s="635">
        <v>0</v>
      </c>
      <c r="F88" s="635">
        <v>0</v>
      </c>
      <c r="G88" s="635">
        <v>0</v>
      </c>
      <c r="H88" s="635">
        <v>0</v>
      </c>
      <c r="I88" s="635">
        <v>0</v>
      </c>
      <c r="J88" s="635">
        <v>0</v>
      </c>
      <c r="K88" s="635">
        <v>0</v>
      </c>
      <c r="L88" s="635">
        <v>0</v>
      </c>
      <c r="M88" s="635">
        <v>0</v>
      </c>
      <c r="N88" s="635">
        <v>0</v>
      </c>
      <c r="O88" s="635">
        <v>0</v>
      </c>
      <c r="P88" s="635">
        <v>0</v>
      </c>
      <c r="Q88" s="635">
        <v>0</v>
      </c>
      <c r="R88" s="635">
        <v>0</v>
      </c>
    </row>
    <row r="89" spans="1:18" ht="12.75" customHeight="1" x14ac:dyDescent="0.25">
      <c r="A89" s="778"/>
      <c r="B89" s="776"/>
      <c r="C89" s="635" t="s">
        <v>73</v>
      </c>
      <c r="D89" s="635">
        <v>0</v>
      </c>
      <c r="E89" s="619"/>
      <c r="F89" s="619"/>
      <c r="G89" s="619"/>
      <c r="H89" s="619"/>
      <c r="I89" s="619"/>
      <c r="J89" s="619"/>
      <c r="K89" s="619"/>
      <c r="L89" s="619"/>
      <c r="M89" s="619"/>
      <c r="N89" s="619"/>
      <c r="O89" s="619"/>
      <c r="P89" s="619"/>
      <c r="Q89" s="619"/>
    </row>
    <row r="90" spans="1:18" s="636" customFormat="1" x14ac:dyDescent="0.25"/>
    <row r="91" spans="1:18" ht="13" x14ac:dyDescent="0.3">
      <c r="B91" s="618" t="s">
        <v>75</v>
      </c>
    </row>
    <row r="92" spans="1:18" ht="12.75" customHeight="1" x14ac:dyDescent="0.25">
      <c r="D92" s="619" t="s">
        <v>70</v>
      </c>
      <c r="E92" s="619" t="s">
        <v>64</v>
      </c>
      <c r="F92" s="619" t="s">
        <v>65</v>
      </c>
      <c r="G92" s="620" t="s">
        <v>164</v>
      </c>
      <c r="H92" s="619" t="s">
        <v>69</v>
      </c>
      <c r="I92" s="619" t="s">
        <v>68</v>
      </c>
      <c r="J92" s="619" t="s">
        <v>66</v>
      </c>
      <c r="K92" s="619" t="s">
        <v>63</v>
      </c>
      <c r="L92" s="619" t="s">
        <v>61</v>
      </c>
      <c r="M92" s="619" t="s">
        <v>62</v>
      </c>
      <c r="N92" s="619" t="s">
        <v>67</v>
      </c>
      <c r="O92" s="619" t="s">
        <v>77</v>
      </c>
      <c r="P92" s="617" t="s">
        <v>71</v>
      </c>
      <c r="Q92" s="619" t="s">
        <v>80</v>
      </c>
      <c r="R92" s="617" t="s">
        <v>168</v>
      </c>
    </row>
    <row r="93" spans="1:18" ht="12.75" customHeight="1" x14ac:dyDescent="0.25">
      <c r="C93" s="617" t="s">
        <v>72</v>
      </c>
      <c r="D93" s="619">
        <v>-53998016.210000001</v>
      </c>
      <c r="E93" s="619">
        <v>-11667185.220000001</v>
      </c>
      <c r="F93" s="619">
        <v>-5414703.4900000002</v>
      </c>
      <c r="G93" s="621">
        <v>-2951482.17</v>
      </c>
      <c r="H93" s="619">
        <v>-3201477.24</v>
      </c>
      <c r="I93" s="619">
        <v>-115838.75</v>
      </c>
      <c r="J93" s="619">
        <v>-1017620.75</v>
      </c>
      <c r="K93" s="619">
        <v>-1016768.4</v>
      </c>
      <c r="L93" s="619">
        <v>-4764304</v>
      </c>
      <c r="M93" s="619">
        <v>-23659660.940000001</v>
      </c>
      <c r="N93" s="619">
        <v>-188999.83</v>
      </c>
      <c r="O93" s="619">
        <v>24.58</v>
      </c>
      <c r="P93" s="617">
        <v>0</v>
      </c>
      <c r="Q93" s="619">
        <v>0</v>
      </c>
      <c r="R93" s="617">
        <v>0</v>
      </c>
    </row>
    <row r="94" spans="1:18" ht="12.75" customHeight="1" x14ac:dyDescent="0.25">
      <c r="C94" s="617" t="s">
        <v>81</v>
      </c>
      <c r="D94" s="619">
        <v>-15789581.83</v>
      </c>
      <c r="E94" s="619">
        <v>-4170790.83</v>
      </c>
      <c r="F94" s="619">
        <v>-1943304.33</v>
      </c>
      <c r="G94" s="621">
        <v>-1075257.96</v>
      </c>
      <c r="H94" s="619">
        <v>-52026.8</v>
      </c>
      <c r="I94" s="619">
        <v>-1440.2</v>
      </c>
      <c r="J94" s="619">
        <v>-12737.8</v>
      </c>
      <c r="K94" s="619">
        <v>-15000.59</v>
      </c>
      <c r="L94" s="619">
        <v>-66290.83</v>
      </c>
      <c r="M94" s="619">
        <v>-8450381.2699999996</v>
      </c>
      <c r="N94" s="619">
        <v>-2350.38</v>
      </c>
      <c r="O94" s="619">
        <v>-0.84</v>
      </c>
      <c r="P94" s="617">
        <v>0</v>
      </c>
      <c r="Q94" s="619">
        <v>0</v>
      </c>
      <c r="R94" s="617">
        <v>0</v>
      </c>
    </row>
    <row r="95" spans="1:18" s="622" customFormat="1" ht="12.75" customHeight="1" x14ac:dyDescent="0.25">
      <c r="B95" s="623" t="s">
        <v>78</v>
      </c>
      <c r="C95" s="623" t="s">
        <v>70</v>
      </c>
      <c r="D95" s="623">
        <v>-69787598.040000007</v>
      </c>
      <c r="E95" s="623">
        <v>-15837976.050000001</v>
      </c>
      <c r="F95" s="623">
        <v>-7358007.8200000003</v>
      </c>
      <c r="G95" s="623">
        <v>-4026740.13</v>
      </c>
      <c r="H95" s="623">
        <v>-3253504.04</v>
      </c>
      <c r="I95" s="623">
        <v>-117278.95</v>
      </c>
      <c r="J95" s="623">
        <v>-1030358.55</v>
      </c>
      <c r="K95" s="623">
        <v>-1031768.99</v>
      </c>
      <c r="L95" s="623">
        <v>-4830594.83</v>
      </c>
      <c r="M95" s="623">
        <v>-32110042.210000001</v>
      </c>
      <c r="N95" s="623">
        <v>-191350.21</v>
      </c>
      <c r="O95" s="623">
        <v>23.74</v>
      </c>
      <c r="P95" s="622">
        <v>0</v>
      </c>
      <c r="Q95" s="623">
        <v>0</v>
      </c>
      <c r="R95" s="623">
        <v>0</v>
      </c>
    </row>
    <row r="96" spans="1:18" ht="12.75" customHeight="1" x14ac:dyDescent="0.25">
      <c r="C96" s="617" t="s">
        <v>73</v>
      </c>
      <c r="D96" s="619">
        <v>-991410.96</v>
      </c>
      <c r="E96" s="619">
        <v>-916794.52</v>
      </c>
      <c r="F96" s="619">
        <v>-399784.58</v>
      </c>
      <c r="G96" s="621">
        <v>-225583.16</v>
      </c>
      <c r="H96" s="619">
        <v>753139.3</v>
      </c>
      <c r="I96" s="619">
        <v>27321.94</v>
      </c>
      <c r="J96" s="619">
        <v>241143.71</v>
      </c>
      <c r="K96" s="619">
        <v>238753.51</v>
      </c>
      <c r="L96" s="619">
        <v>1113806.24</v>
      </c>
      <c r="M96" s="619">
        <v>-1867991.13</v>
      </c>
      <c r="N96" s="619">
        <v>44577.73</v>
      </c>
      <c r="O96" s="619">
        <v>0</v>
      </c>
      <c r="P96" s="617">
        <v>0</v>
      </c>
      <c r="Q96" s="619">
        <v>0</v>
      </c>
      <c r="R96" s="617">
        <v>0</v>
      </c>
    </row>
    <row r="97" spans="1:18" s="624" customFormat="1" ht="12.75" customHeight="1" x14ac:dyDescent="0.25">
      <c r="B97" s="624" t="s">
        <v>79</v>
      </c>
      <c r="C97" s="624" t="s">
        <v>70</v>
      </c>
      <c r="D97" s="637">
        <v>-991410.96</v>
      </c>
      <c r="E97" s="625">
        <v>-916794.52</v>
      </c>
      <c r="F97" s="625">
        <v>-399784.58</v>
      </c>
      <c r="G97" s="637">
        <v>-225583.16</v>
      </c>
      <c r="H97" s="625">
        <v>753139.3</v>
      </c>
      <c r="I97" s="625">
        <v>27321.94</v>
      </c>
      <c r="J97" s="625">
        <v>241143.71</v>
      </c>
      <c r="K97" s="625">
        <v>238753.51</v>
      </c>
      <c r="L97" s="625">
        <v>1113806.24</v>
      </c>
      <c r="M97" s="625">
        <v>-1867991.13</v>
      </c>
      <c r="N97" s="625">
        <v>44577.73</v>
      </c>
      <c r="O97" s="625">
        <v>0</v>
      </c>
      <c r="P97" s="624">
        <v>0</v>
      </c>
      <c r="Q97" s="625">
        <v>0</v>
      </c>
      <c r="R97" s="624">
        <v>0</v>
      </c>
    </row>
    <row r="98" spans="1:18" s="626" customFormat="1" ht="12.75" customHeight="1" x14ac:dyDescent="0.25">
      <c r="A98" s="626" t="s">
        <v>155</v>
      </c>
      <c r="B98" s="626" t="s">
        <v>70</v>
      </c>
      <c r="D98" s="627">
        <v>-70779009</v>
      </c>
      <c r="E98" s="627">
        <v>-16754770.57</v>
      </c>
      <c r="F98" s="627">
        <v>-7757792.4000000004</v>
      </c>
      <c r="G98" s="628">
        <v>-4252323.29</v>
      </c>
      <c r="H98" s="627">
        <v>-2500364.7400000002</v>
      </c>
      <c r="I98" s="627">
        <v>-89957.01</v>
      </c>
      <c r="J98" s="627">
        <v>-789214.84</v>
      </c>
      <c r="K98" s="627">
        <v>-793015.48</v>
      </c>
      <c r="L98" s="627">
        <v>-3716788.59</v>
      </c>
      <c r="M98" s="627">
        <v>-33978033.340000004</v>
      </c>
      <c r="N98" s="627">
        <v>-146772.48000000001</v>
      </c>
      <c r="O98" s="627">
        <v>23.74</v>
      </c>
      <c r="P98" s="626">
        <v>0</v>
      </c>
      <c r="Q98" s="627">
        <v>0</v>
      </c>
      <c r="R98" s="626">
        <v>0</v>
      </c>
    </row>
    <row r="99" spans="1:18" ht="12.75" customHeight="1" x14ac:dyDescent="0.25">
      <c r="C99" s="617" t="s">
        <v>72</v>
      </c>
      <c r="D99" s="619">
        <v>-377166.8</v>
      </c>
      <c r="E99" s="619">
        <v>-43251.45</v>
      </c>
      <c r="F99" s="619">
        <v>-24151.06</v>
      </c>
      <c r="G99" s="621">
        <v>-13029.67</v>
      </c>
      <c r="H99" s="619">
        <v>-77002.42</v>
      </c>
      <c r="I99" s="619">
        <v>-2284.7600000000002</v>
      </c>
      <c r="J99" s="619">
        <v>-20041.71</v>
      </c>
      <c r="K99" s="619">
        <v>-20313.509999999998</v>
      </c>
      <c r="L99" s="619">
        <v>-87724.06</v>
      </c>
      <c r="M99" s="619">
        <v>-86066.71</v>
      </c>
      <c r="N99" s="619">
        <v>-3305.91</v>
      </c>
      <c r="O99" s="619">
        <v>4.46</v>
      </c>
      <c r="P99" s="617">
        <v>0</v>
      </c>
      <c r="Q99" s="619">
        <v>0</v>
      </c>
      <c r="R99" s="617">
        <v>0</v>
      </c>
    </row>
    <row r="100" spans="1:18" ht="12.75" customHeight="1" x14ac:dyDescent="0.25">
      <c r="C100" s="617" t="s">
        <v>81</v>
      </c>
      <c r="D100" s="619">
        <v>-9054.66</v>
      </c>
      <c r="E100" s="619">
        <v>-491.84</v>
      </c>
      <c r="F100" s="619">
        <v>-219.75</v>
      </c>
      <c r="G100" s="621">
        <v>-125.76</v>
      </c>
      <c r="H100" s="619">
        <v>-2696.53</v>
      </c>
      <c r="I100" s="619">
        <v>-61.76</v>
      </c>
      <c r="J100" s="619">
        <v>-541.98</v>
      </c>
      <c r="K100" s="619">
        <v>-671.69</v>
      </c>
      <c r="L100" s="619">
        <v>-3161.57</v>
      </c>
      <c r="M100" s="619">
        <v>-983.04</v>
      </c>
      <c r="N100" s="619">
        <v>-100.83</v>
      </c>
      <c r="O100" s="619">
        <v>0.09</v>
      </c>
      <c r="P100" s="617">
        <v>0</v>
      </c>
      <c r="Q100" s="619">
        <v>0</v>
      </c>
      <c r="R100" s="617">
        <v>0</v>
      </c>
    </row>
    <row r="101" spans="1:18" s="622" customFormat="1" ht="12.75" customHeight="1" x14ac:dyDescent="0.25">
      <c r="B101" s="623" t="s">
        <v>78</v>
      </c>
      <c r="C101" s="623" t="s">
        <v>70</v>
      </c>
      <c r="D101" s="623">
        <v>-386221.46</v>
      </c>
      <c r="E101" s="623">
        <v>-43743.29</v>
      </c>
      <c r="F101" s="623">
        <v>-24370.81</v>
      </c>
      <c r="G101" s="623">
        <v>-13155.43</v>
      </c>
      <c r="H101" s="623">
        <v>-79698.95</v>
      </c>
      <c r="I101" s="623">
        <v>-2346.52</v>
      </c>
      <c r="J101" s="623">
        <v>-20583.689999999999</v>
      </c>
      <c r="K101" s="623">
        <v>-20985.200000000001</v>
      </c>
      <c r="L101" s="623">
        <v>-90885.63</v>
      </c>
      <c r="M101" s="623">
        <v>-87049.75</v>
      </c>
      <c r="N101" s="623">
        <v>-3406.74</v>
      </c>
      <c r="O101" s="623">
        <v>4.55</v>
      </c>
      <c r="P101" s="622">
        <v>0</v>
      </c>
      <c r="Q101" s="623">
        <v>0</v>
      </c>
      <c r="R101" s="623">
        <v>0</v>
      </c>
    </row>
    <row r="102" spans="1:18" ht="12.75" customHeight="1" x14ac:dyDescent="0.25">
      <c r="C102" s="617" t="s">
        <v>73</v>
      </c>
      <c r="D102" s="621">
        <v>95471.46</v>
      </c>
      <c r="E102" s="619">
        <v>4869.41</v>
      </c>
      <c r="F102" s="619">
        <v>2653.99</v>
      </c>
      <c r="G102" s="621">
        <v>1418.22</v>
      </c>
      <c r="H102" s="619">
        <v>24431.4</v>
      </c>
      <c r="I102" s="619">
        <v>804.56</v>
      </c>
      <c r="J102" s="619">
        <v>7057.6</v>
      </c>
      <c r="K102" s="619">
        <v>7551.54</v>
      </c>
      <c r="L102" s="619">
        <v>35697.19</v>
      </c>
      <c r="M102" s="619">
        <v>9674.81</v>
      </c>
      <c r="N102" s="619">
        <v>1312.74</v>
      </c>
      <c r="O102" s="619">
        <v>0</v>
      </c>
      <c r="P102" s="617">
        <v>0</v>
      </c>
      <c r="Q102" s="619">
        <v>0</v>
      </c>
      <c r="R102" s="617">
        <v>0</v>
      </c>
    </row>
    <row r="103" spans="1:18" s="624" customFormat="1" ht="12.75" customHeight="1" x14ac:dyDescent="0.25">
      <c r="B103" s="624" t="s">
        <v>79</v>
      </c>
      <c r="C103" s="624" t="s">
        <v>70</v>
      </c>
      <c r="D103" s="637">
        <v>95471.46</v>
      </c>
      <c r="E103" s="625">
        <v>4869.41</v>
      </c>
      <c r="F103" s="625">
        <v>2653.99</v>
      </c>
      <c r="G103" s="637">
        <v>1418.22</v>
      </c>
      <c r="H103" s="625">
        <v>24431.4</v>
      </c>
      <c r="I103" s="625">
        <v>804.56</v>
      </c>
      <c r="J103" s="625">
        <v>7057.6</v>
      </c>
      <c r="K103" s="625">
        <v>7551.54</v>
      </c>
      <c r="L103" s="625">
        <v>35697.19</v>
      </c>
      <c r="M103" s="625">
        <v>9674.81</v>
      </c>
      <c r="N103" s="625">
        <v>1312.74</v>
      </c>
      <c r="O103" s="625">
        <v>0</v>
      </c>
      <c r="P103" s="624">
        <v>0</v>
      </c>
      <c r="Q103" s="625">
        <v>0</v>
      </c>
      <c r="R103" s="624">
        <v>0</v>
      </c>
    </row>
    <row r="104" spans="1:18" s="629" customFormat="1" ht="12.75" customHeight="1" x14ac:dyDescent="0.25">
      <c r="A104" s="629" t="s">
        <v>119</v>
      </c>
      <c r="B104" s="629" t="s">
        <v>70</v>
      </c>
      <c r="D104" s="629">
        <v>-290750</v>
      </c>
      <c r="E104" s="629">
        <v>-38873.879999999997</v>
      </c>
      <c r="F104" s="629">
        <v>-21716.82</v>
      </c>
      <c r="G104" s="629">
        <v>-11737.21</v>
      </c>
      <c r="H104" s="629">
        <v>-55267.55</v>
      </c>
      <c r="I104" s="629">
        <v>-1541.96</v>
      </c>
      <c r="J104" s="629">
        <v>-13526.09</v>
      </c>
      <c r="K104" s="629">
        <v>-13433.66</v>
      </c>
      <c r="L104" s="629">
        <v>-55188.44</v>
      </c>
      <c r="M104" s="629">
        <v>-77374.94</v>
      </c>
      <c r="N104" s="629">
        <v>-2094</v>
      </c>
      <c r="O104" s="629">
        <v>4.55</v>
      </c>
      <c r="P104" s="629">
        <v>0</v>
      </c>
      <c r="Q104" s="629">
        <v>0</v>
      </c>
      <c r="R104" s="629">
        <v>0</v>
      </c>
    </row>
    <row r="105" spans="1:18" s="632" customFormat="1" ht="12.75" customHeight="1" x14ac:dyDescent="0.25">
      <c r="A105" s="631" t="s">
        <v>70</v>
      </c>
      <c r="D105" s="631">
        <v>-71069759</v>
      </c>
      <c r="E105" s="631">
        <v>-16793644.449999999</v>
      </c>
      <c r="F105" s="631">
        <v>-7779509.2199999997</v>
      </c>
      <c r="G105" s="631">
        <v>-4264060.5</v>
      </c>
      <c r="H105" s="631">
        <v>-2555632.29</v>
      </c>
      <c r="I105" s="631">
        <v>-91498.97</v>
      </c>
      <c r="J105" s="631">
        <v>-802740.93</v>
      </c>
      <c r="K105" s="631">
        <v>-806449.14</v>
      </c>
      <c r="L105" s="631">
        <v>-3771977.03</v>
      </c>
      <c r="M105" s="631">
        <v>-34055408.280000001</v>
      </c>
      <c r="N105" s="631">
        <v>-148866.48000000001</v>
      </c>
      <c r="O105" s="631">
        <v>28.29</v>
      </c>
      <c r="P105" s="632">
        <v>0</v>
      </c>
      <c r="Q105" s="631">
        <v>0</v>
      </c>
      <c r="R105" s="631">
        <v>0</v>
      </c>
    </row>
    <row r="106" spans="1:18" ht="12.75" customHeight="1" x14ac:dyDescent="0.25">
      <c r="A106" s="619"/>
      <c r="D106" s="619"/>
      <c r="E106" s="619"/>
      <c r="F106" s="619"/>
      <c r="G106" s="619"/>
      <c r="H106" s="619"/>
      <c r="I106" s="619"/>
      <c r="J106" s="619"/>
      <c r="K106" s="619"/>
      <c r="L106" s="619"/>
      <c r="M106" s="619"/>
      <c r="N106" s="619"/>
      <c r="O106" s="619"/>
      <c r="P106" s="619"/>
    </row>
    <row r="107" spans="1:18" ht="12.75" hidden="1" customHeight="1" x14ac:dyDescent="0.25">
      <c r="A107" s="619"/>
      <c r="D107" s="619"/>
      <c r="E107" s="619"/>
      <c r="F107" s="619"/>
      <c r="G107" s="619"/>
      <c r="H107" s="619"/>
      <c r="I107" s="619"/>
      <c r="J107" s="619"/>
      <c r="K107" s="619"/>
      <c r="L107" s="619"/>
      <c r="M107" s="619"/>
      <c r="N107" s="619"/>
      <c r="O107" s="619"/>
      <c r="P107" s="619"/>
    </row>
    <row r="108" spans="1:18" ht="12.75" hidden="1" customHeight="1" x14ac:dyDescent="0.25">
      <c r="A108" s="619"/>
      <c r="D108" s="619"/>
      <c r="E108" s="619"/>
      <c r="F108" s="619"/>
      <c r="G108" s="619"/>
      <c r="H108" s="619"/>
      <c r="I108" s="619"/>
      <c r="J108" s="619"/>
      <c r="K108" s="619"/>
      <c r="L108" s="619"/>
      <c r="M108" s="619"/>
      <c r="N108" s="619"/>
      <c r="O108" s="619"/>
      <c r="P108" s="619"/>
    </row>
    <row r="109" spans="1:18" ht="12.75" hidden="1" customHeight="1" x14ac:dyDescent="0.25">
      <c r="A109" s="619"/>
      <c r="D109" s="619"/>
      <c r="E109" s="619"/>
      <c r="F109" s="619"/>
      <c r="G109" s="619"/>
      <c r="H109" s="619"/>
      <c r="I109" s="619"/>
      <c r="J109" s="619"/>
      <c r="K109" s="619"/>
      <c r="L109" s="619"/>
      <c r="M109" s="619"/>
      <c r="N109" s="619"/>
      <c r="O109" s="619"/>
      <c r="P109" s="619"/>
    </row>
    <row r="110" spans="1:18" ht="12.75" hidden="1" customHeight="1" x14ac:dyDescent="0.25">
      <c r="A110" s="619"/>
      <c r="D110" s="619"/>
      <c r="E110" s="619"/>
      <c r="F110" s="619"/>
      <c r="G110" s="619"/>
      <c r="H110" s="619"/>
      <c r="I110" s="619"/>
      <c r="J110" s="619"/>
      <c r="K110" s="619"/>
      <c r="L110" s="619"/>
      <c r="M110" s="619"/>
      <c r="N110" s="619"/>
      <c r="O110" s="619"/>
      <c r="P110" s="619"/>
    </row>
    <row r="111" spans="1:18" ht="12.75" hidden="1" customHeight="1" x14ac:dyDescent="0.25">
      <c r="A111" s="619"/>
      <c r="D111" s="619"/>
      <c r="E111" s="619"/>
      <c r="F111" s="619"/>
      <c r="G111" s="619"/>
      <c r="H111" s="619"/>
      <c r="I111" s="619"/>
      <c r="J111" s="619"/>
      <c r="K111" s="619"/>
      <c r="L111" s="619"/>
      <c r="M111" s="619"/>
      <c r="N111" s="619"/>
      <c r="O111" s="619"/>
      <c r="P111" s="619"/>
    </row>
    <row r="112" spans="1:18" ht="12.75" hidden="1" customHeight="1" x14ac:dyDescent="0.25">
      <c r="A112" s="619"/>
      <c r="D112" s="619"/>
      <c r="E112" s="619"/>
      <c r="F112" s="619"/>
      <c r="G112" s="619"/>
      <c r="H112" s="619"/>
      <c r="I112" s="619"/>
      <c r="J112" s="619"/>
      <c r="K112" s="619"/>
      <c r="L112" s="619"/>
      <c r="M112" s="619"/>
      <c r="N112" s="619"/>
      <c r="O112" s="619"/>
      <c r="P112" s="619"/>
    </row>
    <row r="113" spans="1:16" ht="12.75" hidden="1" customHeight="1" x14ac:dyDescent="0.25">
      <c r="A113" s="619"/>
      <c r="D113" s="619"/>
      <c r="E113" s="619"/>
      <c r="F113" s="619"/>
      <c r="G113" s="619"/>
      <c r="H113" s="619"/>
      <c r="I113" s="619"/>
      <c r="J113" s="619"/>
      <c r="K113" s="619"/>
      <c r="L113" s="619"/>
      <c r="M113" s="619"/>
      <c r="N113" s="619"/>
      <c r="O113" s="619"/>
      <c r="P113" s="619"/>
    </row>
    <row r="114" spans="1:16" ht="12.75" hidden="1" customHeight="1" x14ac:dyDescent="0.25">
      <c r="A114" s="619"/>
      <c r="D114" s="619"/>
      <c r="E114" s="619"/>
      <c r="F114" s="619"/>
      <c r="G114" s="619"/>
      <c r="H114" s="619"/>
      <c r="I114" s="619"/>
      <c r="J114" s="619"/>
      <c r="K114" s="619"/>
      <c r="L114" s="619"/>
      <c r="M114" s="619"/>
      <c r="N114" s="619"/>
      <c r="O114" s="619"/>
      <c r="P114" s="619"/>
    </row>
    <row r="115" spans="1:16" ht="12.75" hidden="1" customHeight="1" x14ac:dyDescent="0.25">
      <c r="A115" s="619"/>
      <c r="D115" s="619"/>
      <c r="E115" s="619"/>
      <c r="F115" s="619"/>
      <c r="G115" s="619"/>
      <c r="H115" s="619"/>
      <c r="I115" s="619"/>
      <c r="J115" s="619"/>
      <c r="K115" s="619"/>
      <c r="L115" s="619"/>
      <c r="M115" s="619"/>
      <c r="N115" s="619"/>
      <c r="O115" s="619"/>
      <c r="P115" s="619"/>
    </row>
    <row r="116" spans="1:16" ht="12.75" hidden="1" customHeight="1" x14ac:dyDescent="0.25">
      <c r="A116" s="619"/>
      <c r="D116" s="619"/>
      <c r="E116" s="619"/>
      <c r="F116" s="619"/>
      <c r="G116" s="619"/>
      <c r="H116" s="619"/>
      <c r="I116" s="619"/>
      <c r="J116" s="619"/>
      <c r="K116" s="619"/>
      <c r="L116" s="619"/>
      <c r="M116" s="619"/>
      <c r="N116" s="619"/>
      <c r="O116" s="619"/>
      <c r="P116" s="619"/>
    </row>
    <row r="117" spans="1:16" ht="12.75" hidden="1" customHeight="1" x14ac:dyDescent="0.25">
      <c r="A117" s="619"/>
      <c r="D117" s="619"/>
      <c r="E117" s="619"/>
      <c r="F117" s="619"/>
      <c r="G117" s="619"/>
      <c r="H117" s="619"/>
      <c r="I117" s="619"/>
      <c r="J117" s="619"/>
      <c r="K117" s="619"/>
      <c r="L117" s="619"/>
      <c r="M117" s="619"/>
      <c r="N117" s="619"/>
      <c r="O117" s="619"/>
      <c r="P117" s="619"/>
    </row>
    <row r="118" spans="1:16" ht="12.75" hidden="1" customHeight="1" x14ac:dyDescent="0.25">
      <c r="A118" s="619"/>
      <c r="D118" s="619"/>
      <c r="E118" s="619"/>
      <c r="F118" s="619"/>
      <c r="G118" s="619"/>
      <c r="H118" s="619"/>
      <c r="I118" s="619"/>
      <c r="J118" s="619"/>
      <c r="K118" s="619"/>
      <c r="L118" s="619"/>
      <c r="M118" s="619"/>
      <c r="N118" s="619"/>
      <c r="O118" s="619"/>
      <c r="P118" s="619"/>
    </row>
    <row r="119" spans="1:16" ht="12.75" hidden="1" customHeight="1" x14ac:dyDescent="0.25">
      <c r="A119" s="619"/>
      <c r="D119" s="619"/>
      <c r="E119" s="619"/>
      <c r="F119" s="619"/>
      <c r="G119" s="619"/>
      <c r="H119" s="619"/>
      <c r="I119" s="619"/>
      <c r="J119" s="619"/>
      <c r="K119" s="619"/>
      <c r="L119" s="619"/>
      <c r="M119" s="619"/>
      <c r="N119" s="619"/>
      <c r="O119" s="619"/>
      <c r="P119" s="619"/>
    </row>
    <row r="120" spans="1:16" ht="12.75" hidden="1" customHeight="1" x14ac:dyDescent="0.25">
      <c r="A120" s="619"/>
      <c r="D120" s="619"/>
      <c r="E120" s="619"/>
      <c r="F120" s="619"/>
      <c r="G120" s="619"/>
      <c r="H120" s="619"/>
      <c r="I120" s="619"/>
      <c r="J120" s="619"/>
      <c r="K120" s="619"/>
      <c r="L120" s="619"/>
      <c r="M120" s="619"/>
      <c r="N120" s="619"/>
      <c r="O120" s="619"/>
      <c r="P120" s="619"/>
    </row>
    <row r="121" spans="1:16" ht="12.75" hidden="1" customHeight="1" x14ac:dyDescent="0.25">
      <c r="A121" s="619"/>
      <c r="D121" s="619"/>
      <c r="E121" s="619"/>
      <c r="F121" s="619"/>
      <c r="G121" s="619"/>
      <c r="H121" s="619"/>
      <c r="I121" s="619"/>
      <c r="J121" s="619"/>
      <c r="K121" s="619"/>
      <c r="L121" s="619"/>
      <c r="M121" s="619"/>
      <c r="N121" s="619"/>
      <c r="O121" s="619"/>
      <c r="P121" s="619"/>
    </row>
    <row r="122" spans="1:16" ht="12.75" hidden="1" customHeight="1" x14ac:dyDescent="0.25">
      <c r="A122" s="619"/>
      <c r="D122" s="619"/>
      <c r="E122" s="619"/>
      <c r="F122" s="619"/>
      <c r="G122" s="619"/>
      <c r="H122" s="619"/>
      <c r="I122" s="619"/>
      <c r="J122" s="619"/>
      <c r="K122" s="619"/>
      <c r="L122" s="619"/>
      <c r="M122" s="619"/>
      <c r="N122" s="619"/>
      <c r="O122" s="619"/>
      <c r="P122" s="619"/>
    </row>
    <row r="123" spans="1:16" ht="12.75" hidden="1" customHeight="1" x14ac:dyDescent="0.25">
      <c r="A123" s="619"/>
      <c r="D123" s="619"/>
      <c r="E123" s="619"/>
      <c r="F123" s="619"/>
      <c r="G123" s="619"/>
      <c r="H123" s="619"/>
      <c r="I123" s="619"/>
      <c r="J123" s="619"/>
      <c r="K123" s="619"/>
      <c r="L123" s="619"/>
      <c r="M123" s="619"/>
      <c r="N123" s="619"/>
      <c r="O123" s="619"/>
      <c r="P123" s="619"/>
    </row>
    <row r="124" spans="1:16" ht="12.75" hidden="1" customHeight="1" x14ac:dyDescent="0.25">
      <c r="A124" s="619"/>
      <c r="D124" s="619"/>
      <c r="E124" s="619"/>
      <c r="F124" s="619"/>
      <c r="G124" s="619"/>
      <c r="H124" s="619"/>
      <c r="I124" s="619"/>
      <c r="J124" s="619"/>
      <c r="K124" s="619"/>
      <c r="L124" s="619"/>
      <c r="M124" s="619"/>
      <c r="N124" s="619"/>
      <c r="O124" s="619"/>
      <c r="P124" s="619"/>
    </row>
    <row r="125" spans="1:16" ht="12.75" hidden="1" customHeight="1" x14ac:dyDescent="0.25">
      <c r="A125" s="619"/>
      <c r="D125" s="619"/>
      <c r="E125" s="619"/>
      <c r="F125" s="619"/>
      <c r="G125" s="619"/>
      <c r="H125" s="619"/>
      <c r="I125" s="619"/>
      <c r="J125" s="619"/>
      <c r="K125" s="619"/>
      <c r="L125" s="619"/>
      <c r="M125" s="619"/>
      <c r="N125" s="619"/>
      <c r="O125" s="619"/>
      <c r="P125" s="619"/>
    </row>
    <row r="126" spans="1:16" ht="12.75" hidden="1" customHeight="1" x14ac:dyDescent="0.25">
      <c r="A126" s="619"/>
      <c r="D126" s="619"/>
      <c r="E126" s="619"/>
      <c r="F126" s="619"/>
      <c r="G126" s="619"/>
      <c r="H126" s="619"/>
      <c r="I126" s="619"/>
      <c r="J126" s="619"/>
      <c r="K126" s="619"/>
      <c r="L126" s="619"/>
      <c r="M126" s="619"/>
      <c r="N126" s="619"/>
      <c r="O126" s="619"/>
      <c r="P126" s="619"/>
    </row>
    <row r="127" spans="1:16" ht="12.75" hidden="1" customHeight="1" x14ac:dyDescent="0.25">
      <c r="A127" s="619"/>
      <c r="D127" s="619"/>
      <c r="E127" s="619"/>
      <c r="F127" s="619"/>
      <c r="G127" s="619"/>
      <c r="H127" s="619"/>
      <c r="I127" s="619"/>
      <c r="J127" s="619"/>
      <c r="K127" s="619"/>
      <c r="L127" s="619"/>
      <c r="M127" s="619"/>
      <c r="N127" s="619"/>
      <c r="O127" s="619"/>
      <c r="P127" s="619"/>
    </row>
    <row r="128" spans="1:16" ht="12.75" hidden="1" customHeight="1" x14ac:dyDescent="0.25">
      <c r="A128" s="619"/>
      <c r="D128" s="619"/>
      <c r="E128" s="619"/>
      <c r="F128" s="619"/>
      <c r="G128" s="619"/>
      <c r="H128" s="619"/>
      <c r="I128" s="619"/>
      <c r="J128" s="619"/>
      <c r="K128" s="619"/>
      <c r="L128" s="619"/>
      <c r="M128" s="619"/>
      <c r="N128" s="619"/>
      <c r="O128" s="619"/>
      <c r="P128" s="619"/>
    </row>
    <row r="129" spans="1:16" ht="12.75" hidden="1" customHeight="1" x14ac:dyDescent="0.25">
      <c r="A129" s="619"/>
      <c r="D129" s="619"/>
      <c r="E129" s="619"/>
      <c r="F129" s="619"/>
      <c r="G129" s="619"/>
      <c r="H129" s="619"/>
      <c r="I129" s="619"/>
      <c r="J129" s="619"/>
      <c r="K129" s="619"/>
      <c r="L129" s="619"/>
      <c r="M129" s="619"/>
      <c r="N129" s="619"/>
      <c r="O129" s="619"/>
      <c r="P129" s="619"/>
    </row>
    <row r="130" spans="1:16" ht="12.75" hidden="1" customHeight="1" x14ac:dyDescent="0.25">
      <c r="A130" s="619"/>
      <c r="D130" s="619"/>
      <c r="E130" s="619"/>
      <c r="F130" s="619"/>
      <c r="G130" s="619"/>
      <c r="H130" s="619"/>
      <c r="I130" s="619"/>
      <c r="J130" s="619"/>
      <c r="K130" s="619"/>
      <c r="L130" s="619"/>
      <c r="M130" s="619"/>
      <c r="N130" s="619"/>
      <c r="O130" s="619"/>
      <c r="P130" s="619"/>
    </row>
    <row r="131" spans="1:16" ht="12.75" hidden="1" customHeight="1" x14ac:dyDescent="0.25">
      <c r="A131" s="619"/>
      <c r="D131" s="619"/>
      <c r="E131" s="619"/>
      <c r="F131" s="619"/>
      <c r="G131" s="619"/>
      <c r="H131" s="619"/>
      <c r="I131" s="619"/>
      <c r="J131" s="619"/>
      <c r="K131" s="619"/>
      <c r="L131" s="619"/>
      <c r="M131" s="619"/>
      <c r="N131" s="619"/>
      <c r="O131" s="619"/>
      <c r="P131" s="619"/>
    </row>
    <row r="132" spans="1:16" ht="12.75" hidden="1" customHeight="1" x14ac:dyDescent="0.25">
      <c r="A132" s="619"/>
      <c r="D132" s="619"/>
      <c r="E132" s="619"/>
      <c r="F132" s="619"/>
      <c r="G132" s="619"/>
      <c r="H132" s="619"/>
      <c r="I132" s="619"/>
      <c r="J132" s="619"/>
      <c r="K132" s="619"/>
      <c r="L132" s="619"/>
      <c r="M132" s="619"/>
      <c r="N132" s="619"/>
      <c r="O132" s="619"/>
      <c r="P132" s="619"/>
    </row>
    <row r="133" spans="1:16" ht="12.75" hidden="1" customHeight="1" x14ac:dyDescent="0.25">
      <c r="A133" s="619"/>
      <c r="D133" s="619"/>
      <c r="E133" s="619"/>
      <c r="F133" s="619"/>
      <c r="G133" s="619"/>
      <c r="H133" s="619"/>
      <c r="I133" s="619"/>
      <c r="J133" s="619"/>
      <c r="K133" s="619"/>
      <c r="L133" s="619"/>
      <c r="M133" s="619"/>
      <c r="N133" s="619"/>
      <c r="O133" s="619"/>
      <c r="P133" s="619"/>
    </row>
    <row r="134" spans="1:16" ht="12.75" hidden="1" customHeight="1" x14ac:dyDescent="0.25">
      <c r="A134" s="619"/>
      <c r="D134" s="619"/>
      <c r="E134" s="619"/>
      <c r="F134" s="619"/>
      <c r="G134" s="619"/>
      <c r="H134" s="619"/>
      <c r="I134" s="619"/>
      <c r="J134" s="619"/>
      <c r="K134" s="619"/>
      <c r="L134" s="619"/>
      <c r="M134" s="619"/>
      <c r="N134" s="619"/>
      <c r="O134" s="619"/>
      <c r="P134" s="619"/>
    </row>
    <row r="135" spans="1:16" ht="12.75" hidden="1" customHeight="1" x14ac:dyDescent="0.25">
      <c r="A135" s="619"/>
      <c r="D135" s="619"/>
      <c r="E135" s="619"/>
      <c r="F135" s="619"/>
      <c r="G135" s="619"/>
      <c r="H135" s="619"/>
      <c r="I135" s="619"/>
      <c r="J135" s="619"/>
      <c r="K135" s="619"/>
      <c r="L135" s="619"/>
      <c r="M135" s="619"/>
      <c r="N135" s="619"/>
      <c r="O135" s="619"/>
      <c r="P135" s="619"/>
    </row>
    <row r="136" spans="1:16" ht="12.75" hidden="1" customHeight="1" x14ac:dyDescent="0.25">
      <c r="A136" s="619"/>
      <c r="D136" s="619"/>
      <c r="E136" s="619"/>
      <c r="F136" s="619"/>
      <c r="G136" s="619"/>
      <c r="H136" s="619"/>
      <c r="I136" s="619"/>
      <c r="J136" s="619"/>
      <c r="K136" s="619"/>
      <c r="L136" s="619"/>
      <c r="M136" s="619"/>
      <c r="N136" s="619"/>
      <c r="O136" s="619"/>
      <c r="P136" s="619"/>
    </row>
    <row r="137" spans="1:16" ht="12.75" hidden="1" customHeight="1" x14ac:dyDescent="0.25">
      <c r="A137" s="619"/>
      <c r="D137" s="619"/>
      <c r="E137" s="619"/>
      <c r="F137" s="619"/>
      <c r="G137" s="619"/>
      <c r="H137" s="619"/>
      <c r="I137" s="619"/>
      <c r="J137" s="619"/>
      <c r="K137" s="619"/>
      <c r="L137" s="619"/>
      <c r="M137" s="619"/>
      <c r="N137" s="619"/>
      <c r="O137" s="619"/>
      <c r="P137" s="619"/>
    </row>
    <row r="138" spans="1:16" ht="12.75" hidden="1" customHeight="1" x14ac:dyDescent="0.25">
      <c r="A138" s="619"/>
      <c r="D138" s="619"/>
      <c r="E138" s="619"/>
      <c r="F138" s="619"/>
      <c r="G138" s="619"/>
      <c r="H138" s="619"/>
      <c r="I138" s="619"/>
      <c r="J138" s="619"/>
      <c r="K138" s="619"/>
      <c r="L138" s="619"/>
      <c r="M138" s="619"/>
      <c r="N138" s="619"/>
      <c r="O138" s="619"/>
      <c r="P138" s="619"/>
    </row>
    <row r="139" spans="1:16" ht="12.75" hidden="1" customHeight="1" x14ac:dyDescent="0.25">
      <c r="A139" s="619"/>
      <c r="D139" s="619"/>
      <c r="E139" s="619"/>
      <c r="F139" s="619"/>
      <c r="G139" s="619"/>
      <c r="H139" s="619"/>
      <c r="I139" s="619"/>
      <c r="J139" s="619"/>
      <c r="K139" s="619"/>
      <c r="L139" s="619"/>
      <c r="M139" s="619"/>
      <c r="N139" s="619"/>
      <c r="O139" s="619"/>
      <c r="P139" s="619"/>
    </row>
    <row r="140" spans="1:16" ht="12.75" hidden="1" customHeight="1" x14ac:dyDescent="0.25">
      <c r="A140" s="619"/>
      <c r="D140" s="619"/>
      <c r="E140" s="619"/>
      <c r="F140" s="619"/>
      <c r="G140" s="619"/>
      <c r="H140" s="619"/>
      <c r="I140" s="619"/>
      <c r="J140" s="619"/>
      <c r="K140" s="619"/>
      <c r="L140" s="619"/>
      <c r="M140" s="619"/>
      <c r="N140" s="619"/>
      <c r="O140" s="619"/>
      <c r="P140" s="619"/>
    </row>
    <row r="141" spans="1:16" ht="12.75" hidden="1" customHeight="1" x14ac:dyDescent="0.25">
      <c r="A141" s="619"/>
      <c r="D141" s="619"/>
      <c r="E141" s="619"/>
      <c r="F141" s="619"/>
      <c r="G141" s="619"/>
      <c r="H141" s="619"/>
      <c r="I141" s="619"/>
      <c r="J141" s="619"/>
      <c r="K141" s="619"/>
      <c r="L141" s="619"/>
      <c r="M141" s="619"/>
      <c r="N141" s="619"/>
      <c r="O141" s="619"/>
      <c r="P141" s="619"/>
    </row>
    <row r="142" spans="1:16" ht="12.75" hidden="1" customHeight="1" x14ac:dyDescent="0.25">
      <c r="A142" s="619"/>
      <c r="D142" s="619"/>
      <c r="E142" s="619"/>
      <c r="F142" s="619"/>
      <c r="G142" s="619"/>
      <c r="H142" s="619"/>
      <c r="I142" s="619"/>
      <c r="J142" s="619"/>
      <c r="K142" s="619"/>
      <c r="L142" s="619"/>
      <c r="M142" s="619"/>
      <c r="N142" s="619"/>
      <c r="O142" s="619"/>
      <c r="P142" s="619"/>
    </row>
    <row r="143" spans="1:16" ht="12.75" hidden="1" customHeight="1" x14ac:dyDescent="0.25">
      <c r="A143" s="619"/>
      <c r="D143" s="619"/>
      <c r="E143" s="619"/>
      <c r="F143" s="619"/>
      <c r="G143" s="619"/>
      <c r="H143" s="619"/>
      <c r="I143" s="619"/>
      <c r="J143" s="619"/>
      <c r="K143" s="619"/>
      <c r="L143" s="619"/>
      <c r="M143" s="619"/>
      <c r="N143" s="619"/>
      <c r="O143" s="619"/>
      <c r="P143" s="619"/>
    </row>
    <row r="144" spans="1:16" ht="12.75" hidden="1" customHeight="1" x14ac:dyDescent="0.25">
      <c r="A144" s="619"/>
      <c r="D144" s="619"/>
      <c r="E144" s="619"/>
      <c r="F144" s="619"/>
      <c r="G144" s="619"/>
      <c r="H144" s="619"/>
      <c r="I144" s="619"/>
      <c r="J144" s="619"/>
      <c r="K144" s="619"/>
      <c r="L144" s="619"/>
      <c r="M144" s="619"/>
      <c r="N144" s="619"/>
      <c r="O144" s="619"/>
      <c r="P144" s="619"/>
    </row>
    <row r="145" spans="1:16" ht="12.75" hidden="1" customHeight="1" x14ac:dyDescent="0.25">
      <c r="A145" s="619"/>
      <c r="D145" s="619"/>
      <c r="E145" s="619"/>
      <c r="F145" s="619"/>
      <c r="G145" s="619"/>
      <c r="H145" s="619"/>
      <c r="I145" s="619"/>
      <c r="J145" s="619"/>
      <c r="K145" s="619"/>
      <c r="L145" s="619"/>
      <c r="M145" s="619"/>
      <c r="N145" s="619"/>
      <c r="O145" s="619"/>
      <c r="P145" s="619"/>
    </row>
    <row r="146" spans="1:16" ht="12.75" hidden="1" customHeight="1" x14ac:dyDescent="0.25">
      <c r="A146" s="619"/>
      <c r="D146" s="619"/>
      <c r="E146" s="619"/>
      <c r="F146" s="619"/>
      <c r="G146" s="619"/>
      <c r="H146" s="619"/>
      <c r="I146" s="619"/>
      <c r="J146" s="619"/>
      <c r="K146" s="619"/>
      <c r="L146" s="619"/>
      <c r="M146" s="619"/>
      <c r="N146" s="619"/>
      <c r="O146" s="619"/>
      <c r="P146" s="619"/>
    </row>
    <row r="147" spans="1:16" ht="12.75" hidden="1" customHeight="1" x14ac:dyDescent="0.25">
      <c r="A147" s="619"/>
      <c r="D147" s="619"/>
      <c r="E147" s="619"/>
      <c r="F147" s="619"/>
      <c r="G147" s="619"/>
      <c r="H147" s="619"/>
      <c r="I147" s="619"/>
      <c r="J147" s="619"/>
      <c r="K147" s="619"/>
      <c r="L147" s="619"/>
      <c r="M147" s="619"/>
      <c r="N147" s="619"/>
      <c r="O147" s="619"/>
      <c r="P147" s="619"/>
    </row>
    <row r="148" spans="1:16" ht="12.75" hidden="1" customHeight="1" x14ac:dyDescent="0.25">
      <c r="A148" s="619"/>
      <c r="D148" s="619"/>
      <c r="E148" s="619"/>
      <c r="F148" s="619"/>
      <c r="G148" s="619"/>
      <c r="H148" s="619"/>
      <c r="I148" s="619"/>
      <c r="J148" s="619"/>
      <c r="K148" s="619"/>
      <c r="L148" s="619"/>
      <c r="M148" s="619"/>
      <c r="N148" s="619"/>
      <c r="O148" s="619"/>
      <c r="P148" s="619"/>
    </row>
    <row r="149" spans="1:16" ht="12.75" hidden="1" customHeight="1" x14ac:dyDescent="0.25">
      <c r="A149" s="619"/>
      <c r="D149" s="619"/>
      <c r="E149" s="619"/>
      <c r="F149" s="619"/>
      <c r="G149" s="619"/>
      <c r="H149" s="619"/>
      <c r="I149" s="619"/>
      <c r="J149" s="619"/>
      <c r="K149" s="619"/>
      <c r="L149" s="619"/>
      <c r="M149" s="619"/>
      <c r="N149" s="619"/>
      <c r="O149" s="619"/>
      <c r="P149" s="619"/>
    </row>
    <row r="150" spans="1:16" ht="12.75" hidden="1" customHeight="1" x14ac:dyDescent="0.25">
      <c r="A150" s="619"/>
      <c r="D150" s="619"/>
      <c r="E150" s="619"/>
      <c r="F150" s="619"/>
      <c r="G150" s="619"/>
      <c r="H150" s="619"/>
      <c r="I150" s="619"/>
      <c r="J150" s="619"/>
      <c r="K150" s="619"/>
      <c r="L150" s="619"/>
      <c r="M150" s="619"/>
      <c r="N150" s="619"/>
      <c r="O150" s="619"/>
      <c r="P150" s="619"/>
    </row>
    <row r="151" spans="1:16" ht="12.75" hidden="1" customHeight="1" x14ac:dyDescent="0.25">
      <c r="A151" s="619"/>
      <c r="D151" s="619"/>
      <c r="E151" s="619"/>
      <c r="F151" s="619"/>
      <c r="G151" s="619"/>
      <c r="H151" s="619"/>
      <c r="I151" s="619"/>
      <c r="J151" s="619"/>
      <c r="K151" s="619"/>
      <c r="L151" s="619"/>
      <c r="M151" s="619"/>
      <c r="N151" s="619"/>
      <c r="O151" s="619"/>
      <c r="P151" s="619"/>
    </row>
    <row r="152" spans="1:16" ht="12.75" hidden="1" customHeight="1" x14ac:dyDescent="0.25">
      <c r="A152" s="619"/>
      <c r="D152" s="619"/>
      <c r="E152" s="619"/>
      <c r="F152" s="619"/>
      <c r="G152" s="619"/>
      <c r="H152" s="619"/>
      <c r="I152" s="619"/>
      <c r="J152" s="619"/>
      <c r="K152" s="619"/>
      <c r="L152" s="619"/>
      <c r="M152" s="619"/>
      <c r="N152" s="619"/>
      <c r="O152" s="619"/>
      <c r="P152" s="619"/>
    </row>
    <row r="153" spans="1:16" ht="12.75" hidden="1" customHeight="1" x14ac:dyDescent="0.25">
      <c r="A153" s="619"/>
      <c r="D153" s="619"/>
      <c r="E153" s="619"/>
      <c r="F153" s="619"/>
      <c r="G153" s="619"/>
      <c r="H153" s="619"/>
      <c r="I153" s="619"/>
      <c r="J153" s="619"/>
      <c r="K153" s="619"/>
      <c r="L153" s="619"/>
      <c r="M153" s="619"/>
      <c r="N153" s="619"/>
      <c r="O153" s="619"/>
      <c r="P153" s="619"/>
    </row>
    <row r="154" spans="1:16" ht="12.75" hidden="1" customHeight="1" x14ac:dyDescent="0.25">
      <c r="A154" s="619"/>
      <c r="D154" s="619"/>
      <c r="E154" s="619"/>
      <c r="F154" s="619"/>
      <c r="G154" s="619"/>
      <c r="H154" s="619"/>
      <c r="I154" s="619"/>
      <c r="J154" s="619"/>
      <c r="K154" s="619"/>
      <c r="L154" s="619"/>
      <c r="M154" s="619"/>
      <c r="N154" s="619"/>
      <c r="O154" s="619"/>
      <c r="P154" s="619"/>
    </row>
    <row r="155" spans="1:16" ht="12.75" hidden="1" customHeight="1" x14ac:dyDescent="0.25">
      <c r="A155" s="619"/>
      <c r="D155" s="619"/>
      <c r="E155" s="619"/>
      <c r="F155" s="619"/>
      <c r="G155" s="619"/>
      <c r="H155" s="619"/>
      <c r="I155" s="619"/>
      <c r="J155" s="619"/>
      <c r="K155" s="619"/>
      <c r="L155" s="619"/>
      <c r="M155" s="619"/>
      <c r="N155" s="619"/>
      <c r="O155" s="619"/>
      <c r="P155" s="619"/>
    </row>
    <row r="156" spans="1:16" ht="12.75" hidden="1" customHeight="1" x14ac:dyDescent="0.25">
      <c r="A156" s="619"/>
      <c r="D156" s="619"/>
      <c r="E156" s="619"/>
      <c r="F156" s="619"/>
      <c r="G156" s="619"/>
      <c r="H156" s="619"/>
      <c r="I156" s="619"/>
      <c r="J156" s="619"/>
      <c r="K156" s="619"/>
      <c r="L156" s="619"/>
      <c r="M156" s="619"/>
      <c r="N156" s="619"/>
      <c r="O156" s="619"/>
      <c r="P156" s="619"/>
    </row>
    <row r="157" spans="1:16" ht="12.75" hidden="1" customHeight="1" x14ac:dyDescent="0.25">
      <c r="A157" s="619"/>
      <c r="D157" s="619"/>
      <c r="E157" s="619"/>
      <c r="F157" s="619"/>
      <c r="G157" s="619"/>
      <c r="H157" s="619"/>
      <c r="I157" s="619"/>
      <c r="J157" s="619"/>
      <c r="K157" s="619"/>
      <c r="L157" s="619"/>
      <c r="M157" s="619"/>
      <c r="N157" s="619"/>
      <c r="O157" s="619"/>
      <c r="P157" s="619"/>
    </row>
    <row r="158" spans="1:16" ht="12.75" hidden="1" customHeight="1" x14ac:dyDescent="0.25">
      <c r="A158" s="619"/>
      <c r="D158" s="619"/>
      <c r="E158" s="619"/>
      <c r="F158" s="619"/>
      <c r="G158" s="619"/>
      <c r="H158" s="619"/>
      <c r="I158" s="619"/>
      <c r="J158" s="619"/>
      <c r="K158" s="619"/>
      <c r="L158" s="619"/>
      <c r="M158" s="619"/>
      <c r="N158" s="619"/>
      <c r="O158" s="619"/>
      <c r="P158" s="619"/>
    </row>
    <row r="159" spans="1:16" ht="12.75" hidden="1" customHeight="1" x14ac:dyDescent="0.25">
      <c r="A159" s="619"/>
      <c r="D159" s="619"/>
      <c r="E159" s="619"/>
      <c r="F159" s="619"/>
      <c r="G159" s="619"/>
      <c r="H159" s="619"/>
      <c r="I159" s="619"/>
      <c r="J159" s="619"/>
      <c r="K159" s="619"/>
      <c r="L159" s="619"/>
      <c r="M159" s="619"/>
      <c r="N159" s="619"/>
      <c r="O159" s="619"/>
      <c r="P159" s="619"/>
    </row>
    <row r="160" spans="1:16" ht="12.75" hidden="1" customHeight="1" x14ac:dyDescent="0.25">
      <c r="A160" s="619"/>
      <c r="D160" s="619"/>
      <c r="E160" s="619"/>
      <c r="F160" s="619"/>
      <c r="G160" s="619"/>
      <c r="H160" s="619"/>
      <c r="I160" s="619"/>
      <c r="J160" s="619"/>
      <c r="K160" s="619"/>
      <c r="L160" s="619"/>
      <c r="M160" s="619"/>
      <c r="N160" s="619"/>
      <c r="O160" s="619"/>
      <c r="P160" s="619"/>
    </row>
    <row r="161" spans="1:18" ht="12.75" hidden="1" customHeight="1" x14ac:dyDescent="0.25">
      <c r="A161" s="619"/>
      <c r="D161" s="619"/>
      <c r="E161" s="619"/>
      <c r="F161" s="619"/>
      <c r="G161" s="619"/>
      <c r="H161" s="619"/>
      <c r="I161" s="619"/>
      <c r="J161" s="619"/>
      <c r="K161" s="619"/>
      <c r="L161" s="619"/>
      <c r="M161" s="619"/>
      <c r="N161" s="619"/>
      <c r="O161" s="619"/>
      <c r="P161" s="619"/>
    </row>
    <row r="162" spans="1:18" ht="12.75" hidden="1" customHeight="1" x14ac:dyDescent="0.25">
      <c r="A162" s="619"/>
      <c r="D162" s="619"/>
      <c r="E162" s="619"/>
      <c r="F162" s="619"/>
      <c r="G162" s="619"/>
      <c r="H162" s="619"/>
      <c r="I162" s="619"/>
      <c r="J162" s="619"/>
      <c r="K162" s="619"/>
      <c r="L162" s="619"/>
      <c r="M162" s="619"/>
      <c r="N162" s="619"/>
      <c r="O162" s="619"/>
      <c r="P162" s="619"/>
    </row>
    <row r="163" spans="1:18" ht="12.75" hidden="1" customHeight="1" x14ac:dyDescent="0.25">
      <c r="A163" s="619"/>
      <c r="D163" s="619"/>
      <c r="E163" s="619"/>
      <c r="F163" s="619"/>
      <c r="G163" s="619"/>
      <c r="H163" s="619"/>
      <c r="I163" s="619"/>
      <c r="J163" s="619"/>
      <c r="K163" s="619"/>
      <c r="L163" s="619"/>
      <c r="M163" s="619"/>
      <c r="N163" s="619"/>
      <c r="O163" s="619"/>
      <c r="P163" s="619"/>
    </row>
    <row r="164" spans="1:18" ht="12.75" hidden="1" customHeight="1" x14ac:dyDescent="0.25">
      <c r="A164" s="619"/>
      <c r="D164" s="619"/>
      <c r="E164" s="619"/>
      <c r="F164" s="619"/>
      <c r="G164" s="619"/>
      <c r="H164" s="619"/>
      <c r="I164" s="619"/>
      <c r="J164" s="619"/>
      <c r="K164" s="619"/>
      <c r="L164" s="619"/>
      <c r="M164" s="619"/>
      <c r="N164" s="619"/>
      <c r="O164" s="619"/>
      <c r="P164" s="619"/>
    </row>
    <row r="165" spans="1:18" ht="12.75" hidden="1" customHeight="1" x14ac:dyDescent="0.25">
      <c r="A165" s="619"/>
      <c r="D165" s="619"/>
      <c r="E165" s="619"/>
      <c r="F165" s="619"/>
      <c r="G165" s="619"/>
      <c r="H165" s="619"/>
      <c r="I165" s="619"/>
      <c r="J165" s="619"/>
      <c r="K165" s="619"/>
      <c r="L165" s="619"/>
      <c r="M165" s="619"/>
      <c r="N165" s="619"/>
      <c r="O165" s="619"/>
      <c r="P165" s="619"/>
    </row>
    <row r="166" spans="1:18" ht="12.75" hidden="1" customHeight="1" x14ac:dyDescent="0.25">
      <c r="A166" s="619"/>
      <c r="D166" s="619"/>
      <c r="E166" s="619"/>
      <c r="F166" s="619"/>
      <c r="G166" s="619"/>
      <c r="H166" s="619"/>
      <c r="I166" s="619"/>
      <c r="J166" s="619"/>
      <c r="K166" s="619"/>
      <c r="L166" s="619"/>
      <c r="M166" s="619"/>
      <c r="N166" s="619"/>
      <c r="O166" s="619"/>
      <c r="P166" s="619"/>
    </row>
    <row r="167" spans="1:18" ht="12.75" customHeight="1" x14ac:dyDescent="0.25">
      <c r="A167" s="619"/>
      <c r="D167" s="619"/>
      <c r="E167" s="619"/>
      <c r="F167" s="619"/>
      <c r="G167" s="619"/>
      <c r="H167" s="619"/>
      <c r="I167" s="619"/>
      <c r="J167" s="619"/>
      <c r="K167" s="619"/>
      <c r="L167" s="619"/>
      <c r="M167" s="619"/>
      <c r="N167" s="619"/>
      <c r="O167" s="619"/>
      <c r="P167" s="619"/>
    </row>
    <row r="168" spans="1:18" ht="12.75" customHeight="1" x14ac:dyDescent="0.25">
      <c r="A168" s="777" t="s">
        <v>2</v>
      </c>
      <c r="B168" s="776" t="s">
        <v>132</v>
      </c>
      <c r="C168" s="767" t="s">
        <v>70</v>
      </c>
      <c r="D168" s="767">
        <f>D105-P105</f>
        <v>-71069759</v>
      </c>
      <c r="E168" s="767">
        <f>E101+E95</f>
        <v>-15881719.34</v>
      </c>
      <c r="F168" s="767">
        <f t="shared" ref="F168:R168" si="3">F101+F95</f>
        <v>-7382378.6299999999</v>
      </c>
      <c r="G168" s="767">
        <f t="shared" si="3"/>
        <v>-4039895.56</v>
      </c>
      <c r="H168" s="767">
        <f t="shared" si="3"/>
        <v>-3333202.99</v>
      </c>
      <c r="I168" s="767">
        <f t="shared" si="3"/>
        <v>-119625.47</v>
      </c>
      <c r="J168" s="767">
        <f t="shared" si="3"/>
        <v>-1050942.24</v>
      </c>
      <c r="K168" s="767">
        <f t="shared" si="3"/>
        <v>-1052754.19</v>
      </c>
      <c r="L168" s="767">
        <f t="shared" si="3"/>
        <v>-4921480.46</v>
      </c>
      <c r="M168" s="767">
        <f t="shared" si="3"/>
        <v>-32197091.960000001</v>
      </c>
      <c r="N168" s="767">
        <f t="shared" si="3"/>
        <v>-194756.94999999998</v>
      </c>
      <c r="O168" s="767">
        <f t="shared" si="3"/>
        <v>28.29</v>
      </c>
      <c r="P168" s="767">
        <f t="shared" si="3"/>
        <v>0</v>
      </c>
      <c r="Q168" s="767">
        <f t="shared" si="3"/>
        <v>0</v>
      </c>
      <c r="R168" s="767">
        <f t="shared" si="3"/>
        <v>0</v>
      </c>
    </row>
    <row r="169" spans="1:18" ht="12.75" customHeight="1" x14ac:dyDescent="0.25">
      <c r="A169" s="777"/>
      <c r="B169" s="776"/>
      <c r="C169" s="767" t="s">
        <v>73</v>
      </c>
      <c r="D169" s="767">
        <f>D103+D97</f>
        <v>-895939.5</v>
      </c>
      <c r="E169" s="619"/>
      <c r="F169" s="619"/>
      <c r="G169" s="619"/>
      <c r="H169" s="619"/>
      <c r="I169" s="619"/>
      <c r="J169" s="619"/>
      <c r="K169" s="619"/>
      <c r="L169" s="619"/>
      <c r="M169" s="619"/>
      <c r="N169" s="619"/>
      <c r="O169" s="619"/>
      <c r="P169" s="619"/>
      <c r="Q169" s="619"/>
    </row>
    <row r="170" spans="1:18" ht="12.75" customHeight="1" x14ac:dyDescent="0.3">
      <c r="A170" s="618"/>
      <c r="D170" s="619"/>
      <c r="E170" s="619"/>
      <c r="F170" s="619"/>
      <c r="G170" s="619"/>
      <c r="H170" s="619"/>
      <c r="I170" s="619"/>
      <c r="J170" s="619"/>
      <c r="K170" s="619"/>
      <c r="L170" s="619"/>
      <c r="M170" s="619"/>
      <c r="N170" s="619"/>
      <c r="O170" s="619"/>
      <c r="P170" s="619"/>
      <c r="Q170" s="619"/>
    </row>
    <row r="171" spans="1:18" ht="12.75" customHeight="1" x14ac:dyDescent="0.25">
      <c r="A171" s="777" t="s">
        <v>160</v>
      </c>
      <c r="B171" s="776" t="s">
        <v>132</v>
      </c>
      <c r="C171" s="633" t="s">
        <v>70</v>
      </c>
      <c r="D171" s="633">
        <v>0</v>
      </c>
      <c r="E171" s="633">
        <v>0</v>
      </c>
      <c r="F171" s="633">
        <v>0</v>
      </c>
      <c r="G171" s="633">
        <v>0</v>
      </c>
      <c r="H171" s="633">
        <v>0</v>
      </c>
      <c r="I171" s="633">
        <v>0</v>
      </c>
      <c r="J171" s="633">
        <v>0</v>
      </c>
      <c r="K171" s="633">
        <v>0</v>
      </c>
      <c r="L171" s="633">
        <v>0</v>
      </c>
      <c r="M171" s="633">
        <v>0</v>
      </c>
      <c r="N171" s="633">
        <v>0</v>
      </c>
      <c r="O171" s="633">
        <v>0</v>
      </c>
      <c r="P171" s="633">
        <v>0</v>
      </c>
      <c r="Q171" s="633">
        <v>0</v>
      </c>
      <c r="R171" s="633">
        <v>0</v>
      </c>
    </row>
    <row r="172" spans="1:18" ht="12.75" customHeight="1" x14ac:dyDescent="0.25">
      <c r="A172" s="777"/>
      <c r="B172" s="776"/>
      <c r="C172" s="633" t="s">
        <v>73</v>
      </c>
      <c r="D172" s="633">
        <v>0</v>
      </c>
      <c r="E172" s="619"/>
      <c r="F172" s="619"/>
      <c r="G172" s="619"/>
      <c r="H172" s="619"/>
      <c r="I172" s="619"/>
      <c r="J172" s="619"/>
      <c r="K172" s="619"/>
      <c r="L172" s="619"/>
      <c r="M172" s="619"/>
      <c r="N172" s="619"/>
      <c r="O172" s="619"/>
      <c r="P172" s="619"/>
      <c r="Q172" s="619"/>
    </row>
    <row r="173" spans="1:18" ht="12.75" customHeight="1" x14ac:dyDescent="0.3">
      <c r="A173" s="618"/>
      <c r="D173" s="619"/>
      <c r="E173" s="619"/>
      <c r="F173" s="619"/>
      <c r="G173" s="619"/>
      <c r="H173" s="619"/>
      <c r="I173" s="619"/>
      <c r="J173" s="619"/>
      <c r="K173" s="619"/>
      <c r="L173" s="619"/>
      <c r="M173" s="619"/>
      <c r="N173" s="619"/>
      <c r="O173" s="619"/>
      <c r="P173" s="619"/>
      <c r="Q173" s="619"/>
    </row>
    <row r="174" spans="1:18" ht="12.75" customHeight="1" x14ac:dyDescent="0.25">
      <c r="A174" s="777" t="s">
        <v>155</v>
      </c>
      <c r="B174" s="776" t="s">
        <v>132</v>
      </c>
      <c r="C174" s="634" t="s">
        <v>70</v>
      </c>
      <c r="D174" s="634">
        <f>D98-P98</f>
        <v>-70779009</v>
      </c>
      <c r="E174" s="634">
        <f t="shared" ref="E174:R174" si="4">E95</f>
        <v>-15837976.050000001</v>
      </c>
      <c r="F174" s="634">
        <f t="shared" si="4"/>
        <v>-7358007.8200000003</v>
      </c>
      <c r="G174" s="634">
        <f t="shared" si="4"/>
        <v>-4026740.13</v>
      </c>
      <c r="H174" s="634">
        <f t="shared" si="4"/>
        <v>-3253504.04</v>
      </c>
      <c r="I174" s="634">
        <f t="shared" si="4"/>
        <v>-117278.95</v>
      </c>
      <c r="J174" s="634">
        <f t="shared" si="4"/>
        <v>-1030358.55</v>
      </c>
      <c r="K174" s="634">
        <f t="shared" si="4"/>
        <v>-1031768.99</v>
      </c>
      <c r="L174" s="634">
        <f t="shared" si="4"/>
        <v>-4830594.83</v>
      </c>
      <c r="M174" s="634">
        <f t="shared" si="4"/>
        <v>-32110042.210000001</v>
      </c>
      <c r="N174" s="634">
        <f t="shared" si="4"/>
        <v>-191350.21</v>
      </c>
      <c r="O174" s="634">
        <f t="shared" si="4"/>
        <v>23.74</v>
      </c>
      <c r="P174" s="634">
        <f t="shared" si="4"/>
        <v>0</v>
      </c>
      <c r="Q174" s="634">
        <f t="shared" si="4"/>
        <v>0</v>
      </c>
      <c r="R174" s="634">
        <f t="shared" si="4"/>
        <v>0</v>
      </c>
    </row>
    <row r="175" spans="1:18" ht="12.75" customHeight="1" x14ac:dyDescent="0.25">
      <c r="A175" s="777"/>
      <c r="B175" s="776"/>
      <c r="C175" s="634" t="s">
        <v>73</v>
      </c>
      <c r="D175" s="634">
        <f>D97</f>
        <v>-991410.96</v>
      </c>
      <c r="E175" s="619"/>
      <c r="F175" s="619"/>
      <c r="G175" s="619"/>
      <c r="H175" s="619"/>
      <c r="I175" s="619"/>
      <c r="J175" s="619"/>
      <c r="K175" s="619"/>
      <c r="L175" s="619"/>
      <c r="M175" s="619"/>
      <c r="N175" s="619"/>
      <c r="O175" s="619"/>
      <c r="P175" s="619"/>
      <c r="Q175" s="619"/>
    </row>
    <row r="176" spans="1:18" ht="12.75" customHeight="1" x14ac:dyDescent="0.25">
      <c r="A176" s="723"/>
      <c r="B176" s="722"/>
      <c r="C176" s="619"/>
      <c r="D176" s="619"/>
      <c r="E176" s="619"/>
      <c r="F176" s="619"/>
      <c r="G176" s="619"/>
      <c r="H176" s="619"/>
      <c r="I176" s="619"/>
      <c r="J176" s="619"/>
      <c r="K176" s="619"/>
      <c r="L176" s="619"/>
      <c r="M176" s="619"/>
      <c r="N176" s="619"/>
      <c r="O176" s="619"/>
      <c r="P176" s="619"/>
      <c r="Q176" s="619"/>
    </row>
    <row r="177" spans="1:18" ht="12.75" customHeight="1" x14ac:dyDescent="0.25">
      <c r="A177" s="775" t="s">
        <v>328</v>
      </c>
      <c r="B177" s="776" t="s">
        <v>132</v>
      </c>
      <c r="C177" s="634" t="s">
        <v>70</v>
      </c>
      <c r="D177" s="721">
        <v>0</v>
      </c>
      <c r="E177" s="721">
        <v>0</v>
      </c>
      <c r="F177" s="721">
        <v>0</v>
      </c>
      <c r="G177" s="721">
        <v>0</v>
      </c>
      <c r="H177" s="721">
        <v>0</v>
      </c>
      <c r="I177" s="721">
        <v>0</v>
      </c>
      <c r="J177" s="721">
        <v>0</v>
      </c>
      <c r="K177" s="721">
        <v>0</v>
      </c>
      <c r="L177" s="721">
        <v>0</v>
      </c>
      <c r="M177" s="721">
        <v>0</v>
      </c>
      <c r="N177" s="721">
        <v>0</v>
      </c>
      <c r="O177" s="721">
        <v>0</v>
      </c>
      <c r="P177" s="721">
        <v>0</v>
      </c>
      <c r="Q177" s="721">
        <v>0</v>
      </c>
      <c r="R177" s="721">
        <v>0</v>
      </c>
    </row>
    <row r="178" spans="1:18" ht="12.75" customHeight="1" x14ac:dyDescent="0.25">
      <c r="A178" s="775"/>
      <c r="B178" s="776"/>
      <c r="C178" s="634" t="s">
        <v>73</v>
      </c>
      <c r="D178" s="721">
        <v>0</v>
      </c>
      <c r="E178" s="619"/>
      <c r="F178" s="619"/>
      <c r="G178" s="619"/>
      <c r="H178" s="619"/>
      <c r="I178" s="619"/>
      <c r="J178" s="619"/>
      <c r="K178" s="619"/>
      <c r="L178" s="619"/>
      <c r="M178" s="619"/>
      <c r="N178" s="619"/>
      <c r="O178" s="619"/>
      <c r="P178" s="619"/>
      <c r="Q178" s="619"/>
    </row>
    <row r="179" spans="1:18" ht="12.75" customHeight="1" x14ac:dyDescent="0.3">
      <c r="A179" s="618"/>
      <c r="D179" s="619"/>
      <c r="E179" s="619"/>
      <c r="F179" s="619"/>
      <c r="G179" s="619"/>
      <c r="H179" s="619"/>
      <c r="I179" s="619"/>
      <c r="J179" s="619"/>
      <c r="K179" s="619"/>
      <c r="L179" s="619"/>
      <c r="M179" s="619"/>
      <c r="N179" s="619"/>
      <c r="O179" s="619"/>
      <c r="P179" s="619"/>
      <c r="Q179" s="619"/>
    </row>
    <row r="180" spans="1:18" ht="12.75" customHeight="1" x14ac:dyDescent="0.25">
      <c r="A180" s="777" t="s">
        <v>119</v>
      </c>
      <c r="B180" s="776" t="s">
        <v>132</v>
      </c>
      <c r="C180" s="629" t="s">
        <v>70</v>
      </c>
      <c r="D180" s="629">
        <f>D104-P104</f>
        <v>-290750</v>
      </c>
      <c r="E180" s="629">
        <f>E101</f>
        <v>-43743.29</v>
      </c>
      <c r="F180" s="629">
        <f t="shared" ref="F180:R180" si="5">F101</f>
        <v>-24370.81</v>
      </c>
      <c r="G180" s="629">
        <f t="shared" si="5"/>
        <v>-13155.43</v>
      </c>
      <c r="H180" s="629">
        <f t="shared" si="5"/>
        <v>-79698.95</v>
      </c>
      <c r="I180" s="629">
        <f t="shared" si="5"/>
        <v>-2346.52</v>
      </c>
      <c r="J180" s="629">
        <f t="shared" si="5"/>
        <v>-20583.689999999999</v>
      </c>
      <c r="K180" s="629">
        <f t="shared" si="5"/>
        <v>-20985.200000000001</v>
      </c>
      <c r="L180" s="629">
        <f t="shared" si="5"/>
        <v>-90885.63</v>
      </c>
      <c r="M180" s="629">
        <f t="shared" si="5"/>
        <v>-87049.75</v>
      </c>
      <c r="N180" s="629">
        <f t="shared" si="5"/>
        <v>-3406.74</v>
      </c>
      <c r="O180" s="629">
        <f t="shared" si="5"/>
        <v>4.55</v>
      </c>
      <c r="P180" s="629">
        <f t="shared" si="5"/>
        <v>0</v>
      </c>
      <c r="Q180" s="629">
        <f t="shared" si="5"/>
        <v>0</v>
      </c>
      <c r="R180" s="629">
        <f t="shared" si="5"/>
        <v>0</v>
      </c>
    </row>
    <row r="181" spans="1:18" ht="12.75" customHeight="1" x14ac:dyDescent="0.25">
      <c r="A181" s="777"/>
      <c r="B181" s="776"/>
      <c r="C181" s="629" t="s">
        <v>73</v>
      </c>
      <c r="D181" s="629">
        <f>D103</f>
        <v>95471.46</v>
      </c>
      <c r="E181" s="619"/>
      <c r="F181" s="619"/>
      <c r="G181" s="619"/>
      <c r="H181" s="619"/>
      <c r="I181" s="619"/>
      <c r="J181" s="619"/>
      <c r="K181" s="619"/>
      <c r="L181" s="619"/>
      <c r="M181" s="619"/>
      <c r="N181" s="619"/>
      <c r="O181" s="619"/>
      <c r="P181" s="619"/>
      <c r="Q181" s="619"/>
      <c r="R181" s="619"/>
    </row>
    <row r="182" spans="1:18" ht="12.75" customHeight="1" x14ac:dyDescent="0.3">
      <c r="A182" s="618"/>
      <c r="D182" s="619"/>
      <c r="E182" s="619"/>
      <c r="F182" s="619"/>
      <c r="G182" s="619"/>
      <c r="H182" s="619"/>
      <c r="I182" s="619"/>
      <c r="J182" s="619"/>
      <c r="K182" s="619"/>
      <c r="L182" s="619"/>
      <c r="M182" s="619"/>
      <c r="N182" s="619"/>
      <c r="O182" s="619"/>
      <c r="P182" s="619"/>
      <c r="Q182" s="619"/>
      <c r="R182" s="619"/>
    </row>
    <row r="183" spans="1:18" ht="12.75" customHeight="1" x14ac:dyDescent="0.25">
      <c r="A183" s="778" t="s">
        <v>161</v>
      </c>
      <c r="B183" s="776" t="s">
        <v>132</v>
      </c>
      <c r="C183" s="635" t="s">
        <v>70</v>
      </c>
      <c r="D183" s="635">
        <v>0</v>
      </c>
      <c r="E183" s="635">
        <v>0</v>
      </c>
      <c r="F183" s="635">
        <v>0</v>
      </c>
      <c r="G183" s="635">
        <v>0</v>
      </c>
      <c r="H183" s="635">
        <v>0</v>
      </c>
      <c r="I183" s="635">
        <v>0</v>
      </c>
      <c r="J183" s="635">
        <v>0</v>
      </c>
      <c r="K183" s="635">
        <v>0</v>
      </c>
      <c r="L183" s="635">
        <v>0</v>
      </c>
      <c r="M183" s="635">
        <v>0</v>
      </c>
      <c r="N183" s="635">
        <v>0</v>
      </c>
      <c r="O183" s="635">
        <v>0</v>
      </c>
      <c r="P183" s="635">
        <v>0</v>
      </c>
      <c r="Q183" s="635">
        <v>0</v>
      </c>
      <c r="R183" s="635">
        <v>0</v>
      </c>
    </row>
    <row r="184" spans="1:18" ht="12.75" customHeight="1" x14ac:dyDescent="0.25">
      <c r="A184" s="778"/>
      <c r="B184" s="776"/>
      <c r="C184" s="635" t="s">
        <v>73</v>
      </c>
      <c r="D184" s="635">
        <v>0</v>
      </c>
      <c r="E184" s="619"/>
      <c r="F184" s="619"/>
      <c r="G184" s="619"/>
      <c r="H184" s="619"/>
      <c r="I184" s="619"/>
      <c r="J184" s="619"/>
      <c r="K184" s="619"/>
      <c r="L184" s="619"/>
      <c r="M184" s="619"/>
      <c r="N184" s="619"/>
      <c r="O184" s="619"/>
      <c r="P184" s="619"/>
      <c r="Q184" s="619"/>
    </row>
    <row r="185" spans="1:18" s="636" customFormat="1" x14ac:dyDescent="0.25"/>
    <row r="186" spans="1:18" ht="13" x14ac:dyDescent="0.3">
      <c r="B186" s="618" t="s">
        <v>76</v>
      </c>
    </row>
    <row r="187" spans="1:18" x14ac:dyDescent="0.25">
      <c r="D187" s="619" t="s">
        <v>70</v>
      </c>
      <c r="E187" s="619" t="s">
        <v>64</v>
      </c>
      <c r="F187" s="619" t="s">
        <v>65</v>
      </c>
      <c r="G187" s="620" t="s">
        <v>164</v>
      </c>
      <c r="H187" s="619" t="s">
        <v>69</v>
      </c>
      <c r="I187" s="619" t="s">
        <v>68</v>
      </c>
      <c r="J187" s="619" t="s">
        <v>66</v>
      </c>
      <c r="K187" s="619" t="s">
        <v>63</v>
      </c>
      <c r="L187" s="619" t="s">
        <v>61</v>
      </c>
      <c r="M187" s="619" t="s">
        <v>62</v>
      </c>
      <c r="N187" s="619" t="s">
        <v>67</v>
      </c>
      <c r="O187" s="619" t="s">
        <v>77</v>
      </c>
      <c r="P187" s="617" t="s">
        <v>71</v>
      </c>
      <c r="Q187" s="619" t="s">
        <v>80</v>
      </c>
      <c r="R187" s="617" t="s">
        <v>168</v>
      </c>
    </row>
    <row r="188" spans="1:18" ht="12.75" customHeight="1" x14ac:dyDescent="0.25">
      <c r="B188" s="619"/>
      <c r="C188" s="619" t="s">
        <v>72</v>
      </c>
      <c r="D188" s="619">
        <v>-27227798.780000001</v>
      </c>
      <c r="E188" s="619">
        <v>-2315528.48</v>
      </c>
      <c r="F188" s="619">
        <v>-1284217.58</v>
      </c>
      <c r="G188" s="619">
        <v>-681382.92</v>
      </c>
      <c r="H188" s="619">
        <v>-5451652.1900000004</v>
      </c>
      <c r="I188" s="619">
        <v>-202328.82</v>
      </c>
      <c r="J188" s="619">
        <v>-1782592.35</v>
      </c>
      <c r="K188" s="619">
        <v>-1715323.71</v>
      </c>
      <c r="L188" s="619">
        <v>-8067276.2800000003</v>
      </c>
      <c r="M188" s="619">
        <v>-5394689.7300000004</v>
      </c>
      <c r="N188" s="619">
        <v>-332680.61</v>
      </c>
      <c r="O188" s="619">
        <v>-126.11</v>
      </c>
      <c r="P188" s="617">
        <v>0</v>
      </c>
      <c r="Q188" s="619">
        <v>0</v>
      </c>
      <c r="R188" s="619">
        <v>0</v>
      </c>
    </row>
    <row r="189" spans="1:18" ht="12.75" customHeight="1" x14ac:dyDescent="0.25">
      <c r="B189" s="619"/>
      <c r="C189" s="619" t="s">
        <v>81</v>
      </c>
      <c r="D189" s="619">
        <v>-345928.04</v>
      </c>
      <c r="E189" s="619">
        <v>-25008.84</v>
      </c>
      <c r="F189" s="619">
        <v>-12602.88</v>
      </c>
      <c r="G189" s="619">
        <v>-7036.43</v>
      </c>
      <c r="H189" s="619">
        <v>-80348.210000000006</v>
      </c>
      <c r="I189" s="619">
        <v>-2983.37</v>
      </c>
      <c r="J189" s="619">
        <v>-25907.02</v>
      </c>
      <c r="K189" s="619">
        <v>-22627.65</v>
      </c>
      <c r="L189" s="619">
        <v>-105993.62</v>
      </c>
      <c r="M189" s="619">
        <v>-58451.89</v>
      </c>
      <c r="N189" s="619">
        <v>-4966.2700000000004</v>
      </c>
      <c r="O189" s="619">
        <v>-1.86</v>
      </c>
      <c r="P189" s="617">
        <v>0</v>
      </c>
      <c r="Q189" s="619">
        <v>0</v>
      </c>
      <c r="R189" s="619">
        <v>0</v>
      </c>
    </row>
    <row r="190" spans="1:18" s="622" customFormat="1" ht="12.75" customHeight="1" x14ac:dyDescent="0.25">
      <c r="B190" s="623" t="s">
        <v>78</v>
      </c>
      <c r="C190" s="623" t="s">
        <v>70</v>
      </c>
      <c r="D190" s="623">
        <v>-27573726.82</v>
      </c>
      <c r="E190" s="623">
        <v>-2340537.3199999998</v>
      </c>
      <c r="F190" s="623">
        <v>-1296820.46</v>
      </c>
      <c r="G190" s="623">
        <v>-688419.35</v>
      </c>
      <c r="H190" s="623">
        <v>-5532000.4000000004</v>
      </c>
      <c r="I190" s="623">
        <v>-205312.19</v>
      </c>
      <c r="J190" s="623">
        <v>-1808499.37</v>
      </c>
      <c r="K190" s="623">
        <v>-1737951.36</v>
      </c>
      <c r="L190" s="623">
        <v>-8173269.9000000004</v>
      </c>
      <c r="M190" s="623">
        <v>-5453141.6200000001</v>
      </c>
      <c r="N190" s="623">
        <v>-337646.88</v>
      </c>
      <c r="O190" s="623">
        <v>-127.97</v>
      </c>
      <c r="P190" s="622">
        <v>0</v>
      </c>
      <c r="Q190" s="623">
        <v>0</v>
      </c>
      <c r="R190" s="623">
        <v>0</v>
      </c>
    </row>
    <row r="191" spans="1:18" ht="12.75" customHeight="1" x14ac:dyDescent="0.25">
      <c r="B191" s="619"/>
      <c r="C191" s="619" t="s">
        <v>73</v>
      </c>
      <c r="D191" s="619">
        <v>-4430593.18</v>
      </c>
      <c r="E191" s="619">
        <v>-1063182.6399999999</v>
      </c>
      <c r="F191" s="619">
        <v>-614089.04</v>
      </c>
      <c r="G191" s="619">
        <v>-323946.96000000002</v>
      </c>
      <c r="H191" s="619">
        <v>-38852</v>
      </c>
      <c r="I191" s="619">
        <v>-204.27</v>
      </c>
      <c r="J191" s="619">
        <v>8451.7900000000009</v>
      </c>
      <c r="K191" s="619">
        <v>15720.47</v>
      </c>
      <c r="L191" s="619">
        <v>51334.92</v>
      </c>
      <c r="M191" s="619">
        <v>-2466098.35</v>
      </c>
      <c r="N191" s="619">
        <v>272.89999999999998</v>
      </c>
      <c r="O191" s="619">
        <v>0</v>
      </c>
      <c r="P191" s="617">
        <v>0</v>
      </c>
      <c r="Q191" s="619">
        <v>0</v>
      </c>
      <c r="R191" s="619">
        <v>0</v>
      </c>
    </row>
    <row r="192" spans="1:18" s="624" customFormat="1" ht="12.75" customHeight="1" x14ac:dyDescent="0.25">
      <c r="B192" s="624" t="s">
        <v>79</v>
      </c>
      <c r="C192" s="624" t="s">
        <v>70</v>
      </c>
      <c r="D192" s="625">
        <v>-4430593.18</v>
      </c>
      <c r="E192" s="625">
        <v>-1063182.6399999999</v>
      </c>
      <c r="F192" s="625">
        <v>-614089.04</v>
      </c>
      <c r="G192" s="637">
        <v>-323946.96000000002</v>
      </c>
      <c r="H192" s="625">
        <v>-38852</v>
      </c>
      <c r="I192" s="625">
        <v>-204.27</v>
      </c>
      <c r="J192" s="625">
        <v>8451.7900000000009</v>
      </c>
      <c r="K192" s="625">
        <v>15720.47</v>
      </c>
      <c r="L192" s="625">
        <v>51334.92</v>
      </c>
      <c r="M192" s="625">
        <v>-2466098.35</v>
      </c>
      <c r="N192" s="625">
        <v>272.89999999999998</v>
      </c>
      <c r="O192" s="625">
        <v>0</v>
      </c>
      <c r="P192" s="625">
        <v>0</v>
      </c>
      <c r="Q192" s="625">
        <v>0</v>
      </c>
      <c r="R192" s="624">
        <v>0</v>
      </c>
    </row>
    <row r="193" spans="1:18" s="638" customFormat="1" ht="12.75" customHeight="1" x14ac:dyDescent="0.25">
      <c r="A193" s="638" t="s">
        <v>155</v>
      </c>
      <c r="B193" s="634" t="s">
        <v>70</v>
      </c>
      <c r="C193" s="634"/>
      <c r="D193" s="634">
        <v>-32004320</v>
      </c>
      <c r="E193" s="634">
        <v>-3403719.96</v>
      </c>
      <c r="F193" s="634">
        <v>-1910909.5</v>
      </c>
      <c r="G193" s="634">
        <v>-1012366.31</v>
      </c>
      <c r="H193" s="634">
        <v>-5570852.4000000004</v>
      </c>
      <c r="I193" s="634">
        <v>-205516.46</v>
      </c>
      <c r="J193" s="634">
        <v>-1800047.58</v>
      </c>
      <c r="K193" s="634">
        <v>-1722230.89</v>
      </c>
      <c r="L193" s="634">
        <v>-8121934.9800000004</v>
      </c>
      <c r="M193" s="634">
        <v>-7919239.9699999997</v>
      </c>
      <c r="N193" s="634">
        <v>-337373.98</v>
      </c>
      <c r="O193" s="634">
        <v>-127.97</v>
      </c>
      <c r="P193" s="638">
        <v>0</v>
      </c>
      <c r="Q193" s="634">
        <v>0</v>
      </c>
      <c r="R193" s="634">
        <v>0</v>
      </c>
    </row>
    <row r="194" spans="1:18" ht="12.75" customHeight="1" x14ac:dyDescent="0.25">
      <c r="B194" s="619"/>
      <c r="C194" s="619" t="s">
        <v>72</v>
      </c>
      <c r="D194" s="619">
        <v>-397050.36</v>
      </c>
      <c r="E194" s="619">
        <v>-18659.830000000002</v>
      </c>
      <c r="F194" s="619">
        <v>-10362.450000000001</v>
      </c>
      <c r="G194" s="619">
        <v>-4678.66</v>
      </c>
      <c r="H194" s="619">
        <v>-109695.93</v>
      </c>
      <c r="I194" s="619">
        <v>-3357.59</v>
      </c>
      <c r="J194" s="619">
        <v>-29452.65</v>
      </c>
      <c r="K194" s="619">
        <v>-33114.32</v>
      </c>
      <c r="L194" s="619">
        <v>-139136.35999999999</v>
      </c>
      <c r="M194" s="619">
        <v>-43529.99</v>
      </c>
      <c r="N194" s="619">
        <v>-5062.0200000000004</v>
      </c>
      <c r="O194" s="619">
        <v>-0.56000000000000005</v>
      </c>
      <c r="P194" s="617">
        <v>0</v>
      </c>
      <c r="Q194" s="619">
        <v>0</v>
      </c>
      <c r="R194" s="619">
        <v>0</v>
      </c>
    </row>
    <row r="195" spans="1:18" ht="12.75" customHeight="1" x14ac:dyDescent="0.25">
      <c r="B195" s="619"/>
      <c r="C195" s="619" t="s">
        <v>81</v>
      </c>
      <c r="D195" s="619">
        <v>-785.24</v>
      </c>
      <c r="E195" s="619">
        <v>-33.72</v>
      </c>
      <c r="F195" s="619">
        <v>-17.399999999999999</v>
      </c>
      <c r="G195" s="619">
        <v>-10.35</v>
      </c>
      <c r="H195" s="619">
        <v>-222.64</v>
      </c>
      <c r="I195" s="619">
        <v>-7.01</v>
      </c>
      <c r="J195" s="619">
        <v>-61.61</v>
      </c>
      <c r="K195" s="619">
        <v>-60.33</v>
      </c>
      <c r="L195" s="619">
        <v>-281.64999999999998</v>
      </c>
      <c r="M195" s="619">
        <v>-79.05</v>
      </c>
      <c r="N195" s="619">
        <v>-11.44</v>
      </c>
      <c r="O195" s="619">
        <v>-0.04</v>
      </c>
      <c r="P195" s="617">
        <v>0</v>
      </c>
      <c r="Q195" s="619">
        <v>0</v>
      </c>
      <c r="R195" s="619">
        <v>0</v>
      </c>
    </row>
    <row r="196" spans="1:18" s="622" customFormat="1" ht="12.75" customHeight="1" x14ac:dyDescent="0.25">
      <c r="B196" s="623" t="s">
        <v>78</v>
      </c>
      <c r="C196" s="623" t="s">
        <v>70</v>
      </c>
      <c r="D196" s="623">
        <v>-397835.6</v>
      </c>
      <c r="E196" s="623">
        <v>-18693.55</v>
      </c>
      <c r="F196" s="623">
        <v>-10379.85</v>
      </c>
      <c r="G196" s="623">
        <v>-4689.01</v>
      </c>
      <c r="H196" s="623">
        <v>-109918.57</v>
      </c>
      <c r="I196" s="623">
        <v>-3364.6</v>
      </c>
      <c r="J196" s="623">
        <v>-29514.26</v>
      </c>
      <c r="K196" s="623">
        <v>-33174.65</v>
      </c>
      <c r="L196" s="623">
        <v>-139418.01</v>
      </c>
      <c r="M196" s="623">
        <v>-43609.04</v>
      </c>
      <c r="N196" s="623">
        <v>-5073.46</v>
      </c>
      <c r="O196" s="623">
        <v>-0.6</v>
      </c>
      <c r="P196" s="622">
        <v>0</v>
      </c>
      <c r="Q196" s="623">
        <v>0</v>
      </c>
      <c r="R196" s="623">
        <v>0</v>
      </c>
    </row>
    <row r="197" spans="1:18" ht="12.75" customHeight="1" x14ac:dyDescent="0.25">
      <c r="B197" s="619"/>
      <c r="C197" s="619" t="s">
        <v>73</v>
      </c>
      <c r="D197" s="619">
        <v>91175.8</v>
      </c>
      <c r="E197" s="619">
        <v>4274.38</v>
      </c>
      <c r="F197" s="619">
        <v>2344.1799999999998</v>
      </c>
      <c r="G197" s="619">
        <v>1290.1400000000001</v>
      </c>
      <c r="H197" s="619">
        <v>24141.72</v>
      </c>
      <c r="I197" s="619">
        <v>835.82</v>
      </c>
      <c r="J197" s="619">
        <v>7331.65</v>
      </c>
      <c r="K197" s="619">
        <v>6999.36</v>
      </c>
      <c r="L197" s="619">
        <v>32593.77</v>
      </c>
      <c r="M197" s="619">
        <v>10001.11</v>
      </c>
      <c r="N197" s="619">
        <v>1363.67</v>
      </c>
      <c r="O197" s="619">
        <v>0</v>
      </c>
      <c r="P197" s="617">
        <v>0</v>
      </c>
      <c r="Q197" s="619">
        <v>0</v>
      </c>
      <c r="R197" s="619">
        <v>0</v>
      </c>
    </row>
    <row r="198" spans="1:18" s="624" customFormat="1" ht="12.75" customHeight="1" x14ac:dyDescent="0.25">
      <c r="B198" s="624" t="s">
        <v>79</v>
      </c>
      <c r="C198" s="624" t="s">
        <v>70</v>
      </c>
      <c r="D198" s="625">
        <v>91175.8</v>
      </c>
      <c r="E198" s="625">
        <v>4274.38</v>
      </c>
      <c r="F198" s="625">
        <v>2344.1799999999998</v>
      </c>
      <c r="G198" s="637">
        <v>1290.1400000000001</v>
      </c>
      <c r="H198" s="625">
        <v>24141.72</v>
      </c>
      <c r="I198" s="625">
        <v>835.82</v>
      </c>
      <c r="J198" s="625">
        <v>7331.65</v>
      </c>
      <c r="K198" s="625">
        <v>6999.36</v>
      </c>
      <c r="L198" s="625">
        <v>32593.77</v>
      </c>
      <c r="M198" s="625">
        <v>10001.11</v>
      </c>
      <c r="N198" s="625">
        <v>1363.67</v>
      </c>
      <c r="O198" s="625">
        <v>0</v>
      </c>
      <c r="P198" s="625">
        <v>0</v>
      </c>
      <c r="Q198" s="625">
        <v>0</v>
      </c>
      <c r="R198" s="624">
        <v>0</v>
      </c>
    </row>
    <row r="199" spans="1:18" s="629" customFormat="1" ht="12.75" customHeight="1" x14ac:dyDescent="0.25">
      <c r="A199" s="629" t="s">
        <v>119</v>
      </c>
      <c r="B199" s="629" t="s">
        <v>70</v>
      </c>
      <c r="D199" s="629">
        <v>-306659.8</v>
      </c>
      <c r="E199" s="629">
        <v>-14419.17</v>
      </c>
      <c r="F199" s="629">
        <v>-8035.67</v>
      </c>
      <c r="G199" s="629">
        <v>-3398.87</v>
      </c>
      <c r="H199" s="629">
        <v>-85776.85</v>
      </c>
      <c r="I199" s="629">
        <v>-2528.7800000000002</v>
      </c>
      <c r="J199" s="629">
        <v>-22182.61</v>
      </c>
      <c r="K199" s="629">
        <v>-26175.29</v>
      </c>
      <c r="L199" s="629">
        <v>-106824.24</v>
      </c>
      <c r="M199" s="629">
        <v>-33607.93</v>
      </c>
      <c r="N199" s="629">
        <v>-3709.79</v>
      </c>
      <c r="O199" s="629">
        <v>-0.6</v>
      </c>
      <c r="P199" s="629">
        <v>0</v>
      </c>
      <c r="Q199" s="629">
        <v>0</v>
      </c>
      <c r="R199" s="629">
        <v>0</v>
      </c>
    </row>
    <row r="200" spans="1:18" s="632" customFormat="1" ht="12.75" customHeight="1" x14ac:dyDescent="0.25">
      <c r="A200" s="631" t="s">
        <v>70</v>
      </c>
      <c r="D200" s="631">
        <v>-32310979.800000001</v>
      </c>
      <c r="E200" s="631">
        <v>-3418139.13</v>
      </c>
      <c r="F200" s="631">
        <v>-1918945.17</v>
      </c>
      <c r="G200" s="631">
        <v>-1015765.18</v>
      </c>
      <c r="H200" s="631">
        <v>-5656629.25</v>
      </c>
      <c r="I200" s="631">
        <v>-208045.24</v>
      </c>
      <c r="J200" s="631">
        <v>-1822230.19</v>
      </c>
      <c r="K200" s="631">
        <v>-1748406.18</v>
      </c>
      <c r="L200" s="631">
        <v>-8228759.2199999997</v>
      </c>
      <c r="M200" s="631">
        <v>-7952847.9000000004</v>
      </c>
      <c r="N200" s="631">
        <v>-341083.77</v>
      </c>
      <c r="O200" s="631">
        <v>-128.57</v>
      </c>
      <c r="P200" s="632">
        <v>0</v>
      </c>
      <c r="Q200" s="632">
        <v>0</v>
      </c>
      <c r="R200" s="632">
        <v>0</v>
      </c>
    </row>
    <row r="201" spans="1:18" ht="12.75" customHeight="1" x14ac:dyDescent="0.25">
      <c r="A201" s="619"/>
      <c r="D201" s="619"/>
      <c r="E201" s="619"/>
      <c r="F201" s="619"/>
      <c r="G201" s="619"/>
      <c r="H201" s="619"/>
      <c r="I201" s="619"/>
      <c r="J201" s="619"/>
      <c r="K201" s="619"/>
      <c r="L201" s="619"/>
      <c r="M201" s="619"/>
      <c r="N201" s="619"/>
      <c r="O201" s="619"/>
    </row>
    <row r="202" spans="1:18" ht="12.75" customHeight="1" x14ac:dyDescent="0.25">
      <c r="A202" s="619"/>
      <c r="D202" s="619"/>
      <c r="E202" s="619"/>
      <c r="F202" s="619"/>
      <c r="G202" s="619"/>
      <c r="H202" s="619"/>
      <c r="I202" s="619"/>
      <c r="J202" s="619"/>
      <c r="K202" s="619"/>
      <c r="L202" s="619"/>
      <c r="M202" s="619"/>
      <c r="N202" s="619"/>
      <c r="O202" s="619"/>
    </row>
    <row r="203" spans="1:18" ht="12.75" customHeight="1" x14ac:dyDescent="0.25">
      <c r="A203" s="619"/>
      <c r="D203" s="619"/>
      <c r="E203" s="619"/>
      <c r="F203" s="619"/>
      <c r="G203" s="619"/>
      <c r="H203" s="619"/>
      <c r="I203" s="619"/>
      <c r="J203" s="619"/>
      <c r="K203" s="619"/>
      <c r="L203" s="619"/>
      <c r="M203" s="619"/>
      <c r="N203" s="619"/>
      <c r="O203" s="619"/>
    </row>
    <row r="204" spans="1:18" ht="12.75" customHeight="1" x14ac:dyDescent="0.25">
      <c r="A204" s="619"/>
      <c r="D204" s="619"/>
      <c r="E204" s="619"/>
      <c r="F204" s="619"/>
      <c r="G204" s="619"/>
      <c r="H204" s="619"/>
      <c r="I204" s="619"/>
      <c r="J204" s="619"/>
      <c r="K204" s="619"/>
      <c r="L204" s="619"/>
      <c r="M204" s="619"/>
      <c r="N204" s="619"/>
      <c r="O204" s="619"/>
    </row>
    <row r="205" spans="1:18" ht="12.75" customHeight="1" x14ac:dyDescent="0.25">
      <c r="A205" s="777" t="s">
        <v>2</v>
      </c>
      <c r="B205" s="776" t="s">
        <v>132</v>
      </c>
      <c r="C205" s="767" t="s">
        <v>70</v>
      </c>
      <c r="D205" s="767">
        <f>D200-P200</f>
        <v>-32310979.800000001</v>
      </c>
      <c r="E205" s="767">
        <f>E196+E190</f>
        <v>-2359230.8699999996</v>
      </c>
      <c r="F205" s="767">
        <f t="shared" ref="F205:R205" si="6">F196+F190</f>
        <v>-1307200.31</v>
      </c>
      <c r="G205" s="767">
        <f t="shared" si="6"/>
        <v>-693108.36</v>
      </c>
      <c r="H205" s="767">
        <f t="shared" si="6"/>
        <v>-5641918.9700000007</v>
      </c>
      <c r="I205" s="767">
        <f t="shared" si="6"/>
        <v>-208676.79</v>
      </c>
      <c r="J205" s="767">
        <f t="shared" si="6"/>
        <v>-1838013.6300000001</v>
      </c>
      <c r="K205" s="767">
        <f t="shared" si="6"/>
        <v>-1771126.01</v>
      </c>
      <c r="L205" s="767">
        <f t="shared" si="6"/>
        <v>-8312687.9100000001</v>
      </c>
      <c r="M205" s="767">
        <f t="shared" si="6"/>
        <v>-5496750.6600000001</v>
      </c>
      <c r="N205" s="767">
        <f t="shared" si="6"/>
        <v>-342720.34</v>
      </c>
      <c r="O205" s="767">
        <f t="shared" si="6"/>
        <v>-128.57</v>
      </c>
      <c r="P205" s="767">
        <f t="shared" si="6"/>
        <v>0</v>
      </c>
      <c r="Q205" s="767">
        <f t="shared" si="6"/>
        <v>0</v>
      </c>
      <c r="R205" s="767">
        <f t="shared" si="6"/>
        <v>0</v>
      </c>
    </row>
    <row r="206" spans="1:18" ht="12.75" customHeight="1" x14ac:dyDescent="0.25">
      <c r="A206" s="777"/>
      <c r="B206" s="776"/>
      <c r="C206" s="767" t="s">
        <v>73</v>
      </c>
      <c r="D206" s="767">
        <f>D198+D192</f>
        <v>-4339417.38</v>
      </c>
      <c r="E206" s="619"/>
      <c r="F206" s="619"/>
      <c r="G206" s="619"/>
      <c r="H206" s="619"/>
      <c r="I206" s="619"/>
      <c r="J206" s="619"/>
      <c r="K206" s="619"/>
      <c r="L206" s="619"/>
      <c r="M206" s="619"/>
      <c r="N206" s="619"/>
      <c r="O206" s="619"/>
      <c r="P206" s="619"/>
      <c r="Q206" s="619"/>
      <c r="R206" s="619"/>
    </row>
    <row r="207" spans="1:18" ht="12.75" customHeight="1" x14ac:dyDescent="0.3">
      <c r="A207" s="618"/>
      <c r="D207" s="619"/>
      <c r="E207" s="619"/>
      <c r="F207" s="619"/>
      <c r="G207" s="619"/>
      <c r="H207" s="619"/>
      <c r="I207" s="619"/>
      <c r="J207" s="619"/>
      <c r="K207" s="619"/>
      <c r="L207" s="619"/>
      <c r="M207" s="619"/>
      <c r="N207" s="619"/>
      <c r="O207" s="619"/>
      <c r="P207" s="619"/>
      <c r="Q207" s="619"/>
      <c r="R207" s="619"/>
    </row>
    <row r="208" spans="1:18" ht="12.75" customHeight="1" x14ac:dyDescent="0.25">
      <c r="A208" s="777" t="s">
        <v>160</v>
      </c>
      <c r="B208" s="776" t="s">
        <v>132</v>
      </c>
      <c r="C208" s="633" t="s">
        <v>70</v>
      </c>
      <c r="D208" s="633">
        <v>0</v>
      </c>
      <c r="E208" s="633">
        <v>0</v>
      </c>
      <c r="F208" s="633">
        <v>0</v>
      </c>
      <c r="G208" s="633">
        <v>0</v>
      </c>
      <c r="H208" s="633">
        <v>0</v>
      </c>
      <c r="I208" s="633">
        <v>0</v>
      </c>
      <c r="J208" s="633">
        <v>0</v>
      </c>
      <c r="K208" s="633">
        <v>0</v>
      </c>
      <c r="L208" s="633">
        <v>0</v>
      </c>
      <c r="M208" s="633">
        <v>0</v>
      </c>
      <c r="N208" s="633">
        <v>0</v>
      </c>
      <c r="O208" s="633">
        <v>0</v>
      </c>
      <c r="P208" s="633">
        <v>0</v>
      </c>
      <c r="Q208" s="633">
        <v>0</v>
      </c>
      <c r="R208" s="633">
        <v>0</v>
      </c>
    </row>
    <row r="209" spans="1:18" ht="12.75" customHeight="1" x14ac:dyDescent="0.25">
      <c r="A209" s="777"/>
      <c r="B209" s="776"/>
      <c r="C209" s="633" t="s">
        <v>73</v>
      </c>
      <c r="D209" s="633">
        <v>0</v>
      </c>
      <c r="E209" s="619"/>
      <c r="F209" s="619"/>
      <c r="G209" s="619"/>
      <c r="H209" s="619"/>
      <c r="I209" s="619"/>
      <c r="J209" s="619"/>
      <c r="K209" s="619"/>
      <c r="L209" s="619"/>
      <c r="M209" s="619"/>
      <c r="N209" s="619"/>
      <c r="O209" s="619"/>
      <c r="P209" s="619"/>
      <c r="Q209" s="619"/>
      <c r="R209" s="619"/>
    </row>
    <row r="210" spans="1:18" ht="12.75" customHeight="1" x14ac:dyDescent="0.3">
      <c r="A210" s="618"/>
      <c r="D210" s="619"/>
      <c r="E210" s="619"/>
      <c r="F210" s="619"/>
      <c r="G210" s="619"/>
      <c r="H210" s="619"/>
      <c r="I210" s="619"/>
      <c r="J210" s="619"/>
      <c r="K210" s="619"/>
      <c r="L210" s="619"/>
      <c r="M210" s="619"/>
      <c r="N210" s="619"/>
      <c r="O210" s="619"/>
      <c r="P210" s="619"/>
      <c r="Q210" s="619"/>
      <c r="R210" s="619"/>
    </row>
    <row r="211" spans="1:18" ht="12.75" customHeight="1" x14ac:dyDescent="0.25">
      <c r="A211" s="777" t="s">
        <v>155</v>
      </c>
      <c r="B211" s="776" t="s">
        <v>132</v>
      </c>
      <c r="C211" s="634" t="s">
        <v>70</v>
      </c>
      <c r="D211" s="634">
        <f>D193-P193</f>
        <v>-32004320</v>
      </c>
      <c r="E211" s="634">
        <f>E190</f>
        <v>-2340537.3199999998</v>
      </c>
      <c r="F211" s="634">
        <f t="shared" ref="F211:R211" si="7">F190</f>
        <v>-1296820.46</v>
      </c>
      <c r="G211" s="634">
        <f t="shared" si="7"/>
        <v>-688419.35</v>
      </c>
      <c r="H211" s="634">
        <f t="shared" si="7"/>
        <v>-5532000.4000000004</v>
      </c>
      <c r="I211" s="634">
        <f t="shared" si="7"/>
        <v>-205312.19</v>
      </c>
      <c r="J211" s="634">
        <f t="shared" si="7"/>
        <v>-1808499.37</v>
      </c>
      <c r="K211" s="634">
        <f t="shared" si="7"/>
        <v>-1737951.36</v>
      </c>
      <c r="L211" s="634">
        <f t="shared" si="7"/>
        <v>-8173269.9000000004</v>
      </c>
      <c r="M211" s="634">
        <f t="shared" si="7"/>
        <v>-5453141.6200000001</v>
      </c>
      <c r="N211" s="634">
        <f t="shared" si="7"/>
        <v>-337646.88</v>
      </c>
      <c r="O211" s="634">
        <f t="shared" si="7"/>
        <v>-127.97</v>
      </c>
      <c r="P211" s="634">
        <f t="shared" si="7"/>
        <v>0</v>
      </c>
      <c r="Q211" s="634">
        <f t="shared" si="7"/>
        <v>0</v>
      </c>
      <c r="R211" s="634">
        <f t="shared" si="7"/>
        <v>0</v>
      </c>
    </row>
    <row r="212" spans="1:18" ht="12.75" customHeight="1" x14ac:dyDescent="0.25">
      <c r="A212" s="777"/>
      <c r="B212" s="776"/>
      <c r="C212" s="634" t="s">
        <v>73</v>
      </c>
      <c r="D212" s="634">
        <f>D192</f>
        <v>-4430593.18</v>
      </c>
      <c r="E212" s="619"/>
      <c r="F212" s="619"/>
      <c r="G212" s="619"/>
      <c r="H212" s="619"/>
      <c r="I212" s="619"/>
      <c r="J212" s="619"/>
      <c r="K212" s="619"/>
      <c r="L212" s="619"/>
      <c r="M212" s="619"/>
      <c r="N212" s="619"/>
      <c r="O212" s="619"/>
      <c r="P212" s="619"/>
      <c r="Q212" s="619"/>
      <c r="R212" s="619"/>
    </row>
    <row r="213" spans="1:18" ht="12.75" customHeight="1" x14ac:dyDescent="0.25">
      <c r="A213" s="723"/>
      <c r="B213" s="722"/>
      <c r="C213" s="619"/>
      <c r="D213" s="619"/>
      <c r="E213" s="619"/>
      <c r="F213" s="619"/>
      <c r="G213" s="619"/>
      <c r="H213" s="619"/>
      <c r="I213" s="619"/>
      <c r="J213" s="619"/>
      <c r="K213" s="619"/>
      <c r="L213" s="619"/>
      <c r="M213" s="619"/>
      <c r="N213" s="619"/>
      <c r="O213" s="619"/>
      <c r="P213" s="619"/>
      <c r="Q213" s="619"/>
      <c r="R213" s="619"/>
    </row>
    <row r="214" spans="1:18" ht="12.75" customHeight="1" x14ac:dyDescent="0.25">
      <c r="A214" s="775" t="s">
        <v>328</v>
      </c>
      <c r="B214" s="776" t="s">
        <v>132</v>
      </c>
      <c r="C214" s="634" t="s">
        <v>70</v>
      </c>
      <c r="D214" s="721">
        <v>0</v>
      </c>
      <c r="E214" s="721">
        <v>0</v>
      </c>
      <c r="F214" s="721">
        <v>0</v>
      </c>
      <c r="G214" s="721">
        <v>0</v>
      </c>
      <c r="H214" s="721">
        <v>0</v>
      </c>
      <c r="I214" s="721">
        <v>0</v>
      </c>
      <c r="J214" s="721">
        <v>0</v>
      </c>
      <c r="K214" s="721">
        <v>0</v>
      </c>
      <c r="L214" s="721">
        <v>0</v>
      </c>
      <c r="M214" s="721">
        <v>0</v>
      </c>
      <c r="N214" s="721">
        <v>0</v>
      </c>
      <c r="O214" s="721">
        <v>0</v>
      </c>
      <c r="P214" s="721">
        <v>0</v>
      </c>
      <c r="Q214" s="721">
        <v>0</v>
      </c>
      <c r="R214" s="721">
        <v>0</v>
      </c>
    </row>
    <row r="215" spans="1:18" ht="12.75" customHeight="1" x14ac:dyDescent="0.25">
      <c r="A215" s="775"/>
      <c r="B215" s="776"/>
      <c r="C215" s="634" t="s">
        <v>73</v>
      </c>
      <c r="D215" s="721">
        <v>0</v>
      </c>
      <c r="E215" s="619"/>
      <c r="F215" s="619"/>
      <c r="G215" s="619"/>
      <c r="H215" s="619"/>
      <c r="I215" s="619"/>
      <c r="J215" s="619"/>
      <c r="K215" s="619"/>
      <c r="L215" s="619"/>
      <c r="M215" s="619"/>
      <c r="N215" s="619"/>
      <c r="O215" s="619"/>
      <c r="P215" s="619"/>
      <c r="Q215" s="619"/>
    </row>
    <row r="216" spans="1:18" ht="12.75" customHeight="1" x14ac:dyDescent="0.3">
      <c r="A216" s="618"/>
      <c r="D216" s="619"/>
      <c r="E216" s="619"/>
      <c r="F216" s="619"/>
      <c r="G216" s="619"/>
      <c r="H216" s="619"/>
      <c r="I216" s="619"/>
      <c r="J216" s="619"/>
      <c r="K216" s="619"/>
      <c r="L216" s="619"/>
      <c r="M216" s="619"/>
      <c r="N216" s="619"/>
      <c r="O216" s="619"/>
      <c r="P216" s="619"/>
      <c r="Q216" s="619"/>
      <c r="R216" s="619"/>
    </row>
    <row r="217" spans="1:18" ht="12.75" customHeight="1" x14ac:dyDescent="0.25">
      <c r="A217" s="777" t="s">
        <v>119</v>
      </c>
      <c r="B217" s="776" t="s">
        <v>132</v>
      </c>
      <c r="C217" s="629" t="s">
        <v>70</v>
      </c>
      <c r="D217" s="629">
        <f>D199-P199</f>
        <v>-306659.8</v>
      </c>
      <c r="E217" s="629">
        <f>E196</f>
        <v>-18693.55</v>
      </c>
      <c r="F217" s="629">
        <f t="shared" ref="F217:R217" si="8">F196</f>
        <v>-10379.85</v>
      </c>
      <c r="G217" s="629">
        <f t="shared" si="8"/>
        <v>-4689.01</v>
      </c>
      <c r="H217" s="629">
        <f t="shared" si="8"/>
        <v>-109918.57</v>
      </c>
      <c r="I217" s="629">
        <f t="shared" si="8"/>
        <v>-3364.6</v>
      </c>
      <c r="J217" s="629">
        <f t="shared" si="8"/>
        <v>-29514.26</v>
      </c>
      <c r="K217" s="629">
        <f t="shared" si="8"/>
        <v>-33174.65</v>
      </c>
      <c r="L217" s="629">
        <f t="shared" si="8"/>
        <v>-139418.01</v>
      </c>
      <c r="M217" s="629">
        <f t="shared" si="8"/>
        <v>-43609.04</v>
      </c>
      <c r="N217" s="629">
        <f t="shared" si="8"/>
        <v>-5073.46</v>
      </c>
      <c r="O217" s="629">
        <f t="shared" si="8"/>
        <v>-0.6</v>
      </c>
      <c r="P217" s="629">
        <f t="shared" si="8"/>
        <v>0</v>
      </c>
      <c r="Q217" s="629">
        <f t="shared" si="8"/>
        <v>0</v>
      </c>
      <c r="R217" s="629">
        <f t="shared" si="8"/>
        <v>0</v>
      </c>
    </row>
    <row r="218" spans="1:18" ht="12.75" customHeight="1" x14ac:dyDescent="0.25">
      <c r="A218" s="777"/>
      <c r="B218" s="776"/>
      <c r="C218" s="629" t="s">
        <v>73</v>
      </c>
      <c r="D218" s="629">
        <f>D198</f>
        <v>91175.8</v>
      </c>
      <c r="E218" s="619"/>
      <c r="F218" s="619"/>
      <c r="G218" s="619"/>
      <c r="H218" s="619"/>
      <c r="I218" s="619"/>
      <c r="J218" s="619"/>
      <c r="K218" s="619"/>
      <c r="L218" s="619"/>
      <c r="M218" s="619"/>
      <c r="N218" s="619"/>
      <c r="O218" s="619"/>
      <c r="P218" s="619"/>
      <c r="Q218" s="619"/>
      <c r="R218" s="619"/>
    </row>
    <row r="219" spans="1:18" ht="12.75" customHeight="1" x14ac:dyDescent="0.3">
      <c r="A219" s="618"/>
      <c r="D219" s="619"/>
      <c r="E219" s="619"/>
      <c r="F219" s="619"/>
      <c r="G219" s="619"/>
      <c r="H219" s="619"/>
      <c r="I219" s="619"/>
      <c r="J219" s="619"/>
      <c r="K219" s="619"/>
      <c r="L219" s="619"/>
      <c r="M219" s="619"/>
      <c r="N219" s="619"/>
      <c r="O219" s="619"/>
      <c r="P219" s="619"/>
      <c r="Q219" s="619"/>
      <c r="R219" s="619"/>
    </row>
    <row r="220" spans="1:18" ht="12.75" customHeight="1" x14ac:dyDescent="0.25">
      <c r="A220" s="778" t="s">
        <v>161</v>
      </c>
      <c r="B220" s="776" t="s">
        <v>132</v>
      </c>
      <c r="C220" s="635" t="s">
        <v>70</v>
      </c>
      <c r="D220" s="635">
        <v>0</v>
      </c>
      <c r="E220" s="635">
        <v>0</v>
      </c>
      <c r="F220" s="635">
        <v>0</v>
      </c>
      <c r="G220" s="635">
        <v>0</v>
      </c>
      <c r="H220" s="635">
        <v>0</v>
      </c>
      <c r="I220" s="635">
        <v>0</v>
      </c>
      <c r="J220" s="635">
        <v>0</v>
      </c>
      <c r="K220" s="635">
        <v>0</v>
      </c>
      <c r="L220" s="635">
        <v>0</v>
      </c>
      <c r="M220" s="635">
        <v>0</v>
      </c>
      <c r="N220" s="635">
        <v>0</v>
      </c>
      <c r="O220" s="635">
        <v>0</v>
      </c>
      <c r="P220" s="635">
        <v>0</v>
      </c>
      <c r="Q220" s="635">
        <v>0</v>
      </c>
      <c r="R220" s="635">
        <v>0</v>
      </c>
    </row>
    <row r="221" spans="1:18" ht="12.75" customHeight="1" x14ac:dyDescent="0.25">
      <c r="A221" s="778"/>
      <c r="B221" s="776"/>
      <c r="C221" s="635" t="s">
        <v>73</v>
      </c>
      <c r="D221" s="635">
        <v>0</v>
      </c>
      <c r="E221" s="619"/>
      <c r="F221" s="619"/>
      <c r="G221" s="619"/>
      <c r="H221" s="619"/>
      <c r="I221" s="619"/>
      <c r="J221" s="619"/>
      <c r="K221" s="619"/>
      <c r="L221" s="619"/>
      <c r="M221" s="619"/>
      <c r="N221" s="619"/>
      <c r="O221" s="619"/>
      <c r="P221" s="619"/>
      <c r="Q221" s="619"/>
    </row>
    <row r="222" spans="1:18" s="636" customFormat="1" x14ac:dyDescent="0.25"/>
    <row r="223" spans="1:18" ht="13" x14ac:dyDescent="0.3">
      <c r="B223" s="618" t="s">
        <v>88</v>
      </c>
    </row>
    <row r="224" spans="1:18" ht="12.75" customHeight="1" x14ac:dyDescent="0.25">
      <c r="D224" s="619" t="s">
        <v>70</v>
      </c>
      <c r="E224" s="619" t="s">
        <v>64</v>
      </c>
      <c r="F224" s="619" t="s">
        <v>65</v>
      </c>
      <c r="G224" s="620" t="s">
        <v>164</v>
      </c>
      <c r="H224" s="619" t="s">
        <v>69</v>
      </c>
      <c r="I224" s="619" t="s">
        <v>68</v>
      </c>
      <c r="J224" s="619" t="s">
        <v>66</v>
      </c>
      <c r="K224" s="619" t="s">
        <v>63</v>
      </c>
      <c r="L224" s="619" t="s">
        <v>61</v>
      </c>
      <c r="M224" s="619" t="s">
        <v>62</v>
      </c>
      <c r="N224" s="619" t="s">
        <v>67</v>
      </c>
      <c r="O224" s="619" t="s">
        <v>77</v>
      </c>
      <c r="P224" s="619" t="s">
        <v>71</v>
      </c>
      <c r="Q224" s="619" t="s">
        <v>80</v>
      </c>
      <c r="R224" s="617" t="s">
        <v>168</v>
      </c>
    </row>
    <row r="225" spans="1:18" ht="12.75" customHeight="1" x14ac:dyDescent="0.25">
      <c r="C225" s="617" t="s">
        <v>72</v>
      </c>
      <c r="D225" s="621">
        <v>-21566863.359999999</v>
      </c>
      <c r="E225" s="619">
        <v>-1602733.56</v>
      </c>
      <c r="F225" s="619">
        <v>-896891.02</v>
      </c>
      <c r="G225" s="621">
        <v>-475692.34</v>
      </c>
      <c r="H225" s="619">
        <v>-4329801.24</v>
      </c>
      <c r="I225" s="619">
        <v>-156115.79</v>
      </c>
      <c r="J225" s="619">
        <v>-1354110.99</v>
      </c>
      <c r="K225" s="619">
        <v>-1357517.45</v>
      </c>
      <c r="L225" s="619">
        <v>-6863140.8499999996</v>
      </c>
      <c r="M225" s="619">
        <v>-4276100.4400000004</v>
      </c>
      <c r="N225" s="619">
        <v>-254729.55</v>
      </c>
      <c r="O225" s="619">
        <v>-30.13</v>
      </c>
      <c r="P225" s="619">
        <v>0</v>
      </c>
      <c r="Q225" s="619">
        <v>0</v>
      </c>
      <c r="R225" s="617">
        <v>0</v>
      </c>
    </row>
    <row r="226" spans="1:18" ht="12.75" customHeight="1" x14ac:dyDescent="0.25">
      <c r="C226" s="617" t="s">
        <v>81</v>
      </c>
      <c r="D226" s="621">
        <v>-10375865.33</v>
      </c>
      <c r="E226" s="619">
        <v>-1376999.44</v>
      </c>
      <c r="F226" s="619">
        <v>-590233.5</v>
      </c>
      <c r="G226" s="621">
        <v>-209963.97</v>
      </c>
      <c r="H226" s="619">
        <v>-1412012.61</v>
      </c>
      <c r="I226" s="619">
        <v>-55947.15</v>
      </c>
      <c r="J226" s="619">
        <v>-490779.37</v>
      </c>
      <c r="K226" s="619">
        <v>-582672.57999999996</v>
      </c>
      <c r="L226" s="619">
        <v>-1966418.97</v>
      </c>
      <c r="M226" s="619">
        <v>-3599557.03</v>
      </c>
      <c r="N226" s="619">
        <v>-91288.76</v>
      </c>
      <c r="O226" s="619">
        <v>8.34</v>
      </c>
      <c r="P226" s="619">
        <v>0</v>
      </c>
      <c r="Q226" s="619">
        <v>0</v>
      </c>
      <c r="R226" s="617">
        <v>-0.28999999999999998</v>
      </c>
    </row>
    <row r="227" spans="1:18" s="622" customFormat="1" ht="12.75" customHeight="1" x14ac:dyDescent="0.25">
      <c r="B227" s="623" t="s">
        <v>78</v>
      </c>
      <c r="C227" s="623" t="s">
        <v>70</v>
      </c>
      <c r="D227" s="623">
        <v>-31942728.690000001</v>
      </c>
      <c r="E227" s="623">
        <v>-2979733</v>
      </c>
      <c r="F227" s="623">
        <v>-1487124.52</v>
      </c>
      <c r="G227" s="623">
        <v>-685656.31</v>
      </c>
      <c r="H227" s="623">
        <v>-5741813.8499999996</v>
      </c>
      <c r="I227" s="623">
        <v>-212062.94</v>
      </c>
      <c r="J227" s="623">
        <v>-1844890.36</v>
      </c>
      <c r="K227" s="623">
        <v>-1940190.03</v>
      </c>
      <c r="L227" s="623">
        <v>-8829559.8200000003</v>
      </c>
      <c r="M227" s="623">
        <v>-7875657.4699999997</v>
      </c>
      <c r="N227" s="623">
        <v>-346018.31</v>
      </c>
      <c r="O227" s="623">
        <v>-21.79</v>
      </c>
      <c r="P227" s="622">
        <v>0</v>
      </c>
      <c r="Q227" s="623">
        <v>0</v>
      </c>
      <c r="R227" s="623">
        <v>-0.28999999999999998</v>
      </c>
    </row>
    <row r="228" spans="1:18" ht="12.75" customHeight="1" x14ac:dyDescent="0.25">
      <c r="C228" s="617" t="s">
        <v>73</v>
      </c>
      <c r="D228" s="621">
        <v>2174082.7999999998</v>
      </c>
      <c r="E228" s="619">
        <v>22089.07</v>
      </c>
      <c r="F228" s="619">
        <v>10938.57</v>
      </c>
      <c r="G228" s="621">
        <v>6096.13</v>
      </c>
      <c r="H228" s="619">
        <v>636523.27</v>
      </c>
      <c r="I228" s="619">
        <v>22219.55</v>
      </c>
      <c r="J228" s="619">
        <v>194912.33</v>
      </c>
      <c r="K228" s="619">
        <v>197393.84</v>
      </c>
      <c r="L228" s="619">
        <v>989072.18</v>
      </c>
      <c r="M228" s="619">
        <v>58583.97</v>
      </c>
      <c r="N228" s="619">
        <v>36253.89</v>
      </c>
      <c r="O228" s="619">
        <v>0</v>
      </c>
      <c r="P228" s="619">
        <v>0</v>
      </c>
      <c r="Q228" s="619">
        <v>0</v>
      </c>
      <c r="R228" s="617">
        <v>0</v>
      </c>
    </row>
    <row r="229" spans="1:18" s="624" customFormat="1" ht="12.75" customHeight="1" x14ac:dyDescent="0.25">
      <c r="B229" s="625" t="s">
        <v>79</v>
      </c>
      <c r="C229" s="625" t="s">
        <v>70</v>
      </c>
      <c r="D229" s="625">
        <v>2174082.7999999998</v>
      </c>
      <c r="E229" s="625">
        <v>22089.07</v>
      </c>
      <c r="F229" s="625">
        <v>10938.57</v>
      </c>
      <c r="G229" s="625">
        <v>6096.13</v>
      </c>
      <c r="H229" s="625">
        <v>636523.27</v>
      </c>
      <c r="I229" s="625">
        <v>22219.55</v>
      </c>
      <c r="J229" s="625">
        <v>194912.33</v>
      </c>
      <c r="K229" s="625">
        <v>197393.84</v>
      </c>
      <c r="L229" s="625">
        <v>989072.18</v>
      </c>
      <c r="M229" s="625">
        <v>58583.97</v>
      </c>
      <c r="N229" s="625">
        <v>36253.89</v>
      </c>
      <c r="O229" s="625">
        <v>0</v>
      </c>
      <c r="P229" s="624">
        <v>0</v>
      </c>
      <c r="Q229" s="625">
        <v>0</v>
      </c>
      <c r="R229" s="625">
        <v>0</v>
      </c>
    </row>
    <row r="230" spans="1:18" s="756" customFormat="1" ht="12.75" customHeight="1" x14ac:dyDescent="0.25">
      <c r="A230" s="756" t="s">
        <v>155</v>
      </c>
      <c r="B230" s="756" t="s">
        <v>70</v>
      </c>
      <c r="D230" s="757">
        <v>-29768645.890000001</v>
      </c>
      <c r="E230" s="758">
        <v>-2957643.93</v>
      </c>
      <c r="F230" s="758">
        <v>-1476185.95</v>
      </c>
      <c r="G230" s="757">
        <v>-679560.18</v>
      </c>
      <c r="H230" s="758">
        <v>-5105290.58</v>
      </c>
      <c r="I230" s="758">
        <v>-189843.39</v>
      </c>
      <c r="J230" s="758">
        <v>-1649978.03</v>
      </c>
      <c r="K230" s="758">
        <v>-1742796.19</v>
      </c>
      <c r="L230" s="758">
        <v>-7840487.6399999997</v>
      </c>
      <c r="M230" s="758">
        <v>-7817073.5</v>
      </c>
      <c r="N230" s="758">
        <v>-309764.42</v>
      </c>
      <c r="O230" s="758">
        <v>-21.79</v>
      </c>
      <c r="P230" s="758">
        <v>0</v>
      </c>
      <c r="Q230" s="758">
        <v>0</v>
      </c>
      <c r="R230" s="756">
        <v>-0.28999999999999998</v>
      </c>
    </row>
    <row r="231" spans="1:18" ht="12.75" customHeight="1" x14ac:dyDescent="0.25">
      <c r="C231" s="617" t="s">
        <v>72</v>
      </c>
      <c r="D231" s="621">
        <v>-855911.65</v>
      </c>
      <c r="E231" s="619">
        <v>-56578.79</v>
      </c>
      <c r="F231" s="619">
        <v>-29944.45</v>
      </c>
      <c r="G231" s="621">
        <v>-16676.990000000002</v>
      </c>
      <c r="H231" s="619">
        <v>-192512.79</v>
      </c>
      <c r="I231" s="619">
        <v>-5218.1499999999996</v>
      </c>
      <c r="J231" s="619">
        <v>-44076.57</v>
      </c>
      <c r="K231" s="619">
        <v>-55205.51</v>
      </c>
      <c r="L231" s="619">
        <v>-296108.40999999997</v>
      </c>
      <c r="M231" s="619">
        <v>-151081.81</v>
      </c>
      <c r="N231" s="619">
        <v>-8513.86</v>
      </c>
      <c r="O231" s="619">
        <v>5.68</v>
      </c>
      <c r="P231" s="619">
        <v>0</v>
      </c>
      <c r="Q231" s="619">
        <v>0</v>
      </c>
      <c r="R231" s="617">
        <v>0</v>
      </c>
    </row>
    <row r="232" spans="1:18" ht="12.75" customHeight="1" x14ac:dyDescent="0.25">
      <c r="C232" s="617" t="s">
        <v>81</v>
      </c>
      <c r="D232" s="621">
        <v>-456.33</v>
      </c>
      <c r="E232" s="619">
        <v>-43.08</v>
      </c>
      <c r="F232" s="619">
        <v>-19.82</v>
      </c>
      <c r="G232" s="621">
        <v>-11.45</v>
      </c>
      <c r="H232" s="619">
        <v>-92.32</v>
      </c>
      <c r="I232" s="619">
        <v>-2.2799999999999998</v>
      </c>
      <c r="J232" s="619">
        <v>-19.89</v>
      </c>
      <c r="K232" s="619">
        <v>-24.84</v>
      </c>
      <c r="L232" s="619">
        <v>-122.9</v>
      </c>
      <c r="M232" s="619">
        <v>-116.06</v>
      </c>
      <c r="N232" s="619">
        <v>-3.69</v>
      </c>
      <c r="O232" s="619">
        <v>0</v>
      </c>
      <c r="P232" s="619">
        <v>0</v>
      </c>
      <c r="Q232" s="619">
        <v>0</v>
      </c>
      <c r="R232" s="617">
        <v>0</v>
      </c>
    </row>
    <row r="233" spans="1:18" s="622" customFormat="1" ht="12.75" customHeight="1" x14ac:dyDescent="0.25">
      <c r="B233" s="623" t="s">
        <v>78</v>
      </c>
      <c r="C233" s="623" t="s">
        <v>70</v>
      </c>
      <c r="D233" s="623">
        <v>-856367.98</v>
      </c>
      <c r="E233" s="623">
        <v>-56621.87</v>
      </c>
      <c r="F233" s="623">
        <v>-29964.27</v>
      </c>
      <c r="G233" s="623">
        <v>-16688.439999999999</v>
      </c>
      <c r="H233" s="623">
        <v>-192605.11</v>
      </c>
      <c r="I233" s="623">
        <v>-5220.43</v>
      </c>
      <c r="J233" s="623">
        <v>-44096.46</v>
      </c>
      <c r="K233" s="623">
        <v>-55230.35</v>
      </c>
      <c r="L233" s="623">
        <v>-296231.31</v>
      </c>
      <c r="M233" s="623">
        <v>-151197.87</v>
      </c>
      <c r="N233" s="623">
        <v>-8517.5499999999993</v>
      </c>
      <c r="O233" s="623">
        <v>5.68</v>
      </c>
      <c r="P233" s="622">
        <v>0</v>
      </c>
      <c r="Q233" s="623">
        <v>0</v>
      </c>
      <c r="R233" s="623">
        <v>0</v>
      </c>
    </row>
    <row r="234" spans="1:18" ht="12.75" customHeight="1" x14ac:dyDescent="0.25">
      <c r="C234" s="617" t="s">
        <v>73</v>
      </c>
      <c r="D234" s="621">
        <v>120337.98</v>
      </c>
      <c r="E234" s="619">
        <v>-5853.75</v>
      </c>
      <c r="F234" s="619">
        <v>-3466.39</v>
      </c>
      <c r="G234" s="621">
        <v>-1802.77</v>
      </c>
      <c r="H234" s="619">
        <v>44564.39</v>
      </c>
      <c r="I234" s="619">
        <v>1338.88</v>
      </c>
      <c r="J234" s="619">
        <v>11744.63</v>
      </c>
      <c r="K234" s="619">
        <v>14317.92</v>
      </c>
      <c r="L234" s="619">
        <v>72511.87</v>
      </c>
      <c r="M234" s="619">
        <v>-15201.3</v>
      </c>
      <c r="N234" s="619">
        <v>2184.5</v>
      </c>
      <c r="O234" s="619">
        <v>0</v>
      </c>
      <c r="P234" s="619">
        <v>0</v>
      </c>
      <c r="Q234" s="619">
        <v>0</v>
      </c>
      <c r="R234" s="617">
        <v>0</v>
      </c>
    </row>
    <row r="235" spans="1:18" s="624" customFormat="1" ht="12.75" customHeight="1" x14ac:dyDescent="0.25">
      <c r="B235" s="625" t="s">
        <v>79</v>
      </c>
      <c r="C235" s="625" t="s">
        <v>70</v>
      </c>
      <c r="D235" s="625">
        <v>120337.98</v>
      </c>
      <c r="E235" s="625">
        <v>-5853.75</v>
      </c>
      <c r="F235" s="625">
        <v>-3466.39</v>
      </c>
      <c r="G235" s="625">
        <v>-1802.77</v>
      </c>
      <c r="H235" s="625">
        <v>44564.39</v>
      </c>
      <c r="I235" s="625">
        <v>1338.88</v>
      </c>
      <c r="J235" s="625">
        <v>11744.63</v>
      </c>
      <c r="K235" s="625">
        <v>14317.92</v>
      </c>
      <c r="L235" s="625">
        <v>72511.87</v>
      </c>
      <c r="M235" s="625">
        <v>-15201.3</v>
      </c>
      <c r="N235" s="625">
        <v>2184.5</v>
      </c>
      <c r="O235" s="625">
        <v>0</v>
      </c>
      <c r="P235" s="624">
        <v>0</v>
      </c>
      <c r="Q235" s="625">
        <v>0</v>
      </c>
      <c r="R235" s="625">
        <v>0</v>
      </c>
    </row>
    <row r="236" spans="1:18" s="764" customFormat="1" ht="12.75" customHeight="1" x14ac:dyDescent="0.25">
      <c r="A236" s="764" t="s">
        <v>120</v>
      </c>
      <c r="B236" s="764" t="s">
        <v>70</v>
      </c>
      <c r="D236" s="766">
        <v>-736030</v>
      </c>
      <c r="E236" s="765">
        <v>-62475.62</v>
      </c>
      <c r="F236" s="765">
        <v>-33430.660000000003</v>
      </c>
      <c r="G236" s="766">
        <v>-18491.21</v>
      </c>
      <c r="H236" s="765">
        <v>-148040.72</v>
      </c>
      <c r="I236" s="765">
        <v>-3881.55</v>
      </c>
      <c r="J236" s="765">
        <v>-32351.83</v>
      </c>
      <c r="K236" s="765">
        <v>-40912.43</v>
      </c>
      <c r="L236" s="765">
        <v>-223719.44</v>
      </c>
      <c r="M236" s="765">
        <v>-166399.17000000001</v>
      </c>
      <c r="N236" s="765">
        <v>-6333.05</v>
      </c>
      <c r="O236" s="765">
        <v>5.68</v>
      </c>
      <c r="P236" s="765">
        <v>0</v>
      </c>
      <c r="Q236" s="765">
        <v>0</v>
      </c>
      <c r="R236" s="764">
        <v>0</v>
      </c>
    </row>
    <row r="237" spans="1:18" ht="12.75" customHeight="1" x14ac:dyDescent="0.25">
      <c r="C237" s="617" t="s">
        <v>72</v>
      </c>
      <c r="D237" s="621">
        <v>-3952597.5</v>
      </c>
      <c r="E237" s="619">
        <v>-239180.98</v>
      </c>
      <c r="F237" s="619">
        <v>-134746.5</v>
      </c>
      <c r="G237" s="621">
        <v>-69663.42</v>
      </c>
      <c r="H237" s="619">
        <v>-865036.73</v>
      </c>
      <c r="I237" s="619">
        <v>-28695.58</v>
      </c>
      <c r="J237" s="619">
        <v>-279525.13</v>
      </c>
      <c r="K237" s="619">
        <v>-279118.37</v>
      </c>
      <c r="L237" s="619">
        <v>-1359152.73</v>
      </c>
      <c r="M237" s="619">
        <v>-648894.61</v>
      </c>
      <c r="N237" s="619">
        <v>-48597.18</v>
      </c>
      <c r="O237" s="619">
        <v>13.73</v>
      </c>
      <c r="P237" s="619">
        <v>0</v>
      </c>
      <c r="Q237" s="619">
        <v>0</v>
      </c>
      <c r="R237" s="617">
        <v>0</v>
      </c>
    </row>
    <row r="238" spans="1:18" ht="12.75" customHeight="1" x14ac:dyDescent="0.25">
      <c r="C238" s="617" t="s">
        <v>81</v>
      </c>
      <c r="D238" s="621">
        <v>-72621.509999999995</v>
      </c>
      <c r="E238" s="619">
        <v>-5294.3</v>
      </c>
      <c r="F238" s="619">
        <v>-1735.02</v>
      </c>
      <c r="G238" s="621">
        <v>-406.34</v>
      </c>
      <c r="H238" s="619">
        <v>-9879.81</v>
      </c>
      <c r="I238" s="619">
        <v>-851.94</v>
      </c>
      <c r="J238" s="619">
        <v>-7477.78</v>
      </c>
      <c r="K238" s="619">
        <v>-6895.96</v>
      </c>
      <c r="L238" s="619">
        <v>-23542.38</v>
      </c>
      <c r="M238" s="619">
        <v>-15148.31</v>
      </c>
      <c r="N238" s="619">
        <v>-1390.75</v>
      </c>
      <c r="O238" s="619">
        <v>1.08</v>
      </c>
      <c r="P238" s="619">
        <v>0</v>
      </c>
      <c r="Q238" s="619">
        <v>0</v>
      </c>
      <c r="R238" s="617">
        <v>0</v>
      </c>
    </row>
    <row r="239" spans="1:18" s="622" customFormat="1" ht="12.75" customHeight="1" x14ac:dyDescent="0.25">
      <c r="B239" s="623" t="s">
        <v>78</v>
      </c>
      <c r="C239" s="623" t="s">
        <v>70</v>
      </c>
      <c r="D239" s="623">
        <v>-4025219.01</v>
      </c>
      <c r="E239" s="623">
        <v>-244475.28</v>
      </c>
      <c r="F239" s="623">
        <v>-136481.51999999999</v>
      </c>
      <c r="G239" s="623">
        <v>-70069.759999999995</v>
      </c>
      <c r="H239" s="623">
        <v>-874916.54</v>
      </c>
      <c r="I239" s="623">
        <v>-29547.52</v>
      </c>
      <c r="J239" s="623">
        <v>-287002.90999999997</v>
      </c>
      <c r="K239" s="623">
        <v>-286014.33</v>
      </c>
      <c r="L239" s="623">
        <v>-1382695.11</v>
      </c>
      <c r="M239" s="623">
        <v>-664042.92000000004</v>
      </c>
      <c r="N239" s="623">
        <v>-49987.93</v>
      </c>
      <c r="O239" s="623">
        <v>14.81</v>
      </c>
      <c r="P239" s="622">
        <v>0</v>
      </c>
      <c r="Q239" s="623">
        <v>0</v>
      </c>
      <c r="R239" s="623">
        <v>0</v>
      </c>
    </row>
    <row r="240" spans="1:18" ht="12.75" customHeight="1" x14ac:dyDescent="0.25">
      <c r="C240" s="617" t="s">
        <v>73</v>
      </c>
      <c r="D240" s="619">
        <v>791790.67</v>
      </c>
      <c r="E240" s="619">
        <v>30614.54</v>
      </c>
      <c r="F240" s="619">
        <v>15664.41</v>
      </c>
      <c r="G240" s="621">
        <v>8427.0300000000007</v>
      </c>
      <c r="H240" s="619">
        <v>198488.51</v>
      </c>
      <c r="I240" s="619">
        <v>7139.75</v>
      </c>
      <c r="J240" s="619">
        <v>62630.13</v>
      </c>
      <c r="K240" s="619">
        <v>62193.599999999999</v>
      </c>
      <c r="L240" s="619">
        <v>307975.48</v>
      </c>
      <c r="M240" s="619">
        <v>87007.94</v>
      </c>
      <c r="N240" s="619">
        <v>11649.28</v>
      </c>
      <c r="O240" s="619">
        <v>0</v>
      </c>
      <c r="P240" s="619">
        <v>0</v>
      </c>
      <c r="Q240" s="619">
        <v>0</v>
      </c>
      <c r="R240" s="617">
        <v>0</v>
      </c>
    </row>
    <row r="241" spans="1:18" s="624" customFormat="1" ht="12.75" customHeight="1" x14ac:dyDescent="0.25">
      <c r="B241" s="625" t="s">
        <v>79</v>
      </c>
      <c r="C241" s="625" t="s">
        <v>70</v>
      </c>
      <c r="D241" s="625">
        <v>791790.67</v>
      </c>
      <c r="E241" s="625">
        <v>30614.54</v>
      </c>
      <c r="F241" s="625">
        <v>15664.41</v>
      </c>
      <c r="G241" s="625">
        <v>8427.0300000000007</v>
      </c>
      <c r="H241" s="625">
        <v>198488.51</v>
      </c>
      <c r="I241" s="625">
        <v>7139.75</v>
      </c>
      <c r="J241" s="625">
        <v>62630.13</v>
      </c>
      <c r="K241" s="625">
        <v>62193.599999999999</v>
      </c>
      <c r="L241" s="625">
        <v>307975.48</v>
      </c>
      <c r="M241" s="625">
        <v>87007.94</v>
      </c>
      <c r="N241" s="625">
        <v>11649.28</v>
      </c>
      <c r="O241" s="625">
        <v>0</v>
      </c>
      <c r="P241" s="624">
        <v>0</v>
      </c>
      <c r="Q241" s="625">
        <v>0</v>
      </c>
      <c r="R241" s="625">
        <v>0</v>
      </c>
    </row>
    <row r="242" spans="1:18" s="755" customFormat="1" ht="12.75" customHeight="1" x14ac:dyDescent="0.25">
      <c r="A242" s="755" t="s">
        <v>119</v>
      </c>
      <c r="B242" s="629" t="s">
        <v>70</v>
      </c>
      <c r="C242" s="629"/>
      <c r="D242" s="629">
        <v>-3233428.34</v>
      </c>
      <c r="E242" s="629">
        <v>-213860.74</v>
      </c>
      <c r="F242" s="629">
        <v>-120817.11</v>
      </c>
      <c r="G242" s="629">
        <v>-61642.73</v>
      </c>
      <c r="H242" s="629">
        <v>-676428.03</v>
      </c>
      <c r="I242" s="629">
        <v>-22407.77</v>
      </c>
      <c r="J242" s="629">
        <v>-224372.78</v>
      </c>
      <c r="K242" s="629">
        <v>-223820.73</v>
      </c>
      <c r="L242" s="629">
        <v>-1074719.6299999999</v>
      </c>
      <c r="M242" s="629">
        <v>-577034.98</v>
      </c>
      <c r="N242" s="629">
        <v>-38338.65</v>
      </c>
      <c r="O242" s="629">
        <v>14.81</v>
      </c>
      <c r="P242" s="755">
        <v>0</v>
      </c>
      <c r="Q242" s="629">
        <v>0</v>
      </c>
      <c r="R242" s="629">
        <v>0</v>
      </c>
    </row>
    <row r="243" spans="1:18" s="632" customFormat="1" ht="12.75" customHeight="1" x14ac:dyDescent="0.25">
      <c r="A243" s="631" t="s">
        <v>70</v>
      </c>
      <c r="D243" s="631">
        <v>-33738104.229999997</v>
      </c>
      <c r="E243" s="631">
        <v>-3233980.29</v>
      </c>
      <c r="F243" s="631">
        <v>-1630433.72</v>
      </c>
      <c r="G243" s="631">
        <v>-759694.12</v>
      </c>
      <c r="H243" s="631">
        <v>-5929759.3300000001</v>
      </c>
      <c r="I243" s="631">
        <v>-216132.71</v>
      </c>
      <c r="J243" s="631">
        <v>-1906702.64</v>
      </c>
      <c r="K243" s="631">
        <v>-2007529.35</v>
      </c>
      <c r="L243" s="631">
        <v>-9138926.7100000009</v>
      </c>
      <c r="M243" s="631">
        <v>-8560507.6500000004</v>
      </c>
      <c r="N243" s="631">
        <v>-354436.12</v>
      </c>
      <c r="O243" s="631">
        <v>-1.3</v>
      </c>
      <c r="P243" s="632">
        <v>0</v>
      </c>
      <c r="Q243" s="632">
        <v>0</v>
      </c>
      <c r="R243" s="632">
        <v>-0.28999999999999998</v>
      </c>
    </row>
    <row r="244" spans="1:18" ht="12.75" customHeight="1" x14ac:dyDescent="0.25">
      <c r="A244" s="619"/>
      <c r="B244" s="619"/>
      <c r="D244" s="619"/>
      <c r="E244" s="619"/>
      <c r="F244" s="619"/>
      <c r="G244" s="619"/>
      <c r="H244" s="619"/>
      <c r="I244" s="619"/>
      <c r="J244" s="619"/>
      <c r="K244" s="619"/>
      <c r="L244" s="619"/>
      <c r="M244" s="619"/>
      <c r="N244" s="619"/>
      <c r="O244" s="619"/>
    </row>
    <row r="245" spans="1:18" ht="12.75" customHeight="1" x14ac:dyDescent="0.25">
      <c r="A245" s="619"/>
      <c r="D245" s="619"/>
      <c r="E245" s="619"/>
      <c r="F245" s="619"/>
      <c r="G245" s="619"/>
      <c r="H245" s="619"/>
      <c r="I245" s="619"/>
      <c r="J245" s="619"/>
      <c r="K245" s="619"/>
      <c r="L245" s="619"/>
      <c r="M245" s="619"/>
      <c r="N245" s="619"/>
      <c r="O245" s="619"/>
    </row>
    <row r="246" spans="1:18" ht="12.75" customHeight="1" x14ac:dyDescent="0.25">
      <c r="B246" s="619"/>
      <c r="C246" s="619"/>
      <c r="D246" s="619"/>
      <c r="E246" s="619"/>
      <c r="F246" s="619"/>
      <c r="G246" s="619"/>
      <c r="H246" s="619"/>
      <c r="I246" s="619"/>
      <c r="J246" s="619"/>
      <c r="K246" s="619"/>
      <c r="L246" s="619"/>
      <c r="M246" s="619"/>
      <c r="N246" s="619"/>
      <c r="O246" s="619"/>
    </row>
    <row r="247" spans="1:18" ht="12.75" hidden="1" customHeight="1" x14ac:dyDescent="0.25">
      <c r="B247" s="619"/>
      <c r="C247" s="619"/>
      <c r="D247" s="619"/>
      <c r="E247" s="619"/>
      <c r="F247" s="619"/>
      <c r="G247" s="619"/>
      <c r="H247" s="619"/>
      <c r="I247" s="619"/>
      <c r="J247" s="619"/>
      <c r="K247" s="619"/>
      <c r="L247" s="619"/>
      <c r="M247" s="619"/>
      <c r="N247" s="619"/>
      <c r="O247" s="619"/>
    </row>
    <row r="248" spans="1:18" ht="12.75" hidden="1" customHeight="1" x14ac:dyDescent="0.25">
      <c r="B248" s="619"/>
      <c r="C248" s="619"/>
      <c r="D248" s="619"/>
      <c r="E248" s="619"/>
      <c r="F248" s="619"/>
      <c r="G248" s="619"/>
      <c r="H248" s="619"/>
      <c r="I248" s="619"/>
      <c r="J248" s="619"/>
      <c r="K248" s="619"/>
      <c r="L248" s="619"/>
      <c r="M248" s="619"/>
      <c r="N248" s="619"/>
      <c r="O248" s="619"/>
    </row>
    <row r="249" spans="1:18" ht="12.75" hidden="1" customHeight="1" x14ac:dyDescent="0.25">
      <c r="B249" s="619"/>
      <c r="C249" s="619"/>
      <c r="D249" s="619"/>
      <c r="E249" s="619"/>
      <c r="F249" s="619"/>
      <c r="G249" s="619"/>
      <c r="H249" s="619"/>
      <c r="I249" s="619"/>
      <c r="J249" s="619"/>
      <c r="K249" s="619"/>
      <c r="L249" s="619"/>
      <c r="M249" s="619"/>
      <c r="N249" s="619"/>
      <c r="O249" s="619"/>
    </row>
    <row r="250" spans="1:18" ht="12.75" hidden="1" customHeight="1" x14ac:dyDescent="0.25">
      <c r="B250" s="619"/>
      <c r="C250" s="619"/>
      <c r="D250" s="619"/>
      <c r="E250" s="619"/>
      <c r="F250" s="619"/>
      <c r="G250" s="619"/>
      <c r="H250" s="619"/>
      <c r="I250" s="619"/>
      <c r="J250" s="619"/>
      <c r="K250" s="619"/>
      <c r="L250" s="619"/>
      <c r="M250" s="619"/>
      <c r="N250" s="619"/>
      <c r="O250" s="619"/>
    </row>
    <row r="251" spans="1:18" ht="12.75" hidden="1" customHeight="1" x14ac:dyDescent="0.25">
      <c r="B251" s="619"/>
      <c r="C251" s="619"/>
      <c r="D251" s="619"/>
      <c r="E251" s="619"/>
      <c r="F251" s="619"/>
      <c r="G251" s="619"/>
      <c r="H251" s="619"/>
      <c r="I251" s="619"/>
      <c r="J251" s="619"/>
      <c r="K251" s="619"/>
      <c r="L251" s="619"/>
      <c r="M251" s="619"/>
      <c r="N251" s="619"/>
      <c r="O251" s="619"/>
    </row>
    <row r="252" spans="1:18" ht="12.75" hidden="1" customHeight="1" x14ac:dyDescent="0.25">
      <c r="B252" s="619"/>
      <c r="C252" s="619"/>
      <c r="D252" s="619"/>
      <c r="E252" s="619"/>
      <c r="F252" s="619"/>
      <c r="G252" s="619"/>
      <c r="H252" s="619"/>
      <c r="I252" s="619"/>
      <c r="J252" s="619"/>
      <c r="K252" s="619"/>
      <c r="L252" s="619"/>
      <c r="M252" s="619"/>
      <c r="N252" s="619"/>
      <c r="O252" s="619"/>
    </row>
    <row r="253" spans="1:18" ht="12.75" hidden="1" customHeight="1" x14ac:dyDescent="0.25">
      <c r="B253" s="619"/>
      <c r="C253" s="619"/>
      <c r="D253" s="619"/>
      <c r="E253" s="619"/>
      <c r="F253" s="619"/>
      <c r="G253" s="619"/>
      <c r="H253" s="619"/>
      <c r="I253" s="619"/>
      <c r="J253" s="619"/>
      <c r="K253" s="619"/>
      <c r="L253" s="619"/>
      <c r="M253" s="619"/>
      <c r="N253" s="619"/>
      <c r="O253" s="619"/>
    </row>
    <row r="254" spans="1:18" ht="12.75" hidden="1" customHeight="1" x14ac:dyDescent="0.25">
      <c r="B254" s="619"/>
      <c r="C254" s="619"/>
      <c r="D254" s="619"/>
      <c r="E254" s="619"/>
      <c r="F254" s="619"/>
      <c r="G254" s="619"/>
      <c r="H254" s="619"/>
      <c r="I254" s="619"/>
      <c r="J254" s="619"/>
      <c r="K254" s="619"/>
      <c r="L254" s="619"/>
      <c r="M254" s="619"/>
      <c r="N254" s="619"/>
      <c r="O254" s="619"/>
    </row>
    <row r="255" spans="1:18" ht="12.75" hidden="1" customHeight="1" x14ac:dyDescent="0.25">
      <c r="B255" s="619"/>
      <c r="C255" s="619"/>
      <c r="D255" s="619"/>
      <c r="E255" s="619"/>
      <c r="F255" s="619"/>
      <c r="G255" s="619"/>
      <c r="H255" s="619"/>
      <c r="I255" s="619"/>
      <c r="J255" s="619"/>
      <c r="K255" s="619"/>
      <c r="L255" s="619"/>
      <c r="M255" s="619"/>
      <c r="N255" s="619"/>
      <c r="O255" s="619"/>
    </row>
    <row r="256" spans="1:18" ht="12.75" hidden="1" customHeight="1" x14ac:dyDescent="0.25">
      <c r="B256" s="619"/>
      <c r="C256" s="619"/>
      <c r="D256" s="619"/>
      <c r="E256" s="619"/>
      <c r="F256" s="619"/>
      <c r="G256" s="619"/>
      <c r="H256" s="619"/>
      <c r="I256" s="619"/>
      <c r="J256" s="619"/>
      <c r="K256" s="619"/>
      <c r="L256" s="619"/>
      <c r="M256" s="619"/>
      <c r="N256" s="619"/>
      <c r="O256" s="619"/>
    </row>
    <row r="257" spans="2:15" ht="12.75" hidden="1" customHeight="1" x14ac:dyDescent="0.25">
      <c r="B257" s="619"/>
      <c r="C257" s="619"/>
      <c r="D257" s="619"/>
      <c r="E257" s="619"/>
      <c r="F257" s="619"/>
      <c r="G257" s="619"/>
      <c r="H257" s="619"/>
      <c r="I257" s="619"/>
      <c r="J257" s="619"/>
      <c r="K257" s="619"/>
      <c r="L257" s="619"/>
      <c r="M257" s="619"/>
      <c r="N257" s="619"/>
      <c r="O257" s="619"/>
    </row>
    <row r="258" spans="2:15" ht="12.75" hidden="1" customHeight="1" x14ac:dyDescent="0.25">
      <c r="B258" s="619"/>
      <c r="C258" s="619"/>
      <c r="D258" s="619"/>
      <c r="E258" s="619"/>
      <c r="F258" s="619"/>
      <c r="G258" s="619"/>
      <c r="H258" s="619"/>
      <c r="I258" s="619"/>
      <c r="J258" s="619"/>
      <c r="K258" s="619"/>
      <c r="L258" s="619"/>
      <c r="M258" s="619"/>
      <c r="N258" s="619"/>
      <c r="O258" s="619"/>
    </row>
    <row r="259" spans="2:15" ht="12.75" hidden="1" customHeight="1" x14ac:dyDescent="0.25">
      <c r="B259" s="619"/>
      <c r="C259" s="619"/>
      <c r="D259" s="619"/>
      <c r="E259" s="619"/>
      <c r="F259" s="619"/>
      <c r="G259" s="619"/>
      <c r="H259" s="619"/>
      <c r="I259" s="619"/>
      <c r="J259" s="619"/>
      <c r="K259" s="619"/>
      <c r="L259" s="619"/>
      <c r="M259" s="619"/>
      <c r="N259" s="619"/>
      <c r="O259" s="619"/>
    </row>
    <row r="260" spans="2:15" ht="12.75" hidden="1" customHeight="1" x14ac:dyDescent="0.25">
      <c r="B260" s="619"/>
      <c r="C260" s="619"/>
      <c r="D260" s="619"/>
      <c r="E260" s="619"/>
      <c r="F260" s="619"/>
      <c r="G260" s="619"/>
      <c r="H260" s="619"/>
      <c r="I260" s="619"/>
      <c r="J260" s="619"/>
      <c r="K260" s="619"/>
      <c r="L260" s="619"/>
      <c r="M260" s="619"/>
      <c r="N260" s="619"/>
      <c r="O260" s="619"/>
    </row>
    <row r="261" spans="2:15" ht="12.75" hidden="1" customHeight="1" x14ac:dyDescent="0.25">
      <c r="B261" s="619"/>
      <c r="C261" s="619"/>
      <c r="D261" s="619"/>
      <c r="E261" s="619"/>
      <c r="F261" s="619"/>
      <c r="G261" s="619"/>
      <c r="H261" s="619"/>
      <c r="I261" s="619"/>
      <c r="J261" s="619"/>
      <c r="K261" s="619"/>
      <c r="L261" s="619"/>
      <c r="M261" s="619"/>
      <c r="N261" s="619"/>
      <c r="O261" s="619"/>
    </row>
    <row r="262" spans="2:15" ht="12.75" hidden="1" customHeight="1" x14ac:dyDescent="0.25">
      <c r="B262" s="619"/>
      <c r="C262" s="619"/>
      <c r="D262" s="619"/>
      <c r="E262" s="619"/>
      <c r="F262" s="619"/>
      <c r="G262" s="619"/>
      <c r="H262" s="619"/>
      <c r="I262" s="619"/>
      <c r="J262" s="619"/>
      <c r="K262" s="619"/>
      <c r="L262" s="619"/>
      <c r="M262" s="619"/>
      <c r="N262" s="619"/>
      <c r="O262" s="619"/>
    </row>
    <row r="263" spans="2:15" ht="12.75" hidden="1" customHeight="1" x14ac:dyDescent="0.25">
      <c r="B263" s="619"/>
      <c r="C263" s="619"/>
      <c r="D263" s="619"/>
      <c r="E263" s="619"/>
      <c r="F263" s="619"/>
      <c r="G263" s="619"/>
      <c r="H263" s="619"/>
      <c r="I263" s="619"/>
      <c r="J263" s="619"/>
      <c r="K263" s="619"/>
      <c r="L263" s="619"/>
      <c r="M263" s="619"/>
      <c r="N263" s="619"/>
      <c r="O263" s="619"/>
    </row>
    <row r="264" spans="2:15" ht="12.75" hidden="1" customHeight="1" x14ac:dyDescent="0.25">
      <c r="B264" s="619"/>
      <c r="C264" s="619"/>
      <c r="D264" s="619"/>
      <c r="E264" s="619"/>
      <c r="F264" s="619"/>
      <c r="G264" s="619"/>
      <c r="H264" s="619"/>
      <c r="I264" s="619"/>
      <c r="J264" s="619"/>
      <c r="K264" s="619"/>
      <c r="L264" s="619"/>
      <c r="M264" s="619"/>
      <c r="N264" s="619"/>
      <c r="O264" s="619"/>
    </row>
    <row r="265" spans="2:15" ht="12.75" hidden="1" customHeight="1" x14ac:dyDescent="0.25">
      <c r="B265" s="619"/>
      <c r="C265" s="619"/>
      <c r="D265" s="619"/>
      <c r="E265" s="619"/>
      <c r="F265" s="619"/>
      <c r="G265" s="619"/>
      <c r="H265" s="619"/>
      <c r="I265" s="619"/>
      <c r="J265" s="619"/>
      <c r="K265" s="619"/>
      <c r="L265" s="619"/>
      <c r="M265" s="619"/>
      <c r="N265" s="619"/>
      <c r="O265" s="619"/>
    </row>
    <row r="266" spans="2:15" ht="12.75" hidden="1" customHeight="1" x14ac:dyDescent="0.25">
      <c r="B266" s="619"/>
      <c r="C266" s="619"/>
      <c r="D266" s="619"/>
      <c r="E266" s="619"/>
      <c r="F266" s="619"/>
      <c r="G266" s="619"/>
      <c r="H266" s="619"/>
      <c r="I266" s="619"/>
      <c r="J266" s="619"/>
      <c r="K266" s="619"/>
      <c r="L266" s="619"/>
      <c r="M266" s="619"/>
      <c r="N266" s="619"/>
      <c r="O266" s="619"/>
    </row>
    <row r="267" spans="2:15" ht="12.75" hidden="1" customHeight="1" x14ac:dyDescent="0.25">
      <c r="B267" s="619"/>
      <c r="C267" s="619"/>
      <c r="D267" s="619"/>
      <c r="E267" s="619"/>
      <c r="F267" s="619"/>
      <c r="G267" s="619"/>
      <c r="H267" s="619"/>
      <c r="I267" s="619"/>
      <c r="J267" s="619"/>
      <c r="K267" s="619"/>
      <c r="L267" s="619"/>
      <c r="M267" s="619"/>
      <c r="N267" s="619"/>
      <c r="O267" s="619"/>
    </row>
    <row r="268" spans="2:15" ht="12.75" hidden="1" customHeight="1" x14ac:dyDescent="0.25">
      <c r="B268" s="619"/>
      <c r="C268" s="619"/>
      <c r="D268" s="619"/>
      <c r="E268" s="619"/>
      <c r="F268" s="619"/>
      <c r="G268" s="619"/>
      <c r="H268" s="619"/>
      <c r="I268" s="619"/>
      <c r="J268" s="619"/>
      <c r="K268" s="619"/>
      <c r="L268" s="619"/>
      <c r="M268" s="619"/>
      <c r="N268" s="619"/>
      <c r="O268" s="619"/>
    </row>
    <row r="269" spans="2:15" ht="12.75" hidden="1" customHeight="1" x14ac:dyDescent="0.25">
      <c r="B269" s="619"/>
      <c r="C269" s="619"/>
      <c r="D269" s="619"/>
      <c r="E269" s="619"/>
      <c r="F269" s="619"/>
      <c r="G269" s="619"/>
      <c r="H269" s="619"/>
      <c r="I269" s="619"/>
      <c r="J269" s="619"/>
      <c r="K269" s="619"/>
      <c r="L269" s="619"/>
      <c r="M269" s="619"/>
      <c r="N269" s="619"/>
      <c r="O269" s="619"/>
    </row>
    <row r="270" spans="2:15" ht="12.75" hidden="1" customHeight="1" x14ac:dyDescent="0.25">
      <c r="B270" s="619"/>
      <c r="C270" s="619"/>
      <c r="D270" s="619"/>
      <c r="E270" s="619"/>
      <c r="F270" s="619"/>
      <c r="G270" s="619"/>
      <c r="H270" s="619"/>
      <c r="I270" s="619"/>
      <c r="J270" s="619"/>
      <c r="K270" s="619"/>
      <c r="L270" s="619"/>
      <c r="M270" s="619"/>
      <c r="N270" s="619"/>
      <c r="O270" s="619"/>
    </row>
    <row r="271" spans="2:15" ht="12.75" hidden="1" customHeight="1" x14ac:dyDescent="0.25">
      <c r="B271" s="619"/>
      <c r="C271" s="619"/>
      <c r="D271" s="619"/>
      <c r="E271" s="619"/>
      <c r="F271" s="619"/>
      <c r="G271" s="619"/>
      <c r="H271" s="619"/>
      <c r="I271" s="619"/>
      <c r="J271" s="619"/>
      <c r="K271" s="619"/>
      <c r="L271" s="619"/>
      <c r="M271" s="619"/>
      <c r="N271" s="619"/>
      <c r="O271" s="619"/>
    </row>
    <row r="272" spans="2:15" ht="12.75" hidden="1" customHeight="1" x14ac:dyDescent="0.25">
      <c r="B272" s="619"/>
      <c r="C272" s="619"/>
      <c r="D272" s="619"/>
      <c r="E272" s="619"/>
      <c r="F272" s="619"/>
      <c r="G272" s="619"/>
      <c r="H272" s="619"/>
      <c r="I272" s="619"/>
      <c r="J272" s="619"/>
      <c r="K272" s="619"/>
      <c r="L272" s="619"/>
      <c r="M272" s="619"/>
      <c r="N272" s="619"/>
      <c r="O272" s="619"/>
    </row>
    <row r="273" spans="2:15" ht="12.75" hidden="1" customHeight="1" x14ac:dyDescent="0.25">
      <c r="B273" s="619"/>
      <c r="C273" s="619"/>
      <c r="D273" s="619"/>
      <c r="E273" s="619"/>
      <c r="F273" s="619"/>
      <c r="G273" s="619"/>
      <c r="H273" s="619"/>
      <c r="I273" s="619"/>
      <c r="J273" s="619"/>
      <c r="K273" s="619"/>
      <c r="L273" s="619"/>
      <c r="M273" s="619"/>
      <c r="N273" s="619"/>
      <c r="O273" s="619"/>
    </row>
    <row r="274" spans="2:15" ht="12.75" hidden="1" customHeight="1" x14ac:dyDescent="0.25">
      <c r="B274" s="619"/>
      <c r="C274" s="619"/>
      <c r="D274" s="619"/>
      <c r="E274" s="619"/>
      <c r="F274" s="619"/>
      <c r="G274" s="619"/>
      <c r="H274" s="619"/>
      <c r="I274" s="619"/>
      <c r="J274" s="619"/>
      <c r="K274" s="619"/>
      <c r="L274" s="619"/>
      <c r="M274" s="619"/>
      <c r="N274" s="619"/>
      <c r="O274" s="619"/>
    </row>
    <row r="275" spans="2:15" ht="12.75" hidden="1" customHeight="1" x14ac:dyDescent="0.25">
      <c r="B275" s="619"/>
      <c r="C275" s="619"/>
      <c r="D275" s="619"/>
      <c r="E275" s="619"/>
      <c r="F275" s="619"/>
      <c r="G275" s="619"/>
      <c r="H275" s="619"/>
      <c r="I275" s="619"/>
      <c r="J275" s="619"/>
      <c r="K275" s="619"/>
      <c r="L275" s="619"/>
      <c r="M275" s="619"/>
      <c r="N275" s="619"/>
      <c r="O275" s="619"/>
    </row>
    <row r="276" spans="2:15" ht="12.75" hidden="1" customHeight="1" x14ac:dyDescent="0.25">
      <c r="B276" s="619"/>
      <c r="C276" s="619"/>
      <c r="D276" s="619"/>
      <c r="E276" s="619"/>
      <c r="F276" s="619"/>
      <c r="G276" s="619"/>
      <c r="H276" s="619"/>
      <c r="I276" s="619"/>
      <c r="J276" s="619"/>
      <c r="K276" s="619"/>
      <c r="L276" s="619"/>
      <c r="M276" s="619"/>
      <c r="N276" s="619"/>
      <c r="O276" s="619"/>
    </row>
    <row r="277" spans="2:15" ht="12.75" hidden="1" customHeight="1" x14ac:dyDescent="0.25">
      <c r="B277" s="619"/>
      <c r="C277" s="619"/>
      <c r="D277" s="619"/>
      <c r="E277" s="619"/>
      <c r="F277" s="619"/>
      <c r="G277" s="619"/>
      <c r="H277" s="619"/>
      <c r="I277" s="619"/>
      <c r="J277" s="619"/>
      <c r="K277" s="619"/>
      <c r="L277" s="619"/>
      <c r="M277" s="619"/>
      <c r="N277" s="619"/>
      <c r="O277" s="619"/>
    </row>
    <row r="278" spans="2:15" ht="12.75" hidden="1" customHeight="1" x14ac:dyDescent="0.25">
      <c r="B278" s="619"/>
      <c r="C278" s="619"/>
      <c r="D278" s="619"/>
      <c r="E278" s="619"/>
      <c r="F278" s="619"/>
      <c r="G278" s="619"/>
      <c r="H278" s="619"/>
      <c r="I278" s="619"/>
      <c r="J278" s="619"/>
      <c r="K278" s="619"/>
      <c r="L278" s="619"/>
      <c r="M278" s="619"/>
      <c r="N278" s="619"/>
      <c r="O278" s="619"/>
    </row>
    <row r="279" spans="2:15" ht="12.75" hidden="1" customHeight="1" x14ac:dyDescent="0.25">
      <c r="B279" s="619"/>
      <c r="C279" s="619"/>
      <c r="D279" s="619"/>
      <c r="E279" s="619"/>
      <c r="F279" s="619"/>
      <c r="G279" s="619"/>
      <c r="H279" s="619"/>
      <c r="I279" s="619"/>
      <c r="J279" s="619"/>
      <c r="K279" s="619"/>
      <c r="L279" s="619"/>
      <c r="M279" s="619"/>
      <c r="N279" s="619"/>
      <c r="O279" s="619"/>
    </row>
    <row r="280" spans="2:15" ht="12.75" hidden="1" customHeight="1" x14ac:dyDescent="0.25">
      <c r="B280" s="619"/>
      <c r="C280" s="619"/>
      <c r="D280" s="619"/>
      <c r="E280" s="619"/>
      <c r="F280" s="619"/>
      <c r="G280" s="619"/>
      <c r="H280" s="619"/>
      <c r="I280" s="619"/>
      <c r="J280" s="619"/>
      <c r="K280" s="619"/>
      <c r="L280" s="619"/>
      <c r="M280" s="619"/>
      <c r="N280" s="619"/>
      <c r="O280" s="619"/>
    </row>
    <row r="281" spans="2:15" ht="12.75" hidden="1" customHeight="1" x14ac:dyDescent="0.25">
      <c r="B281" s="619"/>
      <c r="C281" s="619"/>
      <c r="D281" s="619"/>
      <c r="E281" s="619"/>
      <c r="F281" s="619"/>
      <c r="G281" s="619"/>
      <c r="H281" s="619"/>
      <c r="I281" s="619"/>
      <c r="J281" s="619"/>
      <c r="K281" s="619"/>
      <c r="L281" s="619"/>
      <c r="M281" s="619"/>
      <c r="N281" s="619"/>
      <c r="O281" s="619"/>
    </row>
    <row r="282" spans="2:15" ht="12.75" hidden="1" customHeight="1" x14ac:dyDescent="0.25">
      <c r="B282" s="619"/>
      <c r="C282" s="619"/>
      <c r="D282" s="619"/>
      <c r="E282" s="619"/>
      <c r="F282" s="619"/>
      <c r="G282" s="619"/>
      <c r="H282" s="619"/>
      <c r="I282" s="619"/>
      <c r="J282" s="619"/>
      <c r="K282" s="619"/>
      <c r="L282" s="619"/>
      <c r="M282" s="619"/>
      <c r="N282" s="619"/>
      <c r="O282" s="619"/>
    </row>
    <row r="283" spans="2:15" ht="12.75" hidden="1" customHeight="1" x14ac:dyDescent="0.25">
      <c r="B283" s="619"/>
      <c r="C283" s="619"/>
      <c r="D283" s="619"/>
      <c r="E283" s="619"/>
      <c r="F283" s="619"/>
      <c r="G283" s="619"/>
      <c r="H283" s="619"/>
      <c r="I283" s="619"/>
      <c r="J283" s="619"/>
      <c r="K283" s="619"/>
      <c r="L283" s="619"/>
      <c r="M283" s="619"/>
      <c r="N283" s="619"/>
      <c r="O283" s="619"/>
    </row>
    <row r="284" spans="2:15" ht="12.75" hidden="1" customHeight="1" x14ac:dyDescent="0.25">
      <c r="B284" s="619"/>
      <c r="C284" s="619"/>
      <c r="D284" s="619"/>
      <c r="E284" s="619"/>
      <c r="F284" s="619"/>
      <c r="G284" s="619"/>
      <c r="H284" s="619"/>
      <c r="I284" s="619"/>
      <c r="J284" s="619"/>
      <c r="K284" s="619"/>
      <c r="L284" s="619"/>
      <c r="M284" s="619"/>
      <c r="N284" s="619"/>
      <c r="O284" s="619"/>
    </row>
    <row r="285" spans="2:15" ht="12.75" hidden="1" customHeight="1" x14ac:dyDescent="0.25">
      <c r="B285" s="619"/>
      <c r="C285" s="619"/>
      <c r="D285" s="619"/>
      <c r="E285" s="619"/>
      <c r="F285" s="619"/>
      <c r="G285" s="619"/>
      <c r="H285" s="619"/>
      <c r="I285" s="619"/>
      <c r="J285" s="619"/>
      <c r="K285" s="619"/>
      <c r="L285" s="619"/>
      <c r="M285" s="619"/>
      <c r="N285" s="619"/>
      <c r="O285" s="619"/>
    </row>
    <row r="286" spans="2:15" ht="12.75" hidden="1" customHeight="1" x14ac:dyDescent="0.25">
      <c r="B286" s="619"/>
      <c r="C286" s="619"/>
      <c r="D286" s="619"/>
      <c r="E286" s="619"/>
      <c r="F286" s="619"/>
      <c r="G286" s="619"/>
      <c r="H286" s="619"/>
      <c r="I286" s="619"/>
      <c r="J286" s="619"/>
      <c r="K286" s="619"/>
      <c r="L286" s="619"/>
      <c r="M286" s="619"/>
      <c r="N286" s="619"/>
      <c r="O286" s="619"/>
    </row>
    <row r="287" spans="2:15" ht="12.75" hidden="1" customHeight="1" x14ac:dyDescent="0.25">
      <c r="B287" s="619"/>
      <c r="C287" s="619"/>
      <c r="D287" s="619"/>
      <c r="E287" s="619"/>
      <c r="F287" s="619"/>
      <c r="G287" s="619"/>
      <c r="H287" s="619"/>
      <c r="I287" s="619"/>
      <c r="J287" s="619"/>
      <c r="K287" s="619"/>
      <c r="L287" s="619"/>
      <c r="M287" s="619"/>
      <c r="N287" s="619"/>
      <c r="O287" s="619"/>
    </row>
    <row r="288" spans="2:15" ht="12.75" hidden="1" customHeight="1" x14ac:dyDescent="0.25">
      <c r="B288" s="619"/>
      <c r="C288" s="619"/>
      <c r="D288" s="619"/>
      <c r="E288" s="619"/>
      <c r="F288" s="619"/>
      <c r="G288" s="619"/>
      <c r="H288" s="619"/>
      <c r="I288" s="619"/>
      <c r="J288" s="619"/>
      <c r="K288" s="619"/>
      <c r="L288" s="619"/>
      <c r="M288" s="619"/>
      <c r="N288" s="619"/>
      <c r="O288" s="619"/>
    </row>
    <row r="289" spans="2:15" ht="12.75" hidden="1" customHeight="1" x14ac:dyDescent="0.25">
      <c r="B289" s="619"/>
      <c r="C289" s="619"/>
      <c r="D289" s="619"/>
      <c r="E289" s="619"/>
      <c r="F289" s="619"/>
      <c r="G289" s="619"/>
      <c r="H289" s="619"/>
      <c r="I289" s="619"/>
      <c r="J289" s="619"/>
      <c r="K289" s="619"/>
      <c r="L289" s="619"/>
      <c r="M289" s="619"/>
      <c r="N289" s="619"/>
      <c r="O289" s="619"/>
    </row>
    <row r="290" spans="2:15" ht="12.75" hidden="1" customHeight="1" x14ac:dyDescent="0.25">
      <c r="B290" s="619"/>
      <c r="C290" s="619"/>
      <c r="D290" s="619"/>
      <c r="E290" s="619"/>
      <c r="F290" s="619"/>
      <c r="G290" s="619"/>
      <c r="H290" s="619"/>
      <c r="I290" s="619"/>
      <c r="J290" s="619"/>
      <c r="K290" s="619"/>
      <c r="L290" s="619"/>
      <c r="M290" s="619"/>
      <c r="N290" s="619"/>
      <c r="O290" s="619"/>
    </row>
    <row r="291" spans="2:15" ht="12.75" hidden="1" customHeight="1" x14ac:dyDescent="0.25">
      <c r="B291" s="619"/>
      <c r="C291" s="619"/>
      <c r="D291" s="619"/>
      <c r="E291" s="619"/>
      <c r="F291" s="619"/>
      <c r="G291" s="619"/>
      <c r="H291" s="619"/>
      <c r="I291" s="619"/>
      <c r="J291" s="619"/>
      <c r="K291" s="619"/>
      <c r="L291" s="619"/>
      <c r="M291" s="619"/>
      <c r="N291" s="619"/>
      <c r="O291" s="619"/>
    </row>
    <row r="292" spans="2:15" ht="12.75" hidden="1" customHeight="1" x14ac:dyDescent="0.25">
      <c r="B292" s="619"/>
      <c r="C292" s="619"/>
      <c r="D292" s="619"/>
      <c r="E292" s="619"/>
      <c r="F292" s="619"/>
      <c r="G292" s="619"/>
      <c r="H292" s="619"/>
      <c r="I292" s="619"/>
      <c r="J292" s="619"/>
      <c r="K292" s="619"/>
      <c r="L292" s="619"/>
      <c r="M292" s="619"/>
      <c r="N292" s="619"/>
      <c r="O292" s="619"/>
    </row>
    <row r="293" spans="2:15" ht="12.75" hidden="1" customHeight="1" x14ac:dyDescent="0.25">
      <c r="B293" s="619"/>
      <c r="C293" s="619"/>
      <c r="D293" s="619"/>
      <c r="E293" s="619"/>
      <c r="F293" s="619"/>
      <c r="G293" s="619"/>
      <c r="H293" s="619"/>
      <c r="I293" s="619"/>
      <c r="J293" s="619"/>
      <c r="K293" s="619"/>
      <c r="L293" s="619"/>
      <c r="M293" s="619"/>
      <c r="N293" s="619"/>
      <c r="O293" s="619"/>
    </row>
    <row r="294" spans="2:15" ht="12.75" hidden="1" customHeight="1" x14ac:dyDescent="0.25">
      <c r="B294" s="619"/>
      <c r="C294" s="619"/>
      <c r="D294" s="619"/>
      <c r="E294" s="619"/>
      <c r="F294" s="619"/>
      <c r="G294" s="619"/>
      <c r="H294" s="619"/>
      <c r="I294" s="619"/>
      <c r="J294" s="619"/>
      <c r="K294" s="619"/>
      <c r="L294" s="619"/>
      <c r="M294" s="619"/>
      <c r="N294" s="619"/>
      <c r="O294" s="619"/>
    </row>
    <row r="295" spans="2:15" ht="12.75" hidden="1" customHeight="1" x14ac:dyDescent="0.25">
      <c r="B295" s="619"/>
      <c r="C295" s="619"/>
      <c r="D295" s="619"/>
      <c r="E295" s="619"/>
      <c r="F295" s="619"/>
      <c r="G295" s="619"/>
      <c r="H295" s="619"/>
      <c r="I295" s="619"/>
      <c r="J295" s="619"/>
      <c r="K295" s="619"/>
      <c r="L295" s="619"/>
      <c r="M295" s="619"/>
      <c r="N295" s="619"/>
      <c r="O295" s="619"/>
    </row>
    <row r="296" spans="2:15" ht="12.75" hidden="1" customHeight="1" x14ac:dyDescent="0.25">
      <c r="B296" s="619"/>
      <c r="C296" s="619"/>
      <c r="D296" s="619"/>
      <c r="E296" s="619"/>
      <c r="F296" s="619"/>
      <c r="G296" s="619"/>
      <c r="H296" s="619"/>
      <c r="I296" s="619"/>
      <c r="J296" s="619"/>
      <c r="K296" s="619"/>
      <c r="L296" s="619"/>
      <c r="M296" s="619"/>
      <c r="N296" s="619"/>
      <c r="O296" s="619"/>
    </row>
    <row r="297" spans="2:15" ht="12.75" hidden="1" customHeight="1" x14ac:dyDescent="0.25">
      <c r="B297" s="619"/>
      <c r="C297" s="619"/>
      <c r="D297" s="619"/>
      <c r="E297" s="619"/>
      <c r="F297" s="619"/>
      <c r="G297" s="619"/>
      <c r="H297" s="619"/>
      <c r="I297" s="619"/>
      <c r="J297" s="619"/>
      <c r="K297" s="619"/>
      <c r="L297" s="619"/>
      <c r="M297" s="619"/>
      <c r="N297" s="619"/>
      <c r="O297" s="619"/>
    </row>
    <row r="298" spans="2:15" ht="12.75" hidden="1" customHeight="1" x14ac:dyDescent="0.25">
      <c r="B298" s="619"/>
      <c r="C298" s="619"/>
      <c r="D298" s="619"/>
      <c r="E298" s="619"/>
      <c r="F298" s="619"/>
      <c r="G298" s="619"/>
      <c r="H298" s="619"/>
      <c r="I298" s="619"/>
      <c r="J298" s="619"/>
      <c r="K298" s="619"/>
      <c r="L298" s="619"/>
      <c r="M298" s="619"/>
      <c r="N298" s="619"/>
      <c r="O298" s="619"/>
    </row>
    <row r="299" spans="2:15" ht="12.75" hidden="1" customHeight="1" x14ac:dyDescent="0.25">
      <c r="B299" s="619"/>
      <c r="C299" s="619"/>
      <c r="D299" s="619"/>
      <c r="E299" s="619"/>
      <c r="F299" s="619"/>
      <c r="G299" s="619"/>
      <c r="H299" s="619"/>
      <c r="I299" s="619"/>
      <c r="J299" s="619"/>
      <c r="K299" s="619"/>
      <c r="L299" s="619"/>
      <c r="M299" s="619"/>
      <c r="N299" s="619"/>
      <c r="O299" s="619"/>
    </row>
    <row r="300" spans="2:15" ht="12.75" hidden="1" customHeight="1" x14ac:dyDescent="0.25">
      <c r="B300" s="619"/>
      <c r="C300" s="619"/>
      <c r="D300" s="619"/>
      <c r="E300" s="619"/>
      <c r="F300" s="619"/>
      <c r="G300" s="619"/>
      <c r="H300" s="619"/>
      <c r="I300" s="619"/>
      <c r="J300" s="619"/>
      <c r="K300" s="619"/>
      <c r="L300" s="619"/>
      <c r="M300" s="619"/>
      <c r="N300" s="619"/>
      <c r="O300" s="619"/>
    </row>
    <row r="301" spans="2:15" ht="12.75" hidden="1" customHeight="1" x14ac:dyDescent="0.25">
      <c r="B301" s="619"/>
      <c r="C301" s="619"/>
      <c r="D301" s="619"/>
      <c r="E301" s="619"/>
      <c r="F301" s="619"/>
      <c r="G301" s="619"/>
      <c r="H301" s="619"/>
      <c r="I301" s="619"/>
      <c r="J301" s="619"/>
      <c r="K301" s="619"/>
      <c r="L301" s="619"/>
      <c r="M301" s="619"/>
      <c r="N301" s="619"/>
      <c r="O301" s="619"/>
    </row>
    <row r="302" spans="2:15" ht="12.75" hidden="1" customHeight="1" x14ac:dyDescent="0.25">
      <c r="B302" s="619"/>
      <c r="C302" s="619"/>
      <c r="D302" s="619"/>
      <c r="E302" s="619"/>
      <c r="F302" s="619"/>
      <c r="G302" s="619"/>
      <c r="H302" s="619"/>
      <c r="I302" s="619"/>
      <c r="J302" s="619"/>
      <c r="K302" s="619"/>
      <c r="L302" s="619"/>
      <c r="M302" s="619"/>
      <c r="N302" s="619"/>
      <c r="O302" s="619"/>
    </row>
    <row r="303" spans="2:15" ht="12.75" hidden="1" customHeight="1" x14ac:dyDescent="0.25">
      <c r="B303" s="619"/>
      <c r="C303" s="619"/>
      <c r="D303" s="619"/>
      <c r="E303" s="619"/>
      <c r="F303" s="619"/>
      <c r="G303" s="619"/>
      <c r="H303" s="619"/>
      <c r="I303" s="619"/>
      <c r="J303" s="619"/>
      <c r="K303" s="619"/>
      <c r="L303" s="619"/>
      <c r="M303" s="619"/>
      <c r="N303" s="619"/>
      <c r="O303" s="619"/>
    </row>
    <row r="304" spans="2:15" ht="12.75" hidden="1" customHeight="1" x14ac:dyDescent="0.25">
      <c r="B304" s="619"/>
      <c r="C304" s="619"/>
      <c r="D304" s="619"/>
      <c r="E304" s="619"/>
      <c r="F304" s="619"/>
      <c r="G304" s="619"/>
      <c r="H304" s="619"/>
      <c r="I304" s="619"/>
      <c r="J304" s="619"/>
      <c r="K304" s="619"/>
      <c r="L304" s="619"/>
      <c r="M304" s="619"/>
      <c r="N304" s="619"/>
      <c r="O304" s="619"/>
    </row>
    <row r="305" spans="1:18" ht="12.75" hidden="1" customHeight="1" x14ac:dyDescent="0.25">
      <c r="B305" s="619"/>
      <c r="C305" s="619"/>
      <c r="D305" s="619"/>
      <c r="E305" s="619"/>
      <c r="F305" s="619"/>
      <c r="G305" s="619"/>
      <c r="H305" s="619"/>
      <c r="I305" s="619"/>
      <c r="J305" s="619"/>
      <c r="K305" s="619"/>
      <c r="L305" s="619"/>
      <c r="M305" s="619"/>
      <c r="N305" s="619"/>
      <c r="O305" s="619"/>
    </row>
    <row r="306" spans="1:18" ht="12.75" hidden="1" customHeight="1" x14ac:dyDescent="0.25">
      <c r="B306" s="619"/>
      <c r="C306" s="619"/>
      <c r="D306" s="619"/>
      <c r="E306" s="619"/>
      <c r="F306" s="619"/>
      <c r="G306" s="619"/>
      <c r="H306" s="619"/>
      <c r="I306" s="619"/>
      <c r="J306" s="619"/>
      <c r="K306" s="619"/>
      <c r="L306" s="619"/>
      <c r="M306" s="619"/>
      <c r="N306" s="619"/>
      <c r="O306" s="619"/>
    </row>
    <row r="307" spans="1:18" ht="12.75" hidden="1" customHeight="1" x14ac:dyDescent="0.25">
      <c r="B307" s="619"/>
      <c r="C307" s="619"/>
      <c r="D307" s="619"/>
      <c r="E307" s="619"/>
      <c r="F307" s="619"/>
      <c r="G307" s="619"/>
      <c r="H307" s="619"/>
      <c r="I307" s="619"/>
      <c r="J307" s="619"/>
      <c r="K307" s="619"/>
      <c r="L307" s="619"/>
      <c r="M307" s="619"/>
      <c r="N307" s="619"/>
      <c r="O307" s="619"/>
    </row>
    <row r="308" spans="1:18" ht="12.75" hidden="1" customHeight="1" x14ac:dyDescent="0.25">
      <c r="B308" s="619"/>
      <c r="C308" s="619"/>
      <c r="D308" s="619"/>
      <c r="E308" s="619"/>
      <c r="F308" s="619"/>
      <c r="G308" s="619"/>
      <c r="H308" s="619"/>
      <c r="I308" s="619"/>
      <c r="J308" s="619"/>
      <c r="K308" s="619"/>
      <c r="L308" s="619"/>
      <c r="M308" s="619"/>
      <c r="N308" s="619"/>
      <c r="O308" s="619"/>
    </row>
    <row r="309" spans="1:18" ht="12.75" hidden="1" customHeight="1" x14ac:dyDescent="0.25">
      <c r="B309" s="619"/>
      <c r="C309" s="619"/>
      <c r="D309" s="619"/>
      <c r="E309" s="619"/>
      <c r="F309" s="619"/>
      <c r="G309" s="619"/>
      <c r="H309" s="619"/>
      <c r="I309" s="619"/>
      <c r="J309" s="619"/>
      <c r="K309" s="619"/>
      <c r="L309" s="619"/>
      <c r="M309" s="619"/>
      <c r="N309" s="619"/>
      <c r="O309" s="619"/>
    </row>
    <row r="310" spans="1:18" ht="12.75" hidden="1" customHeight="1" x14ac:dyDescent="0.25">
      <c r="B310" s="619"/>
      <c r="C310" s="619"/>
      <c r="D310" s="619"/>
      <c r="E310" s="619"/>
      <c r="F310" s="619"/>
      <c r="G310" s="619"/>
      <c r="H310" s="619"/>
      <c r="I310" s="619"/>
      <c r="J310" s="619"/>
      <c r="K310" s="619"/>
      <c r="L310" s="619"/>
      <c r="M310" s="619"/>
      <c r="N310" s="619"/>
      <c r="O310" s="619"/>
    </row>
    <row r="311" spans="1:18" ht="12.75" hidden="1" customHeight="1" x14ac:dyDescent="0.25">
      <c r="B311" s="619"/>
      <c r="C311" s="619"/>
      <c r="D311" s="619"/>
      <c r="E311" s="619"/>
      <c r="F311" s="619"/>
      <c r="G311" s="619"/>
      <c r="H311" s="619"/>
      <c r="I311" s="619"/>
      <c r="J311" s="619"/>
      <c r="K311" s="619"/>
      <c r="L311" s="619"/>
      <c r="M311" s="619"/>
      <c r="N311" s="619"/>
      <c r="O311" s="619"/>
    </row>
    <row r="312" spans="1:18" ht="12.75" hidden="1" customHeight="1" x14ac:dyDescent="0.25">
      <c r="B312" s="619"/>
      <c r="C312" s="619"/>
      <c r="D312" s="619"/>
      <c r="E312" s="619"/>
      <c r="F312" s="619"/>
      <c r="G312" s="619"/>
      <c r="H312" s="619"/>
      <c r="I312" s="619"/>
      <c r="J312" s="619"/>
      <c r="K312" s="619"/>
      <c r="L312" s="619"/>
      <c r="M312" s="619"/>
      <c r="N312" s="619"/>
      <c r="O312" s="619"/>
    </row>
    <row r="313" spans="1:18" ht="12.75" hidden="1" customHeight="1" x14ac:dyDescent="0.25">
      <c r="B313" s="619"/>
      <c r="C313" s="619"/>
      <c r="D313" s="619"/>
      <c r="E313" s="619"/>
      <c r="F313" s="619"/>
      <c r="G313" s="619"/>
      <c r="H313" s="619"/>
      <c r="I313" s="619"/>
      <c r="J313" s="619"/>
      <c r="K313" s="619"/>
      <c r="L313" s="619"/>
      <c r="M313" s="619"/>
      <c r="N313" s="619"/>
      <c r="O313" s="619"/>
    </row>
    <row r="314" spans="1:18" ht="12.75" hidden="1" customHeight="1" x14ac:dyDescent="0.25">
      <c r="B314" s="619"/>
      <c r="C314" s="619"/>
      <c r="D314" s="619"/>
      <c r="E314" s="619"/>
      <c r="F314" s="619"/>
      <c r="G314" s="619"/>
      <c r="H314" s="619"/>
      <c r="I314" s="619"/>
      <c r="J314" s="619"/>
      <c r="K314" s="619"/>
      <c r="L314" s="619"/>
      <c r="M314" s="619"/>
      <c r="N314" s="619"/>
      <c r="O314" s="619"/>
    </row>
    <row r="315" spans="1:18" ht="12.75" hidden="1" customHeight="1" x14ac:dyDescent="0.25">
      <c r="B315" s="619"/>
      <c r="C315" s="619"/>
      <c r="D315" s="619"/>
      <c r="E315" s="619"/>
      <c r="F315" s="619"/>
      <c r="G315" s="619"/>
      <c r="H315" s="619"/>
      <c r="I315" s="619"/>
      <c r="J315" s="619"/>
      <c r="K315" s="619"/>
      <c r="L315" s="619"/>
      <c r="M315" s="619"/>
      <c r="N315" s="619"/>
      <c r="O315" s="619"/>
    </row>
    <row r="316" spans="1:18" ht="12.75" hidden="1" customHeight="1" x14ac:dyDescent="0.25">
      <c r="B316" s="619"/>
      <c r="C316" s="619"/>
      <c r="D316" s="619"/>
      <c r="E316" s="619"/>
      <c r="F316" s="619"/>
      <c r="G316" s="619"/>
      <c r="H316" s="619"/>
      <c r="I316" s="619"/>
      <c r="J316" s="619"/>
      <c r="K316" s="619"/>
      <c r="L316" s="619"/>
      <c r="M316" s="619"/>
      <c r="N316" s="619"/>
      <c r="O316" s="619"/>
    </row>
    <row r="317" spans="1:18" ht="12.75" hidden="1" customHeight="1" x14ac:dyDescent="0.25">
      <c r="B317" s="619"/>
      <c r="C317" s="619"/>
      <c r="D317" s="619"/>
      <c r="E317" s="619"/>
      <c r="F317" s="619"/>
      <c r="G317" s="619"/>
      <c r="H317" s="619"/>
      <c r="I317" s="619"/>
      <c r="J317" s="619"/>
      <c r="K317" s="619"/>
      <c r="L317" s="619"/>
      <c r="M317" s="619"/>
      <c r="N317" s="619"/>
      <c r="O317" s="619"/>
    </row>
    <row r="318" spans="1:18" ht="12.75" hidden="1" customHeight="1" x14ac:dyDescent="0.25">
      <c r="B318" s="619"/>
      <c r="C318" s="619"/>
      <c r="D318" s="619"/>
      <c r="E318" s="619"/>
      <c r="F318" s="619"/>
      <c r="G318" s="619"/>
      <c r="H318" s="619"/>
      <c r="I318" s="619"/>
      <c r="J318" s="619"/>
      <c r="K318" s="619"/>
      <c r="L318" s="619"/>
      <c r="M318" s="619"/>
      <c r="N318" s="619"/>
      <c r="O318" s="619"/>
    </row>
    <row r="319" spans="1:18" ht="12.75" customHeight="1" x14ac:dyDescent="0.25">
      <c r="B319" s="619"/>
      <c r="C319" s="619"/>
      <c r="D319" s="619"/>
      <c r="E319" s="619"/>
      <c r="F319" s="619"/>
      <c r="G319" s="619"/>
      <c r="H319" s="619"/>
      <c r="I319" s="619"/>
      <c r="J319" s="619"/>
      <c r="K319" s="619"/>
      <c r="L319" s="619"/>
      <c r="M319" s="619"/>
      <c r="N319" s="619"/>
      <c r="O319" s="619"/>
    </row>
    <row r="320" spans="1:18" ht="12.75" customHeight="1" x14ac:dyDescent="0.25">
      <c r="A320" s="777" t="s">
        <v>2</v>
      </c>
      <c r="B320" s="776" t="s">
        <v>132</v>
      </c>
      <c r="C320" s="767" t="s">
        <v>70</v>
      </c>
      <c r="D320" s="767">
        <f>D243-P243</f>
        <v>-33738104.229999997</v>
      </c>
      <c r="E320" s="767">
        <f>E239+E233+E227</f>
        <v>-3280830.15</v>
      </c>
      <c r="F320" s="767">
        <f t="shared" ref="F320:R320" si="9">F239+F233+F227</f>
        <v>-1653570.31</v>
      </c>
      <c r="G320" s="767">
        <f t="shared" si="9"/>
        <v>-772414.51</v>
      </c>
      <c r="H320" s="767">
        <f t="shared" si="9"/>
        <v>-6809335.5</v>
      </c>
      <c r="I320" s="767">
        <f t="shared" si="9"/>
        <v>-246830.89</v>
      </c>
      <c r="J320" s="767">
        <f t="shared" si="9"/>
        <v>-2175989.73</v>
      </c>
      <c r="K320" s="767">
        <f t="shared" si="9"/>
        <v>-2281434.71</v>
      </c>
      <c r="L320" s="767">
        <f t="shared" si="9"/>
        <v>-10508486.24</v>
      </c>
      <c r="M320" s="767">
        <f t="shared" si="9"/>
        <v>-8690898.2599999998</v>
      </c>
      <c r="N320" s="767">
        <f t="shared" si="9"/>
        <v>-404523.79</v>
      </c>
      <c r="O320" s="767">
        <f t="shared" si="9"/>
        <v>-1.2999999999999972</v>
      </c>
      <c r="P320" s="767">
        <f t="shared" si="9"/>
        <v>0</v>
      </c>
      <c r="Q320" s="767">
        <f t="shared" si="9"/>
        <v>0</v>
      </c>
      <c r="R320" s="767">
        <f t="shared" si="9"/>
        <v>-0.28999999999999998</v>
      </c>
    </row>
    <row r="321" spans="1:18" ht="12.75" customHeight="1" x14ac:dyDescent="0.25">
      <c r="A321" s="777"/>
      <c r="B321" s="776"/>
      <c r="C321" s="767" t="s">
        <v>73</v>
      </c>
      <c r="D321" s="767">
        <f>D241+D235+D229</f>
        <v>3086211.4499999997</v>
      </c>
      <c r="E321" s="619"/>
      <c r="F321" s="619"/>
      <c r="G321" s="619"/>
      <c r="H321" s="619"/>
      <c r="I321" s="619"/>
      <c r="J321" s="619"/>
      <c r="K321" s="619"/>
      <c r="L321" s="619"/>
      <c r="M321" s="619"/>
      <c r="N321" s="619"/>
      <c r="O321" s="619"/>
      <c r="P321" s="619"/>
      <c r="Q321" s="619"/>
      <c r="R321" s="619"/>
    </row>
    <row r="322" spans="1:18" ht="12.75" customHeight="1" x14ac:dyDescent="0.3">
      <c r="A322" s="618"/>
      <c r="D322" s="619"/>
      <c r="E322" s="619"/>
      <c r="F322" s="619"/>
      <c r="G322" s="619"/>
      <c r="H322" s="619"/>
      <c r="I322" s="619"/>
      <c r="J322" s="619"/>
      <c r="K322" s="619"/>
      <c r="L322" s="619"/>
      <c r="M322" s="619"/>
      <c r="N322" s="619"/>
      <c r="O322" s="619"/>
      <c r="P322" s="619"/>
      <c r="Q322" s="619"/>
      <c r="R322" s="619"/>
    </row>
    <row r="323" spans="1:18" ht="12.75" customHeight="1" x14ac:dyDescent="0.25">
      <c r="A323" s="777" t="s">
        <v>160</v>
      </c>
      <c r="B323" s="776" t="s">
        <v>132</v>
      </c>
      <c r="C323" s="633" t="s">
        <v>70</v>
      </c>
      <c r="D323" s="633">
        <f>D236-P236</f>
        <v>-736030</v>
      </c>
      <c r="E323" s="633">
        <f>E233</f>
        <v>-56621.87</v>
      </c>
      <c r="F323" s="633">
        <f t="shared" ref="F323:R323" si="10">F233</f>
        <v>-29964.27</v>
      </c>
      <c r="G323" s="633">
        <f t="shared" si="10"/>
        <v>-16688.439999999999</v>
      </c>
      <c r="H323" s="633">
        <f t="shared" si="10"/>
        <v>-192605.11</v>
      </c>
      <c r="I323" s="633">
        <f t="shared" si="10"/>
        <v>-5220.43</v>
      </c>
      <c r="J323" s="633">
        <f t="shared" si="10"/>
        <v>-44096.46</v>
      </c>
      <c r="K323" s="633">
        <f t="shared" si="10"/>
        <v>-55230.35</v>
      </c>
      <c r="L323" s="633">
        <f t="shared" si="10"/>
        <v>-296231.31</v>
      </c>
      <c r="M323" s="633">
        <f t="shared" si="10"/>
        <v>-151197.87</v>
      </c>
      <c r="N323" s="633">
        <f t="shared" si="10"/>
        <v>-8517.5499999999993</v>
      </c>
      <c r="O323" s="633">
        <f t="shared" si="10"/>
        <v>5.68</v>
      </c>
      <c r="P323" s="633">
        <f t="shared" si="10"/>
        <v>0</v>
      </c>
      <c r="Q323" s="633">
        <f t="shared" si="10"/>
        <v>0</v>
      </c>
      <c r="R323" s="633">
        <f t="shared" si="10"/>
        <v>0</v>
      </c>
    </row>
    <row r="324" spans="1:18" ht="12.75" customHeight="1" x14ac:dyDescent="0.25">
      <c r="A324" s="777"/>
      <c r="B324" s="776"/>
      <c r="C324" s="633" t="s">
        <v>73</v>
      </c>
      <c r="D324" s="715">
        <f>D235</f>
        <v>120337.98</v>
      </c>
      <c r="E324" s="619"/>
      <c r="F324" s="619"/>
      <c r="G324" s="619"/>
      <c r="H324" s="619"/>
      <c r="I324" s="619"/>
      <c r="J324" s="619"/>
      <c r="K324" s="619"/>
      <c r="L324" s="619"/>
      <c r="M324" s="619"/>
      <c r="N324" s="619"/>
      <c r="O324" s="619"/>
      <c r="P324" s="619"/>
      <c r="Q324" s="619"/>
      <c r="R324" s="619"/>
    </row>
    <row r="325" spans="1:18" ht="12.75" customHeight="1" x14ac:dyDescent="0.3">
      <c r="A325" s="618"/>
      <c r="D325" s="619"/>
      <c r="E325" s="619"/>
      <c r="F325" s="619"/>
      <c r="G325" s="619"/>
      <c r="H325" s="619"/>
      <c r="I325" s="619"/>
      <c r="J325" s="619"/>
      <c r="K325" s="619"/>
      <c r="L325" s="619"/>
      <c r="M325" s="619"/>
      <c r="N325" s="619"/>
      <c r="O325" s="619"/>
      <c r="P325" s="619"/>
      <c r="Q325" s="619"/>
      <c r="R325" s="619"/>
    </row>
    <row r="326" spans="1:18" ht="12.75" customHeight="1" x14ac:dyDescent="0.25">
      <c r="A326" s="777" t="s">
        <v>155</v>
      </c>
      <c r="B326" s="776" t="s">
        <v>132</v>
      </c>
      <c r="C326" s="634" t="s">
        <v>70</v>
      </c>
      <c r="D326" s="634">
        <f>D230-P230</f>
        <v>-29768645.890000001</v>
      </c>
      <c r="E326" s="634">
        <f>E227</f>
        <v>-2979733</v>
      </c>
      <c r="F326" s="634">
        <f t="shared" ref="F326:R326" si="11">F227</f>
        <v>-1487124.52</v>
      </c>
      <c r="G326" s="634">
        <f t="shared" si="11"/>
        <v>-685656.31</v>
      </c>
      <c r="H326" s="634">
        <f t="shared" si="11"/>
        <v>-5741813.8499999996</v>
      </c>
      <c r="I326" s="634">
        <f t="shared" si="11"/>
        <v>-212062.94</v>
      </c>
      <c r="J326" s="634">
        <f t="shared" si="11"/>
        <v>-1844890.36</v>
      </c>
      <c r="K326" s="634">
        <f t="shared" si="11"/>
        <v>-1940190.03</v>
      </c>
      <c r="L326" s="634">
        <f t="shared" si="11"/>
        <v>-8829559.8200000003</v>
      </c>
      <c r="M326" s="634">
        <f t="shared" si="11"/>
        <v>-7875657.4699999997</v>
      </c>
      <c r="N326" s="634">
        <f t="shared" si="11"/>
        <v>-346018.31</v>
      </c>
      <c r="O326" s="634">
        <f t="shared" si="11"/>
        <v>-21.79</v>
      </c>
      <c r="P326" s="634">
        <f t="shared" si="11"/>
        <v>0</v>
      </c>
      <c r="Q326" s="634">
        <f t="shared" si="11"/>
        <v>0</v>
      </c>
      <c r="R326" s="634">
        <f t="shared" si="11"/>
        <v>-0.28999999999999998</v>
      </c>
    </row>
    <row r="327" spans="1:18" ht="12.75" customHeight="1" x14ac:dyDescent="0.25">
      <c r="A327" s="777"/>
      <c r="B327" s="776"/>
      <c r="C327" s="634" t="s">
        <v>73</v>
      </c>
      <c r="D327" s="634">
        <f>D229</f>
        <v>2174082.7999999998</v>
      </c>
      <c r="E327" s="619"/>
      <c r="F327" s="619"/>
      <c r="G327" s="619"/>
      <c r="H327" s="619"/>
      <c r="I327" s="619"/>
      <c r="J327" s="619"/>
      <c r="K327" s="619"/>
      <c r="L327" s="619"/>
      <c r="M327" s="619"/>
      <c r="N327" s="619"/>
      <c r="O327" s="619"/>
      <c r="P327" s="619"/>
      <c r="Q327" s="619"/>
      <c r="R327" s="619"/>
    </row>
    <row r="328" spans="1:18" ht="12.75" customHeight="1" x14ac:dyDescent="0.25">
      <c r="A328" s="723"/>
      <c r="B328" s="722"/>
      <c r="C328" s="619"/>
      <c r="D328" s="619"/>
      <c r="E328" s="619"/>
      <c r="F328" s="619"/>
      <c r="G328" s="619"/>
      <c r="H328" s="619"/>
      <c r="I328" s="619"/>
      <c r="J328" s="619"/>
      <c r="K328" s="619"/>
      <c r="L328" s="619"/>
      <c r="M328" s="619"/>
      <c r="N328" s="619"/>
      <c r="O328" s="619"/>
      <c r="P328" s="619"/>
      <c r="Q328" s="619"/>
      <c r="R328" s="619"/>
    </row>
    <row r="329" spans="1:18" ht="12.75" customHeight="1" x14ac:dyDescent="0.25">
      <c r="A329" s="775" t="s">
        <v>328</v>
      </c>
      <c r="B329" s="776" t="s">
        <v>132</v>
      </c>
      <c r="C329" s="634" t="s">
        <v>70</v>
      </c>
      <c r="D329" s="721">
        <v>0</v>
      </c>
      <c r="E329" s="721">
        <v>0</v>
      </c>
      <c r="F329" s="721">
        <v>0</v>
      </c>
      <c r="G329" s="721">
        <v>0</v>
      </c>
      <c r="H329" s="721">
        <v>0</v>
      </c>
      <c r="I329" s="721">
        <v>0</v>
      </c>
      <c r="J329" s="721">
        <v>0</v>
      </c>
      <c r="K329" s="721">
        <v>0</v>
      </c>
      <c r="L329" s="721">
        <v>0</v>
      </c>
      <c r="M329" s="721">
        <v>0</v>
      </c>
      <c r="N329" s="721">
        <v>0</v>
      </c>
      <c r="O329" s="721">
        <v>0</v>
      </c>
      <c r="P329" s="721">
        <v>0</v>
      </c>
      <c r="Q329" s="721">
        <v>0</v>
      </c>
      <c r="R329" s="721">
        <v>0</v>
      </c>
    </row>
    <row r="330" spans="1:18" ht="12.75" customHeight="1" x14ac:dyDescent="0.25">
      <c r="A330" s="775"/>
      <c r="B330" s="776"/>
      <c r="C330" s="634" t="s">
        <v>73</v>
      </c>
      <c r="D330" s="721">
        <v>0</v>
      </c>
      <c r="E330" s="619"/>
      <c r="F330" s="619"/>
      <c r="G330" s="619"/>
      <c r="H330" s="619"/>
      <c r="I330" s="619"/>
      <c r="J330" s="619"/>
      <c r="K330" s="619"/>
      <c r="L330" s="619"/>
      <c r="M330" s="619"/>
      <c r="N330" s="619"/>
      <c r="O330" s="619"/>
      <c r="P330" s="619"/>
      <c r="Q330" s="619"/>
    </row>
    <row r="331" spans="1:18" ht="12.75" customHeight="1" x14ac:dyDescent="0.3">
      <c r="A331" s="618"/>
      <c r="D331" s="619"/>
      <c r="E331" s="619"/>
      <c r="F331" s="619"/>
      <c r="G331" s="619"/>
      <c r="H331" s="619"/>
      <c r="I331" s="619"/>
      <c r="J331" s="619"/>
      <c r="K331" s="619"/>
      <c r="L331" s="619"/>
      <c r="M331" s="619"/>
      <c r="N331" s="619"/>
      <c r="O331" s="619"/>
      <c r="P331" s="619"/>
      <c r="Q331" s="619"/>
      <c r="R331" s="619"/>
    </row>
    <row r="332" spans="1:18" ht="12.75" customHeight="1" x14ac:dyDescent="0.25">
      <c r="A332" s="777" t="s">
        <v>119</v>
      </c>
      <c r="B332" s="776" t="s">
        <v>132</v>
      </c>
      <c r="C332" s="629" t="s">
        <v>70</v>
      </c>
      <c r="D332" s="629">
        <f>D242-P242</f>
        <v>-3233428.34</v>
      </c>
      <c r="E332" s="629">
        <f>E239</f>
        <v>-244475.28</v>
      </c>
      <c r="F332" s="629">
        <f t="shared" ref="F332:R332" si="12">F239</f>
        <v>-136481.51999999999</v>
      </c>
      <c r="G332" s="629">
        <f t="shared" si="12"/>
        <v>-70069.759999999995</v>
      </c>
      <c r="H332" s="629">
        <f t="shared" si="12"/>
        <v>-874916.54</v>
      </c>
      <c r="I332" s="629">
        <f t="shared" si="12"/>
        <v>-29547.52</v>
      </c>
      <c r="J332" s="629">
        <f t="shared" si="12"/>
        <v>-287002.90999999997</v>
      </c>
      <c r="K332" s="629">
        <f t="shared" si="12"/>
        <v>-286014.33</v>
      </c>
      <c r="L332" s="629">
        <f t="shared" si="12"/>
        <v>-1382695.11</v>
      </c>
      <c r="M332" s="629">
        <f t="shared" si="12"/>
        <v>-664042.92000000004</v>
      </c>
      <c r="N332" s="629">
        <f t="shared" si="12"/>
        <v>-49987.93</v>
      </c>
      <c r="O332" s="629">
        <f t="shared" si="12"/>
        <v>14.81</v>
      </c>
      <c r="P332" s="629">
        <f t="shared" si="12"/>
        <v>0</v>
      </c>
      <c r="Q332" s="629">
        <f t="shared" si="12"/>
        <v>0</v>
      </c>
      <c r="R332" s="629">
        <f t="shared" si="12"/>
        <v>0</v>
      </c>
    </row>
    <row r="333" spans="1:18" ht="12.75" customHeight="1" x14ac:dyDescent="0.25">
      <c r="A333" s="777"/>
      <c r="B333" s="776"/>
      <c r="C333" s="629" t="s">
        <v>73</v>
      </c>
      <c r="D333" s="629">
        <f>D241</f>
        <v>791790.67</v>
      </c>
      <c r="E333" s="619"/>
      <c r="F333" s="619"/>
      <c r="G333" s="619"/>
      <c r="H333" s="619"/>
      <c r="I333" s="619"/>
      <c r="J333" s="619"/>
      <c r="K333" s="619"/>
      <c r="L333" s="619"/>
      <c r="M333" s="619"/>
      <c r="N333" s="619"/>
      <c r="O333" s="619"/>
      <c r="P333" s="619"/>
      <c r="Q333" s="619"/>
      <c r="R333" s="619"/>
    </row>
    <row r="334" spans="1:18" ht="12.75" customHeight="1" x14ac:dyDescent="0.3">
      <c r="A334" s="618"/>
      <c r="D334" s="619"/>
      <c r="E334" s="619"/>
      <c r="F334" s="619"/>
      <c r="G334" s="619"/>
      <c r="H334" s="619"/>
      <c r="I334" s="619"/>
      <c r="J334" s="619"/>
      <c r="K334" s="619"/>
      <c r="L334" s="619"/>
      <c r="M334" s="619"/>
      <c r="N334" s="619"/>
      <c r="O334" s="619"/>
      <c r="P334" s="619"/>
      <c r="Q334" s="619"/>
      <c r="R334" s="619"/>
    </row>
    <row r="335" spans="1:18" ht="12.75" customHeight="1" x14ac:dyDescent="0.25">
      <c r="A335" s="778" t="s">
        <v>161</v>
      </c>
      <c r="B335" s="776" t="s">
        <v>132</v>
      </c>
      <c r="C335" s="635" t="s">
        <v>70</v>
      </c>
      <c r="D335" s="635">
        <v>0</v>
      </c>
      <c r="E335" s="635">
        <v>0</v>
      </c>
      <c r="F335" s="635">
        <v>0</v>
      </c>
      <c r="G335" s="635">
        <v>0</v>
      </c>
      <c r="H335" s="635">
        <v>0</v>
      </c>
      <c r="I335" s="635">
        <v>0</v>
      </c>
      <c r="J335" s="635">
        <v>0</v>
      </c>
      <c r="K335" s="635">
        <v>0</v>
      </c>
      <c r="L335" s="635">
        <v>0</v>
      </c>
      <c r="M335" s="635">
        <v>0</v>
      </c>
      <c r="N335" s="635">
        <v>0</v>
      </c>
      <c r="O335" s="635">
        <v>0</v>
      </c>
      <c r="P335" s="635">
        <v>0</v>
      </c>
      <c r="Q335" s="635">
        <v>0</v>
      </c>
      <c r="R335" s="635">
        <v>0</v>
      </c>
    </row>
    <row r="336" spans="1:18" ht="12.75" customHeight="1" x14ac:dyDescent="0.25">
      <c r="A336" s="778"/>
      <c r="B336" s="776"/>
      <c r="C336" s="635" t="s">
        <v>73</v>
      </c>
      <c r="D336" s="635">
        <v>0</v>
      </c>
      <c r="E336" s="619"/>
      <c r="F336" s="619"/>
      <c r="G336" s="619"/>
      <c r="H336" s="619"/>
      <c r="I336" s="619"/>
      <c r="J336" s="619"/>
      <c r="K336" s="619"/>
      <c r="L336" s="619"/>
      <c r="M336" s="619"/>
      <c r="N336" s="619"/>
      <c r="O336" s="619"/>
      <c r="P336" s="619"/>
      <c r="Q336" s="619"/>
    </row>
    <row r="337" spans="1:18" s="636" customFormat="1" x14ac:dyDescent="0.25"/>
    <row r="338" spans="1:18" ht="13" x14ac:dyDescent="0.3">
      <c r="B338" s="618" t="s">
        <v>93</v>
      </c>
    </row>
    <row r="339" spans="1:18" ht="12.75" customHeight="1" x14ac:dyDescent="0.25">
      <c r="D339" s="619" t="s">
        <v>70</v>
      </c>
      <c r="E339" s="619" t="s">
        <v>64</v>
      </c>
      <c r="F339" s="619" t="s">
        <v>65</v>
      </c>
      <c r="G339" s="620" t="s">
        <v>164</v>
      </c>
      <c r="H339" s="619" t="s">
        <v>69</v>
      </c>
      <c r="I339" s="619" t="s">
        <v>68</v>
      </c>
      <c r="J339" s="619" t="s">
        <v>66</v>
      </c>
      <c r="K339" s="619" t="s">
        <v>63</v>
      </c>
      <c r="L339" s="619" t="s">
        <v>61</v>
      </c>
      <c r="M339" s="619" t="s">
        <v>62</v>
      </c>
      <c r="N339" s="619" t="s">
        <v>67</v>
      </c>
      <c r="O339" s="619" t="s">
        <v>77</v>
      </c>
      <c r="P339" s="617" t="s">
        <v>71</v>
      </c>
      <c r="Q339" s="619" t="s">
        <v>80</v>
      </c>
      <c r="R339" s="617" t="s">
        <v>168</v>
      </c>
    </row>
    <row r="340" spans="1:18" ht="12" customHeight="1" x14ac:dyDescent="0.25">
      <c r="C340" s="619" t="s">
        <v>72</v>
      </c>
      <c r="D340" s="619">
        <v>-2459958.9900000002</v>
      </c>
      <c r="E340" s="619">
        <v>-131176.29999999999</v>
      </c>
      <c r="F340" s="619">
        <v>-73947.600000000006</v>
      </c>
      <c r="G340" s="619">
        <v>-38360.959999999999</v>
      </c>
      <c r="H340" s="619">
        <v>-516845.27</v>
      </c>
      <c r="I340" s="619">
        <v>-20608.349999999999</v>
      </c>
      <c r="J340" s="619">
        <v>-180773.73</v>
      </c>
      <c r="K340" s="619">
        <v>-177017.02</v>
      </c>
      <c r="L340" s="619">
        <v>-903639.16</v>
      </c>
      <c r="M340" s="619">
        <v>-383975.32</v>
      </c>
      <c r="N340" s="619">
        <v>-33624.080000000002</v>
      </c>
      <c r="O340" s="619">
        <v>8.8000000000000007</v>
      </c>
      <c r="P340" s="617">
        <v>0</v>
      </c>
      <c r="Q340" s="619">
        <v>0</v>
      </c>
      <c r="R340" s="617">
        <v>0</v>
      </c>
    </row>
    <row r="341" spans="1:18" ht="12" customHeight="1" x14ac:dyDescent="0.25">
      <c r="C341" s="619" t="s">
        <v>81</v>
      </c>
      <c r="D341" s="619">
        <v>-1530.78</v>
      </c>
      <c r="E341" s="619">
        <v>-92.42</v>
      </c>
      <c r="F341" s="619">
        <v>-52.15</v>
      </c>
      <c r="G341" s="619">
        <v>-27.92</v>
      </c>
      <c r="H341" s="619">
        <v>-308.89999999999998</v>
      </c>
      <c r="I341" s="619">
        <v>-11.75</v>
      </c>
      <c r="J341" s="619">
        <v>-106.44</v>
      </c>
      <c r="K341" s="619">
        <v>-103.99</v>
      </c>
      <c r="L341" s="619">
        <v>-527.01</v>
      </c>
      <c r="M341" s="619">
        <v>-281.02999999999997</v>
      </c>
      <c r="N341" s="619">
        <v>-19.16</v>
      </c>
      <c r="O341" s="619">
        <v>-0.01</v>
      </c>
      <c r="P341" s="617">
        <v>0</v>
      </c>
      <c r="Q341" s="619">
        <v>0</v>
      </c>
      <c r="R341" s="617">
        <v>0</v>
      </c>
    </row>
    <row r="342" spans="1:18" s="622" customFormat="1" ht="12.75" customHeight="1" x14ac:dyDescent="0.25">
      <c r="A342" s="623"/>
      <c r="B342" s="622" t="s">
        <v>78</v>
      </c>
      <c r="C342" s="622" t="s">
        <v>70</v>
      </c>
      <c r="D342" s="623">
        <v>-2461489.77</v>
      </c>
      <c r="E342" s="623">
        <v>-131268.72</v>
      </c>
      <c r="F342" s="623">
        <v>-73999.75</v>
      </c>
      <c r="G342" s="623">
        <v>-38388.879999999997</v>
      </c>
      <c r="H342" s="623">
        <v>-517154.17</v>
      </c>
      <c r="I342" s="623">
        <v>-20620.099999999999</v>
      </c>
      <c r="J342" s="623">
        <v>-180880.17</v>
      </c>
      <c r="K342" s="623">
        <v>-177121.01</v>
      </c>
      <c r="L342" s="623">
        <v>-904166.17</v>
      </c>
      <c r="M342" s="623">
        <v>-384256.35</v>
      </c>
      <c r="N342" s="623">
        <v>-33643.24</v>
      </c>
      <c r="O342" s="623">
        <v>8.7899999999999991</v>
      </c>
      <c r="P342" s="622">
        <v>0</v>
      </c>
      <c r="Q342" s="622">
        <v>0</v>
      </c>
      <c r="R342" s="622">
        <v>0</v>
      </c>
    </row>
    <row r="343" spans="1:18" ht="12" customHeight="1" x14ac:dyDescent="0.25">
      <c r="C343" s="619" t="s">
        <v>73</v>
      </c>
      <c r="D343" s="619">
        <v>395889.77</v>
      </c>
      <c r="E343" s="619">
        <v>21738.99</v>
      </c>
      <c r="F343" s="619">
        <v>12237.73</v>
      </c>
      <c r="G343" s="619">
        <v>6281.21</v>
      </c>
      <c r="H343" s="619">
        <v>77529.75</v>
      </c>
      <c r="I343" s="619">
        <v>3370.36</v>
      </c>
      <c r="J343" s="619">
        <v>29563.65</v>
      </c>
      <c r="K343" s="619">
        <v>28884.29</v>
      </c>
      <c r="L343" s="619">
        <v>147901.79</v>
      </c>
      <c r="M343" s="619">
        <v>62883.22</v>
      </c>
      <c r="N343" s="619">
        <v>5498.78</v>
      </c>
      <c r="O343" s="619">
        <v>0</v>
      </c>
      <c r="P343" s="617">
        <v>0</v>
      </c>
      <c r="Q343" s="619">
        <v>0</v>
      </c>
      <c r="R343" s="617">
        <v>0</v>
      </c>
    </row>
    <row r="344" spans="1:18" s="624" customFormat="1" ht="12.75" customHeight="1" x14ac:dyDescent="0.25">
      <c r="A344" s="625"/>
      <c r="B344" s="625" t="s">
        <v>79</v>
      </c>
      <c r="C344" s="624" t="s">
        <v>70</v>
      </c>
      <c r="D344" s="625">
        <v>395889.77</v>
      </c>
      <c r="E344" s="625">
        <v>21738.99</v>
      </c>
      <c r="F344" s="625">
        <v>12237.73</v>
      </c>
      <c r="G344" s="625">
        <v>6281.21</v>
      </c>
      <c r="H344" s="625">
        <v>77529.75</v>
      </c>
      <c r="I344" s="625">
        <v>3370.36</v>
      </c>
      <c r="J344" s="625">
        <v>29563.65</v>
      </c>
      <c r="K344" s="625">
        <v>28884.29</v>
      </c>
      <c r="L344" s="625">
        <v>147901.79</v>
      </c>
      <c r="M344" s="625">
        <v>62883.22</v>
      </c>
      <c r="N344" s="625">
        <v>5498.78</v>
      </c>
      <c r="O344" s="625">
        <v>0</v>
      </c>
      <c r="P344" s="624">
        <v>0</v>
      </c>
      <c r="Q344" s="624">
        <v>0</v>
      </c>
      <c r="R344" s="624">
        <v>0</v>
      </c>
    </row>
    <row r="345" spans="1:18" s="626" customFormat="1" ht="12.75" customHeight="1" x14ac:dyDescent="0.25">
      <c r="A345" s="626" t="s">
        <v>155</v>
      </c>
      <c r="B345" s="626" t="s">
        <v>70</v>
      </c>
      <c r="D345" s="627">
        <v>-2065600</v>
      </c>
      <c r="E345" s="627">
        <v>-109529.73</v>
      </c>
      <c r="F345" s="627">
        <v>-61762.02</v>
      </c>
      <c r="G345" s="628">
        <v>-32107.67</v>
      </c>
      <c r="H345" s="627">
        <v>-439624.42</v>
      </c>
      <c r="I345" s="627">
        <v>-17249.740000000002</v>
      </c>
      <c r="J345" s="627">
        <v>-151316.51999999999</v>
      </c>
      <c r="K345" s="627">
        <v>-148236.72</v>
      </c>
      <c r="L345" s="627">
        <v>-756264.38</v>
      </c>
      <c r="M345" s="627">
        <v>-321373.13</v>
      </c>
      <c r="N345" s="627">
        <v>-28144.46</v>
      </c>
      <c r="O345" s="627">
        <v>8.7899999999999991</v>
      </c>
      <c r="P345" s="627">
        <v>0</v>
      </c>
      <c r="Q345" s="627">
        <v>0</v>
      </c>
      <c r="R345" s="626">
        <v>0</v>
      </c>
    </row>
    <row r="346" spans="1:18" ht="12.75" customHeight="1" x14ac:dyDescent="0.25">
      <c r="C346" s="617" t="s">
        <v>72</v>
      </c>
      <c r="D346" s="619">
        <v>-1083123.76</v>
      </c>
      <c r="E346" s="619">
        <v>-72781.119999999995</v>
      </c>
      <c r="F346" s="619">
        <v>-39747.019999999997</v>
      </c>
      <c r="G346" s="621">
        <v>-20862.82</v>
      </c>
      <c r="H346" s="619">
        <v>-236215.25</v>
      </c>
      <c r="I346" s="619">
        <v>-6590.57</v>
      </c>
      <c r="J346" s="619">
        <v>-57811.55</v>
      </c>
      <c r="K346" s="619">
        <v>-68511.12</v>
      </c>
      <c r="L346" s="619">
        <v>-351743.19</v>
      </c>
      <c r="M346" s="619">
        <v>-218096.95</v>
      </c>
      <c r="N346" s="619">
        <v>-10752.99</v>
      </c>
      <c r="O346" s="619">
        <v>-11.18</v>
      </c>
      <c r="P346" s="619">
        <v>0</v>
      </c>
      <c r="Q346" s="619">
        <v>0</v>
      </c>
      <c r="R346" s="617">
        <v>0</v>
      </c>
    </row>
    <row r="347" spans="1:18" ht="12.75" customHeight="1" x14ac:dyDescent="0.25">
      <c r="C347" s="617" t="s">
        <v>81</v>
      </c>
      <c r="D347" s="619">
        <v>-7940.15</v>
      </c>
      <c r="E347" s="619">
        <v>-601.51</v>
      </c>
      <c r="F347" s="619">
        <v>-315.89</v>
      </c>
      <c r="G347" s="621">
        <v>-174.4</v>
      </c>
      <c r="H347" s="619">
        <v>-1696</v>
      </c>
      <c r="I347" s="619">
        <v>-40.25</v>
      </c>
      <c r="J347" s="619">
        <v>-352.25</v>
      </c>
      <c r="K347" s="619">
        <v>-482.43</v>
      </c>
      <c r="L347" s="619">
        <v>-2396.34</v>
      </c>
      <c r="M347" s="619">
        <v>-1815.36</v>
      </c>
      <c r="N347" s="619">
        <v>-65.55</v>
      </c>
      <c r="O347" s="619">
        <v>-0.17</v>
      </c>
      <c r="P347" s="619">
        <v>0</v>
      </c>
      <c r="Q347" s="619">
        <v>0</v>
      </c>
      <c r="R347" s="617">
        <v>0</v>
      </c>
    </row>
    <row r="348" spans="1:18" s="622" customFormat="1" ht="12.75" customHeight="1" x14ac:dyDescent="0.25">
      <c r="A348" s="623"/>
      <c r="B348" s="622" t="s">
        <v>78</v>
      </c>
      <c r="C348" s="622" t="s">
        <v>70</v>
      </c>
      <c r="D348" s="623">
        <v>-1091063.9099999999</v>
      </c>
      <c r="E348" s="623">
        <v>-73382.63</v>
      </c>
      <c r="F348" s="623">
        <v>-40062.910000000003</v>
      </c>
      <c r="G348" s="623">
        <v>-21037.22</v>
      </c>
      <c r="H348" s="623">
        <v>-237911.25</v>
      </c>
      <c r="I348" s="623">
        <v>-6630.82</v>
      </c>
      <c r="J348" s="623">
        <v>-58163.8</v>
      </c>
      <c r="K348" s="623">
        <v>-68993.55</v>
      </c>
      <c r="L348" s="623">
        <v>-354139.53</v>
      </c>
      <c r="M348" s="623">
        <v>-219912.31</v>
      </c>
      <c r="N348" s="623">
        <v>-10818.54</v>
      </c>
      <c r="O348" s="623">
        <v>-11.35</v>
      </c>
      <c r="P348" s="622">
        <v>0</v>
      </c>
      <c r="Q348" s="622">
        <v>0</v>
      </c>
      <c r="R348" s="622">
        <v>0</v>
      </c>
    </row>
    <row r="349" spans="1:18" ht="12.75" customHeight="1" x14ac:dyDescent="0.25">
      <c r="C349" s="617" t="s">
        <v>73</v>
      </c>
      <c r="D349" s="619">
        <v>64288.38</v>
      </c>
      <c r="E349" s="619">
        <v>-653.33000000000004</v>
      </c>
      <c r="F349" s="619">
        <v>-464.25</v>
      </c>
      <c r="G349" s="621">
        <v>-316.04000000000002</v>
      </c>
      <c r="H349" s="619">
        <v>19509.96</v>
      </c>
      <c r="I349" s="619">
        <v>788.95</v>
      </c>
      <c r="J349" s="619">
        <v>6920.78</v>
      </c>
      <c r="K349" s="619">
        <v>7226.71</v>
      </c>
      <c r="L349" s="619">
        <v>32486.74</v>
      </c>
      <c r="M349" s="619">
        <v>-2498.41</v>
      </c>
      <c r="N349" s="619">
        <v>1287.27</v>
      </c>
      <c r="O349" s="619">
        <v>0</v>
      </c>
      <c r="P349" s="619">
        <v>0</v>
      </c>
      <c r="Q349" s="619">
        <v>0</v>
      </c>
      <c r="R349" s="617">
        <v>0</v>
      </c>
    </row>
    <row r="350" spans="1:18" s="624" customFormat="1" ht="12.75" customHeight="1" x14ac:dyDescent="0.25">
      <c r="A350" s="625"/>
      <c r="B350" s="625" t="s">
        <v>79</v>
      </c>
      <c r="C350" s="624" t="s">
        <v>70</v>
      </c>
      <c r="D350" s="625">
        <v>64288.38</v>
      </c>
      <c r="E350" s="625">
        <v>-653.33000000000004</v>
      </c>
      <c r="F350" s="625">
        <v>-464.25</v>
      </c>
      <c r="G350" s="625">
        <v>-316.04000000000002</v>
      </c>
      <c r="H350" s="625">
        <v>19509.96</v>
      </c>
      <c r="I350" s="625">
        <v>788.95</v>
      </c>
      <c r="J350" s="625">
        <v>6920.78</v>
      </c>
      <c r="K350" s="625">
        <v>7226.71</v>
      </c>
      <c r="L350" s="625">
        <v>32486.74</v>
      </c>
      <c r="M350" s="625">
        <v>-2498.41</v>
      </c>
      <c r="N350" s="625">
        <v>1287.27</v>
      </c>
      <c r="O350" s="625">
        <v>0</v>
      </c>
      <c r="P350" s="624">
        <v>0</v>
      </c>
      <c r="Q350" s="624">
        <v>0</v>
      </c>
      <c r="R350" s="624">
        <v>0</v>
      </c>
    </row>
    <row r="351" spans="1:18" s="755" customFormat="1" ht="12.75" customHeight="1" x14ac:dyDescent="0.25">
      <c r="A351" s="755" t="s">
        <v>119</v>
      </c>
      <c r="B351" s="629" t="s">
        <v>70</v>
      </c>
      <c r="C351" s="629"/>
      <c r="D351" s="629">
        <v>-1026775.53</v>
      </c>
      <c r="E351" s="629">
        <v>-74035.960000000006</v>
      </c>
      <c r="F351" s="629">
        <v>-40527.160000000003</v>
      </c>
      <c r="G351" s="629">
        <v>-21353.26</v>
      </c>
      <c r="H351" s="629">
        <v>-218401.29</v>
      </c>
      <c r="I351" s="629">
        <v>-5841.87</v>
      </c>
      <c r="J351" s="629">
        <v>-51243.02</v>
      </c>
      <c r="K351" s="629">
        <v>-61766.84</v>
      </c>
      <c r="L351" s="629">
        <v>-321652.78999999998</v>
      </c>
      <c r="M351" s="629">
        <v>-222410.72</v>
      </c>
      <c r="N351" s="629">
        <v>-9531.27</v>
      </c>
      <c r="O351" s="629">
        <v>-11.35</v>
      </c>
      <c r="P351" s="755">
        <v>0</v>
      </c>
      <c r="Q351" s="629">
        <v>0</v>
      </c>
      <c r="R351" s="629">
        <v>0</v>
      </c>
    </row>
    <row r="352" spans="1:18" s="632" customFormat="1" ht="12.75" customHeight="1" x14ac:dyDescent="0.25">
      <c r="A352" s="631" t="s">
        <v>70</v>
      </c>
      <c r="D352" s="631">
        <v>-3092375.53</v>
      </c>
      <c r="E352" s="631">
        <v>-183565.69</v>
      </c>
      <c r="F352" s="631">
        <v>-102289.18</v>
      </c>
      <c r="G352" s="631">
        <v>-53460.93</v>
      </c>
      <c r="H352" s="631">
        <v>-658025.71</v>
      </c>
      <c r="I352" s="631">
        <v>-23091.61</v>
      </c>
      <c r="J352" s="631">
        <v>-202559.54</v>
      </c>
      <c r="K352" s="631">
        <v>-210003.56</v>
      </c>
      <c r="L352" s="631">
        <v>-1077917.17</v>
      </c>
      <c r="M352" s="631">
        <v>-543783.85</v>
      </c>
      <c r="N352" s="631">
        <v>-37675.730000000003</v>
      </c>
      <c r="O352" s="631">
        <v>-2.56</v>
      </c>
      <c r="P352" s="632">
        <v>0</v>
      </c>
      <c r="Q352" s="632">
        <v>0</v>
      </c>
      <c r="R352" s="632">
        <v>0</v>
      </c>
    </row>
    <row r="353" spans="1:18" ht="12.75" customHeight="1" x14ac:dyDescent="0.25">
      <c r="C353" s="619"/>
      <c r="D353" s="619"/>
      <c r="E353" s="619"/>
      <c r="F353" s="619"/>
      <c r="G353" s="619"/>
      <c r="H353" s="619"/>
      <c r="I353" s="619"/>
      <c r="J353" s="619"/>
      <c r="K353" s="619"/>
      <c r="L353" s="619"/>
      <c r="M353" s="619"/>
      <c r="N353" s="619"/>
      <c r="O353" s="619"/>
      <c r="Q353" s="619"/>
    </row>
    <row r="354" spans="1:18" ht="12.75" customHeight="1" x14ac:dyDescent="0.25">
      <c r="C354" s="619"/>
      <c r="D354" s="619"/>
      <c r="E354" s="619"/>
      <c r="F354" s="619"/>
      <c r="G354" s="619"/>
      <c r="H354" s="619"/>
      <c r="I354" s="619"/>
      <c r="J354" s="619"/>
      <c r="K354" s="619"/>
      <c r="L354" s="619"/>
      <c r="M354" s="619"/>
      <c r="N354" s="619"/>
      <c r="O354" s="619"/>
      <c r="Q354" s="619"/>
    </row>
    <row r="355" spans="1:18" ht="12.75" customHeight="1" x14ac:dyDescent="0.25">
      <c r="A355" s="777" t="s">
        <v>2</v>
      </c>
      <c r="B355" s="776" t="s">
        <v>132</v>
      </c>
      <c r="C355" s="767" t="s">
        <v>70</v>
      </c>
      <c r="D355" s="767">
        <f>D352-P352</f>
        <v>-3092375.53</v>
      </c>
      <c r="E355" s="767">
        <f>E342+E348</f>
        <v>-204651.35</v>
      </c>
      <c r="F355" s="767">
        <f t="shared" ref="F355:R355" si="13">F342+F348</f>
        <v>-114062.66</v>
      </c>
      <c r="G355" s="767">
        <f t="shared" si="13"/>
        <v>-59426.1</v>
      </c>
      <c r="H355" s="767">
        <f t="shared" si="13"/>
        <v>-755065.41999999993</v>
      </c>
      <c r="I355" s="767">
        <f t="shared" si="13"/>
        <v>-27250.92</v>
      </c>
      <c r="J355" s="767">
        <f t="shared" si="13"/>
        <v>-239043.97000000003</v>
      </c>
      <c r="K355" s="767">
        <f t="shared" si="13"/>
        <v>-246114.56</v>
      </c>
      <c r="L355" s="767">
        <f t="shared" si="13"/>
        <v>-1258305.7000000002</v>
      </c>
      <c r="M355" s="767">
        <f t="shared" si="13"/>
        <v>-604168.65999999992</v>
      </c>
      <c r="N355" s="767">
        <f t="shared" si="13"/>
        <v>-44461.78</v>
      </c>
      <c r="O355" s="767">
        <f t="shared" si="13"/>
        <v>-2.5600000000000005</v>
      </c>
      <c r="P355" s="767">
        <f t="shared" si="13"/>
        <v>0</v>
      </c>
      <c r="Q355" s="767">
        <f t="shared" si="13"/>
        <v>0</v>
      </c>
      <c r="R355" s="767">
        <f t="shared" si="13"/>
        <v>0</v>
      </c>
    </row>
    <row r="356" spans="1:18" ht="12.75" customHeight="1" x14ac:dyDescent="0.25">
      <c r="A356" s="777"/>
      <c r="B356" s="776"/>
      <c r="C356" s="767" t="s">
        <v>73</v>
      </c>
      <c r="D356" s="768">
        <f>D344+D350</f>
        <v>460178.15</v>
      </c>
      <c r="E356" s="619"/>
      <c r="F356" s="619"/>
      <c r="G356" s="619"/>
      <c r="H356" s="619"/>
      <c r="I356" s="619"/>
      <c r="J356" s="619"/>
      <c r="K356" s="619"/>
      <c r="L356" s="619"/>
      <c r="M356" s="619"/>
      <c r="N356" s="619"/>
      <c r="O356" s="619"/>
      <c r="P356" s="619"/>
      <c r="Q356" s="619"/>
      <c r="R356" s="619"/>
    </row>
    <row r="357" spans="1:18" ht="12.75" customHeight="1" x14ac:dyDescent="0.3">
      <c r="A357" s="618"/>
      <c r="D357" s="619"/>
      <c r="E357" s="619"/>
      <c r="F357" s="619"/>
      <c r="G357" s="619"/>
      <c r="H357" s="619"/>
      <c r="I357" s="619"/>
      <c r="J357" s="619"/>
      <c r="K357" s="619"/>
      <c r="L357" s="619"/>
      <c r="M357" s="619"/>
      <c r="N357" s="619"/>
      <c r="O357" s="619"/>
      <c r="P357" s="619"/>
      <c r="Q357" s="619"/>
      <c r="R357" s="619"/>
    </row>
    <row r="358" spans="1:18" ht="12.75" customHeight="1" x14ac:dyDescent="0.25">
      <c r="A358" s="777" t="s">
        <v>160</v>
      </c>
      <c r="B358" s="776" t="s">
        <v>132</v>
      </c>
      <c r="C358" s="633" t="s">
        <v>70</v>
      </c>
      <c r="D358" s="633">
        <v>0</v>
      </c>
      <c r="E358" s="633">
        <v>0</v>
      </c>
      <c r="F358" s="633">
        <v>0</v>
      </c>
      <c r="G358" s="633">
        <v>0</v>
      </c>
      <c r="H358" s="633">
        <v>0</v>
      </c>
      <c r="I358" s="633">
        <v>0</v>
      </c>
      <c r="J358" s="633">
        <v>0</v>
      </c>
      <c r="K358" s="633">
        <v>0</v>
      </c>
      <c r="L358" s="633">
        <v>0</v>
      </c>
      <c r="M358" s="633">
        <v>0</v>
      </c>
      <c r="N358" s="633">
        <v>0</v>
      </c>
      <c r="O358" s="633">
        <v>0</v>
      </c>
      <c r="P358" s="633">
        <v>0</v>
      </c>
      <c r="Q358" s="633">
        <v>0</v>
      </c>
      <c r="R358" s="633">
        <v>0</v>
      </c>
    </row>
    <row r="359" spans="1:18" ht="12.75" customHeight="1" x14ac:dyDescent="0.25">
      <c r="A359" s="777"/>
      <c r="B359" s="776"/>
      <c r="C359" s="633" t="s">
        <v>73</v>
      </c>
      <c r="D359" s="633">
        <v>0</v>
      </c>
      <c r="E359" s="619"/>
      <c r="F359" s="619"/>
      <c r="G359" s="619"/>
      <c r="H359" s="619"/>
      <c r="I359" s="619"/>
      <c r="J359" s="619"/>
      <c r="K359" s="619"/>
      <c r="L359" s="619"/>
      <c r="M359" s="619"/>
      <c r="N359" s="619"/>
      <c r="O359" s="619"/>
      <c r="P359" s="619"/>
      <c r="Q359" s="619"/>
      <c r="R359" s="619"/>
    </row>
    <row r="360" spans="1:18" ht="12.75" customHeight="1" x14ac:dyDescent="0.3">
      <c r="A360" s="618"/>
      <c r="D360" s="619"/>
      <c r="E360" s="619"/>
      <c r="F360" s="619"/>
      <c r="G360" s="619"/>
      <c r="H360" s="619"/>
      <c r="I360" s="619"/>
      <c r="J360" s="619"/>
      <c r="K360" s="619"/>
      <c r="L360" s="619"/>
      <c r="M360" s="619"/>
      <c r="N360" s="619"/>
      <c r="O360" s="619"/>
      <c r="P360" s="619"/>
      <c r="Q360" s="619"/>
      <c r="R360" s="619"/>
    </row>
    <row r="361" spans="1:18" ht="12.75" customHeight="1" x14ac:dyDescent="0.25">
      <c r="A361" s="777" t="s">
        <v>155</v>
      </c>
      <c r="B361" s="776" t="s">
        <v>132</v>
      </c>
      <c r="C361" s="634" t="s">
        <v>70</v>
      </c>
      <c r="D361" s="634">
        <f>D345-P345</f>
        <v>-2065600</v>
      </c>
      <c r="E361" s="634">
        <f t="shared" ref="E361:R361" si="14">E342</f>
        <v>-131268.72</v>
      </c>
      <c r="F361" s="634">
        <f t="shared" si="14"/>
        <v>-73999.75</v>
      </c>
      <c r="G361" s="634">
        <f t="shared" si="14"/>
        <v>-38388.879999999997</v>
      </c>
      <c r="H361" s="634">
        <f t="shared" si="14"/>
        <v>-517154.17</v>
      </c>
      <c r="I361" s="634">
        <f t="shared" si="14"/>
        <v>-20620.099999999999</v>
      </c>
      <c r="J361" s="634">
        <f t="shared" si="14"/>
        <v>-180880.17</v>
      </c>
      <c r="K361" s="634">
        <f t="shared" si="14"/>
        <v>-177121.01</v>
      </c>
      <c r="L361" s="634">
        <f t="shared" si="14"/>
        <v>-904166.17</v>
      </c>
      <c r="M361" s="634">
        <f t="shared" si="14"/>
        <v>-384256.35</v>
      </c>
      <c r="N361" s="634">
        <f t="shared" si="14"/>
        <v>-33643.24</v>
      </c>
      <c r="O361" s="634">
        <f t="shared" si="14"/>
        <v>8.7899999999999991</v>
      </c>
      <c r="P361" s="634">
        <f t="shared" si="14"/>
        <v>0</v>
      </c>
      <c r="Q361" s="634">
        <f t="shared" si="14"/>
        <v>0</v>
      </c>
      <c r="R361" s="634">
        <f t="shared" si="14"/>
        <v>0</v>
      </c>
    </row>
    <row r="362" spans="1:18" ht="12.75" customHeight="1" x14ac:dyDescent="0.25">
      <c r="A362" s="777"/>
      <c r="B362" s="776"/>
      <c r="C362" s="634" t="s">
        <v>73</v>
      </c>
      <c r="D362" s="634">
        <f>D344</f>
        <v>395889.77</v>
      </c>
      <c r="E362" s="619"/>
      <c r="F362" s="619"/>
      <c r="G362" s="619"/>
      <c r="H362" s="619"/>
      <c r="I362" s="619"/>
      <c r="J362" s="619"/>
      <c r="K362" s="619"/>
      <c r="L362" s="619"/>
      <c r="M362" s="619"/>
      <c r="N362" s="619"/>
      <c r="O362" s="619"/>
      <c r="P362" s="619"/>
      <c r="Q362" s="619"/>
    </row>
    <row r="363" spans="1:18" ht="12.75" customHeight="1" x14ac:dyDescent="0.3">
      <c r="A363" s="618"/>
      <c r="D363" s="619"/>
      <c r="E363" s="619"/>
      <c r="F363" s="619"/>
      <c r="G363" s="619"/>
      <c r="H363" s="619"/>
      <c r="I363" s="619"/>
      <c r="J363" s="619"/>
      <c r="K363" s="619"/>
      <c r="L363" s="619"/>
      <c r="M363" s="619"/>
      <c r="N363" s="619"/>
      <c r="O363" s="619"/>
      <c r="P363" s="619"/>
      <c r="Q363" s="619"/>
    </row>
    <row r="364" spans="1:18" ht="12.75" customHeight="1" x14ac:dyDescent="0.25">
      <c r="A364" s="775" t="s">
        <v>328</v>
      </c>
      <c r="B364" s="776" t="s">
        <v>132</v>
      </c>
      <c r="C364" s="634" t="s">
        <v>70</v>
      </c>
      <c r="D364" s="721">
        <v>0</v>
      </c>
      <c r="E364" s="721">
        <v>0</v>
      </c>
      <c r="F364" s="721">
        <v>0</v>
      </c>
      <c r="G364" s="721">
        <v>0</v>
      </c>
      <c r="H364" s="721">
        <v>0</v>
      </c>
      <c r="I364" s="721">
        <v>0</v>
      </c>
      <c r="J364" s="721">
        <v>0</v>
      </c>
      <c r="K364" s="721">
        <v>0</v>
      </c>
      <c r="L364" s="721">
        <v>0</v>
      </c>
      <c r="M364" s="721">
        <v>0</v>
      </c>
      <c r="N364" s="721">
        <v>0</v>
      </c>
      <c r="O364" s="721">
        <v>0</v>
      </c>
      <c r="P364" s="721">
        <v>0</v>
      </c>
      <c r="Q364" s="721">
        <v>0</v>
      </c>
      <c r="R364" s="721">
        <v>0</v>
      </c>
    </row>
    <row r="365" spans="1:18" ht="12.75" customHeight="1" x14ac:dyDescent="0.25">
      <c r="A365" s="775"/>
      <c r="B365" s="776"/>
      <c r="C365" s="634" t="s">
        <v>73</v>
      </c>
      <c r="D365" s="721">
        <v>0</v>
      </c>
      <c r="E365" s="619"/>
      <c r="F365" s="619"/>
      <c r="G365" s="619"/>
      <c r="H365" s="619"/>
      <c r="I365" s="619"/>
      <c r="J365" s="619"/>
      <c r="K365" s="619"/>
      <c r="L365" s="619"/>
      <c r="M365" s="619"/>
      <c r="N365" s="619"/>
      <c r="O365" s="619"/>
      <c r="P365" s="619"/>
      <c r="Q365" s="619"/>
    </row>
    <row r="366" spans="1:18" ht="12.75" customHeight="1" x14ac:dyDescent="0.3">
      <c r="A366" s="618"/>
      <c r="D366" s="619"/>
      <c r="E366" s="619"/>
      <c r="F366" s="619"/>
      <c r="G366" s="619"/>
      <c r="H366" s="619"/>
      <c r="I366" s="619"/>
      <c r="J366" s="619"/>
      <c r="K366" s="619"/>
      <c r="L366" s="619"/>
      <c r="M366" s="619"/>
      <c r="N366" s="619"/>
      <c r="O366" s="619"/>
      <c r="P366" s="619"/>
      <c r="Q366" s="619"/>
    </row>
    <row r="367" spans="1:18" ht="12.75" customHeight="1" x14ac:dyDescent="0.25">
      <c r="A367" s="777" t="s">
        <v>119</v>
      </c>
      <c r="B367" s="776" t="s">
        <v>132</v>
      </c>
      <c r="C367" s="629" t="s">
        <v>70</v>
      </c>
      <c r="D367" s="629">
        <f>D351-P351</f>
        <v>-1026775.53</v>
      </c>
      <c r="E367" s="629">
        <f>E348</f>
        <v>-73382.63</v>
      </c>
      <c r="F367" s="629">
        <f t="shared" ref="F367:R367" si="15">F348</f>
        <v>-40062.910000000003</v>
      </c>
      <c r="G367" s="629">
        <f t="shared" si="15"/>
        <v>-21037.22</v>
      </c>
      <c r="H367" s="629">
        <f t="shared" si="15"/>
        <v>-237911.25</v>
      </c>
      <c r="I367" s="629">
        <f t="shared" si="15"/>
        <v>-6630.82</v>
      </c>
      <c r="J367" s="629">
        <f t="shared" si="15"/>
        <v>-58163.8</v>
      </c>
      <c r="K367" s="629">
        <f t="shared" si="15"/>
        <v>-68993.55</v>
      </c>
      <c r="L367" s="629">
        <f t="shared" si="15"/>
        <v>-354139.53</v>
      </c>
      <c r="M367" s="629">
        <f t="shared" si="15"/>
        <v>-219912.31</v>
      </c>
      <c r="N367" s="629">
        <f t="shared" si="15"/>
        <v>-10818.54</v>
      </c>
      <c r="O367" s="629">
        <f t="shared" si="15"/>
        <v>-11.35</v>
      </c>
      <c r="P367" s="629">
        <f t="shared" si="15"/>
        <v>0</v>
      </c>
      <c r="Q367" s="629">
        <f t="shared" si="15"/>
        <v>0</v>
      </c>
      <c r="R367" s="629">
        <f t="shared" si="15"/>
        <v>0</v>
      </c>
    </row>
    <row r="368" spans="1:18" ht="12.75" customHeight="1" x14ac:dyDescent="0.25">
      <c r="A368" s="777"/>
      <c r="B368" s="776"/>
      <c r="C368" s="629" t="s">
        <v>73</v>
      </c>
      <c r="D368" s="630">
        <f>D350</f>
        <v>64288.38</v>
      </c>
      <c r="E368" s="619"/>
      <c r="F368" s="619"/>
      <c r="G368" s="619"/>
      <c r="H368" s="619"/>
      <c r="I368" s="619"/>
      <c r="J368" s="619"/>
      <c r="K368" s="619"/>
      <c r="L368" s="619"/>
      <c r="M368" s="619"/>
      <c r="N368" s="619"/>
      <c r="O368" s="619"/>
      <c r="P368" s="619"/>
      <c r="Q368" s="619"/>
    </row>
    <row r="369" spans="1:18" ht="12.75" customHeight="1" x14ac:dyDescent="0.3">
      <c r="A369" s="618"/>
      <c r="D369" s="619"/>
      <c r="E369" s="619"/>
      <c r="F369" s="619"/>
      <c r="G369" s="619"/>
      <c r="H369" s="619"/>
      <c r="I369" s="619"/>
      <c r="J369" s="619"/>
      <c r="K369" s="619"/>
      <c r="L369" s="619"/>
      <c r="M369" s="619"/>
      <c r="N369" s="619"/>
      <c r="O369" s="619"/>
      <c r="P369" s="619"/>
      <c r="Q369" s="619"/>
    </row>
    <row r="370" spans="1:18" x14ac:dyDescent="0.25">
      <c r="A370" s="778" t="s">
        <v>161</v>
      </c>
      <c r="B370" s="776" t="s">
        <v>132</v>
      </c>
      <c r="C370" s="635" t="s">
        <v>70</v>
      </c>
      <c r="D370" s="635">
        <v>0</v>
      </c>
      <c r="E370" s="635">
        <v>0</v>
      </c>
      <c r="F370" s="635">
        <v>0</v>
      </c>
      <c r="G370" s="635">
        <v>0</v>
      </c>
      <c r="H370" s="635">
        <v>0</v>
      </c>
      <c r="I370" s="635">
        <v>0</v>
      </c>
      <c r="J370" s="635">
        <v>0</v>
      </c>
      <c r="K370" s="635">
        <v>0</v>
      </c>
      <c r="L370" s="635">
        <v>0</v>
      </c>
      <c r="M370" s="635">
        <v>0</v>
      </c>
      <c r="N370" s="635">
        <v>0</v>
      </c>
      <c r="O370" s="635">
        <v>0</v>
      </c>
      <c r="P370" s="635">
        <v>0</v>
      </c>
      <c r="Q370" s="635">
        <v>0</v>
      </c>
      <c r="R370" s="635">
        <v>0</v>
      </c>
    </row>
    <row r="371" spans="1:18" x14ac:dyDescent="0.25">
      <c r="A371" s="778"/>
      <c r="B371" s="776"/>
      <c r="C371" s="635" t="s">
        <v>73</v>
      </c>
      <c r="D371" s="635">
        <v>0</v>
      </c>
      <c r="E371" s="619"/>
      <c r="F371" s="619"/>
      <c r="G371" s="619"/>
      <c r="H371" s="619"/>
      <c r="I371" s="619"/>
      <c r="J371" s="619"/>
      <c r="K371" s="619"/>
      <c r="L371" s="619"/>
      <c r="M371" s="619"/>
      <c r="N371" s="619"/>
      <c r="O371" s="619"/>
      <c r="P371" s="619"/>
      <c r="Q371" s="619"/>
    </row>
    <row r="372" spans="1:18" s="636" customFormat="1" x14ac:dyDescent="0.25"/>
    <row r="375" spans="1:18" x14ac:dyDescent="0.25">
      <c r="D375" s="617">
        <f t="shared" ref="D375:R375" si="16">D73+D168+D205+D320+D355</f>
        <v>-156747931.65000001</v>
      </c>
      <c r="E375" s="617">
        <f t="shared" si="16"/>
        <v>-22568475.98</v>
      </c>
      <c r="F375" s="617">
        <f t="shared" si="16"/>
        <v>-10927711.75</v>
      </c>
      <c r="G375" s="617">
        <f t="shared" si="16"/>
        <v>-5814176.8499999996</v>
      </c>
      <c r="H375" s="617">
        <f t="shared" si="16"/>
        <v>-20545989.630000003</v>
      </c>
      <c r="I375" s="617">
        <f t="shared" si="16"/>
        <v>-747388.07000000007</v>
      </c>
      <c r="J375" s="617">
        <f t="shared" si="16"/>
        <v>-6605814.3799999999</v>
      </c>
      <c r="K375" s="617">
        <f t="shared" si="16"/>
        <v>-6607232.419999999</v>
      </c>
      <c r="L375" s="617">
        <f t="shared" si="16"/>
        <v>-30776419.849999998</v>
      </c>
      <c r="M375" s="617">
        <f t="shared" si="16"/>
        <v>-49285206.960000001</v>
      </c>
      <c r="N375" s="617">
        <f t="shared" si="16"/>
        <v>-1224099.24</v>
      </c>
      <c r="O375" s="617">
        <f t="shared" si="16"/>
        <v>-3.3999999999999897</v>
      </c>
      <c r="P375" s="617">
        <f t="shared" si="16"/>
        <v>0</v>
      </c>
      <c r="Q375" s="617">
        <f t="shared" si="16"/>
        <v>0</v>
      </c>
      <c r="R375" s="617">
        <f t="shared" si="16"/>
        <v>-0.28999999999999998</v>
      </c>
    </row>
    <row r="376" spans="1:18" x14ac:dyDescent="0.25">
      <c r="D376" s="617">
        <f>D74+D169+D206+D321+D356</f>
        <v>-1645412.83</v>
      </c>
    </row>
  </sheetData>
  <mergeCells count="60">
    <mergeCell ref="A335:A336"/>
    <mergeCell ref="B335:B336"/>
    <mergeCell ref="A355:A356"/>
    <mergeCell ref="B355:B356"/>
    <mergeCell ref="A370:A371"/>
    <mergeCell ref="B370:B371"/>
    <mergeCell ref="A358:A359"/>
    <mergeCell ref="B358:B359"/>
    <mergeCell ref="A361:A362"/>
    <mergeCell ref="B361:B362"/>
    <mergeCell ref="A367:A368"/>
    <mergeCell ref="B367:B368"/>
    <mergeCell ref="A364:A365"/>
    <mergeCell ref="B364:B365"/>
    <mergeCell ref="A326:A327"/>
    <mergeCell ref="B326:B327"/>
    <mergeCell ref="A332:A333"/>
    <mergeCell ref="B332:B333"/>
    <mergeCell ref="A329:A330"/>
    <mergeCell ref="B329:B330"/>
    <mergeCell ref="A220:A221"/>
    <mergeCell ref="B220:B221"/>
    <mergeCell ref="A320:A321"/>
    <mergeCell ref="B320:B321"/>
    <mergeCell ref="A323:A324"/>
    <mergeCell ref="B323:B324"/>
    <mergeCell ref="A208:A209"/>
    <mergeCell ref="B208:B209"/>
    <mergeCell ref="A211:A212"/>
    <mergeCell ref="B211:B212"/>
    <mergeCell ref="A217:A218"/>
    <mergeCell ref="B217:B218"/>
    <mergeCell ref="A180:A181"/>
    <mergeCell ref="B180:B181"/>
    <mergeCell ref="A183:A184"/>
    <mergeCell ref="B183:B184"/>
    <mergeCell ref="A205:A206"/>
    <mergeCell ref="B205:B206"/>
    <mergeCell ref="A73:A74"/>
    <mergeCell ref="B73:B74"/>
    <mergeCell ref="A76:A77"/>
    <mergeCell ref="B76:B77"/>
    <mergeCell ref="A79:A80"/>
    <mergeCell ref="B79:B80"/>
    <mergeCell ref="A82:A83"/>
    <mergeCell ref="B82:B83"/>
    <mergeCell ref="A177:A178"/>
    <mergeCell ref="B177:B178"/>
    <mergeCell ref="A214:A215"/>
    <mergeCell ref="B214:B215"/>
    <mergeCell ref="A85:A86"/>
    <mergeCell ref="B85:B86"/>
    <mergeCell ref="A88:A89"/>
    <mergeCell ref="B88:B89"/>
    <mergeCell ref="A168:A169"/>
    <mergeCell ref="B168:B169"/>
    <mergeCell ref="A171:A172"/>
    <mergeCell ref="B171:B172"/>
    <mergeCell ref="A174:A175"/>
    <mergeCell ref="B174:B175"/>
  </mergeCells>
  <conditionalFormatting sqref="D75:D89 D168:D184 D205:D221 D320:D336 D355:D371">
    <cfRule type="cellIs" dxfId="82" priority="1" operator="greaterThan">
      <formula>1</formula>
    </cfRule>
  </conditionalFormatting>
  <pageMargins left="0.7" right="0.7" top="0.75" bottom="0.75" header="0.3" footer="0.3"/>
  <pageSetup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P61"/>
  <sheetViews>
    <sheetView zoomScale="90" zoomScaleNormal="90" workbookViewId="0"/>
  </sheetViews>
  <sheetFormatPr baseColWidth="10" defaultRowHeight="12.5" x14ac:dyDescent="0.25"/>
  <cols>
    <col min="2" max="2" width="24.453125" bestFit="1" customWidth="1"/>
    <col min="3" max="3" width="17" style="144" bestFit="1" customWidth="1"/>
    <col min="4" max="4" width="23.1796875" bestFit="1" customWidth="1"/>
    <col min="5" max="5" width="15.81640625" bestFit="1" customWidth="1"/>
    <col min="6" max="6" width="16.1796875" customWidth="1"/>
    <col min="7" max="7" width="15.453125" bestFit="1" customWidth="1"/>
    <col min="8" max="8" width="15" bestFit="1" customWidth="1"/>
    <col min="9" max="9" width="15.1796875" bestFit="1" customWidth="1"/>
    <col min="10" max="10" width="17" bestFit="1" customWidth="1"/>
    <col min="11" max="12" width="15.54296875" bestFit="1" customWidth="1"/>
    <col min="13" max="13" width="15.1796875" bestFit="1" customWidth="1"/>
    <col min="14" max="14" width="17.81640625" bestFit="1" customWidth="1"/>
    <col min="15" max="15" width="15.54296875" customWidth="1"/>
    <col min="16" max="16" width="20.453125" bestFit="1" customWidth="1"/>
  </cols>
  <sheetData>
    <row r="1" spans="1:16" ht="13" x14ac:dyDescent="0.3">
      <c r="B1" s="97" t="s">
        <v>74</v>
      </c>
    </row>
    <row r="2" spans="1:16" ht="12.75" customHeight="1" x14ac:dyDescent="0.25">
      <c r="C2" s="89" t="s">
        <v>70</v>
      </c>
      <c r="D2" s="89" t="s">
        <v>64</v>
      </c>
      <c r="E2" s="89" t="s">
        <v>65</v>
      </c>
      <c r="F2" s="219" t="s">
        <v>164</v>
      </c>
      <c r="G2" s="89" t="s">
        <v>69</v>
      </c>
      <c r="H2" s="89" t="s">
        <v>68</v>
      </c>
      <c r="I2" s="89" t="s">
        <v>83</v>
      </c>
      <c r="J2" s="89" t="s">
        <v>66</v>
      </c>
      <c r="K2" s="89" t="s">
        <v>63</v>
      </c>
      <c r="L2" s="89" t="s">
        <v>61</v>
      </c>
      <c r="M2" s="89" t="s">
        <v>62</v>
      </c>
      <c r="N2" s="89" t="s">
        <v>67</v>
      </c>
      <c r="O2" s="89" t="s">
        <v>84</v>
      </c>
    </row>
    <row r="3" spans="1:16" ht="12.75" customHeight="1" x14ac:dyDescent="0.25">
      <c r="B3" s="89" t="s">
        <v>72</v>
      </c>
      <c r="C3" s="90">
        <v>796773.47</v>
      </c>
      <c r="D3" s="90">
        <v>65524.22</v>
      </c>
      <c r="E3" s="90">
        <v>36995.019999999997</v>
      </c>
      <c r="F3" s="90">
        <v>19417.650000000001</v>
      </c>
      <c r="G3" s="90">
        <v>156624.35</v>
      </c>
      <c r="H3" s="90">
        <v>5557.5</v>
      </c>
      <c r="I3" s="90">
        <v>0</v>
      </c>
      <c r="J3" s="90">
        <v>52109.79</v>
      </c>
      <c r="K3" s="90">
        <v>47607.03</v>
      </c>
      <c r="L3" s="90">
        <v>225441.17</v>
      </c>
      <c r="M3" s="90">
        <v>178429.31</v>
      </c>
      <c r="N3" s="90">
        <v>9067.43</v>
      </c>
      <c r="O3" s="90">
        <v>0</v>
      </c>
    </row>
    <row r="4" spans="1:16" ht="12.75" customHeight="1" x14ac:dyDescent="0.25">
      <c r="A4" s="376" t="s">
        <v>78</v>
      </c>
      <c r="B4" s="376" t="s">
        <v>70</v>
      </c>
      <c r="C4" s="377">
        <v>796773.47</v>
      </c>
      <c r="D4" s="377">
        <v>65524.22</v>
      </c>
      <c r="E4" s="377">
        <v>36995.019999999997</v>
      </c>
      <c r="F4" s="377">
        <v>19417.650000000001</v>
      </c>
      <c r="G4" s="377">
        <v>156624.35</v>
      </c>
      <c r="H4" s="377">
        <v>5557.5</v>
      </c>
      <c r="I4" s="377">
        <v>0</v>
      </c>
      <c r="J4" s="377">
        <v>52109.79</v>
      </c>
      <c r="K4" s="377">
        <v>47607.03</v>
      </c>
      <c r="L4" s="377">
        <v>225441.17</v>
      </c>
      <c r="M4" s="377">
        <v>178429.31</v>
      </c>
      <c r="N4" s="377">
        <v>9067.43</v>
      </c>
      <c r="O4" s="377">
        <v>0</v>
      </c>
      <c r="P4" s="378"/>
    </row>
    <row r="5" spans="1:16" ht="12.75" customHeight="1" x14ac:dyDescent="0.25">
      <c r="B5" s="89" t="s">
        <v>73</v>
      </c>
      <c r="C5" s="90">
        <v>176919.99</v>
      </c>
      <c r="D5" s="90">
        <v>32442.78</v>
      </c>
      <c r="E5" s="90">
        <v>18317.240000000002</v>
      </c>
      <c r="F5" s="90">
        <v>9614.2099999999991</v>
      </c>
      <c r="G5" s="90">
        <v>9543.57</v>
      </c>
      <c r="H5" s="90">
        <v>280.5</v>
      </c>
      <c r="I5" s="90">
        <v>0</v>
      </c>
      <c r="J5" s="90">
        <v>1116.45</v>
      </c>
      <c r="K5" s="90">
        <v>2883.45</v>
      </c>
      <c r="L5" s="90">
        <v>13655.06</v>
      </c>
      <c r="M5" s="90">
        <v>88609.08</v>
      </c>
      <c r="N5" s="90">
        <v>457.65</v>
      </c>
      <c r="O5" s="90">
        <v>0</v>
      </c>
    </row>
    <row r="6" spans="1:16" ht="12.75" customHeight="1" x14ac:dyDescent="0.25">
      <c r="A6" s="373" t="s">
        <v>79</v>
      </c>
      <c r="B6" s="373" t="s">
        <v>70</v>
      </c>
      <c r="C6" s="374">
        <v>176919.99</v>
      </c>
      <c r="D6" s="374">
        <v>32442.78</v>
      </c>
      <c r="E6" s="374">
        <v>18317.240000000002</v>
      </c>
      <c r="F6" s="374">
        <v>9614.2099999999991</v>
      </c>
      <c r="G6" s="374">
        <v>9543.57</v>
      </c>
      <c r="H6" s="374">
        <v>280.5</v>
      </c>
      <c r="I6" s="374">
        <v>0</v>
      </c>
      <c r="J6" s="374">
        <v>1116.45</v>
      </c>
      <c r="K6" s="374">
        <v>2883.45</v>
      </c>
      <c r="L6" s="374">
        <v>13655.06</v>
      </c>
      <c r="M6" s="374">
        <v>88609.08</v>
      </c>
      <c r="N6" s="374">
        <v>457.65</v>
      </c>
      <c r="O6" s="374">
        <v>0</v>
      </c>
      <c r="P6" s="372"/>
    </row>
    <row r="7" spans="1:16" ht="12.75" customHeight="1" x14ac:dyDescent="0.25">
      <c r="A7" s="89" t="s">
        <v>70</v>
      </c>
      <c r="C7" s="90">
        <v>973693.46</v>
      </c>
      <c r="D7" s="90">
        <v>97967</v>
      </c>
      <c r="E7" s="90">
        <v>55312.26</v>
      </c>
      <c r="F7" s="90">
        <v>29031.86</v>
      </c>
      <c r="G7" s="90">
        <v>166167.92000000001</v>
      </c>
      <c r="H7" s="90">
        <v>5838</v>
      </c>
      <c r="I7" s="90">
        <v>0</v>
      </c>
      <c r="J7" s="90">
        <v>53226.239999999998</v>
      </c>
      <c r="K7" s="90">
        <v>50490.48</v>
      </c>
      <c r="L7" s="90">
        <v>239096.23</v>
      </c>
      <c r="M7" s="90">
        <v>267038.39</v>
      </c>
      <c r="N7" s="90">
        <v>9525.08</v>
      </c>
      <c r="O7" s="90">
        <v>0</v>
      </c>
    </row>
    <row r="8" spans="1:16" ht="12.75" customHeight="1" x14ac:dyDescent="0.25"/>
    <row r="9" spans="1:16" ht="12.75" customHeight="1" x14ac:dyDescent="0.25">
      <c r="B9" s="145" t="s">
        <v>70</v>
      </c>
      <c r="C9" s="99">
        <f>C7-I7</f>
        <v>973693.46</v>
      </c>
      <c r="D9" s="99">
        <f>D4</f>
        <v>65524.22</v>
      </c>
      <c r="E9" s="99">
        <f t="shared" ref="E9:P9" si="0">E4</f>
        <v>36995.019999999997</v>
      </c>
      <c r="F9" s="99">
        <f t="shared" si="0"/>
        <v>19417.650000000001</v>
      </c>
      <c r="G9" s="99">
        <f t="shared" si="0"/>
        <v>156624.35</v>
      </c>
      <c r="H9" s="99">
        <f t="shared" si="0"/>
        <v>5557.5</v>
      </c>
      <c r="I9" s="99">
        <f t="shared" si="0"/>
        <v>0</v>
      </c>
      <c r="J9" s="99">
        <f t="shared" si="0"/>
        <v>52109.79</v>
      </c>
      <c r="K9" s="99">
        <f t="shared" si="0"/>
        <v>47607.03</v>
      </c>
      <c r="L9" s="99">
        <f t="shared" si="0"/>
        <v>225441.17</v>
      </c>
      <c r="M9" s="99">
        <f t="shared" si="0"/>
        <v>178429.31</v>
      </c>
      <c r="N9" s="99">
        <f t="shared" si="0"/>
        <v>9067.43</v>
      </c>
      <c r="O9" s="99">
        <f>O4</f>
        <v>0</v>
      </c>
      <c r="P9" s="99">
        <f t="shared" si="0"/>
        <v>0</v>
      </c>
    </row>
    <row r="10" spans="1:16" ht="12.75" customHeight="1" x14ac:dyDescent="0.25">
      <c r="B10" s="145" t="s">
        <v>73</v>
      </c>
      <c r="C10" s="99">
        <f>C6</f>
        <v>176919.99</v>
      </c>
      <c r="D10" s="150"/>
    </row>
    <row r="11" spans="1:16" x14ac:dyDescent="0.25">
      <c r="D11" s="150"/>
    </row>
    <row r="12" spans="1:16" x14ac:dyDescent="0.25">
      <c r="A12" s="94"/>
      <c r="B12" s="94"/>
      <c r="C12" s="146"/>
      <c r="D12" s="94"/>
      <c r="E12" s="94"/>
      <c r="F12" s="94"/>
      <c r="G12" s="94"/>
      <c r="H12" s="94"/>
      <c r="I12" s="94"/>
      <c r="J12" s="94"/>
      <c r="K12" s="94"/>
      <c r="L12" s="94"/>
      <c r="M12" s="94"/>
      <c r="N12" s="94"/>
      <c r="O12" s="94"/>
      <c r="P12" s="94"/>
    </row>
    <row r="13" spans="1:16" ht="13" x14ac:dyDescent="0.3">
      <c r="B13" s="97" t="s">
        <v>75</v>
      </c>
    </row>
    <row r="14" spans="1:16" ht="12.75" customHeight="1" x14ac:dyDescent="0.25">
      <c r="C14" s="89" t="s">
        <v>70</v>
      </c>
      <c r="D14" s="89" t="s">
        <v>64</v>
      </c>
      <c r="E14" s="89" t="s">
        <v>65</v>
      </c>
      <c r="F14" s="219" t="s">
        <v>164</v>
      </c>
      <c r="G14" s="89" t="s">
        <v>69</v>
      </c>
      <c r="H14" s="89" t="s">
        <v>68</v>
      </c>
      <c r="I14" s="89" t="s">
        <v>83</v>
      </c>
      <c r="J14" s="89" t="s">
        <v>66</v>
      </c>
      <c r="K14" s="89" t="s">
        <v>63</v>
      </c>
      <c r="L14" s="89" t="s">
        <v>61</v>
      </c>
      <c r="M14" s="89" t="s">
        <v>62</v>
      </c>
      <c r="N14" s="89" t="s">
        <v>67</v>
      </c>
      <c r="O14" s="89" t="s">
        <v>84</v>
      </c>
    </row>
    <row r="15" spans="1:16" ht="12.75" customHeight="1" x14ac:dyDescent="0.25">
      <c r="B15" t="s">
        <v>72</v>
      </c>
      <c r="C15" s="89">
        <v>448371.28</v>
      </c>
      <c r="D15" s="89">
        <v>31889</v>
      </c>
      <c r="E15" s="89">
        <v>18568.04</v>
      </c>
      <c r="F15" s="384">
        <v>8864.59</v>
      </c>
      <c r="G15" s="89">
        <v>92916.35</v>
      </c>
      <c r="H15" s="89">
        <v>3882.28</v>
      </c>
      <c r="I15" s="89">
        <v>0</v>
      </c>
      <c r="J15" s="89">
        <v>61344.03</v>
      </c>
      <c r="K15" s="89">
        <v>33520.25</v>
      </c>
      <c r="L15" s="89">
        <v>127751.61</v>
      </c>
      <c r="M15" s="89">
        <v>64498.2</v>
      </c>
      <c r="N15" s="89">
        <v>5137.3</v>
      </c>
      <c r="O15" s="89">
        <v>-0.37</v>
      </c>
    </row>
    <row r="16" spans="1:16" ht="12.75" customHeight="1" x14ac:dyDescent="0.25">
      <c r="B16" s="89" t="s">
        <v>81</v>
      </c>
      <c r="C16" s="90">
        <v>172.61</v>
      </c>
      <c r="D16" s="90">
        <v>8.6199999999999992</v>
      </c>
      <c r="E16" s="90">
        <v>4.87</v>
      </c>
      <c r="F16" s="90">
        <v>2.5499999999999998</v>
      </c>
      <c r="G16" s="90">
        <v>43.14</v>
      </c>
      <c r="H16" s="90">
        <v>1.6</v>
      </c>
      <c r="I16" s="90">
        <v>0</v>
      </c>
      <c r="J16" s="90">
        <v>14.06</v>
      </c>
      <c r="K16" s="90">
        <v>13.76</v>
      </c>
      <c r="L16" s="90">
        <v>64.260000000000005</v>
      </c>
      <c r="M16" s="90">
        <v>17.12</v>
      </c>
      <c r="N16" s="90">
        <v>2.62</v>
      </c>
      <c r="O16" s="90">
        <v>0.01</v>
      </c>
    </row>
    <row r="17" spans="1:16" ht="12.75" customHeight="1" x14ac:dyDescent="0.25">
      <c r="A17" s="376" t="s">
        <v>78</v>
      </c>
      <c r="B17" s="376" t="s">
        <v>70</v>
      </c>
      <c r="C17" s="377">
        <v>448543.89</v>
      </c>
      <c r="D17" s="377">
        <v>31897.62</v>
      </c>
      <c r="E17" s="377">
        <v>18572.91</v>
      </c>
      <c r="F17" s="377">
        <v>8867.14</v>
      </c>
      <c r="G17" s="377">
        <v>92959.49</v>
      </c>
      <c r="H17" s="377">
        <v>3883.88</v>
      </c>
      <c r="I17" s="377">
        <v>0</v>
      </c>
      <c r="J17" s="377">
        <v>61358.09</v>
      </c>
      <c r="K17" s="377">
        <v>33534.01</v>
      </c>
      <c r="L17" s="377">
        <v>127815.87</v>
      </c>
      <c r="M17" s="377">
        <v>64515.32</v>
      </c>
      <c r="N17" s="377">
        <v>5139.92</v>
      </c>
      <c r="O17" s="377">
        <v>-0.36</v>
      </c>
      <c r="P17" s="378"/>
    </row>
    <row r="18" spans="1:16" ht="12.75" customHeight="1" x14ac:dyDescent="0.25">
      <c r="B18" s="89" t="s">
        <v>73</v>
      </c>
      <c r="C18" s="90">
        <v>-232518.12</v>
      </c>
      <c r="D18" s="90">
        <v>-15692.52</v>
      </c>
      <c r="E18" s="90">
        <v>-8860.02</v>
      </c>
      <c r="F18" s="90">
        <v>-4649.05</v>
      </c>
      <c r="G18" s="90">
        <v>-48588.46</v>
      </c>
      <c r="H18" s="90">
        <v>-1735.35</v>
      </c>
      <c r="I18" s="90">
        <v>0</v>
      </c>
      <c r="J18" s="90">
        <v>-35751.35</v>
      </c>
      <c r="K18" s="90">
        <v>-14884.94</v>
      </c>
      <c r="L18" s="90">
        <v>-70344.960000000006</v>
      </c>
      <c r="M18" s="90">
        <v>-29180.14</v>
      </c>
      <c r="N18" s="90">
        <v>-2831.33</v>
      </c>
      <c r="O18" s="90">
        <v>0</v>
      </c>
    </row>
    <row r="19" spans="1:16" ht="12.75" customHeight="1" x14ac:dyDescent="0.25">
      <c r="A19" s="373" t="s">
        <v>79</v>
      </c>
      <c r="B19" s="373" t="s">
        <v>70</v>
      </c>
      <c r="C19" s="374">
        <v>-232518.12</v>
      </c>
      <c r="D19" s="374">
        <v>-15692.52</v>
      </c>
      <c r="E19" s="374">
        <v>-8860.02</v>
      </c>
      <c r="F19" s="374">
        <v>-4649.05</v>
      </c>
      <c r="G19" s="374">
        <v>-48588.46</v>
      </c>
      <c r="H19" s="374">
        <v>-1735.35</v>
      </c>
      <c r="I19" s="374">
        <v>0</v>
      </c>
      <c r="J19" s="374">
        <v>-35751.35</v>
      </c>
      <c r="K19" s="374">
        <v>-14884.94</v>
      </c>
      <c r="L19" s="374">
        <v>-70344.960000000006</v>
      </c>
      <c r="M19" s="374">
        <v>-29180.14</v>
      </c>
      <c r="N19" s="374">
        <v>-2831.33</v>
      </c>
      <c r="O19" s="374">
        <v>0</v>
      </c>
      <c r="P19" s="372"/>
    </row>
    <row r="20" spans="1:16" ht="12.75" customHeight="1" x14ac:dyDescent="0.25">
      <c r="A20" s="89" t="s">
        <v>70</v>
      </c>
      <c r="C20" s="90">
        <v>216025.77</v>
      </c>
      <c r="D20" s="90">
        <v>16205.1</v>
      </c>
      <c r="E20" s="90">
        <v>9712.89</v>
      </c>
      <c r="F20" s="90">
        <v>4218.09</v>
      </c>
      <c r="G20" s="90">
        <v>44371.03</v>
      </c>
      <c r="H20" s="90">
        <v>2148.5300000000002</v>
      </c>
      <c r="I20" s="90">
        <v>0</v>
      </c>
      <c r="J20" s="90">
        <v>25606.74</v>
      </c>
      <c r="K20" s="90">
        <v>18649.07</v>
      </c>
      <c r="L20" s="90">
        <v>57470.91</v>
      </c>
      <c r="M20" s="90">
        <v>35335.18</v>
      </c>
      <c r="N20" s="90">
        <v>2308.59</v>
      </c>
      <c r="O20" s="90">
        <v>-0.36</v>
      </c>
    </row>
    <row r="21" spans="1:16" ht="12.75" customHeight="1" x14ac:dyDescent="0.25">
      <c r="A21" s="89"/>
      <c r="C21" s="90"/>
      <c r="D21" s="90"/>
      <c r="E21" s="90"/>
      <c r="F21" s="90"/>
      <c r="G21" s="90"/>
      <c r="H21" s="90"/>
      <c r="I21" s="90"/>
      <c r="J21" s="90"/>
      <c r="K21" s="90"/>
      <c r="L21" s="90"/>
      <c r="M21" s="90"/>
      <c r="N21" s="90"/>
      <c r="O21" s="90"/>
      <c r="P21" s="90"/>
    </row>
    <row r="22" spans="1:16" ht="12.75" customHeight="1" x14ac:dyDescent="0.25">
      <c r="B22" s="145" t="s">
        <v>70</v>
      </c>
      <c r="C22" s="99">
        <f>C20-I20</f>
        <v>216025.77</v>
      </c>
      <c r="D22" s="99">
        <f>D17</f>
        <v>31897.62</v>
      </c>
      <c r="E22" s="99">
        <f t="shared" ref="E22:P22" si="1">E17</f>
        <v>18572.91</v>
      </c>
      <c r="F22" s="99">
        <f t="shared" si="1"/>
        <v>8867.14</v>
      </c>
      <c r="G22" s="99">
        <f t="shared" si="1"/>
        <v>92959.49</v>
      </c>
      <c r="H22" s="99">
        <f t="shared" si="1"/>
        <v>3883.88</v>
      </c>
      <c r="I22" s="99">
        <f t="shared" si="1"/>
        <v>0</v>
      </c>
      <c r="J22" s="99">
        <f t="shared" si="1"/>
        <v>61358.09</v>
      </c>
      <c r="K22" s="99">
        <f t="shared" si="1"/>
        <v>33534.01</v>
      </c>
      <c r="L22" s="99">
        <f t="shared" si="1"/>
        <v>127815.87</v>
      </c>
      <c r="M22" s="99">
        <f t="shared" si="1"/>
        <v>64515.32</v>
      </c>
      <c r="N22" s="99">
        <f t="shared" si="1"/>
        <v>5139.92</v>
      </c>
      <c r="O22" s="99">
        <f>O17</f>
        <v>-0.36</v>
      </c>
      <c r="P22" s="99">
        <f t="shared" si="1"/>
        <v>0</v>
      </c>
    </row>
    <row r="23" spans="1:16" ht="12.75" customHeight="1" x14ac:dyDescent="0.25">
      <c r="B23" s="145" t="s">
        <v>73</v>
      </c>
      <c r="C23" s="99">
        <f>C19</f>
        <v>-232518.12</v>
      </c>
    </row>
    <row r="25" spans="1:16" x14ac:dyDescent="0.25">
      <c r="A25" s="94"/>
      <c r="B25" s="94"/>
      <c r="C25" s="146"/>
      <c r="D25" s="94"/>
      <c r="E25" s="94"/>
      <c r="F25" s="94"/>
      <c r="G25" s="94"/>
      <c r="H25" s="94"/>
      <c r="I25" s="94"/>
      <c r="J25" s="94"/>
      <c r="K25" s="94"/>
      <c r="L25" s="94"/>
      <c r="M25" s="94"/>
      <c r="N25" s="94"/>
      <c r="O25" s="94"/>
      <c r="P25" s="94"/>
    </row>
    <row r="26" spans="1:16" ht="13" x14ac:dyDescent="0.3">
      <c r="B26" s="97" t="s">
        <v>76</v>
      </c>
    </row>
    <row r="27" spans="1:16" ht="12.75" customHeight="1" x14ac:dyDescent="0.25">
      <c r="C27" s="89" t="s">
        <v>70</v>
      </c>
      <c r="D27" s="89" t="s">
        <v>64</v>
      </c>
      <c r="E27" s="89" t="s">
        <v>65</v>
      </c>
      <c r="F27" s="219" t="s">
        <v>164</v>
      </c>
      <c r="G27" s="89" t="s">
        <v>69</v>
      </c>
      <c r="H27" s="89" t="s">
        <v>68</v>
      </c>
      <c r="I27" s="89" t="s">
        <v>83</v>
      </c>
      <c r="J27" s="89" t="s">
        <v>66</v>
      </c>
      <c r="K27" s="89" t="s">
        <v>63</v>
      </c>
      <c r="L27" s="89" t="s">
        <v>61</v>
      </c>
      <c r="M27" s="89" t="s">
        <v>62</v>
      </c>
      <c r="N27" s="89" t="s">
        <v>67</v>
      </c>
      <c r="O27" s="89" t="s">
        <v>84</v>
      </c>
    </row>
    <row r="28" spans="1:16" ht="12.75" customHeight="1" x14ac:dyDescent="0.25">
      <c r="B28" s="89" t="s">
        <v>72</v>
      </c>
      <c r="C28" s="90">
        <v>93864.95</v>
      </c>
      <c r="D28" s="90">
        <v>6620.63</v>
      </c>
      <c r="E28" s="90">
        <v>3738.02</v>
      </c>
      <c r="F28" s="90">
        <v>1961.98</v>
      </c>
      <c r="G28" s="90">
        <v>20927.5</v>
      </c>
      <c r="H28" s="90">
        <v>743.08</v>
      </c>
      <c r="I28" s="90">
        <v>0</v>
      </c>
      <c r="J28" s="90">
        <v>6518.28</v>
      </c>
      <c r="K28" s="90">
        <v>6410.86</v>
      </c>
      <c r="L28" s="90">
        <v>30349.1</v>
      </c>
      <c r="M28" s="90">
        <v>15383.1</v>
      </c>
      <c r="N28" s="90">
        <v>1212.4000000000001</v>
      </c>
      <c r="O28" s="90">
        <v>0</v>
      </c>
    </row>
    <row r="29" spans="1:16" ht="12.75" customHeight="1" x14ac:dyDescent="0.25">
      <c r="A29" s="376" t="s">
        <v>78</v>
      </c>
      <c r="B29" s="376" t="s">
        <v>70</v>
      </c>
      <c r="C29" s="377">
        <v>93864.95</v>
      </c>
      <c r="D29" s="377">
        <v>6620.63</v>
      </c>
      <c r="E29" s="377">
        <v>3738.02</v>
      </c>
      <c r="F29" s="377">
        <v>1961.98</v>
      </c>
      <c r="G29" s="377">
        <v>20927.5</v>
      </c>
      <c r="H29" s="377">
        <v>743.08</v>
      </c>
      <c r="I29" s="377">
        <v>0</v>
      </c>
      <c r="J29" s="377">
        <v>6518.28</v>
      </c>
      <c r="K29" s="377">
        <v>6410.86</v>
      </c>
      <c r="L29" s="377">
        <v>30349.1</v>
      </c>
      <c r="M29" s="377">
        <v>15383.1</v>
      </c>
      <c r="N29" s="377">
        <v>1212.4000000000001</v>
      </c>
      <c r="O29" s="377">
        <v>0</v>
      </c>
      <c r="P29" s="378"/>
    </row>
    <row r="30" spans="1:16" ht="12.75" customHeight="1" x14ac:dyDescent="0.25">
      <c r="B30" s="89" t="s">
        <v>73</v>
      </c>
      <c r="C30" s="90">
        <v>10366.879999999999</v>
      </c>
      <c r="D30" s="90">
        <v>1686.92</v>
      </c>
      <c r="E30" s="90">
        <v>952.43</v>
      </c>
      <c r="F30" s="90">
        <v>499.9</v>
      </c>
      <c r="G30" s="90">
        <v>1046.3800000000001</v>
      </c>
      <c r="H30" s="90">
        <v>37.15</v>
      </c>
      <c r="I30" s="90">
        <v>0</v>
      </c>
      <c r="J30" s="90">
        <v>325.91000000000003</v>
      </c>
      <c r="K30" s="90">
        <v>320.55</v>
      </c>
      <c r="L30" s="90">
        <v>1517.46</v>
      </c>
      <c r="M30" s="90">
        <v>3919.56</v>
      </c>
      <c r="N30" s="90">
        <v>60.62</v>
      </c>
      <c r="O30" s="90">
        <v>0</v>
      </c>
    </row>
    <row r="31" spans="1:16" ht="12.75" customHeight="1" x14ac:dyDescent="0.25">
      <c r="A31" s="373" t="s">
        <v>79</v>
      </c>
      <c r="B31" s="373" t="s">
        <v>70</v>
      </c>
      <c r="C31" s="374">
        <v>10366.879999999999</v>
      </c>
      <c r="D31" s="374">
        <v>1686.92</v>
      </c>
      <c r="E31" s="374">
        <v>952.43</v>
      </c>
      <c r="F31" s="374">
        <v>499.9</v>
      </c>
      <c r="G31" s="374">
        <v>1046.3800000000001</v>
      </c>
      <c r="H31" s="374">
        <v>37.15</v>
      </c>
      <c r="I31" s="374">
        <v>0</v>
      </c>
      <c r="J31" s="374">
        <v>325.91000000000003</v>
      </c>
      <c r="K31" s="374">
        <v>320.55</v>
      </c>
      <c r="L31" s="374">
        <v>1517.46</v>
      </c>
      <c r="M31" s="374">
        <v>3919.56</v>
      </c>
      <c r="N31" s="374">
        <v>60.62</v>
      </c>
      <c r="O31" s="374">
        <v>0</v>
      </c>
      <c r="P31" s="372"/>
    </row>
    <row r="32" spans="1:16" ht="12.75" customHeight="1" x14ac:dyDescent="0.25">
      <c r="A32" s="89" t="s">
        <v>70</v>
      </c>
      <c r="C32" s="90">
        <v>104231.83</v>
      </c>
      <c r="D32" s="90">
        <v>8307.5499999999993</v>
      </c>
      <c r="E32" s="90">
        <v>4690.45</v>
      </c>
      <c r="F32" s="90">
        <v>2461.88</v>
      </c>
      <c r="G32" s="90">
        <v>21973.88</v>
      </c>
      <c r="H32" s="90">
        <v>780.23</v>
      </c>
      <c r="I32" s="90">
        <v>0</v>
      </c>
      <c r="J32" s="90">
        <v>6844.19</v>
      </c>
      <c r="K32" s="90">
        <v>6731.41</v>
      </c>
      <c r="L32" s="90">
        <v>31866.560000000001</v>
      </c>
      <c r="M32" s="90">
        <v>19302.66</v>
      </c>
      <c r="N32" s="90">
        <v>1273.02</v>
      </c>
      <c r="O32" s="90">
        <v>0</v>
      </c>
    </row>
    <row r="33" spans="1:16" ht="12.75" customHeight="1" x14ac:dyDescent="0.25">
      <c r="A33" s="89"/>
      <c r="C33" s="90"/>
      <c r="D33" s="90"/>
      <c r="E33" s="90"/>
      <c r="F33" s="90"/>
      <c r="G33" s="90"/>
      <c r="H33" s="90"/>
      <c r="I33" s="90"/>
      <c r="J33" s="90"/>
      <c r="L33" s="90"/>
      <c r="M33" s="90"/>
      <c r="N33" s="90"/>
      <c r="O33" s="90"/>
      <c r="P33" s="90"/>
    </row>
    <row r="34" spans="1:16" ht="12.75" customHeight="1" x14ac:dyDescent="0.25">
      <c r="B34" s="145" t="s">
        <v>70</v>
      </c>
      <c r="C34" s="99">
        <f>C32-I32</f>
        <v>104231.83</v>
      </c>
      <c r="D34" s="99">
        <f>D29</f>
        <v>6620.63</v>
      </c>
      <c r="E34" s="99">
        <f t="shared" ref="E34:P34" si="2">E29</f>
        <v>3738.02</v>
      </c>
      <c r="F34" s="99">
        <f t="shared" si="2"/>
        <v>1961.98</v>
      </c>
      <c r="G34" s="99">
        <f t="shared" si="2"/>
        <v>20927.5</v>
      </c>
      <c r="H34" s="99">
        <f t="shared" si="2"/>
        <v>743.08</v>
      </c>
      <c r="I34" s="99">
        <f t="shared" si="2"/>
        <v>0</v>
      </c>
      <c r="J34" s="99">
        <f t="shared" si="2"/>
        <v>6518.28</v>
      </c>
      <c r="K34" s="99">
        <f t="shared" si="2"/>
        <v>6410.86</v>
      </c>
      <c r="L34" s="99">
        <f t="shared" si="2"/>
        <v>30349.1</v>
      </c>
      <c r="M34" s="99">
        <f t="shared" si="2"/>
        <v>15383.1</v>
      </c>
      <c r="N34" s="99">
        <f t="shared" si="2"/>
        <v>1212.4000000000001</v>
      </c>
      <c r="O34" s="99">
        <f>O29</f>
        <v>0</v>
      </c>
      <c r="P34" s="99">
        <f t="shared" si="2"/>
        <v>0</v>
      </c>
    </row>
    <row r="35" spans="1:16" ht="12.75" customHeight="1" x14ac:dyDescent="0.25">
      <c r="B35" s="145" t="s">
        <v>73</v>
      </c>
      <c r="C35" s="99">
        <f>C31</f>
        <v>10366.879999999999</v>
      </c>
    </row>
    <row r="37" spans="1:16" x14ac:dyDescent="0.25">
      <c r="A37" s="94"/>
      <c r="B37" s="94"/>
      <c r="C37" s="146"/>
      <c r="D37" s="94"/>
      <c r="E37" s="94"/>
      <c r="F37" s="94"/>
      <c r="G37" s="94"/>
      <c r="H37" s="94"/>
      <c r="I37" s="94"/>
      <c r="J37" s="94"/>
      <c r="K37" s="94"/>
      <c r="L37" s="94"/>
      <c r="M37" s="94"/>
      <c r="N37" s="94"/>
      <c r="O37" s="94"/>
      <c r="P37" s="94"/>
    </row>
    <row r="38" spans="1:16" ht="13" x14ac:dyDescent="0.3">
      <c r="B38" s="97" t="s">
        <v>88</v>
      </c>
    </row>
    <row r="39" spans="1:16" ht="12.75" customHeight="1" x14ac:dyDescent="0.25">
      <c r="C39" s="89" t="s">
        <v>70</v>
      </c>
      <c r="D39" s="89" t="s">
        <v>64</v>
      </c>
      <c r="E39" s="89" t="s">
        <v>65</v>
      </c>
      <c r="F39" s="219" t="s">
        <v>164</v>
      </c>
      <c r="G39" s="89" t="s">
        <v>69</v>
      </c>
      <c r="H39" s="89" t="s">
        <v>68</v>
      </c>
      <c r="I39" s="89" t="s">
        <v>83</v>
      </c>
      <c r="J39" s="89" t="s">
        <v>66</v>
      </c>
      <c r="K39" s="89" t="s">
        <v>63</v>
      </c>
      <c r="L39" s="89" t="s">
        <v>61</v>
      </c>
      <c r="M39" s="89" t="s">
        <v>62</v>
      </c>
      <c r="N39" s="89" t="s">
        <v>67</v>
      </c>
      <c r="O39" s="89" t="s">
        <v>84</v>
      </c>
    </row>
    <row r="40" spans="1:16" ht="12.75" customHeight="1" x14ac:dyDescent="0.25">
      <c r="B40" t="s">
        <v>72</v>
      </c>
      <c r="C40" s="89">
        <v>43025.120000000003</v>
      </c>
      <c r="D40" s="89">
        <v>1890.6</v>
      </c>
      <c r="E40" s="89">
        <v>1067.43</v>
      </c>
      <c r="F40" s="384">
        <v>560.27</v>
      </c>
      <c r="G40" s="89">
        <v>10800.02</v>
      </c>
      <c r="H40" s="89">
        <v>371.66</v>
      </c>
      <c r="I40" s="89">
        <v>0</v>
      </c>
      <c r="J40" s="89">
        <v>3260.18</v>
      </c>
      <c r="K40" s="89">
        <v>3149.08</v>
      </c>
      <c r="L40" s="89">
        <v>16313.73</v>
      </c>
      <c r="M40" s="89">
        <v>5005.76</v>
      </c>
      <c r="N40" s="89">
        <v>606.39</v>
      </c>
      <c r="O40" s="89">
        <v>0</v>
      </c>
    </row>
    <row r="41" spans="1:16" ht="12.75" customHeight="1" x14ac:dyDescent="0.25">
      <c r="B41" s="89" t="s">
        <v>81</v>
      </c>
      <c r="C41" s="90">
        <v>-616.91999999999996</v>
      </c>
      <c r="D41" s="90">
        <v>0</v>
      </c>
      <c r="E41" s="90">
        <v>0</v>
      </c>
      <c r="F41" s="90">
        <v>0</v>
      </c>
      <c r="G41" s="90">
        <v>0</v>
      </c>
      <c r="H41" s="90">
        <v>0</v>
      </c>
      <c r="I41" s="90">
        <v>0</v>
      </c>
      <c r="J41" s="90">
        <v>0</v>
      </c>
      <c r="K41" s="90">
        <v>0</v>
      </c>
      <c r="L41" s="90">
        <v>-616.91999999999996</v>
      </c>
      <c r="M41" s="90">
        <v>0</v>
      </c>
      <c r="N41" s="90">
        <v>0</v>
      </c>
      <c r="O41" s="90">
        <v>0</v>
      </c>
    </row>
    <row r="42" spans="1:16" ht="12.75" customHeight="1" x14ac:dyDescent="0.25">
      <c r="A42" s="376" t="s">
        <v>78</v>
      </c>
      <c r="B42" s="376" t="s">
        <v>70</v>
      </c>
      <c r="C42" s="377">
        <v>42408.2</v>
      </c>
      <c r="D42" s="377">
        <v>1890.6</v>
      </c>
      <c r="E42" s="377">
        <v>1067.43</v>
      </c>
      <c r="F42" s="377">
        <v>560.27</v>
      </c>
      <c r="G42" s="377">
        <v>10800.02</v>
      </c>
      <c r="H42" s="377">
        <v>371.66</v>
      </c>
      <c r="I42" s="377">
        <v>0</v>
      </c>
      <c r="J42" s="377">
        <v>3260.18</v>
      </c>
      <c r="K42" s="377">
        <v>3149.08</v>
      </c>
      <c r="L42" s="377">
        <v>15696.81</v>
      </c>
      <c r="M42" s="377">
        <v>5005.76</v>
      </c>
      <c r="N42" s="377">
        <v>606.39</v>
      </c>
      <c r="O42" s="377">
        <v>0</v>
      </c>
      <c r="P42" s="378"/>
    </row>
    <row r="43" spans="1:16" ht="12.75" customHeight="1" x14ac:dyDescent="0.25">
      <c r="B43" s="89" t="s">
        <v>73</v>
      </c>
      <c r="C43" s="90">
        <v>-6453.76</v>
      </c>
      <c r="D43" s="90">
        <v>-283.58999999999997</v>
      </c>
      <c r="E43" s="90">
        <v>-160.11000000000001</v>
      </c>
      <c r="F43" s="90">
        <v>-84.04</v>
      </c>
      <c r="G43" s="90">
        <v>-1620</v>
      </c>
      <c r="H43" s="90">
        <v>-55.75</v>
      </c>
      <c r="I43" s="90">
        <v>0</v>
      </c>
      <c r="J43" s="90">
        <v>-489.03</v>
      </c>
      <c r="K43" s="90">
        <v>-472.36</v>
      </c>
      <c r="L43" s="90">
        <v>-2447.06</v>
      </c>
      <c r="M43" s="90">
        <v>-750.86</v>
      </c>
      <c r="N43" s="90">
        <v>-90.96</v>
      </c>
      <c r="O43" s="90">
        <v>0</v>
      </c>
    </row>
    <row r="44" spans="1:16" ht="12.75" customHeight="1" x14ac:dyDescent="0.25">
      <c r="A44" s="373" t="s">
        <v>79</v>
      </c>
      <c r="B44" s="373" t="s">
        <v>70</v>
      </c>
      <c r="C44" s="374">
        <v>-6453.76</v>
      </c>
      <c r="D44" s="374">
        <v>-283.58999999999997</v>
      </c>
      <c r="E44" s="374">
        <v>-160.11000000000001</v>
      </c>
      <c r="F44" s="374">
        <v>-84.04</v>
      </c>
      <c r="G44" s="374">
        <v>-1620</v>
      </c>
      <c r="H44" s="374">
        <v>-55.75</v>
      </c>
      <c r="I44" s="374">
        <v>0</v>
      </c>
      <c r="J44" s="374">
        <v>-489.03</v>
      </c>
      <c r="K44" s="374">
        <v>-472.36</v>
      </c>
      <c r="L44" s="374">
        <v>-2447.06</v>
      </c>
      <c r="M44" s="374">
        <v>-750.86</v>
      </c>
      <c r="N44" s="374">
        <v>-90.96</v>
      </c>
      <c r="O44" s="374">
        <v>0</v>
      </c>
      <c r="P44" s="372"/>
    </row>
    <row r="45" spans="1:16" ht="12.75" customHeight="1" x14ac:dyDescent="0.25">
      <c r="A45" s="89" t="s">
        <v>70</v>
      </c>
      <c r="C45" s="90">
        <v>35954.44</v>
      </c>
      <c r="D45" s="90">
        <v>1607.01</v>
      </c>
      <c r="E45" s="90">
        <v>907.32</v>
      </c>
      <c r="F45" s="90">
        <v>476.23</v>
      </c>
      <c r="G45" s="90">
        <v>9180.02</v>
      </c>
      <c r="H45" s="90">
        <v>315.91000000000003</v>
      </c>
      <c r="I45" s="90">
        <v>0</v>
      </c>
      <c r="J45" s="90">
        <v>2771.15</v>
      </c>
      <c r="K45" s="90">
        <v>2676.72</v>
      </c>
      <c r="L45" s="90">
        <v>13249.75</v>
      </c>
      <c r="M45" s="90">
        <v>4254.8999999999996</v>
      </c>
      <c r="N45" s="90">
        <v>515.42999999999995</v>
      </c>
      <c r="O45" s="90">
        <v>0</v>
      </c>
    </row>
    <row r="46" spans="1:16" ht="12.75" customHeight="1" x14ac:dyDescent="0.25">
      <c r="A46" s="89"/>
      <c r="C46" s="90"/>
      <c r="D46" s="90"/>
      <c r="E46" s="90"/>
      <c r="F46" s="90"/>
      <c r="G46" s="90"/>
      <c r="H46" s="90"/>
      <c r="I46" s="90"/>
      <c r="J46" s="90"/>
      <c r="K46" s="90"/>
      <c r="L46" s="90"/>
      <c r="M46" s="90"/>
      <c r="N46" s="90"/>
      <c r="O46" s="90"/>
      <c r="P46" s="90"/>
    </row>
    <row r="47" spans="1:16" ht="12.75" customHeight="1" x14ac:dyDescent="0.25">
      <c r="B47" s="145" t="s">
        <v>70</v>
      </c>
      <c r="C47" s="99">
        <f>C45-I45</f>
        <v>35954.44</v>
      </c>
      <c r="D47" s="99">
        <f>D42</f>
        <v>1890.6</v>
      </c>
      <c r="E47" s="99">
        <f t="shared" ref="E47:P47" si="3">E42</f>
        <v>1067.43</v>
      </c>
      <c r="F47" s="99">
        <f t="shared" si="3"/>
        <v>560.27</v>
      </c>
      <c r="G47" s="99">
        <f t="shared" si="3"/>
        <v>10800.02</v>
      </c>
      <c r="H47" s="99">
        <f t="shared" si="3"/>
        <v>371.66</v>
      </c>
      <c r="I47" s="99">
        <f t="shared" si="3"/>
        <v>0</v>
      </c>
      <c r="J47" s="99">
        <f t="shared" si="3"/>
        <v>3260.18</v>
      </c>
      <c r="K47" s="99">
        <f t="shared" si="3"/>
        <v>3149.08</v>
      </c>
      <c r="L47" s="99">
        <f t="shared" si="3"/>
        <v>15696.81</v>
      </c>
      <c r="M47" s="99">
        <f t="shared" si="3"/>
        <v>5005.76</v>
      </c>
      <c r="N47" s="99">
        <f t="shared" si="3"/>
        <v>606.39</v>
      </c>
      <c r="O47" s="99">
        <f>O42</f>
        <v>0</v>
      </c>
      <c r="P47" s="99">
        <f t="shared" si="3"/>
        <v>0</v>
      </c>
    </row>
    <row r="48" spans="1:16" ht="12.75" customHeight="1" x14ac:dyDescent="0.25">
      <c r="B48" s="145" t="s">
        <v>73</v>
      </c>
      <c r="C48" s="99">
        <f>C44</f>
        <v>-6453.76</v>
      </c>
    </row>
    <row r="50" spans="1:16" x14ac:dyDescent="0.25">
      <c r="A50" s="94"/>
      <c r="B50" s="94"/>
      <c r="C50" s="146"/>
      <c r="D50" s="94"/>
      <c r="E50" s="94"/>
      <c r="F50" s="94"/>
      <c r="G50" s="94"/>
      <c r="H50" s="94"/>
      <c r="I50" s="94"/>
      <c r="J50" s="94"/>
      <c r="K50" s="94"/>
      <c r="L50" s="94"/>
      <c r="M50" s="94"/>
      <c r="N50" s="94"/>
      <c r="O50" s="94"/>
      <c r="P50" s="94"/>
    </row>
    <row r="51" spans="1:16" ht="13" x14ac:dyDescent="0.3">
      <c r="B51" s="97" t="s">
        <v>93</v>
      </c>
    </row>
    <row r="52" spans="1:16" ht="12.75" customHeight="1" x14ac:dyDescent="0.25">
      <c r="C52" s="89" t="s">
        <v>70</v>
      </c>
      <c r="D52" s="89" t="s">
        <v>64</v>
      </c>
      <c r="E52" s="89" t="s">
        <v>65</v>
      </c>
      <c r="F52" s="219" t="s">
        <v>164</v>
      </c>
      <c r="G52" s="89" t="s">
        <v>69</v>
      </c>
      <c r="H52" s="89" t="s">
        <v>68</v>
      </c>
      <c r="I52" t="s">
        <v>83</v>
      </c>
      <c r="J52" s="89" t="s">
        <v>66</v>
      </c>
      <c r="K52" s="89" t="s">
        <v>63</v>
      </c>
      <c r="L52" s="89" t="s">
        <v>61</v>
      </c>
      <c r="M52" s="89" t="s">
        <v>62</v>
      </c>
      <c r="N52" s="89" t="s">
        <v>67</v>
      </c>
      <c r="O52" s="89" t="s">
        <v>84</v>
      </c>
    </row>
    <row r="53" spans="1:16" ht="12.75" customHeight="1" x14ac:dyDescent="0.25">
      <c r="B53" s="89" t="s">
        <v>72</v>
      </c>
      <c r="C53" s="90">
        <v>0</v>
      </c>
      <c r="D53" s="90">
        <v>0</v>
      </c>
      <c r="E53" s="90">
        <v>0</v>
      </c>
      <c r="F53" s="90">
        <v>0</v>
      </c>
      <c r="G53" s="90">
        <v>0</v>
      </c>
      <c r="H53" s="90">
        <v>0</v>
      </c>
      <c r="I53">
        <v>0</v>
      </c>
      <c r="J53" s="90">
        <v>0</v>
      </c>
      <c r="K53" s="90">
        <v>0</v>
      </c>
      <c r="L53" s="90">
        <v>0</v>
      </c>
      <c r="M53" s="90">
        <v>0</v>
      </c>
      <c r="N53" s="90">
        <v>0</v>
      </c>
      <c r="O53" s="90">
        <v>0</v>
      </c>
    </row>
    <row r="54" spans="1:16" ht="12.75" customHeight="1" x14ac:dyDescent="0.25">
      <c r="B54" s="89" t="s">
        <v>81</v>
      </c>
      <c r="C54" s="90">
        <v>0</v>
      </c>
      <c r="D54" s="90">
        <v>0</v>
      </c>
      <c r="E54" s="90">
        <v>0</v>
      </c>
      <c r="F54" s="90">
        <v>0</v>
      </c>
      <c r="G54" s="90">
        <v>0</v>
      </c>
      <c r="H54" s="90">
        <v>0</v>
      </c>
      <c r="I54">
        <v>0</v>
      </c>
      <c r="J54" s="90">
        <v>0</v>
      </c>
      <c r="K54" s="90">
        <v>0</v>
      </c>
      <c r="L54" s="90">
        <v>0</v>
      </c>
      <c r="M54" s="90">
        <v>0</v>
      </c>
      <c r="N54" s="90">
        <v>0</v>
      </c>
      <c r="O54" s="90">
        <v>0</v>
      </c>
    </row>
    <row r="55" spans="1:16" ht="12.75" customHeight="1" x14ac:dyDescent="0.25">
      <c r="A55" s="376" t="s">
        <v>78</v>
      </c>
      <c r="B55" s="376" t="s">
        <v>70</v>
      </c>
      <c r="C55" s="377">
        <v>0</v>
      </c>
      <c r="D55" s="377">
        <v>0</v>
      </c>
      <c r="E55" s="377">
        <v>0</v>
      </c>
      <c r="F55" s="377">
        <v>0</v>
      </c>
      <c r="G55" s="377">
        <v>0</v>
      </c>
      <c r="H55" s="377">
        <v>0</v>
      </c>
      <c r="I55" s="378">
        <v>0</v>
      </c>
      <c r="J55" s="377">
        <v>0</v>
      </c>
      <c r="K55" s="377">
        <v>0</v>
      </c>
      <c r="L55" s="377">
        <v>0</v>
      </c>
      <c r="M55" s="377">
        <v>0</v>
      </c>
      <c r="N55" s="377">
        <v>0</v>
      </c>
      <c r="O55" s="377">
        <v>0</v>
      </c>
      <c r="P55" s="378"/>
    </row>
    <row r="56" spans="1:16" ht="12.75" customHeight="1" x14ac:dyDescent="0.25">
      <c r="B56" s="89" t="s">
        <v>73</v>
      </c>
      <c r="C56" s="90">
        <v>0</v>
      </c>
      <c r="D56" s="90">
        <v>0</v>
      </c>
      <c r="E56" s="90">
        <v>0</v>
      </c>
      <c r="F56" s="90">
        <v>0</v>
      </c>
      <c r="G56" s="90">
        <v>0</v>
      </c>
      <c r="H56" s="90">
        <v>0</v>
      </c>
      <c r="I56">
        <v>0</v>
      </c>
      <c r="J56" s="90">
        <v>0</v>
      </c>
      <c r="K56" s="90">
        <v>0</v>
      </c>
      <c r="L56" s="90">
        <v>0</v>
      </c>
      <c r="M56" s="90">
        <v>0</v>
      </c>
      <c r="N56" s="90">
        <v>0</v>
      </c>
      <c r="O56" s="90">
        <v>0</v>
      </c>
    </row>
    <row r="57" spans="1:16" ht="12.75" customHeight="1" x14ac:dyDescent="0.25">
      <c r="A57" s="373" t="s">
        <v>79</v>
      </c>
      <c r="B57" s="373" t="s">
        <v>70</v>
      </c>
      <c r="C57" s="374">
        <v>0</v>
      </c>
      <c r="D57" s="374">
        <v>0</v>
      </c>
      <c r="E57" s="374">
        <v>0</v>
      </c>
      <c r="F57" s="374">
        <v>0</v>
      </c>
      <c r="G57" s="374">
        <v>0</v>
      </c>
      <c r="H57" s="374">
        <v>0</v>
      </c>
      <c r="I57" s="372">
        <v>0</v>
      </c>
      <c r="J57" s="374">
        <v>0</v>
      </c>
      <c r="K57" s="374">
        <v>0</v>
      </c>
      <c r="L57" s="374">
        <v>0</v>
      </c>
      <c r="M57" s="374">
        <v>0</v>
      </c>
      <c r="N57" s="374">
        <v>0</v>
      </c>
      <c r="O57" s="374">
        <v>0</v>
      </c>
      <c r="P57" s="372"/>
    </row>
    <row r="58" spans="1:16" ht="12.75" customHeight="1" x14ac:dyDescent="0.25">
      <c r="A58" s="89" t="s">
        <v>70</v>
      </c>
      <c r="C58" s="90">
        <v>0</v>
      </c>
      <c r="D58" s="90">
        <v>0</v>
      </c>
      <c r="E58" s="90">
        <v>0</v>
      </c>
      <c r="F58" s="90">
        <v>0</v>
      </c>
      <c r="G58" s="90">
        <v>0</v>
      </c>
      <c r="H58" s="90">
        <v>0</v>
      </c>
      <c r="I58">
        <v>0</v>
      </c>
      <c r="J58" s="90">
        <v>0</v>
      </c>
      <c r="K58" s="90">
        <v>0</v>
      </c>
      <c r="L58" s="90">
        <v>0</v>
      </c>
      <c r="M58" s="90">
        <v>0</v>
      </c>
      <c r="N58" s="90">
        <v>0</v>
      </c>
      <c r="O58" s="90">
        <v>0</v>
      </c>
    </row>
    <row r="60" spans="1:16" ht="12.75" customHeight="1" x14ac:dyDescent="0.25">
      <c r="B60" s="145" t="s">
        <v>70</v>
      </c>
      <c r="C60" s="99">
        <f>C58-I58</f>
        <v>0</v>
      </c>
      <c r="D60" s="99">
        <f>D55</f>
        <v>0</v>
      </c>
      <c r="E60" s="99">
        <f t="shared" ref="E60:P60" si="4">E55</f>
        <v>0</v>
      </c>
      <c r="F60" s="99">
        <f t="shared" si="4"/>
        <v>0</v>
      </c>
      <c r="G60" s="99">
        <f t="shared" si="4"/>
        <v>0</v>
      </c>
      <c r="H60" s="99">
        <f t="shared" si="4"/>
        <v>0</v>
      </c>
      <c r="I60" s="99">
        <f t="shared" si="4"/>
        <v>0</v>
      </c>
      <c r="J60" s="99">
        <f t="shared" si="4"/>
        <v>0</v>
      </c>
      <c r="K60" s="99">
        <f t="shared" si="4"/>
        <v>0</v>
      </c>
      <c r="L60" s="99">
        <f t="shared" si="4"/>
        <v>0</v>
      </c>
      <c r="M60" s="99">
        <f t="shared" si="4"/>
        <v>0</v>
      </c>
      <c r="N60" s="99">
        <f t="shared" si="4"/>
        <v>0</v>
      </c>
      <c r="O60" s="99">
        <f t="shared" si="4"/>
        <v>0</v>
      </c>
      <c r="P60" s="99">
        <f t="shared" si="4"/>
        <v>0</v>
      </c>
    </row>
    <row r="61" spans="1:16" ht="12.75" customHeight="1" x14ac:dyDescent="0.25">
      <c r="B61" s="145" t="s">
        <v>73</v>
      </c>
      <c r="C61" s="99">
        <f>C57</f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O62"/>
  <sheetViews>
    <sheetView zoomScale="90" zoomScaleNormal="90" workbookViewId="0">
      <pane ySplit="2" topLeftCell="A6" activePane="bottomLeft" state="frozen"/>
      <selection activeCell="C50" sqref="C50"/>
      <selection pane="bottomLeft"/>
    </sheetView>
  </sheetViews>
  <sheetFormatPr baseColWidth="10" defaultRowHeight="12.5" x14ac:dyDescent="0.25"/>
  <cols>
    <col min="2" max="2" width="24.453125" bestFit="1" customWidth="1"/>
    <col min="3" max="3" width="15.1796875" style="144" bestFit="1" customWidth="1"/>
    <col min="4" max="4" width="23.1796875" bestFit="1" customWidth="1"/>
    <col min="5" max="5" width="15.81640625" bestFit="1" customWidth="1"/>
    <col min="6" max="6" width="16.54296875" customWidth="1"/>
    <col min="7" max="7" width="15.453125" bestFit="1" customWidth="1"/>
    <col min="8" max="8" width="15" bestFit="1" customWidth="1"/>
    <col min="9" max="10" width="15" customWidth="1"/>
    <col min="11" max="11" width="15.1796875" bestFit="1" customWidth="1"/>
    <col min="12" max="12" width="17" bestFit="1" customWidth="1"/>
    <col min="13" max="14" width="15.54296875" bestFit="1" customWidth="1"/>
    <col min="15" max="15" width="15.1796875" bestFit="1" customWidth="1"/>
  </cols>
  <sheetData>
    <row r="1" spans="1:15" ht="13" x14ac:dyDescent="0.3">
      <c r="B1" s="97" t="s">
        <v>74</v>
      </c>
    </row>
    <row r="2" spans="1:15" ht="12.75" customHeight="1" x14ac:dyDescent="0.25">
      <c r="C2" s="89" t="s">
        <v>70</v>
      </c>
      <c r="D2" s="89" t="s">
        <v>64</v>
      </c>
      <c r="E2" s="89" t="s">
        <v>65</v>
      </c>
      <c r="F2" s="375" t="s">
        <v>164</v>
      </c>
      <c r="G2" s="89" t="s">
        <v>69</v>
      </c>
      <c r="H2" s="89" t="s">
        <v>68</v>
      </c>
      <c r="I2" s="89" t="s">
        <v>83</v>
      </c>
      <c r="J2" s="89" t="s">
        <v>66</v>
      </c>
      <c r="K2" s="89" t="s">
        <v>63</v>
      </c>
      <c r="L2" s="89" t="s">
        <v>61</v>
      </c>
      <c r="M2" s="89" t="s">
        <v>62</v>
      </c>
      <c r="N2" s="89" t="s">
        <v>67</v>
      </c>
      <c r="O2" s="89" t="s">
        <v>84</v>
      </c>
    </row>
    <row r="3" spans="1:15" ht="12.75" customHeight="1" x14ac:dyDescent="0.25">
      <c r="B3" t="s">
        <v>81</v>
      </c>
      <c r="C3" s="89">
        <v>0</v>
      </c>
      <c r="D3" s="89">
        <v>0</v>
      </c>
      <c r="E3" s="89">
        <v>0</v>
      </c>
      <c r="F3" s="89">
        <v>0</v>
      </c>
      <c r="G3" s="89">
        <v>0</v>
      </c>
      <c r="H3" s="89">
        <v>0</v>
      </c>
      <c r="I3" s="89">
        <v>0</v>
      </c>
      <c r="J3" s="89">
        <v>0</v>
      </c>
      <c r="K3" s="89">
        <v>0</v>
      </c>
      <c r="L3" s="89">
        <v>0</v>
      </c>
      <c r="M3" s="89">
        <v>0</v>
      </c>
      <c r="N3" s="89">
        <v>0</v>
      </c>
      <c r="O3" s="89">
        <v>0</v>
      </c>
    </row>
    <row r="4" spans="1:15" ht="12.75" customHeight="1" x14ac:dyDescent="0.25">
      <c r="B4" s="89" t="s">
        <v>72</v>
      </c>
      <c r="C4" s="90">
        <v>0</v>
      </c>
      <c r="D4" s="90">
        <v>0</v>
      </c>
      <c r="E4" s="90">
        <v>0</v>
      </c>
      <c r="F4" s="90">
        <v>0</v>
      </c>
      <c r="G4" s="90">
        <v>0</v>
      </c>
      <c r="H4" s="90">
        <v>0</v>
      </c>
      <c r="I4" s="90">
        <v>0</v>
      </c>
      <c r="J4" s="90">
        <v>0</v>
      </c>
      <c r="K4" s="90">
        <v>0</v>
      </c>
      <c r="L4" s="90">
        <v>0</v>
      </c>
      <c r="M4" s="90">
        <v>0</v>
      </c>
      <c r="N4" s="90">
        <v>0</v>
      </c>
      <c r="O4" s="90">
        <v>0</v>
      </c>
    </row>
    <row r="5" spans="1:15" s="378" customFormat="1" ht="12.75" customHeight="1" x14ac:dyDescent="0.25">
      <c r="A5" s="376" t="s">
        <v>78</v>
      </c>
      <c r="B5" s="376" t="s">
        <v>70</v>
      </c>
      <c r="C5" s="377">
        <v>0</v>
      </c>
      <c r="D5" s="377">
        <v>0</v>
      </c>
      <c r="E5" s="377">
        <v>0</v>
      </c>
      <c r="F5" s="377">
        <v>0</v>
      </c>
      <c r="G5" s="377">
        <v>0</v>
      </c>
      <c r="H5" s="377">
        <v>0</v>
      </c>
      <c r="I5" s="377">
        <v>0</v>
      </c>
      <c r="J5" s="377">
        <v>0</v>
      </c>
      <c r="K5" s="377">
        <v>0</v>
      </c>
      <c r="L5" s="377">
        <v>0</v>
      </c>
      <c r="M5" s="377">
        <v>0</v>
      </c>
      <c r="N5" s="377">
        <v>0</v>
      </c>
      <c r="O5" s="377">
        <v>0</v>
      </c>
    </row>
    <row r="6" spans="1:15" ht="12.75" customHeight="1" x14ac:dyDescent="0.25">
      <c r="B6" s="89" t="s">
        <v>73</v>
      </c>
      <c r="C6" s="90">
        <v>0</v>
      </c>
      <c r="D6" s="90">
        <v>0</v>
      </c>
      <c r="E6" s="90">
        <v>0</v>
      </c>
      <c r="F6" s="90">
        <v>0</v>
      </c>
      <c r="G6" s="90">
        <v>0</v>
      </c>
      <c r="H6" s="90">
        <v>0</v>
      </c>
      <c r="I6" s="90">
        <v>0</v>
      </c>
      <c r="J6" s="90">
        <v>0</v>
      </c>
      <c r="K6" s="90">
        <v>0</v>
      </c>
      <c r="L6" s="90">
        <v>0</v>
      </c>
      <c r="M6" s="90">
        <v>0</v>
      </c>
      <c r="N6" s="90">
        <v>0</v>
      </c>
      <c r="O6" s="90">
        <v>0</v>
      </c>
    </row>
    <row r="7" spans="1:15" s="372" customFormat="1" ht="12.75" customHeight="1" x14ac:dyDescent="0.25">
      <c r="A7" s="373" t="s">
        <v>79</v>
      </c>
      <c r="B7" s="373" t="s">
        <v>70</v>
      </c>
      <c r="C7" s="374">
        <v>0</v>
      </c>
      <c r="D7" s="374">
        <v>0</v>
      </c>
      <c r="E7" s="374">
        <v>0</v>
      </c>
      <c r="F7" s="374">
        <v>0</v>
      </c>
      <c r="G7" s="374">
        <v>0</v>
      </c>
      <c r="H7" s="374">
        <v>0</v>
      </c>
      <c r="I7" s="374">
        <v>0</v>
      </c>
      <c r="J7" s="374">
        <v>0</v>
      </c>
      <c r="K7" s="374">
        <v>0</v>
      </c>
      <c r="L7" s="374">
        <v>0</v>
      </c>
      <c r="M7" s="374">
        <v>0</v>
      </c>
      <c r="N7" s="374">
        <v>0</v>
      </c>
      <c r="O7" s="374">
        <v>0</v>
      </c>
    </row>
    <row r="8" spans="1:15" ht="12.75" customHeight="1" x14ac:dyDescent="0.25">
      <c r="A8" s="89" t="s">
        <v>70</v>
      </c>
      <c r="C8" s="90">
        <v>0</v>
      </c>
      <c r="D8" s="90">
        <v>0</v>
      </c>
      <c r="E8" s="90">
        <v>0</v>
      </c>
      <c r="F8" s="90">
        <v>0</v>
      </c>
      <c r="G8" s="90">
        <v>0</v>
      </c>
      <c r="H8" s="90">
        <v>0</v>
      </c>
      <c r="I8" s="90">
        <v>0</v>
      </c>
      <c r="J8" s="90">
        <v>0</v>
      </c>
      <c r="K8" s="90">
        <v>0</v>
      </c>
      <c r="L8" s="90">
        <v>0</v>
      </c>
      <c r="M8" s="90">
        <v>0</v>
      </c>
      <c r="N8" s="90">
        <v>0</v>
      </c>
      <c r="O8" s="90">
        <v>0</v>
      </c>
    </row>
    <row r="9" spans="1:15" ht="12.75" customHeight="1" x14ac:dyDescent="0.25">
      <c r="A9" s="89"/>
      <c r="C9" s="90"/>
      <c r="D9" s="90"/>
      <c r="E9" s="90"/>
      <c r="F9" s="90"/>
      <c r="G9" s="90"/>
      <c r="H9" s="90"/>
      <c r="I9" s="90"/>
      <c r="J9" s="90"/>
      <c r="K9" s="90"/>
      <c r="L9" s="90"/>
      <c r="M9" s="90"/>
      <c r="O9" s="90"/>
    </row>
    <row r="10" spans="1:15" ht="12.75" customHeight="1" x14ac:dyDescent="0.25">
      <c r="B10" s="145" t="s">
        <v>70</v>
      </c>
      <c r="C10" s="99">
        <f>C8-I8</f>
        <v>0</v>
      </c>
      <c r="D10" s="99">
        <f>D5</f>
        <v>0</v>
      </c>
      <c r="E10" s="99">
        <f t="shared" ref="E10:O10" si="0">E5</f>
        <v>0</v>
      </c>
      <c r="F10" s="99">
        <f t="shared" si="0"/>
        <v>0</v>
      </c>
      <c r="G10" s="99">
        <f t="shared" si="0"/>
        <v>0</v>
      </c>
      <c r="H10" s="99">
        <f t="shared" si="0"/>
        <v>0</v>
      </c>
      <c r="I10" s="99">
        <f t="shared" si="0"/>
        <v>0</v>
      </c>
      <c r="J10" s="99">
        <f t="shared" si="0"/>
        <v>0</v>
      </c>
      <c r="K10" s="99">
        <f t="shared" si="0"/>
        <v>0</v>
      </c>
      <c r="L10" s="99">
        <f t="shared" si="0"/>
        <v>0</v>
      </c>
      <c r="M10" s="99">
        <f t="shared" si="0"/>
        <v>0</v>
      </c>
      <c r="N10" s="99">
        <f t="shared" si="0"/>
        <v>0</v>
      </c>
      <c r="O10" s="99">
        <f t="shared" si="0"/>
        <v>0</v>
      </c>
    </row>
    <row r="11" spans="1:15" ht="12.75" customHeight="1" x14ac:dyDescent="0.25">
      <c r="B11" s="145" t="s">
        <v>73</v>
      </c>
      <c r="C11" s="99">
        <f>C7</f>
        <v>0</v>
      </c>
    </row>
    <row r="13" spans="1:15" x14ac:dyDescent="0.25">
      <c r="A13" s="94"/>
      <c r="B13" s="94"/>
      <c r="C13" s="146"/>
      <c r="D13" s="94"/>
      <c r="E13" s="94"/>
      <c r="F13" s="94"/>
      <c r="G13" s="94"/>
      <c r="H13" s="94"/>
      <c r="I13" s="94"/>
      <c r="J13" s="94"/>
      <c r="K13" s="94"/>
      <c r="L13" s="94"/>
      <c r="M13" s="94"/>
      <c r="N13" s="94"/>
      <c r="O13" s="94"/>
    </row>
    <row r="14" spans="1:15" ht="13" x14ac:dyDescent="0.3">
      <c r="B14" s="97" t="s">
        <v>75</v>
      </c>
    </row>
    <row r="15" spans="1:15" ht="12.75" customHeight="1" x14ac:dyDescent="0.25">
      <c r="C15" s="89" t="s">
        <v>70</v>
      </c>
      <c r="D15" s="89" t="s">
        <v>64</v>
      </c>
      <c r="E15" s="89" t="s">
        <v>65</v>
      </c>
      <c r="F15" s="375" t="s">
        <v>164</v>
      </c>
      <c r="G15" s="89" t="s">
        <v>69</v>
      </c>
      <c r="H15" s="89" t="s">
        <v>68</v>
      </c>
      <c r="I15" s="89" t="s">
        <v>83</v>
      </c>
      <c r="J15" s="89" t="s">
        <v>66</v>
      </c>
      <c r="K15" s="89" t="s">
        <v>63</v>
      </c>
      <c r="L15" s="89" t="s">
        <v>61</v>
      </c>
      <c r="M15" s="89" t="s">
        <v>62</v>
      </c>
      <c r="N15" s="89" t="s">
        <v>67</v>
      </c>
      <c r="O15" s="89" t="s">
        <v>84</v>
      </c>
    </row>
    <row r="16" spans="1:15" ht="12.75" customHeight="1" x14ac:dyDescent="0.25">
      <c r="B16" s="89" t="s">
        <v>81</v>
      </c>
      <c r="C16" s="90">
        <v>0</v>
      </c>
      <c r="D16" s="90">
        <v>0</v>
      </c>
      <c r="E16" s="90">
        <v>0</v>
      </c>
      <c r="F16" s="90">
        <v>0</v>
      </c>
      <c r="G16" s="90">
        <v>0</v>
      </c>
      <c r="H16" s="90">
        <v>0</v>
      </c>
      <c r="I16">
        <v>0</v>
      </c>
      <c r="J16" s="90">
        <v>0</v>
      </c>
      <c r="K16" s="90">
        <v>0</v>
      </c>
      <c r="L16" s="90">
        <v>0</v>
      </c>
      <c r="M16" s="90">
        <v>0</v>
      </c>
      <c r="N16" s="90">
        <v>0</v>
      </c>
      <c r="O16" s="90">
        <v>0</v>
      </c>
    </row>
    <row r="17" spans="1:15" ht="12.75" customHeight="1" x14ac:dyDescent="0.25">
      <c r="B17" s="89" t="s">
        <v>72</v>
      </c>
      <c r="C17" s="90">
        <v>0</v>
      </c>
      <c r="D17" s="90">
        <v>0</v>
      </c>
      <c r="E17" s="90">
        <v>0</v>
      </c>
      <c r="F17" s="90">
        <v>0</v>
      </c>
      <c r="G17" s="90">
        <v>0</v>
      </c>
      <c r="H17" s="90">
        <v>0</v>
      </c>
      <c r="I17">
        <v>0</v>
      </c>
      <c r="J17" s="90">
        <v>0</v>
      </c>
      <c r="K17" s="90">
        <v>0</v>
      </c>
      <c r="L17" s="90">
        <v>0</v>
      </c>
      <c r="M17" s="90">
        <v>0</v>
      </c>
      <c r="N17" s="90">
        <v>0</v>
      </c>
      <c r="O17" s="90">
        <v>0</v>
      </c>
    </row>
    <row r="18" spans="1:15" s="378" customFormat="1" ht="12.75" customHeight="1" x14ac:dyDescent="0.25">
      <c r="A18" s="376" t="s">
        <v>78</v>
      </c>
      <c r="B18" s="376" t="s">
        <v>70</v>
      </c>
      <c r="C18" s="377">
        <v>0</v>
      </c>
      <c r="D18" s="377">
        <v>0</v>
      </c>
      <c r="E18" s="377">
        <v>0</v>
      </c>
      <c r="F18" s="377">
        <v>0</v>
      </c>
      <c r="G18" s="377">
        <v>0</v>
      </c>
      <c r="H18" s="377">
        <v>0</v>
      </c>
      <c r="I18" s="378">
        <v>0</v>
      </c>
      <c r="J18" s="377">
        <v>0</v>
      </c>
      <c r="K18" s="377">
        <v>0</v>
      </c>
      <c r="L18" s="377">
        <v>0</v>
      </c>
      <c r="M18" s="377">
        <v>0</v>
      </c>
      <c r="N18" s="377">
        <v>0</v>
      </c>
      <c r="O18" s="377">
        <v>0</v>
      </c>
    </row>
    <row r="19" spans="1:15" ht="12.75" customHeight="1" x14ac:dyDescent="0.25">
      <c r="B19" s="89" t="s">
        <v>73</v>
      </c>
      <c r="C19" s="90">
        <v>0</v>
      </c>
      <c r="D19" s="90">
        <v>0</v>
      </c>
      <c r="E19" s="90">
        <v>0</v>
      </c>
      <c r="F19" s="90">
        <v>0</v>
      </c>
      <c r="G19" s="90">
        <v>0</v>
      </c>
      <c r="H19" s="90">
        <v>0</v>
      </c>
      <c r="I19">
        <v>0</v>
      </c>
      <c r="J19" s="90">
        <v>0</v>
      </c>
      <c r="K19" s="90">
        <v>0</v>
      </c>
      <c r="L19" s="90">
        <v>0</v>
      </c>
      <c r="M19" s="90">
        <v>0</v>
      </c>
      <c r="N19" s="90">
        <v>0</v>
      </c>
      <c r="O19" s="90">
        <v>0</v>
      </c>
    </row>
    <row r="20" spans="1:15" s="372" customFormat="1" ht="12.75" customHeight="1" x14ac:dyDescent="0.25">
      <c r="A20" s="373" t="s">
        <v>79</v>
      </c>
      <c r="B20" s="373" t="s">
        <v>70</v>
      </c>
      <c r="C20" s="374">
        <v>0</v>
      </c>
      <c r="D20" s="374">
        <v>0</v>
      </c>
      <c r="E20" s="374">
        <v>0</v>
      </c>
      <c r="F20" s="374">
        <v>0</v>
      </c>
      <c r="G20" s="374">
        <v>0</v>
      </c>
      <c r="H20" s="374">
        <v>0</v>
      </c>
      <c r="I20" s="372">
        <v>0</v>
      </c>
      <c r="J20" s="374">
        <v>0</v>
      </c>
      <c r="K20" s="374">
        <v>0</v>
      </c>
      <c r="L20" s="374">
        <v>0</v>
      </c>
      <c r="M20" s="374">
        <v>0</v>
      </c>
      <c r="N20" s="374">
        <v>0</v>
      </c>
      <c r="O20" s="374">
        <v>0</v>
      </c>
    </row>
    <row r="21" spans="1:15" ht="12.75" customHeight="1" x14ac:dyDescent="0.25">
      <c r="A21" s="89" t="s">
        <v>70</v>
      </c>
      <c r="C21" s="90">
        <v>0</v>
      </c>
      <c r="D21" s="90">
        <v>0</v>
      </c>
      <c r="E21" s="90">
        <v>0</v>
      </c>
      <c r="F21" s="90">
        <v>0</v>
      </c>
      <c r="G21" s="90">
        <v>0</v>
      </c>
      <c r="H21" s="90">
        <v>0</v>
      </c>
      <c r="I21">
        <v>0</v>
      </c>
      <c r="J21" s="90">
        <v>0</v>
      </c>
      <c r="K21" s="90">
        <v>0</v>
      </c>
      <c r="L21" s="90">
        <v>0</v>
      </c>
      <c r="M21" s="90">
        <v>0</v>
      </c>
      <c r="N21" s="90">
        <v>0</v>
      </c>
      <c r="O21" s="90">
        <v>0</v>
      </c>
    </row>
    <row r="22" spans="1:15" ht="12.75" customHeight="1" x14ac:dyDescent="0.25">
      <c r="A22" s="89"/>
      <c r="C22" s="90"/>
      <c r="D22" s="90"/>
      <c r="E22" s="90"/>
      <c r="F22" s="90"/>
      <c r="G22" s="90"/>
      <c r="H22" s="90"/>
      <c r="J22" s="90"/>
      <c r="K22" s="90"/>
      <c r="L22" s="90"/>
      <c r="M22" s="90"/>
      <c r="N22" s="90"/>
    </row>
    <row r="23" spans="1:15" ht="12.75" customHeight="1" x14ac:dyDescent="0.25">
      <c r="B23" s="145" t="s">
        <v>70</v>
      </c>
      <c r="C23" s="99">
        <f>C21-I21</f>
        <v>0</v>
      </c>
      <c r="D23" s="99">
        <f>D18</f>
        <v>0</v>
      </c>
      <c r="E23" s="99">
        <f t="shared" ref="E23:O23" si="1">E18</f>
        <v>0</v>
      </c>
      <c r="F23" s="99">
        <f t="shared" si="1"/>
        <v>0</v>
      </c>
      <c r="G23" s="99">
        <f t="shared" si="1"/>
        <v>0</v>
      </c>
      <c r="H23" s="99">
        <f t="shared" si="1"/>
        <v>0</v>
      </c>
      <c r="I23" s="99">
        <f t="shared" si="1"/>
        <v>0</v>
      </c>
      <c r="J23" s="99">
        <f t="shared" si="1"/>
        <v>0</v>
      </c>
      <c r="K23" s="99">
        <f t="shared" si="1"/>
        <v>0</v>
      </c>
      <c r="L23" s="99">
        <f t="shared" si="1"/>
        <v>0</v>
      </c>
      <c r="M23" s="99">
        <f t="shared" si="1"/>
        <v>0</v>
      </c>
      <c r="N23" s="99">
        <f t="shared" si="1"/>
        <v>0</v>
      </c>
      <c r="O23" s="99">
        <f t="shared" si="1"/>
        <v>0</v>
      </c>
    </row>
    <row r="24" spans="1:15" ht="12.75" customHeight="1" x14ac:dyDescent="0.25">
      <c r="B24" s="145" t="s">
        <v>73</v>
      </c>
      <c r="C24" s="99">
        <f>C20</f>
        <v>0</v>
      </c>
    </row>
    <row r="26" spans="1:15" x14ac:dyDescent="0.25">
      <c r="A26" s="94"/>
      <c r="B26" s="94"/>
      <c r="C26" s="146"/>
      <c r="D26" s="94"/>
      <c r="E26" s="94"/>
      <c r="F26" s="94"/>
      <c r="G26" s="94"/>
      <c r="H26" s="94"/>
      <c r="I26" s="94"/>
      <c r="J26" s="94"/>
      <c r="K26" s="94"/>
      <c r="L26" s="94"/>
      <c r="M26" s="94"/>
      <c r="N26" s="94"/>
      <c r="O26" s="94"/>
    </row>
    <row r="27" spans="1:15" ht="13" x14ac:dyDescent="0.3">
      <c r="B27" s="97" t="s">
        <v>76</v>
      </c>
    </row>
    <row r="28" spans="1:15" ht="12.75" customHeight="1" x14ac:dyDescent="0.25">
      <c r="C28" s="89" t="s">
        <v>70</v>
      </c>
      <c r="D28" s="89" t="s">
        <v>64</v>
      </c>
      <c r="E28" s="89" t="s">
        <v>65</v>
      </c>
      <c r="F28" s="375" t="s">
        <v>164</v>
      </c>
      <c r="G28" s="89" t="s">
        <v>69</v>
      </c>
      <c r="H28" s="89" t="s">
        <v>68</v>
      </c>
      <c r="I28" s="89" t="s">
        <v>83</v>
      </c>
      <c r="J28" s="89" t="s">
        <v>66</v>
      </c>
      <c r="K28" s="89" t="s">
        <v>63</v>
      </c>
      <c r="L28" s="89" t="s">
        <v>61</v>
      </c>
      <c r="M28" s="89" t="s">
        <v>62</v>
      </c>
      <c r="N28" s="89" t="s">
        <v>67</v>
      </c>
      <c r="O28" s="89" t="s">
        <v>84</v>
      </c>
    </row>
    <row r="29" spans="1:15" ht="12.75" customHeight="1" x14ac:dyDescent="0.25">
      <c r="B29" t="s">
        <v>81</v>
      </c>
      <c r="C29" s="89">
        <v>0</v>
      </c>
      <c r="D29" s="89">
        <v>0</v>
      </c>
      <c r="E29" s="89">
        <v>0</v>
      </c>
      <c r="F29" s="89">
        <v>0</v>
      </c>
      <c r="G29" s="89">
        <v>0</v>
      </c>
      <c r="H29" s="89">
        <v>0</v>
      </c>
      <c r="I29" s="89">
        <v>0</v>
      </c>
      <c r="J29" s="89">
        <v>0</v>
      </c>
      <c r="K29" s="89">
        <v>0</v>
      </c>
      <c r="L29" s="89">
        <v>0</v>
      </c>
      <c r="M29" s="89">
        <v>0</v>
      </c>
      <c r="N29" s="89">
        <v>0</v>
      </c>
      <c r="O29" s="89">
        <v>0</v>
      </c>
    </row>
    <row r="30" spans="1:15" ht="12.75" customHeight="1" x14ac:dyDescent="0.25">
      <c r="B30" s="89" t="s">
        <v>72</v>
      </c>
      <c r="C30" s="90">
        <v>0</v>
      </c>
      <c r="D30" s="90">
        <v>0</v>
      </c>
      <c r="E30" s="90">
        <v>0</v>
      </c>
      <c r="F30" s="90">
        <v>0</v>
      </c>
      <c r="G30" s="90">
        <v>0</v>
      </c>
      <c r="H30" s="90">
        <v>0</v>
      </c>
      <c r="I30" s="90">
        <v>0</v>
      </c>
      <c r="J30" s="90">
        <v>0</v>
      </c>
      <c r="K30" s="90">
        <v>0</v>
      </c>
      <c r="L30" s="90">
        <v>0</v>
      </c>
      <c r="M30" s="90">
        <v>0</v>
      </c>
      <c r="N30" s="90">
        <v>0</v>
      </c>
      <c r="O30" s="90">
        <v>0</v>
      </c>
    </row>
    <row r="31" spans="1:15" s="378" customFormat="1" ht="12.75" customHeight="1" x14ac:dyDescent="0.25">
      <c r="A31" s="376" t="s">
        <v>78</v>
      </c>
      <c r="B31" s="376" t="s">
        <v>70</v>
      </c>
      <c r="C31" s="377">
        <v>0</v>
      </c>
      <c r="D31" s="377">
        <v>0</v>
      </c>
      <c r="E31" s="377">
        <v>0</v>
      </c>
      <c r="F31" s="377">
        <v>0</v>
      </c>
      <c r="G31" s="377">
        <v>0</v>
      </c>
      <c r="H31" s="377">
        <v>0</v>
      </c>
      <c r="I31" s="377">
        <v>0</v>
      </c>
      <c r="J31" s="377">
        <v>0</v>
      </c>
      <c r="K31" s="377">
        <v>0</v>
      </c>
      <c r="L31" s="377">
        <v>0</v>
      </c>
      <c r="M31" s="377">
        <v>0</v>
      </c>
      <c r="N31" s="377">
        <v>0</v>
      </c>
      <c r="O31" s="377">
        <v>0</v>
      </c>
    </row>
    <row r="32" spans="1:15" ht="12.75" customHeight="1" x14ac:dyDescent="0.25">
      <c r="B32" s="89" t="s">
        <v>73</v>
      </c>
      <c r="C32" s="90">
        <v>0</v>
      </c>
      <c r="D32" s="90">
        <v>0</v>
      </c>
      <c r="E32" s="90">
        <v>0</v>
      </c>
      <c r="F32" s="90">
        <v>0</v>
      </c>
      <c r="G32" s="90">
        <v>0</v>
      </c>
      <c r="H32" s="90">
        <v>0</v>
      </c>
      <c r="I32" s="90">
        <v>0</v>
      </c>
      <c r="J32" s="90">
        <v>0</v>
      </c>
      <c r="K32" s="90">
        <v>0</v>
      </c>
      <c r="L32" s="90">
        <v>0</v>
      </c>
      <c r="M32" s="90">
        <v>0</v>
      </c>
      <c r="N32" s="90">
        <v>0</v>
      </c>
      <c r="O32" s="90">
        <v>0</v>
      </c>
    </row>
    <row r="33" spans="1:15" s="372" customFormat="1" ht="12.75" customHeight="1" x14ac:dyDescent="0.25">
      <c r="A33" s="373" t="s">
        <v>79</v>
      </c>
      <c r="B33" s="373" t="s">
        <v>70</v>
      </c>
      <c r="C33" s="374">
        <v>0</v>
      </c>
      <c r="D33" s="374">
        <v>0</v>
      </c>
      <c r="E33" s="374">
        <v>0</v>
      </c>
      <c r="F33" s="374">
        <v>0</v>
      </c>
      <c r="G33" s="374">
        <v>0</v>
      </c>
      <c r="H33" s="374">
        <v>0</v>
      </c>
      <c r="I33" s="374">
        <v>0</v>
      </c>
      <c r="J33" s="374">
        <v>0</v>
      </c>
      <c r="K33" s="374">
        <v>0</v>
      </c>
      <c r="L33" s="374">
        <v>0</v>
      </c>
      <c r="M33" s="374">
        <v>0</v>
      </c>
      <c r="N33" s="374">
        <v>0</v>
      </c>
      <c r="O33" s="374">
        <v>0</v>
      </c>
    </row>
    <row r="34" spans="1:15" ht="12.75" customHeight="1" x14ac:dyDescent="0.25">
      <c r="A34" s="89" t="s">
        <v>70</v>
      </c>
      <c r="C34" s="90">
        <v>0</v>
      </c>
      <c r="D34" s="90">
        <v>0</v>
      </c>
      <c r="E34" s="90">
        <v>0</v>
      </c>
      <c r="F34" s="90">
        <v>0</v>
      </c>
      <c r="G34" s="90">
        <v>0</v>
      </c>
      <c r="H34" s="90">
        <v>0</v>
      </c>
      <c r="I34" s="90">
        <v>0</v>
      </c>
      <c r="J34" s="90">
        <v>0</v>
      </c>
      <c r="K34" s="90">
        <v>0</v>
      </c>
      <c r="L34" s="90">
        <v>0</v>
      </c>
      <c r="M34" s="90">
        <v>0</v>
      </c>
      <c r="N34" s="90">
        <v>0</v>
      </c>
      <c r="O34" s="90">
        <v>0</v>
      </c>
    </row>
    <row r="35" spans="1:15" ht="12.75" customHeight="1" x14ac:dyDescent="0.25">
      <c r="A35" s="89"/>
      <c r="C35" s="90"/>
      <c r="D35" s="90"/>
      <c r="E35" s="90"/>
      <c r="F35" s="90"/>
      <c r="G35" s="90"/>
      <c r="H35" s="90"/>
      <c r="I35" s="90"/>
      <c r="J35" s="90"/>
      <c r="K35" s="90"/>
      <c r="L35" s="90"/>
      <c r="M35" s="90"/>
      <c r="O35" s="90"/>
    </row>
    <row r="36" spans="1:15" ht="12.75" customHeight="1" x14ac:dyDescent="0.25">
      <c r="B36" s="145" t="s">
        <v>70</v>
      </c>
      <c r="C36" s="99">
        <f>C34-I34</f>
        <v>0</v>
      </c>
      <c r="D36" s="99">
        <f>D31</f>
        <v>0</v>
      </c>
      <c r="E36" s="99">
        <f t="shared" ref="E36:O36" si="2">E31</f>
        <v>0</v>
      </c>
      <c r="F36" s="99">
        <f t="shared" si="2"/>
        <v>0</v>
      </c>
      <c r="G36" s="99">
        <f t="shared" si="2"/>
        <v>0</v>
      </c>
      <c r="H36" s="99">
        <f t="shared" si="2"/>
        <v>0</v>
      </c>
      <c r="I36" s="99">
        <f t="shared" si="2"/>
        <v>0</v>
      </c>
      <c r="J36" s="99">
        <f t="shared" si="2"/>
        <v>0</v>
      </c>
      <c r="K36" s="99">
        <f t="shared" si="2"/>
        <v>0</v>
      </c>
      <c r="L36" s="99">
        <f t="shared" si="2"/>
        <v>0</v>
      </c>
      <c r="M36" s="99">
        <f t="shared" si="2"/>
        <v>0</v>
      </c>
      <c r="N36" s="99">
        <f t="shared" si="2"/>
        <v>0</v>
      </c>
      <c r="O36" s="99">
        <f t="shared" si="2"/>
        <v>0</v>
      </c>
    </row>
    <row r="37" spans="1:15" ht="12.75" customHeight="1" x14ac:dyDescent="0.25">
      <c r="B37" s="145" t="s">
        <v>73</v>
      </c>
      <c r="C37" s="99">
        <f>C33</f>
        <v>0</v>
      </c>
    </row>
    <row r="39" spans="1:15" x14ac:dyDescent="0.25">
      <c r="A39" s="94"/>
      <c r="B39" s="94"/>
      <c r="C39" s="146"/>
      <c r="D39" s="94"/>
      <c r="E39" s="94"/>
      <c r="F39" s="94"/>
      <c r="G39" s="94"/>
      <c r="H39" s="94"/>
      <c r="I39" s="94"/>
      <c r="J39" s="94"/>
      <c r="K39" s="94"/>
      <c r="L39" s="94"/>
      <c r="M39" s="94"/>
      <c r="N39" s="94"/>
      <c r="O39" s="94"/>
    </row>
    <row r="40" spans="1:15" ht="13" x14ac:dyDescent="0.3">
      <c r="B40" s="97" t="s">
        <v>88</v>
      </c>
    </row>
    <row r="41" spans="1:15" ht="12.75" customHeight="1" x14ac:dyDescent="0.25">
      <c r="C41" s="89" t="s">
        <v>70</v>
      </c>
      <c r="D41" s="89" t="s">
        <v>64</v>
      </c>
      <c r="E41" s="89" t="s">
        <v>65</v>
      </c>
      <c r="F41" s="375" t="s">
        <v>164</v>
      </c>
      <c r="G41" s="89" t="s">
        <v>69</v>
      </c>
      <c r="H41" s="89" t="s">
        <v>68</v>
      </c>
      <c r="I41" s="89" t="s">
        <v>83</v>
      </c>
      <c r="J41" s="89" t="s">
        <v>66</v>
      </c>
      <c r="K41" s="89" t="s">
        <v>63</v>
      </c>
      <c r="L41" s="89" t="s">
        <v>61</v>
      </c>
      <c r="M41" s="89" t="s">
        <v>62</v>
      </c>
      <c r="N41" s="89" t="s">
        <v>67</v>
      </c>
      <c r="O41" s="89" t="s">
        <v>84</v>
      </c>
    </row>
    <row r="42" spans="1:15" ht="12.75" customHeight="1" x14ac:dyDescent="0.25">
      <c r="B42" t="s">
        <v>81</v>
      </c>
      <c r="C42" s="89">
        <v>0</v>
      </c>
      <c r="D42" s="89">
        <v>0</v>
      </c>
      <c r="E42" s="89">
        <v>0</v>
      </c>
      <c r="F42" s="89">
        <v>0</v>
      </c>
      <c r="G42" s="89">
        <v>0</v>
      </c>
      <c r="H42" s="89">
        <v>0</v>
      </c>
      <c r="I42" s="89">
        <v>0</v>
      </c>
      <c r="J42" s="89">
        <v>0</v>
      </c>
      <c r="K42" s="89">
        <v>0</v>
      </c>
      <c r="L42" s="89">
        <v>0</v>
      </c>
      <c r="M42" s="89">
        <v>0</v>
      </c>
      <c r="N42" s="89">
        <v>0</v>
      </c>
      <c r="O42" s="89">
        <v>0</v>
      </c>
    </row>
    <row r="43" spans="1:15" ht="12.75" customHeight="1" x14ac:dyDescent="0.25">
      <c r="A43" s="89"/>
      <c r="B43" s="89" t="s">
        <v>72</v>
      </c>
      <c r="C43" s="90">
        <v>0</v>
      </c>
      <c r="D43" s="90">
        <v>0</v>
      </c>
      <c r="E43" s="90">
        <v>0</v>
      </c>
      <c r="F43" s="90">
        <v>0</v>
      </c>
      <c r="G43" s="90">
        <v>0</v>
      </c>
      <c r="H43" s="90">
        <v>0</v>
      </c>
      <c r="I43" s="90">
        <v>0</v>
      </c>
      <c r="J43" s="90">
        <v>0</v>
      </c>
      <c r="K43" s="90">
        <v>0</v>
      </c>
      <c r="L43" s="90">
        <v>0</v>
      </c>
      <c r="M43" s="90">
        <v>0</v>
      </c>
      <c r="N43" s="90">
        <v>0</v>
      </c>
      <c r="O43" s="90">
        <v>0</v>
      </c>
    </row>
    <row r="44" spans="1:15" s="378" customFormat="1" ht="12.75" customHeight="1" x14ac:dyDescent="0.25">
      <c r="A44" s="376" t="s">
        <v>78</v>
      </c>
      <c r="B44" s="376" t="s">
        <v>70</v>
      </c>
      <c r="C44" s="377">
        <v>0</v>
      </c>
      <c r="D44" s="377">
        <v>0</v>
      </c>
      <c r="E44" s="377">
        <v>0</v>
      </c>
      <c r="F44" s="377">
        <v>0</v>
      </c>
      <c r="G44" s="377">
        <v>0</v>
      </c>
      <c r="H44" s="377">
        <v>0</v>
      </c>
      <c r="I44" s="377">
        <v>0</v>
      </c>
      <c r="J44" s="377">
        <v>0</v>
      </c>
      <c r="K44" s="377">
        <v>0</v>
      </c>
      <c r="L44" s="377">
        <v>0</v>
      </c>
      <c r="M44" s="377">
        <v>0</v>
      </c>
      <c r="N44" s="377">
        <v>0</v>
      </c>
      <c r="O44" s="377">
        <v>0</v>
      </c>
    </row>
    <row r="45" spans="1:15" ht="12.75" customHeight="1" x14ac:dyDescent="0.25">
      <c r="A45" s="89"/>
      <c r="B45" s="89" t="s">
        <v>73</v>
      </c>
      <c r="C45" s="90">
        <v>0</v>
      </c>
      <c r="D45" s="90">
        <v>0</v>
      </c>
      <c r="E45" s="90">
        <v>0</v>
      </c>
      <c r="F45" s="90">
        <v>0</v>
      </c>
      <c r="G45" s="90">
        <v>0</v>
      </c>
      <c r="H45" s="90">
        <v>0</v>
      </c>
      <c r="I45" s="90">
        <v>0</v>
      </c>
      <c r="J45" s="90">
        <v>0</v>
      </c>
      <c r="K45" s="90">
        <v>0</v>
      </c>
      <c r="L45" s="90">
        <v>0</v>
      </c>
      <c r="M45" s="90">
        <v>0</v>
      </c>
      <c r="N45" s="90">
        <v>0</v>
      </c>
      <c r="O45" s="90">
        <v>0</v>
      </c>
    </row>
    <row r="46" spans="1:15" s="372" customFormat="1" ht="12.75" customHeight="1" x14ac:dyDescent="0.25">
      <c r="A46" s="373" t="s">
        <v>79</v>
      </c>
      <c r="B46" s="373" t="s">
        <v>70</v>
      </c>
      <c r="C46" s="374">
        <v>0</v>
      </c>
      <c r="D46" s="374">
        <v>0</v>
      </c>
      <c r="E46" s="374">
        <v>0</v>
      </c>
      <c r="F46" s="374">
        <v>0</v>
      </c>
      <c r="G46" s="374">
        <v>0</v>
      </c>
      <c r="H46" s="374">
        <v>0</v>
      </c>
      <c r="I46" s="374">
        <v>0</v>
      </c>
      <c r="J46" s="374">
        <v>0</v>
      </c>
      <c r="K46" s="374">
        <v>0</v>
      </c>
      <c r="L46" s="374">
        <v>0</v>
      </c>
      <c r="M46" s="374">
        <v>0</v>
      </c>
      <c r="N46" s="374">
        <v>0</v>
      </c>
      <c r="O46" s="374">
        <v>0</v>
      </c>
    </row>
    <row r="47" spans="1:15" ht="12.75" customHeight="1" x14ac:dyDescent="0.25">
      <c r="A47" s="89" t="s">
        <v>70</v>
      </c>
      <c r="C47" s="90">
        <v>0</v>
      </c>
      <c r="D47" s="90">
        <v>0</v>
      </c>
      <c r="E47" s="90">
        <v>0</v>
      </c>
      <c r="F47" s="90">
        <v>0</v>
      </c>
      <c r="G47" s="90">
        <v>0</v>
      </c>
      <c r="H47" s="90">
        <v>0</v>
      </c>
      <c r="I47" s="90">
        <v>0</v>
      </c>
      <c r="J47" s="90">
        <v>0</v>
      </c>
      <c r="K47" s="90">
        <v>0</v>
      </c>
      <c r="L47" s="90">
        <v>0</v>
      </c>
      <c r="M47" s="90">
        <v>0</v>
      </c>
      <c r="N47" s="90">
        <v>0</v>
      </c>
      <c r="O47" s="90">
        <v>0</v>
      </c>
    </row>
    <row r="48" spans="1:15" ht="12.75" customHeight="1" x14ac:dyDescent="0.25">
      <c r="A48" s="89"/>
      <c r="C48" s="90"/>
      <c r="D48" s="90"/>
      <c r="E48" s="90"/>
      <c r="F48" s="90"/>
      <c r="G48" s="90"/>
      <c r="H48" s="90"/>
      <c r="I48" s="90"/>
      <c r="J48" s="90"/>
      <c r="K48" s="90"/>
      <c r="L48" s="90"/>
      <c r="M48" s="90"/>
      <c r="N48" s="90"/>
      <c r="O48" s="90"/>
    </row>
    <row r="49" spans="1:15" ht="12.75" customHeight="1" x14ac:dyDescent="0.25">
      <c r="B49" s="145" t="s">
        <v>70</v>
      </c>
      <c r="C49" s="99">
        <f>C47-I47</f>
        <v>0</v>
      </c>
      <c r="D49" s="99">
        <f>D44</f>
        <v>0</v>
      </c>
      <c r="E49" s="99">
        <f t="shared" ref="E49:O49" si="3">E44</f>
        <v>0</v>
      </c>
      <c r="F49" s="99">
        <f t="shared" si="3"/>
        <v>0</v>
      </c>
      <c r="G49" s="99">
        <f t="shared" si="3"/>
        <v>0</v>
      </c>
      <c r="H49" s="99">
        <f t="shared" si="3"/>
        <v>0</v>
      </c>
      <c r="I49" s="99">
        <f t="shared" si="3"/>
        <v>0</v>
      </c>
      <c r="J49" s="99">
        <f t="shared" si="3"/>
        <v>0</v>
      </c>
      <c r="K49" s="99">
        <f t="shared" si="3"/>
        <v>0</v>
      </c>
      <c r="L49" s="99">
        <f t="shared" si="3"/>
        <v>0</v>
      </c>
      <c r="M49" s="99">
        <f t="shared" si="3"/>
        <v>0</v>
      </c>
      <c r="N49" s="99">
        <f t="shared" si="3"/>
        <v>0</v>
      </c>
      <c r="O49" s="99">
        <f t="shared" si="3"/>
        <v>0</v>
      </c>
    </row>
    <row r="50" spans="1:15" ht="12.75" customHeight="1" x14ac:dyDescent="0.25">
      <c r="B50" s="145" t="s">
        <v>73</v>
      </c>
      <c r="C50" s="99">
        <f>C46</f>
        <v>0</v>
      </c>
    </row>
    <row r="52" spans="1:15" x14ac:dyDescent="0.25">
      <c r="A52" s="94"/>
      <c r="B52" s="94"/>
      <c r="C52" s="146"/>
      <c r="D52" s="94"/>
      <c r="E52" s="94"/>
      <c r="F52" s="94"/>
      <c r="G52" s="94"/>
      <c r="H52" s="94"/>
      <c r="I52" s="94"/>
      <c r="J52" s="94"/>
      <c r="K52" s="94"/>
      <c r="L52" s="94"/>
      <c r="M52" s="94"/>
      <c r="N52" s="94"/>
      <c r="O52" s="94"/>
    </row>
    <row r="53" spans="1:15" ht="13" x14ac:dyDescent="0.3">
      <c r="B53" s="97" t="s">
        <v>93</v>
      </c>
    </row>
    <row r="54" spans="1:15" ht="12.75" customHeight="1" x14ac:dyDescent="0.25">
      <c r="C54" s="89" t="s">
        <v>70</v>
      </c>
      <c r="D54" s="89" t="s">
        <v>64</v>
      </c>
      <c r="E54" s="89" t="s">
        <v>65</v>
      </c>
      <c r="F54" s="375" t="s">
        <v>164</v>
      </c>
      <c r="G54" s="89" t="s">
        <v>69</v>
      </c>
      <c r="H54" s="89" t="s">
        <v>68</v>
      </c>
      <c r="I54" s="89" t="s">
        <v>83</v>
      </c>
      <c r="J54" s="89" t="s">
        <v>66</v>
      </c>
      <c r="K54" s="89" t="s">
        <v>63</v>
      </c>
      <c r="L54" s="89" t="s">
        <v>61</v>
      </c>
      <c r="M54" s="89" t="s">
        <v>62</v>
      </c>
      <c r="N54" s="89" t="s">
        <v>67</v>
      </c>
      <c r="O54" s="89" t="s">
        <v>84</v>
      </c>
    </row>
    <row r="55" spans="1:15" ht="12.75" customHeight="1" x14ac:dyDescent="0.25">
      <c r="B55" s="89" t="s">
        <v>72</v>
      </c>
      <c r="C55" s="90">
        <v>0</v>
      </c>
      <c r="D55" s="90">
        <v>0</v>
      </c>
      <c r="E55" s="90">
        <v>0</v>
      </c>
      <c r="F55" s="90">
        <v>0</v>
      </c>
      <c r="G55" s="90">
        <v>0</v>
      </c>
      <c r="H55" s="90">
        <v>0</v>
      </c>
      <c r="I55">
        <v>0</v>
      </c>
      <c r="J55" s="90">
        <v>0</v>
      </c>
      <c r="K55" s="90">
        <v>0</v>
      </c>
      <c r="L55" s="90">
        <v>0</v>
      </c>
      <c r="M55" s="90">
        <v>0</v>
      </c>
      <c r="N55" s="90">
        <v>0</v>
      </c>
      <c r="O55" s="90">
        <v>0</v>
      </c>
    </row>
    <row r="56" spans="1:15" s="378" customFormat="1" ht="12.75" customHeight="1" x14ac:dyDescent="0.25">
      <c r="A56" s="376" t="s">
        <v>78</v>
      </c>
      <c r="B56" s="376" t="s">
        <v>70</v>
      </c>
      <c r="C56" s="377">
        <v>0</v>
      </c>
      <c r="D56" s="377">
        <v>0</v>
      </c>
      <c r="E56" s="377">
        <v>0</v>
      </c>
      <c r="F56" s="377">
        <v>0</v>
      </c>
      <c r="G56" s="377">
        <v>0</v>
      </c>
      <c r="H56" s="377">
        <v>0</v>
      </c>
      <c r="I56" s="378">
        <v>0</v>
      </c>
      <c r="J56" s="377">
        <v>0</v>
      </c>
      <c r="K56" s="377">
        <v>0</v>
      </c>
      <c r="L56" s="377">
        <v>0</v>
      </c>
      <c r="M56" s="377">
        <v>0</v>
      </c>
      <c r="N56" s="377">
        <v>0</v>
      </c>
      <c r="O56" s="377">
        <v>0</v>
      </c>
    </row>
    <row r="57" spans="1:15" ht="12.75" customHeight="1" x14ac:dyDescent="0.25">
      <c r="B57" s="89" t="s">
        <v>73</v>
      </c>
      <c r="C57" s="90">
        <v>0</v>
      </c>
      <c r="D57" s="90">
        <v>0</v>
      </c>
      <c r="E57" s="90">
        <v>0</v>
      </c>
      <c r="F57" s="90">
        <v>0</v>
      </c>
      <c r="G57" s="90">
        <v>0</v>
      </c>
      <c r="H57" s="90">
        <v>0</v>
      </c>
      <c r="I57">
        <v>0</v>
      </c>
      <c r="J57" s="90">
        <v>0</v>
      </c>
      <c r="K57" s="90">
        <v>0</v>
      </c>
      <c r="L57" s="90">
        <v>0</v>
      </c>
      <c r="M57" s="90">
        <v>0</v>
      </c>
      <c r="N57" s="90">
        <v>0</v>
      </c>
      <c r="O57" s="90">
        <v>0</v>
      </c>
    </row>
    <row r="58" spans="1:15" s="372" customFormat="1" ht="12.75" customHeight="1" x14ac:dyDescent="0.25">
      <c r="A58" s="373" t="s">
        <v>79</v>
      </c>
      <c r="B58" s="373" t="s">
        <v>70</v>
      </c>
      <c r="C58" s="374">
        <v>0</v>
      </c>
      <c r="D58" s="374">
        <v>0</v>
      </c>
      <c r="E58" s="374">
        <v>0</v>
      </c>
      <c r="F58" s="374">
        <v>0</v>
      </c>
      <c r="G58" s="374">
        <v>0</v>
      </c>
      <c r="H58" s="374">
        <v>0</v>
      </c>
      <c r="I58" s="372">
        <v>0</v>
      </c>
      <c r="J58" s="374">
        <v>0</v>
      </c>
      <c r="K58" s="374">
        <v>0</v>
      </c>
      <c r="L58" s="374">
        <v>0</v>
      </c>
      <c r="M58" s="374">
        <v>0</v>
      </c>
      <c r="N58" s="374">
        <v>0</v>
      </c>
      <c r="O58" s="374">
        <v>0</v>
      </c>
    </row>
    <row r="59" spans="1:15" ht="12.75" customHeight="1" x14ac:dyDescent="0.25">
      <c r="A59" s="89" t="s">
        <v>70</v>
      </c>
      <c r="C59" s="90">
        <v>0</v>
      </c>
      <c r="D59" s="90">
        <v>0</v>
      </c>
      <c r="E59" s="90">
        <v>0</v>
      </c>
      <c r="F59" s="90">
        <v>0</v>
      </c>
      <c r="G59" s="90">
        <v>0</v>
      </c>
      <c r="H59" s="90">
        <v>0</v>
      </c>
      <c r="I59">
        <v>0</v>
      </c>
      <c r="J59" s="90">
        <v>0</v>
      </c>
      <c r="K59" s="90">
        <v>0</v>
      </c>
      <c r="L59" s="90">
        <v>0</v>
      </c>
      <c r="M59" s="90">
        <v>0</v>
      </c>
      <c r="N59" s="90">
        <v>0</v>
      </c>
      <c r="O59" s="90">
        <v>0</v>
      </c>
    </row>
    <row r="61" spans="1:15" ht="12.75" customHeight="1" x14ac:dyDescent="0.25">
      <c r="B61" s="145" t="s">
        <v>70</v>
      </c>
      <c r="C61" s="99">
        <f>C59-I59</f>
        <v>0</v>
      </c>
      <c r="D61" s="99">
        <f>D56</f>
        <v>0</v>
      </c>
      <c r="E61" s="99">
        <f t="shared" ref="E61:O61" si="4">E56</f>
        <v>0</v>
      </c>
      <c r="F61" s="99">
        <f t="shared" si="4"/>
        <v>0</v>
      </c>
      <c r="G61" s="99">
        <f t="shared" si="4"/>
        <v>0</v>
      </c>
      <c r="H61" s="99">
        <f t="shared" si="4"/>
        <v>0</v>
      </c>
      <c r="I61" s="99">
        <f t="shared" si="4"/>
        <v>0</v>
      </c>
      <c r="J61" s="99">
        <f t="shared" si="4"/>
        <v>0</v>
      </c>
      <c r="K61" s="99">
        <f t="shared" si="4"/>
        <v>0</v>
      </c>
      <c r="L61" s="99">
        <f t="shared" si="4"/>
        <v>0</v>
      </c>
      <c r="M61" s="99">
        <f t="shared" si="4"/>
        <v>0</v>
      </c>
      <c r="N61" s="99">
        <f t="shared" si="4"/>
        <v>0</v>
      </c>
      <c r="O61" s="99">
        <f t="shared" si="4"/>
        <v>0</v>
      </c>
    </row>
    <row r="62" spans="1:15" ht="12.75" customHeight="1" x14ac:dyDescent="0.25">
      <c r="B62" s="145" t="s">
        <v>73</v>
      </c>
      <c r="C62" s="99">
        <f>C58</f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AH58"/>
  <sheetViews>
    <sheetView topLeftCell="A6" zoomScaleNormal="100" workbookViewId="0"/>
  </sheetViews>
  <sheetFormatPr baseColWidth="10" defaultColWidth="11.453125" defaultRowHeight="11.5" x14ac:dyDescent="0.25"/>
  <cols>
    <col min="1" max="1" width="3" style="1" customWidth="1"/>
    <col min="2" max="2" width="4.453125" style="1" bestFit="1" customWidth="1"/>
    <col min="3" max="3" width="36.81640625" style="1" customWidth="1"/>
    <col min="4" max="4" width="15.1796875" style="1" customWidth="1"/>
    <col min="5" max="5" width="16" style="1" customWidth="1"/>
    <col min="6" max="7" width="14.81640625" style="1" customWidth="1"/>
    <col min="8" max="8" width="16.1796875" style="1" customWidth="1"/>
    <col min="9" max="9" width="20.1796875" style="1" bestFit="1" customWidth="1"/>
    <col min="10" max="10" width="15.54296875" style="1" customWidth="1"/>
    <col min="11" max="11" width="17.54296875" style="1" customWidth="1"/>
    <col min="12" max="12" width="17" style="1" bestFit="1" customWidth="1"/>
    <col min="13" max="13" width="19.81640625" style="1" customWidth="1"/>
    <col min="14" max="14" width="19.1796875" style="1" bestFit="1" customWidth="1"/>
    <col min="15" max="15" width="16.81640625" style="1" customWidth="1"/>
    <col min="16" max="16" width="3.81640625" style="1" customWidth="1"/>
    <col min="17" max="17" width="2.81640625" style="1" customWidth="1"/>
    <col min="18" max="18" width="4.54296875" style="1" customWidth="1"/>
    <col min="19" max="19" width="11.1796875" style="1" customWidth="1"/>
    <col min="20" max="20" width="37.54296875" style="1" bestFit="1" customWidth="1"/>
    <col min="21" max="21" width="19.1796875" style="1" customWidth="1"/>
    <col min="22" max="22" width="17.81640625" style="1" customWidth="1"/>
    <col min="23" max="23" width="16.453125" style="1" customWidth="1"/>
    <col min="24" max="24" width="17.1796875" style="1" customWidth="1"/>
    <col min="25" max="25" width="15.81640625" style="1" customWidth="1"/>
    <col min="26" max="26" width="16" style="1" customWidth="1"/>
    <col min="27" max="27" width="15" style="1" customWidth="1"/>
    <col min="28" max="28" width="16.81640625" style="1" customWidth="1"/>
    <col min="29" max="30" width="15.81640625" style="1" bestFit="1" customWidth="1"/>
    <col min="31" max="31" width="16.1796875" style="1" customWidth="1"/>
    <col min="32" max="32" width="18.1796875" style="1" customWidth="1"/>
    <col min="33" max="33" width="13.81640625" style="1" customWidth="1"/>
    <col min="34" max="34" width="3.453125" style="1" customWidth="1"/>
    <col min="35" max="35" width="13.81640625" style="1" bestFit="1" customWidth="1"/>
    <col min="36" max="16384" width="11.453125" style="1"/>
  </cols>
  <sheetData>
    <row r="1" spans="1:34" ht="12" thickBot="1" x14ac:dyDescent="0.3">
      <c r="A1" s="1" t="s">
        <v>1</v>
      </c>
      <c r="Q1" s="4"/>
      <c r="AH1" s="4"/>
    </row>
    <row r="2" spans="1:34" x14ac:dyDescent="0.25">
      <c r="B2" s="5"/>
      <c r="C2" s="3" t="s">
        <v>1</v>
      </c>
      <c r="D2" s="6" t="s">
        <v>1</v>
      </c>
      <c r="E2" s="3"/>
      <c r="F2" s="3"/>
      <c r="G2" s="3"/>
      <c r="H2" s="3" t="s">
        <v>1</v>
      </c>
      <c r="I2" s="3"/>
      <c r="J2" s="3"/>
      <c r="K2" s="3"/>
      <c r="L2" s="3"/>
      <c r="M2" s="3"/>
      <c r="N2" s="3"/>
      <c r="O2" s="7"/>
      <c r="P2" s="2"/>
      <c r="Q2" s="4"/>
      <c r="S2" s="5"/>
      <c r="T2" s="3" t="s">
        <v>1</v>
      </c>
      <c r="U2" s="6" t="s">
        <v>1</v>
      </c>
      <c r="V2" s="3"/>
      <c r="W2" s="3"/>
      <c r="X2" s="3" t="s">
        <v>1</v>
      </c>
      <c r="Y2" s="3"/>
      <c r="Z2" s="3"/>
      <c r="AA2" s="3"/>
      <c r="AB2" s="3"/>
      <c r="AC2" s="3"/>
      <c r="AD2" s="3"/>
      <c r="AE2" s="7"/>
      <c r="AF2" s="2"/>
      <c r="AH2" s="4"/>
    </row>
    <row r="3" spans="1:34" ht="14" x14ac:dyDescent="0.3">
      <c r="B3" s="8"/>
      <c r="F3" s="26" t="s">
        <v>8</v>
      </c>
      <c r="G3" s="26"/>
      <c r="I3" s="26" t="s">
        <v>16</v>
      </c>
      <c r="J3" s="25"/>
      <c r="M3" s="2" t="s">
        <v>15</v>
      </c>
      <c r="N3" s="50">
        <f>'CONSOLIDADO_TOTAL RECAUDO'!N3</f>
        <v>2026072</v>
      </c>
      <c r="O3" s="10"/>
      <c r="P3" s="2"/>
      <c r="Q3" s="4"/>
      <c r="S3" s="8"/>
      <c r="U3" s="26" t="s">
        <v>8</v>
      </c>
      <c r="W3" s="26" t="s">
        <v>16</v>
      </c>
      <c r="X3" s="25"/>
      <c r="Y3" s="2"/>
      <c r="AA3" s="2" t="s">
        <v>15</v>
      </c>
      <c r="AC3" s="84">
        <f>N3</f>
        <v>2026072</v>
      </c>
      <c r="AD3" s="84"/>
      <c r="AE3" s="48"/>
      <c r="AF3" s="2"/>
      <c r="AH3" s="4"/>
    </row>
    <row r="4" spans="1:34" ht="15.5" x14ac:dyDescent="0.35">
      <c r="B4" s="8"/>
      <c r="F4" s="36" t="s">
        <v>29</v>
      </c>
      <c r="G4" s="36"/>
      <c r="O4" s="10"/>
      <c r="P4" s="2"/>
      <c r="Q4" s="4"/>
      <c r="S4" s="8"/>
      <c r="T4" s="26" t="s">
        <v>1</v>
      </c>
      <c r="U4" s="36" t="s">
        <v>29</v>
      </c>
      <c r="Y4" s="2" t="s">
        <v>1</v>
      </c>
      <c r="AA4" s="50" t="s">
        <v>1</v>
      </c>
      <c r="AB4" s="2"/>
      <c r="AC4" s="2"/>
      <c r="AD4" s="2"/>
      <c r="AE4" s="10" t="s">
        <v>1</v>
      </c>
      <c r="AF4" s="2"/>
      <c r="AH4" s="4"/>
    </row>
    <row r="5" spans="1:34" ht="14" x14ac:dyDescent="0.3">
      <c r="B5" s="8"/>
      <c r="F5" s="2" t="s">
        <v>30</v>
      </c>
      <c r="G5" s="2"/>
      <c r="M5" s="2" t="s">
        <v>1</v>
      </c>
      <c r="O5" s="10"/>
      <c r="P5" s="2"/>
      <c r="Q5" s="4"/>
      <c r="S5" s="8"/>
      <c r="T5" s="49" t="s">
        <v>1</v>
      </c>
      <c r="U5" s="2" t="s">
        <v>30</v>
      </c>
      <c r="AE5" s="44"/>
      <c r="AF5" s="2"/>
      <c r="AH5" s="4"/>
    </row>
    <row r="6" spans="1:34" ht="15.5" x14ac:dyDescent="0.35">
      <c r="B6" s="8"/>
      <c r="C6" s="2" t="s">
        <v>17</v>
      </c>
      <c r="D6" s="9">
        <f>'CONSOLIDADO_TOTAL RECAUDO'!D6</f>
        <v>46238</v>
      </c>
      <c r="F6" s="41" t="s">
        <v>123</v>
      </c>
      <c r="G6" s="41"/>
      <c r="H6" s="2"/>
      <c r="J6" s="2"/>
      <c r="O6" s="10"/>
      <c r="P6" s="2"/>
      <c r="Q6" s="4"/>
      <c r="S6" s="8"/>
      <c r="T6" s="41" t="s">
        <v>1</v>
      </c>
      <c r="U6" s="41" t="str">
        <f>+F6</f>
        <v xml:space="preserve">SALDOS A FAVOR POR NOTA </v>
      </c>
      <c r="V6" s="2"/>
      <c r="X6" s="2"/>
      <c r="Y6" s="2"/>
      <c r="AE6" s="48"/>
      <c r="AF6" s="2"/>
      <c r="AH6" s="4"/>
    </row>
    <row r="7" spans="1:34" ht="12" thickBot="1" x14ac:dyDescent="0.3">
      <c r="B7" s="8"/>
      <c r="C7" s="2" t="s">
        <v>0</v>
      </c>
      <c r="D7" s="241">
        <f>'CONSOLIDADO_TOTAL RECAUDO'!D7</f>
        <v>0.58333333333333337</v>
      </c>
      <c r="F7" s="2" t="s">
        <v>27</v>
      </c>
      <c r="G7" s="2"/>
      <c r="H7" s="9">
        <f>'CONSOLIDADO_TOTAL RECAUDO'!G7</f>
        <v>46219</v>
      </c>
      <c r="J7" s="2" t="s">
        <v>28</v>
      </c>
      <c r="K7" s="9">
        <f>'CONSOLIDADO_TOTAL RECAUDO'!K7</f>
        <v>46234</v>
      </c>
      <c r="O7" s="10"/>
      <c r="P7" s="2"/>
      <c r="Q7" s="4"/>
      <c r="S7" s="8"/>
      <c r="U7" s="1" t="str">
        <f>F7</f>
        <v>Fecha Desde:</v>
      </c>
      <c r="V7" s="9">
        <f>H7</f>
        <v>46219</v>
      </c>
      <c r="W7" s="1" t="s">
        <v>1</v>
      </c>
      <c r="X7" s="1" t="str">
        <f>J7</f>
        <v>Feha Hasta:</v>
      </c>
      <c r="Y7" s="9">
        <f>K7</f>
        <v>46234</v>
      </c>
      <c r="Z7" s="1" t="s">
        <v>1</v>
      </c>
      <c r="AE7" s="48"/>
      <c r="AF7" s="2"/>
      <c r="AH7" s="4"/>
    </row>
    <row r="8" spans="1:34" ht="72" customHeight="1" thickBot="1" x14ac:dyDescent="0.3">
      <c r="B8" s="11" t="s">
        <v>3</v>
      </c>
      <c r="C8" s="27" t="s">
        <v>9</v>
      </c>
      <c r="D8" s="11" t="s">
        <v>4</v>
      </c>
      <c r="E8" s="12" t="s">
        <v>5</v>
      </c>
      <c r="F8" s="12" t="s">
        <v>6</v>
      </c>
      <c r="G8" s="27" t="s">
        <v>159</v>
      </c>
      <c r="H8" s="12" t="s">
        <v>18</v>
      </c>
      <c r="I8" s="12" t="s">
        <v>24</v>
      </c>
      <c r="J8" s="73" t="s">
        <v>19</v>
      </c>
      <c r="K8" s="29" t="s">
        <v>20</v>
      </c>
      <c r="L8" s="28" t="s">
        <v>21</v>
      </c>
      <c r="M8" s="39" t="s">
        <v>22</v>
      </c>
      <c r="N8" s="12" t="s">
        <v>7</v>
      </c>
      <c r="O8" s="39" t="s">
        <v>23</v>
      </c>
      <c r="P8" s="13"/>
      <c r="Q8" s="4"/>
      <c r="S8" s="11" t="s">
        <v>3</v>
      </c>
      <c r="T8" s="27" t="s">
        <v>9</v>
      </c>
      <c r="U8" s="80" t="s">
        <v>39</v>
      </c>
      <c r="V8" s="51" t="s">
        <v>40</v>
      </c>
      <c r="W8" s="51" t="s">
        <v>41</v>
      </c>
      <c r="X8" s="51" t="s">
        <v>42</v>
      </c>
      <c r="Y8" s="81" t="s">
        <v>43</v>
      </c>
      <c r="Z8" s="85" t="s">
        <v>21</v>
      </c>
      <c r="AA8" s="380" t="s">
        <v>46</v>
      </c>
      <c r="AB8" s="65" t="s">
        <v>7</v>
      </c>
      <c r="AC8" s="121" t="s">
        <v>107</v>
      </c>
      <c r="AD8" s="121" t="s">
        <v>106</v>
      </c>
      <c r="AE8" s="39" t="s">
        <v>23</v>
      </c>
      <c r="AF8" s="13"/>
      <c r="AH8" s="4"/>
    </row>
    <row r="9" spans="1:34" x14ac:dyDescent="0.25">
      <c r="B9" s="14">
        <v>1</v>
      </c>
      <c r="C9" s="61" t="s">
        <v>10</v>
      </c>
      <c r="D9" s="66">
        <f>'SALDOS POR NOTA'!C9</f>
        <v>973693.46</v>
      </c>
      <c r="E9" s="66">
        <f>'SALDOS POR NOTA'!D9</f>
        <v>65524.22</v>
      </c>
      <c r="F9" s="66">
        <f>'SALDOS POR NOTA'!E9</f>
        <v>36995.019999999997</v>
      </c>
      <c r="G9" s="66">
        <f>'SALDOS POR NOTA'!F9</f>
        <v>19417.650000000001</v>
      </c>
      <c r="H9" s="66">
        <f>'SALDOS POR NOTA'!G9</f>
        <v>156624.35</v>
      </c>
      <c r="I9" s="66">
        <f>'SALDOS POR NOTA'!H9</f>
        <v>5557.5</v>
      </c>
      <c r="J9" s="66">
        <v>0</v>
      </c>
      <c r="K9" s="30">
        <f>D9-E9-F9-G9-H9-I9-J9</f>
        <v>689574.72</v>
      </c>
      <c r="L9" s="37">
        <v>0</v>
      </c>
      <c r="M9" s="30">
        <f>K9-L9</f>
        <v>689574.72</v>
      </c>
      <c r="N9" s="37">
        <f>'SALDOS POR NOTA'!I9</f>
        <v>0</v>
      </c>
      <c r="O9" s="30">
        <f>M9+N9</f>
        <v>689574.72</v>
      </c>
      <c r="Q9" s="4"/>
      <c r="S9" s="14">
        <v>1</v>
      </c>
      <c r="T9" s="61" t="s">
        <v>10</v>
      </c>
      <c r="U9" s="66">
        <f>'SALDOS POR NOTA'!J9</f>
        <v>52109.79</v>
      </c>
      <c r="V9" s="66">
        <f>'SALDOS POR NOTA'!K9</f>
        <v>47607.03</v>
      </c>
      <c r="W9" s="66">
        <f>'SALDOS POR NOTA'!L9</f>
        <v>225441.17</v>
      </c>
      <c r="X9" s="66">
        <f>'SALDOS POR NOTA'!M9</f>
        <v>178429.31</v>
      </c>
      <c r="Y9" s="66">
        <f>'SALDOS POR NOTA'!N9</f>
        <v>9067.43</v>
      </c>
      <c r="Z9" s="379">
        <f>L9*-1</f>
        <v>0</v>
      </c>
      <c r="AA9" s="75">
        <f>'SALDOS POR NOTA'!O9</f>
        <v>0</v>
      </c>
      <c r="AB9" s="37">
        <f>N9</f>
        <v>0</v>
      </c>
      <c r="AC9" s="66">
        <f>-J9+AD9</f>
        <v>176919.99</v>
      </c>
      <c r="AD9" s="66">
        <f>'SALDOS POR NOTA'!C10</f>
        <v>176919.99</v>
      </c>
      <c r="AE9" s="115">
        <f>SUM(U9:AC9)</f>
        <v>689574.72</v>
      </c>
      <c r="AF9" s="117">
        <f>(AE9-O9)</f>
        <v>0</v>
      </c>
      <c r="AG9" s="1" t="b">
        <f>AF9=0</f>
        <v>1</v>
      </c>
      <c r="AH9" s="4"/>
    </row>
    <row r="10" spans="1:34" x14ac:dyDescent="0.25">
      <c r="B10" s="16">
        <v>2</v>
      </c>
      <c r="C10" s="62" t="s">
        <v>11</v>
      </c>
      <c r="D10" s="66">
        <f>'SALDOS POR NOTA'!C22</f>
        <v>216025.77</v>
      </c>
      <c r="E10" s="66">
        <f>'SALDOS POR NOTA'!D22</f>
        <v>31897.62</v>
      </c>
      <c r="F10" s="66">
        <f>'SALDOS POR NOTA'!E22</f>
        <v>18572.91</v>
      </c>
      <c r="G10" s="66">
        <f>'SALDOS POR NOTA'!F22</f>
        <v>8867.14</v>
      </c>
      <c r="H10" s="66">
        <f>'SALDOS POR NOTA'!G22</f>
        <v>92959.49</v>
      </c>
      <c r="I10" s="66">
        <f>'SALDOS POR NOTA'!H22</f>
        <v>3883.88</v>
      </c>
      <c r="J10" s="66">
        <v>0</v>
      </c>
      <c r="K10" s="31">
        <f t="shared" ref="K10:K13" si="0">D10-E10-F10-G10-H10-I10-J10</f>
        <v>59844.729999999974</v>
      </c>
      <c r="L10" s="38">
        <v>0</v>
      </c>
      <c r="M10" s="31">
        <f>K10-L10</f>
        <v>59844.729999999974</v>
      </c>
      <c r="N10" s="37">
        <f>'SALDOS POR NOTA'!I22</f>
        <v>0</v>
      </c>
      <c r="O10" s="31">
        <f t="shared" ref="O10:O12" si="1">M10+N10</f>
        <v>59844.729999999974</v>
      </c>
      <c r="Q10" s="4"/>
      <c r="S10" s="16">
        <v>2</v>
      </c>
      <c r="T10" s="62" t="s">
        <v>11</v>
      </c>
      <c r="U10" s="66">
        <f>'SALDOS POR NOTA'!J22</f>
        <v>61358.09</v>
      </c>
      <c r="V10" s="66">
        <f>'SALDOS POR NOTA'!K22</f>
        <v>33534.01</v>
      </c>
      <c r="W10" s="66">
        <f>'SALDOS POR NOTA'!L22</f>
        <v>127815.87</v>
      </c>
      <c r="X10" s="66">
        <f>'SALDOS POR NOTA'!M22</f>
        <v>64515.32</v>
      </c>
      <c r="Y10" s="66">
        <f>'SALDOS POR NOTA'!N22</f>
        <v>5139.92</v>
      </c>
      <c r="Z10" s="38">
        <f>L10*-1</f>
        <v>0</v>
      </c>
      <c r="AA10" s="382">
        <f>'SALDOS POR NOTA'!O22</f>
        <v>-0.36</v>
      </c>
      <c r="AB10" s="37">
        <f>N10</f>
        <v>0</v>
      </c>
      <c r="AC10" s="66">
        <f t="shared" ref="AC10:AC13" si="2">-J10+AD10</f>
        <v>-232518.12</v>
      </c>
      <c r="AD10" s="66">
        <f>'SALDOS POR NOTA'!C23</f>
        <v>-232518.12</v>
      </c>
      <c r="AE10" s="116">
        <f>SUM(U10:AC10)</f>
        <v>59844.729999999981</v>
      </c>
      <c r="AF10" s="118">
        <f>(AE10-O10)</f>
        <v>7.2759576141834259E-12</v>
      </c>
      <c r="AG10" s="1" t="b">
        <f t="shared" ref="AG10:AG14" si="3">AF10=0</f>
        <v>0</v>
      </c>
      <c r="AH10" s="4"/>
    </row>
    <row r="11" spans="1:34" x14ac:dyDescent="0.25">
      <c r="B11" s="16">
        <v>3</v>
      </c>
      <c r="C11" s="62" t="s">
        <v>12</v>
      </c>
      <c r="D11" s="66">
        <f>'SALDOS POR NOTA'!C34</f>
        <v>104231.83</v>
      </c>
      <c r="E11" s="66">
        <f>'SALDOS POR NOTA'!D34</f>
        <v>6620.63</v>
      </c>
      <c r="F11" s="66">
        <f>'SALDOS POR NOTA'!E34</f>
        <v>3738.02</v>
      </c>
      <c r="G11" s="66">
        <f>'SALDOS POR NOTA'!F34</f>
        <v>1961.98</v>
      </c>
      <c r="H11" s="66">
        <f>'SALDOS POR NOTA'!G34</f>
        <v>20927.5</v>
      </c>
      <c r="I11" s="66">
        <f>'SALDOS POR NOTA'!H34</f>
        <v>743.08</v>
      </c>
      <c r="J11" s="66">
        <v>0</v>
      </c>
      <c r="K11" s="31">
        <f t="shared" si="0"/>
        <v>70240.62</v>
      </c>
      <c r="L11" s="38">
        <v>0</v>
      </c>
      <c r="M11" s="31">
        <f>K11-L11</f>
        <v>70240.62</v>
      </c>
      <c r="N11" s="37">
        <f>'SALDOS POR NOTA'!I34</f>
        <v>0</v>
      </c>
      <c r="O11" s="31">
        <f t="shared" si="1"/>
        <v>70240.62</v>
      </c>
      <c r="Q11" s="4"/>
      <c r="S11" s="16">
        <v>3</v>
      </c>
      <c r="T11" s="62" t="s">
        <v>12</v>
      </c>
      <c r="U11" s="66">
        <f>'SALDOS POR NOTA'!J34</f>
        <v>6518.28</v>
      </c>
      <c r="V11" s="66">
        <f>'SALDOS POR NOTA'!K34</f>
        <v>6410.86</v>
      </c>
      <c r="W11" s="66">
        <f>'SALDOS POR NOTA'!L34</f>
        <v>30349.1</v>
      </c>
      <c r="X11" s="66">
        <f>'SALDOS POR NOTA'!M34</f>
        <v>15383.1</v>
      </c>
      <c r="Y11" s="66">
        <f>'SALDOS POR NOTA'!N34</f>
        <v>1212.4000000000001</v>
      </c>
      <c r="Z11" s="38">
        <f>L11*-1</f>
        <v>0</v>
      </c>
      <c r="AA11" s="382">
        <f>'SALDOS POR NOTA'!O34</f>
        <v>0</v>
      </c>
      <c r="AB11" s="37">
        <f>N11</f>
        <v>0</v>
      </c>
      <c r="AC11" s="66">
        <f t="shared" si="2"/>
        <v>10366.879999999999</v>
      </c>
      <c r="AD11" s="66">
        <f>'SALDOS POR NOTA'!C35</f>
        <v>10366.879999999999</v>
      </c>
      <c r="AE11" s="116">
        <f>SUM(U11:AC11)</f>
        <v>70240.62</v>
      </c>
      <c r="AF11" s="118">
        <f>(AE11-O11)</f>
        <v>0</v>
      </c>
      <c r="AG11" s="1" t="b">
        <f t="shared" si="3"/>
        <v>1</v>
      </c>
      <c r="AH11" s="4"/>
    </row>
    <row r="12" spans="1:34" x14ac:dyDescent="0.25">
      <c r="B12" s="16">
        <v>4</v>
      </c>
      <c r="C12" s="62" t="s">
        <v>13</v>
      </c>
      <c r="D12" s="66">
        <f>'SALDOS POR NOTA'!C47</f>
        <v>35954.44</v>
      </c>
      <c r="E12" s="66">
        <f>'SALDOS POR NOTA'!D47</f>
        <v>1890.6</v>
      </c>
      <c r="F12" s="66">
        <f>'SALDOS POR NOTA'!E47</f>
        <v>1067.43</v>
      </c>
      <c r="G12" s="66">
        <f>'SALDOS POR NOTA'!F47</f>
        <v>560.27</v>
      </c>
      <c r="H12" s="66">
        <f>'SALDOS POR NOTA'!G47</f>
        <v>10800.02</v>
      </c>
      <c r="I12" s="66">
        <f>'SALDOS POR NOTA'!H47</f>
        <v>371.66</v>
      </c>
      <c r="J12" s="66">
        <v>0</v>
      </c>
      <c r="K12" s="31">
        <f t="shared" si="0"/>
        <v>21264.460000000003</v>
      </c>
      <c r="L12" s="38">
        <v>0</v>
      </c>
      <c r="M12" s="31">
        <f>K12-L12</f>
        <v>21264.460000000003</v>
      </c>
      <c r="N12" s="37">
        <f>'SALDOS POR NOTA'!I47</f>
        <v>0</v>
      </c>
      <c r="O12" s="31">
        <f t="shared" si="1"/>
        <v>21264.460000000003</v>
      </c>
      <c r="Q12" s="4"/>
      <c r="S12" s="16">
        <v>4</v>
      </c>
      <c r="T12" s="62" t="s">
        <v>13</v>
      </c>
      <c r="U12" s="66">
        <f>'SALDOS POR NOTA'!J47</f>
        <v>3260.18</v>
      </c>
      <c r="V12" s="66">
        <f>'SALDOS POR NOTA'!K47</f>
        <v>3149.08</v>
      </c>
      <c r="W12" s="66">
        <f>'SALDOS POR NOTA'!L47</f>
        <v>15696.81</v>
      </c>
      <c r="X12" s="66">
        <f>'SALDOS POR NOTA'!M47</f>
        <v>5005.76</v>
      </c>
      <c r="Y12" s="66">
        <f>'SALDOS POR NOTA'!N47</f>
        <v>606.39</v>
      </c>
      <c r="Z12" s="38">
        <f>L12*-1</f>
        <v>0</v>
      </c>
      <c r="AA12" s="382">
        <f>'SALDOS POR NOTA'!O47</f>
        <v>0</v>
      </c>
      <c r="AB12" s="37">
        <f>N12</f>
        <v>0</v>
      </c>
      <c r="AC12" s="66">
        <f t="shared" si="2"/>
        <v>-6453.76</v>
      </c>
      <c r="AD12" s="66">
        <f>'SALDOS POR NOTA'!C48</f>
        <v>-6453.76</v>
      </c>
      <c r="AE12" s="116">
        <f>SUM(U12:AC12)</f>
        <v>21264.46</v>
      </c>
      <c r="AF12" s="118">
        <f>(AE12-O12)</f>
        <v>-3.637978807091713E-12</v>
      </c>
      <c r="AG12" s="1" t="b">
        <f t="shared" si="3"/>
        <v>0</v>
      </c>
      <c r="AH12" s="4"/>
    </row>
    <row r="13" spans="1:34" ht="12" thickBot="1" x14ac:dyDescent="0.3">
      <c r="B13" s="19">
        <v>5</v>
      </c>
      <c r="C13" s="63" t="s">
        <v>14</v>
      </c>
      <c r="D13" s="66">
        <f>'SALDOS POR NOTA'!C60</f>
        <v>0</v>
      </c>
      <c r="E13" s="66">
        <f>'SALDOS POR NOTA'!D60</f>
        <v>0</v>
      </c>
      <c r="F13" s="66">
        <f>'SALDOS POR NOTA'!E60</f>
        <v>0</v>
      </c>
      <c r="G13" s="66">
        <f>'SALDOS POR NOTA'!F60</f>
        <v>0</v>
      </c>
      <c r="H13" s="66">
        <f>'SALDOS POR NOTA'!G60</f>
        <v>0</v>
      </c>
      <c r="I13" s="66">
        <f>'SALDOS POR NOTA'!H60</f>
        <v>0</v>
      </c>
      <c r="J13" s="66">
        <v>0</v>
      </c>
      <c r="K13" s="31">
        <f t="shared" si="0"/>
        <v>0</v>
      </c>
      <c r="L13" s="38">
        <v>0</v>
      </c>
      <c r="M13" s="40">
        <f>K13-L13</f>
        <v>0</v>
      </c>
      <c r="N13" s="37">
        <f>'SALDOS POR NOTA'!I60</f>
        <v>0</v>
      </c>
      <c r="O13" s="40">
        <f>M13+N13</f>
        <v>0</v>
      </c>
      <c r="Q13" s="4"/>
      <c r="S13" s="19">
        <v>5</v>
      </c>
      <c r="T13" s="63" t="s">
        <v>14</v>
      </c>
      <c r="U13" s="66">
        <f>'SALDOS POR NOTA'!J60</f>
        <v>0</v>
      </c>
      <c r="V13" s="66">
        <f>'SALDOS POR NOTA'!K60</f>
        <v>0</v>
      </c>
      <c r="W13" s="66">
        <f>'SALDOS POR NOTA'!L60</f>
        <v>0</v>
      </c>
      <c r="X13" s="66">
        <f>'SALDOS POR NOTA'!M60</f>
        <v>0</v>
      </c>
      <c r="Y13" s="66">
        <f>'SALDOS POR NOTA'!N60</f>
        <v>0</v>
      </c>
      <c r="Z13" s="38">
        <f>L13*-1</f>
        <v>0</v>
      </c>
      <c r="AA13" s="383">
        <f>'SALDOS POR NOTA'!O60</f>
        <v>0</v>
      </c>
      <c r="AB13" s="37">
        <f>N13</f>
        <v>0</v>
      </c>
      <c r="AC13" s="66">
        <f t="shared" si="2"/>
        <v>0</v>
      </c>
      <c r="AD13" s="66">
        <f>'SALDOS POR NOTA'!C61</f>
        <v>0</v>
      </c>
      <c r="AE13" s="116">
        <f>SUM(U13:AC13)</f>
        <v>0</v>
      </c>
      <c r="AF13" s="119">
        <f>(AE13-O13)</f>
        <v>0</v>
      </c>
      <c r="AG13" s="1" t="b">
        <f t="shared" si="3"/>
        <v>1</v>
      </c>
      <c r="AH13" s="4"/>
    </row>
    <row r="14" spans="1:34" ht="13.5" thickBot="1" x14ac:dyDescent="0.35">
      <c r="B14" s="21"/>
      <c r="C14" s="22" t="s">
        <v>2</v>
      </c>
      <c r="D14" s="43">
        <f>SUM(D9:D13)</f>
        <v>1329905.5</v>
      </c>
      <c r="E14" s="43">
        <f t="shared" ref="E14:N14" si="4">SUM(E9:E13)</f>
        <v>105933.07</v>
      </c>
      <c r="F14" s="43">
        <f t="shared" si="4"/>
        <v>60373.37999999999</v>
      </c>
      <c r="G14" s="43">
        <f t="shared" si="4"/>
        <v>30807.040000000001</v>
      </c>
      <c r="H14" s="43">
        <f t="shared" si="4"/>
        <v>281311.36000000004</v>
      </c>
      <c r="I14" s="43">
        <f t="shared" si="4"/>
        <v>10556.12</v>
      </c>
      <c r="J14" s="43">
        <f t="shared" si="4"/>
        <v>0</v>
      </c>
      <c r="K14" s="32">
        <f t="shared" si="4"/>
        <v>840924.52999999991</v>
      </c>
      <c r="L14" s="23">
        <f t="shared" si="4"/>
        <v>0</v>
      </c>
      <c r="M14" s="76">
        <f t="shared" si="4"/>
        <v>840924.52999999991</v>
      </c>
      <c r="N14" s="23">
        <f t="shared" si="4"/>
        <v>0</v>
      </c>
      <c r="O14" s="76">
        <f>SUM(O9:O13)</f>
        <v>840924.52999999991</v>
      </c>
      <c r="P14" s="2"/>
      <c r="Q14" s="4"/>
      <c r="S14" s="21"/>
      <c r="T14" s="22" t="s">
        <v>2</v>
      </c>
      <c r="U14" s="43">
        <f>SUM(U9:U13)</f>
        <v>123246.34</v>
      </c>
      <c r="V14" s="43">
        <f t="shared" ref="V14:AB14" si="5">SUM(V9:V13)</f>
        <v>90700.98000000001</v>
      </c>
      <c r="W14" s="43">
        <f t="shared" si="5"/>
        <v>399302.95</v>
      </c>
      <c r="X14" s="43">
        <f t="shared" si="5"/>
        <v>263333.49</v>
      </c>
      <c r="Y14" s="43">
        <f t="shared" si="5"/>
        <v>16026.14</v>
      </c>
      <c r="Z14" s="43">
        <f t="shared" si="5"/>
        <v>0</v>
      </c>
      <c r="AA14" s="381">
        <f>SUM(AA9:AA13)</f>
        <v>-0.36</v>
      </c>
      <c r="AB14" s="43">
        <f t="shared" si="5"/>
        <v>0</v>
      </c>
      <c r="AC14" s="43">
        <f>SUM(AC9:AC13)</f>
        <v>-51685.010000000009</v>
      </c>
      <c r="AD14" s="43">
        <f>SUM(AD9:AD13)</f>
        <v>-51685.010000000009</v>
      </c>
      <c r="AE14" s="68">
        <f>SUM(AE9:AE13)</f>
        <v>840924.52999999991</v>
      </c>
      <c r="AF14" s="120">
        <f>SUM(AF9:AF13)</f>
        <v>3.637978807091713E-12</v>
      </c>
      <c r="AG14" s="1" t="b">
        <f t="shared" si="3"/>
        <v>0</v>
      </c>
      <c r="AH14" s="4"/>
    </row>
    <row r="15" spans="1:34" ht="12" thickBot="1" x14ac:dyDescent="0.3">
      <c r="B15" s="2"/>
      <c r="C15" s="2"/>
      <c r="D15" s="24"/>
      <c r="E15" s="24"/>
      <c r="F15" s="24"/>
      <c r="G15" s="24"/>
      <c r="H15" s="24"/>
      <c r="I15" s="24"/>
      <c r="K15" s="24"/>
      <c r="L15" s="24"/>
      <c r="M15" s="24"/>
      <c r="N15" s="24"/>
      <c r="O15" s="24"/>
      <c r="Q15" s="4"/>
      <c r="S15" s="2"/>
      <c r="T15" s="2"/>
      <c r="U15" s="24"/>
      <c r="V15" s="24"/>
      <c r="W15" s="24"/>
      <c r="X15" s="24"/>
      <c r="Y15" s="24"/>
      <c r="AE15" s="24"/>
      <c r="AH15" s="4"/>
    </row>
    <row r="16" spans="1:34" ht="12" thickBot="1" x14ac:dyDescent="0.3">
      <c r="B16" s="2"/>
      <c r="C16" s="2"/>
      <c r="D16" s="24"/>
      <c r="E16" s="24" t="s">
        <v>1</v>
      </c>
      <c r="F16" s="24" t="s">
        <v>1</v>
      </c>
      <c r="G16" s="24"/>
      <c r="H16" s="24" t="s">
        <v>1</v>
      </c>
      <c r="I16" s="24" t="s">
        <v>1</v>
      </c>
      <c r="K16" s="24"/>
      <c r="L16" s="24"/>
      <c r="M16" s="24"/>
      <c r="N16" s="24"/>
      <c r="O16" s="24"/>
      <c r="Q16" s="4"/>
      <c r="Y16" s="86">
        <f>SUM(U14:Y14)</f>
        <v>892609.9</v>
      </c>
      <c r="AA16" s="1" t="s">
        <v>1</v>
      </c>
      <c r="AB16" s="1" t="s">
        <v>1</v>
      </c>
      <c r="AC16" s="1" t="s">
        <v>1</v>
      </c>
      <c r="AE16" s="1" t="s">
        <v>1</v>
      </c>
      <c r="AH16" s="4"/>
    </row>
    <row r="17" spans="1:34" ht="12" thickBot="1" x14ac:dyDescent="0.3">
      <c r="B17" s="2"/>
      <c r="C17" s="2"/>
      <c r="D17" s="24" t="s">
        <v>1</v>
      </c>
      <c r="E17" s="33"/>
      <c r="F17" s="33"/>
      <c r="G17" s="33"/>
      <c r="H17" s="33"/>
      <c r="I17" s="24" t="s">
        <v>1</v>
      </c>
      <c r="K17" s="24"/>
      <c r="L17" s="24"/>
      <c r="M17" s="24"/>
      <c r="N17" s="24"/>
      <c r="O17" s="24"/>
      <c r="Q17" s="4"/>
      <c r="AH17" s="4"/>
    </row>
    <row r="18" spans="1:34" x14ac:dyDescent="0.25">
      <c r="B18" s="2"/>
      <c r="C18" s="2"/>
      <c r="D18" s="24" t="s">
        <v>1</v>
      </c>
      <c r="E18" s="24" t="s">
        <v>1</v>
      </c>
      <c r="F18" s="24" t="s">
        <v>25</v>
      </c>
      <c r="G18" s="24"/>
      <c r="H18" s="24"/>
      <c r="I18" s="24"/>
      <c r="K18" s="24"/>
      <c r="L18" s="24"/>
      <c r="M18" s="24"/>
      <c r="N18" s="24"/>
      <c r="O18" s="24"/>
      <c r="Q18" s="4"/>
      <c r="AH18" s="4"/>
    </row>
    <row r="19" spans="1:34" x14ac:dyDescent="0.25">
      <c r="A19" s="4"/>
      <c r="B19" s="34"/>
      <c r="C19" s="34"/>
      <c r="D19" s="35"/>
      <c r="E19" s="35"/>
      <c r="F19" s="35"/>
      <c r="G19" s="35"/>
      <c r="H19" s="35"/>
      <c r="I19" s="35"/>
      <c r="J19" s="4"/>
      <c r="K19" s="35"/>
      <c r="L19" s="35"/>
      <c r="M19" s="35"/>
      <c r="N19" s="35"/>
      <c r="O19" s="35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  <c r="AE19" s="4"/>
      <c r="AF19" s="4"/>
      <c r="AG19" s="4"/>
      <c r="AH19" s="4"/>
    </row>
    <row r="20" spans="1:34" ht="12" thickBot="1" x14ac:dyDescent="0.3">
      <c r="Q20" s="4"/>
      <c r="AH20" s="4"/>
    </row>
    <row r="21" spans="1:34" x14ac:dyDescent="0.25">
      <c r="B21" s="5"/>
      <c r="C21" s="3" t="s">
        <v>1</v>
      </c>
      <c r="D21" s="6" t="s">
        <v>1</v>
      </c>
      <c r="E21" s="3"/>
      <c r="F21" s="3"/>
      <c r="G21" s="3"/>
      <c r="H21" s="3" t="s">
        <v>1</v>
      </c>
      <c r="I21" s="3"/>
      <c r="J21" s="3"/>
      <c r="K21" s="3"/>
      <c r="L21" s="3"/>
      <c r="M21" s="3"/>
      <c r="N21" s="3"/>
      <c r="O21" s="7"/>
      <c r="P21" s="2"/>
      <c r="Q21" s="4"/>
      <c r="S21" s="5"/>
      <c r="T21" s="3" t="s">
        <v>1</v>
      </c>
      <c r="U21" s="6" t="s">
        <v>1</v>
      </c>
      <c r="V21" s="3"/>
      <c r="W21" s="3"/>
      <c r="X21" s="3" t="s">
        <v>1</v>
      </c>
      <c r="Y21" s="3"/>
      <c r="Z21" s="3"/>
      <c r="AA21" s="3"/>
      <c r="AB21" s="3"/>
      <c r="AC21" s="3"/>
      <c r="AD21" s="3"/>
      <c r="AE21" s="7"/>
      <c r="AF21" s="2"/>
      <c r="AH21" s="4"/>
    </row>
    <row r="22" spans="1:34" ht="14" x14ac:dyDescent="0.3">
      <c r="B22" s="8"/>
      <c r="F22" s="26" t="s">
        <v>8</v>
      </c>
      <c r="G22" s="26"/>
      <c r="I22" s="26" t="s">
        <v>16</v>
      </c>
      <c r="J22" s="25"/>
      <c r="M22" s="2" t="s">
        <v>15</v>
      </c>
      <c r="N22" s="50">
        <f>N3</f>
        <v>2026072</v>
      </c>
      <c r="O22" s="10"/>
      <c r="P22" s="2"/>
      <c r="Q22" s="4"/>
      <c r="S22" s="8"/>
      <c r="U22" s="26" t="s">
        <v>8</v>
      </c>
      <c r="W22" s="26" t="s">
        <v>16</v>
      </c>
      <c r="X22" s="25"/>
      <c r="Y22" s="2"/>
      <c r="AA22" s="2" t="s">
        <v>15</v>
      </c>
      <c r="AC22" s="84">
        <f>N22</f>
        <v>2026072</v>
      </c>
      <c r="AD22" s="84"/>
      <c r="AE22" s="48"/>
      <c r="AF22" s="2"/>
      <c r="AH22" s="4"/>
    </row>
    <row r="23" spans="1:34" ht="15.5" x14ac:dyDescent="0.35">
      <c r="B23" s="8"/>
      <c r="F23" s="36" t="s">
        <v>29</v>
      </c>
      <c r="G23" s="36"/>
      <c r="O23" s="10"/>
      <c r="P23" s="2"/>
      <c r="Q23" s="4"/>
      <c r="S23" s="8"/>
      <c r="T23" s="26" t="s">
        <v>1</v>
      </c>
      <c r="U23" s="36" t="s">
        <v>29</v>
      </c>
      <c r="Y23" s="2" t="s">
        <v>1</v>
      </c>
      <c r="AA23" s="50" t="s">
        <v>1</v>
      </c>
      <c r="AB23" s="2"/>
      <c r="AC23" s="2"/>
      <c r="AD23" s="2"/>
      <c r="AE23" s="10" t="s">
        <v>1</v>
      </c>
      <c r="AF23" s="2"/>
      <c r="AH23" s="4"/>
    </row>
    <row r="24" spans="1:34" ht="14" x14ac:dyDescent="0.3">
      <c r="B24" s="8"/>
      <c r="F24" s="2" t="s">
        <v>30</v>
      </c>
      <c r="G24" s="2"/>
      <c r="M24" s="2" t="s">
        <v>1</v>
      </c>
      <c r="O24" s="10"/>
      <c r="P24" s="2"/>
      <c r="Q24" s="4"/>
      <c r="S24" s="8"/>
      <c r="T24" s="49" t="s">
        <v>1</v>
      </c>
      <c r="U24" s="2" t="s">
        <v>30</v>
      </c>
      <c r="AE24" s="44"/>
      <c r="AF24" s="2"/>
      <c r="AH24" s="4"/>
    </row>
    <row r="25" spans="1:34" ht="15.5" x14ac:dyDescent="0.35">
      <c r="B25" s="8"/>
      <c r="C25" s="2" t="s">
        <v>17</v>
      </c>
      <c r="D25" s="9">
        <f>D6</f>
        <v>46238</v>
      </c>
      <c r="F25" s="41" t="s">
        <v>124</v>
      </c>
      <c r="G25" s="41"/>
      <c r="H25" s="2"/>
      <c r="J25" s="2"/>
      <c r="O25" s="10"/>
      <c r="P25" s="2"/>
      <c r="Q25" s="4"/>
      <c r="S25" s="8"/>
      <c r="T25" s="41" t="s">
        <v>1</v>
      </c>
      <c r="U25" s="41" t="str">
        <f>+F25</f>
        <v>RETRIBUCION NEGATIVA</v>
      </c>
      <c r="V25" s="2"/>
      <c r="X25" s="2"/>
      <c r="Y25" s="2"/>
      <c r="AE25" s="48"/>
      <c r="AF25" s="2"/>
      <c r="AH25" s="4"/>
    </row>
    <row r="26" spans="1:34" ht="12" thickBot="1" x14ac:dyDescent="0.3">
      <c r="B26" s="8"/>
      <c r="C26" s="2" t="s">
        <v>0</v>
      </c>
      <c r="D26" s="241">
        <f>D7</f>
        <v>0.58333333333333337</v>
      </c>
      <c r="F26" s="2" t="s">
        <v>27</v>
      </c>
      <c r="G26" s="2"/>
      <c r="H26" s="9">
        <f>H7</f>
        <v>46219</v>
      </c>
      <c r="J26" s="2" t="s">
        <v>28</v>
      </c>
      <c r="K26" s="9">
        <f>K7</f>
        <v>46234</v>
      </c>
      <c r="O26" s="10"/>
      <c r="P26" s="2"/>
      <c r="Q26" s="4"/>
      <c r="S26" s="8"/>
      <c r="U26" s="1" t="str">
        <f>F26</f>
        <v>Fecha Desde:</v>
      </c>
      <c r="V26" s="9">
        <f>H26</f>
        <v>46219</v>
      </c>
      <c r="W26" s="1" t="s">
        <v>1</v>
      </c>
      <c r="X26" s="1" t="str">
        <f>J26</f>
        <v>Feha Hasta:</v>
      </c>
      <c r="Y26" s="9">
        <f>K26</f>
        <v>46234</v>
      </c>
      <c r="Z26" s="1" t="s">
        <v>1</v>
      </c>
      <c r="AE26" s="48"/>
      <c r="AF26" s="2"/>
      <c r="AH26" s="4"/>
    </row>
    <row r="27" spans="1:34" ht="72" customHeight="1" thickBot="1" x14ac:dyDescent="0.3">
      <c r="B27" s="11" t="s">
        <v>3</v>
      </c>
      <c r="C27" s="27" t="s">
        <v>9</v>
      </c>
      <c r="D27" s="11" t="s">
        <v>4</v>
      </c>
      <c r="E27" s="12" t="s">
        <v>5</v>
      </c>
      <c r="F27" s="12" t="s">
        <v>6</v>
      </c>
      <c r="G27" s="27" t="s">
        <v>159</v>
      </c>
      <c r="H27" s="12" t="s">
        <v>18</v>
      </c>
      <c r="I27" s="12" t="s">
        <v>24</v>
      </c>
      <c r="J27" s="73" t="s">
        <v>19</v>
      </c>
      <c r="K27" s="29" t="s">
        <v>20</v>
      </c>
      <c r="L27" s="28" t="s">
        <v>21</v>
      </c>
      <c r="M27" s="39" t="s">
        <v>22</v>
      </c>
      <c r="N27" s="12" t="s">
        <v>7</v>
      </c>
      <c r="O27" s="39" t="s">
        <v>23</v>
      </c>
      <c r="P27" s="13"/>
      <c r="Q27" s="4"/>
      <c r="S27" s="11" t="s">
        <v>3</v>
      </c>
      <c r="T27" s="27" t="s">
        <v>9</v>
      </c>
      <c r="U27" s="80" t="s">
        <v>39</v>
      </c>
      <c r="V27" s="51" t="s">
        <v>40</v>
      </c>
      <c r="W27" s="51" t="s">
        <v>41</v>
      </c>
      <c r="X27" s="51" t="s">
        <v>42</v>
      </c>
      <c r="Y27" s="81" t="s">
        <v>43</v>
      </c>
      <c r="Z27" s="85" t="s">
        <v>21</v>
      </c>
      <c r="AA27" s="65" t="s">
        <v>46</v>
      </c>
      <c r="AB27" s="65" t="s">
        <v>7</v>
      </c>
      <c r="AC27" s="121" t="s">
        <v>107</v>
      </c>
      <c r="AD27" s="121" t="s">
        <v>106</v>
      </c>
      <c r="AE27" s="39" t="s">
        <v>23</v>
      </c>
      <c r="AF27" s="13"/>
      <c r="AH27" s="4"/>
    </row>
    <row r="28" spans="1:34" s="305" customFormat="1" x14ac:dyDescent="0.25">
      <c r="B28" s="303">
        <v>1</v>
      </c>
      <c r="C28" s="304" t="s">
        <v>10</v>
      </c>
      <c r="D28" s="291">
        <f>'RETRIBUCION NEGATIVA'!C10</f>
        <v>0</v>
      </c>
      <c r="E28" s="292">
        <f>'RETRIBUCION NEGATIVA'!D10</f>
        <v>0</v>
      </c>
      <c r="F28" s="292">
        <f>'RETRIBUCION NEGATIVA'!E10</f>
        <v>0</v>
      </c>
      <c r="G28" s="292">
        <f>'RETRIBUCION NEGATIVA'!F10</f>
        <v>0</v>
      </c>
      <c r="H28" s="292">
        <f>'RETRIBUCION NEGATIVA'!G10</f>
        <v>0</v>
      </c>
      <c r="I28" s="292">
        <f>'RETRIBUCION NEGATIVA'!H10</f>
        <v>0</v>
      </c>
      <c r="J28" s="288">
        <v>0</v>
      </c>
      <c r="K28" s="293">
        <f>D28-E28-F28-H28-I28-J28-G28</f>
        <v>0</v>
      </c>
      <c r="L28" s="294">
        <v>0</v>
      </c>
      <c r="M28" s="293">
        <f>K28-L28</f>
        <v>0</v>
      </c>
      <c r="N28" s="294">
        <f>'RETRIBUCION NEGATIVA'!I10</f>
        <v>0</v>
      </c>
      <c r="O28" s="293">
        <f>M28+N28</f>
        <v>0</v>
      </c>
      <c r="Q28" s="306"/>
      <c r="S28" s="303">
        <v>1</v>
      </c>
      <c r="T28" s="304" t="s">
        <v>10</v>
      </c>
      <c r="U28" s="291">
        <f>'RETRIBUCION NEGATIVA'!J10</f>
        <v>0</v>
      </c>
      <c r="V28" s="291">
        <f>'RETRIBUCION NEGATIVA'!K10</f>
        <v>0</v>
      </c>
      <c r="W28" s="291">
        <f>'RETRIBUCION NEGATIVA'!L10</f>
        <v>0</v>
      </c>
      <c r="X28" s="291">
        <f>'RETRIBUCION NEGATIVA'!M10</f>
        <v>0</v>
      </c>
      <c r="Y28" s="291">
        <f>'RETRIBUCION NEGATIVA'!N10</f>
        <v>0</v>
      </c>
      <c r="Z28" s="310">
        <f>L28*-1</f>
        <v>0</v>
      </c>
      <c r="AA28" s="312">
        <f>'RETRIBUCION NEGATIVA'!O10</f>
        <v>0</v>
      </c>
      <c r="AB28" s="294">
        <f>N28</f>
        <v>0</v>
      </c>
      <c r="AC28" s="291">
        <f>-J28+AD28</f>
        <v>0</v>
      </c>
      <c r="AD28" s="291">
        <f>'RETRIBUCION NEGATIVA'!C11</f>
        <v>0</v>
      </c>
      <c r="AE28" s="363">
        <f>SUM(U28:AC28)</f>
        <v>0</v>
      </c>
      <c r="AF28" s="311">
        <f>(AE28-O28)</f>
        <v>0</v>
      </c>
      <c r="AG28" s="305" t="b">
        <f>AF28=0</f>
        <v>1</v>
      </c>
      <c r="AH28" s="306"/>
    </row>
    <row r="29" spans="1:34" s="305" customFormat="1" x14ac:dyDescent="0.25">
      <c r="B29" s="314">
        <v>2</v>
      </c>
      <c r="C29" s="315" t="s">
        <v>11</v>
      </c>
      <c r="D29" s="291">
        <f>'RETRIBUCION NEGATIVA'!C23</f>
        <v>0</v>
      </c>
      <c r="E29" s="292">
        <f>'RETRIBUCION NEGATIVA'!D23</f>
        <v>0</v>
      </c>
      <c r="F29" s="292">
        <f>'RETRIBUCION NEGATIVA'!E23</f>
        <v>0</v>
      </c>
      <c r="G29" s="292">
        <f>'RETRIBUCION NEGATIVA'!F23</f>
        <v>0</v>
      </c>
      <c r="H29" s="292">
        <f>'RETRIBUCION NEGATIVA'!G23</f>
        <v>0</v>
      </c>
      <c r="I29" s="292">
        <f>'RETRIBUCION NEGATIVA'!H23</f>
        <v>0</v>
      </c>
      <c r="J29" s="288">
        <v>0</v>
      </c>
      <c r="K29" s="295">
        <f t="shared" ref="K29:K32" si="6">D29-E29-F29-H29-I29-J29-G29</f>
        <v>0</v>
      </c>
      <c r="L29" s="299">
        <v>0</v>
      </c>
      <c r="M29" s="295">
        <f>K29-L29</f>
        <v>0</v>
      </c>
      <c r="N29" s="294">
        <f>'RETRIBUCION NEGATIVA'!I23</f>
        <v>0</v>
      </c>
      <c r="O29" s="295">
        <f t="shared" ref="O29:O32" si="7">M29+N29</f>
        <v>0</v>
      </c>
      <c r="Q29" s="306"/>
      <c r="S29" s="314">
        <v>2</v>
      </c>
      <c r="T29" s="315" t="s">
        <v>11</v>
      </c>
      <c r="U29" s="316">
        <f>'RETRIBUCION NEGATIVA'!J23</f>
        <v>0</v>
      </c>
      <c r="V29" s="316">
        <f>'RETRIBUCION NEGATIVA'!K23</f>
        <v>0</v>
      </c>
      <c r="W29" s="316">
        <f>'RETRIBUCION NEGATIVA'!L23</f>
        <v>0</v>
      </c>
      <c r="X29" s="316">
        <f>'RETRIBUCION NEGATIVA'!M23</f>
        <v>0</v>
      </c>
      <c r="Y29" s="316">
        <f>'RETRIBUCION NEGATIVA'!N23</f>
        <v>0</v>
      </c>
      <c r="Z29" s="319">
        <f>L29*-1</f>
        <v>0</v>
      </c>
      <c r="AA29" s="320">
        <f>'RETRIBUCION NEGATIVA'!O23</f>
        <v>0</v>
      </c>
      <c r="AB29" s="294">
        <f>N29</f>
        <v>0</v>
      </c>
      <c r="AC29" s="291">
        <f>-J29+AD29</f>
        <v>0</v>
      </c>
      <c r="AD29" s="291">
        <f>'RETRIBUCION NEGATIVA'!C24</f>
        <v>0</v>
      </c>
      <c r="AE29" s="365">
        <f>SUM(U29:AC29)</f>
        <v>0</v>
      </c>
      <c r="AF29" s="323">
        <f>(AE29-O29)</f>
        <v>0</v>
      </c>
      <c r="AG29" s="305" t="b">
        <f t="shared" ref="AG29:AG33" si="8">AF29=0</f>
        <v>1</v>
      </c>
      <c r="AH29" s="306"/>
    </row>
    <row r="30" spans="1:34" s="305" customFormat="1" x14ac:dyDescent="0.25">
      <c r="B30" s="314">
        <v>3</v>
      </c>
      <c r="C30" s="315" t="s">
        <v>12</v>
      </c>
      <c r="D30" s="291">
        <f>'RETRIBUCION NEGATIVA'!C36</f>
        <v>0</v>
      </c>
      <c r="E30" s="292">
        <f>'RETRIBUCION NEGATIVA'!D36</f>
        <v>0</v>
      </c>
      <c r="F30" s="292">
        <f>'RETRIBUCION NEGATIVA'!E36</f>
        <v>0</v>
      </c>
      <c r="G30" s="292">
        <f>'RETRIBUCION NEGATIVA'!F36</f>
        <v>0</v>
      </c>
      <c r="H30" s="292">
        <f>'RETRIBUCION NEGATIVA'!G36</f>
        <v>0</v>
      </c>
      <c r="I30" s="292">
        <f>'RETRIBUCION NEGATIVA'!H36</f>
        <v>0</v>
      </c>
      <c r="J30" s="288">
        <v>0</v>
      </c>
      <c r="K30" s="295">
        <f t="shared" si="6"/>
        <v>0</v>
      </c>
      <c r="L30" s="299">
        <v>0</v>
      </c>
      <c r="M30" s="295">
        <f>K30-L30</f>
        <v>0</v>
      </c>
      <c r="N30" s="294">
        <f>'RETRIBUCION NEGATIVA'!I36</f>
        <v>0</v>
      </c>
      <c r="O30" s="295">
        <f t="shared" si="7"/>
        <v>0</v>
      </c>
      <c r="Q30" s="306"/>
      <c r="S30" s="314">
        <v>3</v>
      </c>
      <c r="T30" s="315" t="s">
        <v>12</v>
      </c>
      <c r="U30" s="316">
        <f>'RETRIBUCION NEGATIVA'!J36</f>
        <v>0</v>
      </c>
      <c r="V30" s="316">
        <f>'RETRIBUCION NEGATIVA'!K36</f>
        <v>0</v>
      </c>
      <c r="W30" s="316">
        <f>'RETRIBUCION NEGATIVA'!L36</f>
        <v>0</v>
      </c>
      <c r="X30" s="316">
        <f>'RETRIBUCION NEGATIVA'!M36</f>
        <v>0</v>
      </c>
      <c r="Y30" s="316">
        <f>'RETRIBUCION NEGATIVA'!N36</f>
        <v>0</v>
      </c>
      <c r="Z30" s="319">
        <f>L30*-1</f>
        <v>0</v>
      </c>
      <c r="AA30" s="320">
        <f>'RETRIBUCION NEGATIVA'!O36</f>
        <v>0</v>
      </c>
      <c r="AB30" s="294">
        <f>N30</f>
        <v>0</v>
      </c>
      <c r="AC30" s="291">
        <f t="shared" ref="AC30:AC32" si="9">-J30+AD30</f>
        <v>0</v>
      </c>
      <c r="AD30" s="291">
        <f>'RETRIBUCION NEGATIVA'!C37</f>
        <v>0</v>
      </c>
      <c r="AE30" s="365">
        <f>SUM(U30:AC30)</f>
        <v>0</v>
      </c>
      <c r="AF30" s="323">
        <f t="shared" ref="AF30:AF31" si="10">(AE30-O30)</f>
        <v>0</v>
      </c>
      <c r="AG30" s="305" t="b">
        <f t="shared" si="8"/>
        <v>1</v>
      </c>
      <c r="AH30" s="306"/>
    </row>
    <row r="31" spans="1:34" s="305" customFormat="1" x14ac:dyDescent="0.25">
      <c r="B31" s="314">
        <v>4</v>
      </c>
      <c r="C31" s="315" t="s">
        <v>13</v>
      </c>
      <c r="D31" s="291">
        <f>'RETRIBUCION NEGATIVA'!C49</f>
        <v>0</v>
      </c>
      <c r="E31" s="292">
        <f>'RETRIBUCION NEGATIVA'!D49</f>
        <v>0</v>
      </c>
      <c r="F31" s="292">
        <f>'RETRIBUCION NEGATIVA'!E49</f>
        <v>0</v>
      </c>
      <c r="G31" s="292">
        <f>'RETRIBUCION NEGATIVA'!F49</f>
        <v>0</v>
      </c>
      <c r="H31" s="292">
        <f>'RETRIBUCION NEGATIVA'!G49</f>
        <v>0</v>
      </c>
      <c r="I31" s="292">
        <f>'RETRIBUCION NEGATIVA'!H49</f>
        <v>0</v>
      </c>
      <c r="J31" s="288">
        <v>0</v>
      </c>
      <c r="K31" s="295">
        <f t="shared" si="6"/>
        <v>0</v>
      </c>
      <c r="L31" s="299">
        <v>0</v>
      </c>
      <c r="M31" s="295">
        <f>K31-L31</f>
        <v>0</v>
      </c>
      <c r="N31" s="294">
        <f>'RETRIBUCION NEGATIVA'!I49</f>
        <v>0</v>
      </c>
      <c r="O31" s="295">
        <f t="shared" si="7"/>
        <v>0</v>
      </c>
      <c r="Q31" s="306"/>
      <c r="S31" s="314">
        <v>4</v>
      </c>
      <c r="T31" s="315" t="s">
        <v>13</v>
      </c>
      <c r="U31" s="316">
        <f>'RETRIBUCION NEGATIVA'!J49</f>
        <v>0</v>
      </c>
      <c r="V31" s="316">
        <f>'RETRIBUCION NEGATIVA'!K49</f>
        <v>0</v>
      </c>
      <c r="W31" s="316">
        <f>'RETRIBUCION NEGATIVA'!L49</f>
        <v>0</v>
      </c>
      <c r="X31" s="316">
        <f>'RETRIBUCION NEGATIVA'!M49</f>
        <v>0</v>
      </c>
      <c r="Y31" s="316">
        <f>'RETRIBUCION NEGATIVA'!N49</f>
        <v>0</v>
      </c>
      <c r="Z31" s="319">
        <f>L31*-1</f>
        <v>0</v>
      </c>
      <c r="AA31" s="320">
        <f>'RETRIBUCION NEGATIVA'!O49</f>
        <v>0</v>
      </c>
      <c r="AB31" s="294">
        <f>N31</f>
        <v>0</v>
      </c>
      <c r="AC31" s="291">
        <f t="shared" si="9"/>
        <v>0</v>
      </c>
      <c r="AD31" s="291">
        <f>'RETRIBUCION NEGATIVA'!C50</f>
        <v>0</v>
      </c>
      <c r="AE31" s="365">
        <f>SUM(U31:AC31)</f>
        <v>0</v>
      </c>
      <c r="AF31" s="323">
        <f t="shared" si="10"/>
        <v>0</v>
      </c>
      <c r="AG31" s="305" t="b">
        <f t="shared" si="8"/>
        <v>1</v>
      </c>
      <c r="AH31" s="306"/>
    </row>
    <row r="32" spans="1:34" s="305" customFormat="1" ht="12" thickBot="1" x14ac:dyDescent="0.3">
      <c r="B32" s="324">
        <v>5</v>
      </c>
      <c r="C32" s="325" t="s">
        <v>14</v>
      </c>
      <c r="D32" s="296">
        <f>'RETRIBUCION NEGATIVA'!C61</f>
        <v>0</v>
      </c>
      <c r="E32" s="297">
        <f>'RETRIBUCION NEGATIVA'!D61</f>
        <v>0</v>
      </c>
      <c r="F32" s="297">
        <f>'RETRIBUCION NEGATIVA'!E61</f>
        <v>0</v>
      </c>
      <c r="G32" s="297">
        <f>'RETRIBUCION NEGATIVA'!F61</f>
        <v>0</v>
      </c>
      <c r="H32" s="297">
        <f>'RETRIBUCION NEGATIVA'!G61</f>
        <v>0</v>
      </c>
      <c r="I32" s="297">
        <f>'RETRIBUCION NEGATIVA'!H61</f>
        <v>0</v>
      </c>
      <c r="J32" s="289">
        <v>0</v>
      </c>
      <c r="K32" s="295">
        <f t="shared" si="6"/>
        <v>0</v>
      </c>
      <c r="L32" s="299">
        <v>0</v>
      </c>
      <c r="M32" s="298">
        <f>K32-L32</f>
        <v>0</v>
      </c>
      <c r="N32" s="299">
        <f>'RETRIBUCION NEGATIVA'!I61</f>
        <v>0</v>
      </c>
      <c r="O32" s="298">
        <f t="shared" si="7"/>
        <v>0</v>
      </c>
      <c r="Q32" s="306"/>
      <c r="S32" s="324">
        <v>5</v>
      </c>
      <c r="T32" s="325" t="s">
        <v>14</v>
      </c>
      <c r="U32" s="296">
        <f>'RETRIBUCION NEGATIVA'!J61</f>
        <v>0</v>
      </c>
      <c r="V32" s="296">
        <f>'RETRIBUCION NEGATIVA'!K61</f>
        <v>0</v>
      </c>
      <c r="W32" s="296">
        <f>'RETRIBUCION NEGATIVA'!L61</f>
        <v>0</v>
      </c>
      <c r="X32" s="296">
        <f>'RETRIBUCION NEGATIVA'!M61</f>
        <v>0</v>
      </c>
      <c r="Y32" s="296">
        <f>'RETRIBUCION NEGATIVA'!N61</f>
        <v>0</v>
      </c>
      <c r="Z32" s="319">
        <f>L32*-1</f>
        <v>0</v>
      </c>
      <c r="AA32" s="320">
        <f>'RETRIBUCION NEGATIVA'!O61</f>
        <v>0</v>
      </c>
      <c r="AB32" s="294">
        <f>N32</f>
        <v>0</v>
      </c>
      <c r="AC32" s="291">
        <f t="shared" si="9"/>
        <v>0</v>
      </c>
      <c r="AD32" s="291">
        <f>'RETRIBUCION NEGATIVA'!C62</f>
        <v>0</v>
      </c>
      <c r="AE32" s="365">
        <f>SUM(U32:AC32)</f>
        <v>0</v>
      </c>
      <c r="AF32" s="326">
        <f>(AE32-O32)</f>
        <v>0</v>
      </c>
      <c r="AG32" s="305" t="b">
        <f t="shared" si="8"/>
        <v>1</v>
      </c>
      <c r="AH32" s="306"/>
    </row>
    <row r="33" spans="1:34" s="305" customFormat="1" ht="13.5" thickBot="1" x14ac:dyDescent="0.35">
      <c r="B33" s="327"/>
      <c r="C33" s="328" t="s">
        <v>2</v>
      </c>
      <c r="D33" s="290">
        <f>SUM(D28:D32)</f>
        <v>0</v>
      </c>
      <c r="E33" s="290">
        <f t="shared" ref="E33:O33" si="11">SUM(E28:E32)</f>
        <v>0</v>
      </c>
      <c r="F33" s="290">
        <f t="shared" si="11"/>
        <v>0</v>
      </c>
      <c r="G33" s="290">
        <f>SUM(G28:G32)</f>
        <v>0</v>
      </c>
      <c r="H33" s="290">
        <f t="shared" si="11"/>
        <v>0</v>
      </c>
      <c r="I33" s="290">
        <f t="shared" si="11"/>
        <v>0</v>
      </c>
      <c r="J33" s="290">
        <f t="shared" si="11"/>
        <v>0</v>
      </c>
      <c r="K33" s="300">
        <f t="shared" si="11"/>
        <v>0</v>
      </c>
      <c r="L33" s="301">
        <f t="shared" si="11"/>
        <v>0</v>
      </c>
      <c r="M33" s="302">
        <f t="shared" si="11"/>
        <v>0</v>
      </c>
      <c r="N33" s="301">
        <f t="shared" si="11"/>
        <v>0</v>
      </c>
      <c r="O33" s="302">
        <f t="shared" si="11"/>
        <v>0</v>
      </c>
      <c r="P33" s="329"/>
      <c r="Q33" s="306"/>
      <c r="S33" s="327"/>
      <c r="T33" s="328" t="s">
        <v>2</v>
      </c>
      <c r="U33" s="290">
        <f>SUM(U28:U32)</f>
        <v>0</v>
      </c>
      <c r="V33" s="290">
        <f t="shared" ref="V33:AF33" si="12">SUM(V28:V32)</f>
        <v>0</v>
      </c>
      <c r="W33" s="290">
        <f t="shared" si="12"/>
        <v>0</v>
      </c>
      <c r="X33" s="290">
        <f t="shared" si="12"/>
        <v>0</v>
      </c>
      <c r="Y33" s="290">
        <f t="shared" si="12"/>
        <v>0</v>
      </c>
      <c r="Z33" s="290">
        <f t="shared" si="12"/>
        <v>0</v>
      </c>
      <c r="AA33" s="290">
        <f t="shared" si="12"/>
        <v>0</v>
      </c>
      <c r="AB33" s="290">
        <f t="shared" si="12"/>
        <v>0</v>
      </c>
      <c r="AC33" s="290">
        <f>SUM(AC28:AC32)</f>
        <v>0</v>
      </c>
      <c r="AD33" s="290">
        <f>SUM(AD28:AD32)</f>
        <v>0</v>
      </c>
      <c r="AE33" s="331">
        <f t="shared" si="12"/>
        <v>0</v>
      </c>
      <c r="AF33" s="332">
        <f t="shared" si="12"/>
        <v>0</v>
      </c>
      <c r="AG33" s="305" t="b">
        <f t="shared" si="8"/>
        <v>1</v>
      </c>
      <c r="AH33" s="306"/>
    </row>
    <row r="34" spans="1:34" ht="12" thickBot="1" x14ac:dyDescent="0.3">
      <c r="B34" s="2"/>
      <c r="C34" s="2"/>
      <c r="D34" s="24"/>
      <c r="E34" s="24"/>
      <c r="F34" s="24"/>
      <c r="G34" s="24"/>
      <c r="H34" s="24"/>
      <c r="I34" s="24"/>
      <c r="K34" s="24"/>
      <c r="L34" s="24"/>
      <c r="M34" s="24"/>
      <c r="N34" s="24"/>
      <c r="O34" s="24"/>
      <c r="Q34" s="4"/>
      <c r="S34" s="2"/>
      <c r="T34" s="2"/>
      <c r="U34" s="24"/>
      <c r="V34" s="24"/>
      <c r="W34" s="24"/>
      <c r="X34" s="24"/>
      <c r="Y34" s="24"/>
      <c r="AE34" s="24"/>
      <c r="AH34" s="4"/>
    </row>
    <row r="35" spans="1:34" ht="13.5" customHeight="1" thickBot="1" x14ac:dyDescent="0.3">
      <c r="B35" s="2"/>
      <c r="C35" s="2"/>
      <c r="D35" s="24" t="s">
        <v>1</v>
      </c>
      <c r="E35" s="24"/>
      <c r="F35" s="24"/>
      <c r="G35" s="24"/>
      <c r="H35" s="24"/>
      <c r="I35" s="24"/>
      <c r="J35" s="1" t="s">
        <v>267</v>
      </c>
      <c r="M35" s="640" t="b">
        <f>IF(MAX(D28:O32,U28:AE32)&gt;0.9,"ERROR",TRUE)</f>
        <v>1</v>
      </c>
      <c r="O35" s="24"/>
      <c r="Q35" s="4"/>
      <c r="Y35" s="86">
        <f>SUM(U33:Y33)</f>
        <v>0</v>
      </c>
      <c r="AA35" s="1" t="s">
        <v>1</v>
      </c>
      <c r="AB35" s="1" t="s">
        <v>1</v>
      </c>
      <c r="AC35" s="1" t="s">
        <v>1</v>
      </c>
      <c r="AE35" s="1" t="s">
        <v>1</v>
      </c>
      <c r="AH35" s="4"/>
    </row>
    <row r="36" spans="1:34" ht="12" thickBot="1" x14ac:dyDescent="0.3">
      <c r="B36" s="2"/>
      <c r="C36" s="2"/>
      <c r="D36" s="24" t="s">
        <v>1</v>
      </c>
      <c r="E36" s="33"/>
      <c r="F36" s="33"/>
      <c r="G36" s="33"/>
      <c r="H36" s="33"/>
      <c r="I36" s="24"/>
      <c r="O36" s="24"/>
      <c r="Q36" s="4"/>
      <c r="AH36" s="4"/>
    </row>
    <row r="37" spans="1:34" x14ac:dyDescent="0.25">
      <c r="B37" s="2"/>
      <c r="C37" s="2"/>
      <c r="D37" s="24" t="s">
        <v>1</v>
      </c>
      <c r="E37" s="24" t="s">
        <v>1</v>
      </c>
      <c r="F37" s="24" t="s">
        <v>25</v>
      </c>
      <c r="G37" s="24"/>
      <c r="H37" s="24"/>
      <c r="I37" s="24"/>
      <c r="K37" s="24"/>
      <c r="L37" s="24"/>
      <c r="M37" s="24"/>
      <c r="N37" s="24"/>
      <c r="O37" s="24"/>
      <c r="Q37" s="4"/>
      <c r="AH37" s="4"/>
    </row>
    <row r="38" spans="1:34" x14ac:dyDescent="0.25">
      <c r="A38" s="4"/>
      <c r="B38" s="34"/>
      <c r="C38" s="34"/>
      <c r="D38" s="35"/>
      <c r="E38" s="35"/>
      <c r="F38" s="35"/>
      <c r="G38" s="35"/>
      <c r="H38" s="35"/>
      <c r="I38" s="35"/>
      <c r="J38" s="4"/>
      <c r="K38" s="35"/>
      <c r="L38" s="35"/>
      <c r="M38" s="35"/>
      <c r="N38" s="35"/>
      <c r="O38" s="35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  <c r="AE38" s="4"/>
      <c r="AF38" s="4"/>
      <c r="AG38" s="4"/>
      <c r="AH38" s="4"/>
    </row>
    <row r="39" spans="1:34" ht="12" thickBot="1" x14ac:dyDescent="0.3">
      <c r="Q39" s="4"/>
      <c r="AH39" s="4"/>
    </row>
    <row r="40" spans="1:34" x14ac:dyDescent="0.25">
      <c r="B40" s="5"/>
      <c r="C40" s="3" t="s">
        <v>1</v>
      </c>
      <c r="D40" s="6" t="s">
        <v>1</v>
      </c>
      <c r="E40" s="3"/>
      <c r="F40" s="3"/>
      <c r="G40" s="3"/>
      <c r="H40" s="3" t="s">
        <v>1</v>
      </c>
      <c r="I40" s="3"/>
      <c r="J40" s="3"/>
      <c r="K40" s="3"/>
      <c r="L40" s="3"/>
      <c r="M40" s="3"/>
      <c r="N40" s="3"/>
      <c r="O40" s="7"/>
      <c r="P40" s="2"/>
      <c r="Q40" s="4"/>
      <c r="S40" s="5"/>
      <c r="T40" s="3" t="s">
        <v>1</v>
      </c>
      <c r="U40" s="6" t="s">
        <v>1</v>
      </c>
      <c r="V40" s="3"/>
      <c r="W40" s="3"/>
      <c r="X40" s="3" t="s">
        <v>1</v>
      </c>
      <c r="Y40" s="3"/>
      <c r="Z40" s="3"/>
      <c r="AA40" s="3"/>
      <c r="AB40" s="3"/>
      <c r="AC40" s="3"/>
      <c r="AD40" s="3"/>
      <c r="AE40" s="7"/>
      <c r="AF40" s="2"/>
      <c r="AH40" s="4"/>
    </row>
    <row r="41" spans="1:34" ht="14" x14ac:dyDescent="0.3">
      <c r="B41" s="8"/>
      <c r="F41" s="26" t="s">
        <v>8</v>
      </c>
      <c r="G41" s="26"/>
      <c r="I41" s="26" t="s">
        <v>16</v>
      </c>
      <c r="J41" s="25"/>
      <c r="M41" s="2" t="s">
        <v>15</v>
      </c>
      <c r="N41" s="50">
        <f>N3</f>
        <v>2026072</v>
      </c>
      <c r="O41" s="10"/>
      <c r="P41" s="2"/>
      <c r="Q41" s="4"/>
      <c r="S41" s="8"/>
      <c r="U41" s="26" t="s">
        <v>8</v>
      </c>
      <c r="W41" s="26" t="s">
        <v>16</v>
      </c>
      <c r="X41" s="25"/>
      <c r="Y41" s="2"/>
      <c r="AA41" s="2" t="s">
        <v>15</v>
      </c>
      <c r="AC41" s="84">
        <f>N41</f>
        <v>2026072</v>
      </c>
      <c r="AD41" s="84"/>
      <c r="AE41" s="48"/>
      <c r="AF41" s="2"/>
      <c r="AH41" s="4"/>
    </row>
    <row r="42" spans="1:34" ht="15.5" x14ac:dyDescent="0.35">
      <c r="B42" s="8"/>
      <c r="F42" s="36" t="s">
        <v>29</v>
      </c>
      <c r="G42" s="36"/>
      <c r="O42" s="10"/>
      <c r="P42" s="2"/>
      <c r="Q42" s="4"/>
      <c r="S42" s="8"/>
      <c r="T42" s="26" t="s">
        <v>1</v>
      </c>
      <c r="U42" s="36" t="s">
        <v>29</v>
      </c>
      <c r="Y42" s="2" t="s">
        <v>1</v>
      </c>
      <c r="AA42" s="50" t="s">
        <v>1</v>
      </c>
      <c r="AB42" s="2"/>
      <c r="AC42" s="2"/>
      <c r="AD42" s="2"/>
      <c r="AE42" s="10" t="s">
        <v>1</v>
      </c>
      <c r="AF42" s="2"/>
      <c r="AH42" s="4"/>
    </row>
    <row r="43" spans="1:34" ht="14" x14ac:dyDescent="0.3">
      <c r="B43" s="8"/>
      <c r="F43" s="2" t="s">
        <v>30</v>
      </c>
      <c r="G43" s="2"/>
      <c r="M43" s="2" t="s">
        <v>1</v>
      </c>
      <c r="O43" s="10"/>
      <c r="P43" s="2"/>
      <c r="Q43" s="4"/>
      <c r="S43" s="8"/>
      <c r="T43" s="49" t="s">
        <v>1</v>
      </c>
      <c r="U43" s="2" t="s">
        <v>30</v>
      </c>
      <c r="AE43" s="44"/>
      <c r="AF43" s="2"/>
      <c r="AH43" s="4"/>
    </row>
    <row r="44" spans="1:34" ht="15.5" x14ac:dyDescent="0.35">
      <c r="B44" s="8"/>
      <c r="C44" s="2" t="s">
        <v>17</v>
      </c>
      <c r="D44" s="9">
        <f>D6</f>
        <v>46238</v>
      </c>
      <c r="F44" s="41" t="s">
        <v>125</v>
      </c>
      <c r="G44" s="41"/>
      <c r="H44" s="2"/>
      <c r="J44" s="2"/>
      <c r="O44" s="10"/>
      <c r="P44" s="2"/>
      <c r="Q44" s="4"/>
      <c r="S44" s="8"/>
      <c r="T44" s="41" t="s">
        <v>1</v>
      </c>
      <c r="U44" s="41" t="str">
        <f>+F44</f>
        <v>CONSOLIDADO SALDOS A FAVOR</v>
      </c>
      <c r="V44" s="2"/>
      <c r="X44" s="2"/>
      <c r="Y44" s="2"/>
      <c r="AE44" s="48"/>
      <c r="AF44" s="2"/>
      <c r="AH44" s="4"/>
    </row>
    <row r="45" spans="1:34" ht="12" thickBot="1" x14ac:dyDescent="0.3">
      <c r="B45" s="8"/>
      <c r="C45" s="2" t="s">
        <v>0</v>
      </c>
      <c r="D45" s="241">
        <f>D7</f>
        <v>0.58333333333333337</v>
      </c>
      <c r="F45" s="2" t="s">
        <v>27</v>
      </c>
      <c r="G45" s="2"/>
      <c r="H45" s="9">
        <f>H7</f>
        <v>46219</v>
      </c>
      <c r="J45" s="2" t="s">
        <v>28</v>
      </c>
      <c r="K45" s="9">
        <f>K7</f>
        <v>46234</v>
      </c>
      <c r="O45" s="10"/>
      <c r="P45" s="2"/>
      <c r="Q45" s="4"/>
      <c r="S45" s="8"/>
      <c r="U45" s="1" t="str">
        <f>F45</f>
        <v>Fecha Desde:</v>
      </c>
      <c r="V45" s="9">
        <f>H45</f>
        <v>46219</v>
      </c>
      <c r="W45" s="1" t="s">
        <v>1</v>
      </c>
      <c r="X45" s="1" t="str">
        <f>J45</f>
        <v>Feha Hasta:</v>
      </c>
      <c r="Y45" s="9">
        <f>K45</f>
        <v>46234</v>
      </c>
      <c r="Z45" s="1" t="s">
        <v>1</v>
      </c>
      <c r="AE45" s="48"/>
      <c r="AF45" s="2"/>
      <c r="AH45" s="4"/>
    </row>
    <row r="46" spans="1:34" ht="72" customHeight="1" thickBot="1" x14ac:dyDescent="0.3">
      <c r="B46" s="11" t="s">
        <v>3</v>
      </c>
      <c r="C46" s="27" t="s">
        <v>9</v>
      </c>
      <c r="D46" s="11" t="s">
        <v>4</v>
      </c>
      <c r="E46" s="12" t="s">
        <v>5</v>
      </c>
      <c r="F46" s="12" t="s">
        <v>6</v>
      </c>
      <c r="G46" s="27" t="s">
        <v>159</v>
      </c>
      <c r="H46" s="12" t="s">
        <v>18</v>
      </c>
      <c r="I46" s="12" t="s">
        <v>24</v>
      </c>
      <c r="J46" s="73" t="s">
        <v>19</v>
      </c>
      <c r="K46" s="29" t="s">
        <v>20</v>
      </c>
      <c r="L46" s="28" t="s">
        <v>21</v>
      </c>
      <c r="M46" s="39" t="s">
        <v>22</v>
      </c>
      <c r="N46" s="12" t="s">
        <v>7</v>
      </c>
      <c r="O46" s="39" t="s">
        <v>23</v>
      </c>
      <c r="P46" s="13"/>
      <c r="Q46" s="4"/>
      <c r="S46" s="11" t="s">
        <v>3</v>
      </c>
      <c r="T46" s="27" t="s">
        <v>9</v>
      </c>
      <c r="U46" s="80" t="s">
        <v>39</v>
      </c>
      <c r="V46" s="51" t="s">
        <v>40</v>
      </c>
      <c r="W46" s="51" t="s">
        <v>41</v>
      </c>
      <c r="X46" s="51" t="s">
        <v>42</v>
      </c>
      <c r="Y46" s="81" t="s">
        <v>43</v>
      </c>
      <c r="Z46" s="85" t="s">
        <v>21</v>
      </c>
      <c r="AA46" s="65" t="s">
        <v>46</v>
      </c>
      <c r="AB46" s="65" t="s">
        <v>7</v>
      </c>
      <c r="AC46" s="121" t="s">
        <v>107</v>
      </c>
      <c r="AD46" s="121" t="s">
        <v>106</v>
      </c>
      <c r="AE46" s="39" t="s">
        <v>23</v>
      </c>
      <c r="AF46" s="13"/>
      <c r="AH46" s="4"/>
    </row>
    <row r="47" spans="1:34" x14ac:dyDescent="0.25">
      <c r="B47" s="14">
        <v>1</v>
      </c>
      <c r="C47" s="61" t="s">
        <v>10</v>
      </c>
      <c r="D47" s="66">
        <f>D9+D28</f>
        <v>973693.46</v>
      </c>
      <c r="E47" s="66">
        <f t="shared" ref="E47:F47" si="13">E9+E28</f>
        <v>65524.22</v>
      </c>
      <c r="F47" s="66">
        <f t="shared" si="13"/>
        <v>36995.019999999997</v>
      </c>
      <c r="G47" s="66">
        <f t="shared" ref="G47" si="14">G9+G28</f>
        <v>19417.650000000001</v>
      </c>
      <c r="H47" s="66">
        <f t="shared" ref="H47:J51" si="15">H9+H28</f>
        <v>156624.35</v>
      </c>
      <c r="I47" s="66">
        <f t="shared" si="15"/>
        <v>5557.5</v>
      </c>
      <c r="J47" s="66">
        <f>J9+J28</f>
        <v>0</v>
      </c>
      <c r="K47" s="30">
        <f>D47-E47-F47-G47-H47-I47-J47</f>
        <v>689574.72</v>
      </c>
      <c r="L47" s="37">
        <v>0</v>
      </c>
      <c r="M47" s="30">
        <f>K47-L47</f>
        <v>689574.72</v>
      </c>
      <c r="N47" s="66">
        <f>N9+N28</f>
        <v>0</v>
      </c>
      <c r="O47" s="30">
        <f>M47+N47</f>
        <v>689574.72</v>
      </c>
      <c r="Q47" s="4"/>
      <c r="S47" s="14">
        <v>1</v>
      </c>
      <c r="T47" s="61" t="s">
        <v>10</v>
      </c>
      <c r="U47" s="140">
        <f t="shared" ref="U47:Y51" si="16">U9+U28</f>
        <v>52109.79</v>
      </c>
      <c r="V47" s="140">
        <f t="shared" si="16"/>
        <v>47607.03</v>
      </c>
      <c r="W47" s="140">
        <f t="shared" si="16"/>
        <v>225441.17</v>
      </c>
      <c r="X47" s="140">
        <f t="shared" si="16"/>
        <v>178429.31</v>
      </c>
      <c r="Y47" s="140">
        <f t="shared" si="16"/>
        <v>9067.43</v>
      </c>
      <c r="Z47" s="87">
        <f>-L47</f>
        <v>0</v>
      </c>
      <c r="AA47" s="75">
        <f t="shared" ref="AA47:AD51" si="17">AA9+AA28</f>
        <v>0</v>
      </c>
      <c r="AB47" s="75">
        <f>AB9+AB28</f>
        <v>0</v>
      </c>
      <c r="AC47" s="75">
        <f t="shared" si="17"/>
        <v>176919.99</v>
      </c>
      <c r="AD47" s="75">
        <f t="shared" si="17"/>
        <v>176919.99</v>
      </c>
      <c r="AE47" s="69">
        <f>SUM(U47:AC47)</f>
        <v>689574.72</v>
      </c>
      <c r="AF47" s="117">
        <f>(AE47-O47)</f>
        <v>0</v>
      </c>
      <c r="AG47" s="1" t="b">
        <f>AF47=0</f>
        <v>1</v>
      </c>
      <c r="AH47" s="4"/>
    </row>
    <row r="48" spans="1:34" x14ac:dyDescent="0.25">
      <c r="B48" s="16">
        <v>2</v>
      </c>
      <c r="C48" s="62" t="s">
        <v>11</v>
      </c>
      <c r="D48" s="66">
        <f t="shared" ref="D48:F51" si="18">D10+D29</f>
        <v>216025.77</v>
      </c>
      <c r="E48" s="66">
        <f t="shared" si="18"/>
        <v>31897.62</v>
      </c>
      <c r="F48" s="66">
        <f t="shared" si="18"/>
        <v>18572.91</v>
      </c>
      <c r="G48" s="66">
        <f t="shared" ref="G48" si="19">G10+G29</f>
        <v>8867.14</v>
      </c>
      <c r="H48" s="66">
        <f t="shared" si="15"/>
        <v>92959.49</v>
      </c>
      <c r="I48" s="66">
        <f t="shared" si="15"/>
        <v>3883.88</v>
      </c>
      <c r="J48" s="66">
        <f t="shared" si="15"/>
        <v>0</v>
      </c>
      <c r="K48" s="31">
        <f>D48-E48-F48-G48-H48-I48-J48</f>
        <v>59844.729999999974</v>
      </c>
      <c r="L48" s="38">
        <v>0</v>
      </c>
      <c r="M48" s="31">
        <f>K48-L48</f>
        <v>59844.729999999974</v>
      </c>
      <c r="N48" s="66">
        <f>N10+N29</f>
        <v>0</v>
      </c>
      <c r="O48" s="31">
        <f t="shared" ref="O48:O51" si="20">M48+N48</f>
        <v>59844.729999999974</v>
      </c>
      <c r="Q48" s="4"/>
      <c r="S48" s="16">
        <v>2</v>
      </c>
      <c r="T48" s="62" t="s">
        <v>11</v>
      </c>
      <c r="U48" s="82">
        <f t="shared" si="16"/>
        <v>61358.09</v>
      </c>
      <c r="V48" s="82">
        <f t="shared" si="16"/>
        <v>33534.01</v>
      </c>
      <c r="W48" s="82">
        <f t="shared" si="16"/>
        <v>127815.87</v>
      </c>
      <c r="X48" s="82">
        <f t="shared" si="16"/>
        <v>64515.32</v>
      </c>
      <c r="Y48" s="82">
        <f t="shared" si="16"/>
        <v>5139.92</v>
      </c>
      <c r="Z48" s="88">
        <f>-L48</f>
        <v>0</v>
      </c>
      <c r="AA48" s="67">
        <f>AA10+AA29</f>
        <v>-0.36</v>
      </c>
      <c r="AB48" s="67">
        <f>AB10+AB29</f>
        <v>0</v>
      </c>
      <c r="AC48" s="67">
        <f t="shared" si="17"/>
        <v>-232518.12</v>
      </c>
      <c r="AD48" s="67">
        <f t="shared" si="17"/>
        <v>-232518.12</v>
      </c>
      <c r="AE48" s="70">
        <f>SUM(U48:AC48)</f>
        <v>59844.729999999981</v>
      </c>
      <c r="AF48" s="118">
        <f>(AE48-O48)</f>
        <v>7.2759576141834259E-12</v>
      </c>
      <c r="AG48" s="1" t="b">
        <f t="shared" ref="AG48:AG52" si="21">AF48=0</f>
        <v>0</v>
      </c>
      <c r="AH48" s="4"/>
    </row>
    <row r="49" spans="1:34" x14ac:dyDescent="0.25">
      <c r="B49" s="16">
        <v>3</v>
      </c>
      <c r="C49" s="62" t="s">
        <v>12</v>
      </c>
      <c r="D49" s="66">
        <f t="shared" si="18"/>
        <v>104231.83</v>
      </c>
      <c r="E49" s="66">
        <f t="shared" si="18"/>
        <v>6620.63</v>
      </c>
      <c r="F49" s="66">
        <f t="shared" si="18"/>
        <v>3738.02</v>
      </c>
      <c r="G49" s="66">
        <f t="shared" ref="G49" si="22">G11+G30</f>
        <v>1961.98</v>
      </c>
      <c r="H49" s="66">
        <f t="shared" si="15"/>
        <v>20927.5</v>
      </c>
      <c r="I49" s="66">
        <f t="shared" si="15"/>
        <v>743.08</v>
      </c>
      <c r="J49" s="66">
        <f t="shared" si="15"/>
        <v>0</v>
      </c>
      <c r="K49" s="31">
        <f t="shared" ref="K49:K51" si="23">D49-E49-F49-G49-H49-I49-J49</f>
        <v>70240.62</v>
      </c>
      <c r="L49" s="38">
        <v>0</v>
      </c>
      <c r="M49" s="31">
        <f>K49-L49</f>
        <v>70240.62</v>
      </c>
      <c r="N49" s="66">
        <f>N11+N30</f>
        <v>0</v>
      </c>
      <c r="O49" s="31">
        <f t="shared" si="20"/>
        <v>70240.62</v>
      </c>
      <c r="Q49" s="4"/>
      <c r="S49" s="16">
        <v>3</v>
      </c>
      <c r="T49" s="62" t="s">
        <v>12</v>
      </c>
      <c r="U49" s="82">
        <f t="shared" si="16"/>
        <v>6518.28</v>
      </c>
      <c r="V49" s="82">
        <f t="shared" si="16"/>
        <v>6410.86</v>
      </c>
      <c r="W49" s="82">
        <f t="shared" si="16"/>
        <v>30349.1</v>
      </c>
      <c r="X49" s="82">
        <f t="shared" si="16"/>
        <v>15383.1</v>
      </c>
      <c r="Y49" s="82">
        <f t="shared" si="16"/>
        <v>1212.4000000000001</v>
      </c>
      <c r="Z49" s="88">
        <f>-L49</f>
        <v>0</v>
      </c>
      <c r="AA49" s="67">
        <f t="shared" si="17"/>
        <v>0</v>
      </c>
      <c r="AB49" s="67">
        <f>AB11+AB30</f>
        <v>0</v>
      </c>
      <c r="AC49" s="67">
        <f t="shared" si="17"/>
        <v>10366.879999999999</v>
      </c>
      <c r="AD49" s="67">
        <f t="shared" si="17"/>
        <v>10366.879999999999</v>
      </c>
      <c r="AE49" s="70">
        <f t="shared" ref="AE49:AE51" si="24">SUM(U49:AC49)</f>
        <v>70240.62</v>
      </c>
      <c r="AF49" s="118">
        <f>(AE49-O49)</f>
        <v>0</v>
      </c>
      <c r="AG49" s="1" t="b">
        <f t="shared" si="21"/>
        <v>1</v>
      </c>
      <c r="AH49" s="4"/>
    </row>
    <row r="50" spans="1:34" x14ac:dyDescent="0.25">
      <c r="B50" s="16">
        <v>4</v>
      </c>
      <c r="C50" s="62" t="s">
        <v>13</v>
      </c>
      <c r="D50" s="66">
        <f t="shared" si="18"/>
        <v>35954.44</v>
      </c>
      <c r="E50" s="66">
        <f t="shared" si="18"/>
        <v>1890.6</v>
      </c>
      <c r="F50" s="66">
        <f t="shared" si="18"/>
        <v>1067.43</v>
      </c>
      <c r="G50" s="66">
        <f t="shared" ref="G50" si="25">G12+G31</f>
        <v>560.27</v>
      </c>
      <c r="H50" s="66">
        <f t="shared" si="15"/>
        <v>10800.02</v>
      </c>
      <c r="I50" s="66">
        <f t="shared" si="15"/>
        <v>371.66</v>
      </c>
      <c r="J50" s="66">
        <f t="shared" si="15"/>
        <v>0</v>
      </c>
      <c r="K50" s="31">
        <f t="shared" si="23"/>
        <v>21264.460000000003</v>
      </c>
      <c r="L50" s="38">
        <v>0</v>
      </c>
      <c r="M50" s="31">
        <f>K50-L50</f>
        <v>21264.460000000003</v>
      </c>
      <c r="N50" s="66">
        <f>N12+N31</f>
        <v>0</v>
      </c>
      <c r="O50" s="31">
        <f t="shared" si="20"/>
        <v>21264.460000000003</v>
      </c>
      <c r="Q50" s="4"/>
      <c r="S50" s="16">
        <v>4</v>
      </c>
      <c r="T50" s="62" t="s">
        <v>13</v>
      </c>
      <c r="U50" s="82">
        <f t="shared" si="16"/>
        <v>3260.18</v>
      </c>
      <c r="V50" s="82">
        <f t="shared" si="16"/>
        <v>3149.08</v>
      </c>
      <c r="W50" s="82">
        <f t="shared" si="16"/>
        <v>15696.81</v>
      </c>
      <c r="X50" s="82">
        <f t="shared" si="16"/>
        <v>5005.76</v>
      </c>
      <c r="Y50" s="82">
        <f t="shared" si="16"/>
        <v>606.39</v>
      </c>
      <c r="Z50" s="88">
        <f>-L50</f>
        <v>0</v>
      </c>
      <c r="AA50" s="67">
        <f>AA12+AA31</f>
        <v>0</v>
      </c>
      <c r="AB50" s="67">
        <f t="shared" si="17"/>
        <v>0</v>
      </c>
      <c r="AC50" s="67">
        <f t="shared" si="17"/>
        <v>-6453.76</v>
      </c>
      <c r="AD50" s="67">
        <f t="shared" si="17"/>
        <v>-6453.76</v>
      </c>
      <c r="AE50" s="70">
        <f t="shared" si="24"/>
        <v>21264.46</v>
      </c>
      <c r="AF50" s="118">
        <f>(AE50-O50)</f>
        <v>-3.637978807091713E-12</v>
      </c>
      <c r="AG50" s="1" t="b">
        <f t="shared" si="21"/>
        <v>0</v>
      </c>
      <c r="AH50" s="4"/>
    </row>
    <row r="51" spans="1:34" ht="12" thickBot="1" x14ac:dyDescent="0.3">
      <c r="B51" s="19">
        <v>5</v>
      </c>
      <c r="C51" s="63" t="s">
        <v>14</v>
      </c>
      <c r="D51" s="66">
        <f t="shared" si="18"/>
        <v>0</v>
      </c>
      <c r="E51" s="66">
        <f t="shared" si="18"/>
        <v>0</v>
      </c>
      <c r="F51" s="66">
        <f t="shared" si="18"/>
        <v>0</v>
      </c>
      <c r="G51" s="66">
        <f t="shared" ref="G51" si="26">G13+G32</f>
        <v>0</v>
      </c>
      <c r="H51" s="66">
        <f t="shared" si="15"/>
        <v>0</v>
      </c>
      <c r="I51" s="66">
        <f t="shared" si="15"/>
        <v>0</v>
      </c>
      <c r="J51" s="66">
        <f t="shared" si="15"/>
        <v>0</v>
      </c>
      <c r="K51" s="31">
        <f t="shared" si="23"/>
        <v>0</v>
      </c>
      <c r="L51" s="38">
        <v>0</v>
      </c>
      <c r="M51" s="40">
        <f>K51-L51</f>
        <v>0</v>
      </c>
      <c r="N51" s="66">
        <f>N13+N32</f>
        <v>0</v>
      </c>
      <c r="O51" s="40">
        <f t="shared" si="20"/>
        <v>0</v>
      </c>
      <c r="Q51" s="4"/>
      <c r="S51" s="19">
        <v>5</v>
      </c>
      <c r="T51" s="63" t="s">
        <v>14</v>
      </c>
      <c r="U51" s="77">
        <f t="shared" si="16"/>
        <v>0</v>
      </c>
      <c r="V51" s="77">
        <f t="shared" si="16"/>
        <v>0</v>
      </c>
      <c r="W51" s="77">
        <f t="shared" si="16"/>
        <v>0</v>
      </c>
      <c r="X51" s="77">
        <f t="shared" si="16"/>
        <v>0</v>
      </c>
      <c r="Y51" s="77">
        <f t="shared" si="16"/>
        <v>0</v>
      </c>
      <c r="Z51" s="88">
        <f>-L51</f>
        <v>0</v>
      </c>
      <c r="AA51" s="67">
        <f>AA13+AA32</f>
        <v>0</v>
      </c>
      <c r="AB51" s="67">
        <f t="shared" si="17"/>
        <v>0</v>
      </c>
      <c r="AC51" s="67">
        <f t="shared" si="17"/>
        <v>0</v>
      </c>
      <c r="AD51" s="67">
        <f t="shared" si="17"/>
        <v>0</v>
      </c>
      <c r="AE51" s="70">
        <f t="shared" si="24"/>
        <v>0</v>
      </c>
      <c r="AF51" s="119">
        <f>(AE51-O51)</f>
        <v>0</v>
      </c>
      <c r="AG51" s="1" t="b">
        <f t="shared" si="21"/>
        <v>1</v>
      </c>
      <c r="AH51" s="4"/>
    </row>
    <row r="52" spans="1:34" ht="13.5" thickBot="1" x14ac:dyDescent="0.35">
      <c r="B52" s="21"/>
      <c r="C52" s="22" t="s">
        <v>2</v>
      </c>
      <c r="D52" s="43">
        <f t="shared" ref="D52:O52" si="27">SUM(D47:D51)</f>
        <v>1329905.5</v>
      </c>
      <c r="E52" s="43">
        <f t="shared" si="27"/>
        <v>105933.07</v>
      </c>
      <c r="F52" s="43">
        <f t="shared" si="27"/>
        <v>60373.37999999999</v>
      </c>
      <c r="G52" s="43">
        <f t="shared" si="27"/>
        <v>30807.040000000001</v>
      </c>
      <c r="H52" s="43">
        <f t="shared" si="27"/>
        <v>281311.36000000004</v>
      </c>
      <c r="I52" s="43">
        <f t="shared" si="27"/>
        <v>10556.12</v>
      </c>
      <c r="J52" s="43">
        <f t="shared" si="27"/>
        <v>0</v>
      </c>
      <c r="K52" s="32">
        <f t="shared" si="27"/>
        <v>840924.52999999991</v>
      </c>
      <c r="L52" s="23">
        <f t="shared" si="27"/>
        <v>0</v>
      </c>
      <c r="M52" s="76">
        <f t="shared" si="27"/>
        <v>840924.52999999991</v>
      </c>
      <c r="N52" s="23">
        <f t="shared" si="27"/>
        <v>0</v>
      </c>
      <c r="O52" s="76">
        <f t="shared" si="27"/>
        <v>840924.52999999991</v>
      </c>
      <c r="P52" s="2"/>
      <c r="Q52" s="4"/>
      <c r="S52" s="21"/>
      <c r="T52" s="22" t="s">
        <v>2</v>
      </c>
      <c r="U52" s="43">
        <f>SUM(U47:U51)</f>
        <v>123246.34</v>
      </c>
      <c r="V52" s="43">
        <f t="shared" ref="V52:AE52" si="28">SUM(V47:V51)</f>
        <v>90700.98000000001</v>
      </c>
      <c r="W52" s="43">
        <f t="shared" si="28"/>
        <v>399302.95</v>
      </c>
      <c r="X52" s="43">
        <f t="shared" si="28"/>
        <v>263333.49</v>
      </c>
      <c r="Y52" s="43">
        <f t="shared" si="28"/>
        <v>16026.14</v>
      </c>
      <c r="Z52" s="43">
        <f t="shared" si="28"/>
        <v>0</v>
      </c>
      <c r="AA52" s="43">
        <f>SUM(AA47:AA51)</f>
        <v>-0.36</v>
      </c>
      <c r="AB52" s="43">
        <f t="shared" si="28"/>
        <v>0</v>
      </c>
      <c r="AC52" s="43">
        <f>SUM(AC47:AC51)</f>
        <v>-51685.010000000009</v>
      </c>
      <c r="AD52" s="43">
        <f>SUM(AD47:AD51)</f>
        <v>-51685.010000000009</v>
      </c>
      <c r="AE52" s="68">
        <f t="shared" si="28"/>
        <v>840924.52999999991</v>
      </c>
      <c r="AF52" s="120">
        <f>SUM(AF47:AF51)</f>
        <v>3.637978807091713E-12</v>
      </c>
      <c r="AG52" s="1" t="b">
        <f t="shared" si="21"/>
        <v>0</v>
      </c>
      <c r="AH52" s="4"/>
    </row>
    <row r="53" spans="1:34" ht="12" thickBot="1" x14ac:dyDescent="0.3">
      <c r="B53" s="2"/>
      <c r="C53" s="2"/>
      <c r="D53" s="24"/>
      <c r="E53" s="24"/>
      <c r="F53" s="24"/>
      <c r="G53" s="24"/>
      <c r="H53" s="24"/>
      <c r="I53" s="24"/>
      <c r="K53" s="24"/>
      <c r="L53" s="24"/>
      <c r="M53" s="24"/>
      <c r="N53" s="24"/>
      <c r="O53" s="24"/>
      <c r="Q53" s="4"/>
      <c r="S53" s="2"/>
      <c r="T53" s="2"/>
      <c r="U53" s="24"/>
      <c r="V53" s="24"/>
      <c r="W53" s="24"/>
      <c r="X53" s="24"/>
      <c r="Y53" s="24"/>
      <c r="AE53" s="24"/>
      <c r="AH53" s="4"/>
    </row>
    <row r="54" spans="1:34" ht="12" thickBot="1" x14ac:dyDescent="0.3">
      <c r="B54" s="2"/>
      <c r="C54" s="2"/>
      <c r="D54" s="24" t="s">
        <v>1</v>
      </c>
      <c r="E54" s="24"/>
      <c r="F54" s="24"/>
      <c r="G54" s="24"/>
      <c r="H54" s="24"/>
      <c r="I54" s="24"/>
      <c r="K54" s="24"/>
      <c r="L54" s="24"/>
      <c r="M54" s="24"/>
      <c r="N54" s="24"/>
      <c r="O54" s="24"/>
      <c r="Q54" s="4"/>
      <c r="Y54" s="86">
        <f>SUM(U52:Y52)</f>
        <v>892609.9</v>
      </c>
      <c r="AA54" s="1" t="s">
        <v>1</v>
      </c>
      <c r="AB54" s="1" t="s">
        <v>1</v>
      </c>
      <c r="AC54" s="1" t="s">
        <v>1</v>
      </c>
      <c r="AE54" s="1" t="s">
        <v>1</v>
      </c>
      <c r="AH54" s="4"/>
    </row>
    <row r="55" spans="1:34" ht="12" thickBot="1" x14ac:dyDescent="0.3">
      <c r="B55" s="2"/>
      <c r="C55" s="2"/>
      <c r="D55" s="24" t="s">
        <v>1</v>
      </c>
      <c r="E55" s="33"/>
      <c r="F55" s="33"/>
      <c r="G55" s="33"/>
      <c r="H55" s="33"/>
      <c r="I55" s="24"/>
      <c r="K55" s="24"/>
      <c r="L55" s="24"/>
      <c r="M55" s="24"/>
      <c r="N55" s="24"/>
      <c r="O55" s="24"/>
      <c r="Q55" s="4"/>
      <c r="AH55" s="4"/>
    </row>
    <row r="56" spans="1:34" x14ac:dyDescent="0.25">
      <c r="B56" s="2"/>
      <c r="C56" s="2"/>
      <c r="D56" s="24" t="s">
        <v>1</v>
      </c>
      <c r="E56" s="24" t="s">
        <v>1</v>
      </c>
      <c r="F56" s="24" t="s">
        <v>25</v>
      </c>
      <c r="G56" s="24"/>
      <c r="H56" s="24"/>
      <c r="I56" s="24"/>
      <c r="K56" s="24"/>
      <c r="L56" s="24"/>
      <c r="M56" s="24"/>
      <c r="N56" s="24"/>
      <c r="O56" s="24"/>
      <c r="Q56" s="4"/>
      <c r="AH56" s="4"/>
    </row>
    <row r="57" spans="1:34" x14ac:dyDescent="0.25">
      <c r="A57" s="4"/>
      <c r="B57" s="34"/>
      <c r="C57" s="34"/>
      <c r="D57" s="35"/>
      <c r="E57" s="35"/>
      <c r="F57" s="35"/>
      <c r="G57" s="35"/>
      <c r="H57" s="35"/>
      <c r="I57" s="35"/>
      <c r="J57" s="4"/>
      <c r="K57" s="35"/>
      <c r="L57" s="35"/>
      <c r="M57" s="35"/>
      <c r="N57" s="35"/>
      <c r="O57" s="35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  <c r="AE57" s="4"/>
      <c r="AF57" s="4"/>
      <c r="AG57" s="4"/>
      <c r="AH57" s="4"/>
    </row>
    <row r="58" spans="1:34" x14ac:dyDescent="0.25">
      <c r="Q58" s="24"/>
    </row>
  </sheetData>
  <conditionalFormatting sqref="D28:O32 U28:AF32">
    <cfRule type="cellIs" dxfId="81" priority="3" operator="greaterThan">
      <formula>0.9</formula>
    </cfRule>
  </conditionalFormatting>
  <conditionalFormatting sqref="M35">
    <cfRule type="cellIs" dxfId="80" priority="1" operator="equal">
      <formula>"ERROR"</formula>
    </cfRule>
    <cfRule type="cellIs" dxfId="79" priority="2" operator="equal">
      <formula>TRUE</formula>
    </cfRule>
  </conditionalFormatting>
  <pageMargins left="0.7" right="0.7" top="0.75" bottom="0.75" header="0.3" footer="0.3"/>
  <pageSetup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25E32B-7BC1-40ED-A0D9-589FC2F0FE5A}">
  <sheetPr>
    <pageSetUpPr fitToPage="1"/>
  </sheetPr>
  <dimension ref="B1:S44"/>
  <sheetViews>
    <sheetView topLeftCell="A8" zoomScaleNormal="100" workbookViewId="0">
      <selection activeCell="F16" sqref="F16"/>
    </sheetView>
  </sheetViews>
  <sheetFormatPr baseColWidth="10" defaultRowHeight="13" x14ac:dyDescent="0.3"/>
  <cols>
    <col min="1" max="1" width="2.81640625" customWidth="1"/>
    <col min="2" max="2" width="17.453125" bestFit="1" customWidth="1"/>
    <col min="3" max="3" width="4.81640625" style="151" bestFit="1" customWidth="1"/>
    <col min="4" max="4" width="42.81640625" style="151" bestFit="1" customWidth="1"/>
    <col min="5" max="5" width="9" customWidth="1"/>
    <col min="6" max="6" width="15.81640625" customWidth="1"/>
    <col min="7" max="7" width="17.453125" bestFit="1" customWidth="1"/>
    <col min="8" max="8" width="14.1796875" customWidth="1"/>
    <col min="9" max="9" width="16.1796875" bestFit="1" customWidth="1"/>
    <col min="10" max="10" width="16.81640625" customWidth="1"/>
    <col min="11" max="11" width="17.54296875" customWidth="1"/>
    <col min="12" max="12" width="15.54296875" bestFit="1" customWidth="1"/>
    <col min="13" max="13" width="15.81640625" bestFit="1" customWidth="1"/>
    <col min="14" max="14" width="17" customWidth="1"/>
    <col min="15" max="15" width="17.81640625" customWidth="1"/>
    <col min="16" max="16" width="16.81640625" customWidth="1"/>
    <col min="17" max="17" width="18" customWidth="1"/>
    <col min="18" max="18" width="14.1796875" bestFit="1" customWidth="1"/>
    <col min="19" max="19" width="15.81640625" bestFit="1" customWidth="1"/>
    <col min="20" max="20" width="14.1796875" bestFit="1" customWidth="1"/>
  </cols>
  <sheetData>
    <row r="1" spans="2:19" ht="13.5" thickBot="1" x14ac:dyDescent="0.35"/>
    <row r="2" spans="2:19" s="151" customFormat="1" ht="13.5" thickBot="1" x14ac:dyDescent="0.35">
      <c r="B2" s="666"/>
      <c r="E2" s="151" t="s">
        <v>1</v>
      </c>
      <c r="F2" s="581" t="s">
        <v>277</v>
      </c>
      <c r="G2" s="582" t="s">
        <v>278</v>
      </c>
      <c r="H2" s="583" t="s">
        <v>279</v>
      </c>
      <c r="I2" s="583" t="s">
        <v>280</v>
      </c>
      <c r="J2" s="583" t="s">
        <v>281</v>
      </c>
      <c r="K2" s="582" t="s">
        <v>282</v>
      </c>
      <c r="L2" s="582" t="s">
        <v>283</v>
      </c>
      <c r="M2" s="583" t="s">
        <v>284</v>
      </c>
      <c r="N2" s="583" t="s">
        <v>285</v>
      </c>
      <c r="O2" s="583" t="s">
        <v>286</v>
      </c>
      <c r="P2" s="762" t="s">
        <v>287</v>
      </c>
      <c r="Q2" s="583" t="s">
        <v>288</v>
      </c>
    </row>
    <row r="3" spans="2:19" s="151" customFormat="1" ht="26.5" thickBot="1" x14ac:dyDescent="0.35">
      <c r="B3" s="667" t="s">
        <v>134</v>
      </c>
      <c r="C3" s="152" t="s">
        <v>3</v>
      </c>
      <c r="D3" s="153" t="s">
        <v>9</v>
      </c>
      <c r="E3" s="560" t="s">
        <v>108</v>
      </c>
      <c r="F3" s="584" t="s">
        <v>289</v>
      </c>
      <c r="G3" s="585" t="s">
        <v>290</v>
      </c>
      <c r="H3" s="586" t="s">
        <v>291</v>
      </c>
      <c r="I3" s="587" t="s">
        <v>292</v>
      </c>
      <c r="J3" s="584" t="s">
        <v>293</v>
      </c>
      <c r="K3" s="585" t="s">
        <v>294</v>
      </c>
      <c r="L3" s="586" t="s">
        <v>295</v>
      </c>
      <c r="M3" s="587" t="s">
        <v>296</v>
      </c>
      <c r="N3" s="584" t="s">
        <v>297</v>
      </c>
      <c r="O3" s="585" t="s">
        <v>298</v>
      </c>
      <c r="P3" s="586" t="s">
        <v>299</v>
      </c>
      <c r="Q3" s="587" t="s">
        <v>300</v>
      </c>
    </row>
    <row r="4" spans="2:19" s="151" customFormat="1" x14ac:dyDescent="0.3">
      <c r="B4" s="668">
        <v>378371975</v>
      </c>
      <c r="C4" s="561">
        <v>1</v>
      </c>
      <c r="D4" s="161" t="s">
        <v>10</v>
      </c>
      <c r="E4" s="669">
        <v>0.22</v>
      </c>
      <c r="F4" s="670">
        <v>189185988</v>
      </c>
      <c r="G4" s="671">
        <v>189185987</v>
      </c>
      <c r="H4" s="672">
        <v>189185988</v>
      </c>
      <c r="I4" s="673">
        <v>189185987</v>
      </c>
      <c r="J4" s="670">
        <v>189185988</v>
      </c>
      <c r="K4" s="671">
        <v>189185987</v>
      </c>
      <c r="L4" s="672">
        <v>189185988</v>
      </c>
      <c r="M4" s="673">
        <v>189185987</v>
      </c>
      <c r="N4" s="670">
        <v>189185988</v>
      </c>
      <c r="O4" s="671">
        <v>189185987</v>
      </c>
      <c r="P4" s="672">
        <v>189185988</v>
      </c>
      <c r="Q4" s="673">
        <v>189185987</v>
      </c>
      <c r="S4" s="763"/>
    </row>
    <row r="5" spans="2:19" s="151" customFormat="1" x14ac:dyDescent="0.3">
      <c r="B5" s="668">
        <v>533160511</v>
      </c>
      <c r="C5" s="562">
        <v>2</v>
      </c>
      <c r="D5" s="156" t="s">
        <v>11</v>
      </c>
      <c r="E5" s="674">
        <v>0.31</v>
      </c>
      <c r="F5" s="675">
        <v>266580256</v>
      </c>
      <c r="G5" s="676">
        <v>266580255</v>
      </c>
      <c r="H5" s="677">
        <v>266580256</v>
      </c>
      <c r="I5" s="673">
        <v>266580255</v>
      </c>
      <c r="J5" s="675">
        <v>266580256</v>
      </c>
      <c r="K5" s="676">
        <v>266580255</v>
      </c>
      <c r="L5" s="677">
        <v>266580256</v>
      </c>
      <c r="M5" s="673">
        <v>266580255</v>
      </c>
      <c r="N5" s="675">
        <v>266580256</v>
      </c>
      <c r="O5" s="676">
        <v>266580255</v>
      </c>
      <c r="P5" s="677">
        <v>266580256</v>
      </c>
      <c r="Q5" s="673">
        <v>266580255</v>
      </c>
      <c r="S5" s="763"/>
    </row>
    <row r="6" spans="2:19" s="151" customFormat="1" x14ac:dyDescent="0.3">
      <c r="B6" s="668">
        <v>309577071</v>
      </c>
      <c r="C6" s="562">
        <v>3</v>
      </c>
      <c r="D6" s="156" t="s">
        <v>12</v>
      </c>
      <c r="E6" s="674">
        <v>0.18</v>
      </c>
      <c r="F6" s="675">
        <v>154788536</v>
      </c>
      <c r="G6" s="676">
        <v>154788535</v>
      </c>
      <c r="H6" s="677">
        <v>154788536</v>
      </c>
      <c r="I6" s="673">
        <v>154788535</v>
      </c>
      <c r="J6" s="675">
        <v>154788536</v>
      </c>
      <c r="K6" s="676">
        <v>154788535</v>
      </c>
      <c r="L6" s="677">
        <v>154788536</v>
      </c>
      <c r="M6" s="673">
        <v>154788535</v>
      </c>
      <c r="N6" s="675">
        <v>154788536</v>
      </c>
      <c r="O6" s="676">
        <v>154788535</v>
      </c>
      <c r="P6" s="677">
        <v>154788536</v>
      </c>
      <c r="Q6" s="673">
        <v>154788535</v>
      </c>
      <c r="S6" s="763"/>
    </row>
    <row r="7" spans="2:19" s="151" customFormat="1" x14ac:dyDescent="0.3">
      <c r="B7" s="668">
        <v>240782166</v>
      </c>
      <c r="C7" s="562">
        <v>4</v>
      </c>
      <c r="D7" s="156" t="s">
        <v>13</v>
      </c>
      <c r="E7" s="674">
        <v>0.14000000000000001</v>
      </c>
      <c r="F7" s="675">
        <v>120391083</v>
      </c>
      <c r="G7" s="676">
        <v>120391083</v>
      </c>
      <c r="H7" s="677">
        <v>120391083</v>
      </c>
      <c r="I7" s="673">
        <v>120391083</v>
      </c>
      <c r="J7" s="675">
        <v>120391083</v>
      </c>
      <c r="K7" s="676">
        <v>120391083</v>
      </c>
      <c r="L7" s="677">
        <v>120391083</v>
      </c>
      <c r="M7" s="673">
        <v>120391083</v>
      </c>
      <c r="N7" s="675">
        <v>120391083</v>
      </c>
      <c r="O7" s="676">
        <v>120391083</v>
      </c>
      <c r="P7" s="677">
        <v>120391083</v>
      </c>
      <c r="Q7" s="673">
        <v>120391083</v>
      </c>
      <c r="S7" s="763"/>
    </row>
    <row r="8" spans="2:19" s="151" customFormat="1" ht="13.5" thickBot="1" x14ac:dyDescent="0.35">
      <c r="B8" s="668">
        <v>257980891</v>
      </c>
      <c r="C8" s="563">
        <v>5</v>
      </c>
      <c r="D8" s="158" t="s">
        <v>14</v>
      </c>
      <c r="E8" s="678">
        <v>0.15</v>
      </c>
      <c r="F8" s="679">
        <v>128990446</v>
      </c>
      <c r="G8" s="680">
        <v>128990445</v>
      </c>
      <c r="H8" s="681">
        <v>128990446</v>
      </c>
      <c r="I8" s="682">
        <v>128990445</v>
      </c>
      <c r="J8" s="679">
        <v>128990446</v>
      </c>
      <c r="K8" s="680">
        <v>128990445</v>
      </c>
      <c r="L8" s="681">
        <v>128990446</v>
      </c>
      <c r="M8" s="682">
        <v>128990445</v>
      </c>
      <c r="N8" s="679">
        <v>128990446</v>
      </c>
      <c r="O8" s="680">
        <v>128990445</v>
      </c>
      <c r="P8" s="681">
        <v>128990446</v>
      </c>
      <c r="Q8" s="682">
        <v>128990445</v>
      </c>
      <c r="S8" s="763"/>
    </row>
    <row r="9" spans="2:19" s="151" customFormat="1" ht="13.5" thickBot="1" x14ac:dyDescent="0.35">
      <c r="B9" s="683">
        <v>1719872614</v>
      </c>
      <c r="C9" s="159"/>
      <c r="D9" s="160" t="s">
        <v>2</v>
      </c>
      <c r="E9" s="564">
        <v>1</v>
      </c>
      <c r="F9" s="684">
        <v>859936309</v>
      </c>
      <c r="G9" s="684">
        <v>859936305</v>
      </c>
      <c r="H9" s="685">
        <v>859936309</v>
      </c>
      <c r="I9" s="685">
        <v>859936305</v>
      </c>
      <c r="J9" s="684">
        <v>859936309</v>
      </c>
      <c r="K9" s="684">
        <v>859936305</v>
      </c>
      <c r="L9" s="685">
        <v>859936309</v>
      </c>
      <c r="M9" s="685">
        <v>859936305</v>
      </c>
      <c r="N9" s="684">
        <v>859936309</v>
      </c>
      <c r="O9" s="684">
        <v>859936305</v>
      </c>
      <c r="P9" s="685">
        <v>859936309</v>
      </c>
      <c r="Q9" s="685">
        <v>859936305</v>
      </c>
      <c r="S9" s="763"/>
    </row>
    <row r="10" spans="2:19" s="151" customFormat="1" ht="15.75" customHeight="1" thickBot="1" x14ac:dyDescent="0.35">
      <c r="B10" s="666"/>
      <c r="F10" s="779">
        <f>SUM(F9:G9)</f>
        <v>1719872614</v>
      </c>
      <c r="G10" s="780"/>
      <c r="H10" s="779">
        <f>SUM(H9:I9)</f>
        <v>1719872614</v>
      </c>
      <c r="I10" s="780"/>
      <c r="J10" s="779">
        <f>SUM(J9:K9)</f>
        <v>1719872614</v>
      </c>
      <c r="K10" s="780"/>
      <c r="L10" s="779">
        <f>SUM(L9:M9)</f>
        <v>1719872614</v>
      </c>
      <c r="M10" s="780"/>
      <c r="N10" s="779">
        <f>SUM(N9:O9)</f>
        <v>1719872614</v>
      </c>
      <c r="O10" s="780"/>
      <c r="P10" s="779">
        <f>SUM(P9:Q9)</f>
        <v>1719872614</v>
      </c>
      <c r="Q10" s="780"/>
    </row>
    <row r="12" spans="2:19" ht="13.5" thickBot="1" x14ac:dyDescent="0.35"/>
    <row r="13" spans="2:19" s="151" customFormat="1" ht="13.5" thickBot="1" x14ac:dyDescent="0.35">
      <c r="B13" s="666"/>
      <c r="E13" s="151" t="s">
        <v>1</v>
      </c>
      <c r="F13" s="769" t="s">
        <v>301</v>
      </c>
      <c r="G13" s="582" t="s">
        <v>302</v>
      </c>
      <c r="H13" s="582" t="s">
        <v>303</v>
      </c>
      <c r="I13" s="583" t="s">
        <v>304</v>
      </c>
      <c r="J13" s="583" t="s">
        <v>305</v>
      </c>
      <c r="K13" s="582" t="s">
        <v>306</v>
      </c>
      <c r="L13" s="582" t="s">
        <v>307</v>
      </c>
      <c r="M13" s="583" t="s">
        <v>308</v>
      </c>
      <c r="N13" s="583" t="s">
        <v>309</v>
      </c>
      <c r="O13" s="582" t="s">
        <v>310</v>
      </c>
      <c r="P13" s="582" t="s">
        <v>311</v>
      </c>
      <c r="Q13" s="583" t="s">
        <v>312</v>
      </c>
    </row>
    <row r="14" spans="2:19" s="151" customFormat="1" ht="26.5" thickBot="1" x14ac:dyDescent="0.35">
      <c r="B14" s="666"/>
      <c r="C14" s="152" t="s">
        <v>3</v>
      </c>
      <c r="D14" s="153" t="s">
        <v>9</v>
      </c>
      <c r="E14" s="560" t="s">
        <v>108</v>
      </c>
      <c r="F14" s="584" t="s">
        <v>313</v>
      </c>
      <c r="G14" s="585" t="s">
        <v>314</v>
      </c>
      <c r="H14" s="586" t="s">
        <v>315</v>
      </c>
      <c r="I14" s="587" t="s">
        <v>316</v>
      </c>
      <c r="J14" s="584" t="s">
        <v>317</v>
      </c>
      <c r="K14" s="585" t="s">
        <v>318</v>
      </c>
      <c r="L14" s="586" t="s">
        <v>319</v>
      </c>
      <c r="M14" s="587" t="s">
        <v>320</v>
      </c>
      <c r="N14" s="584" t="s">
        <v>321</v>
      </c>
      <c r="O14" s="585" t="s">
        <v>322</v>
      </c>
      <c r="P14" s="586" t="s">
        <v>323</v>
      </c>
      <c r="Q14" s="587" t="s">
        <v>324</v>
      </c>
    </row>
    <row r="15" spans="2:19" s="151" customFormat="1" x14ac:dyDescent="0.3">
      <c r="B15" s="666"/>
      <c r="C15" s="154">
        <v>1</v>
      </c>
      <c r="D15" s="161" t="s">
        <v>10</v>
      </c>
      <c r="E15" s="686">
        <v>0.22</v>
      </c>
      <c r="F15" s="670">
        <v>189185988</v>
      </c>
      <c r="G15" s="671">
        <v>189185987</v>
      </c>
      <c r="H15" s="672">
        <v>189185988</v>
      </c>
      <c r="I15" s="673">
        <v>189185987</v>
      </c>
      <c r="J15" s="670">
        <v>189185988</v>
      </c>
      <c r="K15" s="671">
        <v>189185987</v>
      </c>
      <c r="L15" s="672">
        <v>189185988</v>
      </c>
      <c r="M15" s="673">
        <v>189185987</v>
      </c>
      <c r="N15" s="670">
        <v>189185988</v>
      </c>
      <c r="O15" s="671">
        <v>189185987</v>
      </c>
      <c r="P15" s="672">
        <v>189185988</v>
      </c>
      <c r="Q15" s="673">
        <v>189185987</v>
      </c>
    </row>
    <row r="16" spans="2:19" s="151" customFormat="1" x14ac:dyDescent="0.3">
      <c r="B16" s="666"/>
      <c r="C16" s="155">
        <v>2</v>
      </c>
      <c r="D16" s="156" t="s">
        <v>11</v>
      </c>
      <c r="E16" s="687">
        <v>0.31</v>
      </c>
      <c r="F16" s="675">
        <v>266580256</v>
      </c>
      <c r="G16" s="676">
        <v>266580255</v>
      </c>
      <c r="H16" s="677">
        <v>266580256</v>
      </c>
      <c r="I16" s="673">
        <v>266580255</v>
      </c>
      <c r="J16" s="675">
        <v>266580256</v>
      </c>
      <c r="K16" s="676">
        <v>266580255</v>
      </c>
      <c r="L16" s="677">
        <v>266580256</v>
      </c>
      <c r="M16" s="673">
        <v>266580255</v>
      </c>
      <c r="N16" s="675">
        <v>266580256</v>
      </c>
      <c r="O16" s="676">
        <v>266580255</v>
      </c>
      <c r="P16" s="677">
        <v>266580256</v>
      </c>
      <c r="Q16" s="673">
        <v>266580255</v>
      </c>
    </row>
    <row r="17" spans="2:19" s="151" customFormat="1" x14ac:dyDescent="0.3">
      <c r="B17" s="666"/>
      <c r="C17" s="155">
        <v>3</v>
      </c>
      <c r="D17" s="156" t="s">
        <v>12</v>
      </c>
      <c r="E17" s="687">
        <v>0.18</v>
      </c>
      <c r="F17" s="675">
        <v>154788536</v>
      </c>
      <c r="G17" s="676">
        <v>154788535</v>
      </c>
      <c r="H17" s="677">
        <v>154788536</v>
      </c>
      <c r="I17" s="673">
        <v>154788535</v>
      </c>
      <c r="J17" s="675">
        <v>154788536</v>
      </c>
      <c r="K17" s="676">
        <v>154788535</v>
      </c>
      <c r="L17" s="677">
        <v>154788536</v>
      </c>
      <c r="M17" s="673">
        <v>154788535</v>
      </c>
      <c r="N17" s="675">
        <v>154788536</v>
      </c>
      <c r="O17" s="676">
        <v>154788535</v>
      </c>
      <c r="P17" s="677">
        <v>154788536</v>
      </c>
      <c r="Q17" s="673">
        <v>154788535</v>
      </c>
    </row>
    <row r="18" spans="2:19" s="151" customFormat="1" x14ac:dyDescent="0.3">
      <c r="B18" s="666"/>
      <c r="C18" s="155">
        <v>4</v>
      </c>
      <c r="D18" s="156" t="s">
        <v>13</v>
      </c>
      <c r="E18" s="687">
        <v>0.14000000000000001</v>
      </c>
      <c r="F18" s="675">
        <v>120391083</v>
      </c>
      <c r="G18" s="676">
        <v>120391083</v>
      </c>
      <c r="H18" s="677">
        <v>120391083</v>
      </c>
      <c r="I18" s="673">
        <v>120391083</v>
      </c>
      <c r="J18" s="675">
        <v>120391083</v>
      </c>
      <c r="K18" s="676">
        <v>120391083</v>
      </c>
      <c r="L18" s="677">
        <v>120391083</v>
      </c>
      <c r="M18" s="673">
        <v>120391083</v>
      </c>
      <c r="N18" s="675">
        <v>120391083</v>
      </c>
      <c r="O18" s="676">
        <v>120391083</v>
      </c>
      <c r="P18" s="677">
        <v>120391083</v>
      </c>
      <c r="Q18" s="673">
        <v>120391083</v>
      </c>
    </row>
    <row r="19" spans="2:19" s="151" customFormat="1" ht="13.5" thickBot="1" x14ac:dyDescent="0.35">
      <c r="B19" s="666"/>
      <c r="C19" s="157">
        <v>5</v>
      </c>
      <c r="D19" s="158" t="s">
        <v>14</v>
      </c>
      <c r="E19" s="688">
        <v>0.15</v>
      </c>
      <c r="F19" s="679">
        <v>128990446</v>
      </c>
      <c r="G19" s="680">
        <v>128990445</v>
      </c>
      <c r="H19" s="681">
        <v>128990446</v>
      </c>
      <c r="I19" s="682">
        <v>128990445</v>
      </c>
      <c r="J19" s="679">
        <v>128990446</v>
      </c>
      <c r="K19" s="680">
        <v>128990445</v>
      </c>
      <c r="L19" s="681">
        <v>128990446</v>
      </c>
      <c r="M19" s="682">
        <v>128990445</v>
      </c>
      <c r="N19" s="679">
        <v>128990446</v>
      </c>
      <c r="O19" s="680">
        <v>128990445</v>
      </c>
      <c r="P19" s="681">
        <v>128990446</v>
      </c>
      <c r="Q19" s="682">
        <v>128990445</v>
      </c>
    </row>
    <row r="20" spans="2:19" s="151" customFormat="1" ht="13.5" thickBot="1" x14ac:dyDescent="0.35">
      <c r="B20" s="666"/>
      <c r="C20" s="159"/>
      <c r="D20" s="160" t="s">
        <v>2</v>
      </c>
      <c r="E20" s="565">
        <v>1</v>
      </c>
      <c r="F20" s="684">
        <v>859936309</v>
      </c>
      <c r="G20" s="684">
        <v>859936305</v>
      </c>
      <c r="H20" s="685">
        <v>859936309</v>
      </c>
      <c r="I20" s="685">
        <v>859936305</v>
      </c>
      <c r="J20" s="684">
        <v>859936309</v>
      </c>
      <c r="K20" s="684">
        <v>859936305</v>
      </c>
      <c r="L20" s="685">
        <v>859936309</v>
      </c>
      <c r="M20" s="685">
        <v>859936305</v>
      </c>
      <c r="N20" s="684">
        <v>859936309</v>
      </c>
      <c r="O20" s="684">
        <v>859936305</v>
      </c>
      <c r="P20" s="685">
        <v>859936309</v>
      </c>
      <c r="Q20" s="685">
        <v>859936305</v>
      </c>
    </row>
    <row r="21" spans="2:19" s="151" customFormat="1" ht="13.5" thickBot="1" x14ac:dyDescent="0.35">
      <c r="B21" s="666"/>
      <c r="F21" s="779">
        <f>SUM(F20:G20)</f>
        <v>1719872614</v>
      </c>
      <c r="G21" s="780">
        <v>1191383498</v>
      </c>
      <c r="H21" s="779">
        <f>SUM(H20:I20)</f>
        <v>1719872614</v>
      </c>
      <c r="I21" s="780">
        <v>1191383498</v>
      </c>
      <c r="J21" s="779">
        <f>SUM(J20:K20)</f>
        <v>1719872614</v>
      </c>
      <c r="K21" s="780">
        <v>1191383498</v>
      </c>
      <c r="L21" s="779">
        <f>SUM(L20:M20)</f>
        <v>1719872614</v>
      </c>
      <c r="M21" s="780">
        <v>1191383498</v>
      </c>
      <c r="N21" s="779">
        <f>SUM(N20:O20)</f>
        <v>1719872614</v>
      </c>
      <c r="O21" s="780">
        <v>1191383498</v>
      </c>
      <c r="P21" s="779">
        <f>SUM(P20:Q20)</f>
        <v>1719872614</v>
      </c>
      <c r="Q21" s="780">
        <v>1191383498</v>
      </c>
    </row>
    <row r="24" spans="2:19" ht="13.5" thickBot="1" x14ac:dyDescent="0.35">
      <c r="B24" s="238"/>
      <c r="C24" s="519"/>
      <c r="D24" s="519"/>
      <c r="E24" s="238"/>
      <c r="F24" s="238"/>
      <c r="G24" s="238"/>
      <c r="H24" s="238"/>
      <c r="I24" s="238"/>
      <c r="J24" s="238"/>
      <c r="K24" s="238"/>
      <c r="L24" s="238"/>
      <c r="M24" s="238"/>
      <c r="N24" s="238"/>
      <c r="O24" s="238"/>
      <c r="P24" s="238"/>
      <c r="Q24" s="238"/>
      <c r="R24" s="238"/>
    </row>
    <row r="25" spans="2:19" ht="24.75" customHeight="1" thickBot="1" x14ac:dyDescent="0.35">
      <c r="K25" s="719" t="s">
        <v>270</v>
      </c>
      <c r="L25" s="152" t="s">
        <v>3</v>
      </c>
      <c r="M25" s="645" t="s">
        <v>268</v>
      </c>
      <c r="N25" s="645" t="s">
        <v>269</v>
      </c>
      <c r="Q25" s="520" t="s">
        <v>1</v>
      </c>
      <c r="R25" s="29" t="s">
        <v>201</v>
      </c>
    </row>
    <row r="26" spans="2:19" x14ac:dyDescent="0.3">
      <c r="G26" s="212"/>
      <c r="H26" s="212"/>
      <c r="I26" s="212"/>
      <c r="J26" s="644"/>
      <c r="K26" s="689">
        <v>378371975</v>
      </c>
      <c r="L26" s="154">
        <v>1</v>
      </c>
      <c r="M26" s="717">
        <v>189185988</v>
      </c>
      <c r="N26" s="180">
        <v>189185987</v>
      </c>
      <c r="O26" s="167" t="b">
        <f>M26=R26</f>
        <v>1</v>
      </c>
      <c r="P26" s="167"/>
      <c r="Q26" s="718">
        <f>'CONSOLIDADO_TOTAL RECAUDO'!L104</f>
        <v>189185988</v>
      </c>
      <c r="R26" s="697">
        <f>F15</f>
        <v>189185988</v>
      </c>
      <c r="S26" t="b">
        <f>Q26=R26</f>
        <v>1</v>
      </c>
    </row>
    <row r="27" spans="2:19" x14ac:dyDescent="0.3">
      <c r="G27" s="212"/>
      <c r="H27" s="212"/>
      <c r="I27" s="212"/>
      <c r="J27" s="644"/>
      <c r="K27" s="690">
        <v>533160511</v>
      </c>
      <c r="L27" s="155">
        <v>2</v>
      </c>
      <c r="M27" s="717">
        <v>266580256</v>
      </c>
      <c r="N27" s="180">
        <v>266580255</v>
      </c>
      <c r="O27" s="167" t="b">
        <f t="shared" ref="O27:O31" si="0">M27=R27</f>
        <v>1</v>
      </c>
      <c r="P27" s="167"/>
      <c r="Q27" s="718">
        <f>'CONSOLIDADO_TOTAL RECAUDO'!L105</f>
        <v>266580256</v>
      </c>
      <c r="R27" s="697">
        <f t="shared" ref="R27:R31" si="1">F16</f>
        <v>266580256</v>
      </c>
      <c r="S27" t="b">
        <f>Q27=R27</f>
        <v>1</v>
      </c>
    </row>
    <row r="28" spans="2:19" x14ac:dyDescent="0.3">
      <c r="G28" s="167"/>
      <c r="H28" s="212"/>
      <c r="I28" s="212"/>
      <c r="J28" s="644"/>
      <c r="K28" s="690">
        <v>309577071</v>
      </c>
      <c r="L28" s="155">
        <v>3</v>
      </c>
      <c r="M28" s="717">
        <v>154788536</v>
      </c>
      <c r="N28" s="180">
        <v>154788535</v>
      </c>
      <c r="O28" s="167" t="b">
        <f t="shared" si="0"/>
        <v>1</v>
      </c>
      <c r="P28" s="167"/>
      <c r="Q28" s="718">
        <f>'CONSOLIDADO_TOTAL RECAUDO'!L106</f>
        <v>154788536</v>
      </c>
      <c r="R28" s="697">
        <f t="shared" si="1"/>
        <v>154788536</v>
      </c>
      <c r="S28" t="b">
        <f t="shared" ref="S28:S31" si="2">Q28=R28</f>
        <v>1</v>
      </c>
    </row>
    <row r="29" spans="2:19" x14ac:dyDescent="0.3">
      <c r="G29" s="602"/>
      <c r="H29" s="212"/>
      <c r="I29" s="212"/>
      <c r="J29" s="644"/>
      <c r="K29" s="690">
        <v>240782166</v>
      </c>
      <c r="L29" s="155">
        <v>4</v>
      </c>
      <c r="M29" s="717">
        <v>120391083</v>
      </c>
      <c r="N29" s="691">
        <v>120391083</v>
      </c>
      <c r="O29" s="167" t="b">
        <f t="shared" si="0"/>
        <v>1</v>
      </c>
      <c r="P29" s="167"/>
      <c r="Q29" s="718">
        <f>'CONSOLIDADO_TOTAL RECAUDO'!L107</f>
        <v>120391083</v>
      </c>
      <c r="R29" s="697">
        <f t="shared" si="1"/>
        <v>120391083</v>
      </c>
      <c r="S29" t="b">
        <f t="shared" si="2"/>
        <v>1</v>
      </c>
    </row>
    <row r="30" spans="2:19" ht="13.5" thickBot="1" x14ac:dyDescent="0.35">
      <c r="G30" s="602"/>
      <c r="H30" s="212"/>
      <c r="I30" s="212"/>
      <c r="J30" s="644"/>
      <c r="K30" s="692">
        <v>257980891</v>
      </c>
      <c r="L30" s="157">
        <v>5</v>
      </c>
      <c r="M30" s="717">
        <v>128990446</v>
      </c>
      <c r="N30" s="693">
        <v>128990445</v>
      </c>
      <c r="O30" s="167" t="b">
        <f t="shared" si="0"/>
        <v>1</v>
      </c>
      <c r="P30" s="167"/>
      <c r="Q30" s="718">
        <f>'CONSOLIDADO_TOTAL RECAUDO'!L108</f>
        <v>128990446</v>
      </c>
      <c r="R30" s="697">
        <f t="shared" si="1"/>
        <v>128990446</v>
      </c>
      <c r="S30" t="b">
        <f t="shared" si="2"/>
        <v>1</v>
      </c>
    </row>
    <row r="31" spans="2:19" ht="13.5" thickBot="1" x14ac:dyDescent="0.35">
      <c r="G31" s="602"/>
      <c r="H31" s="167"/>
      <c r="I31" s="167"/>
      <c r="J31" s="270"/>
      <c r="K31" s="694">
        <f>SUM(K26:K30)</f>
        <v>1719872614</v>
      </c>
      <c r="L31" s="159"/>
      <c r="M31" s="695">
        <f>SUM(M26:M30)</f>
        <v>859936309</v>
      </c>
      <c r="N31" s="695">
        <f>SUM(N26:N30)</f>
        <v>859936305</v>
      </c>
      <c r="O31" s="167" t="b">
        <f t="shared" si="0"/>
        <v>1</v>
      </c>
      <c r="P31" s="167"/>
      <c r="Q31" s="718">
        <f>'CONSOLIDADO_TOTAL RECAUDO'!L109</f>
        <v>859936309</v>
      </c>
      <c r="R31" s="697">
        <f t="shared" si="1"/>
        <v>859936309</v>
      </c>
      <c r="S31" t="b">
        <f t="shared" si="2"/>
        <v>1</v>
      </c>
    </row>
    <row r="32" spans="2:19" x14ac:dyDescent="0.3">
      <c r="G32" s="602"/>
      <c r="H32" s="167"/>
      <c r="I32" s="167"/>
      <c r="K32" s="646">
        <f>SUM(M31:N31)</f>
        <v>1719872614</v>
      </c>
      <c r="L32" s="270"/>
    </row>
    <row r="33" spans="7:17" x14ac:dyDescent="0.3">
      <c r="G33" s="602"/>
      <c r="H33" s="167"/>
      <c r="J33" s="270"/>
      <c r="K33" s="270"/>
      <c r="Q33" s="212"/>
    </row>
    <row r="34" spans="7:17" x14ac:dyDescent="0.3">
      <c r="G34" s="602"/>
      <c r="H34" s="167"/>
      <c r="Q34" s="212"/>
    </row>
    <row r="35" spans="7:17" x14ac:dyDescent="0.3">
      <c r="H35" s="167"/>
      <c r="K35" s="696"/>
      <c r="Q35" s="212"/>
    </row>
    <row r="36" spans="7:17" x14ac:dyDescent="0.3">
      <c r="H36" s="167"/>
      <c r="K36" s="696"/>
      <c r="Q36" s="212"/>
    </row>
    <row r="37" spans="7:17" x14ac:dyDescent="0.3">
      <c r="H37" s="167"/>
      <c r="K37" s="696"/>
      <c r="Q37" s="212"/>
    </row>
    <row r="38" spans="7:17" x14ac:dyDescent="0.3">
      <c r="H38" s="167"/>
      <c r="K38" s="696"/>
      <c r="Q38" s="212"/>
    </row>
    <row r="39" spans="7:17" x14ac:dyDescent="0.3">
      <c r="H39" s="167"/>
      <c r="K39" s="696"/>
    </row>
    <row r="40" spans="7:17" x14ac:dyDescent="0.3">
      <c r="H40" s="167"/>
      <c r="K40" s="696"/>
    </row>
    <row r="41" spans="7:17" x14ac:dyDescent="0.3">
      <c r="H41" s="167"/>
    </row>
    <row r="42" spans="7:17" x14ac:dyDescent="0.3">
      <c r="H42" s="167"/>
    </row>
    <row r="43" spans="7:17" x14ac:dyDescent="0.3">
      <c r="H43" s="167"/>
    </row>
    <row r="44" spans="7:17" x14ac:dyDescent="0.3">
      <c r="H44" s="167"/>
    </row>
  </sheetData>
  <mergeCells count="12">
    <mergeCell ref="P21:Q21"/>
    <mergeCell ref="F10:G10"/>
    <mergeCell ref="H10:I10"/>
    <mergeCell ref="J10:K10"/>
    <mergeCell ref="L10:M10"/>
    <mergeCell ref="N10:O10"/>
    <mergeCell ref="P10:Q10"/>
    <mergeCell ref="F21:G21"/>
    <mergeCell ref="H21:I21"/>
    <mergeCell ref="J21:K21"/>
    <mergeCell ref="L21:M21"/>
    <mergeCell ref="N21:O21"/>
  </mergeCells>
  <conditionalFormatting sqref="R26:R31">
    <cfRule type="cellIs" dxfId="78" priority="1" operator="notEqual">
      <formula>TRUE</formula>
    </cfRule>
  </conditionalFormatting>
  <printOptions horizontalCentered="1" verticalCentered="1"/>
  <pageMargins left="0.11811023622047245" right="0.70866141732283472" top="0" bottom="0" header="0.31496062992125984" footer="0.31496062992125984"/>
  <pageSetup scale="52" orientation="landscape" r:id="rId1"/>
  <legacy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tabColor rgb="FFFFFF00"/>
  </sheetPr>
  <dimension ref="A1:AB25"/>
  <sheetViews>
    <sheetView zoomScale="106" zoomScaleNormal="106" workbookViewId="0">
      <selection activeCell="F28" sqref="F28"/>
    </sheetView>
  </sheetViews>
  <sheetFormatPr baseColWidth="10" defaultColWidth="11.453125" defaultRowHeight="11.5" x14ac:dyDescent="0.25"/>
  <cols>
    <col min="1" max="1" width="3" style="389" customWidth="1"/>
    <col min="2" max="2" width="4.453125" style="389" bestFit="1" customWidth="1"/>
    <col min="3" max="3" width="38.1796875" style="389" customWidth="1"/>
    <col min="4" max="4" width="15.1796875" style="389" customWidth="1"/>
    <col min="5" max="5" width="16" style="389" customWidth="1"/>
    <col min="6" max="7" width="14.81640625" style="389" customWidth="1"/>
    <col min="8" max="9" width="16" style="389" customWidth="1"/>
    <col min="10" max="10" width="17.54296875" style="389" customWidth="1"/>
    <col min="11" max="11" width="3.81640625" style="389" customWidth="1"/>
    <col min="12" max="12" width="2.81640625" style="389" customWidth="1"/>
    <col min="13" max="13" width="4.54296875" style="389" customWidth="1"/>
    <col min="14" max="14" width="11.1796875" style="389" customWidth="1"/>
    <col min="15" max="15" width="37.54296875" style="389" bestFit="1" customWidth="1"/>
    <col min="16" max="16" width="19.1796875" style="389" customWidth="1"/>
    <col min="17" max="17" width="17.81640625" style="389" customWidth="1"/>
    <col min="18" max="18" width="16.453125" style="389" customWidth="1"/>
    <col min="19" max="19" width="17.1796875" style="389" customWidth="1"/>
    <col min="20" max="20" width="15.81640625" style="389" customWidth="1"/>
    <col min="21" max="21" width="16.1796875" style="389" customWidth="1"/>
    <col min="22" max="22" width="13.1796875" style="391" customWidth="1"/>
    <col min="23" max="23" width="13.81640625" style="389" customWidth="1"/>
    <col min="24" max="24" width="3.453125" style="389" customWidth="1"/>
    <col min="25" max="25" width="13.81640625" style="389" bestFit="1" customWidth="1"/>
    <col min="26" max="27" width="11.453125" style="389"/>
    <col min="28" max="28" width="15.81640625" style="389" bestFit="1" customWidth="1"/>
    <col min="29" max="16384" width="11.453125" style="389"/>
  </cols>
  <sheetData>
    <row r="1" spans="2:28" x14ac:dyDescent="0.25">
      <c r="L1" s="390"/>
      <c r="X1" s="390"/>
    </row>
    <row r="2" spans="2:28" x14ac:dyDescent="0.25">
      <c r="L2" s="390"/>
      <c r="X2" s="390"/>
    </row>
    <row r="3" spans="2:28" ht="12" thickBot="1" x14ac:dyDescent="0.3">
      <c r="L3" s="390"/>
      <c r="X3" s="390"/>
    </row>
    <row r="4" spans="2:28" x14ac:dyDescent="0.25">
      <c r="B4" s="392"/>
      <c r="C4" s="393" t="s">
        <v>1</v>
      </c>
      <c r="D4" s="394" t="s">
        <v>1</v>
      </c>
      <c r="E4" s="393"/>
      <c r="F4" s="395"/>
      <c r="G4" s="393"/>
      <c r="H4" s="393" t="s">
        <v>1</v>
      </c>
      <c r="I4" s="393"/>
      <c r="J4" s="396"/>
      <c r="K4" s="397"/>
      <c r="L4" s="390"/>
      <c r="N4" s="392"/>
      <c r="O4" s="393" t="s">
        <v>1</v>
      </c>
      <c r="P4" s="394" t="s">
        <v>1</v>
      </c>
      <c r="Q4" s="393"/>
      <c r="R4" s="393"/>
      <c r="S4" s="393" t="s">
        <v>1</v>
      </c>
      <c r="T4" s="393"/>
      <c r="U4" s="396"/>
      <c r="V4" s="398"/>
      <c r="X4" s="390"/>
    </row>
    <row r="5" spans="2:28" ht="15.5" x14ac:dyDescent="0.35">
      <c r="B5" s="399"/>
      <c r="D5" s="400" t="s">
        <v>8</v>
      </c>
      <c r="E5" s="401"/>
      <c r="G5" s="401"/>
      <c r="I5" s="401" t="s">
        <v>16</v>
      </c>
      <c r="J5" s="402"/>
      <c r="K5" s="397"/>
      <c r="L5" s="390"/>
      <c r="N5" s="399"/>
      <c r="P5" s="400" t="s">
        <v>8</v>
      </c>
      <c r="R5" s="401"/>
      <c r="T5" s="401" t="s">
        <v>16</v>
      </c>
      <c r="U5" s="403"/>
      <c r="V5" s="398"/>
      <c r="X5" s="390"/>
    </row>
    <row r="6" spans="2:28" ht="15.5" x14ac:dyDescent="0.35">
      <c r="B6" s="399"/>
      <c r="D6" s="404" t="s">
        <v>185</v>
      </c>
      <c r="E6" s="405"/>
      <c r="G6" s="405"/>
      <c r="J6" s="402"/>
      <c r="K6" s="397"/>
      <c r="L6" s="390"/>
      <c r="N6" s="399"/>
      <c r="O6" s="401" t="s">
        <v>1</v>
      </c>
      <c r="P6" s="404" t="s">
        <v>174</v>
      </c>
      <c r="R6" s="405"/>
      <c r="U6" s="406" t="s">
        <v>1</v>
      </c>
      <c r="V6" s="398"/>
      <c r="X6" s="390"/>
    </row>
    <row r="7" spans="2:28" ht="15.5" x14ac:dyDescent="0.35">
      <c r="B7" s="399"/>
      <c r="D7" s="404" t="s">
        <v>175</v>
      </c>
      <c r="E7" s="405"/>
      <c r="G7" s="405"/>
      <c r="J7" s="402"/>
      <c r="K7" s="397"/>
      <c r="L7" s="390"/>
      <c r="N7" s="399"/>
      <c r="O7" s="401"/>
      <c r="P7" s="404" t="s">
        <v>175</v>
      </c>
      <c r="R7" s="405"/>
      <c r="U7" s="406"/>
      <c r="V7" s="398"/>
      <c r="X7" s="390"/>
    </row>
    <row r="8" spans="2:28" ht="15.5" x14ac:dyDescent="0.35">
      <c r="B8" s="399"/>
      <c r="D8" s="404" t="s">
        <v>176</v>
      </c>
      <c r="E8" s="405"/>
      <c r="G8" s="397"/>
      <c r="J8" s="402"/>
      <c r="K8" s="397"/>
      <c r="L8" s="390"/>
      <c r="N8" s="399"/>
      <c r="O8" s="407" t="s">
        <v>1</v>
      </c>
      <c r="P8" s="404" t="s">
        <v>176</v>
      </c>
      <c r="R8" s="397"/>
      <c r="U8" s="402"/>
      <c r="V8" s="398"/>
      <c r="X8" s="390"/>
    </row>
    <row r="9" spans="2:28" ht="15.5" x14ac:dyDescent="0.35">
      <c r="B9" s="399"/>
      <c r="C9" s="397"/>
      <c r="D9" s="408"/>
      <c r="E9" s="409"/>
      <c r="G9" s="409"/>
      <c r="H9" s="397"/>
      <c r="J9" s="402"/>
      <c r="K9" s="397"/>
      <c r="L9" s="390"/>
      <c r="N9" s="399"/>
      <c r="O9" s="409" t="s">
        <v>1</v>
      </c>
      <c r="P9" s="409"/>
      <c r="R9" s="409"/>
      <c r="S9" s="397"/>
      <c r="U9" s="403"/>
      <c r="V9" s="398"/>
      <c r="X9" s="390"/>
    </row>
    <row r="10" spans="2:28" ht="18" thickBot="1" x14ac:dyDescent="0.5">
      <c r="B10" s="399"/>
      <c r="C10" s="397"/>
      <c r="D10" s="410"/>
      <c r="E10" s="397" t="s">
        <v>27</v>
      </c>
      <c r="F10" s="457">
        <f>'CONSOLIDADO_TOTAL RECAUDO'!G102</f>
        <v>46219</v>
      </c>
      <c r="G10" s="408"/>
      <c r="H10" s="397" t="s">
        <v>28</v>
      </c>
      <c r="I10" s="457">
        <f>'CONSOLIDADO_TOTAL RECAUDO'!K102</f>
        <v>46234</v>
      </c>
      <c r="J10" s="403"/>
      <c r="K10" s="397"/>
      <c r="L10" s="390"/>
      <c r="N10" s="399"/>
      <c r="Q10" s="408"/>
      <c r="R10" s="389" t="s">
        <v>1</v>
      </c>
      <c r="T10" s="408"/>
      <c r="U10" s="403"/>
      <c r="V10" s="398"/>
      <c r="X10" s="390"/>
      <c r="Y10" s="411" t="s">
        <v>1</v>
      </c>
    </row>
    <row r="11" spans="2:28" ht="69.5" thickBot="1" x14ac:dyDescent="0.3">
      <c r="B11" s="412" t="s">
        <v>3</v>
      </c>
      <c r="C11" s="413" t="s">
        <v>9</v>
      </c>
      <c r="D11" s="412" t="s">
        <v>177</v>
      </c>
      <c r="E11" s="414" t="s">
        <v>178</v>
      </c>
      <c r="F11" s="413" t="s">
        <v>179</v>
      </c>
      <c r="G11" s="415" t="s">
        <v>180</v>
      </c>
      <c r="H11" s="413" t="s">
        <v>181</v>
      </c>
      <c r="I11" s="414" t="s">
        <v>182</v>
      </c>
      <c r="J11" s="416" t="s">
        <v>183</v>
      </c>
      <c r="K11" s="417"/>
      <c r="L11" s="390"/>
      <c r="N11" s="412" t="s">
        <v>3</v>
      </c>
      <c r="O11" s="413" t="s">
        <v>9</v>
      </c>
      <c r="P11" s="418" t="s">
        <v>39</v>
      </c>
      <c r="Q11" s="419" t="s">
        <v>40</v>
      </c>
      <c r="R11" s="419" t="s">
        <v>41</v>
      </c>
      <c r="S11" s="419" t="s">
        <v>42</v>
      </c>
      <c r="T11" s="420" t="s">
        <v>184</v>
      </c>
      <c r="U11" s="461" t="s">
        <v>183</v>
      </c>
      <c r="V11" s="421"/>
      <c r="X11" s="390"/>
    </row>
    <row r="12" spans="2:28" s="427" customFormat="1" x14ac:dyDescent="0.25">
      <c r="B12" s="422">
        <v>1</v>
      </c>
      <c r="C12" s="423" t="s">
        <v>10</v>
      </c>
      <c r="D12" s="424">
        <f>'Reporte Componentes R1'!F83*$D$24</f>
        <v>11217.37</v>
      </c>
      <c r="E12" s="424">
        <f>'Reporte Componentes R1'!G83*$D$24</f>
        <v>766.38</v>
      </c>
      <c r="F12" s="425">
        <f>'Reporte Componentes R1'!H83*$D$24</f>
        <v>325.58999999999997</v>
      </c>
      <c r="G12" s="425">
        <f>'Reporte Componentes R1'!I83*$D$24</f>
        <v>142.16999999999999</v>
      </c>
      <c r="H12" s="425">
        <f>'Reporte Componentes R1'!J83*$D$24</f>
        <v>1970.37</v>
      </c>
      <c r="I12" s="425">
        <f>'Reporte Componentes R1'!K83*$D$24</f>
        <v>127.32</v>
      </c>
      <c r="J12" s="426">
        <f t="shared" ref="J12:J16" si="0">D12-E12-F12-G12-H12-I12</f>
        <v>7885.5400000000018</v>
      </c>
      <c r="L12" s="428"/>
      <c r="N12" s="422">
        <v>1</v>
      </c>
      <c r="O12" s="423" t="s">
        <v>10</v>
      </c>
      <c r="P12" s="429">
        <f>'Reporte Componentes R1'!M83*$P$24</f>
        <v>1116.82</v>
      </c>
      <c r="Q12" s="430">
        <f>'Reporte Componentes R1'!N83*$P$24</f>
        <v>934.67</v>
      </c>
      <c r="R12" s="430">
        <f>'Reporte Componentes R1'!O83*$P$24</f>
        <v>3730.88</v>
      </c>
      <c r="S12" s="430">
        <f>'Reporte Componentes R1'!P83*$P$24</f>
        <v>1895.43</v>
      </c>
      <c r="T12" s="430">
        <f>'Reporte Componentes R1'!Q83*$P$24</f>
        <v>207.74</v>
      </c>
      <c r="U12" s="464">
        <f>SUM(P12:T12)</f>
        <v>7885.54</v>
      </c>
      <c r="V12" s="465">
        <f>J12-U12</f>
        <v>0</v>
      </c>
      <c r="W12" s="427" t="b">
        <f t="shared" ref="W12:W17" si="1">V12=0</f>
        <v>1</v>
      </c>
      <c r="X12" s="428"/>
      <c r="AB12" s="431"/>
    </row>
    <row r="13" spans="2:28" s="427" customFormat="1" x14ac:dyDescent="0.25">
      <c r="B13" s="432">
        <v>2</v>
      </c>
      <c r="C13" s="433" t="s">
        <v>11</v>
      </c>
      <c r="D13" s="424">
        <f>'Reporte Componentes R1'!F236*$D$24</f>
        <v>405906.75</v>
      </c>
      <c r="E13" s="425">
        <f>'Reporte Componentes R1'!G236*$D$24</f>
        <v>36253.24</v>
      </c>
      <c r="F13" s="425">
        <f>'Reporte Componentes R1'!H236*$D$24</f>
        <v>15401.35</v>
      </c>
      <c r="G13" s="425">
        <f>'Reporte Componentes R1'!I236*$D$24</f>
        <v>6725.8</v>
      </c>
      <c r="H13" s="425">
        <f>'Reporte Componentes R1'!J236*$D$24</f>
        <v>80022.36</v>
      </c>
      <c r="I13" s="425">
        <f>'Reporte Componentes R1'!K236*$D$24</f>
        <v>3364.46</v>
      </c>
      <c r="J13" s="426">
        <f t="shared" si="0"/>
        <v>264139.54000000004</v>
      </c>
      <c r="L13" s="428"/>
      <c r="N13" s="432">
        <v>2</v>
      </c>
      <c r="O13" s="433" t="s">
        <v>11</v>
      </c>
      <c r="P13" s="434">
        <f>'Reporte Componentes R1'!M236*$P$24</f>
        <v>29514</v>
      </c>
      <c r="Q13" s="435">
        <f>'Reporte Componentes R1'!N236*$P$24</f>
        <v>36987.9</v>
      </c>
      <c r="R13" s="435">
        <f>'Reporte Componentes R1'!O236*$P$24</f>
        <v>124266.63</v>
      </c>
      <c r="S13" s="435">
        <f>'Reporte Componentes R1'!P236*$P$24</f>
        <v>67881.399999999994</v>
      </c>
      <c r="T13" s="435">
        <f>'Reporte Componentes R1'!Q236*$P$24</f>
        <v>5489.61</v>
      </c>
      <c r="U13" s="463">
        <f>SUM(P13:T13)</f>
        <v>264139.53999999998</v>
      </c>
      <c r="V13" s="466">
        <f t="shared" ref="V13:V16" si="2">J13-U13</f>
        <v>0</v>
      </c>
      <c r="W13" s="427" t="b">
        <f t="shared" si="1"/>
        <v>1</v>
      </c>
      <c r="X13" s="428"/>
      <c r="AB13" s="431"/>
    </row>
    <row r="14" spans="2:28" s="427" customFormat="1" x14ac:dyDescent="0.25">
      <c r="B14" s="432">
        <v>3</v>
      </c>
      <c r="C14" s="433" t="s">
        <v>12</v>
      </c>
      <c r="D14" s="424">
        <f>'Reporte Componentes R1'!F373*$D$24</f>
        <v>16458.46</v>
      </c>
      <c r="E14" s="424">
        <f>'Reporte Componentes R1'!G373*$D$24</f>
        <v>1490.88</v>
      </c>
      <c r="F14" s="424">
        <f>'Reporte Componentes R1'!H373*$D$24</f>
        <v>633.39</v>
      </c>
      <c r="G14" s="424">
        <f>'Reporte Componentes R1'!I373*$D$24</f>
        <v>276.60000000000002</v>
      </c>
      <c r="H14" s="424">
        <f>'Reporte Componentes R1'!J373*$D$24</f>
        <v>3142.56</v>
      </c>
      <c r="I14" s="424">
        <f>'Reporte Componentes R1'!K373*$D$24</f>
        <v>129.47999999999999</v>
      </c>
      <c r="J14" s="426">
        <f t="shared" si="0"/>
        <v>10785.55</v>
      </c>
      <c r="L14" s="428"/>
      <c r="N14" s="432">
        <v>3</v>
      </c>
      <c r="O14" s="433" t="s">
        <v>12</v>
      </c>
      <c r="P14" s="434">
        <f>'Reporte Componentes R1'!M373*$P$24</f>
        <v>1135.68</v>
      </c>
      <c r="Q14" s="435">
        <f>'Reporte Componentes R1'!N373*$P$24</f>
        <v>1423.48</v>
      </c>
      <c r="R14" s="435">
        <f>'Reporte Componentes R1'!O373*$P$24</f>
        <v>4781.43</v>
      </c>
      <c r="S14" s="435">
        <f>'Reporte Componentes R1'!P373*$P$24</f>
        <v>3233.73</v>
      </c>
      <c r="T14" s="435">
        <f>'Reporte Componentes R1'!Q373*$P$24</f>
        <v>211.23</v>
      </c>
      <c r="U14" s="463">
        <f>SUM(P14:T14)</f>
        <v>10785.55</v>
      </c>
      <c r="V14" s="466">
        <f t="shared" si="2"/>
        <v>0</v>
      </c>
      <c r="W14" s="427" t="b">
        <f t="shared" si="1"/>
        <v>1</v>
      </c>
      <c r="X14" s="428"/>
      <c r="AB14" s="431"/>
    </row>
    <row r="15" spans="2:28" s="427" customFormat="1" x14ac:dyDescent="0.25">
      <c r="B15" s="432">
        <v>4</v>
      </c>
      <c r="C15" s="433" t="s">
        <v>13</v>
      </c>
      <c r="D15" s="424">
        <f>'Reporte Componentes R1'!F498*$D$24</f>
        <v>439956.52</v>
      </c>
      <c r="E15" s="425">
        <f>'Reporte Componentes R1'!G498*$D$24</f>
        <v>35444.410000000003</v>
      </c>
      <c r="F15" s="425">
        <f>'Reporte Componentes R1'!H498*$D$24</f>
        <v>15058.04</v>
      </c>
      <c r="G15" s="425">
        <f>'Reporte Componentes R1'!I498*$D$24</f>
        <v>6575.73</v>
      </c>
      <c r="H15" s="425">
        <f>'Reporte Componentes R1'!J498*$D$24</f>
        <v>81642.179999999993</v>
      </c>
      <c r="I15" s="425">
        <f>'Reporte Componentes R1'!K498*$D$24</f>
        <v>3324.84</v>
      </c>
      <c r="J15" s="426">
        <f t="shared" si="0"/>
        <v>297911.32</v>
      </c>
      <c r="L15" s="428"/>
      <c r="N15" s="432">
        <v>4</v>
      </c>
      <c r="O15" s="433" t="s">
        <v>13</v>
      </c>
      <c r="P15" s="434">
        <f>'Reporte Componentes R1'!M498*$P$24</f>
        <v>29164.3</v>
      </c>
      <c r="Q15" s="435">
        <f>'Reporte Componentes R1'!N498*$P$24</f>
        <v>37085.49</v>
      </c>
      <c r="R15" s="435">
        <f>'Reporte Componentes R1'!O498*$P$24</f>
        <v>136171.69</v>
      </c>
      <c r="S15" s="435">
        <f>'Reporte Componentes R1'!P498*$P$24</f>
        <v>90064.99</v>
      </c>
      <c r="T15" s="435">
        <f>'Reporte Componentes R1'!Q498*$P$24</f>
        <v>5424.85</v>
      </c>
      <c r="U15" s="463">
        <f>SUM(P15:T15)</f>
        <v>297911.31999999995</v>
      </c>
      <c r="V15" s="466">
        <f t="shared" si="2"/>
        <v>0</v>
      </c>
      <c r="W15" s="427" t="b">
        <f t="shared" si="1"/>
        <v>1</v>
      </c>
      <c r="X15" s="428"/>
      <c r="AB15" s="431"/>
    </row>
    <row r="16" spans="2:28" s="427" customFormat="1" ht="12" thickBot="1" x14ac:dyDescent="0.3">
      <c r="B16" s="436">
        <v>5</v>
      </c>
      <c r="C16" s="437" t="s">
        <v>14</v>
      </c>
      <c r="D16" s="438">
        <f>'Reporte Componentes R1'!F588*$D$24</f>
        <v>0</v>
      </c>
      <c r="E16" s="439">
        <f>'Reporte Componentes R1'!G588*$D$24</f>
        <v>0</v>
      </c>
      <c r="F16" s="439">
        <f>'Reporte Componentes R1'!H588*$D$24</f>
        <v>0</v>
      </c>
      <c r="G16" s="439">
        <f>'Reporte Componentes R1'!I588*$D$24</f>
        <v>0</v>
      </c>
      <c r="H16" s="439">
        <f>'Reporte Componentes R1'!J588*$D$24</f>
        <v>0</v>
      </c>
      <c r="I16" s="439">
        <f>'Reporte Componentes R1'!K588*$D$24</f>
        <v>0</v>
      </c>
      <c r="J16" s="426">
        <f t="shared" si="0"/>
        <v>0</v>
      </c>
      <c r="L16" s="428"/>
      <c r="N16" s="436">
        <v>5</v>
      </c>
      <c r="O16" s="437" t="s">
        <v>14</v>
      </c>
      <c r="P16" s="438">
        <f>'Reporte Componentes R1'!M588*$P$24</f>
        <v>0</v>
      </c>
      <c r="Q16" s="439">
        <f>'Reporte Componentes R1'!N588*$P$24</f>
        <v>0</v>
      </c>
      <c r="R16" s="439">
        <f>'Reporte Componentes R1'!O588*$P$24</f>
        <v>0</v>
      </c>
      <c r="S16" s="439">
        <f>'Reporte Componentes R1'!P588*$P$24</f>
        <v>0</v>
      </c>
      <c r="T16" s="439">
        <f>'Reporte Componentes R1'!Q588*$P$24</f>
        <v>0</v>
      </c>
      <c r="U16" s="467">
        <f>SUM(P16:T16)</f>
        <v>0</v>
      </c>
      <c r="V16" s="468">
        <f t="shared" si="2"/>
        <v>0</v>
      </c>
      <c r="W16" s="427" t="b">
        <f t="shared" si="1"/>
        <v>1</v>
      </c>
      <c r="X16" s="428"/>
      <c r="AB16" s="431"/>
    </row>
    <row r="17" spans="1:28" s="427" customFormat="1" ht="12" thickBot="1" x14ac:dyDescent="0.3">
      <c r="B17" s="440"/>
      <c r="C17" s="441" t="s">
        <v>2</v>
      </c>
      <c r="D17" s="442">
        <f t="shared" ref="D17:J17" si="3">SUM(D12:D16)</f>
        <v>873539.10000000009</v>
      </c>
      <c r="E17" s="442">
        <f t="shared" si="3"/>
        <v>73954.91</v>
      </c>
      <c r="F17" s="442">
        <f t="shared" si="3"/>
        <v>31418.370000000003</v>
      </c>
      <c r="G17" s="442">
        <f t="shared" si="3"/>
        <v>13720.3</v>
      </c>
      <c r="H17" s="442">
        <f t="shared" si="3"/>
        <v>166777.46999999997</v>
      </c>
      <c r="I17" s="442">
        <f t="shared" si="3"/>
        <v>6946.1</v>
      </c>
      <c r="J17" s="443">
        <f t="shared" si="3"/>
        <v>580721.94999999995</v>
      </c>
      <c r="K17" s="444"/>
      <c r="L17" s="428"/>
      <c r="N17" s="440"/>
      <c r="O17" s="441" t="s">
        <v>2</v>
      </c>
      <c r="P17" s="445">
        <f>SUM(P12:P16)</f>
        <v>60930.8</v>
      </c>
      <c r="Q17" s="445">
        <f t="shared" ref="Q17:U17" si="4">SUM(Q12:Q16)</f>
        <v>76431.540000000008</v>
      </c>
      <c r="R17" s="445">
        <f t="shared" si="4"/>
        <v>268950.63</v>
      </c>
      <c r="S17" s="445">
        <f t="shared" si="4"/>
        <v>163075.54999999999</v>
      </c>
      <c r="T17" s="445">
        <f t="shared" si="4"/>
        <v>11333.43</v>
      </c>
      <c r="U17" s="462">
        <f t="shared" si="4"/>
        <v>580721.94999999995</v>
      </c>
      <c r="V17" s="446">
        <f>SUM(V12:V16)</f>
        <v>0</v>
      </c>
      <c r="W17" s="427" t="b">
        <f t="shared" si="1"/>
        <v>1</v>
      </c>
      <c r="X17" s="428"/>
      <c r="AB17" s="431"/>
    </row>
    <row r="18" spans="1:28" ht="12" thickBot="1" x14ac:dyDescent="0.3">
      <c r="B18" s="397"/>
      <c r="C18" s="397"/>
      <c r="D18" s="447"/>
      <c r="E18" s="448"/>
      <c r="F18" s="448"/>
      <c r="G18" s="448"/>
      <c r="H18" s="448"/>
      <c r="I18" s="448"/>
      <c r="J18" s="448"/>
      <c r="L18" s="390"/>
      <c r="N18" s="397"/>
      <c r="O18" s="397"/>
      <c r="P18" s="448"/>
      <c r="Q18" s="448"/>
      <c r="R18" s="448"/>
      <c r="S18" s="448"/>
      <c r="T18" s="448"/>
      <c r="U18" s="448"/>
      <c r="X18" s="390"/>
    </row>
    <row r="19" spans="1:28" ht="12" thickBot="1" x14ac:dyDescent="0.3">
      <c r="B19" s="397"/>
      <c r="C19" s="397"/>
      <c r="D19" s="448"/>
      <c r="E19" s="448"/>
      <c r="F19" s="448"/>
      <c r="G19" s="448"/>
      <c r="H19" s="448"/>
      <c r="I19" s="448"/>
      <c r="J19" s="448"/>
      <c r="L19" s="390"/>
      <c r="T19" s="449">
        <f>SUM(P17:T17)</f>
        <v>580721.95000000007</v>
      </c>
      <c r="U19" s="389" t="s">
        <v>1</v>
      </c>
      <c r="X19" s="390"/>
    </row>
    <row r="20" spans="1:28" ht="12" thickBot="1" x14ac:dyDescent="0.3">
      <c r="B20" s="397"/>
      <c r="C20" s="397"/>
      <c r="D20" s="448" t="s">
        <v>1</v>
      </c>
      <c r="E20" s="450"/>
      <c r="F20" s="450"/>
      <c r="G20" s="450"/>
      <c r="H20" s="450"/>
      <c r="I20" s="448"/>
      <c r="J20" s="641" t="str">
        <f>+IF(MAX(J12:J17)&gt;500000,"VALIDAR",TRUE)</f>
        <v>VALIDAR</v>
      </c>
      <c r="L20" s="390"/>
      <c r="U20" s="451"/>
      <c r="X20" s="390"/>
    </row>
    <row r="21" spans="1:28" x14ac:dyDescent="0.25">
      <c r="B21" s="397"/>
      <c r="C21" s="397"/>
      <c r="D21" s="448" t="s">
        <v>1</v>
      </c>
      <c r="E21" s="448" t="s">
        <v>1</v>
      </c>
      <c r="F21" s="448" t="s">
        <v>25</v>
      </c>
      <c r="G21" s="448"/>
      <c r="H21" s="448"/>
      <c r="I21" s="448"/>
      <c r="J21" s="448"/>
      <c r="L21" s="390"/>
      <c r="X21" s="390"/>
    </row>
    <row r="22" spans="1:28" x14ac:dyDescent="0.25">
      <c r="A22" s="452"/>
      <c r="B22" s="453"/>
      <c r="C22" s="453"/>
      <c r="D22" s="454"/>
      <c r="E22" s="454"/>
      <c r="F22" s="454"/>
      <c r="G22" s="454"/>
      <c r="H22" s="454"/>
      <c r="I22" s="454"/>
      <c r="J22" s="454"/>
      <c r="K22" s="452"/>
      <c r="L22" s="452"/>
      <c r="M22" s="452"/>
      <c r="N22" s="452"/>
      <c r="O22" s="452"/>
      <c r="P22" s="452"/>
      <c r="Q22" s="452"/>
      <c r="R22" s="452"/>
      <c r="S22" s="452"/>
      <c r="T22" s="452"/>
      <c r="U22" s="452"/>
      <c r="V22" s="455"/>
      <c r="W22" s="452"/>
      <c r="X22" s="452"/>
    </row>
    <row r="24" spans="1:28" x14ac:dyDescent="0.25">
      <c r="D24" s="456">
        <v>-1</v>
      </c>
      <c r="P24" s="456">
        <v>-1</v>
      </c>
    </row>
    <row r="25" spans="1:28" ht="15.5" x14ac:dyDescent="0.35">
      <c r="E25" s="405"/>
    </row>
  </sheetData>
  <conditionalFormatting sqref="J20">
    <cfRule type="cellIs" dxfId="77" priority="1" operator="equal">
      <formula>TRUE</formula>
    </cfRule>
    <cfRule type="cellIs" dxfId="76" priority="2" operator="equal">
      <formula>"VALIDAR"</formula>
    </cfRule>
  </conditionalFormatting>
  <pageMargins left="0.7" right="0.7" top="0.75" bottom="0.75" header="0.3" footer="0.3"/>
  <pageSetup orientation="portrait" horizontalDpi="4294967293" verticalDpi="0" r:id="rId1"/>
  <drawing r:id="rId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tabColor rgb="FF00FF00"/>
    <pageSetUpPr fitToPage="1"/>
  </sheetPr>
  <dimension ref="A1:AM167"/>
  <sheetViews>
    <sheetView tabSelected="1" topLeftCell="A95" zoomScaleNormal="100" workbookViewId="0">
      <selection activeCell="A95" sqref="A95"/>
    </sheetView>
  </sheetViews>
  <sheetFormatPr baseColWidth="10" defaultColWidth="11.453125" defaultRowHeight="11.5" x14ac:dyDescent="0.25"/>
  <cols>
    <col min="1" max="1" width="3" style="1" customWidth="1"/>
    <col min="2" max="2" width="4.453125" style="1" bestFit="1" customWidth="1"/>
    <col min="3" max="3" width="37.81640625" style="1" customWidth="1"/>
    <col min="4" max="4" width="15.1796875" style="1" customWidth="1"/>
    <col min="5" max="5" width="16" style="1" customWidth="1"/>
    <col min="6" max="7" width="14.81640625" style="1" customWidth="1"/>
    <col min="8" max="9" width="16" style="1" customWidth="1"/>
    <col min="10" max="10" width="15.54296875" style="1" customWidth="1"/>
    <col min="11" max="11" width="17.54296875" style="1" customWidth="1"/>
    <col min="12" max="12" width="17.81640625" style="1" customWidth="1"/>
    <col min="13" max="13" width="20" style="1" customWidth="1"/>
    <col min="14" max="14" width="15.1796875" style="1" customWidth="1"/>
    <col min="15" max="15" width="16.81640625" style="1" customWidth="1"/>
    <col min="16" max="16" width="3.81640625" style="1" customWidth="1"/>
    <col min="17" max="17" width="2.81640625" style="1" customWidth="1"/>
    <col min="18" max="18" width="4.54296875" style="1" customWidth="1"/>
    <col min="19" max="19" width="11.1796875" style="1" customWidth="1"/>
    <col min="20" max="20" width="37.54296875" style="1" bestFit="1" customWidth="1"/>
    <col min="21" max="21" width="19.1796875" style="1" customWidth="1"/>
    <col min="22" max="22" width="17.81640625" style="1" customWidth="1"/>
    <col min="23" max="23" width="16.453125" style="1" customWidth="1"/>
    <col min="24" max="24" width="17.1796875" style="1" customWidth="1"/>
    <col min="25" max="25" width="15.81640625" style="1" customWidth="1"/>
    <col min="26" max="26" width="16" style="1" customWidth="1"/>
    <col min="27" max="27" width="15" style="1" customWidth="1"/>
    <col min="28" max="29" width="16.81640625" style="1" customWidth="1"/>
    <col min="30" max="31" width="15.453125" style="1" customWidth="1"/>
    <col min="32" max="32" width="16.1796875" style="1" customWidth="1"/>
    <col min="33" max="33" width="14.81640625" style="271" bestFit="1" customWidth="1"/>
    <col min="34" max="34" width="13.81640625" style="1" customWidth="1"/>
    <col min="35" max="35" width="3.453125" style="1" customWidth="1"/>
    <col min="36" max="36" width="13.81640625" style="1" bestFit="1" customWidth="1"/>
    <col min="37" max="38" width="11.453125" style="1"/>
    <col min="39" max="39" width="15.81640625" style="1" bestFit="1" customWidth="1"/>
    <col min="40" max="16384" width="11.453125" style="1"/>
  </cols>
  <sheetData>
    <row r="1" spans="2:35" ht="12" thickBot="1" x14ac:dyDescent="0.3">
      <c r="Q1" s="4"/>
      <c r="AI1" s="4"/>
    </row>
    <row r="2" spans="2:35" x14ac:dyDescent="0.25">
      <c r="B2" s="5"/>
      <c r="C2" s="3" t="s">
        <v>1</v>
      </c>
      <c r="D2" s="6" t="s">
        <v>1</v>
      </c>
      <c r="E2" s="3"/>
      <c r="F2" s="3"/>
      <c r="G2" s="3"/>
      <c r="H2" s="3" t="s">
        <v>1</v>
      </c>
      <c r="I2" s="3"/>
      <c r="J2" s="3"/>
      <c r="K2" s="3"/>
      <c r="L2" s="3"/>
      <c r="M2" s="3"/>
      <c r="N2" s="3"/>
      <c r="O2" s="7"/>
      <c r="P2" s="2"/>
      <c r="Q2" s="4"/>
      <c r="S2" s="5"/>
      <c r="T2" s="3" t="s">
        <v>1</v>
      </c>
      <c r="U2" s="6" t="s">
        <v>1</v>
      </c>
      <c r="V2" s="3"/>
      <c r="W2" s="3"/>
      <c r="X2" s="3" t="s">
        <v>1</v>
      </c>
      <c r="Y2" s="3"/>
      <c r="Z2" s="3"/>
      <c r="AA2" s="3"/>
      <c r="AB2" s="3"/>
      <c r="AC2" s="3"/>
      <c r="AD2" s="3"/>
      <c r="AE2" s="3"/>
      <c r="AF2" s="7"/>
      <c r="AG2" s="272"/>
      <c r="AI2" s="4"/>
    </row>
    <row r="3" spans="2:35" ht="14" x14ac:dyDescent="0.3">
      <c r="B3" s="8"/>
      <c r="F3" s="26" t="s">
        <v>8</v>
      </c>
      <c r="G3" s="26"/>
      <c r="I3" s="26" t="s">
        <v>16</v>
      </c>
      <c r="J3" s="25"/>
      <c r="M3" s="2" t="s">
        <v>15</v>
      </c>
      <c r="N3" s="50">
        <v>2026072</v>
      </c>
      <c r="O3" s="10"/>
      <c r="P3" s="2"/>
      <c r="Q3" s="4"/>
      <c r="S3" s="8"/>
      <c r="U3" s="26" t="s">
        <v>8</v>
      </c>
      <c r="W3" s="26" t="s">
        <v>16</v>
      </c>
      <c r="X3" s="25"/>
      <c r="Y3" s="2"/>
      <c r="AA3" s="2" t="s">
        <v>15</v>
      </c>
      <c r="AD3" s="84">
        <f>N3</f>
        <v>2026072</v>
      </c>
      <c r="AE3" s="84"/>
      <c r="AF3" s="48"/>
      <c r="AG3" s="272"/>
      <c r="AI3" s="4"/>
    </row>
    <row r="4" spans="2:35" ht="15.5" x14ac:dyDescent="0.35">
      <c r="B4" s="8"/>
      <c r="F4" s="36" t="s">
        <v>29</v>
      </c>
      <c r="G4" s="36"/>
      <c r="O4" s="10"/>
      <c r="P4" s="2"/>
      <c r="Q4" s="4"/>
      <c r="S4" s="8"/>
      <c r="T4" s="26" t="s">
        <v>1</v>
      </c>
      <c r="U4" s="36" t="s">
        <v>29</v>
      </c>
      <c r="Y4" s="2" t="s">
        <v>1</v>
      </c>
      <c r="AA4" s="50" t="s">
        <v>1</v>
      </c>
      <c r="AB4" s="2"/>
      <c r="AC4" s="2"/>
      <c r="AD4" s="2"/>
      <c r="AE4" s="2"/>
      <c r="AF4" s="10" t="s">
        <v>1</v>
      </c>
      <c r="AG4" s="272"/>
      <c r="AI4" s="4"/>
    </row>
    <row r="5" spans="2:35" ht="14" x14ac:dyDescent="0.3">
      <c r="B5" s="8"/>
      <c r="F5" s="2" t="s">
        <v>30</v>
      </c>
      <c r="G5" s="2"/>
      <c r="M5" s="2" t="s">
        <v>1</v>
      </c>
      <c r="O5" s="10"/>
      <c r="P5" s="2"/>
      <c r="Q5" s="4"/>
      <c r="S5" s="8"/>
      <c r="T5" s="49" t="s">
        <v>1</v>
      </c>
      <c r="U5" s="2" t="s">
        <v>30</v>
      </c>
      <c r="AF5" s="44"/>
      <c r="AG5" s="272"/>
      <c r="AI5" s="4"/>
    </row>
    <row r="6" spans="2:35" ht="15.5" x14ac:dyDescent="0.35">
      <c r="B6" s="8"/>
      <c r="C6" s="599" t="s">
        <v>17</v>
      </c>
      <c r="D6" s="9">
        <v>46238</v>
      </c>
      <c r="F6" s="41" t="s">
        <v>26</v>
      </c>
      <c r="G6" s="41"/>
      <c r="H6" s="2"/>
      <c r="J6" s="2"/>
      <c r="O6" s="10"/>
      <c r="P6" s="2"/>
      <c r="Q6" s="4"/>
      <c r="S6" s="8"/>
      <c r="T6" s="41" t="s">
        <v>1</v>
      </c>
      <c r="U6" s="41" t="s">
        <v>26</v>
      </c>
      <c r="V6" s="2"/>
      <c r="X6" s="2"/>
      <c r="Y6" s="2"/>
      <c r="AF6" s="48"/>
      <c r="AG6" s="272"/>
      <c r="AI6" s="4"/>
    </row>
    <row r="7" spans="2:35" ht="12" thickBot="1" x14ac:dyDescent="0.3">
      <c r="B7" s="8"/>
      <c r="C7" s="599" t="s">
        <v>0</v>
      </c>
      <c r="D7" s="241">
        <v>0.58333333333333337</v>
      </c>
      <c r="F7" s="2" t="s">
        <v>27</v>
      </c>
      <c r="G7" s="9">
        <v>46219</v>
      </c>
      <c r="J7" s="2" t="s">
        <v>28</v>
      </c>
      <c r="K7" s="9">
        <v>46234</v>
      </c>
      <c r="O7" s="10"/>
      <c r="P7" s="2"/>
      <c r="Q7" s="4"/>
      <c r="S7" s="8"/>
      <c r="U7" s="1" t="str">
        <f>F7</f>
        <v>Fecha Desde:</v>
      </c>
      <c r="V7" s="9">
        <f>G7</f>
        <v>46219</v>
      </c>
      <c r="W7" s="1" t="s">
        <v>1</v>
      </c>
      <c r="X7" s="1" t="str">
        <f>J7</f>
        <v>Feha Hasta:</v>
      </c>
      <c r="Y7" s="9">
        <f>K7</f>
        <v>46234</v>
      </c>
      <c r="Z7" s="1" t="s">
        <v>1</v>
      </c>
      <c r="AF7" s="48"/>
      <c r="AG7" s="272"/>
      <c r="AI7" s="4"/>
    </row>
    <row r="8" spans="2:35" ht="72" customHeight="1" thickBot="1" x14ac:dyDescent="0.3">
      <c r="B8" s="11" t="s">
        <v>3</v>
      </c>
      <c r="C8" s="27" t="s">
        <v>9</v>
      </c>
      <c r="D8" s="11" t="s">
        <v>4</v>
      </c>
      <c r="E8" s="12" t="s">
        <v>5</v>
      </c>
      <c r="F8" s="27" t="s">
        <v>6</v>
      </c>
      <c r="G8" s="27" t="s">
        <v>159</v>
      </c>
      <c r="H8" s="27" t="s">
        <v>18</v>
      </c>
      <c r="I8" s="12" t="s">
        <v>24</v>
      </c>
      <c r="J8" s="73" t="s">
        <v>19</v>
      </c>
      <c r="K8" s="29" t="s">
        <v>20</v>
      </c>
      <c r="L8" s="28" t="s">
        <v>21</v>
      </c>
      <c r="M8" s="39" t="s">
        <v>22</v>
      </c>
      <c r="N8" s="12" t="s">
        <v>7</v>
      </c>
      <c r="O8" s="39" t="s">
        <v>23</v>
      </c>
      <c r="P8" s="13"/>
      <c r="Q8" s="4"/>
      <c r="S8" s="11" t="s">
        <v>3</v>
      </c>
      <c r="T8" s="27" t="s">
        <v>9</v>
      </c>
      <c r="U8" s="162" t="s">
        <v>39</v>
      </c>
      <c r="V8" s="163" t="s">
        <v>40</v>
      </c>
      <c r="W8" s="163" t="s">
        <v>41</v>
      </c>
      <c r="X8" s="163" t="s">
        <v>42</v>
      </c>
      <c r="Y8" s="164" t="s">
        <v>43</v>
      </c>
      <c r="Z8" s="85" t="s">
        <v>21</v>
      </c>
      <c r="AA8" s="65" t="s">
        <v>46</v>
      </c>
      <c r="AB8" s="65" t="s">
        <v>7</v>
      </c>
      <c r="AC8" s="85" t="s">
        <v>168</v>
      </c>
      <c r="AD8" s="121" t="s">
        <v>107</v>
      </c>
      <c r="AE8" s="121" t="s">
        <v>226</v>
      </c>
      <c r="AF8" s="39" t="s">
        <v>23</v>
      </c>
      <c r="AG8" s="273"/>
      <c r="AI8" s="4"/>
    </row>
    <row r="9" spans="2:35" s="305" customFormat="1" x14ac:dyDescent="0.25">
      <c r="B9" s="303">
        <v>1</v>
      </c>
      <c r="C9" s="304" t="s">
        <v>10</v>
      </c>
      <c r="D9" s="386">
        <f>'Reporte Componentes R1'!F53</f>
        <v>17339793559.860001</v>
      </c>
      <c r="E9" s="292">
        <f>'Reporte Componentes R1'!G53</f>
        <v>898223141.86000001</v>
      </c>
      <c r="F9" s="292">
        <f>'Reporte Componentes R1'!H53</f>
        <v>506560790.43000001</v>
      </c>
      <c r="G9" s="292">
        <f>'Reporte Componentes R1'!I53</f>
        <v>266134388.70000002</v>
      </c>
      <c r="H9" s="292">
        <f>'Reporte Componentes R1'!J53</f>
        <v>3794558031.4300003</v>
      </c>
      <c r="I9" s="292">
        <f>'Reporte Componentes R1'!K53</f>
        <v>133542703.31</v>
      </c>
      <c r="J9" s="288">
        <f>'BCE SC POR FACT.'!F3</f>
        <v>-3589454665.5499997</v>
      </c>
      <c r="K9" s="293">
        <f>D9-E9-F9-G9-H9-I9-J9</f>
        <v>15330229169.679998</v>
      </c>
      <c r="L9" s="294">
        <f>INTERVENTORIA!F15</f>
        <v>189185988</v>
      </c>
      <c r="M9" s="293">
        <f>K9-L9</f>
        <v>15141043181.679998</v>
      </c>
      <c r="N9" s="387">
        <f>'Reporte Componentes R1'!L53</f>
        <v>25277316.260000002</v>
      </c>
      <c r="O9" s="293">
        <f>M9+N9</f>
        <v>15166320497.939999</v>
      </c>
      <c r="Q9" s="306"/>
      <c r="S9" s="303">
        <v>1</v>
      </c>
      <c r="T9" s="304" t="s">
        <v>10</v>
      </c>
      <c r="U9" s="307">
        <f>'Reporte Componentes R1'!M53</f>
        <v>1174928495.1000001</v>
      </c>
      <c r="V9" s="308">
        <f>'Reporte Componentes R1'!N53</f>
        <v>1130888113.8599999</v>
      </c>
      <c r="W9" s="308">
        <f>'Reporte Componentes R1'!O53</f>
        <v>5352175528.7699995</v>
      </c>
      <c r="X9" s="308">
        <f>'Reporte Componentes R1'!P53</f>
        <v>2435749635.8000002</v>
      </c>
      <c r="Y9" s="309">
        <f>'Reporte Componentes R1'!Q53</f>
        <v>217904578.31</v>
      </c>
      <c r="Z9" s="310">
        <f>L9*-1</f>
        <v>-189185988</v>
      </c>
      <c r="AA9" s="311">
        <f>'Reporte Componentes R1'!R53+'Reporte Componentes R1'!U53+'Reporte Componentes R1'!V53</f>
        <v>-17545.2</v>
      </c>
      <c r="AB9" s="312">
        <f>N9</f>
        <v>25277316.260000002</v>
      </c>
      <c r="AC9" s="320">
        <f>'Reporte Componentes R1'!T53+'Reporte Componentes R1'!W53+'Reporte Componentes R1'!X53+'Reporte Componentes R1'!Y53+'Reporte Componentes R1'!Z53+'Reporte Componentes R1'!S53</f>
        <v>-1592.61</v>
      </c>
      <c r="AD9" s="291">
        <f>-J9+AE9</f>
        <v>5018601955.6499996</v>
      </c>
      <c r="AE9" s="291">
        <f>'Reporte Componentes R1'!F54</f>
        <v>1429147290.0999999</v>
      </c>
      <c r="AF9" s="313">
        <f>SUM(U9:AD9)</f>
        <v>15166320497.939997</v>
      </c>
      <c r="AG9" s="521">
        <f>(AF9-O9)</f>
        <v>-1.9073486328125E-6</v>
      </c>
      <c r="AH9" s="305" t="b">
        <f>INT(AG9)=0</f>
        <v>0</v>
      </c>
      <c r="AI9" s="306"/>
    </row>
    <row r="10" spans="2:35" s="305" customFormat="1" x14ac:dyDescent="0.25">
      <c r="B10" s="314">
        <v>2</v>
      </c>
      <c r="C10" s="315" t="s">
        <v>11</v>
      </c>
      <c r="D10" s="291">
        <f>'Reporte Componentes R1'!F206</f>
        <v>20352268540.720001</v>
      </c>
      <c r="E10" s="292">
        <f>'Reporte Componentes R1'!G206</f>
        <v>1575127599.3299999</v>
      </c>
      <c r="F10" s="292">
        <f>'Reporte Componentes R1'!H206</f>
        <v>883344164.76999998</v>
      </c>
      <c r="G10" s="292">
        <f>'Reporte Componentes R1'!I206</f>
        <v>463657475.5</v>
      </c>
      <c r="H10" s="292">
        <f>'Reporte Componentes R1'!J206</f>
        <v>5770939754.4900007</v>
      </c>
      <c r="I10" s="292">
        <f>'Reporte Componentes R1'!K206</f>
        <v>221087801.44999999</v>
      </c>
      <c r="J10" s="288">
        <f>'BCE SC POR FACT.'!F4</f>
        <v>-3241193714.1100001</v>
      </c>
      <c r="K10" s="295">
        <f>D10-E10-F10-G10-H10-I10-J10</f>
        <v>14679305459.289997</v>
      </c>
      <c r="L10" s="294">
        <f>INTERVENTORIA!F16</f>
        <v>266580256</v>
      </c>
      <c r="M10" s="295">
        <f>K10-L10</f>
        <v>14412725203.289997</v>
      </c>
      <c r="N10" s="294">
        <f>'Reporte Componentes R1'!L206</f>
        <v>53454221.280000001</v>
      </c>
      <c r="O10" s="295">
        <f>M10+N10</f>
        <v>14466179424.569998</v>
      </c>
      <c r="Q10" s="306"/>
      <c r="S10" s="314">
        <v>2</v>
      </c>
      <c r="T10" s="315" t="s">
        <v>11</v>
      </c>
      <c r="U10" s="316">
        <f>'Reporte Componentes R1'!M206</f>
        <v>1937636226.24</v>
      </c>
      <c r="V10" s="317">
        <f>'Reporte Componentes R1'!N206</f>
        <v>1932409015.4699998</v>
      </c>
      <c r="W10" s="317">
        <f>'Reporte Componentes R1'!O206</f>
        <v>9106102089.4900017</v>
      </c>
      <c r="X10" s="317">
        <f>'Reporte Componentes R1'!P206</f>
        <v>3106141657.3499999</v>
      </c>
      <c r="Y10" s="318">
        <f>'Reporte Componentes R1'!Q206</f>
        <v>361264015.81999999</v>
      </c>
      <c r="Z10" s="319">
        <f>L10*-1</f>
        <v>-266580256</v>
      </c>
      <c r="AA10" s="320">
        <f>'Reporte Componentes R1'!R206+'Reporte Componentes R1'!U206+'Reporte Componentes R1'!V206</f>
        <v>86691.03</v>
      </c>
      <c r="AB10" s="321">
        <f>N10</f>
        <v>53454221.280000001</v>
      </c>
      <c r="AC10" s="320">
        <f>'Reporte Componentes R1'!T206+'Reporte Componentes R1'!W206+'Reporte Componentes R1'!X206+'Reporte Componentes R1'!Y206+'Reporte Componentes R1'!Z206+'Reporte Componentes R1'!S206</f>
        <v>-123.21</v>
      </c>
      <c r="AD10" s="291">
        <f t="shared" ref="AD10:AD13" si="0">-J10+AE10</f>
        <v>-1764334112.9000001</v>
      </c>
      <c r="AE10" s="291">
        <f>'Reporte Componentes R1'!F207</f>
        <v>-5005527827.0100002</v>
      </c>
      <c r="AF10" s="322">
        <f>SUM(U10:AD10)</f>
        <v>14466179424.570004</v>
      </c>
      <c r="AG10" s="522">
        <f>(AF10-O10)</f>
        <v>5.7220458984375E-6</v>
      </c>
      <c r="AH10" s="305" t="b">
        <f t="shared" ref="AH10:AH13" si="1">INT(AG10)=0</f>
        <v>1</v>
      </c>
      <c r="AI10" s="306"/>
    </row>
    <row r="11" spans="2:35" s="305" customFormat="1" x14ac:dyDescent="0.25">
      <c r="B11" s="314">
        <v>3</v>
      </c>
      <c r="C11" s="315" t="s">
        <v>12</v>
      </c>
      <c r="D11" s="291">
        <f>'Reporte Componentes R1'!F343</f>
        <v>15226209207.130001</v>
      </c>
      <c r="E11" s="292">
        <f>'Reporte Componentes R1'!G343</f>
        <v>1154352513.9099998</v>
      </c>
      <c r="F11" s="292">
        <f>'Reporte Componentes R1'!H343</f>
        <v>650770459.23000002</v>
      </c>
      <c r="G11" s="292">
        <f>'Reporte Componentes R1'!I343</f>
        <v>342056191.35999995</v>
      </c>
      <c r="H11" s="292">
        <f>'Reporte Componentes R1'!J343</f>
        <v>3421408839.6399999</v>
      </c>
      <c r="I11" s="292">
        <f>'Reporte Componentes R1'!K343</f>
        <v>125779556.72</v>
      </c>
      <c r="J11" s="288">
        <f>'BCE SC POR FACT.'!F5</f>
        <v>-853244564.50999999</v>
      </c>
      <c r="K11" s="295">
        <f>D11-E11-F11-G11-H11-I11-J11</f>
        <v>10385086210.780003</v>
      </c>
      <c r="L11" s="294">
        <f>INTERVENTORIA!F17</f>
        <v>154788536</v>
      </c>
      <c r="M11" s="295">
        <f>K11-L11</f>
        <v>10230297674.780003</v>
      </c>
      <c r="N11" s="294">
        <f>'Reporte Componentes R1'!L343</f>
        <v>14319220.949999999</v>
      </c>
      <c r="O11" s="295">
        <f>M11+N11</f>
        <v>10244616895.730003</v>
      </c>
      <c r="Q11" s="306"/>
      <c r="S11" s="314">
        <v>3</v>
      </c>
      <c r="T11" s="315" t="s">
        <v>12</v>
      </c>
      <c r="U11" s="316">
        <f>'Reporte Componentes R1'!M343</f>
        <v>1103091507.73</v>
      </c>
      <c r="V11" s="317">
        <f>'Reporte Componentes R1'!N343</f>
        <v>1086971984.1900001</v>
      </c>
      <c r="W11" s="317">
        <f>'Reporte Componentes R1'!O343</f>
        <v>5143912413.1300001</v>
      </c>
      <c r="X11" s="317">
        <f>'Reporte Componentes R1'!P343</f>
        <v>2684422813.5500002</v>
      </c>
      <c r="Y11" s="318">
        <f>'Reporte Componentes R1'!Q343</f>
        <v>205320738.77000001</v>
      </c>
      <c r="Z11" s="319">
        <f>L11*-1</f>
        <v>-154788536</v>
      </c>
      <c r="AA11" s="320">
        <f>'Reporte Componentes R1'!R343+'Reporte Componentes R1'!U343+'Reporte Componentes R1'!V343</f>
        <v>246494.88</v>
      </c>
      <c r="AB11" s="321">
        <f>N11</f>
        <v>14319220.949999999</v>
      </c>
      <c r="AC11" s="320">
        <f>'Reporte Componentes R1'!T343+'Reporte Componentes R1'!W343+'Reporte Componentes R1'!X343+'Reporte Componentes R1'!Y343+'Reporte Componentes R1'!Z343+'Reporte Componentes R1'!S343</f>
        <v>-11886.32</v>
      </c>
      <c r="AD11" s="291">
        <f t="shared" si="0"/>
        <v>161132144.85000002</v>
      </c>
      <c r="AE11" s="291">
        <f>'Reporte Componentes R1'!F344</f>
        <v>-692112419.65999997</v>
      </c>
      <c r="AF11" s="322">
        <f t="shared" ref="AF11:AF13" si="2">SUM(U11:AD11)</f>
        <v>10244616895.730001</v>
      </c>
      <c r="AG11" s="522">
        <f>(AF11-O11)</f>
        <v>-1.9073486328125E-6</v>
      </c>
      <c r="AH11" s="305" t="b">
        <f t="shared" si="1"/>
        <v>0</v>
      </c>
      <c r="AI11" s="306"/>
    </row>
    <row r="12" spans="2:35" s="305" customFormat="1" x14ac:dyDescent="0.25">
      <c r="B12" s="314">
        <v>4</v>
      </c>
      <c r="C12" s="315" t="s">
        <v>13</v>
      </c>
      <c r="D12" s="291">
        <f>'Reporte Componentes R1'!F468</f>
        <v>7047492494.7299986</v>
      </c>
      <c r="E12" s="292">
        <f>'Reporte Componentes R1'!G468</f>
        <v>460474439.50999999</v>
      </c>
      <c r="F12" s="292">
        <f>'Reporte Componentes R1'!H468</f>
        <v>257013372.20000002</v>
      </c>
      <c r="G12" s="292">
        <f>'Reporte Componentes R1'!I468</f>
        <v>134305930.96000001</v>
      </c>
      <c r="H12" s="292">
        <f>'Reporte Componentes R1'!J468</f>
        <v>1578923907.48</v>
      </c>
      <c r="I12" s="292">
        <f>'Reporte Componentes R1'!K468</f>
        <v>61673075.199999996</v>
      </c>
      <c r="J12" s="288">
        <f>'BCE SC POR FACT.'!F6</f>
        <v>-699882713.37000012</v>
      </c>
      <c r="K12" s="295">
        <f>D12-E12-F12-G12-H12-I12-J12</f>
        <v>5254984482.7499981</v>
      </c>
      <c r="L12" s="294">
        <f>INTERVENTORIA!F18</f>
        <v>120391083</v>
      </c>
      <c r="M12" s="295">
        <f>K12-L12</f>
        <v>5134593399.7499981</v>
      </c>
      <c r="N12" s="294">
        <f>'Reporte Componentes R1'!L468</f>
        <v>34128344.93</v>
      </c>
      <c r="O12" s="295">
        <f>M12+N12</f>
        <v>5168721744.6799984</v>
      </c>
      <c r="Q12" s="306"/>
      <c r="S12" s="314">
        <v>4</v>
      </c>
      <c r="T12" s="315" t="s">
        <v>13</v>
      </c>
      <c r="U12" s="316">
        <f>'Reporte Componentes R1'!M468</f>
        <v>541555023.57000005</v>
      </c>
      <c r="V12" s="317">
        <f>'Reporte Componentes R1'!N468</f>
        <v>540045654.16999996</v>
      </c>
      <c r="W12" s="317">
        <f>'Reporte Componentes R1'!O468</f>
        <v>2761855935.0099998</v>
      </c>
      <c r="X12" s="317">
        <f>'Reporte Componentes R1'!P468</f>
        <v>1218672485.6500001</v>
      </c>
      <c r="Y12" s="318">
        <f>'Reporte Componentes R1'!Q468</f>
        <v>100841209.87</v>
      </c>
      <c r="Z12" s="319">
        <f>L12*-1</f>
        <v>-120391083</v>
      </c>
      <c r="AA12" s="320">
        <f>'Reporte Componentes R1'!R468+'Reporte Componentes R1'!U468+'Reporte Componentes R1'!V468</f>
        <v>-16277.43</v>
      </c>
      <c r="AB12" s="321">
        <f>N12</f>
        <v>34128344.93</v>
      </c>
      <c r="AC12" s="320">
        <f>'Reporte Componentes R1'!T468+'Reporte Componentes R1'!W468+'Reporte Componentes R1'!X468+'Reporte Componentes R1'!Y468+'Reporte Componentes R1'!Z468+'Reporte Componentes R1'!S468</f>
        <v>-440.07</v>
      </c>
      <c r="AD12" s="291">
        <f t="shared" si="0"/>
        <v>92030891.980000138</v>
      </c>
      <c r="AE12" s="291">
        <f>'Reporte Componentes R1'!F469</f>
        <v>-607851821.38999999</v>
      </c>
      <c r="AF12" s="322">
        <f t="shared" si="2"/>
        <v>5168721744.6800003</v>
      </c>
      <c r="AG12" s="522">
        <f>(AF12-O12)</f>
        <v>1.9073486328125E-6</v>
      </c>
      <c r="AH12" s="305" t="b">
        <f t="shared" si="1"/>
        <v>1</v>
      </c>
      <c r="AI12" s="306"/>
    </row>
    <row r="13" spans="2:35" s="305" customFormat="1" ht="12" thickBot="1" x14ac:dyDescent="0.3">
      <c r="B13" s="324">
        <v>5</v>
      </c>
      <c r="C13" s="325" t="s">
        <v>14</v>
      </c>
      <c r="D13" s="296">
        <f>'Reporte Componentes R1'!F558</f>
        <v>12033011685.710001</v>
      </c>
      <c r="E13" s="297">
        <f>'Reporte Componentes R1'!G558</f>
        <v>728817640.58000004</v>
      </c>
      <c r="F13" s="297">
        <f>'Reporte Componentes R1'!H558</f>
        <v>410843194.33999997</v>
      </c>
      <c r="G13" s="297">
        <f>'Reporte Componentes R1'!I558</f>
        <v>215464172.38</v>
      </c>
      <c r="H13" s="297">
        <f>'Reporte Componentes R1'!J558</f>
        <v>2764649544.23</v>
      </c>
      <c r="I13" s="297">
        <f>'Reporte Componentes R1'!K558</f>
        <v>105636037.55</v>
      </c>
      <c r="J13" s="289">
        <f>'BCE SC POR FACT.'!F7</f>
        <v>-82959023.660000086</v>
      </c>
      <c r="K13" s="295">
        <f>D13-E13-F13-G13-H13-I13-J13</f>
        <v>7890560120.2900019</v>
      </c>
      <c r="L13" s="294">
        <f>INTERVENTORIA!F19</f>
        <v>128990446</v>
      </c>
      <c r="M13" s="298">
        <f>K13-L13</f>
        <v>7761569674.2900019</v>
      </c>
      <c r="N13" s="299">
        <f>'Reporte Componentes R1'!L558</f>
        <v>14901729.33</v>
      </c>
      <c r="O13" s="298">
        <f>M13+N13</f>
        <v>7776471403.6200018</v>
      </c>
      <c r="Q13" s="306"/>
      <c r="S13" s="324">
        <v>5</v>
      </c>
      <c r="T13" s="325" t="s">
        <v>14</v>
      </c>
      <c r="U13" s="296">
        <f>'Reporte Componentes R1'!M558</f>
        <v>926158791.84000003</v>
      </c>
      <c r="V13" s="297">
        <f>'Reporte Componentes R1'!N558</f>
        <v>908897384.00999999</v>
      </c>
      <c r="W13" s="297">
        <f>'Reporte Componentes R1'!O558</f>
        <v>4671478931.3900003</v>
      </c>
      <c r="X13" s="297">
        <f>'Reporte Componentes R1'!P558</f>
        <v>2165115703.0500002</v>
      </c>
      <c r="Y13" s="289">
        <f>'Reporte Componentes R1'!Q558</f>
        <v>172418576.05000001</v>
      </c>
      <c r="Z13" s="319">
        <f>L13*-1</f>
        <v>-128990446</v>
      </c>
      <c r="AA13" s="320">
        <f>'Reporte Componentes R1'!R558+'Reporte Componentes R1'!U558+'Reporte Componentes R1'!V558</f>
        <v>-147734.32999999999</v>
      </c>
      <c r="AB13" s="321">
        <f>N13</f>
        <v>14901729.33</v>
      </c>
      <c r="AC13" s="320">
        <f>'Reporte Componentes R1'!T558+'Reporte Componentes R1'!W558+'Reporte Componentes R1'!X558+'Reporte Componentes R1'!Y558+'Reporte Componentes R1'!Z558+'Reporte Componentes R1'!S558</f>
        <v>-32.979999999999997</v>
      </c>
      <c r="AD13" s="291">
        <f t="shared" si="0"/>
        <v>-953361498.73999989</v>
      </c>
      <c r="AE13" s="291">
        <f>'Reporte Componentes R1'!F559</f>
        <v>-1036320522.4</v>
      </c>
      <c r="AF13" s="322">
        <f t="shared" si="2"/>
        <v>7776471403.6200008</v>
      </c>
      <c r="AG13" s="523">
        <f>(AF13-O13)</f>
        <v>-9.5367431640625E-7</v>
      </c>
      <c r="AH13" s="305" t="b">
        <f t="shared" si="1"/>
        <v>0</v>
      </c>
      <c r="AI13" s="306"/>
    </row>
    <row r="14" spans="2:35" s="305" customFormat="1" ht="13.5" thickBot="1" x14ac:dyDescent="0.35">
      <c r="B14" s="327"/>
      <c r="C14" s="328" t="s">
        <v>2</v>
      </c>
      <c r="D14" s="290">
        <f>SUM(D9:D13)</f>
        <v>71998775488.150009</v>
      </c>
      <c r="E14" s="290">
        <f t="shared" ref="E14:O14" si="3">SUM(E9:E13)</f>
        <v>4816995335.1899996</v>
      </c>
      <c r="F14" s="290">
        <f t="shared" si="3"/>
        <v>2708531980.9700003</v>
      </c>
      <c r="G14" s="290">
        <f t="shared" ref="G14" si="4">SUM(G9:G13)</f>
        <v>1421618158.9000001</v>
      </c>
      <c r="H14" s="290">
        <f t="shared" si="3"/>
        <v>17330480077.27</v>
      </c>
      <c r="I14" s="290">
        <f t="shared" si="3"/>
        <v>647719174.23000002</v>
      </c>
      <c r="J14" s="290">
        <f t="shared" si="3"/>
        <v>-8466734681.1999998</v>
      </c>
      <c r="K14" s="300">
        <f>SUM(K9:K13)</f>
        <v>53540165442.790001</v>
      </c>
      <c r="L14" s="301">
        <f>SUM(L9:L13)</f>
        <v>859936309</v>
      </c>
      <c r="M14" s="302">
        <f t="shared" si="3"/>
        <v>52680229133.790001</v>
      </c>
      <c r="N14" s="301">
        <f t="shared" si="3"/>
        <v>142080832.75000003</v>
      </c>
      <c r="O14" s="302">
        <f t="shared" si="3"/>
        <v>52822309966.540001</v>
      </c>
      <c r="P14" s="329"/>
      <c r="Q14" s="306"/>
      <c r="S14" s="327"/>
      <c r="T14" s="328" t="s">
        <v>2</v>
      </c>
      <c r="U14" s="330">
        <f>SUM(U9:U13)</f>
        <v>5683370044.4800005</v>
      </c>
      <c r="V14" s="330">
        <f t="shared" ref="V14:AF14" si="5">SUM(V9:V13)</f>
        <v>5599212151.6999998</v>
      </c>
      <c r="W14" s="330">
        <f t="shared" si="5"/>
        <v>27035524897.790001</v>
      </c>
      <c r="X14" s="330">
        <f t="shared" si="5"/>
        <v>11610102295.400002</v>
      </c>
      <c r="Y14" s="330">
        <f t="shared" si="5"/>
        <v>1057749118.8199999</v>
      </c>
      <c r="Z14" s="290">
        <f t="shared" si="5"/>
        <v>-859936309</v>
      </c>
      <c r="AA14" s="290">
        <f t="shared" si="5"/>
        <v>151628.95000000004</v>
      </c>
      <c r="AB14" s="290">
        <f t="shared" si="5"/>
        <v>142080832.75000003</v>
      </c>
      <c r="AC14" s="290">
        <f>SUM(AC9:AC13)</f>
        <v>-14075.189999999999</v>
      </c>
      <c r="AD14" s="290">
        <f>SUM(AD9:AD13)</f>
        <v>2554069380.8399997</v>
      </c>
      <c r="AE14" s="290">
        <f>SUM(AE9:AE13)</f>
        <v>-5912665300.3599997</v>
      </c>
      <c r="AF14" s="331">
        <f t="shared" si="5"/>
        <v>52822309966.540009</v>
      </c>
      <c r="AG14" s="524">
        <f>SUM(AG9:AG13)</f>
        <v>2.86102294921875E-6</v>
      </c>
      <c r="AH14" s="305" t="b">
        <f>INT(AG14)=0</f>
        <v>1</v>
      </c>
      <c r="AI14" s="306"/>
    </row>
    <row r="15" spans="2:35" ht="12" thickBot="1" x14ac:dyDescent="0.3">
      <c r="B15" s="2"/>
      <c r="C15" s="2"/>
      <c r="D15" s="24"/>
      <c r="E15" s="24"/>
      <c r="F15" s="24"/>
      <c r="G15" s="24"/>
      <c r="H15" s="24"/>
      <c r="I15" s="24"/>
      <c r="K15" s="24"/>
      <c r="L15" s="24"/>
      <c r="M15" s="24"/>
      <c r="N15" s="24"/>
      <c r="O15" s="24"/>
      <c r="Q15" s="4"/>
      <c r="S15" s="2"/>
      <c r="T15" s="2"/>
      <c r="U15" s="24"/>
      <c r="V15" s="24"/>
      <c r="W15" s="24"/>
      <c r="X15" s="24"/>
      <c r="Y15" s="24"/>
      <c r="AF15" s="24"/>
      <c r="AI15" s="4"/>
    </row>
    <row r="16" spans="2:35" ht="12" thickBot="1" x14ac:dyDescent="0.3">
      <c r="B16" s="2"/>
      <c r="C16" s="2"/>
      <c r="D16" s="24"/>
      <c r="E16" s="24"/>
      <c r="F16" s="24" t="s">
        <v>1</v>
      </c>
      <c r="G16" s="24"/>
      <c r="H16" s="24" t="s">
        <v>1</v>
      </c>
      <c r="I16" s="24"/>
      <c r="K16" s="24"/>
      <c r="L16" s="24"/>
      <c r="M16" s="24"/>
      <c r="N16" s="24"/>
      <c r="O16" s="24"/>
      <c r="Q16" s="4"/>
      <c r="Y16" s="86">
        <f>SUM(U14:Y14)</f>
        <v>50985958508.190002</v>
      </c>
      <c r="AA16" s="1" t="s">
        <v>1</v>
      </c>
      <c r="AB16" s="1" t="s">
        <v>1</v>
      </c>
      <c r="AD16" s="1" t="s">
        <v>1</v>
      </c>
      <c r="AF16" s="1" t="s">
        <v>1</v>
      </c>
      <c r="AI16" s="4"/>
    </row>
    <row r="17" spans="1:35" ht="12" thickBot="1" x14ac:dyDescent="0.3">
      <c r="B17" s="2"/>
      <c r="C17" s="2"/>
      <c r="D17" s="24"/>
      <c r="E17" s="24"/>
      <c r="F17" s="33"/>
      <c r="G17" s="33"/>
      <c r="H17" s="33"/>
      <c r="I17" s="24"/>
      <c r="K17" s="24"/>
      <c r="L17" s="24" t="s">
        <v>1</v>
      </c>
      <c r="M17" s="24"/>
      <c r="N17" s="24"/>
      <c r="O17" s="714"/>
      <c r="Q17" s="4"/>
      <c r="AI17" s="4"/>
    </row>
    <row r="18" spans="1:35" x14ac:dyDescent="0.25">
      <c r="B18" s="2"/>
      <c r="C18" s="2"/>
      <c r="D18" s="24" t="s">
        <v>1</v>
      </c>
      <c r="E18" s="24" t="s">
        <v>1</v>
      </c>
      <c r="F18" s="24" t="s">
        <v>25</v>
      </c>
      <c r="G18" s="24"/>
      <c r="H18" s="24"/>
      <c r="I18" s="24"/>
      <c r="K18" s="24"/>
      <c r="L18" s="24"/>
      <c r="M18" s="24"/>
      <c r="N18" s="24"/>
      <c r="O18" s="24"/>
      <c r="Q18" s="4"/>
      <c r="AI18" s="4"/>
    </row>
    <row r="19" spans="1:35" x14ac:dyDescent="0.25">
      <c r="A19" s="4"/>
      <c r="B19" s="34"/>
      <c r="C19" s="34"/>
      <c r="D19" s="35"/>
      <c r="E19" s="35"/>
      <c r="F19" s="35"/>
      <c r="G19" s="35"/>
      <c r="H19" s="35"/>
      <c r="I19" s="35"/>
      <c r="J19" s="4"/>
      <c r="K19" s="35"/>
      <c r="L19" s="35"/>
      <c r="M19" s="35"/>
      <c r="N19" s="35"/>
      <c r="O19" s="35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  <c r="AE19" s="4"/>
      <c r="AF19" s="4"/>
      <c r="AG19" s="274"/>
      <c r="AH19" s="4"/>
      <c r="AI19" s="4"/>
    </row>
    <row r="20" spans="1:35" ht="12" thickBot="1" x14ac:dyDescent="0.3">
      <c r="Q20" s="4"/>
      <c r="AI20" s="4"/>
    </row>
    <row r="21" spans="1:35" x14ac:dyDescent="0.25">
      <c r="B21" s="5"/>
      <c r="C21" s="3" t="s">
        <v>1</v>
      </c>
      <c r="D21" s="6" t="s">
        <v>1</v>
      </c>
      <c r="E21" s="3"/>
      <c r="F21" s="3"/>
      <c r="G21" s="3"/>
      <c r="H21" s="3" t="s">
        <v>1</v>
      </c>
      <c r="I21" s="3"/>
      <c r="J21" s="3"/>
      <c r="K21" s="3"/>
      <c r="L21" s="3"/>
      <c r="M21" s="3"/>
      <c r="N21" s="3"/>
      <c r="O21" s="7"/>
      <c r="P21" s="2"/>
      <c r="Q21" s="4"/>
      <c r="S21" s="5"/>
      <c r="T21" s="3" t="s">
        <v>1</v>
      </c>
      <c r="U21" s="6" t="s">
        <v>1</v>
      </c>
      <c r="V21" s="3"/>
      <c r="W21" s="3"/>
      <c r="X21" s="3" t="s">
        <v>1</v>
      </c>
      <c r="Y21" s="3"/>
      <c r="Z21" s="3"/>
      <c r="AA21" s="3"/>
      <c r="AB21" s="3"/>
      <c r="AC21" s="3"/>
      <c r="AD21" s="3"/>
      <c r="AE21" s="3"/>
      <c r="AF21" s="7"/>
      <c r="AG21" s="272"/>
      <c r="AI21" s="4"/>
    </row>
    <row r="22" spans="1:35" ht="14" x14ac:dyDescent="0.3">
      <c r="B22" s="8"/>
      <c r="F22" s="26" t="s">
        <v>8</v>
      </c>
      <c r="G22" s="26"/>
      <c r="I22" s="26" t="s">
        <v>16</v>
      </c>
      <c r="J22" s="25"/>
      <c r="M22" s="2" t="s">
        <v>15</v>
      </c>
      <c r="N22" s="50">
        <f>N3</f>
        <v>2026072</v>
      </c>
      <c r="O22" s="10"/>
      <c r="P22" s="2"/>
      <c r="Q22" s="4"/>
      <c r="S22" s="8"/>
      <c r="U22" s="26" t="s">
        <v>8</v>
      </c>
      <c r="W22" s="26" t="s">
        <v>16</v>
      </c>
      <c r="X22" s="25"/>
      <c r="Y22" s="2"/>
      <c r="AA22" s="2" t="s">
        <v>15</v>
      </c>
      <c r="AD22" s="84">
        <f>N22</f>
        <v>2026072</v>
      </c>
      <c r="AE22" s="84"/>
      <c r="AF22" s="48"/>
      <c r="AG22" s="272"/>
      <c r="AI22" s="4"/>
    </row>
    <row r="23" spans="1:35" ht="15.5" x14ac:dyDescent="0.35">
      <c r="B23" s="8"/>
      <c r="F23" s="36" t="s">
        <v>29</v>
      </c>
      <c r="G23" s="36"/>
      <c r="O23" s="10"/>
      <c r="P23" s="2"/>
      <c r="Q23" s="4"/>
      <c r="S23" s="8"/>
      <c r="T23" s="26" t="s">
        <v>1</v>
      </c>
      <c r="U23" s="36" t="s">
        <v>29</v>
      </c>
      <c r="Y23" s="2" t="s">
        <v>1</v>
      </c>
      <c r="AA23" s="50" t="s">
        <v>1</v>
      </c>
      <c r="AB23" s="2"/>
      <c r="AC23" s="2"/>
      <c r="AD23" s="2"/>
      <c r="AE23" s="2"/>
      <c r="AF23" s="10" t="s">
        <v>1</v>
      </c>
      <c r="AG23" s="272"/>
      <c r="AI23" s="4"/>
    </row>
    <row r="24" spans="1:35" ht="14" x14ac:dyDescent="0.3">
      <c r="B24" s="8"/>
      <c r="F24" s="2" t="s">
        <v>30</v>
      </c>
      <c r="G24" s="2"/>
      <c r="M24" s="2" t="s">
        <v>1</v>
      </c>
      <c r="O24" s="10"/>
      <c r="P24" s="2"/>
      <c r="Q24" s="4"/>
      <c r="S24" s="8"/>
      <c r="T24" s="49" t="s">
        <v>1</v>
      </c>
      <c r="U24" s="2" t="s">
        <v>30</v>
      </c>
      <c r="AF24" s="44"/>
      <c r="AG24" s="272"/>
      <c r="AI24" s="4"/>
    </row>
    <row r="25" spans="1:35" ht="15.5" x14ac:dyDescent="0.35">
      <c r="B25" s="8"/>
      <c r="C25" s="599" t="s">
        <v>17</v>
      </c>
      <c r="D25" s="9">
        <f>D6</f>
        <v>46238</v>
      </c>
      <c r="F25" s="41" t="s">
        <v>31</v>
      </c>
      <c r="G25" s="41"/>
      <c r="H25" s="2"/>
      <c r="J25" s="2"/>
      <c r="O25" s="10"/>
      <c r="P25" s="2"/>
      <c r="Q25" s="4"/>
      <c r="S25" s="8"/>
      <c r="T25" s="41" t="s">
        <v>1</v>
      </c>
      <c r="U25" s="41" t="s">
        <v>31</v>
      </c>
      <c r="V25" s="2"/>
      <c r="X25" s="2"/>
      <c r="Y25" s="2"/>
      <c r="AF25" s="48"/>
      <c r="AG25" s="272"/>
      <c r="AI25" s="4"/>
    </row>
    <row r="26" spans="1:35" ht="12" thickBot="1" x14ac:dyDescent="0.3">
      <c r="B26" s="8"/>
      <c r="C26" s="599" t="s">
        <v>0</v>
      </c>
      <c r="D26" s="241">
        <f>D7</f>
        <v>0.58333333333333337</v>
      </c>
      <c r="F26" s="2" t="s">
        <v>27</v>
      </c>
      <c r="G26" s="9">
        <f>G7</f>
        <v>46219</v>
      </c>
      <c r="J26" s="2" t="s">
        <v>28</v>
      </c>
      <c r="K26" s="9">
        <f>K7</f>
        <v>46234</v>
      </c>
      <c r="O26" s="10"/>
      <c r="P26" s="2"/>
      <c r="Q26" s="4"/>
      <c r="S26" s="8"/>
      <c r="U26" s="1" t="str">
        <f>F26</f>
        <v>Fecha Desde:</v>
      </c>
      <c r="V26" s="9">
        <f>G26</f>
        <v>46219</v>
      </c>
      <c r="W26" s="1" t="s">
        <v>1</v>
      </c>
      <c r="X26" s="1" t="str">
        <f>J26</f>
        <v>Feha Hasta:</v>
      </c>
      <c r="Y26" s="9">
        <f>K26</f>
        <v>46234</v>
      </c>
      <c r="Z26" s="1" t="s">
        <v>1</v>
      </c>
      <c r="AF26" s="48"/>
      <c r="AG26" s="272"/>
      <c r="AI26" s="4"/>
    </row>
    <row r="27" spans="1:35" ht="72" customHeight="1" thickBot="1" x14ac:dyDescent="0.3">
      <c r="B27" s="11" t="s">
        <v>3</v>
      </c>
      <c r="C27" s="27" t="s">
        <v>9</v>
      </c>
      <c r="D27" s="11" t="s">
        <v>4</v>
      </c>
      <c r="E27" s="12" t="s">
        <v>5</v>
      </c>
      <c r="F27" s="27" t="s">
        <v>6</v>
      </c>
      <c r="G27" s="27" t="s">
        <v>159</v>
      </c>
      <c r="H27" s="27" t="s">
        <v>18</v>
      </c>
      <c r="I27" s="12" t="s">
        <v>24</v>
      </c>
      <c r="J27" s="73" t="s">
        <v>19</v>
      </c>
      <c r="K27" s="29" t="s">
        <v>20</v>
      </c>
      <c r="L27" s="28" t="s">
        <v>21</v>
      </c>
      <c r="M27" s="39" t="s">
        <v>22</v>
      </c>
      <c r="N27" s="12" t="s">
        <v>7</v>
      </c>
      <c r="O27" s="39" t="s">
        <v>23</v>
      </c>
      <c r="P27" s="13"/>
      <c r="Q27" s="4"/>
      <c r="S27" s="11" t="s">
        <v>3</v>
      </c>
      <c r="T27" s="27" t="s">
        <v>9</v>
      </c>
      <c r="U27" s="162" t="s">
        <v>39</v>
      </c>
      <c r="V27" s="163" t="s">
        <v>40</v>
      </c>
      <c r="W27" s="163" t="s">
        <v>41</v>
      </c>
      <c r="X27" s="163" t="s">
        <v>42</v>
      </c>
      <c r="Y27" s="164" t="s">
        <v>43</v>
      </c>
      <c r="Z27" s="85" t="s">
        <v>21</v>
      </c>
      <c r="AA27" s="65" t="s">
        <v>46</v>
      </c>
      <c r="AB27" s="65" t="s">
        <v>7</v>
      </c>
      <c r="AC27" s="85" t="s">
        <v>168</v>
      </c>
      <c r="AD27" s="121" t="s">
        <v>107</v>
      </c>
      <c r="AE27" s="121" t="s">
        <v>226</v>
      </c>
      <c r="AF27" s="39" t="s">
        <v>23</v>
      </c>
      <c r="AG27" s="273"/>
      <c r="AI27" s="4"/>
    </row>
    <row r="28" spans="1:35" s="305" customFormat="1" x14ac:dyDescent="0.25">
      <c r="B28" s="303">
        <v>1</v>
      </c>
      <c r="C28" s="304" t="s">
        <v>10</v>
      </c>
      <c r="D28" s="291">
        <f>'Rem. Anticipos R2'!E43</f>
        <v>125948553.12</v>
      </c>
      <c r="E28" s="292">
        <f>'Rem. Anticipos R2'!F43</f>
        <v>9640402.9100000001</v>
      </c>
      <c r="F28" s="292">
        <f>'Rem. Anticipos R2'!G43</f>
        <v>5490662.7300000004</v>
      </c>
      <c r="G28" s="292">
        <f>'Rem. Anticipos R2'!H43</f>
        <v>2785450.03</v>
      </c>
      <c r="H28" s="292">
        <f>'Rem. Anticipos R2'!I43</f>
        <v>24544067.870000001</v>
      </c>
      <c r="I28" s="292">
        <f>'Rem. Anticipos R2'!J43</f>
        <v>964886.66</v>
      </c>
      <c r="J28" s="288">
        <v>0</v>
      </c>
      <c r="K28" s="293">
        <f>D28-E28-F28-G28-H28-I28-J28</f>
        <v>82523082.920000002</v>
      </c>
      <c r="L28" s="294">
        <v>0</v>
      </c>
      <c r="M28" s="293">
        <f>K28-L28</f>
        <v>82523082.920000002</v>
      </c>
      <c r="N28" s="294">
        <f>'Rem. Anticipos R2'!K43</f>
        <v>0</v>
      </c>
      <c r="O28" s="293">
        <f>M28+N28</f>
        <v>82523082.920000002</v>
      </c>
      <c r="Q28" s="306"/>
      <c r="S28" s="303">
        <v>1</v>
      </c>
      <c r="T28" s="304" t="s">
        <v>10</v>
      </c>
      <c r="U28" s="307">
        <f>'Rem. Anticipos R2'!L43</f>
        <v>8824083.3000000007</v>
      </c>
      <c r="V28" s="308">
        <f>'Rem. Anticipos R2'!M43</f>
        <v>8523193.0899999999</v>
      </c>
      <c r="W28" s="308">
        <f>'Rem. Anticipos R2'!N43</f>
        <v>37613664.950000003</v>
      </c>
      <c r="X28" s="308">
        <f>'Rem. Anticipos R2'!O43</f>
        <v>27011615</v>
      </c>
      <c r="Y28" s="308">
        <f>'Rem. Anticipos R2'!P43</f>
        <v>1394039.63</v>
      </c>
      <c r="Z28" s="310">
        <f>L28*-1</f>
        <v>0</v>
      </c>
      <c r="AA28" s="311">
        <f>'Rem. Anticipos R2'!Q43</f>
        <v>-73.75</v>
      </c>
      <c r="AB28" s="294">
        <f>N28</f>
        <v>0</v>
      </c>
      <c r="AC28" s="311">
        <f>'Rem. Anticipos R2'!R43</f>
        <v>0</v>
      </c>
      <c r="AD28" s="291">
        <f>-J28+AE28</f>
        <v>-843439.3</v>
      </c>
      <c r="AE28" s="291">
        <f>'Rem. Anticipos R2'!E44</f>
        <v>-843439.3</v>
      </c>
      <c r="AF28" s="313">
        <f>SUM(U28:AD28)</f>
        <v>82523082.920000002</v>
      </c>
      <c r="AG28" s="521">
        <f>(AF28-O28)</f>
        <v>0</v>
      </c>
      <c r="AH28" s="305" t="b">
        <f>INT(AG28)=0</f>
        <v>1</v>
      </c>
      <c r="AI28" s="306"/>
    </row>
    <row r="29" spans="1:35" s="305" customFormat="1" x14ac:dyDescent="0.25">
      <c r="B29" s="314">
        <v>2</v>
      </c>
      <c r="C29" s="315" t="s">
        <v>11</v>
      </c>
      <c r="D29" s="291">
        <f>'Rem. Anticipos R2'!E139</f>
        <v>178539092.16</v>
      </c>
      <c r="E29" s="292">
        <f>'Rem. Anticipos R2'!F139</f>
        <v>17193125.32</v>
      </c>
      <c r="F29" s="292">
        <f>'Rem. Anticipos R2'!G139</f>
        <v>9759590.5199999996</v>
      </c>
      <c r="G29" s="292">
        <f>'Rem. Anticipos R2'!H139</f>
        <v>4674886.45</v>
      </c>
      <c r="H29" s="292">
        <f>'Rem. Anticipos R2'!I139</f>
        <v>47216081.210000001</v>
      </c>
      <c r="I29" s="292">
        <f>'Rem. Anticipos R2'!J139</f>
        <v>1451359.21</v>
      </c>
      <c r="J29" s="288">
        <v>0</v>
      </c>
      <c r="K29" s="295">
        <f>D29-E29-F29-G29-H29-I29-J29</f>
        <v>98244049.450000003</v>
      </c>
      <c r="L29" s="294">
        <v>0</v>
      </c>
      <c r="M29" s="295">
        <f>K29-L29</f>
        <v>98244049.450000003</v>
      </c>
      <c r="N29" s="294">
        <f>'Rem. Anticipos R2'!K139</f>
        <v>0</v>
      </c>
      <c r="O29" s="295">
        <f t="shared" ref="O29:O32" si="6">M29+N29</f>
        <v>98244049.450000003</v>
      </c>
      <c r="Q29" s="306"/>
      <c r="S29" s="314">
        <v>2</v>
      </c>
      <c r="T29" s="315" t="s">
        <v>11</v>
      </c>
      <c r="U29" s="316">
        <f>'Rem. Anticipos R2'!L139</f>
        <v>13193069.92</v>
      </c>
      <c r="V29" s="317">
        <f>'Rem. Anticipos R2'!M139</f>
        <v>14193303.560000001</v>
      </c>
      <c r="W29" s="317">
        <f>'Rem. Anticipos R2'!N139</f>
        <v>54326291.740000002</v>
      </c>
      <c r="X29" s="317">
        <f>'Rem. Anticipos R2'!O139</f>
        <v>52723995.280000001</v>
      </c>
      <c r="Y29" s="318">
        <f>'Rem. Anticipos R2'!P139</f>
        <v>1920514</v>
      </c>
      <c r="Z29" s="319">
        <f>L29*-1</f>
        <v>0</v>
      </c>
      <c r="AA29" s="320">
        <f>'Rem. Anticipos R2'!Q139</f>
        <v>181.61</v>
      </c>
      <c r="AB29" s="294">
        <f>N29</f>
        <v>0</v>
      </c>
      <c r="AC29" s="320">
        <f>'Rem. Anticipos R2'!R139</f>
        <v>0</v>
      </c>
      <c r="AD29" s="291">
        <f>-J29+AE29</f>
        <v>-38113306.659999996</v>
      </c>
      <c r="AE29" s="291">
        <f>'Rem. Anticipos R2'!E140</f>
        <v>-38113306.659999996</v>
      </c>
      <c r="AF29" s="322">
        <f>SUM(U29:AD29)</f>
        <v>98244049.450000018</v>
      </c>
      <c r="AG29" s="522">
        <f>(AF29-O29)</f>
        <v>1.4901161193847656E-8</v>
      </c>
      <c r="AH29" s="305" t="b">
        <f t="shared" ref="AH29:AH32" si="7">INT(AG29)=0</f>
        <v>1</v>
      </c>
      <c r="AI29" s="306"/>
    </row>
    <row r="30" spans="1:35" s="305" customFormat="1" x14ac:dyDescent="0.25">
      <c r="B30" s="314">
        <v>3</v>
      </c>
      <c r="C30" s="315" t="s">
        <v>12</v>
      </c>
      <c r="D30" s="291">
        <f>'Rem. Anticipos R2'!E256</f>
        <v>26586328.289999999</v>
      </c>
      <c r="E30" s="292">
        <f>'Rem. Anticipos R2'!F256</f>
        <v>2669415.9900000002</v>
      </c>
      <c r="F30" s="292">
        <f>'Rem. Anticipos R2'!G256</f>
        <v>1115118.8799999999</v>
      </c>
      <c r="G30" s="292">
        <f>'Rem. Anticipos R2'!H256</f>
        <v>766590.87</v>
      </c>
      <c r="H30" s="292">
        <f>'Rem. Anticipos R2'!I256</f>
        <v>3649866.33</v>
      </c>
      <c r="I30" s="292">
        <f>'Rem. Anticipos R2'!J256</f>
        <v>117977.5</v>
      </c>
      <c r="J30" s="288">
        <v>0</v>
      </c>
      <c r="K30" s="295">
        <f t="shared" ref="K30:K31" si="8">D30-E30-F30-G30-H30-I30-J30</f>
        <v>18267358.719999999</v>
      </c>
      <c r="L30" s="294">
        <v>0</v>
      </c>
      <c r="M30" s="295">
        <f>K30-L30</f>
        <v>18267358.719999999</v>
      </c>
      <c r="N30" s="294">
        <f>'Rem. Anticipos R2'!K256</f>
        <v>22742.37</v>
      </c>
      <c r="O30" s="295">
        <f t="shared" si="6"/>
        <v>18290101.09</v>
      </c>
      <c r="Q30" s="306"/>
      <c r="S30" s="314">
        <v>3</v>
      </c>
      <c r="T30" s="315" t="s">
        <v>12</v>
      </c>
      <c r="U30" s="316">
        <f>'Rem. Anticipos R2'!L256</f>
        <v>1069586.72</v>
      </c>
      <c r="V30" s="317">
        <f>'Rem. Anticipos R2'!M256</f>
        <v>1249645.94</v>
      </c>
      <c r="W30" s="317">
        <f>'Rem. Anticipos R2'!N256</f>
        <v>6297254.4900000002</v>
      </c>
      <c r="X30" s="317">
        <f>'Rem. Anticipos R2'!O256</f>
        <v>6569127.7699999996</v>
      </c>
      <c r="Y30" s="318">
        <f>'Rem. Anticipos R2'!P256</f>
        <v>179885.12</v>
      </c>
      <c r="Z30" s="319">
        <f>L30*-1</f>
        <v>0</v>
      </c>
      <c r="AA30" s="320">
        <f>'Rem. Anticipos R2'!Q256</f>
        <v>46.22</v>
      </c>
      <c r="AB30" s="294">
        <f>N30</f>
        <v>22742.37</v>
      </c>
      <c r="AC30" s="320">
        <f>'Rem. Anticipos R2'!R256</f>
        <v>0</v>
      </c>
      <c r="AD30" s="291">
        <f t="shared" ref="AD30:AD32" si="9">-J30+AE30</f>
        <v>2901812.46</v>
      </c>
      <c r="AE30" s="291">
        <f>'Rem. Anticipos R2'!E257</f>
        <v>2901812.46</v>
      </c>
      <c r="AF30" s="322">
        <f>SUM(U30:AD30)</f>
        <v>18290101.09</v>
      </c>
      <c r="AG30" s="522">
        <f t="shared" ref="AG30:AG31" si="10">(AF30-O30)</f>
        <v>0</v>
      </c>
      <c r="AH30" s="305" t="b">
        <f t="shared" si="7"/>
        <v>1</v>
      </c>
      <c r="AI30" s="306"/>
    </row>
    <row r="31" spans="1:35" s="305" customFormat="1" x14ac:dyDescent="0.25">
      <c r="B31" s="314">
        <v>4</v>
      </c>
      <c r="C31" s="315" t="s">
        <v>13</v>
      </c>
      <c r="D31" s="291">
        <f>'Rem. Anticipos R2'!E358</f>
        <v>161461949.73000002</v>
      </c>
      <c r="E31" s="292">
        <f>'Rem. Anticipos R2'!F358</f>
        <v>16099105.310000001</v>
      </c>
      <c r="F31" s="292">
        <f>'Rem. Anticipos R2'!G358</f>
        <v>9061043.1899999995</v>
      </c>
      <c r="G31" s="292">
        <f>'Rem. Anticipos R2'!H358</f>
        <v>2852946.06</v>
      </c>
      <c r="H31" s="292">
        <f>'Rem. Anticipos R2'!I358</f>
        <v>32340245.82</v>
      </c>
      <c r="I31" s="292">
        <f>'Rem. Anticipos R2'!J358</f>
        <v>1124253.03</v>
      </c>
      <c r="J31" s="288">
        <v>0</v>
      </c>
      <c r="K31" s="295">
        <f t="shared" si="8"/>
        <v>99984356.320000023</v>
      </c>
      <c r="L31" s="294">
        <v>0</v>
      </c>
      <c r="M31" s="295">
        <f>K31-L31</f>
        <v>99984356.320000023</v>
      </c>
      <c r="N31" s="294">
        <f>'Rem. Anticipos R2'!K358</f>
        <v>0</v>
      </c>
      <c r="O31" s="295">
        <f t="shared" si="6"/>
        <v>99984356.320000023</v>
      </c>
      <c r="Q31" s="306"/>
      <c r="S31" s="314">
        <v>4</v>
      </c>
      <c r="T31" s="315" t="s">
        <v>13</v>
      </c>
      <c r="U31" s="316">
        <f>'Rem. Anticipos R2'!L358</f>
        <v>9787993.9299999997</v>
      </c>
      <c r="V31" s="317">
        <f>'Rem. Anticipos R2'!M358</f>
        <v>10109598.300000001</v>
      </c>
      <c r="W31" s="317">
        <f>'Rem. Anticipos R2'!N358</f>
        <v>46326513.079999998</v>
      </c>
      <c r="X31" s="317">
        <f>'Rem. Anticipos R2'!O358</f>
        <v>43710041.659999996</v>
      </c>
      <c r="Y31" s="318">
        <f>'Rem. Anticipos R2'!P358</f>
        <v>1759287.77</v>
      </c>
      <c r="Z31" s="319">
        <f>L31*-1</f>
        <v>0</v>
      </c>
      <c r="AA31" s="320">
        <f>'Rem. Anticipos R2'!Q358</f>
        <v>4.5599999999999996</v>
      </c>
      <c r="AB31" s="294">
        <f>N31</f>
        <v>0</v>
      </c>
      <c r="AC31" s="320">
        <f>'Rem. Anticipos R2'!R358</f>
        <v>0</v>
      </c>
      <c r="AD31" s="291">
        <f t="shared" si="9"/>
        <v>-11709082.98</v>
      </c>
      <c r="AE31" s="291">
        <f>'Rem. Anticipos R2'!E359</f>
        <v>-11709082.98</v>
      </c>
      <c r="AF31" s="322">
        <f>SUM(U31:AD31)</f>
        <v>99984356.319999993</v>
      </c>
      <c r="AG31" s="522">
        <f t="shared" si="10"/>
        <v>-2.9802322387695313E-8</v>
      </c>
      <c r="AH31" s="305" t="b">
        <f t="shared" si="7"/>
        <v>0</v>
      </c>
      <c r="AI31" s="306"/>
    </row>
    <row r="32" spans="1:35" s="305" customFormat="1" ht="12" thickBot="1" x14ac:dyDescent="0.3">
      <c r="B32" s="324">
        <v>5</v>
      </c>
      <c r="C32" s="325" t="s">
        <v>14</v>
      </c>
      <c r="D32" s="296">
        <f>'Rem. Anticipos R2'!E438</f>
        <v>42983502.410000004</v>
      </c>
      <c r="E32" s="297">
        <f>'Rem. Anticipos R2'!F438</f>
        <v>3046794.96</v>
      </c>
      <c r="F32" s="297">
        <f>'Rem. Anticipos R2'!G438</f>
        <v>1737546.59</v>
      </c>
      <c r="G32" s="297">
        <f>'Rem. Anticipos R2'!H438</f>
        <v>808529.7</v>
      </c>
      <c r="H32" s="297">
        <f>'Rem. Anticipos R2'!I438</f>
        <v>7182406.2400000002</v>
      </c>
      <c r="I32" s="297">
        <f>'Rem. Anticipos R2'!J438</f>
        <v>249175.55</v>
      </c>
      <c r="J32" s="289">
        <v>0</v>
      </c>
      <c r="K32" s="295">
        <f>D32-E32-F32-G32-H32-I32-J32</f>
        <v>29959049.369999994</v>
      </c>
      <c r="L32" s="294">
        <v>0</v>
      </c>
      <c r="M32" s="298">
        <f>K32-L32</f>
        <v>29959049.369999994</v>
      </c>
      <c r="N32" s="299">
        <f>'Rem. Anticipos R2'!K438</f>
        <v>990006.55</v>
      </c>
      <c r="O32" s="298">
        <f t="shared" si="6"/>
        <v>30949055.919999994</v>
      </c>
      <c r="Q32" s="306"/>
      <c r="S32" s="324">
        <v>5</v>
      </c>
      <c r="T32" s="325" t="s">
        <v>14</v>
      </c>
      <c r="U32" s="296">
        <f>'Rem. Anticipos R2'!L438</f>
        <v>2265402.94</v>
      </c>
      <c r="V32" s="297">
        <f>'Rem. Anticipos R2'!M438</f>
        <v>2501140.2999999998</v>
      </c>
      <c r="W32" s="297">
        <f>'Rem. Anticipos R2'!N438</f>
        <v>10769602.529999999</v>
      </c>
      <c r="X32" s="297">
        <f>'Rem. Anticipos R2'!O438</f>
        <v>9260216.1500000004</v>
      </c>
      <c r="Y32" s="289">
        <f>'Rem. Anticipos R2'!P438</f>
        <v>352055.57</v>
      </c>
      <c r="Z32" s="319">
        <f>L32*-1</f>
        <v>0</v>
      </c>
      <c r="AA32" s="320">
        <f>'Rem. Anticipos R2'!Q438</f>
        <v>-10.37</v>
      </c>
      <c r="AB32" s="294">
        <f>N32</f>
        <v>990006.55</v>
      </c>
      <c r="AC32" s="320">
        <f>'Rem. Anticipos R2'!R438</f>
        <v>0</v>
      </c>
      <c r="AD32" s="291">
        <f t="shared" si="9"/>
        <v>4810642.25</v>
      </c>
      <c r="AE32" s="291">
        <f>'Rem. Anticipos R2'!E439</f>
        <v>4810642.25</v>
      </c>
      <c r="AF32" s="322">
        <f>SUM(U32:AD32)</f>
        <v>30949055.920000002</v>
      </c>
      <c r="AG32" s="523">
        <f>(AF32-O32)</f>
        <v>7.4505805969238281E-9</v>
      </c>
      <c r="AH32" s="305" t="b">
        <f t="shared" si="7"/>
        <v>1</v>
      </c>
      <c r="AI32" s="306"/>
    </row>
    <row r="33" spans="1:35" s="305" customFormat="1" ht="13.5" thickBot="1" x14ac:dyDescent="0.35">
      <c r="B33" s="327"/>
      <c r="C33" s="328" t="s">
        <v>2</v>
      </c>
      <c r="D33" s="290">
        <f>SUM(D28:D32)</f>
        <v>535519425.71000004</v>
      </c>
      <c r="E33" s="290">
        <f>SUM(E28:E32)</f>
        <v>48648844.490000002</v>
      </c>
      <c r="F33" s="290">
        <f t="shared" ref="F33:O33" si="11">SUM(F28:F32)</f>
        <v>27163961.91</v>
      </c>
      <c r="G33" s="290">
        <f t="shared" ref="G33" si="12">SUM(G28:G32)</f>
        <v>11888403.109999999</v>
      </c>
      <c r="H33" s="290">
        <f t="shared" si="11"/>
        <v>114932667.46999998</v>
      </c>
      <c r="I33" s="290">
        <f t="shared" si="11"/>
        <v>3907651.95</v>
      </c>
      <c r="J33" s="290">
        <f t="shared" si="11"/>
        <v>0</v>
      </c>
      <c r="K33" s="300">
        <f t="shared" si="11"/>
        <v>328977896.78000003</v>
      </c>
      <c r="L33" s="301">
        <f t="shared" si="11"/>
        <v>0</v>
      </c>
      <c r="M33" s="302">
        <f t="shared" si="11"/>
        <v>328977896.78000003</v>
      </c>
      <c r="N33" s="301">
        <f t="shared" si="11"/>
        <v>1012748.92</v>
      </c>
      <c r="O33" s="302">
        <f t="shared" si="11"/>
        <v>329990645.70000005</v>
      </c>
      <c r="P33" s="329"/>
      <c r="Q33" s="306"/>
      <c r="S33" s="327"/>
      <c r="T33" s="328" t="s">
        <v>2</v>
      </c>
      <c r="U33" s="330">
        <f>SUM(U28:U32)</f>
        <v>35140136.809999995</v>
      </c>
      <c r="V33" s="330">
        <f t="shared" ref="V33:AF33" si="13">SUM(V28:V32)</f>
        <v>36576881.189999998</v>
      </c>
      <c r="W33" s="330">
        <f t="shared" si="13"/>
        <v>155333326.78999999</v>
      </c>
      <c r="X33" s="330">
        <f t="shared" si="13"/>
        <v>139274995.85999998</v>
      </c>
      <c r="Y33" s="330">
        <f t="shared" si="13"/>
        <v>5605782.0899999999</v>
      </c>
      <c r="Z33" s="290">
        <f t="shared" si="13"/>
        <v>0</v>
      </c>
      <c r="AA33" s="290">
        <f t="shared" si="13"/>
        <v>148.27000000000001</v>
      </c>
      <c r="AB33" s="290">
        <f t="shared" si="13"/>
        <v>1012748.92</v>
      </c>
      <c r="AC33" s="290">
        <f t="shared" ref="AC33" si="14">SUM(AC28:AC32)</f>
        <v>0</v>
      </c>
      <c r="AD33" s="290">
        <f>SUM(AD28:AD32)</f>
        <v>-42953374.229999989</v>
      </c>
      <c r="AE33" s="290">
        <f>SUM(AE28:AE32)</f>
        <v>-42953374.229999989</v>
      </c>
      <c r="AF33" s="331">
        <f t="shared" si="13"/>
        <v>329990645.69999999</v>
      </c>
      <c r="AG33" s="524">
        <f t="shared" ref="AG33" si="15">SUM(AG28:AG32)</f>
        <v>-7.4505805969238281E-9</v>
      </c>
      <c r="AH33" s="305" t="b">
        <f>INT(AG33)=0</f>
        <v>0</v>
      </c>
      <c r="AI33" s="306"/>
    </row>
    <row r="34" spans="1:35" ht="12" thickBot="1" x14ac:dyDescent="0.3">
      <c r="B34" s="2"/>
      <c r="C34" s="2"/>
      <c r="D34" s="24"/>
      <c r="E34" s="24"/>
      <c r="F34" s="24"/>
      <c r="G34" s="24"/>
      <c r="H34" s="24"/>
      <c r="I34" s="24"/>
      <c r="K34" s="24"/>
      <c r="L34" s="24"/>
      <c r="M34" s="24"/>
      <c r="N34" s="24"/>
      <c r="O34" s="24"/>
      <c r="Q34" s="4"/>
      <c r="S34" s="2"/>
      <c r="T34" s="2"/>
      <c r="U34" s="24"/>
      <c r="V34" s="24"/>
      <c r="W34" s="24"/>
      <c r="X34" s="24"/>
      <c r="Y34" s="24"/>
      <c r="AF34" s="24"/>
      <c r="AI34" s="4"/>
    </row>
    <row r="35" spans="1:35" ht="12" thickBot="1" x14ac:dyDescent="0.3">
      <c r="B35" s="2"/>
      <c r="C35" s="2"/>
      <c r="D35" s="24" t="s">
        <v>1</v>
      </c>
      <c r="E35" s="24"/>
      <c r="F35" s="24"/>
      <c r="G35" s="24"/>
      <c r="H35" s="24"/>
      <c r="I35" s="24"/>
      <c r="K35" s="24"/>
      <c r="L35" s="24"/>
      <c r="M35" s="24"/>
      <c r="N35" s="24"/>
      <c r="O35" s="24"/>
      <c r="Q35" s="4"/>
      <c r="Y35" s="86">
        <f>SUM(U33:Y33)</f>
        <v>371931122.73999995</v>
      </c>
      <c r="AA35" s="1" t="s">
        <v>1</v>
      </c>
      <c r="AB35" s="1" t="s">
        <v>1</v>
      </c>
      <c r="AD35" s="1" t="s">
        <v>1</v>
      </c>
      <c r="AF35" s="1" t="s">
        <v>1</v>
      </c>
      <c r="AI35" s="4"/>
    </row>
    <row r="36" spans="1:35" ht="12" thickBot="1" x14ac:dyDescent="0.3">
      <c r="B36" s="2"/>
      <c r="C36" s="2"/>
      <c r="D36" s="24" t="s">
        <v>1</v>
      </c>
      <c r="E36" s="33"/>
      <c r="F36" s="33"/>
      <c r="G36" s="33"/>
      <c r="H36" s="33"/>
      <c r="I36" s="24"/>
      <c r="K36" s="24"/>
      <c r="L36" s="24"/>
      <c r="M36" s="24"/>
      <c r="N36" s="24"/>
      <c r="O36" s="24"/>
      <c r="Q36" s="4"/>
      <c r="AI36" s="4"/>
    </row>
    <row r="37" spans="1:35" x14ac:dyDescent="0.25">
      <c r="B37" s="2"/>
      <c r="C37" s="2"/>
      <c r="D37" s="24" t="s">
        <v>1</v>
      </c>
      <c r="E37" s="24" t="s">
        <v>1</v>
      </c>
      <c r="F37" s="24" t="s">
        <v>25</v>
      </c>
      <c r="G37" s="24"/>
      <c r="H37" s="24"/>
      <c r="I37" s="24"/>
      <c r="K37" s="24"/>
      <c r="L37" s="24"/>
      <c r="M37" s="24"/>
      <c r="N37" s="24"/>
      <c r="O37" s="24"/>
      <c r="Q37" s="4"/>
      <c r="AI37" s="4"/>
    </row>
    <row r="38" spans="1:35" x14ac:dyDescent="0.25">
      <c r="A38" s="4"/>
      <c r="B38" s="34"/>
      <c r="C38" s="34"/>
      <c r="D38" s="35"/>
      <c r="E38" s="35"/>
      <c r="F38" s="35"/>
      <c r="G38" s="35"/>
      <c r="H38" s="35"/>
      <c r="I38" s="35"/>
      <c r="J38" s="4"/>
      <c r="K38" s="35"/>
      <c r="L38" s="35"/>
      <c r="M38" s="35"/>
      <c r="N38" s="35"/>
      <c r="O38" s="35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  <c r="AE38" s="4"/>
      <c r="AF38" s="4"/>
      <c r="AG38" s="274"/>
      <c r="AH38" s="4"/>
      <c r="AI38" s="4"/>
    </row>
    <row r="39" spans="1:35" ht="12" thickBot="1" x14ac:dyDescent="0.3">
      <c r="Q39" s="4"/>
      <c r="AI39" s="4"/>
    </row>
    <row r="40" spans="1:35" x14ac:dyDescent="0.25">
      <c r="B40" s="5"/>
      <c r="C40" s="3" t="s">
        <v>1</v>
      </c>
      <c r="D40" s="6" t="s">
        <v>1</v>
      </c>
      <c r="E40" s="3"/>
      <c r="F40" s="3"/>
      <c r="G40" s="3"/>
      <c r="H40" s="3" t="s">
        <v>1</v>
      </c>
      <c r="I40" s="3"/>
      <c r="J40" s="3"/>
      <c r="K40" s="3"/>
      <c r="L40" s="3"/>
      <c r="M40" s="3"/>
      <c r="N40" s="3"/>
      <c r="O40" s="7"/>
      <c r="P40" s="2"/>
      <c r="Q40" s="4"/>
      <c r="S40" s="5"/>
      <c r="T40" s="3" t="s">
        <v>1</v>
      </c>
      <c r="U40" s="6" t="s">
        <v>1</v>
      </c>
      <c r="V40" s="3"/>
      <c r="W40" s="3"/>
      <c r="X40" s="3" t="s">
        <v>1</v>
      </c>
      <c r="Y40" s="3"/>
      <c r="Z40" s="3"/>
      <c r="AA40" s="3"/>
      <c r="AB40" s="3"/>
      <c r="AC40" s="3"/>
      <c r="AD40" s="3"/>
      <c r="AE40" s="3"/>
      <c r="AF40" s="7"/>
      <c r="AG40" s="272"/>
      <c r="AI40" s="4"/>
    </row>
    <row r="41" spans="1:35" ht="14" x14ac:dyDescent="0.3">
      <c r="B41" s="8"/>
      <c r="F41" s="26" t="s">
        <v>8</v>
      </c>
      <c r="G41" s="26"/>
      <c r="I41" s="26" t="s">
        <v>16</v>
      </c>
      <c r="J41" s="25"/>
      <c r="M41" s="2" t="s">
        <v>15</v>
      </c>
      <c r="N41" s="50">
        <f>N3</f>
        <v>2026072</v>
      </c>
      <c r="O41" s="10"/>
      <c r="P41" s="2"/>
      <c r="Q41" s="4"/>
      <c r="S41" s="8"/>
      <c r="U41" s="26" t="s">
        <v>8</v>
      </c>
      <c r="W41" s="26" t="s">
        <v>16</v>
      </c>
      <c r="X41" s="25"/>
      <c r="Y41" s="2"/>
      <c r="AA41" s="2" t="s">
        <v>15</v>
      </c>
      <c r="AD41" s="84">
        <f>N41</f>
        <v>2026072</v>
      </c>
      <c r="AE41" s="84"/>
      <c r="AF41" s="48"/>
      <c r="AG41" s="272"/>
      <c r="AI41" s="4"/>
    </row>
    <row r="42" spans="1:35" ht="15.5" x14ac:dyDescent="0.35">
      <c r="B42" s="8"/>
      <c r="F42" s="36" t="s">
        <v>29</v>
      </c>
      <c r="G42" s="36"/>
      <c r="O42" s="10"/>
      <c r="P42" s="2"/>
      <c r="Q42" s="4"/>
      <c r="S42" s="8"/>
      <c r="T42" s="26" t="s">
        <v>1</v>
      </c>
      <c r="U42" s="36" t="s">
        <v>29</v>
      </c>
      <c r="Y42" s="2" t="s">
        <v>1</v>
      </c>
      <c r="AA42" s="50" t="s">
        <v>1</v>
      </c>
      <c r="AB42" s="2"/>
      <c r="AC42" s="2"/>
      <c r="AD42" s="2"/>
      <c r="AE42" s="2"/>
      <c r="AF42" s="10" t="s">
        <v>1</v>
      </c>
      <c r="AG42" s="272"/>
      <c r="AI42" s="4"/>
    </row>
    <row r="43" spans="1:35" ht="14" x14ac:dyDescent="0.3">
      <c r="B43" s="8"/>
      <c r="F43" s="2" t="s">
        <v>30</v>
      </c>
      <c r="G43" s="2"/>
      <c r="M43" s="2" t="s">
        <v>1</v>
      </c>
      <c r="O43" s="10"/>
      <c r="P43" s="2"/>
      <c r="Q43" s="4"/>
      <c r="S43" s="8"/>
      <c r="T43" s="49" t="s">
        <v>1</v>
      </c>
      <c r="U43" s="2" t="s">
        <v>30</v>
      </c>
      <c r="AF43" s="44"/>
      <c r="AG43" s="272"/>
      <c r="AI43" s="4"/>
    </row>
    <row r="44" spans="1:35" ht="15.5" x14ac:dyDescent="0.35">
      <c r="B44" s="8"/>
      <c r="C44" s="599" t="s">
        <v>17</v>
      </c>
      <c r="D44" s="9">
        <f>D6</f>
        <v>46238</v>
      </c>
      <c r="F44" s="41" t="s">
        <v>32</v>
      </c>
      <c r="G44" s="41"/>
      <c r="H44" s="2"/>
      <c r="J44" s="2"/>
      <c r="O44" s="10"/>
      <c r="P44" s="2"/>
      <c r="Q44" s="4"/>
      <c r="S44" s="8"/>
      <c r="T44" s="41" t="s">
        <v>1</v>
      </c>
      <c r="U44" s="41" t="s">
        <v>32</v>
      </c>
      <c r="V44" s="2"/>
      <c r="X44" s="2"/>
      <c r="Y44" s="2"/>
      <c r="AF44" s="48"/>
      <c r="AG44" s="272"/>
      <c r="AI44" s="4"/>
    </row>
    <row r="45" spans="1:35" ht="12" thickBot="1" x14ac:dyDescent="0.3">
      <c r="B45" s="8"/>
      <c r="C45" s="599" t="s">
        <v>0</v>
      </c>
      <c r="D45" s="241">
        <f>D7</f>
        <v>0.58333333333333337</v>
      </c>
      <c r="F45" s="2" t="s">
        <v>27</v>
      </c>
      <c r="G45" s="9">
        <f>G7</f>
        <v>46219</v>
      </c>
      <c r="J45" s="2" t="s">
        <v>28</v>
      </c>
      <c r="K45" s="9">
        <f>K7</f>
        <v>46234</v>
      </c>
      <c r="O45" s="10"/>
      <c r="P45" s="2"/>
      <c r="Q45" s="4"/>
      <c r="S45" s="8"/>
      <c r="U45" s="1" t="str">
        <f>F45</f>
        <v>Fecha Desde:</v>
      </c>
      <c r="V45" s="9">
        <f>G45</f>
        <v>46219</v>
      </c>
      <c r="W45" s="1" t="s">
        <v>1</v>
      </c>
      <c r="X45" s="1" t="str">
        <f>J45</f>
        <v>Feha Hasta:</v>
      </c>
      <c r="Y45" s="9">
        <f>K45</f>
        <v>46234</v>
      </c>
      <c r="Z45" s="1" t="s">
        <v>1</v>
      </c>
      <c r="AF45" s="48"/>
      <c r="AG45" s="272"/>
      <c r="AI45" s="4"/>
    </row>
    <row r="46" spans="1:35" ht="72" customHeight="1" thickBot="1" x14ac:dyDescent="0.3">
      <c r="B46" s="11" t="s">
        <v>3</v>
      </c>
      <c r="C46" s="27" t="s">
        <v>9</v>
      </c>
      <c r="D46" s="11" t="s">
        <v>4</v>
      </c>
      <c r="E46" s="12" t="s">
        <v>5</v>
      </c>
      <c r="F46" s="27" t="s">
        <v>6</v>
      </c>
      <c r="G46" s="27" t="s">
        <v>159</v>
      </c>
      <c r="H46" s="27" t="s">
        <v>18</v>
      </c>
      <c r="I46" s="12" t="s">
        <v>24</v>
      </c>
      <c r="J46" s="73" t="s">
        <v>19</v>
      </c>
      <c r="K46" s="29" t="s">
        <v>20</v>
      </c>
      <c r="L46" s="28" t="s">
        <v>21</v>
      </c>
      <c r="M46" s="39" t="s">
        <v>22</v>
      </c>
      <c r="N46" s="12" t="s">
        <v>7</v>
      </c>
      <c r="O46" s="39" t="s">
        <v>23</v>
      </c>
      <c r="P46" s="13"/>
      <c r="Q46" s="4"/>
      <c r="S46" s="11" t="s">
        <v>3</v>
      </c>
      <c r="T46" s="27" t="s">
        <v>9</v>
      </c>
      <c r="U46" s="162" t="s">
        <v>39</v>
      </c>
      <c r="V46" s="163" t="s">
        <v>40</v>
      </c>
      <c r="W46" s="163" t="s">
        <v>41</v>
      </c>
      <c r="X46" s="163" t="s">
        <v>42</v>
      </c>
      <c r="Y46" s="164" t="s">
        <v>43</v>
      </c>
      <c r="Z46" s="85" t="s">
        <v>21</v>
      </c>
      <c r="AA46" s="65" t="s">
        <v>46</v>
      </c>
      <c r="AB46" s="65" t="s">
        <v>7</v>
      </c>
      <c r="AC46" s="85" t="s">
        <v>168</v>
      </c>
      <c r="AD46" s="121" t="s">
        <v>107</v>
      </c>
      <c r="AE46" s="121" t="s">
        <v>226</v>
      </c>
      <c r="AF46" s="39" t="s">
        <v>23</v>
      </c>
      <c r="AG46" s="273"/>
      <c r="AI46" s="4"/>
    </row>
    <row r="47" spans="1:35" s="305" customFormat="1" x14ac:dyDescent="0.25">
      <c r="B47" s="303">
        <v>1</v>
      </c>
      <c r="C47" s="304" t="s">
        <v>10</v>
      </c>
      <c r="D47" s="291">
        <f>'Reporte Componentes R1'!F55</f>
        <v>49580</v>
      </c>
      <c r="E47" s="292">
        <f>'Reporte Componentes R1'!G55</f>
        <v>2007.44</v>
      </c>
      <c r="F47" s="292">
        <f>'Reporte Componentes R1'!H55</f>
        <v>1133.3800000000001</v>
      </c>
      <c r="G47" s="292">
        <f>'Reporte Componentes R1'!I55</f>
        <v>594.88</v>
      </c>
      <c r="H47" s="292">
        <f>'Reporte Componentes R1'!J55</f>
        <v>0</v>
      </c>
      <c r="I47" s="292">
        <f>'Reporte Componentes R1'!K55</f>
        <v>0</v>
      </c>
      <c r="J47" s="288">
        <v>0</v>
      </c>
      <c r="K47" s="293">
        <f>D47-E47-F47-G47-H47-I47-J47</f>
        <v>45844.3</v>
      </c>
      <c r="L47" s="294">
        <v>0</v>
      </c>
      <c r="M47" s="293">
        <f>K47-L47</f>
        <v>45844.3</v>
      </c>
      <c r="N47" s="294">
        <f>'Reporte Componentes R1'!L55</f>
        <v>0</v>
      </c>
      <c r="O47" s="293">
        <f>M47+N47</f>
        <v>45844.3</v>
      </c>
      <c r="Q47" s="306"/>
      <c r="S47" s="303">
        <v>1</v>
      </c>
      <c r="T47" s="304" t="s">
        <v>10</v>
      </c>
      <c r="U47" s="307">
        <f>'Reporte Componentes R1'!M55</f>
        <v>0</v>
      </c>
      <c r="V47" s="308">
        <f>'Reporte Componentes R1'!N55</f>
        <v>0</v>
      </c>
      <c r="W47" s="308">
        <f>'Reporte Componentes R1'!O55</f>
        <v>0</v>
      </c>
      <c r="X47" s="308">
        <f>'Reporte Componentes R1'!P55</f>
        <v>5482.6</v>
      </c>
      <c r="Y47" s="309">
        <f>'Reporte Componentes R1'!Q55</f>
        <v>0</v>
      </c>
      <c r="Z47" s="310">
        <f>-L47</f>
        <v>0</v>
      </c>
      <c r="AA47" s="320">
        <f>'Reporte Componentes R1'!R55+'Reporte Componentes R1'!V55+'Reporte Componentes R1'!U55</f>
        <v>-2.61</v>
      </c>
      <c r="AB47" s="294">
        <f>N47</f>
        <v>0</v>
      </c>
      <c r="AC47" s="311">
        <f>'Reporte Componentes R1'!T55+'Reporte Componentes R1'!W55+'Reporte Componentes R1'!X55+'Reporte Componentes R1'!Y55+'Reporte Componentes R1'!Z55+'Reporte Componentes R1'!S55</f>
        <v>0</v>
      </c>
      <c r="AD47" s="291">
        <f>-J47+AE47</f>
        <v>40364.31</v>
      </c>
      <c r="AE47" s="291">
        <f>'Reporte Componentes R1'!F56</f>
        <v>40364.31</v>
      </c>
      <c r="AF47" s="313">
        <f>SUM(U47:AD47)</f>
        <v>45844.299999999996</v>
      </c>
      <c r="AG47" s="521">
        <f>(AF47-O47)</f>
        <v>-7.2759576141834259E-12</v>
      </c>
      <c r="AH47" s="305" t="b">
        <f>INT(AG47)=0</f>
        <v>0</v>
      </c>
      <c r="AI47" s="306"/>
    </row>
    <row r="48" spans="1:35" s="305" customFormat="1" x14ac:dyDescent="0.25">
      <c r="B48" s="314">
        <v>2</v>
      </c>
      <c r="C48" s="315" t="s">
        <v>11</v>
      </c>
      <c r="D48" s="291">
        <f>'Reporte Componentes R1'!F208</f>
        <v>56190070</v>
      </c>
      <c r="E48" s="292">
        <f>'Reporte Componentes R1'!G208</f>
        <v>7708934.9000000004</v>
      </c>
      <c r="F48" s="292">
        <f>'Reporte Componentes R1'!H208</f>
        <v>4358213.05</v>
      </c>
      <c r="G48" s="292">
        <f>'Reporte Componentes R1'!I208</f>
        <v>2310135.71</v>
      </c>
      <c r="H48" s="292">
        <f>'Reporte Componentes R1'!J208</f>
        <v>173927.38</v>
      </c>
      <c r="I48" s="292">
        <f>'Reporte Componentes R1'!K208</f>
        <v>5311.09</v>
      </c>
      <c r="J48" s="288">
        <v>0</v>
      </c>
      <c r="K48" s="295">
        <f t="shared" ref="K48:K51" si="16">D48-E48-F48-G48-H48-I48-J48</f>
        <v>41633547.869999997</v>
      </c>
      <c r="L48" s="294">
        <v>0</v>
      </c>
      <c r="M48" s="295">
        <f>K48-L48</f>
        <v>41633547.869999997</v>
      </c>
      <c r="N48" s="294">
        <f>'Reporte Componentes R1'!L208</f>
        <v>0</v>
      </c>
      <c r="O48" s="295">
        <f t="shared" ref="O48:O51" si="17">M48+N48</f>
        <v>41633547.869999997</v>
      </c>
      <c r="Q48" s="306"/>
      <c r="S48" s="314">
        <v>2</v>
      </c>
      <c r="T48" s="315" t="s">
        <v>11</v>
      </c>
      <c r="U48" s="316">
        <f>'Reporte Componentes R1'!M208</f>
        <v>46588.43</v>
      </c>
      <c r="V48" s="317">
        <f>'Reporte Componentes R1'!N208</f>
        <v>53938.06</v>
      </c>
      <c r="W48" s="317">
        <f>'Reporte Componentes R1'!O208</f>
        <v>251431.52</v>
      </c>
      <c r="X48" s="317">
        <f>'Reporte Componentes R1'!P208</f>
        <v>15476286.449999999</v>
      </c>
      <c r="Y48" s="318">
        <f>'Reporte Componentes R1'!Q208</f>
        <v>8665.4500000000007</v>
      </c>
      <c r="Z48" s="319">
        <f>-L48</f>
        <v>0</v>
      </c>
      <c r="AA48" s="320">
        <f>'Reporte Componentes R1'!R208+'Reporte Componentes R1'!V208+'Reporte Componentes R1'!U208</f>
        <v>-0.40999999999999898</v>
      </c>
      <c r="AB48" s="294">
        <f>N48</f>
        <v>0</v>
      </c>
      <c r="AC48" s="320">
        <f>'Reporte Componentes R1'!T208+'Reporte Componentes R1'!W208+'Reporte Componentes R1'!X208+'Reporte Componentes R1'!Y208+'Reporte Componentes R1'!Z208+'Reporte Componentes R1'!S208</f>
        <v>0</v>
      </c>
      <c r="AD48" s="291">
        <f t="shared" ref="AD48:AD51" si="18">-J48+AE48</f>
        <v>25796638.370000001</v>
      </c>
      <c r="AE48" s="291">
        <f>'Reporte Componentes R1'!F209</f>
        <v>25796638.370000001</v>
      </c>
      <c r="AF48" s="322">
        <f>SUM(U48:AD48)</f>
        <v>41633547.869999997</v>
      </c>
      <c r="AG48" s="522">
        <f>(AF48-O48)</f>
        <v>0</v>
      </c>
      <c r="AH48" s="305" t="b">
        <f t="shared" ref="AH48:AH51" si="19">INT(AG48)=0</f>
        <v>1</v>
      </c>
      <c r="AI48" s="306"/>
    </row>
    <row r="49" spans="1:35" s="305" customFormat="1" x14ac:dyDescent="0.25">
      <c r="B49" s="314">
        <v>3</v>
      </c>
      <c r="C49" s="315" t="s">
        <v>12</v>
      </c>
      <c r="D49" s="291">
        <f>'Reporte Componentes R1'!F345</f>
        <v>1307680</v>
      </c>
      <c r="E49" s="292">
        <f>'Reporte Componentes R1'!G345</f>
        <v>147598.38</v>
      </c>
      <c r="F49" s="292">
        <f>'Reporte Componentes R1'!H345</f>
        <v>66140.960000000006</v>
      </c>
      <c r="G49" s="292">
        <f>'Reporte Componentes R1'!I345</f>
        <v>37291.57</v>
      </c>
      <c r="H49" s="292">
        <f>'Reporte Componentes R1'!J345</f>
        <v>33572.080000000002</v>
      </c>
      <c r="I49" s="292">
        <f>'Reporte Componentes R1'!K345</f>
        <v>682.45</v>
      </c>
      <c r="J49" s="288">
        <v>0</v>
      </c>
      <c r="K49" s="295">
        <f t="shared" si="16"/>
        <v>1022394.5600000002</v>
      </c>
      <c r="L49" s="294">
        <v>0</v>
      </c>
      <c r="M49" s="295">
        <f>K49-L49</f>
        <v>1022394.5600000002</v>
      </c>
      <c r="N49" s="294">
        <f>'Reporte Componentes R1'!L345</f>
        <v>0</v>
      </c>
      <c r="O49" s="295">
        <f t="shared" si="17"/>
        <v>1022394.5600000002</v>
      </c>
      <c r="Q49" s="306"/>
      <c r="S49" s="314">
        <v>3</v>
      </c>
      <c r="T49" s="315" t="s">
        <v>12</v>
      </c>
      <c r="U49" s="316">
        <f>'Reporte Componentes R1'!M345</f>
        <v>5991.23</v>
      </c>
      <c r="V49" s="317">
        <f>'Reporte Componentes R1'!N345</f>
        <v>7293.25</v>
      </c>
      <c r="W49" s="317">
        <f>'Reporte Componentes R1'!O345</f>
        <v>33919.089999999997</v>
      </c>
      <c r="X49" s="317">
        <f>'Reporte Componentes R1'!P345</f>
        <v>346942.9</v>
      </c>
      <c r="Y49" s="318">
        <f>'Reporte Componentes R1'!Q345</f>
        <v>1113.3699999999999</v>
      </c>
      <c r="Z49" s="319">
        <f>-L49</f>
        <v>0</v>
      </c>
      <c r="AA49" s="320">
        <f>'Reporte Componentes R1'!R345+'Reporte Componentes R1'!V345+'Reporte Componentes R1'!U345</f>
        <v>-7.95</v>
      </c>
      <c r="AB49" s="294">
        <f>N49</f>
        <v>0</v>
      </c>
      <c r="AC49" s="320">
        <f>'Reporte Componentes R1'!T345+'Reporte Componentes R1'!W345+'Reporte Componentes R1'!X345+'Reporte Componentes R1'!Y345+'Reporte Componentes R1'!Z345+'Reporte Componentes R1'!S345</f>
        <v>0.7</v>
      </c>
      <c r="AD49" s="291">
        <f t="shared" si="18"/>
        <v>627141.97</v>
      </c>
      <c r="AE49" s="291">
        <f>'Reporte Componentes R1'!F346</f>
        <v>627141.97</v>
      </c>
      <c r="AF49" s="322">
        <f t="shared" ref="AF49:AF51" si="20">SUM(U49:AD49)</f>
        <v>1022394.56</v>
      </c>
      <c r="AG49" s="522">
        <f t="shared" ref="AG49:AG51" si="21">(AF49-O49)</f>
        <v>-1.1641532182693481E-10</v>
      </c>
      <c r="AH49" s="305" t="b">
        <f t="shared" si="19"/>
        <v>0</v>
      </c>
      <c r="AI49" s="306"/>
    </row>
    <row r="50" spans="1:35" s="305" customFormat="1" x14ac:dyDescent="0.25">
      <c r="B50" s="314">
        <v>4</v>
      </c>
      <c r="C50" s="315" t="s">
        <v>13</v>
      </c>
      <c r="D50" s="291">
        <f>'Reporte Componentes R1'!F470</f>
        <v>4343101</v>
      </c>
      <c r="E50" s="292">
        <f>'Reporte Componentes R1'!G470</f>
        <v>311438.06</v>
      </c>
      <c r="F50" s="292">
        <f>'Reporte Componentes R1'!H470</f>
        <v>174745.19</v>
      </c>
      <c r="G50" s="292">
        <f>'Reporte Componentes R1'!I470</f>
        <v>94552.57</v>
      </c>
      <c r="H50" s="292">
        <f>'Reporte Componentes R1'!J470</f>
        <v>971475.94</v>
      </c>
      <c r="I50" s="292">
        <f>'Reporte Componentes R1'!K470</f>
        <v>31532.52</v>
      </c>
      <c r="J50" s="288">
        <v>0</v>
      </c>
      <c r="K50" s="295">
        <f t="shared" si="16"/>
        <v>2759356.72</v>
      </c>
      <c r="L50" s="294">
        <v>0</v>
      </c>
      <c r="M50" s="295">
        <f>K50-L50</f>
        <v>2759356.72</v>
      </c>
      <c r="N50" s="294">
        <f>'Reporte Componentes R1'!L470</f>
        <v>0</v>
      </c>
      <c r="O50" s="295">
        <f t="shared" si="17"/>
        <v>2759356.72</v>
      </c>
      <c r="Q50" s="306"/>
      <c r="S50" s="314">
        <v>4</v>
      </c>
      <c r="T50" s="315" t="s">
        <v>13</v>
      </c>
      <c r="U50" s="316">
        <f>'Reporte Componentes R1'!M470</f>
        <v>280120.46000000002</v>
      </c>
      <c r="V50" s="317">
        <f>'Reporte Componentes R1'!N470</f>
        <v>309903.63</v>
      </c>
      <c r="W50" s="317">
        <f>'Reporte Componentes R1'!O470</f>
        <v>1543098.75</v>
      </c>
      <c r="X50" s="317">
        <f>'Reporte Componentes R1'!P470</f>
        <v>830464.64</v>
      </c>
      <c r="Y50" s="318">
        <f>'Reporte Componentes R1'!Q470</f>
        <v>53321.16</v>
      </c>
      <c r="Z50" s="319">
        <f>-L50</f>
        <v>0</v>
      </c>
      <c r="AA50" s="320">
        <f>'Reporte Componentes R1'!R470+'Reporte Componentes R1'!V470+'Reporte Componentes R1'!U470</f>
        <v>10.98</v>
      </c>
      <c r="AB50" s="294">
        <f>N50</f>
        <v>0</v>
      </c>
      <c r="AC50" s="320">
        <f>'Reporte Componentes R1'!T470+'Reporte Componentes R1'!W470+'Reporte Componentes R1'!X470+'Reporte Componentes R1'!Y470+'Reporte Componentes R1'!Z470+'Reporte Componentes R1'!S470</f>
        <v>-88.74</v>
      </c>
      <c r="AD50" s="291">
        <f t="shared" si="18"/>
        <v>-257474.16</v>
      </c>
      <c r="AE50" s="291">
        <f>'Reporte Componentes R1'!F471</f>
        <v>-257474.16</v>
      </c>
      <c r="AF50" s="322">
        <f t="shared" si="20"/>
        <v>2759356.7199999997</v>
      </c>
      <c r="AG50" s="522">
        <f t="shared" si="21"/>
        <v>-4.6566128730773926E-10</v>
      </c>
      <c r="AH50" s="305" t="b">
        <f t="shared" si="19"/>
        <v>0</v>
      </c>
      <c r="AI50" s="306"/>
    </row>
    <row r="51" spans="1:35" s="305" customFormat="1" ht="12" thickBot="1" x14ac:dyDescent="0.3">
      <c r="B51" s="324">
        <v>5</v>
      </c>
      <c r="C51" s="325" t="s">
        <v>14</v>
      </c>
      <c r="D51" s="296">
        <f>'Reporte Componentes R1'!F560</f>
        <v>441849</v>
      </c>
      <c r="E51" s="297">
        <f>'Reporte Componentes R1'!G560</f>
        <v>26657.43</v>
      </c>
      <c r="F51" s="297">
        <f>'Reporte Componentes R1'!H560</f>
        <v>14138.02</v>
      </c>
      <c r="G51" s="297">
        <f>'Reporte Componentes R1'!I560</f>
        <v>7723.27</v>
      </c>
      <c r="H51" s="297">
        <f>'Reporte Componentes R1'!J560</f>
        <v>93911.73</v>
      </c>
      <c r="I51" s="297">
        <f>'Reporte Componentes R1'!K560</f>
        <v>2290.29</v>
      </c>
      <c r="J51" s="289">
        <v>0</v>
      </c>
      <c r="K51" s="295">
        <f t="shared" si="16"/>
        <v>297128.26</v>
      </c>
      <c r="L51" s="294">
        <v>0</v>
      </c>
      <c r="M51" s="298">
        <f>K51-L51</f>
        <v>297128.26</v>
      </c>
      <c r="N51" s="299">
        <f>'Reporte Componentes R1'!L560</f>
        <v>0</v>
      </c>
      <c r="O51" s="298">
        <f t="shared" si="17"/>
        <v>297128.26</v>
      </c>
      <c r="Q51" s="306"/>
      <c r="S51" s="324">
        <v>5</v>
      </c>
      <c r="T51" s="325" t="s">
        <v>14</v>
      </c>
      <c r="U51" s="296">
        <f>'Reporte Componentes R1'!M560</f>
        <v>20089.34</v>
      </c>
      <c r="V51" s="297">
        <f>'Reporte Componentes R1'!N560</f>
        <v>28092.36</v>
      </c>
      <c r="W51" s="297">
        <f>'Reporte Componentes R1'!O560</f>
        <v>141333</v>
      </c>
      <c r="X51" s="297">
        <f>'Reporte Componentes R1'!P560</f>
        <v>79544.789999999994</v>
      </c>
      <c r="Y51" s="289">
        <f>'Reporte Componentes R1'!Q560</f>
        <v>3736.7</v>
      </c>
      <c r="Z51" s="319">
        <f>-L51</f>
        <v>0</v>
      </c>
      <c r="AA51" s="320">
        <f>'Reporte Componentes R1'!R560+'Reporte Componentes R1'!V560+'Reporte Componentes R1'!U560</f>
        <v>2.69</v>
      </c>
      <c r="AB51" s="294">
        <f>N51</f>
        <v>0</v>
      </c>
      <c r="AC51" s="320">
        <f>'Reporte Componentes R1'!T560+'Reporte Componentes R1'!W560+'Reporte Componentes R1'!X560+'Reporte Componentes R1'!Y560+'Reporte Componentes R1'!Z560+'Reporte Componentes R1'!S560</f>
        <v>0</v>
      </c>
      <c r="AD51" s="291">
        <f t="shared" si="18"/>
        <v>24329.38</v>
      </c>
      <c r="AE51" s="291">
        <f>'Reporte Componentes R1'!F561</f>
        <v>24329.38</v>
      </c>
      <c r="AF51" s="322">
        <f t="shared" si="20"/>
        <v>297128.26</v>
      </c>
      <c r="AG51" s="523">
        <f t="shared" si="21"/>
        <v>0</v>
      </c>
      <c r="AH51" s="305" t="b">
        <f t="shared" si="19"/>
        <v>1</v>
      </c>
      <c r="AI51" s="306"/>
    </row>
    <row r="52" spans="1:35" s="305" customFormat="1" ht="13.5" thickBot="1" x14ac:dyDescent="0.35">
      <c r="B52" s="327"/>
      <c r="C52" s="328" t="s">
        <v>2</v>
      </c>
      <c r="D52" s="290">
        <f t="shared" ref="D52:O52" si="22">SUM(D47:D51)</f>
        <v>62332280</v>
      </c>
      <c r="E52" s="290">
        <f t="shared" si="22"/>
        <v>8196636.21</v>
      </c>
      <c r="F52" s="290">
        <f t="shared" si="22"/>
        <v>4614370.5999999996</v>
      </c>
      <c r="G52" s="290">
        <f t="shared" ref="G52" si="23">SUM(G47:G51)</f>
        <v>2450297.9999999995</v>
      </c>
      <c r="H52" s="290">
        <f t="shared" si="22"/>
        <v>1272887.1299999999</v>
      </c>
      <c r="I52" s="290">
        <f t="shared" si="22"/>
        <v>39816.35</v>
      </c>
      <c r="J52" s="290">
        <f t="shared" si="22"/>
        <v>0</v>
      </c>
      <c r="K52" s="300">
        <f t="shared" si="22"/>
        <v>45758271.709999993</v>
      </c>
      <c r="L52" s="301">
        <f t="shared" si="22"/>
        <v>0</v>
      </c>
      <c r="M52" s="302">
        <f t="shared" si="22"/>
        <v>45758271.709999993</v>
      </c>
      <c r="N52" s="301">
        <f t="shared" si="22"/>
        <v>0</v>
      </c>
      <c r="O52" s="302">
        <f t="shared" si="22"/>
        <v>45758271.709999993</v>
      </c>
      <c r="P52" s="329"/>
      <c r="Q52" s="306"/>
      <c r="S52" s="327"/>
      <c r="T52" s="328" t="s">
        <v>2</v>
      </c>
      <c r="U52" s="330">
        <f>SUM(U47:U51)</f>
        <v>352789.46</v>
      </c>
      <c r="V52" s="330">
        <f t="shared" ref="V52:AG52" si="24">SUM(V47:V51)</f>
        <v>399227.3</v>
      </c>
      <c r="W52" s="330">
        <f t="shared" si="24"/>
        <v>1969782.3599999999</v>
      </c>
      <c r="X52" s="330">
        <f t="shared" si="24"/>
        <v>16738721.379999999</v>
      </c>
      <c r="Y52" s="330">
        <f t="shared" si="24"/>
        <v>66836.680000000008</v>
      </c>
      <c r="Z52" s="290">
        <f t="shared" si="24"/>
        <v>0</v>
      </c>
      <c r="AA52" s="290">
        <f t="shared" si="24"/>
        <v>2.7000000000000015</v>
      </c>
      <c r="AB52" s="290">
        <f t="shared" si="24"/>
        <v>0</v>
      </c>
      <c r="AC52" s="290">
        <f t="shared" si="24"/>
        <v>-88.039999999999992</v>
      </c>
      <c r="AD52" s="290">
        <f>SUM(AD47:AD51)</f>
        <v>26230999.869999997</v>
      </c>
      <c r="AE52" s="290">
        <f>SUM(AE47:AE51)</f>
        <v>26230999.869999997</v>
      </c>
      <c r="AF52" s="331">
        <f t="shared" si="24"/>
        <v>45758271.709999993</v>
      </c>
      <c r="AG52" s="524">
        <f t="shared" si="24"/>
        <v>-5.893525667488575E-10</v>
      </c>
      <c r="AH52" s="305" t="b">
        <f>INT(AG52)=0</f>
        <v>0</v>
      </c>
      <c r="AI52" s="306"/>
    </row>
    <row r="53" spans="1:35" ht="12" thickBot="1" x14ac:dyDescent="0.3">
      <c r="B53" s="2"/>
      <c r="C53" s="2"/>
      <c r="D53" s="24"/>
      <c r="E53" s="24"/>
      <c r="F53" s="24"/>
      <c r="G53" s="24"/>
      <c r="H53" s="24"/>
      <c r="I53" s="24"/>
      <c r="K53" s="24"/>
      <c r="L53" s="24"/>
      <c r="M53" s="24"/>
      <c r="N53" s="24"/>
      <c r="O53" s="24"/>
      <c r="Q53" s="4"/>
      <c r="S53" s="2"/>
      <c r="T53" s="2"/>
      <c r="U53" s="24"/>
      <c r="V53" s="24"/>
      <c r="W53" s="24"/>
      <c r="X53" s="24"/>
      <c r="Y53" s="24"/>
      <c r="AF53" s="24"/>
      <c r="AI53" s="4"/>
    </row>
    <row r="54" spans="1:35" ht="12" thickBot="1" x14ac:dyDescent="0.3">
      <c r="B54" s="2"/>
      <c r="C54" s="2"/>
      <c r="D54" s="24" t="s">
        <v>1</v>
      </c>
      <c r="E54" s="24"/>
      <c r="F54" s="24"/>
      <c r="G54" s="24"/>
      <c r="H54" s="24"/>
      <c r="I54" s="24"/>
      <c r="K54" s="24"/>
      <c r="L54" s="24"/>
      <c r="M54" s="24"/>
      <c r="N54" s="24"/>
      <c r="O54" s="24"/>
      <c r="Q54" s="4"/>
      <c r="Y54" s="86">
        <f>SUM(U52:Y52)</f>
        <v>19527357.18</v>
      </c>
      <c r="AA54" s="1" t="s">
        <v>1</v>
      </c>
      <c r="AB54" s="1" t="s">
        <v>1</v>
      </c>
      <c r="AD54" s="1" t="s">
        <v>1</v>
      </c>
      <c r="AF54" s="1" t="s">
        <v>1</v>
      </c>
      <c r="AI54" s="4"/>
    </row>
    <row r="55" spans="1:35" ht="12" thickBot="1" x14ac:dyDescent="0.3">
      <c r="B55" s="2"/>
      <c r="C55" s="2"/>
      <c r="D55" s="24" t="s">
        <v>1</v>
      </c>
      <c r="E55" s="33"/>
      <c r="F55" s="33"/>
      <c r="G55" s="33"/>
      <c r="H55" s="33"/>
      <c r="I55" s="24"/>
      <c r="K55" s="24"/>
      <c r="L55" s="24"/>
      <c r="M55" s="24"/>
      <c r="N55" s="24"/>
      <c r="O55" s="24"/>
      <c r="Q55" s="4"/>
      <c r="AI55" s="4"/>
    </row>
    <row r="56" spans="1:35" x14ac:dyDescent="0.25">
      <c r="B56" s="2"/>
      <c r="C56" s="2"/>
      <c r="D56" s="24" t="s">
        <v>1</v>
      </c>
      <c r="E56" s="24" t="s">
        <v>1</v>
      </c>
      <c r="F56" s="24" t="s">
        <v>25</v>
      </c>
      <c r="G56" s="24"/>
      <c r="H56" s="24"/>
      <c r="I56" s="24"/>
      <c r="K56" s="24"/>
      <c r="L56" s="24"/>
      <c r="M56" s="24"/>
      <c r="N56" s="24"/>
      <c r="O56" s="24"/>
      <c r="Q56" s="4"/>
      <c r="AI56" s="4"/>
    </row>
    <row r="57" spans="1:35" x14ac:dyDescent="0.25">
      <c r="A57" s="4"/>
      <c r="B57" s="34"/>
      <c r="C57" s="34"/>
      <c r="D57" s="35"/>
      <c r="E57" s="35"/>
      <c r="F57" s="35"/>
      <c r="G57" s="35"/>
      <c r="H57" s="35"/>
      <c r="I57" s="35"/>
      <c r="J57" s="4"/>
      <c r="K57" s="35"/>
      <c r="L57" s="35"/>
      <c r="M57" s="35"/>
      <c r="N57" s="35"/>
      <c r="O57" s="35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  <c r="AE57" s="4"/>
      <c r="AF57" s="4"/>
      <c r="AG57" s="274"/>
      <c r="AH57" s="4"/>
      <c r="AI57" s="4"/>
    </row>
    <row r="58" spans="1:35" ht="12" thickBot="1" x14ac:dyDescent="0.3">
      <c r="Q58" s="4"/>
      <c r="AI58" s="4"/>
    </row>
    <row r="59" spans="1:35" x14ac:dyDescent="0.25">
      <c r="B59" s="5"/>
      <c r="C59" s="3" t="s">
        <v>1</v>
      </c>
      <c r="D59" s="6" t="s">
        <v>1</v>
      </c>
      <c r="E59" s="3"/>
      <c r="F59" s="3"/>
      <c r="G59" s="3"/>
      <c r="H59" s="3" t="s">
        <v>1</v>
      </c>
      <c r="I59" s="3"/>
      <c r="J59" s="3"/>
      <c r="K59" s="3"/>
      <c r="L59" s="3"/>
      <c r="M59" s="3"/>
      <c r="N59" s="3"/>
      <c r="O59" s="7"/>
      <c r="P59" s="2"/>
      <c r="Q59" s="4"/>
      <c r="S59" s="5"/>
      <c r="T59" s="3" t="s">
        <v>1</v>
      </c>
      <c r="U59" s="6" t="s">
        <v>1</v>
      </c>
      <c r="V59" s="3"/>
      <c r="W59" s="3"/>
      <c r="X59" s="3" t="s">
        <v>1</v>
      </c>
      <c r="Y59" s="3"/>
      <c r="Z59" s="3"/>
      <c r="AA59" s="3"/>
      <c r="AB59" s="3"/>
      <c r="AC59" s="3"/>
      <c r="AD59" s="3"/>
      <c r="AE59" s="3"/>
      <c r="AF59" s="7"/>
      <c r="AG59" s="272"/>
      <c r="AI59" s="4"/>
    </row>
    <row r="60" spans="1:35" ht="14" x14ac:dyDescent="0.3">
      <c r="B60" s="8"/>
      <c r="F60" s="26" t="s">
        <v>8</v>
      </c>
      <c r="G60" s="26"/>
      <c r="I60" s="26" t="s">
        <v>16</v>
      </c>
      <c r="J60" s="25"/>
      <c r="M60" s="2" t="s">
        <v>15</v>
      </c>
      <c r="N60" s="50">
        <f>N3</f>
        <v>2026072</v>
      </c>
      <c r="O60" s="10"/>
      <c r="P60" s="2"/>
      <c r="Q60" s="4"/>
      <c r="S60" s="8"/>
      <c r="U60" s="26" t="s">
        <v>8</v>
      </c>
      <c r="W60" s="26" t="s">
        <v>16</v>
      </c>
      <c r="X60" s="25"/>
      <c r="Y60" s="2"/>
      <c r="AA60" s="2" t="s">
        <v>15</v>
      </c>
      <c r="AD60" s="84">
        <f>N60</f>
        <v>2026072</v>
      </c>
      <c r="AE60" s="84"/>
      <c r="AF60" s="48"/>
      <c r="AG60" s="272"/>
      <c r="AI60" s="4"/>
    </row>
    <row r="61" spans="1:35" ht="15.5" x14ac:dyDescent="0.35">
      <c r="B61" s="8"/>
      <c r="F61" s="36" t="s">
        <v>29</v>
      </c>
      <c r="G61" s="36"/>
      <c r="O61" s="10"/>
      <c r="P61" s="2"/>
      <c r="Q61" s="4"/>
      <c r="S61" s="8"/>
      <c r="T61" s="26" t="s">
        <v>1</v>
      </c>
      <c r="U61" s="36" t="s">
        <v>29</v>
      </c>
      <c r="Y61" s="2" t="s">
        <v>1</v>
      </c>
      <c r="AA61" s="50" t="s">
        <v>1</v>
      </c>
      <c r="AB61" s="2"/>
      <c r="AC61" s="2"/>
      <c r="AD61" s="2"/>
      <c r="AE61" s="2"/>
      <c r="AF61" s="10" t="s">
        <v>1</v>
      </c>
      <c r="AG61" s="272"/>
      <c r="AI61" s="4"/>
    </row>
    <row r="62" spans="1:35" ht="14" x14ac:dyDescent="0.3">
      <c r="B62" s="8"/>
      <c r="F62" s="2" t="s">
        <v>30</v>
      </c>
      <c r="G62" s="2"/>
      <c r="M62" s="2" t="s">
        <v>1</v>
      </c>
      <c r="O62" s="10"/>
      <c r="P62" s="2"/>
      <c r="Q62" s="4"/>
      <c r="S62" s="8"/>
      <c r="T62" s="49" t="s">
        <v>1</v>
      </c>
      <c r="U62" s="2" t="s">
        <v>30</v>
      </c>
      <c r="AF62" s="44"/>
      <c r="AG62" s="272"/>
      <c r="AI62" s="4"/>
    </row>
    <row r="63" spans="1:35" ht="15.5" x14ac:dyDescent="0.35">
      <c r="B63" s="8"/>
      <c r="C63" s="599" t="s">
        <v>17</v>
      </c>
      <c r="D63" s="9">
        <f>D6</f>
        <v>46238</v>
      </c>
      <c r="F63" s="41" t="s">
        <v>33</v>
      </c>
      <c r="G63" s="41"/>
      <c r="H63" s="2"/>
      <c r="J63" s="2"/>
      <c r="O63" s="10"/>
      <c r="P63" s="2"/>
      <c r="Q63" s="4"/>
      <c r="S63" s="8"/>
      <c r="T63" s="41" t="s">
        <v>1</v>
      </c>
      <c r="U63" s="41" t="s">
        <v>33</v>
      </c>
      <c r="V63" s="2"/>
      <c r="X63" s="2"/>
      <c r="Y63" s="2"/>
      <c r="AF63" s="48"/>
      <c r="AG63" s="272"/>
      <c r="AI63" s="4"/>
    </row>
    <row r="64" spans="1:35" ht="12" thickBot="1" x14ac:dyDescent="0.3">
      <c r="B64" s="8"/>
      <c r="C64" s="599" t="s">
        <v>0</v>
      </c>
      <c r="D64" s="241">
        <f>D7</f>
        <v>0.58333333333333337</v>
      </c>
      <c r="F64" s="2" t="s">
        <v>27</v>
      </c>
      <c r="G64" s="9">
        <f>G7</f>
        <v>46219</v>
      </c>
      <c r="J64" s="2" t="s">
        <v>28</v>
      </c>
      <c r="K64" s="9">
        <f>K7</f>
        <v>46234</v>
      </c>
      <c r="O64" s="10"/>
      <c r="P64" s="2"/>
      <c r="Q64" s="4"/>
      <c r="S64" s="8"/>
      <c r="U64" s="1" t="str">
        <f>F64</f>
        <v>Fecha Desde:</v>
      </c>
      <c r="V64" s="9">
        <f>G64</f>
        <v>46219</v>
      </c>
      <c r="W64" s="1" t="s">
        <v>1</v>
      </c>
      <c r="X64" s="1" t="str">
        <f>J64</f>
        <v>Feha Hasta:</v>
      </c>
      <c r="Y64" s="9">
        <f>K64</f>
        <v>46234</v>
      </c>
      <c r="Z64" s="1" t="s">
        <v>1</v>
      </c>
      <c r="AF64" s="48"/>
      <c r="AG64" s="272"/>
      <c r="AI64" s="4"/>
    </row>
    <row r="65" spans="1:35" ht="72" customHeight="1" thickBot="1" x14ac:dyDescent="0.3">
      <c r="B65" s="11" t="s">
        <v>3</v>
      </c>
      <c r="C65" s="27" t="s">
        <v>9</v>
      </c>
      <c r="D65" s="11" t="s">
        <v>4</v>
      </c>
      <c r="E65" s="12" t="s">
        <v>5</v>
      </c>
      <c r="F65" s="27" t="s">
        <v>6</v>
      </c>
      <c r="G65" s="27" t="s">
        <v>159</v>
      </c>
      <c r="H65" s="27" t="s">
        <v>18</v>
      </c>
      <c r="I65" s="12" t="s">
        <v>24</v>
      </c>
      <c r="J65" s="73" t="s">
        <v>19</v>
      </c>
      <c r="K65" s="29" t="s">
        <v>20</v>
      </c>
      <c r="L65" s="28" t="s">
        <v>21</v>
      </c>
      <c r="M65" s="39" t="s">
        <v>22</v>
      </c>
      <c r="N65" s="12" t="s">
        <v>7</v>
      </c>
      <c r="O65" s="39" t="s">
        <v>23</v>
      </c>
      <c r="P65" s="13"/>
      <c r="Q65" s="4"/>
      <c r="S65" s="11" t="s">
        <v>3</v>
      </c>
      <c r="T65" s="27" t="s">
        <v>9</v>
      </c>
      <c r="U65" s="162" t="s">
        <v>39</v>
      </c>
      <c r="V65" s="163" t="s">
        <v>40</v>
      </c>
      <c r="W65" s="163" t="s">
        <v>41</v>
      </c>
      <c r="X65" s="163" t="s">
        <v>42</v>
      </c>
      <c r="Y65" s="164" t="s">
        <v>43</v>
      </c>
      <c r="Z65" s="85" t="s">
        <v>21</v>
      </c>
      <c r="AA65" s="65" t="s">
        <v>46</v>
      </c>
      <c r="AB65" s="65" t="s">
        <v>7</v>
      </c>
      <c r="AC65" s="85" t="s">
        <v>168</v>
      </c>
      <c r="AD65" s="121" t="s">
        <v>107</v>
      </c>
      <c r="AE65" s="121" t="s">
        <v>226</v>
      </c>
      <c r="AF65" s="39" t="s">
        <v>23</v>
      </c>
      <c r="AG65" s="273"/>
      <c r="AI65" s="4"/>
    </row>
    <row r="66" spans="1:35" s="305" customFormat="1" x14ac:dyDescent="0.25">
      <c r="B66" s="303">
        <v>1</v>
      </c>
      <c r="C66" s="304" t="s">
        <v>10</v>
      </c>
      <c r="D66" s="291">
        <f>'Reversion Pagos R4'!D73</f>
        <v>-16536713.09</v>
      </c>
      <c r="E66" s="292">
        <f>'Reversion Pagos R4'!E73</f>
        <v>-842044.27</v>
      </c>
      <c r="F66" s="292">
        <f>'Reversion Pagos R4'!F73</f>
        <v>-470499.84000000003</v>
      </c>
      <c r="G66" s="292">
        <f>'Reversion Pagos R4'!G73</f>
        <v>-249332.32</v>
      </c>
      <c r="H66" s="292">
        <f>'Reversion Pagos R4'!H73</f>
        <v>-4006466.75</v>
      </c>
      <c r="I66" s="292">
        <f>'Reversion Pagos R4'!I73</f>
        <v>-145004</v>
      </c>
      <c r="J66" s="288">
        <v>0</v>
      </c>
      <c r="K66" s="293">
        <f>D66-E66-F66-G66-H66-I66-J66</f>
        <v>-10823365.91</v>
      </c>
      <c r="L66" s="294">
        <v>0</v>
      </c>
      <c r="M66" s="293">
        <f>K66-L66</f>
        <v>-10823365.91</v>
      </c>
      <c r="N66" s="294">
        <f>'Reversion Pagos R4'!P73</f>
        <v>0</v>
      </c>
      <c r="O66" s="293">
        <f>M66+N66</f>
        <v>-10823365.91</v>
      </c>
      <c r="Q66" s="306"/>
      <c r="S66" s="303">
        <v>1</v>
      </c>
      <c r="T66" s="304" t="s">
        <v>10</v>
      </c>
      <c r="U66" s="307">
        <f>'Reversion Pagos R4'!J73</f>
        <v>-1301824.81</v>
      </c>
      <c r="V66" s="308">
        <f>'Reversion Pagos R4'!K73</f>
        <v>-1255802.95</v>
      </c>
      <c r="W66" s="308">
        <f>'Reversion Pagos R4'!L73</f>
        <v>-5775459.54</v>
      </c>
      <c r="X66" s="308">
        <f>'Reversion Pagos R4'!M73</f>
        <v>-2296297.42</v>
      </c>
      <c r="Y66" s="308">
        <f>'Reversion Pagos R4'!N73</f>
        <v>-237636.38</v>
      </c>
      <c r="Z66" s="310">
        <f>-L66</f>
        <v>0</v>
      </c>
      <c r="AA66" s="320">
        <f>'Reversion Pagos R4'!O73</f>
        <v>100.74000000000001</v>
      </c>
      <c r="AB66" s="294">
        <f>N66</f>
        <v>0</v>
      </c>
      <c r="AC66" s="320">
        <f>+'Reversion Pagos R4'!Q73+'Reversion Pagos R4'!R73</f>
        <v>0</v>
      </c>
      <c r="AD66" s="291">
        <f>-J66+AE66</f>
        <v>43554.450000000012</v>
      </c>
      <c r="AE66" s="291">
        <f>'Reversion Pagos R4'!D74</f>
        <v>43554.450000000012</v>
      </c>
      <c r="AF66" s="313">
        <f>SUM(U66:AD66)</f>
        <v>-10823365.91</v>
      </c>
      <c r="AG66" s="521">
        <f>(AF66-O66)</f>
        <v>0</v>
      </c>
      <c r="AH66" s="305" t="b">
        <f>INT(AG66)=0</f>
        <v>1</v>
      </c>
      <c r="AI66" s="306"/>
    </row>
    <row r="67" spans="1:35" s="305" customFormat="1" x14ac:dyDescent="0.25">
      <c r="B67" s="314">
        <v>2</v>
      </c>
      <c r="C67" s="315" t="s">
        <v>11</v>
      </c>
      <c r="D67" s="291">
        <f>'Reversion Pagos R4'!D168</f>
        <v>-71069759</v>
      </c>
      <c r="E67" s="292">
        <f>'Reversion Pagos R4'!E168</f>
        <v>-15881719.34</v>
      </c>
      <c r="F67" s="292">
        <f>'Reversion Pagos R4'!F168</f>
        <v>-7382378.6299999999</v>
      </c>
      <c r="G67" s="292">
        <f>'Reversion Pagos R4'!G168</f>
        <v>-4039895.56</v>
      </c>
      <c r="H67" s="292">
        <f>'Reversion Pagos R4'!H168</f>
        <v>-3333202.99</v>
      </c>
      <c r="I67" s="292">
        <f>'Reversion Pagos R4'!I168</f>
        <v>-119625.47</v>
      </c>
      <c r="J67" s="288">
        <v>0</v>
      </c>
      <c r="K67" s="295">
        <f t="shared" ref="K67:K70" si="25">D67-E67-F67-G67-H67-I67-J67</f>
        <v>-40312937.00999999</v>
      </c>
      <c r="L67" s="294">
        <v>0</v>
      </c>
      <c r="M67" s="295">
        <f>K67-L67</f>
        <v>-40312937.00999999</v>
      </c>
      <c r="N67" s="294">
        <f>'Reversion Pagos R4'!P168</f>
        <v>0</v>
      </c>
      <c r="O67" s="295">
        <f t="shared" ref="O67:O70" si="26">M67+N67</f>
        <v>-40312937.00999999</v>
      </c>
      <c r="Q67" s="306"/>
      <c r="S67" s="314">
        <v>2</v>
      </c>
      <c r="T67" s="315" t="s">
        <v>11</v>
      </c>
      <c r="U67" s="316">
        <f>'Reversion Pagos R4'!J168</f>
        <v>-1050942.24</v>
      </c>
      <c r="V67" s="317">
        <f>'Reversion Pagos R4'!K168</f>
        <v>-1052754.19</v>
      </c>
      <c r="W67" s="317">
        <f>'Reversion Pagos R4'!L168</f>
        <v>-4921480.46</v>
      </c>
      <c r="X67" s="317">
        <f>'Reversion Pagos R4'!M168</f>
        <v>-32197091.960000001</v>
      </c>
      <c r="Y67" s="318">
        <f>'Reversion Pagos R4'!N168</f>
        <v>-194756.94999999998</v>
      </c>
      <c r="Z67" s="319">
        <f t="shared" ref="Z67:Z70" si="27">-L67</f>
        <v>0</v>
      </c>
      <c r="AA67" s="320">
        <f>'Reversion Pagos R4'!O168</f>
        <v>28.29</v>
      </c>
      <c r="AB67" s="294">
        <f t="shared" ref="AB67:AB70" si="28">N67</f>
        <v>0</v>
      </c>
      <c r="AC67" s="320">
        <f>+'Reversion Pagos R4'!Q168+'Reversion Pagos R4'!R168</f>
        <v>0</v>
      </c>
      <c r="AD67" s="291">
        <f>-J67+AE67</f>
        <v>-895939.5</v>
      </c>
      <c r="AE67" s="291">
        <f>'Reversion Pagos R4'!D169</f>
        <v>-895939.5</v>
      </c>
      <c r="AF67" s="322">
        <f>SUM(U67:AD67)</f>
        <v>-40312937.010000005</v>
      </c>
      <c r="AG67" s="522">
        <f>(AF67-O67)</f>
        <v>-1.4901161193847656E-8</v>
      </c>
      <c r="AH67" s="305" t="b">
        <f t="shared" ref="AH67:AH70" si="29">INT(AG67)=0</f>
        <v>0</v>
      </c>
      <c r="AI67" s="306"/>
    </row>
    <row r="68" spans="1:35" s="305" customFormat="1" x14ac:dyDescent="0.25">
      <c r="B68" s="314">
        <v>3</v>
      </c>
      <c r="C68" s="315" t="s">
        <v>12</v>
      </c>
      <c r="D68" s="291">
        <f>'Reversion Pagos R4'!D205</f>
        <v>-32310979.800000001</v>
      </c>
      <c r="E68" s="292">
        <f>'Reversion Pagos R4'!E205</f>
        <v>-2359230.8699999996</v>
      </c>
      <c r="F68" s="292">
        <f>'Reversion Pagos R4'!F205</f>
        <v>-1307200.31</v>
      </c>
      <c r="G68" s="292">
        <f>'Reversion Pagos R4'!G205</f>
        <v>-693108.36</v>
      </c>
      <c r="H68" s="292">
        <f>'Reversion Pagos R4'!H205</f>
        <v>-5641918.9700000007</v>
      </c>
      <c r="I68" s="292">
        <f>'Reversion Pagos R4'!I205</f>
        <v>-208676.79</v>
      </c>
      <c r="J68" s="288">
        <v>0</v>
      </c>
      <c r="K68" s="295">
        <f t="shared" si="25"/>
        <v>-22100844.5</v>
      </c>
      <c r="L68" s="294">
        <v>0</v>
      </c>
      <c r="M68" s="295">
        <f>K68-L68</f>
        <v>-22100844.5</v>
      </c>
      <c r="N68" s="294">
        <f>'Reversion Pagos R4'!P205</f>
        <v>0</v>
      </c>
      <c r="O68" s="295">
        <f t="shared" si="26"/>
        <v>-22100844.5</v>
      </c>
      <c r="Q68" s="306"/>
      <c r="S68" s="314">
        <v>3</v>
      </c>
      <c r="T68" s="315" t="s">
        <v>12</v>
      </c>
      <c r="U68" s="316">
        <f>'Reversion Pagos R4'!J205</f>
        <v>-1838013.6300000001</v>
      </c>
      <c r="V68" s="317">
        <f>'Reversion Pagos R4'!K205</f>
        <v>-1771126.01</v>
      </c>
      <c r="W68" s="317">
        <f>'Reversion Pagos R4'!L205</f>
        <v>-8312687.9100000001</v>
      </c>
      <c r="X68" s="317">
        <f>'Reversion Pagos R4'!M205</f>
        <v>-5496750.6600000001</v>
      </c>
      <c r="Y68" s="318">
        <f>'Reversion Pagos R4'!N205</f>
        <v>-342720.34</v>
      </c>
      <c r="Z68" s="319">
        <f t="shared" si="27"/>
        <v>0</v>
      </c>
      <c r="AA68" s="320">
        <f>'Reversion Pagos R4'!O205</f>
        <v>-128.57</v>
      </c>
      <c r="AB68" s="294">
        <f t="shared" si="28"/>
        <v>0</v>
      </c>
      <c r="AC68" s="320">
        <f>+'Reversion Pagos R4'!Q205+'Reversion Pagos R4'!R205</f>
        <v>0</v>
      </c>
      <c r="AD68" s="291">
        <f t="shared" ref="AD68:AD69" si="30">-J68+AE68</f>
        <v>-4339417.38</v>
      </c>
      <c r="AE68" s="291">
        <f>'Reversion Pagos R4'!D206</f>
        <v>-4339417.38</v>
      </c>
      <c r="AF68" s="322">
        <f t="shared" ref="AF68:AF70" si="31">SUM(U68:AD68)</f>
        <v>-22100844.5</v>
      </c>
      <c r="AG68" s="522">
        <f t="shared" ref="AG68:AG70" si="32">(AF68-O68)</f>
        <v>0</v>
      </c>
      <c r="AH68" s="305" t="b">
        <f t="shared" si="29"/>
        <v>1</v>
      </c>
      <c r="AI68" s="306"/>
    </row>
    <row r="69" spans="1:35" s="305" customFormat="1" x14ac:dyDescent="0.25">
      <c r="B69" s="314">
        <v>4</v>
      </c>
      <c r="C69" s="315" t="s">
        <v>13</v>
      </c>
      <c r="D69" s="291">
        <f>'Reversion Pagos R4'!D320</f>
        <v>-33738104.229999997</v>
      </c>
      <c r="E69" s="292">
        <f>'Reversion Pagos R4'!E320</f>
        <v>-3280830.15</v>
      </c>
      <c r="F69" s="292">
        <f>'Reversion Pagos R4'!F320</f>
        <v>-1653570.31</v>
      </c>
      <c r="G69" s="292">
        <f>'Reversion Pagos R4'!G320</f>
        <v>-772414.51</v>
      </c>
      <c r="H69" s="292">
        <f>'Reversion Pagos R4'!H320</f>
        <v>-6809335.5</v>
      </c>
      <c r="I69" s="292">
        <f>'Reversion Pagos R4'!I320</f>
        <v>-246830.89</v>
      </c>
      <c r="J69" s="288">
        <v>0</v>
      </c>
      <c r="K69" s="295">
        <f t="shared" si="25"/>
        <v>-20975122.869999997</v>
      </c>
      <c r="L69" s="294">
        <v>0</v>
      </c>
      <c r="M69" s="295">
        <f>K69-L69</f>
        <v>-20975122.869999997</v>
      </c>
      <c r="N69" s="294">
        <f>'Reversion Pagos R4'!P320</f>
        <v>0</v>
      </c>
      <c r="O69" s="295">
        <f t="shared" si="26"/>
        <v>-20975122.869999997</v>
      </c>
      <c r="Q69" s="306"/>
      <c r="S69" s="314">
        <v>4</v>
      </c>
      <c r="T69" s="315" t="s">
        <v>13</v>
      </c>
      <c r="U69" s="316">
        <f>'Reversion Pagos R4'!J320</f>
        <v>-2175989.73</v>
      </c>
      <c r="V69" s="317">
        <f>'Reversion Pagos R4'!K320</f>
        <v>-2281434.71</v>
      </c>
      <c r="W69" s="317">
        <f>'Reversion Pagos R4'!L320</f>
        <v>-10508486.24</v>
      </c>
      <c r="X69" s="317">
        <f>'Reversion Pagos R4'!M320</f>
        <v>-8690898.2599999998</v>
      </c>
      <c r="Y69" s="318">
        <f>'Reversion Pagos R4'!N320</f>
        <v>-404523.79</v>
      </c>
      <c r="Z69" s="319">
        <f t="shared" si="27"/>
        <v>0</v>
      </c>
      <c r="AA69" s="320">
        <f>'Reversion Pagos R4'!O320</f>
        <v>-1.2999999999999972</v>
      </c>
      <c r="AB69" s="294">
        <f t="shared" si="28"/>
        <v>0</v>
      </c>
      <c r="AC69" s="320">
        <f>+'Reversion Pagos R4'!Q320+'Reversion Pagos R4'!R320</f>
        <v>-0.28999999999999998</v>
      </c>
      <c r="AD69" s="291">
        <f t="shared" si="30"/>
        <v>3086211.4499999997</v>
      </c>
      <c r="AE69" s="291">
        <f>'Reversion Pagos R4'!D321</f>
        <v>3086211.4499999997</v>
      </c>
      <c r="AF69" s="322">
        <f>SUM(U69:AD69)</f>
        <v>-20975122.869999997</v>
      </c>
      <c r="AG69" s="522">
        <f>(AF69-O69)</f>
        <v>0</v>
      </c>
      <c r="AH69" s="305" t="b">
        <f t="shared" si="29"/>
        <v>1</v>
      </c>
      <c r="AI69" s="306"/>
    </row>
    <row r="70" spans="1:35" s="305" customFormat="1" ht="12" thickBot="1" x14ac:dyDescent="0.3">
      <c r="B70" s="324">
        <v>5</v>
      </c>
      <c r="C70" s="325" t="s">
        <v>14</v>
      </c>
      <c r="D70" s="296">
        <f>'Reversion Pagos R4'!D355</f>
        <v>-3092375.53</v>
      </c>
      <c r="E70" s="297">
        <f>'Reversion Pagos R4'!E355</f>
        <v>-204651.35</v>
      </c>
      <c r="F70" s="297">
        <f>'Reversion Pagos R4'!F355</f>
        <v>-114062.66</v>
      </c>
      <c r="G70" s="297">
        <f>'Reversion Pagos R4'!G355</f>
        <v>-59426.1</v>
      </c>
      <c r="H70" s="297">
        <f>'Reversion Pagos R4'!H355</f>
        <v>-755065.41999999993</v>
      </c>
      <c r="I70" s="297">
        <f>'Reversion Pagos R4'!I355</f>
        <v>-27250.92</v>
      </c>
      <c r="J70" s="289">
        <v>0</v>
      </c>
      <c r="K70" s="295">
        <f t="shared" si="25"/>
        <v>-1931919.0799999996</v>
      </c>
      <c r="L70" s="294">
        <v>0</v>
      </c>
      <c r="M70" s="298">
        <f>K70-L70</f>
        <v>-1931919.0799999996</v>
      </c>
      <c r="N70" s="294">
        <f>'Reversion Pagos R4'!P355</f>
        <v>0</v>
      </c>
      <c r="O70" s="298">
        <f t="shared" si="26"/>
        <v>-1931919.0799999996</v>
      </c>
      <c r="Q70" s="306"/>
      <c r="S70" s="324">
        <v>5</v>
      </c>
      <c r="T70" s="325" t="s">
        <v>14</v>
      </c>
      <c r="U70" s="296">
        <f>'Reversion Pagos R4'!J355</f>
        <v>-239043.97000000003</v>
      </c>
      <c r="V70" s="297">
        <f>'Reversion Pagos R4'!K355</f>
        <v>-246114.56</v>
      </c>
      <c r="W70" s="297">
        <f>'Reversion Pagos R4'!L355</f>
        <v>-1258305.7000000002</v>
      </c>
      <c r="X70" s="297">
        <f>'Reversion Pagos R4'!M355</f>
        <v>-604168.65999999992</v>
      </c>
      <c r="Y70" s="289">
        <f>'Reversion Pagos R4'!N355</f>
        <v>-44461.78</v>
      </c>
      <c r="Z70" s="319">
        <f t="shared" si="27"/>
        <v>0</v>
      </c>
      <c r="AA70" s="320">
        <f>'Reversion Pagos R4'!O355</f>
        <v>-2.5600000000000005</v>
      </c>
      <c r="AB70" s="294">
        <f t="shared" si="28"/>
        <v>0</v>
      </c>
      <c r="AC70" s="320">
        <f>+'Reversion Pagos R4'!Q355+'Reversion Pagos R4'!R355</f>
        <v>0</v>
      </c>
      <c r="AD70" s="291">
        <f>-J70+AE70</f>
        <v>460178.15</v>
      </c>
      <c r="AE70" s="291">
        <f>'Reversion Pagos R4'!D356</f>
        <v>460178.15</v>
      </c>
      <c r="AF70" s="322">
        <f t="shared" si="31"/>
        <v>-1931919.08</v>
      </c>
      <c r="AG70" s="523">
        <f t="shared" si="32"/>
        <v>-4.6566128730773926E-10</v>
      </c>
      <c r="AH70" s="305" t="b">
        <f t="shared" si="29"/>
        <v>0</v>
      </c>
      <c r="AI70" s="306"/>
    </row>
    <row r="71" spans="1:35" s="305" customFormat="1" ht="13.5" thickBot="1" x14ac:dyDescent="0.35">
      <c r="B71" s="327"/>
      <c r="C71" s="328" t="s">
        <v>2</v>
      </c>
      <c r="D71" s="290">
        <f t="shared" ref="D71:O71" si="33">SUM(D66:D70)</f>
        <v>-156747931.65000001</v>
      </c>
      <c r="E71" s="290">
        <f t="shared" si="33"/>
        <v>-22568475.98</v>
      </c>
      <c r="F71" s="290">
        <f t="shared" si="33"/>
        <v>-10927711.75</v>
      </c>
      <c r="G71" s="290">
        <f t="shared" ref="G71" si="34">SUM(G66:G70)</f>
        <v>-5814176.8499999996</v>
      </c>
      <c r="H71" s="290">
        <f t="shared" si="33"/>
        <v>-20545989.630000003</v>
      </c>
      <c r="I71" s="290">
        <f t="shared" si="33"/>
        <v>-747388.07000000007</v>
      </c>
      <c r="J71" s="290">
        <f t="shared" si="33"/>
        <v>0</v>
      </c>
      <c r="K71" s="300">
        <f t="shared" si="33"/>
        <v>-96144189.36999999</v>
      </c>
      <c r="L71" s="301">
        <f t="shared" si="33"/>
        <v>0</v>
      </c>
      <c r="M71" s="302">
        <f t="shared" si="33"/>
        <v>-96144189.36999999</v>
      </c>
      <c r="N71" s="301">
        <f t="shared" si="33"/>
        <v>0</v>
      </c>
      <c r="O71" s="302">
        <f t="shared" si="33"/>
        <v>-96144189.36999999</v>
      </c>
      <c r="P71" s="329"/>
      <c r="Q71" s="306"/>
      <c r="S71" s="327"/>
      <c r="T71" s="328" t="s">
        <v>2</v>
      </c>
      <c r="U71" s="330">
        <f>SUM(U66:U70)</f>
        <v>-6605814.3799999999</v>
      </c>
      <c r="V71" s="330">
        <f t="shared" ref="V71:AF71" si="35">SUM(V66:V70)</f>
        <v>-6607232.419999999</v>
      </c>
      <c r="W71" s="330">
        <f t="shared" si="35"/>
        <v>-30776419.849999998</v>
      </c>
      <c r="X71" s="330">
        <f t="shared" si="35"/>
        <v>-49285206.960000001</v>
      </c>
      <c r="Y71" s="330">
        <f t="shared" si="35"/>
        <v>-1224099.24</v>
      </c>
      <c r="Z71" s="290">
        <f t="shared" si="35"/>
        <v>0</v>
      </c>
      <c r="AA71" s="290">
        <f>SUM(AA66:AA70)</f>
        <v>-3.3999999999999897</v>
      </c>
      <c r="AB71" s="290">
        <f t="shared" si="35"/>
        <v>0</v>
      </c>
      <c r="AC71" s="290">
        <f t="shared" ref="AC71" si="36">SUM(AC66:AC70)</f>
        <v>-0.28999999999999998</v>
      </c>
      <c r="AD71" s="290">
        <f>SUM(AD66:AD70)</f>
        <v>-1645412.83</v>
      </c>
      <c r="AE71" s="290">
        <f>SUM(AE66:AE70)</f>
        <v>-1645412.83</v>
      </c>
      <c r="AF71" s="331">
        <f t="shared" si="35"/>
        <v>-96144189.36999999</v>
      </c>
      <c r="AG71" s="524">
        <f t="shared" ref="AG71" si="37">SUM(AG66:AG70)</f>
        <v>-1.5366822481155396E-8</v>
      </c>
      <c r="AH71" s="305" t="b">
        <f>INT(AG71)=0</f>
        <v>0</v>
      </c>
      <c r="AI71" s="306"/>
    </row>
    <row r="72" spans="1:35" ht="12" thickBot="1" x14ac:dyDescent="0.3">
      <c r="B72" s="2"/>
      <c r="C72" s="2"/>
      <c r="D72" s="24"/>
      <c r="E72" s="24"/>
      <c r="F72" s="24"/>
      <c r="G72" s="24"/>
      <c r="H72" s="24"/>
      <c r="I72" s="24"/>
      <c r="K72" s="24"/>
      <c r="L72" s="24"/>
      <c r="M72" s="24"/>
      <c r="N72" s="24"/>
      <c r="O72" s="24"/>
      <c r="Q72" s="4"/>
      <c r="S72" s="2"/>
      <c r="T72" s="2"/>
      <c r="U72" s="24"/>
      <c r="V72" s="24"/>
      <c r="W72" s="24"/>
      <c r="X72" s="24"/>
      <c r="Y72" s="24"/>
      <c r="AF72" s="24"/>
      <c r="AI72" s="4"/>
    </row>
    <row r="73" spans="1:35" ht="12" thickBot="1" x14ac:dyDescent="0.3">
      <c r="B73" s="2"/>
      <c r="C73" s="2"/>
      <c r="D73" s="24" t="s">
        <v>1</v>
      </c>
      <c r="E73" s="24"/>
      <c r="F73" s="24"/>
      <c r="G73" s="24"/>
      <c r="H73" s="24"/>
      <c r="I73" s="24"/>
      <c r="K73" s="24"/>
      <c r="L73" s="24"/>
      <c r="M73" s="24"/>
      <c r="N73" s="24"/>
      <c r="O73" s="24"/>
      <c r="Q73" s="4"/>
      <c r="Y73" s="86">
        <f>SUM(U71:Y71)</f>
        <v>-94498772.849999994</v>
      </c>
      <c r="AA73" s="1" t="s">
        <v>1</v>
      </c>
      <c r="AB73" s="1" t="s">
        <v>1</v>
      </c>
      <c r="AD73" s="1" t="s">
        <v>1</v>
      </c>
      <c r="AF73" s="1" t="s">
        <v>1</v>
      </c>
      <c r="AI73" s="4"/>
    </row>
    <row r="74" spans="1:35" ht="12" thickBot="1" x14ac:dyDescent="0.3">
      <c r="B74" s="2"/>
      <c r="C74" s="2"/>
      <c r="D74" s="24" t="s">
        <v>1</v>
      </c>
      <c r="E74" s="33"/>
      <c r="F74" s="33"/>
      <c r="G74" s="33"/>
      <c r="H74" s="33"/>
      <c r="I74" s="24"/>
      <c r="K74" s="24"/>
      <c r="L74" s="24"/>
      <c r="M74" s="24"/>
      <c r="N74" s="24"/>
      <c r="O74" s="24"/>
      <c r="Q74" s="4"/>
      <c r="AI74" s="4"/>
    </row>
    <row r="75" spans="1:35" x14ac:dyDescent="0.25">
      <c r="B75" s="2"/>
      <c r="C75" s="2"/>
      <c r="D75" s="24" t="s">
        <v>1</v>
      </c>
      <c r="E75" s="24" t="s">
        <v>1</v>
      </c>
      <c r="F75" s="24" t="s">
        <v>25</v>
      </c>
      <c r="G75" s="24"/>
      <c r="H75" s="24"/>
      <c r="I75" s="24"/>
      <c r="K75" s="24"/>
      <c r="L75" s="24"/>
      <c r="M75" s="24"/>
      <c r="N75" s="24"/>
      <c r="O75" s="24"/>
      <c r="Q75" s="4"/>
      <c r="AI75" s="4"/>
    </row>
    <row r="76" spans="1:35" x14ac:dyDescent="0.25">
      <c r="A76" s="4"/>
      <c r="B76" s="34"/>
      <c r="C76" s="34"/>
      <c r="D76" s="35"/>
      <c r="E76" s="35"/>
      <c r="F76" s="35"/>
      <c r="G76" s="35"/>
      <c r="H76" s="35"/>
      <c r="I76" s="35"/>
      <c r="J76" s="4"/>
      <c r="K76" s="35"/>
      <c r="L76" s="35"/>
      <c r="M76" s="35"/>
      <c r="N76" s="35"/>
      <c r="O76" s="35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  <c r="AE76" s="4"/>
      <c r="AF76" s="4"/>
      <c r="AG76" s="274"/>
      <c r="AH76" s="4"/>
      <c r="AI76" s="4"/>
    </row>
    <row r="77" spans="1:35" ht="12" thickBot="1" x14ac:dyDescent="0.3">
      <c r="Q77" s="4"/>
      <c r="AI77" s="4"/>
    </row>
    <row r="78" spans="1:35" x14ac:dyDescent="0.25">
      <c r="B78" s="5"/>
      <c r="C78" s="3" t="s">
        <v>1</v>
      </c>
      <c r="D78" s="6" t="s">
        <v>1</v>
      </c>
      <c r="E78" s="3"/>
      <c r="F78" s="3"/>
      <c r="G78" s="3"/>
      <c r="H78" s="3" t="s">
        <v>1</v>
      </c>
      <c r="I78" s="3"/>
      <c r="J78" s="3"/>
      <c r="K78" s="3"/>
      <c r="L78" s="3"/>
      <c r="M78" s="3"/>
      <c r="N78" s="3"/>
      <c r="O78" s="7"/>
      <c r="P78" s="2"/>
      <c r="Q78" s="4"/>
      <c r="S78" s="5"/>
      <c r="T78" s="3" t="s">
        <v>1</v>
      </c>
      <c r="U78" s="6" t="s">
        <v>1</v>
      </c>
      <c r="V78" s="3"/>
      <c r="W78" s="3"/>
      <c r="X78" s="3" t="s">
        <v>1</v>
      </c>
      <c r="Y78" s="3"/>
      <c r="Z78" s="3"/>
      <c r="AA78" s="3"/>
      <c r="AB78" s="3"/>
      <c r="AC78" s="3"/>
      <c r="AD78" s="3"/>
      <c r="AE78" s="3"/>
      <c r="AF78" s="7"/>
      <c r="AG78" s="272"/>
      <c r="AI78" s="4"/>
    </row>
    <row r="79" spans="1:35" ht="14" x14ac:dyDescent="0.3">
      <c r="B79" s="8"/>
      <c r="F79" s="26" t="s">
        <v>8</v>
      </c>
      <c r="G79" s="26"/>
      <c r="I79" s="26" t="s">
        <v>16</v>
      </c>
      <c r="J79" s="25"/>
      <c r="M79" s="2" t="s">
        <v>15</v>
      </c>
      <c r="N79" s="50">
        <f>N3</f>
        <v>2026072</v>
      </c>
      <c r="O79" s="10"/>
      <c r="P79" s="2"/>
      <c r="Q79" s="4"/>
      <c r="S79" s="8"/>
      <c r="U79" s="26" t="s">
        <v>8</v>
      </c>
      <c r="W79" s="26" t="s">
        <v>16</v>
      </c>
      <c r="X79" s="25"/>
      <c r="Y79" s="2"/>
      <c r="AA79" s="2" t="s">
        <v>15</v>
      </c>
      <c r="AD79" s="84">
        <f>N79</f>
        <v>2026072</v>
      </c>
      <c r="AE79" s="84"/>
      <c r="AF79" s="48"/>
      <c r="AG79" s="272"/>
      <c r="AI79" s="4"/>
    </row>
    <row r="80" spans="1:35" ht="15.5" x14ac:dyDescent="0.35">
      <c r="B80" s="8"/>
      <c r="F80" s="36" t="s">
        <v>29</v>
      </c>
      <c r="G80" s="36"/>
      <c r="O80" s="10"/>
      <c r="P80" s="2"/>
      <c r="Q80" s="4"/>
      <c r="S80" s="8"/>
      <c r="T80" s="26" t="s">
        <v>1</v>
      </c>
      <c r="U80" s="36" t="s">
        <v>29</v>
      </c>
      <c r="Y80" s="2" t="s">
        <v>1</v>
      </c>
      <c r="AA80" s="50" t="s">
        <v>1</v>
      </c>
      <c r="AB80" s="2"/>
      <c r="AC80" s="2"/>
      <c r="AD80" s="2"/>
      <c r="AE80" s="2"/>
      <c r="AF80" s="10" t="s">
        <v>1</v>
      </c>
      <c r="AG80" s="272"/>
      <c r="AI80" s="4"/>
    </row>
    <row r="81" spans="1:35" ht="14" x14ac:dyDescent="0.3">
      <c r="B81" s="8"/>
      <c r="F81" s="2" t="s">
        <v>30</v>
      </c>
      <c r="G81" s="2"/>
      <c r="M81" s="2" t="s">
        <v>1</v>
      </c>
      <c r="O81" s="10"/>
      <c r="P81" s="2"/>
      <c r="Q81" s="4"/>
      <c r="S81" s="8"/>
      <c r="T81" s="49" t="s">
        <v>1</v>
      </c>
      <c r="U81" s="2" t="s">
        <v>30</v>
      </c>
      <c r="AF81" s="44"/>
      <c r="AG81" s="272"/>
      <c r="AI81" s="4"/>
    </row>
    <row r="82" spans="1:35" ht="15.5" x14ac:dyDescent="0.35">
      <c r="B82" s="8"/>
      <c r="C82" s="599" t="s">
        <v>17</v>
      </c>
      <c r="D82" s="9">
        <f>D6</f>
        <v>46238</v>
      </c>
      <c r="F82" s="41" t="s">
        <v>126</v>
      </c>
      <c r="G82" s="41"/>
      <c r="H82" s="2"/>
      <c r="J82" s="2"/>
      <c r="O82" s="10"/>
      <c r="P82" s="2"/>
      <c r="Q82" s="4"/>
      <c r="S82" s="8"/>
      <c r="T82" s="41" t="s">
        <v>1</v>
      </c>
      <c r="U82" s="41" t="str">
        <f>F82</f>
        <v>R5 - REMUNERACIÓN SALDOS A FAVOR POR NOTA</v>
      </c>
      <c r="V82" s="2"/>
      <c r="X82" s="2"/>
      <c r="Y82" s="2"/>
      <c r="AF82" s="48"/>
      <c r="AG82" s="272"/>
      <c r="AI82" s="4"/>
    </row>
    <row r="83" spans="1:35" ht="12" thickBot="1" x14ac:dyDescent="0.3">
      <c r="B83" s="8"/>
      <c r="C83" s="599" t="s">
        <v>0</v>
      </c>
      <c r="D83" s="241">
        <f>D7</f>
        <v>0.58333333333333337</v>
      </c>
      <c r="F83" s="2" t="s">
        <v>27</v>
      </c>
      <c r="G83" s="9">
        <f>G7</f>
        <v>46219</v>
      </c>
      <c r="J83" s="2" t="s">
        <v>28</v>
      </c>
      <c r="K83" s="9">
        <f>K7</f>
        <v>46234</v>
      </c>
      <c r="O83" s="10"/>
      <c r="P83" s="2"/>
      <c r="Q83" s="4"/>
      <c r="S83" s="8"/>
      <c r="U83" s="1" t="str">
        <f>F83</f>
        <v>Fecha Desde:</v>
      </c>
      <c r="V83" s="9">
        <f>G83</f>
        <v>46219</v>
      </c>
      <c r="W83" s="1" t="s">
        <v>1</v>
      </c>
      <c r="X83" s="1" t="str">
        <f>J83</f>
        <v>Feha Hasta:</v>
      </c>
      <c r="Y83" s="9">
        <f>K83</f>
        <v>46234</v>
      </c>
      <c r="Z83" s="1" t="s">
        <v>1</v>
      </c>
      <c r="AF83" s="48"/>
      <c r="AG83" s="272"/>
      <c r="AI83" s="4"/>
    </row>
    <row r="84" spans="1:35" ht="72" customHeight="1" thickBot="1" x14ac:dyDescent="0.3">
      <c r="B84" s="11" t="s">
        <v>3</v>
      </c>
      <c r="C84" s="27" t="s">
        <v>9</v>
      </c>
      <c r="D84" s="11" t="s">
        <v>4</v>
      </c>
      <c r="E84" s="12" t="s">
        <v>5</v>
      </c>
      <c r="F84" s="27" t="s">
        <v>6</v>
      </c>
      <c r="G84" s="27" t="s">
        <v>159</v>
      </c>
      <c r="H84" s="27" t="s">
        <v>18</v>
      </c>
      <c r="I84" s="12" t="s">
        <v>24</v>
      </c>
      <c r="J84" s="73" t="s">
        <v>19</v>
      </c>
      <c r="K84" s="29" t="s">
        <v>20</v>
      </c>
      <c r="L84" s="28" t="s">
        <v>21</v>
      </c>
      <c r="M84" s="39" t="s">
        <v>22</v>
      </c>
      <c r="N84" s="12" t="s">
        <v>7</v>
      </c>
      <c r="O84" s="39" t="s">
        <v>23</v>
      </c>
      <c r="P84" s="13"/>
      <c r="Q84" s="4"/>
      <c r="S84" s="11" t="s">
        <v>3</v>
      </c>
      <c r="T84" s="27" t="s">
        <v>9</v>
      </c>
      <c r="U84" s="162" t="s">
        <v>39</v>
      </c>
      <c r="V84" s="163" t="s">
        <v>40</v>
      </c>
      <c r="W84" s="163" t="s">
        <v>41</v>
      </c>
      <c r="X84" s="163" t="s">
        <v>42</v>
      </c>
      <c r="Y84" s="164" t="s">
        <v>43</v>
      </c>
      <c r="Z84" s="85" t="s">
        <v>21</v>
      </c>
      <c r="AA84" s="65" t="s">
        <v>46</v>
      </c>
      <c r="AB84" s="607" t="s">
        <v>7</v>
      </c>
      <c r="AC84" s="65" t="s">
        <v>168</v>
      </c>
      <c r="AD84" s="573" t="s">
        <v>105</v>
      </c>
      <c r="AE84" s="121" t="s">
        <v>104</v>
      </c>
      <c r="AF84" s="39" t="s">
        <v>23</v>
      </c>
      <c r="AG84" s="273"/>
      <c r="AI84" s="4"/>
    </row>
    <row r="85" spans="1:35" s="305" customFormat="1" x14ac:dyDescent="0.25">
      <c r="B85" s="303">
        <v>1</v>
      </c>
      <c r="C85" s="304" t="s">
        <v>10</v>
      </c>
      <c r="D85" s="291">
        <f>'AJUSTES - SF-T'!D47</f>
        <v>973693.46</v>
      </c>
      <c r="E85" s="292">
        <f>'AJUSTES - SF-T'!E47</f>
        <v>65524.22</v>
      </c>
      <c r="F85" s="292">
        <f>'AJUSTES - SF-T'!F47</f>
        <v>36995.019999999997</v>
      </c>
      <c r="G85" s="292">
        <f>'AJUSTES - SF-T'!G47</f>
        <v>19417.650000000001</v>
      </c>
      <c r="H85" s="292">
        <f>'AJUSTES - SF-T'!H47</f>
        <v>156624.35</v>
      </c>
      <c r="I85" s="292">
        <f>'AJUSTES - SF-T'!I47</f>
        <v>5557.5</v>
      </c>
      <c r="J85" s="288">
        <f>'AJUSTES - SF-T'!J47</f>
        <v>0</v>
      </c>
      <c r="K85" s="293">
        <f>D85-E85-F85-G85-H85-I85-J85</f>
        <v>689574.72</v>
      </c>
      <c r="L85" s="294">
        <v>0</v>
      </c>
      <c r="M85" s="293">
        <f>K85-L85</f>
        <v>689574.72</v>
      </c>
      <c r="N85" s="294">
        <f>'AJUSTES - SF-T'!N47</f>
        <v>0</v>
      </c>
      <c r="O85" s="293">
        <f>M85+N85</f>
        <v>689574.72</v>
      </c>
      <c r="Q85" s="306"/>
      <c r="S85" s="303">
        <v>1</v>
      </c>
      <c r="T85" s="304" t="s">
        <v>10</v>
      </c>
      <c r="U85" s="307">
        <f>'AJUSTES - SF-T'!U47</f>
        <v>52109.79</v>
      </c>
      <c r="V85" s="308">
        <f>'AJUSTES - SF-T'!V47</f>
        <v>47607.03</v>
      </c>
      <c r="W85" s="308">
        <f>'AJUSTES - SF-T'!W47</f>
        <v>225441.17</v>
      </c>
      <c r="X85" s="308">
        <f>'AJUSTES - SF-T'!X47</f>
        <v>178429.31</v>
      </c>
      <c r="Y85" s="309">
        <f>'AJUSTES - SF-T'!Y47</f>
        <v>9067.43</v>
      </c>
      <c r="Z85" s="310">
        <f>-L85</f>
        <v>0</v>
      </c>
      <c r="AA85" s="311">
        <f>'AJUSTES - SF-T'!AA47</f>
        <v>0</v>
      </c>
      <c r="AB85" s="294">
        <f>N85</f>
        <v>0</v>
      </c>
      <c r="AC85" s="311">
        <v>0</v>
      </c>
      <c r="AD85" s="605">
        <f>-J85+AE85</f>
        <v>176919.99</v>
      </c>
      <c r="AE85" s="291">
        <f>'AJUSTES - SF-T'!AD47</f>
        <v>176919.99</v>
      </c>
      <c r="AF85" s="313">
        <f>SUM(U85:AD85)</f>
        <v>689574.72</v>
      </c>
      <c r="AG85" s="521">
        <f>AF85-O85</f>
        <v>0</v>
      </c>
      <c r="AH85" s="305" t="b">
        <f>INT(AG85)=0</f>
        <v>1</v>
      </c>
      <c r="AI85" s="306"/>
    </row>
    <row r="86" spans="1:35" s="305" customFormat="1" x14ac:dyDescent="0.25">
      <c r="B86" s="314">
        <v>2</v>
      </c>
      <c r="C86" s="315" t="s">
        <v>11</v>
      </c>
      <c r="D86" s="291">
        <f>'AJUSTES - SF-T'!D48</f>
        <v>216025.77</v>
      </c>
      <c r="E86" s="292">
        <f>'AJUSTES - SF-T'!E48</f>
        <v>31897.62</v>
      </c>
      <c r="F86" s="292">
        <f>'AJUSTES - SF-T'!F48</f>
        <v>18572.91</v>
      </c>
      <c r="G86" s="292">
        <f>'AJUSTES - SF-T'!G48</f>
        <v>8867.14</v>
      </c>
      <c r="H86" s="292">
        <f>'AJUSTES - SF-T'!H48</f>
        <v>92959.49</v>
      </c>
      <c r="I86" s="292">
        <f>'AJUSTES - SF-T'!I48</f>
        <v>3883.88</v>
      </c>
      <c r="J86" s="288">
        <f>'AJUSTES - SF-T'!J48</f>
        <v>0</v>
      </c>
      <c r="K86" s="295">
        <f t="shared" ref="K86:K89" si="38">D86-E86-F86-G86-H86-I86-J86</f>
        <v>59844.729999999974</v>
      </c>
      <c r="L86" s="294">
        <v>0</v>
      </c>
      <c r="M86" s="295">
        <f>K86-L86</f>
        <v>59844.729999999974</v>
      </c>
      <c r="N86" s="294">
        <f>'AJUSTES - SF-T'!N48</f>
        <v>0</v>
      </c>
      <c r="O86" s="295">
        <f t="shared" ref="O86:O89" si="39">M86+N86</f>
        <v>59844.729999999974</v>
      </c>
      <c r="Q86" s="306"/>
      <c r="S86" s="314">
        <v>2</v>
      </c>
      <c r="T86" s="315" t="s">
        <v>11</v>
      </c>
      <c r="U86" s="316">
        <f>'AJUSTES - SF-T'!U48</f>
        <v>61358.09</v>
      </c>
      <c r="V86" s="317">
        <f>'AJUSTES - SF-T'!V48</f>
        <v>33534.01</v>
      </c>
      <c r="W86" s="317">
        <f>'AJUSTES - SF-T'!W48</f>
        <v>127815.87</v>
      </c>
      <c r="X86" s="317">
        <f>'AJUSTES - SF-T'!X48</f>
        <v>64515.32</v>
      </c>
      <c r="Y86" s="318">
        <f>'AJUSTES - SF-T'!Y48</f>
        <v>5139.92</v>
      </c>
      <c r="Z86" s="319">
        <f>-L86</f>
        <v>0</v>
      </c>
      <c r="AA86" s="320">
        <f>'AJUSTES - SF-T'!AA48</f>
        <v>-0.36</v>
      </c>
      <c r="AB86" s="294">
        <f>N86</f>
        <v>0</v>
      </c>
      <c r="AC86" s="606">
        <v>0</v>
      </c>
      <c r="AD86" s="605">
        <f t="shared" ref="AD86:AD89" si="40">-J86+AE86</f>
        <v>-232518.12</v>
      </c>
      <c r="AE86" s="291">
        <f>'AJUSTES - SF-T'!AD48</f>
        <v>-232518.12</v>
      </c>
      <c r="AF86" s="322">
        <f>SUM(U86:AD86)</f>
        <v>59844.729999999981</v>
      </c>
      <c r="AG86" s="522">
        <f>AF86-O86</f>
        <v>0</v>
      </c>
      <c r="AH86" s="305" t="b">
        <f t="shared" ref="AH86:AH89" si="41">INT(AG86)=0</f>
        <v>1</v>
      </c>
      <c r="AI86" s="306"/>
    </row>
    <row r="87" spans="1:35" s="305" customFormat="1" x14ac:dyDescent="0.25">
      <c r="B87" s="314">
        <v>3</v>
      </c>
      <c r="C87" s="315" t="s">
        <v>12</v>
      </c>
      <c r="D87" s="291">
        <f>'AJUSTES - SF-T'!D49</f>
        <v>104231.83</v>
      </c>
      <c r="E87" s="292">
        <f>'AJUSTES - SF-T'!E49</f>
        <v>6620.63</v>
      </c>
      <c r="F87" s="292">
        <f>'AJUSTES - SF-T'!F49</f>
        <v>3738.02</v>
      </c>
      <c r="G87" s="292">
        <f>'AJUSTES - SF-T'!G49</f>
        <v>1961.98</v>
      </c>
      <c r="H87" s="292">
        <f>'AJUSTES - SF-T'!H49</f>
        <v>20927.5</v>
      </c>
      <c r="I87" s="292">
        <f>'AJUSTES - SF-T'!I49</f>
        <v>743.08</v>
      </c>
      <c r="J87" s="288">
        <f>'AJUSTES - SF-T'!J49</f>
        <v>0</v>
      </c>
      <c r="K87" s="295">
        <f t="shared" si="38"/>
        <v>70240.62</v>
      </c>
      <c r="L87" s="294">
        <v>0</v>
      </c>
      <c r="M87" s="295">
        <f>K87-L87</f>
        <v>70240.62</v>
      </c>
      <c r="N87" s="294">
        <f>'AJUSTES - SF-T'!N49</f>
        <v>0</v>
      </c>
      <c r="O87" s="295">
        <f t="shared" si="39"/>
        <v>70240.62</v>
      </c>
      <c r="Q87" s="306"/>
      <c r="S87" s="314">
        <v>3</v>
      </c>
      <c r="T87" s="315" t="s">
        <v>12</v>
      </c>
      <c r="U87" s="316">
        <f>'AJUSTES - SF-T'!U49</f>
        <v>6518.28</v>
      </c>
      <c r="V87" s="317">
        <f>'AJUSTES - SF-T'!V49</f>
        <v>6410.86</v>
      </c>
      <c r="W87" s="317">
        <f>'AJUSTES - SF-T'!W49</f>
        <v>30349.1</v>
      </c>
      <c r="X87" s="317">
        <f>'AJUSTES - SF-T'!X49</f>
        <v>15383.1</v>
      </c>
      <c r="Y87" s="318">
        <f>'AJUSTES - SF-T'!Y49</f>
        <v>1212.4000000000001</v>
      </c>
      <c r="Z87" s="319">
        <f>-L87</f>
        <v>0</v>
      </c>
      <c r="AA87" s="320">
        <f>'AJUSTES - SF-T'!AA49</f>
        <v>0</v>
      </c>
      <c r="AB87" s="294">
        <f>N87</f>
        <v>0</v>
      </c>
      <c r="AC87" s="323">
        <v>0</v>
      </c>
      <c r="AD87" s="605">
        <f t="shared" si="40"/>
        <v>10366.879999999999</v>
      </c>
      <c r="AE87" s="291">
        <f>'AJUSTES - SF-T'!AD49</f>
        <v>10366.879999999999</v>
      </c>
      <c r="AF87" s="322">
        <f t="shared" ref="AF87:AF89" si="42">SUM(U87:AD87)</f>
        <v>70240.62</v>
      </c>
      <c r="AG87" s="522">
        <f>AF87-O87</f>
        <v>0</v>
      </c>
      <c r="AH87" s="305" t="b">
        <f t="shared" si="41"/>
        <v>1</v>
      </c>
      <c r="AI87" s="306"/>
    </row>
    <row r="88" spans="1:35" s="305" customFormat="1" x14ac:dyDescent="0.25">
      <c r="B88" s="314">
        <v>4</v>
      </c>
      <c r="C88" s="315" t="s">
        <v>13</v>
      </c>
      <c r="D88" s="291">
        <f>'AJUSTES - SF-T'!D50</f>
        <v>35954.44</v>
      </c>
      <c r="E88" s="292">
        <f>'AJUSTES - SF-T'!E50</f>
        <v>1890.6</v>
      </c>
      <c r="F88" s="292">
        <f>'AJUSTES - SF-T'!F50</f>
        <v>1067.43</v>
      </c>
      <c r="G88" s="292">
        <f>'AJUSTES - SF-T'!G50</f>
        <v>560.27</v>
      </c>
      <c r="H88" s="292">
        <f>'AJUSTES - SF-T'!H50</f>
        <v>10800.02</v>
      </c>
      <c r="I88" s="292">
        <f>'AJUSTES - SF-T'!I50</f>
        <v>371.66</v>
      </c>
      <c r="J88" s="288">
        <f>'AJUSTES - SF-T'!J50</f>
        <v>0</v>
      </c>
      <c r="K88" s="295">
        <f t="shared" si="38"/>
        <v>21264.460000000003</v>
      </c>
      <c r="L88" s="294">
        <v>0</v>
      </c>
      <c r="M88" s="295">
        <f>K88-L88</f>
        <v>21264.460000000003</v>
      </c>
      <c r="N88" s="294">
        <f>'AJUSTES - SF-T'!N50</f>
        <v>0</v>
      </c>
      <c r="O88" s="295">
        <f t="shared" si="39"/>
        <v>21264.460000000003</v>
      </c>
      <c r="Q88" s="306"/>
      <c r="S88" s="314">
        <v>4</v>
      </c>
      <c r="T88" s="315" t="s">
        <v>13</v>
      </c>
      <c r="U88" s="316">
        <f>'AJUSTES - SF-T'!U50</f>
        <v>3260.18</v>
      </c>
      <c r="V88" s="317">
        <f>'AJUSTES - SF-T'!V50</f>
        <v>3149.08</v>
      </c>
      <c r="W88" s="317">
        <f>'AJUSTES - SF-T'!W50</f>
        <v>15696.81</v>
      </c>
      <c r="X88" s="317">
        <f>'AJUSTES - SF-T'!X50</f>
        <v>5005.76</v>
      </c>
      <c r="Y88" s="318">
        <f>'AJUSTES - SF-T'!Y50</f>
        <v>606.39</v>
      </c>
      <c r="Z88" s="319">
        <f>-L88</f>
        <v>0</v>
      </c>
      <c r="AA88" s="320">
        <f>'AJUSTES - SF-T'!AA50</f>
        <v>0</v>
      </c>
      <c r="AB88" s="294">
        <f>N88</f>
        <v>0</v>
      </c>
      <c r="AC88" s="320">
        <v>0</v>
      </c>
      <c r="AD88" s="605">
        <f t="shared" si="40"/>
        <v>-6453.76</v>
      </c>
      <c r="AE88" s="291">
        <f>'AJUSTES - SF-T'!AD50</f>
        <v>-6453.76</v>
      </c>
      <c r="AF88" s="322">
        <f t="shared" si="42"/>
        <v>21264.46</v>
      </c>
      <c r="AG88" s="522">
        <f>AF88-O88</f>
        <v>0</v>
      </c>
      <c r="AH88" s="305" t="b">
        <f t="shared" si="41"/>
        <v>1</v>
      </c>
      <c r="AI88" s="306"/>
    </row>
    <row r="89" spans="1:35" s="305" customFormat="1" ht="12" thickBot="1" x14ac:dyDescent="0.3">
      <c r="B89" s="324">
        <v>5</v>
      </c>
      <c r="C89" s="325" t="s">
        <v>14</v>
      </c>
      <c r="D89" s="291">
        <f>'AJUSTES - SF-T'!D51</f>
        <v>0</v>
      </c>
      <c r="E89" s="292">
        <f>'AJUSTES - SF-T'!E51</f>
        <v>0</v>
      </c>
      <c r="F89" s="297">
        <f>'AJUSTES - SF-T'!F51</f>
        <v>0</v>
      </c>
      <c r="G89" s="297">
        <f>'AJUSTES - SF-T'!G51</f>
        <v>0</v>
      </c>
      <c r="H89" s="297">
        <f>'AJUSTES - SF-T'!H51</f>
        <v>0</v>
      </c>
      <c r="I89" s="297">
        <f>'AJUSTES - SF-T'!I51</f>
        <v>0</v>
      </c>
      <c r="J89" s="289">
        <f>'AJUSTES - SF-T'!J51</f>
        <v>0</v>
      </c>
      <c r="K89" s="295">
        <f t="shared" si="38"/>
        <v>0</v>
      </c>
      <c r="L89" s="294">
        <v>0</v>
      </c>
      <c r="M89" s="298">
        <f>K89-L89</f>
        <v>0</v>
      </c>
      <c r="N89" s="299">
        <f>'AJUSTES - SF-T'!N51</f>
        <v>0</v>
      </c>
      <c r="O89" s="298">
        <f t="shared" si="39"/>
        <v>0</v>
      </c>
      <c r="Q89" s="306"/>
      <c r="S89" s="324">
        <v>5</v>
      </c>
      <c r="T89" s="325" t="s">
        <v>14</v>
      </c>
      <c r="U89" s="296">
        <f>'AJUSTES - SF-T'!U51</f>
        <v>0</v>
      </c>
      <c r="V89" s="297">
        <f>'AJUSTES - SF-T'!V51</f>
        <v>0</v>
      </c>
      <c r="W89" s="297">
        <f>'AJUSTES - SF-T'!W51</f>
        <v>0</v>
      </c>
      <c r="X89" s="297">
        <f>'AJUSTES - SF-T'!X51</f>
        <v>0</v>
      </c>
      <c r="Y89" s="289">
        <f>'AJUSTES - SF-T'!Y51</f>
        <v>0</v>
      </c>
      <c r="Z89" s="319">
        <f>-L89</f>
        <v>0</v>
      </c>
      <c r="AA89" s="320">
        <f>'AJUSTES - SF-T'!AA51</f>
        <v>0</v>
      </c>
      <c r="AB89" s="294">
        <f>N89</f>
        <v>0</v>
      </c>
      <c r="AC89" s="323">
        <v>0</v>
      </c>
      <c r="AD89" s="605">
        <f t="shared" si="40"/>
        <v>0</v>
      </c>
      <c r="AE89" s="291">
        <f>'AJUSTES - SF-T'!AD51</f>
        <v>0</v>
      </c>
      <c r="AF89" s="322">
        <f t="shared" si="42"/>
        <v>0</v>
      </c>
      <c r="AG89" s="523">
        <f>AF89-O89</f>
        <v>0</v>
      </c>
      <c r="AH89" s="305" t="b">
        <f t="shared" si="41"/>
        <v>1</v>
      </c>
      <c r="AI89" s="306"/>
    </row>
    <row r="90" spans="1:35" s="305" customFormat="1" ht="13.5" thickBot="1" x14ac:dyDescent="0.35">
      <c r="B90" s="327"/>
      <c r="C90" s="328" t="s">
        <v>2</v>
      </c>
      <c r="D90" s="290">
        <f>SUM(D85:D89)</f>
        <v>1329905.5</v>
      </c>
      <c r="E90" s="290">
        <f t="shared" ref="E90:O90" si="43">SUM(E85:E89)</f>
        <v>105933.07</v>
      </c>
      <c r="F90" s="290">
        <f t="shared" si="43"/>
        <v>60373.37999999999</v>
      </c>
      <c r="G90" s="290">
        <f t="shared" ref="G90" si="44">SUM(G85:G89)</f>
        <v>30807.040000000001</v>
      </c>
      <c r="H90" s="290">
        <f t="shared" si="43"/>
        <v>281311.36000000004</v>
      </c>
      <c r="I90" s="290">
        <f t="shared" si="43"/>
        <v>10556.12</v>
      </c>
      <c r="J90" s="290">
        <f t="shared" si="43"/>
        <v>0</v>
      </c>
      <c r="K90" s="300">
        <f t="shared" si="43"/>
        <v>840924.52999999991</v>
      </c>
      <c r="L90" s="301">
        <f t="shared" si="43"/>
        <v>0</v>
      </c>
      <c r="M90" s="302">
        <f t="shared" si="43"/>
        <v>840924.52999999991</v>
      </c>
      <c r="N90" s="301">
        <f t="shared" si="43"/>
        <v>0</v>
      </c>
      <c r="O90" s="302">
        <f t="shared" si="43"/>
        <v>840924.52999999991</v>
      </c>
      <c r="P90" s="329"/>
      <c r="Q90" s="306"/>
      <c r="S90" s="327"/>
      <c r="T90" s="328" t="s">
        <v>2</v>
      </c>
      <c r="U90" s="330">
        <f>SUM(U85:U89)</f>
        <v>123246.34</v>
      </c>
      <c r="V90" s="330">
        <f t="shared" ref="V90:AG90" si="45">SUM(V85:V89)</f>
        <v>90700.98000000001</v>
      </c>
      <c r="W90" s="330">
        <f t="shared" si="45"/>
        <v>399302.95</v>
      </c>
      <c r="X90" s="330">
        <f t="shared" si="45"/>
        <v>263333.49</v>
      </c>
      <c r="Y90" s="330">
        <f t="shared" si="45"/>
        <v>16026.14</v>
      </c>
      <c r="Z90" s="290">
        <f t="shared" si="45"/>
        <v>0</v>
      </c>
      <c r="AA90" s="290">
        <f t="shared" si="45"/>
        <v>-0.36</v>
      </c>
      <c r="AB90" s="470">
        <f t="shared" si="45"/>
        <v>0</v>
      </c>
      <c r="AC90" s="290">
        <f t="shared" ref="AC90" si="46">SUM(AC85:AC89)</f>
        <v>0</v>
      </c>
      <c r="AD90" s="608">
        <f t="shared" si="45"/>
        <v>-51685.010000000009</v>
      </c>
      <c r="AE90" s="290">
        <f t="shared" si="45"/>
        <v>-51685.010000000009</v>
      </c>
      <c r="AF90" s="331">
        <f t="shared" si="45"/>
        <v>840924.52999999991</v>
      </c>
      <c r="AG90" s="524">
        <f t="shared" si="45"/>
        <v>0</v>
      </c>
      <c r="AH90" s="305" t="b">
        <f>INT(AG90)=0</f>
        <v>1</v>
      </c>
      <c r="AI90" s="306"/>
    </row>
    <row r="91" spans="1:35" ht="12" thickBot="1" x14ac:dyDescent="0.3">
      <c r="B91" s="2"/>
      <c r="C91" s="2"/>
      <c r="D91" s="24"/>
      <c r="E91" s="24"/>
      <c r="F91" s="24"/>
      <c r="G91" s="24"/>
      <c r="H91" s="24"/>
      <c r="I91" s="24"/>
      <c r="K91" s="24"/>
      <c r="L91" s="24"/>
      <c r="M91" s="24"/>
      <c r="N91" s="24"/>
      <c r="O91" s="24"/>
      <c r="Q91" s="4"/>
      <c r="S91" s="2"/>
      <c r="T91" s="2"/>
      <c r="U91" s="24"/>
      <c r="V91" s="24"/>
      <c r="W91" s="24"/>
      <c r="X91" s="24"/>
      <c r="Y91" s="24"/>
      <c r="AF91" s="24"/>
      <c r="AI91" s="4"/>
    </row>
    <row r="92" spans="1:35" ht="12" thickBot="1" x14ac:dyDescent="0.3">
      <c r="B92" s="2" t="s">
        <v>1</v>
      </c>
      <c r="C92" s="2"/>
      <c r="D92" s="24"/>
      <c r="E92" s="24"/>
      <c r="F92" s="24"/>
      <c r="G92" s="24"/>
      <c r="H92" s="24"/>
      <c r="I92" s="24"/>
      <c r="K92" s="24"/>
      <c r="L92" s="24"/>
      <c r="M92" s="24"/>
      <c r="N92" s="24"/>
      <c r="O92" s="24"/>
      <c r="Q92" s="4"/>
      <c r="Y92" s="86">
        <f>SUM(U90:Y90)</f>
        <v>892609.9</v>
      </c>
      <c r="AA92" s="1" t="s">
        <v>1</v>
      </c>
      <c r="AB92" s="1" t="s">
        <v>1</v>
      </c>
      <c r="AD92" s="1" t="s">
        <v>1</v>
      </c>
      <c r="AF92" s="1" t="s">
        <v>1</v>
      </c>
      <c r="AI92" s="4"/>
    </row>
    <row r="93" spans="1:35" ht="12" thickBot="1" x14ac:dyDescent="0.3">
      <c r="B93" s="2"/>
      <c r="C93" s="2"/>
      <c r="D93" s="24" t="s">
        <v>1</v>
      </c>
      <c r="E93" s="33"/>
      <c r="F93" s="33"/>
      <c r="G93" s="33"/>
      <c r="H93" s="33"/>
      <c r="I93" s="24"/>
      <c r="K93" s="24"/>
      <c r="L93" s="24"/>
      <c r="M93" s="24"/>
      <c r="N93" s="24"/>
      <c r="O93" s="24"/>
      <c r="Q93" s="4"/>
      <c r="AI93" s="4"/>
    </row>
    <row r="94" spans="1:35" x14ac:dyDescent="0.25">
      <c r="B94" s="2"/>
      <c r="C94" s="2"/>
      <c r="D94" s="24" t="s">
        <v>1</v>
      </c>
      <c r="E94" s="24" t="s">
        <v>1</v>
      </c>
      <c r="F94" s="24" t="s">
        <v>25</v>
      </c>
      <c r="G94" s="24"/>
      <c r="H94" s="24"/>
      <c r="I94" s="24"/>
      <c r="K94" s="24"/>
      <c r="L94" s="24"/>
      <c r="M94" s="24"/>
      <c r="N94" s="24"/>
      <c r="O94" s="24"/>
      <c r="Q94" s="4"/>
      <c r="AI94" s="4"/>
    </row>
    <row r="95" spans="1:35" x14ac:dyDescent="0.25">
      <c r="A95" s="4"/>
      <c r="B95" s="34"/>
      <c r="C95" s="34"/>
      <c r="D95" s="35"/>
      <c r="E95" s="35"/>
      <c r="F95" s="35"/>
      <c r="G95" s="35"/>
      <c r="H95" s="35"/>
      <c r="I95" s="35"/>
      <c r="J95" s="4"/>
      <c r="K95" s="35"/>
      <c r="L95" s="35"/>
      <c r="M95" s="35"/>
      <c r="N95" s="35"/>
      <c r="O95" s="35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  <c r="AE95" s="4"/>
      <c r="AF95" s="4"/>
      <c r="AG95" s="274"/>
      <c r="AH95" s="4"/>
      <c r="AI95" s="4"/>
    </row>
    <row r="96" spans="1:35" ht="12" thickBot="1" x14ac:dyDescent="0.3">
      <c r="Q96" s="4"/>
      <c r="AI96" s="4"/>
    </row>
    <row r="97" spans="2:39" x14ac:dyDescent="0.25">
      <c r="B97" s="5"/>
      <c r="C97" s="3" t="s">
        <v>1</v>
      </c>
      <c r="D97" s="6" t="s">
        <v>1</v>
      </c>
      <c r="E97" s="3"/>
      <c r="F97" s="3"/>
      <c r="G97" s="3"/>
      <c r="H97" s="3" t="s">
        <v>1</v>
      </c>
      <c r="I97" s="3"/>
      <c r="J97" s="3"/>
      <c r="K97" s="3"/>
      <c r="L97" s="3"/>
      <c r="M97" s="3"/>
      <c r="N97" s="3"/>
      <c r="O97" s="7"/>
      <c r="P97" s="2"/>
      <c r="Q97" s="4"/>
      <c r="S97" s="5"/>
      <c r="T97" s="3" t="s">
        <v>1</v>
      </c>
      <c r="U97" s="6" t="s">
        <v>1</v>
      </c>
      <c r="V97" s="3"/>
      <c r="W97" s="3"/>
      <c r="X97" s="3" t="s">
        <v>1</v>
      </c>
      <c r="Y97" s="3"/>
      <c r="Z97" s="3"/>
      <c r="AA97" s="3"/>
      <c r="AB97" s="3"/>
      <c r="AC97" s="3"/>
      <c r="AD97" s="3"/>
      <c r="AE97" s="3"/>
      <c r="AF97" s="7"/>
      <c r="AG97" s="272"/>
      <c r="AI97" s="4"/>
    </row>
    <row r="98" spans="2:39" ht="14" x14ac:dyDescent="0.3">
      <c r="B98" s="8"/>
      <c r="F98" s="26" t="s">
        <v>8</v>
      </c>
      <c r="G98" s="26"/>
      <c r="I98" s="26" t="s">
        <v>16</v>
      </c>
      <c r="J98" s="25"/>
      <c r="M98" s="2" t="s">
        <v>15</v>
      </c>
      <c r="N98" s="50">
        <f>N3</f>
        <v>2026072</v>
      </c>
      <c r="O98" s="10"/>
      <c r="P98" s="2"/>
      <c r="Q98" s="4"/>
      <c r="S98" s="8"/>
      <c r="U98" s="26" t="s">
        <v>8</v>
      </c>
      <c r="W98" s="26" t="s">
        <v>16</v>
      </c>
      <c r="X98" s="25"/>
      <c r="Y98" s="2"/>
      <c r="AA98" s="2" t="s">
        <v>15</v>
      </c>
      <c r="AD98" s="84">
        <f>N98</f>
        <v>2026072</v>
      </c>
      <c r="AE98" s="84"/>
      <c r="AF98" s="48"/>
      <c r="AG98" s="272"/>
      <c r="AI98" s="4"/>
    </row>
    <row r="99" spans="2:39" ht="15.5" x14ac:dyDescent="0.35">
      <c r="B99" s="8"/>
      <c r="F99" s="36" t="s">
        <v>29</v>
      </c>
      <c r="G99" s="36"/>
      <c r="O99" s="10"/>
      <c r="P99" s="2"/>
      <c r="Q99" s="4"/>
      <c r="S99" s="8"/>
      <c r="T99" s="26" t="s">
        <v>1</v>
      </c>
      <c r="U99" s="36" t="s">
        <v>29</v>
      </c>
      <c r="Y99" s="2" t="s">
        <v>1</v>
      </c>
      <c r="AA99" s="50" t="s">
        <v>1</v>
      </c>
      <c r="AB99" s="2"/>
      <c r="AC99" s="2"/>
      <c r="AD99" s="2"/>
      <c r="AE99" s="2"/>
      <c r="AF99" s="10" t="s">
        <v>1</v>
      </c>
      <c r="AG99" s="272"/>
      <c r="AI99" s="4"/>
    </row>
    <row r="100" spans="2:39" ht="14" x14ac:dyDescent="0.3">
      <c r="B100" s="8"/>
      <c r="F100" s="2" t="s">
        <v>30</v>
      </c>
      <c r="G100" s="2"/>
      <c r="M100" s="2" t="s">
        <v>1</v>
      </c>
      <c r="O100" s="10"/>
      <c r="P100" s="2"/>
      <c r="Q100" s="4"/>
      <c r="S100" s="8"/>
      <c r="T100" s="49" t="s">
        <v>1</v>
      </c>
      <c r="U100" s="2" t="s">
        <v>30</v>
      </c>
      <c r="AF100" s="44"/>
      <c r="AG100" s="272"/>
      <c r="AI100" s="4"/>
    </row>
    <row r="101" spans="2:39" ht="15.5" x14ac:dyDescent="0.35">
      <c r="B101" s="8"/>
      <c r="C101" s="599" t="s">
        <v>17</v>
      </c>
      <c r="D101" s="9">
        <f>D6</f>
        <v>46238</v>
      </c>
      <c r="F101" s="58" t="s">
        <v>213</v>
      </c>
      <c r="G101" s="58"/>
      <c r="H101" s="59"/>
      <c r="I101" s="60"/>
      <c r="J101" s="59"/>
      <c r="O101" s="10"/>
      <c r="P101" s="2"/>
      <c r="Q101" s="4"/>
      <c r="S101" s="8"/>
      <c r="T101" s="41" t="s">
        <v>1</v>
      </c>
      <c r="U101" s="58" t="s">
        <v>214</v>
      </c>
      <c r="V101" s="59"/>
      <c r="W101" s="60"/>
      <c r="X101" s="59"/>
      <c r="Y101" s="59"/>
      <c r="AF101" s="48"/>
      <c r="AG101" s="272"/>
      <c r="AI101" s="4"/>
    </row>
    <row r="102" spans="2:39" ht="18" thickBot="1" x14ac:dyDescent="0.5">
      <c r="B102" s="8"/>
      <c r="C102" s="599" t="s">
        <v>0</v>
      </c>
      <c r="D102" s="241">
        <f>D7</f>
        <v>0.58333333333333337</v>
      </c>
      <c r="F102" s="2" t="s">
        <v>27</v>
      </c>
      <c r="G102" s="9">
        <f>G7</f>
        <v>46219</v>
      </c>
      <c r="J102" s="2" t="s">
        <v>28</v>
      </c>
      <c r="K102" s="9">
        <f>K7</f>
        <v>46234</v>
      </c>
      <c r="L102" s="92"/>
      <c r="O102" s="10"/>
      <c r="P102" s="2"/>
      <c r="Q102" s="4"/>
      <c r="S102" s="8"/>
      <c r="U102" s="1" t="str">
        <f>F102</f>
        <v>Fecha Desde:</v>
      </c>
      <c r="V102" s="9">
        <f>G102</f>
        <v>46219</v>
      </c>
      <c r="W102" s="1" t="s">
        <v>1</v>
      </c>
      <c r="X102" s="1" t="str">
        <f>J102</f>
        <v>Feha Hasta:</v>
      </c>
      <c r="Y102" s="9">
        <f>K102</f>
        <v>46234</v>
      </c>
      <c r="Z102" s="1" t="s">
        <v>1</v>
      </c>
      <c r="AF102" s="48"/>
      <c r="AG102" s="272"/>
      <c r="AI102" s="4"/>
      <c r="AJ102" s="112" t="s">
        <v>1</v>
      </c>
    </row>
    <row r="103" spans="2:39" ht="72" customHeight="1" thickBot="1" x14ac:dyDescent="0.3">
      <c r="B103" s="11" t="s">
        <v>3</v>
      </c>
      <c r="C103" s="27" t="s">
        <v>9</v>
      </c>
      <c r="D103" s="11" t="s">
        <v>4</v>
      </c>
      <c r="E103" s="12" t="s">
        <v>5</v>
      </c>
      <c r="F103" s="27" t="s">
        <v>6</v>
      </c>
      <c r="G103" s="268" t="s">
        <v>159</v>
      </c>
      <c r="H103" s="27" t="s">
        <v>18</v>
      </c>
      <c r="I103" s="12" t="s">
        <v>24</v>
      </c>
      <c r="J103" s="73" t="s">
        <v>19</v>
      </c>
      <c r="K103" s="29" t="s">
        <v>20</v>
      </c>
      <c r="L103" s="28" t="s">
        <v>21</v>
      </c>
      <c r="M103" s="39" t="s">
        <v>22</v>
      </c>
      <c r="N103" s="12" t="s">
        <v>7</v>
      </c>
      <c r="O103" s="39" t="s">
        <v>23</v>
      </c>
      <c r="P103" s="13"/>
      <c r="Q103" s="4"/>
      <c r="S103" s="11" t="s">
        <v>3</v>
      </c>
      <c r="T103" s="27" t="s">
        <v>9</v>
      </c>
      <c r="U103" s="162" t="s">
        <v>39</v>
      </c>
      <c r="V103" s="580" t="s">
        <v>40</v>
      </c>
      <c r="W103" s="580" t="s">
        <v>41</v>
      </c>
      <c r="X103" s="163" t="s">
        <v>42</v>
      </c>
      <c r="Y103" s="164" t="s">
        <v>43</v>
      </c>
      <c r="Z103" s="85" t="s">
        <v>21</v>
      </c>
      <c r="AA103" s="65" t="s">
        <v>46</v>
      </c>
      <c r="AB103" s="65" t="s">
        <v>7</v>
      </c>
      <c r="AC103" s="85" t="s">
        <v>168</v>
      </c>
      <c r="AD103" s="121" t="s">
        <v>105</v>
      </c>
      <c r="AE103" s="121" t="s">
        <v>104</v>
      </c>
      <c r="AF103" s="39" t="s">
        <v>23</v>
      </c>
      <c r="AG103" s="273"/>
      <c r="AI103" s="4"/>
    </row>
    <row r="104" spans="2:39" s="305" customFormat="1" x14ac:dyDescent="0.25">
      <c r="B104" s="303">
        <v>1</v>
      </c>
      <c r="C104" s="304" t="s">
        <v>10</v>
      </c>
      <c r="D104" s="291">
        <f t="shared" ref="D104:F106" si="47">D9+D28+D47+D66+D85</f>
        <v>17450228673.349998</v>
      </c>
      <c r="E104" s="292">
        <f t="shared" si="47"/>
        <v>907089032.16000009</v>
      </c>
      <c r="F104" s="292">
        <f t="shared" si="47"/>
        <v>511619081.72000003</v>
      </c>
      <c r="G104" s="292">
        <f t="shared" ref="G104" si="48">G9+G28+G47+G66+G85</f>
        <v>268690518.94</v>
      </c>
      <c r="H104" s="292">
        <f t="shared" ref="H104:J108" si="49">H9+H28+H47+H66+H85</f>
        <v>3815252256.9000001</v>
      </c>
      <c r="I104" s="292">
        <f t="shared" si="49"/>
        <v>134368143.47</v>
      </c>
      <c r="J104" s="288">
        <f t="shared" si="49"/>
        <v>-3589454665.5499997</v>
      </c>
      <c r="K104" s="293">
        <f>D104-E104-F104-G104-H104-I104-J104</f>
        <v>15402664305.709999</v>
      </c>
      <c r="L104" s="294">
        <f>L9+L28+L47+L66+L85</f>
        <v>189185988</v>
      </c>
      <c r="M104" s="293">
        <f>K104-L104</f>
        <v>15213478317.709999</v>
      </c>
      <c r="N104" s="294">
        <f>N9+N28+N47+N66+N85</f>
        <v>25277316.260000002</v>
      </c>
      <c r="O104" s="293">
        <f>M104+N104</f>
        <v>15238755633.969999</v>
      </c>
      <c r="Q104" s="306"/>
      <c r="S104" s="303">
        <v>1</v>
      </c>
      <c r="T104" s="304" t="s">
        <v>10</v>
      </c>
      <c r="U104" s="307">
        <f t="shared" ref="U104:AB108" si="50">U9+U28+U47+U66+U85</f>
        <v>1182502863.3800001</v>
      </c>
      <c r="V104" s="308">
        <f t="shared" si="50"/>
        <v>1138203111.0299997</v>
      </c>
      <c r="W104" s="308">
        <f t="shared" si="50"/>
        <v>5384239175.3499994</v>
      </c>
      <c r="X104" s="308">
        <f t="shared" si="50"/>
        <v>2460648865.29</v>
      </c>
      <c r="Y104" s="309">
        <f t="shared" si="50"/>
        <v>219070048.99000001</v>
      </c>
      <c r="Z104" s="310">
        <f t="shared" si="50"/>
        <v>-189185988</v>
      </c>
      <c r="AA104" s="311">
        <f>AA9+AA28+AA47+AA66+AA85</f>
        <v>-17520.82</v>
      </c>
      <c r="AB104" s="294">
        <f t="shared" si="50"/>
        <v>25277316.260000002</v>
      </c>
      <c r="AC104" s="311">
        <f>AC9+AC28+AC47+AC66+AC85</f>
        <v>-1592.61</v>
      </c>
      <c r="AD104" s="291">
        <f>-J104+AE104</f>
        <v>5018019355.0999994</v>
      </c>
      <c r="AE104" s="291">
        <f>AE9+AE28+AE47+AE66+AE85</f>
        <v>1428564689.55</v>
      </c>
      <c r="AF104" s="313">
        <f>SUM(U104:AD104)</f>
        <v>15238755633.969997</v>
      </c>
      <c r="AG104" s="521">
        <f>AF104-O104</f>
        <v>0</v>
      </c>
      <c r="AH104" s="305" t="b">
        <f>INT(AG104)=0</f>
        <v>1</v>
      </c>
      <c r="AI104" s="306"/>
      <c r="AM104" s="333"/>
    </row>
    <row r="105" spans="2:39" s="305" customFormat="1" x14ac:dyDescent="0.25">
      <c r="B105" s="314">
        <v>2</v>
      </c>
      <c r="C105" s="315" t="s">
        <v>11</v>
      </c>
      <c r="D105" s="291">
        <f>D10+D29+D48+D67+D86</f>
        <v>20516143969.650002</v>
      </c>
      <c r="E105" s="292">
        <f>E10+E29+E48+E67+E86</f>
        <v>1584179837.8299999</v>
      </c>
      <c r="F105" s="292">
        <f t="shared" si="47"/>
        <v>890098162.61999989</v>
      </c>
      <c r="G105" s="292">
        <f t="shared" ref="G105" si="51">G10+G29+G48+G67+G86</f>
        <v>466611469.23999995</v>
      </c>
      <c r="H105" s="292">
        <f t="shared" si="49"/>
        <v>5815089519.5800009</v>
      </c>
      <c r="I105" s="292">
        <f t="shared" si="49"/>
        <v>222428730.16</v>
      </c>
      <c r="J105" s="288">
        <f t="shared" si="49"/>
        <v>-3241193714.1100001</v>
      </c>
      <c r="K105" s="295">
        <f t="shared" ref="K105:K108" si="52">D105-E105-F105-G105-H105-I105-J105</f>
        <v>14778929964.329998</v>
      </c>
      <c r="L105" s="294">
        <f>L10+L29+L48+L67+L86</f>
        <v>266580256</v>
      </c>
      <c r="M105" s="295">
        <f>K105-L105</f>
        <v>14512349708.329998</v>
      </c>
      <c r="N105" s="294">
        <f>N10+N29+N48+N67+N86</f>
        <v>53454221.280000001</v>
      </c>
      <c r="O105" s="295">
        <f t="shared" ref="O105:O108" si="53">M105+N105</f>
        <v>14565803929.609999</v>
      </c>
      <c r="Q105" s="306"/>
      <c r="S105" s="314">
        <v>2</v>
      </c>
      <c r="T105" s="315" t="s">
        <v>11</v>
      </c>
      <c r="U105" s="316">
        <f t="shared" si="50"/>
        <v>1949886300.4400001</v>
      </c>
      <c r="V105" s="317">
        <f t="shared" si="50"/>
        <v>1945637036.9099996</v>
      </c>
      <c r="W105" s="317">
        <f t="shared" si="50"/>
        <v>9155886148.1600037</v>
      </c>
      <c r="X105" s="317">
        <f t="shared" si="50"/>
        <v>3142209362.4400001</v>
      </c>
      <c r="Y105" s="318">
        <f t="shared" si="50"/>
        <v>363003578.24000001</v>
      </c>
      <c r="Z105" s="319">
        <f t="shared" si="50"/>
        <v>-266580256</v>
      </c>
      <c r="AA105" s="320">
        <f>AA10+AA29+AA48+AA67+AA86</f>
        <v>86900.159999999989</v>
      </c>
      <c r="AB105" s="294">
        <f t="shared" si="50"/>
        <v>53454221.280000001</v>
      </c>
      <c r="AC105" s="320">
        <f>AC10+AC29+AC48+AC67+AC86</f>
        <v>-123.21</v>
      </c>
      <c r="AD105" s="291">
        <f t="shared" ref="AD105:AD107" si="54">-J105+AE105</f>
        <v>-1777779238.8099999</v>
      </c>
      <c r="AE105" s="291">
        <f>AE10+AE29+AE48+AE67+AE86</f>
        <v>-5018972952.9200001</v>
      </c>
      <c r="AF105" s="322">
        <f>SUM(U105:AD105)</f>
        <v>14565803929.610004</v>
      </c>
      <c r="AG105" s="522">
        <f>AF105-O105</f>
        <v>0</v>
      </c>
      <c r="AH105" s="305" t="b">
        <f t="shared" ref="AH105:AH108" si="55">INT(AG105)=0</f>
        <v>1</v>
      </c>
      <c r="AI105" s="306"/>
      <c r="AM105" s="333"/>
    </row>
    <row r="106" spans="2:39" s="305" customFormat="1" x14ac:dyDescent="0.25">
      <c r="B106" s="314">
        <v>3</v>
      </c>
      <c r="C106" s="315" t="s">
        <v>12</v>
      </c>
      <c r="D106" s="291">
        <f t="shared" si="47"/>
        <v>15221896467.450003</v>
      </c>
      <c r="E106" s="292">
        <f t="shared" si="47"/>
        <v>1154816918.0400002</v>
      </c>
      <c r="F106" s="292">
        <f t="shared" si="47"/>
        <v>650648256.78000009</v>
      </c>
      <c r="G106" s="292">
        <f t="shared" ref="G106" si="56">G11+G30+G49+G68+G87</f>
        <v>342168927.41999996</v>
      </c>
      <c r="H106" s="292">
        <f t="shared" si="49"/>
        <v>3419471286.5799999</v>
      </c>
      <c r="I106" s="292">
        <f t="shared" si="49"/>
        <v>125690282.95999999</v>
      </c>
      <c r="J106" s="288">
        <f t="shared" si="49"/>
        <v>-853244564.50999999</v>
      </c>
      <c r="K106" s="295">
        <f t="shared" si="52"/>
        <v>10382345360.180002</v>
      </c>
      <c r="L106" s="294">
        <f>L11+L30+L49+L68+L87</f>
        <v>154788536</v>
      </c>
      <c r="M106" s="295">
        <f>K106-L106</f>
        <v>10227556824.180002</v>
      </c>
      <c r="N106" s="294">
        <f>N11+N30+N49+N68+N87</f>
        <v>14341963.319999998</v>
      </c>
      <c r="O106" s="295">
        <f t="shared" si="53"/>
        <v>10241898787.500002</v>
      </c>
      <c r="Q106" s="306"/>
      <c r="S106" s="314">
        <v>3</v>
      </c>
      <c r="T106" s="315" t="s">
        <v>12</v>
      </c>
      <c r="U106" s="316">
        <f t="shared" si="50"/>
        <v>1102335590.3299999</v>
      </c>
      <c r="V106" s="317">
        <f t="shared" si="50"/>
        <v>1086464208.23</v>
      </c>
      <c r="W106" s="317">
        <f t="shared" si="50"/>
        <v>5141961247.9000006</v>
      </c>
      <c r="X106" s="317">
        <f t="shared" si="50"/>
        <v>2685857516.6600003</v>
      </c>
      <c r="Y106" s="318">
        <f t="shared" si="50"/>
        <v>205160229.32000002</v>
      </c>
      <c r="Z106" s="319">
        <f t="shared" si="50"/>
        <v>-154788536</v>
      </c>
      <c r="AA106" s="320">
        <f>AA11+AA30+AA49+AA68+AA87</f>
        <v>246404.58</v>
      </c>
      <c r="AB106" s="294">
        <f t="shared" si="50"/>
        <v>14341963.319999998</v>
      </c>
      <c r="AC106" s="320">
        <f>AC11+AC30+AC49+AC68+AC87</f>
        <v>-11885.619999999999</v>
      </c>
      <c r="AD106" s="291">
        <f t="shared" si="54"/>
        <v>160332048.78000009</v>
      </c>
      <c r="AE106" s="291">
        <f>AE11+AE30+AE49+AE68+AE87</f>
        <v>-692912515.7299999</v>
      </c>
      <c r="AF106" s="322">
        <f>SUM(U106:AD106)</f>
        <v>10241898787.5</v>
      </c>
      <c r="AG106" s="522">
        <f>AF106-O106</f>
        <v>0</v>
      </c>
      <c r="AH106" s="305" t="b">
        <f t="shared" si="55"/>
        <v>1</v>
      </c>
      <c r="AI106" s="306"/>
      <c r="AM106" s="333"/>
    </row>
    <row r="107" spans="2:39" s="305" customFormat="1" x14ac:dyDescent="0.25">
      <c r="B107" s="314">
        <v>4</v>
      </c>
      <c r="C107" s="315" t="s">
        <v>13</v>
      </c>
      <c r="D107" s="291">
        <f t="shared" ref="D107" si="57">D12+D31+D50+D69+D88</f>
        <v>7179595395.6699991</v>
      </c>
      <c r="E107" s="292">
        <f t="shared" ref="E107:F108" si="58">E12+E31+E50+E69+E88</f>
        <v>473606043.33000004</v>
      </c>
      <c r="F107" s="292">
        <f t="shared" si="58"/>
        <v>264596657.70000002</v>
      </c>
      <c r="G107" s="292">
        <f t="shared" ref="G107" si="59">G12+G31+G50+G69+G88</f>
        <v>136481575.35000002</v>
      </c>
      <c r="H107" s="292">
        <f t="shared" si="49"/>
        <v>1605437093.76</v>
      </c>
      <c r="I107" s="292">
        <f t="shared" si="49"/>
        <v>62582401.519999996</v>
      </c>
      <c r="J107" s="288">
        <f t="shared" si="49"/>
        <v>-699882713.37000012</v>
      </c>
      <c r="K107" s="295">
        <f t="shared" si="52"/>
        <v>5336774337.3799982</v>
      </c>
      <c r="L107" s="294">
        <f>L12+L31+L50+L69+L88</f>
        <v>120391083</v>
      </c>
      <c r="M107" s="295">
        <f>K107-L107</f>
        <v>5216383254.3799982</v>
      </c>
      <c r="N107" s="294">
        <f>N12+N31+N50+N69+N88</f>
        <v>34128344.93</v>
      </c>
      <c r="O107" s="295">
        <f>M107+N107</f>
        <v>5250511599.3099985</v>
      </c>
      <c r="Q107" s="306"/>
      <c r="S107" s="314">
        <v>4</v>
      </c>
      <c r="T107" s="315" t="s">
        <v>13</v>
      </c>
      <c r="U107" s="316">
        <f t="shared" si="50"/>
        <v>549450408.40999997</v>
      </c>
      <c r="V107" s="317">
        <f t="shared" si="50"/>
        <v>548186870.46999991</v>
      </c>
      <c r="W107" s="317">
        <f t="shared" si="50"/>
        <v>2799232757.4099998</v>
      </c>
      <c r="X107" s="317">
        <f t="shared" si="50"/>
        <v>1254527099.4500003</v>
      </c>
      <c r="Y107" s="318">
        <f t="shared" si="50"/>
        <v>102249901.39999999</v>
      </c>
      <c r="Z107" s="319">
        <f t="shared" si="50"/>
        <v>-120391083</v>
      </c>
      <c r="AA107" s="320">
        <f>AA12+AA31+AA50+AA69+AA88</f>
        <v>-16263.19</v>
      </c>
      <c r="AB107" s="294">
        <f t="shared" si="50"/>
        <v>34128344.93</v>
      </c>
      <c r="AC107" s="320">
        <f>AC12+AC31+AC50+AC69+AC88</f>
        <v>-529.09999999999991</v>
      </c>
      <c r="AD107" s="291">
        <f t="shared" si="54"/>
        <v>83144092.53000021</v>
      </c>
      <c r="AE107" s="291">
        <f>AE12+AE31+AE50+AE69+AE88</f>
        <v>-616738620.83999991</v>
      </c>
      <c r="AF107" s="322">
        <f>SUM(U107:AD107)</f>
        <v>5250511599.3099995</v>
      </c>
      <c r="AG107" s="522">
        <f>AF107-O107</f>
        <v>0</v>
      </c>
      <c r="AH107" s="305" t="b">
        <f t="shared" si="55"/>
        <v>1</v>
      </c>
      <c r="AI107" s="306"/>
      <c r="AM107" s="333"/>
    </row>
    <row r="108" spans="2:39" s="305" customFormat="1" ht="12" thickBot="1" x14ac:dyDescent="0.3">
      <c r="B108" s="324">
        <v>5</v>
      </c>
      <c r="C108" s="325" t="s">
        <v>14</v>
      </c>
      <c r="D108" s="296">
        <f>D13+D32+D51+D70+D89</f>
        <v>12073344661.59</v>
      </c>
      <c r="E108" s="297">
        <f t="shared" si="58"/>
        <v>731686441.62</v>
      </c>
      <c r="F108" s="297">
        <f t="shared" si="58"/>
        <v>412480816.2899999</v>
      </c>
      <c r="G108" s="297">
        <f t="shared" ref="G108" si="60">G13+G32+G51+G70+G89</f>
        <v>216220999.25</v>
      </c>
      <c r="H108" s="297">
        <f t="shared" si="49"/>
        <v>2771170796.7799997</v>
      </c>
      <c r="I108" s="297">
        <f t="shared" si="49"/>
        <v>105860252.47</v>
      </c>
      <c r="J108" s="289">
        <f t="shared" si="49"/>
        <v>-82959023.660000086</v>
      </c>
      <c r="K108" s="295">
        <f t="shared" si="52"/>
        <v>7918884378.8400002</v>
      </c>
      <c r="L108" s="294">
        <f>L13+L32+L51+L70+L89</f>
        <v>128990446</v>
      </c>
      <c r="M108" s="298">
        <f>K108-L108</f>
        <v>7789893932.8400002</v>
      </c>
      <c r="N108" s="299">
        <f>N13+N32+N51+N70+N89</f>
        <v>15891735.880000001</v>
      </c>
      <c r="O108" s="298">
        <f t="shared" si="53"/>
        <v>7805785668.7200003</v>
      </c>
      <c r="Q108" s="306"/>
      <c r="S108" s="324">
        <v>5</v>
      </c>
      <c r="T108" s="325" t="s">
        <v>14</v>
      </c>
      <c r="U108" s="296">
        <f t="shared" si="50"/>
        <v>928205240.1500001</v>
      </c>
      <c r="V108" s="297">
        <f t="shared" si="50"/>
        <v>911180502.11000001</v>
      </c>
      <c r="W108" s="297">
        <f t="shared" si="50"/>
        <v>4681131561.2200003</v>
      </c>
      <c r="X108" s="297">
        <f t="shared" si="50"/>
        <v>2173851295.3300004</v>
      </c>
      <c r="Y108" s="289">
        <f t="shared" si="50"/>
        <v>172729906.53999999</v>
      </c>
      <c r="Z108" s="319">
        <f t="shared" si="50"/>
        <v>-128990446</v>
      </c>
      <c r="AA108" s="320">
        <f>AA13+AA32+AA51+AA70+AA89</f>
        <v>-147744.56999999998</v>
      </c>
      <c r="AB108" s="294">
        <f t="shared" si="50"/>
        <v>15891735.880000001</v>
      </c>
      <c r="AC108" s="320">
        <f>AC13+AC32+AC51+AC70+AC89</f>
        <v>-32.979999999999997</v>
      </c>
      <c r="AD108" s="291">
        <f>-J108+AE108</f>
        <v>-948066348.95999992</v>
      </c>
      <c r="AE108" s="291">
        <f>AE13+AE32+AE51+AE70+AE89</f>
        <v>-1031025372.62</v>
      </c>
      <c r="AF108" s="322">
        <f>SUM(U108:AD108)</f>
        <v>7805785668.7200022</v>
      </c>
      <c r="AG108" s="523">
        <f>AF108-O108</f>
        <v>0</v>
      </c>
      <c r="AH108" s="305" t="b">
        <f t="shared" si="55"/>
        <v>1</v>
      </c>
      <c r="AI108" s="306"/>
      <c r="AM108" s="333"/>
    </row>
    <row r="109" spans="2:39" s="305" customFormat="1" ht="13.5" thickBot="1" x14ac:dyDescent="0.35">
      <c r="B109" s="327"/>
      <c r="C109" s="328" t="s">
        <v>2</v>
      </c>
      <c r="D109" s="290">
        <f t="shared" ref="D109:N109" si="61">SUM(D104:D108)</f>
        <v>72441209167.710007</v>
      </c>
      <c r="E109" s="290">
        <f t="shared" si="61"/>
        <v>4851378272.9799995</v>
      </c>
      <c r="F109" s="290">
        <f t="shared" si="61"/>
        <v>2729442975.1099997</v>
      </c>
      <c r="G109" s="290">
        <f t="shared" ref="G109" si="62">SUM(G104:G108)</f>
        <v>1430173490.1999998</v>
      </c>
      <c r="H109" s="290">
        <f t="shared" si="61"/>
        <v>17426420953.600002</v>
      </c>
      <c r="I109" s="290">
        <f t="shared" si="61"/>
        <v>650929810.58000004</v>
      </c>
      <c r="J109" s="290">
        <f t="shared" si="61"/>
        <v>-8466734681.1999998</v>
      </c>
      <c r="K109" s="300">
        <f t="shared" si="61"/>
        <v>53819598346.440002</v>
      </c>
      <c r="L109" s="301">
        <f t="shared" si="61"/>
        <v>859936309</v>
      </c>
      <c r="M109" s="302">
        <f t="shared" si="61"/>
        <v>52959662037.440002</v>
      </c>
      <c r="N109" s="301">
        <f t="shared" si="61"/>
        <v>143093581.66999999</v>
      </c>
      <c r="O109" s="302">
        <f>SUM(O104:O108)</f>
        <v>53102755619.110001</v>
      </c>
      <c r="P109" s="329"/>
      <c r="Q109" s="306"/>
      <c r="S109" s="327"/>
      <c r="T109" s="328" t="s">
        <v>2</v>
      </c>
      <c r="U109" s="330">
        <f>SUM(U104:U108)</f>
        <v>5712380402.710001</v>
      </c>
      <c r="V109" s="330">
        <f t="shared" ref="V109:AF109" si="63">SUM(V104:V108)</f>
        <v>5629671728.749999</v>
      </c>
      <c r="W109" s="330">
        <f t="shared" si="63"/>
        <v>27162450890.040005</v>
      </c>
      <c r="X109" s="330">
        <f t="shared" si="63"/>
        <v>11717094139.17</v>
      </c>
      <c r="Y109" s="330">
        <f t="shared" si="63"/>
        <v>1062213664.49</v>
      </c>
      <c r="Z109" s="290">
        <f t="shared" si="63"/>
        <v>-859936309</v>
      </c>
      <c r="AA109" s="290">
        <f>SUM(AA104:AA108)</f>
        <v>151776.16</v>
      </c>
      <c r="AB109" s="290">
        <f t="shared" si="63"/>
        <v>143093581.66999999</v>
      </c>
      <c r="AC109" s="290">
        <f>SUM(AC104:AC108)</f>
        <v>-14163.519999999999</v>
      </c>
      <c r="AD109" s="290">
        <f t="shared" si="63"/>
        <v>2535649908.6399999</v>
      </c>
      <c r="AE109" s="290">
        <f>SUM(AE104:AE108)</f>
        <v>-5931084772.5599995</v>
      </c>
      <c r="AF109" s="331">
        <f t="shared" si="63"/>
        <v>53102755619.110001</v>
      </c>
      <c r="AG109" s="524">
        <f>SUM(AG104:AG108)</f>
        <v>0</v>
      </c>
      <c r="AH109" s="305" t="b">
        <f>INT(AG109)=0</f>
        <v>1</v>
      </c>
      <c r="AI109" s="306"/>
      <c r="AM109" s="333"/>
    </row>
    <row r="110" spans="2:39" ht="12" thickBot="1" x14ac:dyDescent="0.3">
      <c r="B110" s="2"/>
      <c r="C110" s="2"/>
      <c r="D110" s="165"/>
      <c r="E110" s="24"/>
      <c r="F110" s="24"/>
      <c r="G110" s="24"/>
      <c r="H110" s="24"/>
      <c r="I110" s="24"/>
      <c r="J110" s="165"/>
      <c r="K110" s="24"/>
      <c r="L110" s="24"/>
      <c r="M110" s="24"/>
      <c r="N110" s="24"/>
      <c r="O110" s="24"/>
      <c r="Q110" s="4"/>
      <c r="S110" s="2"/>
      <c r="T110" s="2"/>
      <c r="U110" s="24"/>
      <c r="V110" s="24"/>
      <c r="W110" s="24"/>
      <c r="X110" s="24"/>
      <c r="Y110" s="24"/>
      <c r="AF110" s="24"/>
      <c r="AI110" s="4"/>
    </row>
    <row r="111" spans="2:39" ht="12" thickBot="1" x14ac:dyDescent="0.3">
      <c r="B111" s="2"/>
      <c r="C111" s="2"/>
      <c r="D111" s="24"/>
      <c r="E111" s="24"/>
      <c r="F111" s="24"/>
      <c r="G111" s="24"/>
      <c r="H111" s="24"/>
      <c r="I111" s="24"/>
      <c r="J111" s="24"/>
      <c r="K111" s="24"/>
      <c r="L111" s="24"/>
      <c r="M111" s="24"/>
      <c r="N111" s="24"/>
      <c r="O111" s="24"/>
      <c r="Q111" s="4"/>
      <c r="V111" s="591"/>
      <c r="W111" s="591"/>
      <c r="Y111" s="86">
        <f>SUM(U109:Y109)</f>
        <v>51283810825.159996</v>
      </c>
      <c r="AA111" s="1" t="s">
        <v>1</v>
      </c>
      <c r="AB111" s="1" t="s">
        <v>1</v>
      </c>
      <c r="AD111" s="305"/>
      <c r="AF111" s="305"/>
      <c r="AI111" s="4"/>
    </row>
    <row r="112" spans="2:39" ht="12" thickBot="1" x14ac:dyDescent="0.3">
      <c r="B112" s="2"/>
      <c r="C112" s="2"/>
      <c r="D112" s="24" t="s">
        <v>1</v>
      </c>
      <c r="E112" s="33"/>
      <c r="F112" s="33"/>
      <c r="G112" s="33"/>
      <c r="H112" s="33"/>
      <c r="I112" s="24"/>
      <c r="K112" s="24"/>
      <c r="L112" s="24"/>
      <c r="M112" s="24"/>
      <c r="N112" s="24"/>
      <c r="O112" s="24"/>
      <c r="Q112" s="4"/>
      <c r="U112" s="33"/>
      <c r="V112" s="33"/>
      <c r="W112" s="33"/>
      <c r="X112" s="33"/>
      <c r="AF112" s="305"/>
      <c r="AI112" s="4"/>
    </row>
    <row r="113" spans="1:35" x14ac:dyDescent="0.25">
      <c r="B113" s="2"/>
      <c r="C113" s="2"/>
      <c r="D113" s="24" t="s">
        <v>1</v>
      </c>
      <c r="E113" s="24" t="s">
        <v>1</v>
      </c>
      <c r="F113" s="24" t="s">
        <v>25</v>
      </c>
      <c r="G113" s="24"/>
      <c r="H113" s="24"/>
      <c r="I113" s="24"/>
      <c r="K113" s="24"/>
      <c r="L113" s="24"/>
      <c r="M113" s="24"/>
      <c r="N113" s="24"/>
      <c r="O113" s="24"/>
      <c r="Q113" s="4"/>
      <c r="U113" s="24" t="s">
        <v>1</v>
      </c>
      <c r="V113" s="24" t="s">
        <v>25</v>
      </c>
      <c r="W113" s="24"/>
      <c r="X113" s="24"/>
      <c r="AI113" s="4"/>
    </row>
    <row r="114" spans="1:35" x14ac:dyDescent="0.25">
      <c r="A114" s="52"/>
      <c r="B114" s="53"/>
      <c r="C114" s="53"/>
      <c r="D114" s="54"/>
      <c r="E114" s="54"/>
      <c r="F114" s="54"/>
      <c r="G114" s="54"/>
      <c r="H114" s="54"/>
      <c r="I114" s="54"/>
      <c r="J114" s="52"/>
      <c r="K114" s="54"/>
      <c r="L114" s="54"/>
      <c r="M114" s="54"/>
      <c r="N114" s="54"/>
      <c r="O114" s="54"/>
      <c r="P114" s="52"/>
      <c r="Q114" s="52"/>
      <c r="R114" s="52"/>
      <c r="S114" s="52"/>
      <c r="T114" s="52"/>
      <c r="U114" s="52"/>
      <c r="V114" s="52"/>
      <c r="W114" s="52"/>
      <c r="X114" s="52"/>
      <c r="Y114" s="52"/>
      <c r="Z114" s="52"/>
      <c r="AA114" s="52"/>
      <c r="AB114" s="52"/>
      <c r="AC114" s="52"/>
      <c r="AD114" s="52"/>
      <c r="AE114" s="52"/>
      <c r="AF114" s="52"/>
      <c r="AG114" s="275"/>
      <c r="AH114" s="52"/>
      <c r="AI114" s="52"/>
    </row>
    <row r="115" spans="1:35" ht="12" thickBot="1" x14ac:dyDescent="0.3">
      <c r="Q115" s="4"/>
    </row>
    <row r="116" spans="1:35" x14ac:dyDescent="0.25">
      <c r="B116" s="5"/>
      <c r="C116" s="3" t="s">
        <v>1</v>
      </c>
      <c r="D116" s="6" t="s">
        <v>1</v>
      </c>
      <c r="E116" s="3"/>
      <c r="F116" s="3"/>
      <c r="G116" s="3"/>
      <c r="H116" s="3" t="s">
        <v>1</v>
      </c>
      <c r="I116" s="3"/>
      <c r="J116" s="3"/>
      <c r="K116" s="3"/>
      <c r="L116" s="3"/>
      <c r="M116" s="3"/>
      <c r="N116" s="3"/>
      <c r="O116" s="7"/>
      <c r="P116" s="2"/>
      <c r="Q116" s="35"/>
      <c r="V116" s="588"/>
      <c r="W116" s="588"/>
      <c r="AA116" s="305"/>
    </row>
    <row r="117" spans="1:35" ht="14" x14ac:dyDescent="0.3">
      <c r="B117" s="8"/>
      <c r="C117" s="2"/>
      <c r="D117" s="9"/>
      <c r="F117" s="26" t="s">
        <v>8</v>
      </c>
      <c r="G117" s="26"/>
      <c r="I117" s="26" t="s">
        <v>16</v>
      </c>
      <c r="J117" s="25"/>
      <c r="L117" s="2" t="s">
        <v>15</v>
      </c>
      <c r="M117" s="50">
        <f>N3</f>
        <v>2026072</v>
      </c>
      <c r="O117" s="10"/>
      <c r="P117" s="2"/>
      <c r="Q117" s="4"/>
      <c r="AA117" s="305"/>
    </row>
    <row r="118" spans="1:35" ht="15.5" x14ac:dyDescent="0.35">
      <c r="B118" s="8"/>
      <c r="C118" s="2"/>
      <c r="D118" s="57"/>
      <c r="F118" s="36" t="s">
        <v>29</v>
      </c>
      <c r="G118" s="36"/>
      <c r="O118" s="10"/>
      <c r="P118" s="2"/>
      <c r="Q118" s="4"/>
      <c r="X118" s="305"/>
      <c r="Y118" s="305"/>
      <c r="AA118" s="305"/>
    </row>
    <row r="119" spans="1:35" x14ac:dyDescent="0.25">
      <c r="B119" s="8"/>
      <c r="F119" s="2" t="s">
        <v>30</v>
      </c>
      <c r="G119" s="2"/>
      <c r="M119" s="2" t="s">
        <v>1</v>
      </c>
      <c r="O119" s="10"/>
      <c r="P119" s="2"/>
      <c r="Q119" s="4"/>
      <c r="X119" s="305"/>
      <c r="Y119" s="305"/>
      <c r="AA119" s="305"/>
    </row>
    <row r="120" spans="1:35" x14ac:dyDescent="0.25">
      <c r="B120" s="8"/>
      <c r="I120" s="2"/>
      <c r="J120" s="2"/>
      <c r="O120" s="10"/>
      <c r="P120" s="2"/>
      <c r="Q120" s="4"/>
      <c r="X120" s="305"/>
      <c r="Y120" s="305"/>
      <c r="AA120" s="305"/>
    </row>
    <row r="121" spans="1:35" ht="15.5" x14ac:dyDescent="0.35">
      <c r="B121" s="8"/>
      <c r="F121" s="41" t="s">
        <v>37</v>
      </c>
      <c r="G121" s="41"/>
      <c r="H121" s="2"/>
      <c r="J121" s="2"/>
      <c r="O121" s="10"/>
      <c r="P121" s="2"/>
      <c r="Q121" s="4"/>
      <c r="X121" s="305"/>
      <c r="Y121" s="305"/>
    </row>
    <row r="122" spans="1:35" x14ac:dyDescent="0.25">
      <c r="B122" s="8"/>
      <c r="F122" s="2" t="s">
        <v>27</v>
      </c>
      <c r="G122" s="9">
        <f>G7</f>
        <v>46219</v>
      </c>
      <c r="J122" s="2" t="s">
        <v>28</v>
      </c>
      <c r="K122" s="9">
        <f>K7</f>
        <v>46234</v>
      </c>
      <c r="O122" s="10"/>
      <c r="P122" s="2"/>
      <c r="Q122" s="4"/>
      <c r="X122" s="305"/>
      <c r="Y122" s="305"/>
    </row>
    <row r="123" spans="1:35" ht="12" thickBot="1" x14ac:dyDescent="0.3">
      <c r="B123" s="8"/>
      <c r="C123" s="2" t="s">
        <v>1</v>
      </c>
      <c r="D123" s="2" t="s">
        <v>1</v>
      </c>
      <c r="O123" s="44"/>
      <c r="P123" s="2"/>
      <c r="Q123" s="4"/>
      <c r="X123" s="305"/>
      <c r="Y123" s="305"/>
    </row>
    <row r="124" spans="1:35" ht="46.5" thickBot="1" x14ac:dyDescent="0.3">
      <c r="B124" s="11" t="s">
        <v>3</v>
      </c>
      <c r="C124" s="12" t="s">
        <v>9</v>
      </c>
      <c r="D124" s="12" t="s">
        <v>38</v>
      </c>
      <c r="E124" s="73" t="s">
        <v>48</v>
      </c>
      <c r="G124" s="104" t="s">
        <v>47</v>
      </c>
      <c r="H124" s="73" t="s">
        <v>56</v>
      </c>
      <c r="I124" s="73" t="s">
        <v>130</v>
      </c>
      <c r="J124" s="73" t="s">
        <v>172</v>
      </c>
      <c r="K124" s="73" t="s">
        <v>143</v>
      </c>
      <c r="L124" s="73" t="s">
        <v>144</v>
      </c>
      <c r="O124" s="44"/>
      <c r="P124" s="13"/>
      <c r="Q124" s="4"/>
    </row>
    <row r="125" spans="1:35" s="305" customFormat="1" x14ac:dyDescent="0.25">
      <c r="B125" s="334">
        <v>1</v>
      </c>
      <c r="C125" s="335" t="s">
        <v>10</v>
      </c>
      <c r="D125" s="385">
        <f>'ANTICIPOS USUARIOS'!C3</f>
        <v>100931031.88</v>
      </c>
      <c r="E125" s="309">
        <v>0</v>
      </c>
      <c r="G125" s="336">
        <f>D47+N47</f>
        <v>49580</v>
      </c>
      <c r="H125" s="310">
        <f>D28+N28</f>
        <v>125948553.12</v>
      </c>
      <c r="I125" s="309">
        <f>D85+N85</f>
        <v>973693.46</v>
      </c>
      <c r="J125" s="309">
        <f>D66+N66</f>
        <v>-16536713.09</v>
      </c>
      <c r="K125" s="309">
        <f>'ANTICIPOS USUARIOS'!C12</f>
        <v>82340</v>
      </c>
      <c r="L125" s="309">
        <f>-'ANTICIPOS USUARIOS'!C21</f>
        <v>182537.90999999997</v>
      </c>
      <c r="O125" s="337"/>
      <c r="Q125" s="306"/>
      <c r="AG125" s="333"/>
    </row>
    <row r="126" spans="1:35" s="305" customFormat="1" x14ac:dyDescent="0.25">
      <c r="B126" s="314">
        <v>2</v>
      </c>
      <c r="C126" s="338" t="s">
        <v>11</v>
      </c>
      <c r="D126" s="292">
        <f>'ANTICIPOS USUARIOS'!C4</f>
        <v>136534753</v>
      </c>
      <c r="E126" s="288">
        <v>0</v>
      </c>
      <c r="G126" s="339">
        <f>D48+N48</f>
        <v>56190070</v>
      </c>
      <c r="H126" s="340">
        <f>D29+N29</f>
        <v>178539092.16</v>
      </c>
      <c r="I126" s="288">
        <f>D86+N86</f>
        <v>216025.77</v>
      </c>
      <c r="J126" s="288">
        <f>D67+N67</f>
        <v>-71069759</v>
      </c>
      <c r="K126" s="288">
        <f>'ANTICIPOS USUARIOS'!C13</f>
        <v>5228610</v>
      </c>
      <c r="L126" s="288">
        <f>-'ANTICIPOS USUARIOS'!C22</f>
        <v>0</v>
      </c>
      <c r="O126" s="337"/>
      <c r="Q126" s="306"/>
      <c r="AG126" s="333"/>
    </row>
    <row r="127" spans="1:35" s="305" customFormat="1" x14ac:dyDescent="0.25">
      <c r="B127" s="314">
        <v>3</v>
      </c>
      <c r="C127" s="338" t="s">
        <v>12</v>
      </c>
      <c r="D127" s="292">
        <f>'ANTICIPOS USUARIOS'!C5</f>
        <v>58884032.920000002</v>
      </c>
      <c r="E127" s="288">
        <v>0</v>
      </c>
      <c r="G127" s="339">
        <f>D49+N49</f>
        <v>1307680</v>
      </c>
      <c r="H127" s="340">
        <f>D30+N30</f>
        <v>26609070.66</v>
      </c>
      <c r="I127" s="288">
        <f>D87+N87</f>
        <v>104231.83</v>
      </c>
      <c r="J127" s="288">
        <f t="shared" ref="J127:J129" si="64">D68+N68</f>
        <v>-32310979.800000001</v>
      </c>
      <c r="K127" s="288">
        <f>'ANTICIPOS USUARIOS'!C14</f>
        <v>0</v>
      </c>
      <c r="L127" s="288">
        <f>-'ANTICIPOS USUARIOS'!C23</f>
        <v>2423600.2000000002</v>
      </c>
      <c r="O127" s="337"/>
      <c r="Q127" s="306"/>
      <c r="AG127" s="333"/>
    </row>
    <row r="128" spans="1:35" s="305" customFormat="1" x14ac:dyDescent="0.25">
      <c r="B128" s="314">
        <v>4</v>
      </c>
      <c r="C128" s="338" t="s">
        <v>13</v>
      </c>
      <c r="D128" s="292">
        <f>'ANTICIPOS USUARIOS'!C6</f>
        <v>73726637.340000004</v>
      </c>
      <c r="E128" s="288">
        <v>0</v>
      </c>
      <c r="G128" s="339">
        <f>D50+N50</f>
        <v>4343101</v>
      </c>
      <c r="H128" s="340">
        <f>D31+N31</f>
        <v>161461949.73000002</v>
      </c>
      <c r="I128" s="288">
        <f>D88+N88</f>
        <v>35954.44</v>
      </c>
      <c r="J128" s="288">
        <f t="shared" si="64"/>
        <v>-33738104.229999997</v>
      </c>
      <c r="K128" s="288">
        <f>'ANTICIPOS USUARIOS'!C15</f>
        <v>14538094</v>
      </c>
      <c r="L128" s="288">
        <f>-'ANTICIPOS USUARIOS'!C24</f>
        <v>14979759.77</v>
      </c>
      <c r="O128" s="337"/>
      <c r="Q128" s="306"/>
      <c r="AG128" s="333"/>
    </row>
    <row r="129" spans="1:33" s="305" customFormat="1" x14ac:dyDescent="0.25">
      <c r="B129" s="341">
        <v>5</v>
      </c>
      <c r="C129" s="342" t="s">
        <v>14</v>
      </c>
      <c r="D129" s="343">
        <f>'ANTICIPOS USUARIOS'!C7</f>
        <v>28383865.960000001</v>
      </c>
      <c r="E129" s="344">
        <v>0</v>
      </c>
      <c r="G129" s="339">
        <f>D51+N51</f>
        <v>441849</v>
      </c>
      <c r="H129" s="340">
        <f>D32+N32</f>
        <v>43973508.960000001</v>
      </c>
      <c r="I129" s="288">
        <f>D89+N89</f>
        <v>0</v>
      </c>
      <c r="J129" s="288">
        <f t="shared" si="64"/>
        <v>-3092375.53</v>
      </c>
      <c r="K129" s="288">
        <f>'ANTICIPOS USUARIOS'!C16</f>
        <v>87550</v>
      </c>
      <c r="L129" s="288">
        <f>-'ANTICIPOS USUARIOS'!C25</f>
        <v>215053.47</v>
      </c>
      <c r="O129" s="337"/>
      <c r="Q129" s="306"/>
      <c r="AG129" s="333"/>
    </row>
    <row r="130" spans="1:33" s="305" customFormat="1" ht="12" thickBot="1" x14ac:dyDescent="0.3">
      <c r="B130" s="324" t="s">
        <v>89</v>
      </c>
      <c r="C130" s="345" t="s">
        <v>113</v>
      </c>
      <c r="D130" s="297"/>
      <c r="E130" s="289">
        <f>'Recaudo Directa Occidente'!F26</f>
        <v>0</v>
      </c>
      <c r="G130" s="346"/>
      <c r="H130" s="347"/>
      <c r="I130" s="289"/>
      <c r="J130" s="289"/>
      <c r="K130" s="289"/>
      <c r="L130" s="289"/>
      <c r="O130" s="337"/>
      <c r="Q130" s="306"/>
      <c r="AG130" s="333"/>
    </row>
    <row r="131" spans="1:33" s="305" customFormat="1" ht="12" thickBot="1" x14ac:dyDescent="0.3">
      <c r="B131" s="348"/>
      <c r="C131" s="349" t="s">
        <v>2</v>
      </c>
      <c r="D131" s="350">
        <f>SUM(D125:D130)</f>
        <v>398460321.09999996</v>
      </c>
      <c r="E131" s="350">
        <f>SUM(E125:E130)</f>
        <v>0</v>
      </c>
      <c r="F131" s="351"/>
      <c r="G131" s="350">
        <f t="shared" ref="G131" si="65">SUM(G125:G129)</f>
        <v>62332280</v>
      </c>
      <c r="H131" s="350">
        <f>SUM(H125:H130)</f>
        <v>536532174.63</v>
      </c>
      <c r="I131" s="350">
        <f>SUM(I125:I130)</f>
        <v>1329905.5</v>
      </c>
      <c r="J131" s="350">
        <f>SUM(J125:J130)</f>
        <v>-156747931.65000001</v>
      </c>
      <c r="K131" s="350">
        <f>SUM(K125:K130)</f>
        <v>19936594</v>
      </c>
      <c r="L131" s="350">
        <f>SUM(L125:L130)</f>
        <v>17800951.349999998</v>
      </c>
      <c r="M131" s="351"/>
      <c r="N131" s="351"/>
      <c r="O131" s="352"/>
      <c r="P131" s="329"/>
      <c r="Q131" s="306"/>
      <c r="AG131" s="333"/>
    </row>
    <row r="132" spans="1:33" x14ac:dyDescent="0.25">
      <c r="B132" s="2"/>
      <c r="C132" s="2"/>
      <c r="D132" s="24"/>
      <c r="Q132" s="4"/>
    </row>
    <row r="133" spans="1:33" x14ac:dyDescent="0.25">
      <c r="B133" s="2"/>
      <c r="C133" s="2"/>
      <c r="D133" s="24"/>
      <c r="L133" s="1" t="s">
        <v>1</v>
      </c>
      <c r="Q133" s="4"/>
    </row>
    <row r="134" spans="1:33" ht="12" thickBot="1" x14ac:dyDescent="0.3">
      <c r="B134" s="2"/>
      <c r="C134" s="2"/>
      <c r="D134" s="24"/>
      <c r="E134" s="33"/>
      <c r="F134" s="33"/>
      <c r="G134" s="33"/>
      <c r="H134" s="33"/>
      <c r="I134" s="24"/>
      <c r="K134" s="24"/>
      <c r="L134" s="24" t="s">
        <v>1</v>
      </c>
      <c r="M134" s="24" t="s">
        <v>1</v>
      </c>
      <c r="N134" s="24"/>
      <c r="O134" s="24"/>
      <c r="Q134" s="4"/>
    </row>
    <row r="135" spans="1:33" x14ac:dyDescent="0.25">
      <c r="B135" s="2"/>
      <c r="C135" s="2"/>
      <c r="D135" s="24"/>
      <c r="E135" s="24" t="s">
        <v>1</v>
      </c>
      <c r="F135" s="42" t="s">
        <v>36</v>
      </c>
      <c r="G135" s="42"/>
      <c r="H135" s="42"/>
      <c r="I135" s="24"/>
      <c r="K135" s="24"/>
      <c r="L135" s="24"/>
      <c r="M135" s="24"/>
      <c r="N135" s="24"/>
      <c r="O135" s="24"/>
      <c r="Q135" s="4"/>
    </row>
    <row r="136" spans="1:33" x14ac:dyDescent="0.25">
      <c r="A136" s="52"/>
      <c r="B136" s="53"/>
      <c r="C136" s="53"/>
      <c r="D136" s="54"/>
      <c r="E136" s="54"/>
      <c r="F136" s="54"/>
      <c r="G136" s="54"/>
      <c r="H136" s="54"/>
      <c r="I136" s="54"/>
      <c r="J136" s="52"/>
      <c r="K136" s="54"/>
      <c r="L136" s="54"/>
      <c r="M136" s="54"/>
      <c r="N136" s="54"/>
      <c r="O136" s="54"/>
      <c r="P136" s="52"/>
      <c r="Q136" s="4"/>
    </row>
    <row r="137" spans="1:33" x14ac:dyDescent="0.25">
      <c r="B137" s="2"/>
      <c r="C137" s="2"/>
      <c r="D137" s="24"/>
      <c r="E137" s="24"/>
      <c r="F137" s="24"/>
      <c r="G137" s="24"/>
      <c r="H137" s="24"/>
      <c r="I137" s="24"/>
      <c r="K137" s="24"/>
      <c r="L137" s="24"/>
      <c r="M137" s="24"/>
      <c r="N137" s="24"/>
      <c r="O137" s="24"/>
      <c r="Q137" s="4"/>
    </row>
    <row r="138" spans="1:33" x14ac:dyDescent="0.25">
      <c r="B138" s="2"/>
      <c r="C138" s="59" t="s">
        <v>49</v>
      </c>
      <c r="D138" s="64"/>
      <c r="E138" s="24"/>
      <c r="F138" s="24"/>
      <c r="G138" s="24"/>
      <c r="H138" s="24"/>
      <c r="I138" s="24"/>
      <c r="K138" s="24"/>
      <c r="L138" s="24"/>
      <c r="M138" s="24"/>
      <c r="N138" s="24"/>
      <c r="O138" s="24"/>
      <c r="Q138" s="35"/>
    </row>
    <row r="139" spans="1:33" x14ac:dyDescent="0.25">
      <c r="B139" s="2"/>
      <c r="C139" s="2"/>
      <c r="D139" s="24"/>
      <c r="E139" s="24"/>
      <c r="F139" s="24"/>
      <c r="G139" s="24"/>
      <c r="H139" s="24"/>
      <c r="I139" s="24"/>
      <c r="K139" s="24"/>
      <c r="L139" s="24"/>
      <c r="M139" s="24"/>
      <c r="N139" s="24"/>
      <c r="O139" s="24"/>
      <c r="Q139" s="35"/>
    </row>
    <row r="140" spans="1:33" ht="18.75" customHeight="1" thickBot="1" x14ac:dyDescent="0.3">
      <c r="B140" s="2"/>
      <c r="C140" s="2"/>
      <c r="D140" s="24"/>
      <c r="E140" s="24"/>
      <c r="F140" s="24"/>
      <c r="G140" s="24"/>
      <c r="H140" s="24"/>
      <c r="J140" s="24"/>
      <c r="K140" s="24"/>
      <c r="M140" s="24"/>
      <c r="N140" s="24"/>
      <c r="O140" s="24"/>
      <c r="P140" s="24"/>
      <c r="Q140" s="35"/>
    </row>
    <row r="141" spans="1:33" ht="46.5" thickBot="1" x14ac:dyDescent="0.3">
      <c r="B141" s="104" t="s">
        <v>3</v>
      </c>
      <c r="C141" s="105" t="s">
        <v>9</v>
      </c>
      <c r="D141" s="105" t="s">
        <v>44</v>
      </c>
      <c r="E141" s="105" t="s">
        <v>45</v>
      </c>
      <c r="F141" s="105" t="s">
        <v>31</v>
      </c>
      <c r="G141" s="105" t="s">
        <v>91</v>
      </c>
      <c r="H141" s="105" t="s">
        <v>128</v>
      </c>
      <c r="I141" s="105" t="s">
        <v>127</v>
      </c>
      <c r="J141" s="105" t="s">
        <v>47</v>
      </c>
      <c r="K141" s="105" t="s">
        <v>51</v>
      </c>
      <c r="L141" s="1" t="s">
        <v>1</v>
      </c>
      <c r="M141" s="56"/>
      <c r="N141" s="56"/>
      <c r="O141" s="56"/>
      <c r="P141" s="24"/>
      <c r="Q141" s="35"/>
      <c r="R141" s="24"/>
    </row>
    <row r="142" spans="1:33" x14ac:dyDescent="0.25">
      <c r="B142" s="108">
        <v>1</v>
      </c>
      <c r="C142" s="109" t="s">
        <v>10</v>
      </c>
      <c r="D142" s="110">
        <f>D104+N104+D125+E125</f>
        <v>17576437021.489998</v>
      </c>
      <c r="E142" s="110">
        <f>'Recaudo EAAB Reciprocidad'!F21+'Recaudo EAAB + Ciud Limp'!F21+'Recaudo Directa Occidente'!F21+'Recaudo ENEL'!F21+'Recaudo ENERBIT'!F21</f>
        <v>17466001908</v>
      </c>
      <c r="F142" s="110">
        <f>D28+N28</f>
        <v>125948553.12</v>
      </c>
      <c r="G142" s="110">
        <f>D66+N66</f>
        <v>-16536713.09</v>
      </c>
      <c r="H142" s="110">
        <f>D85+N85</f>
        <v>973693.46</v>
      </c>
      <c r="I142" s="110">
        <f>('REPORTE RECAUDO x BANCO'!E62+'REPORTE RECAUDO x BANCO'!E63+'REPORTE RECAUDO x BANCO'!E75)</f>
        <v>0</v>
      </c>
      <c r="J142" s="110">
        <f t="shared" ref="J142:K146" si="66">G125</f>
        <v>49580</v>
      </c>
      <c r="K142" s="111">
        <f t="shared" si="66"/>
        <v>125948553.12</v>
      </c>
      <c r="L142" s="598">
        <f>D142-E142-F142-G142-J142-H142-I142</f>
        <v>-2.1411105990409851E-6</v>
      </c>
      <c r="M142" s="1" t="b">
        <f t="shared" ref="M142:M147" si="67">INT(ABS(L142))=0</f>
        <v>1</v>
      </c>
      <c r="O142" s="55"/>
      <c r="P142" s="24"/>
      <c r="Q142" s="35"/>
      <c r="R142" s="24"/>
    </row>
    <row r="143" spans="1:33" x14ac:dyDescent="0.25">
      <c r="B143" s="16">
        <v>2</v>
      </c>
      <c r="C143" s="17" t="s">
        <v>11</v>
      </c>
      <c r="D143" s="18">
        <f>D105+N105+D126+E126</f>
        <v>20706132943.93</v>
      </c>
      <c r="E143" s="18">
        <f>'Recaudo EAAB Reciprocidad'!F22+'Recaudo EAAB + Ciud Limp'!F22+'Recaudo Directa Occidente'!F22+'Recaudo ENEL'!F22+'Recaudo ENERBIT'!F22</f>
        <v>20540888080</v>
      </c>
      <c r="F143" s="18">
        <f>D29+N29</f>
        <v>178539092.16</v>
      </c>
      <c r="G143" s="18">
        <f>D67+N67</f>
        <v>-71069759</v>
      </c>
      <c r="H143" s="18">
        <f>D86+N86</f>
        <v>216025.77</v>
      </c>
      <c r="I143" s="18">
        <f>('REPORTE RECAUDO x BANCO'!E64+'REPORTE RECAUDO x BANCO'!E65+'REPORTE RECAUDO x BANCO'!E66+'REPORTE RECAUDO x BANCO'!E76)</f>
        <v>1369435</v>
      </c>
      <c r="J143" s="18">
        <f>G126</f>
        <v>56190070</v>
      </c>
      <c r="K143" s="83">
        <f>H126</f>
        <v>178539092.16</v>
      </c>
      <c r="L143" s="598">
        <f>D143-E143-F143-G143-J143-H143-I143</f>
        <v>3.0873343348503113E-7</v>
      </c>
      <c r="M143" s="1" t="b">
        <f t="shared" si="67"/>
        <v>1</v>
      </c>
      <c r="O143" s="130"/>
      <c r="P143" s="24"/>
      <c r="Q143" s="35"/>
      <c r="R143" s="24"/>
    </row>
    <row r="144" spans="1:33" x14ac:dyDescent="0.25">
      <c r="B144" s="16">
        <v>3</v>
      </c>
      <c r="C144" s="17" t="s">
        <v>12</v>
      </c>
      <c r="D144" s="18">
        <f>D106+N106+D127+E127</f>
        <v>15295122463.690002</v>
      </c>
      <c r="E144" s="18">
        <f>'Recaudo EAAB Reciprocidad'!F23+'Recaudo EAAB + Ciud Limp'!F23+'Recaudo Directa Occidente'!F23+'Recaudo ENEL'!F23+'Recaudo ENERBIT'!F23</f>
        <v>15272372341</v>
      </c>
      <c r="F144" s="18">
        <f>D30+N30</f>
        <v>26609070.66</v>
      </c>
      <c r="G144" s="18">
        <f>D68+N68</f>
        <v>-32310979.800000001</v>
      </c>
      <c r="H144" s="18">
        <f>D87+N87</f>
        <v>104231.83</v>
      </c>
      <c r="I144" s="18">
        <f>('REPORTE RECAUDO x BANCO'!E67+'REPORTE RECAUDO x BANCO'!E68+'REPORTE RECAUDO x BANCO'!E77)</f>
        <v>27040120</v>
      </c>
      <c r="J144" s="18">
        <f>G127</f>
        <v>1307680</v>
      </c>
      <c r="K144" s="83">
        <f t="shared" si="66"/>
        <v>26609070.66</v>
      </c>
      <c r="L144" s="598">
        <f>D144-E144-F144-G144-J144-H144-I144</f>
        <v>2.4437904357910156E-6</v>
      </c>
      <c r="M144" s="1" t="b">
        <f t="shared" si="67"/>
        <v>1</v>
      </c>
      <c r="O144" s="55"/>
      <c r="P144" s="24"/>
      <c r="Q144" s="35"/>
      <c r="R144" s="24"/>
    </row>
    <row r="145" spans="1:20" x14ac:dyDescent="0.25">
      <c r="B145" s="16">
        <v>4</v>
      </c>
      <c r="C145" s="17" t="s">
        <v>13</v>
      </c>
      <c r="D145" s="18">
        <f>D107+N107+D128+E128</f>
        <v>7287450377.9399996</v>
      </c>
      <c r="E145" s="18">
        <f>'Recaudo EAAB Reciprocidad'!F24+'Recaudo EAAB + Ciud Limp'!F24+'Recaudo Directa Occidente'!F24+'Recaudo ENEL'!F24+'Recaudo ENERBIT'!F24</f>
        <v>7142916567</v>
      </c>
      <c r="F145" s="18">
        <f>D31+N31</f>
        <v>161461949.73000002</v>
      </c>
      <c r="G145" s="18">
        <f>D69+N69</f>
        <v>-33738104.229999997</v>
      </c>
      <c r="H145" s="18">
        <f>D88+N88</f>
        <v>35954.44</v>
      </c>
      <c r="I145" s="18">
        <f>('REPORTE RECAUDO x BANCO'!E69+'REPORTE RECAUDO x BANCO'!E70+'REPORTE RECAUDO x BANCO'!E71+'REPORTE RECAUDO x BANCO'!E78)</f>
        <v>12430910</v>
      </c>
      <c r="J145" s="18">
        <f t="shared" si="66"/>
        <v>4343101</v>
      </c>
      <c r="K145" s="83">
        <f>H128</f>
        <v>161461949.73000002</v>
      </c>
      <c r="L145" s="598">
        <f t="shared" ref="L145:L147" si="68">D145-E145-F145-G145-J145-H145-I145</f>
        <v>-4.4144690036773682E-7</v>
      </c>
      <c r="M145" s="1" t="b">
        <f t="shared" si="67"/>
        <v>1</v>
      </c>
      <c r="O145" s="96"/>
      <c r="P145" s="24"/>
      <c r="Q145" s="35"/>
      <c r="R145" s="24"/>
    </row>
    <row r="146" spans="1:20" ht="12" thickBot="1" x14ac:dyDescent="0.3">
      <c r="B146" s="133">
        <v>5</v>
      </c>
      <c r="C146" s="138" t="s">
        <v>14</v>
      </c>
      <c r="D146" s="134">
        <f>D108+N108+D129+E129</f>
        <v>12117620263.429998</v>
      </c>
      <c r="E146" s="18">
        <f>'Recaudo EAAB Reciprocidad'!F25+'Recaudo EAAB + Ciud Limp'!F25+'Recaudo Directa Occidente'!F25+'Recaudo ENEL'!F25+'Recaudo ENERBIT'!F25</f>
        <v>12075771071</v>
      </c>
      <c r="F146" s="134">
        <f>D32+N32</f>
        <v>43973508.960000001</v>
      </c>
      <c r="G146" s="134">
        <f>D70+N70</f>
        <v>-3092375.53</v>
      </c>
      <c r="H146" s="134">
        <f>D89+N89</f>
        <v>0</v>
      </c>
      <c r="I146" s="134">
        <f>('REPORTE RECAUDO x BANCO'!E72+'REPORTE RECAUDO x BANCO'!E73+'REPORTE RECAUDO x BANCO'!E79)</f>
        <v>526210</v>
      </c>
      <c r="J146" s="134">
        <f t="shared" si="66"/>
        <v>441849</v>
      </c>
      <c r="K146" s="136">
        <f t="shared" si="66"/>
        <v>43973508.960000001</v>
      </c>
      <c r="L146" s="598">
        <f t="shared" si="68"/>
        <v>-1.6032718122005463E-6</v>
      </c>
      <c r="M146" s="1" t="b">
        <f t="shared" si="67"/>
        <v>1</v>
      </c>
      <c r="O146" s="55"/>
      <c r="P146" s="24"/>
      <c r="Q146" s="35"/>
      <c r="R146" s="24"/>
    </row>
    <row r="147" spans="1:20" ht="12" thickBot="1" x14ac:dyDescent="0.3">
      <c r="B147" s="21"/>
      <c r="C147" s="22" t="s">
        <v>2</v>
      </c>
      <c r="D147" s="47">
        <f>SUM(D142:D146)</f>
        <v>72982763070.479996</v>
      </c>
      <c r="E147" s="47">
        <f>SUM(E142:E146)</f>
        <v>72497949967</v>
      </c>
      <c r="F147" s="47">
        <f t="shared" ref="F147:K147" si="69">SUM(F142:F146)</f>
        <v>536532174.63</v>
      </c>
      <c r="G147" s="47">
        <f t="shared" si="69"/>
        <v>-156747931.65000001</v>
      </c>
      <c r="H147" s="47">
        <f>SUM(H142:H146)</f>
        <v>1329905.5</v>
      </c>
      <c r="I147" s="47">
        <f t="shared" si="69"/>
        <v>41366675</v>
      </c>
      <c r="J147" s="47">
        <f t="shared" si="69"/>
        <v>62332280</v>
      </c>
      <c r="K147" s="47">
        <f t="shared" si="69"/>
        <v>536532174.63</v>
      </c>
      <c r="L147" s="598">
        <f t="shared" si="68"/>
        <v>-4.2617321014404297E-6</v>
      </c>
      <c r="M147" s="1" t="b">
        <f t="shared" si="67"/>
        <v>1</v>
      </c>
      <c r="P147" s="24"/>
      <c r="Q147" s="35"/>
      <c r="R147" s="24"/>
    </row>
    <row r="148" spans="1:20" x14ac:dyDescent="0.25">
      <c r="B148" s="2"/>
      <c r="E148" s="24"/>
      <c r="F148" s="55"/>
      <c r="H148" s="55"/>
      <c r="L148" s="24"/>
      <c r="M148" s="24"/>
      <c r="N148" s="24"/>
      <c r="O148" s="24"/>
      <c r="P148" s="24"/>
      <c r="Q148" s="35"/>
    </row>
    <row r="149" spans="1:20" ht="21.75" customHeight="1" x14ac:dyDescent="0.25">
      <c r="B149" s="2"/>
      <c r="C149" s="2"/>
      <c r="D149" s="24"/>
      <c r="E149" s="24"/>
      <c r="F149" s="24"/>
      <c r="G149" s="24"/>
      <c r="H149" s="24"/>
      <c r="I149" s="24"/>
      <c r="J149" s="1" t="s">
        <v>1</v>
      </c>
      <c r="K149" s="24"/>
      <c r="L149" s="24"/>
      <c r="M149" s="24"/>
      <c r="N149" s="24"/>
      <c r="O149" s="24"/>
      <c r="Q149" s="35"/>
    </row>
    <row r="150" spans="1:20" x14ac:dyDescent="0.25">
      <c r="B150" s="2"/>
      <c r="C150" s="2"/>
      <c r="D150" s="24"/>
      <c r="E150" s="24"/>
      <c r="F150" s="24"/>
      <c r="G150" s="24"/>
      <c r="H150" s="24"/>
      <c r="I150" s="24"/>
      <c r="J150" s="55"/>
      <c r="K150" s="24"/>
      <c r="L150" s="24"/>
      <c r="M150" s="24"/>
      <c r="N150" s="24"/>
      <c r="O150" s="24"/>
      <c r="Q150" s="35"/>
      <c r="T150" s="24"/>
    </row>
    <row r="151" spans="1:20" x14ac:dyDescent="0.25">
      <c r="A151" s="52"/>
      <c r="B151" s="53"/>
      <c r="C151" s="53"/>
      <c r="D151" s="54"/>
      <c r="E151" s="54"/>
      <c r="F151" s="54"/>
      <c r="G151" s="54"/>
      <c r="H151" s="54"/>
      <c r="I151" s="54"/>
      <c r="J151" s="52"/>
      <c r="K151" s="54"/>
      <c r="L151" s="54"/>
      <c r="M151" s="54"/>
      <c r="N151" s="54"/>
      <c r="O151" s="54"/>
      <c r="P151" s="52"/>
      <c r="Q151" s="54"/>
      <c r="T151" s="24"/>
    </row>
    <row r="152" spans="1:20" x14ac:dyDescent="0.25">
      <c r="E152" s="55"/>
      <c r="N152" s="24"/>
      <c r="O152" s="24"/>
      <c r="Q152" s="24"/>
      <c r="T152" s="24"/>
    </row>
    <row r="153" spans="1:20" x14ac:dyDescent="0.25">
      <c r="N153" s="24"/>
      <c r="O153" s="24"/>
      <c r="Q153" s="24"/>
      <c r="T153" s="24"/>
    </row>
    <row r="154" spans="1:20" x14ac:dyDescent="0.25">
      <c r="D154" s="305"/>
      <c r="E154" s="96"/>
      <c r="F154" s="305"/>
      <c r="G154" s="305"/>
      <c r="H154" s="305"/>
      <c r="K154" s="588"/>
      <c r="N154" s="24"/>
      <c r="O154" s="24"/>
      <c r="Q154" s="24"/>
      <c r="T154" s="24"/>
    </row>
    <row r="155" spans="1:20" x14ac:dyDescent="0.25">
      <c r="D155" s="305"/>
      <c r="K155" s="589"/>
      <c r="N155" s="24"/>
      <c r="O155" s="24"/>
      <c r="Q155" s="24"/>
      <c r="T155" s="24"/>
    </row>
    <row r="156" spans="1:20" x14ac:dyDescent="0.25">
      <c r="D156" s="588"/>
      <c r="N156" s="24"/>
      <c r="O156" s="24"/>
      <c r="Q156" s="24"/>
      <c r="T156" s="24"/>
    </row>
    <row r="157" spans="1:20" x14ac:dyDescent="0.25">
      <c r="N157" s="24"/>
      <c r="O157" s="24"/>
      <c r="Q157" s="24"/>
      <c r="T157" s="24"/>
    </row>
    <row r="158" spans="1:20" x14ac:dyDescent="0.25">
      <c r="N158" s="24"/>
      <c r="O158" s="24"/>
      <c r="Q158" s="24"/>
      <c r="T158" s="24"/>
    </row>
    <row r="159" spans="1:20" x14ac:dyDescent="0.25">
      <c r="N159" s="24"/>
      <c r="O159" s="24"/>
      <c r="Q159" s="24"/>
      <c r="T159" s="24"/>
    </row>
    <row r="160" spans="1:20" x14ac:dyDescent="0.25">
      <c r="N160" s="24"/>
      <c r="O160" s="24"/>
      <c r="Q160" s="24"/>
      <c r="T160" s="24"/>
    </row>
    <row r="161" spans="14:20" x14ac:dyDescent="0.25">
      <c r="N161" s="24"/>
      <c r="O161" s="24"/>
      <c r="Q161" s="24"/>
      <c r="T161" s="24"/>
    </row>
    <row r="162" spans="14:20" x14ac:dyDescent="0.25">
      <c r="N162" s="24"/>
      <c r="O162" s="24"/>
      <c r="Q162" s="24"/>
      <c r="T162" s="24"/>
    </row>
    <row r="163" spans="14:20" x14ac:dyDescent="0.25">
      <c r="N163" s="24"/>
      <c r="O163" s="24"/>
      <c r="Q163" s="24"/>
      <c r="T163" s="24"/>
    </row>
    <row r="164" spans="14:20" x14ac:dyDescent="0.25">
      <c r="N164" s="24"/>
      <c r="O164" s="24"/>
      <c r="Q164" s="24"/>
      <c r="T164" s="24"/>
    </row>
    <row r="165" spans="14:20" x14ac:dyDescent="0.25">
      <c r="N165" s="24"/>
      <c r="O165" s="24"/>
      <c r="Q165" s="24"/>
      <c r="T165" s="24"/>
    </row>
    <row r="166" spans="14:20" x14ac:dyDescent="0.25">
      <c r="Q166" s="24"/>
      <c r="T166" s="24"/>
    </row>
    <row r="167" spans="14:20" x14ac:dyDescent="0.25">
      <c r="Q167" s="24"/>
    </row>
  </sheetData>
  <phoneticPr fontId="21" type="noConversion"/>
  <conditionalFormatting sqref="L142:L147">
    <cfRule type="expression" dxfId="75" priority="6">
      <formula>$L$142&lt;&gt;0</formula>
    </cfRule>
  </conditionalFormatting>
  <conditionalFormatting sqref="M142:M147">
    <cfRule type="cellIs" dxfId="74" priority="19" operator="notEqual">
      <formula>TRUE</formula>
    </cfRule>
  </conditionalFormatting>
  <conditionalFormatting sqref="AH9:AH14">
    <cfRule type="cellIs" dxfId="73" priority="1" operator="notEqual">
      <formula>TRUE</formula>
    </cfRule>
  </conditionalFormatting>
  <conditionalFormatting sqref="AH28:AH33">
    <cfRule type="cellIs" dxfId="72" priority="2" operator="notEqual">
      <formula>TRUE</formula>
    </cfRule>
  </conditionalFormatting>
  <conditionalFormatting sqref="AH47:AH52">
    <cfRule type="cellIs" dxfId="71" priority="3" operator="notEqual">
      <formula>TRUE</formula>
    </cfRule>
  </conditionalFormatting>
  <conditionalFormatting sqref="AH66:AH71">
    <cfRule type="cellIs" dxfId="70" priority="4" operator="notEqual">
      <formula>TRUE</formula>
    </cfRule>
  </conditionalFormatting>
  <conditionalFormatting sqref="AH85:AH90">
    <cfRule type="cellIs" dxfId="69" priority="5" operator="notEqual">
      <formula>TRUE</formula>
    </cfRule>
  </conditionalFormatting>
  <conditionalFormatting sqref="AH104:AH109">
    <cfRule type="cellIs" dxfId="68" priority="7" operator="notEqual">
      <formula>TRUE</formula>
    </cfRule>
  </conditionalFormatting>
  <printOptions horizontalCentered="1" verticalCentered="1"/>
  <pageMargins left="0.55118110236220474" right="0.74803149606299213" top="0.98425196850393704" bottom="0.78740157480314965" header="0" footer="0"/>
  <pageSetup scale="19" orientation="landscape" r:id="rId1"/>
  <headerFooter alignWithMargins="0"/>
  <ignoredErrors>
    <ignoredError sqref="M104:M108 K104:K108 AD104:AD108" formula="1"/>
  </ignoredErrors>
  <drawing r:id="rId2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tabColor rgb="FF00FF00"/>
  </sheetPr>
  <dimension ref="B1:R38"/>
  <sheetViews>
    <sheetView zoomScale="90" zoomScaleNormal="90" workbookViewId="0">
      <selection activeCell="B1" sqref="B1"/>
    </sheetView>
  </sheetViews>
  <sheetFormatPr baseColWidth="10" defaultRowHeight="12.5" x14ac:dyDescent="0.25"/>
  <cols>
    <col min="1" max="1" width="3" customWidth="1"/>
    <col min="2" max="2" width="4.1796875" bestFit="1" customWidth="1"/>
    <col min="3" max="4" width="16.81640625" customWidth="1"/>
    <col min="5" max="7" width="17.81640625" customWidth="1"/>
    <col min="8" max="8" width="18.1796875" customWidth="1"/>
    <col min="9" max="9" width="15.81640625" customWidth="1"/>
    <col min="10" max="10" width="16.453125" customWidth="1"/>
    <col min="11" max="11" width="15.81640625" customWidth="1"/>
    <col min="12" max="13" width="18.1796875" customWidth="1"/>
    <col min="14" max="14" width="15.81640625" customWidth="1"/>
    <col min="15" max="15" width="16" bestFit="1" customWidth="1"/>
    <col min="16" max="16" width="14.453125" customWidth="1"/>
    <col min="17" max="17" width="17.453125" bestFit="1" customWidth="1"/>
  </cols>
  <sheetData>
    <row r="1" spans="2:16" ht="13" thickBot="1" x14ac:dyDescent="0.3"/>
    <row r="2" spans="2:16" ht="35" thickBot="1" x14ac:dyDescent="0.3">
      <c r="B2" s="11" t="s">
        <v>3</v>
      </c>
      <c r="C2" s="28" t="s">
        <v>55</v>
      </c>
      <c r="D2" s="28" t="s">
        <v>50</v>
      </c>
      <c r="E2" s="28" t="s">
        <v>57</v>
      </c>
      <c r="F2" s="28" t="s">
        <v>129</v>
      </c>
      <c r="G2" s="28" t="s">
        <v>130</v>
      </c>
      <c r="H2" s="131" t="s">
        <v>52</v>
      </c>
      <c r="I2" s="12" t="s">
        <v>58</v>
      </c>
      <c r="J2" s="12" t="s">
        <v>59</v>
      </c>
      <c r="K2" s="12" t="s">
        <v>53</v>
      </c>
      <c r="L2" s="27" t="s">
        <v>60</v>
      </c>
      <c r="M2" s="65" t="s">
        <v>92</v>
      </c>
      <c r="N2" s="132" t="s">
        <v>54</v>
      </c>
    </row>
    <row r="3" spans="2:16" s="355" customFormat="1" x14ac:dyDescent="0.25">
      <c r="B3" s="303">
        <v>1</v>
      </c>
      <c r="C3" s="292">
        <f>'Recaudo EAAB Reciprocidad'!F21+'Recaudo EAAB + Ciud Limp'!F21+'Recaudo Directa Occidente'!F21+'Recaudo ENEL'!F21+'Recaudo ENERBIT'!F21</f>
        <v>17466001908</v>
      </c>
      <c r="D3" s="292">
        <f>'CONSOLIDADO_TOTAL RECAUDO'!G125</f>
        <v>49580</v>
      </c>
      <c r="E3" s="292">
        <f>'CONSOLIDADO_TOTAL RECAUDO'!D28+'CONSOLIDADO_TOTAL RECAUDO'!N28</f>
        <v>125948553.12</v>
      </c>
      <c r="F3" s="292">
        <f>'CONSOLIDADO_TOTAL RECAUDO'!I142</f>
        <v>0</v>
      </c>
      <c r="G3" s="292">
        <f>'CONSOLIDADO_TOTAL RECAUDO'!H142</f>
        <v>973693.46</v>
      </c>
      <c r="H3" s="340">
        <f>SUM(C3:G3)</f>
        <v>17592973734.579998</v>
      </c>
      <c r="I3" s="291">
        <f>'CONSOLIDADO_TOTAL RECAUDO'!D104</f>
        <v>17450228673.349998</v>
      </c>
      <c r="J3" s="292">
        <f>'CONSOLIDADO_TOTAL RECAUDO'!N104</f>
        <v>25277316.260000002</v>
      </c>
      <c r="K3" s="292">
        <f>'CONSOLIDADO_TOTAL RECAUDO'!D125</f>
        <v>100931031.88</v>
      </c>
      <c r="L3" s="353">
        <f>'CONSOLIDADO_TOTAL RECAUDO'!E125</f>
        <v>0</v>
      </c>
      <c r="M3" s="292">
        <f>-'CONSOLIDADO_TOTAL RECAUDO'!D66-'CONSOLIDADO_TOTAL RECAUDO'!N66</f>
        <v>16536713.09</v>
      </c>
      <c r="N3" s="288">
        <f>SUM(I3:M3)</f>
        <v>17592973734.579998</v>
      </c>
      <c r="O3" s="354">
        <f>H3-N3</f>
        <v>0</v>
      </c>
      <c r="P3" s="1" t="b">
        <f t="shared" ref="P3:P9" si="0">INT(O3)=0</f>
        <v>1</v>
      </c>
    </row>
    <row r="4" spans="2:16" s="355" customFormat="1" x14ac:dyDescent="0.25">
      <c r="B4" s="314">
        <v>2</v>
      </c>
      <c r="C4" s="292">
        <f>'Recaudo EAAB Reciprocidad'!F22+'Recaudo EAAB + Ciud Limp'!F22+'Recaudo Directa Occidente'!F22+'Recaudo ENEL'!F22+'Recaudo ENERBIT'!F22</f>
        <v>20540888080</v>
      </c>
      <c r="D4" s="292">
        <f>'CONSOLIDADO_TOTAL RECAUDO'!G126</f>
        <v>56190070</v>
      </c>
      <c r="E4" s="292">
        <f>'CONSOLIDADO_TOTAL RECAUDO'!D29+'CONSOLIDADO_TOTAL RECAUDO'!N29</f>
        <v>178539092.16</v>
      </c>
      <c r="F4" s="292">
        <f>'CONSOLIDADO_TOTAL RECAUDO'!I143</f>
        <v>1369435</v>
      </c>
      <c r="G4" s="292">
        <f>'CONSOLIDADO_TOTAL RECAUDO'!H143</f>
        <v>216025.77</v>
      </c>
      <c r="H4" s="340">
        <f t="shared" ref="H4:H8" si="1">SUM(C4:G4)</f>
        <v>20777202702.93</v>
      </c>
      <c r="I4" s="291">
        <f>'CONSOLIDADO_TOTAL RECAUDO'!D105</f>
        <v>20516143969.650002</v>
      </c>
      <c r="J4" s="292">
        <f>'CONSOLIDADO_TOTAL RECAUDO'!N105</f>
        <v>53454221.280000001</v>
      </c>
      <c r="K4" s="292">
        <f>'CONSOLIDADO_TOTAL RECAUDO'!D126</f>
        <v>136534753</v>
      </c>
      <c r="L4" s="353">
        <f>'CONSOLIDADO_TOTAL RECAUDO'!E126</f>
        <v>0</v>
      </c>
      <c r="M4" s="292">
        <f>-'CONSOLIDADO_TOTAL RECAUDO'!D67-'CONSOLIDADO_TOTAL RECAUDO'!N67</f>
        <v>71069759</v>
      </c>
      <c r="N4" s="318">
        <f>SUM(I4:M4)</f>
        <v>20777202702.93</v>
      </c>
      <c r="O4" s="354">
        <f t="shared" ref="O4:O6" si="2">H4-N4</f>
        <v>0</v>
      </c>
      <c r="P4" s="1" t="b">
        <f t="shared" si="0"/>
        <v>1</v>
      </c>
    </row>
    <row r="5" spans="2:16" s="355" customFormat="1" x14ac:dyDescent="0.25">
      <c r="B5" s="314">
        <v>3</v>
      </c>
      <c r="C5" s="292">
        <f>'Recaudo EAAB Reciprocidad'!F23+'Recaudo EAAB + Ciud Limp'!F23+'Recaudo Directa Occidente'!F23+'Recaudo ENEL'!F23+'Recaudo ENERBIT'!F23</f>
        <v>15272372341</v>
      </c>
      <c r="D5" s="292">
        <f>'CONSOLIDADO_TOTAL RECAUDO'!G127</f>
        <v>1307680</v>
      </c>
      <c r="E5" s="292">
        <f>'CONSOLIDADO_TOTAL RECAUDO'!D30+'CONSOLIDADO_TOTAL RECAUDO'!N30</f>
        <v>26609070.66</v>
      </c>
      <c r="F5" s="292">
        <f>'CONSOLIDADO_TOTAL RECAUDO'!I144</f>
        <v>27040120</v>
      </c>
      <c r="G5" s="292">
        <f>'CONSOLIDADO_TOTAL RECAUDO'!H144</f>
        <v>104231.83</v>
      </c>
      <c r="H5" s="340">
        <f t="shared" si="1"/>
        <v>15327433443.49</v>
      </c>
      <c r="I5" s="291">
        <f>'CONSOLIDADO_TOTAL RECAUDO'!D106</f>
        <v>15221896467.450003</v>
      </c>
      <c r="J5" s="292">
        <f>'CONSOLIDADO_TOTAL RECAUDO'!N106</f>
        <v>14341963.319999998</v>
      </c>
      <c r="K5" s="292">
        <f>'CONSOLIDADO_TOTAL RECAUDO'!D127</f>
        <v>58884032.920000002</v>
      </c>
      <c r="L5" s="353">
        <f>'CONSOLIDADO_TOTAL RECAUDO'!E127</f>
        <v>0</v>
      </c>
      <c r="M5" s="292">
        <f>-'CONSOLIDADO_TOTAL RECAUDO'!D68-'CONSOLIDADO_TOTAL RECAUDO'!N68</f>
        <v>32310979.800000001</v>
      </c>
      <c r="N5" s="318">
        <f>SUM(I5:M5)</f>
        <v>15327433443.490002</v>
      </c>
      <c r="O5" s="354">
        <f>H5-N5</f>
        <v>0</v>
      </c>
      <c r="P5" s="1" t="b">
        <f t="shared" si="0"/>
        <v>1</v>
      </c>
    </row>
    <row r="6" spans="2:16" s="355" customFormat="1" x14ac:dyDescent="0.25">
      <c r="B6" s="314">
        <v>4</v>
      </c>
      <c r="C6" s="292">
        <f>'Recaudo EAAB Reciprocidad'!F24+'Recaudo EAAB + Ciud Limp'!F24+'Recaudo Directa Occidente'!F24+'Recaudo ENEL'!F24+'Recaudo ENERBIT'!F24</f>
        <v>7142916567</v>
      </c>
      <c r="D6" s="292">
        <f>'CONSOLIDADO_TOTAL RECAUDO'!G128</f>
        <v>4343101</v>
      </c>
      <c r="E6" s="292">
        <f>'CONSOLIDADO_TOTAL RECAUDO'!D31+'CONSOLIDADO_TOTAL RECAUDO'!N31</f>
        <v>161461949.73000002</v>
      </c>
      <c r="F6" s="292">
        <f>'CONSOLIDADO_TOTAL RECAUDO'!I145</f>
        <v>12430910</v>
      </c>
      <c r="G6" s="292">
        <f>'CONSOLIDADO_TOTAL RECAUDO'!H145</f>
        <v>35954.44</v>
      </c>
      <c r="H6" s="340">
        <f t="shared" si="1"/>
        <v>7321188482.1699991</v>
      </c>
      <c r="I6" s="291">
        <f>'CONSOLIDADO_TOTAL RECAUDO'!D107</f>
        <v>7179595395.6699991</v>
      </c>
      <c r="J6" s="292">
        <f>'CONSOLIDADO_TOTAL RECAUDO'!N107</f>
        <v>34128344.93</v>
      </c>
      <c r="K6" s="292">
        <f>'CONSOLIDADO_TOTAL RECAUDO'!D128</f>
        <v>73726637.340000004</v>
      </c>
      <c r="L6" s="353">
        <f>'CONSOLIDADO_TOTAL RECAUDO'!E128</f>
        <v>0</v>
      </c>
      <c r="M6" s="292">
        <f>-'CONSOLIDADO_TOTAL RECAUDO'!D69-'CONSOLIDADO_TOTAL RECAUDO'!N69</f>
        <v>33738104.229999997</v>
      </c>
      <c r="N6" s="318">
        <f t="shared" ref="N6:N7" si="3">SUM(I6:M6)</f>
        <v>7321188482.1699991</v>
      </c>
      <c r="O6" s="354">
        <f t="shared" si="2"/>
        <v>0</v>
      </c>
      <c r="P6" s="1" t="b">
        <f t="shared" si="0"/>
        <v>1</v>
      </c>
    </row>
    <row r="7" spans="2:16" s="355" customFormat="1" x14ac:dyDescent="0.25">
      <c r="B7" s="314">
        <v>5</v>
      </c>
      <c r="C7" s="292">
        <f>'Recaudo EAAB Reciprocidad'!F25+'Recaudo EAAB + Ciud Limp'!F25+'Recaudo Directa Occidente'!F25+'Recaudo ENEL'!F25+'Recaudo ENERBIT'!F25</f>
        <v>12075771071</v>
      </c>
      <c r="D7" s="292">
        <f>'CONSOLIDADO_TOTAL RECAUDO'!G129</f>
        <v>441849</v>
      </c>
      <c r="E7" s="292">
        <f>'CONSOLIDADO_TOTAL RECAUDO'!D32+'CONSOLIDADO_TOTAL RECAUDO'!N32</f>
        <v>43973508.960000001</v>
      </c>
      <c r="F7" s="292">
        <f>'CONSOLIDADO_TOTAL RECAUDO'!I146</f>
        <v>526210</v>
      </c>
      <c r="G7" s="292">
        <f>'CONSOLIDADO_TOTAL RECAUDO'!H146</f>
        <v>0</v>
      </c>
      <c r="H7" s="340">
        <f>SUM(C7:G7)</f>
        <v>12120712638.959999</v>
      </c>
      <c r="I7" s="291">
        <f>'CONSOLIDADO_TOTAL RECAUDO'!D108</f>
        <v>12073344661.59</v>
      </c>
      <c r="J7" s="292">
        <f>'CONSOLIDADO_TOTAL RECAUDO'!N108</f>
        <v>15891735.880000001</v>
      </c>
      <c r="K7" s="292">
        <f>'CONSOLIDADO_TOTAL RECAUDO'!D129</f>
        <v>28383865.960000001</v>
      </c>
      <c r="L7" s="353">
        <f>'CONSOLIDADO_TOTAL RECAUDO'!E129</f>
        <v>0</v>
      </c>
      <c r="M7" s="292">
        <f>-'CONSOLIDADO_TOTAL RECAUDO'!D70-'CONSOLIDADO_TOTAL RECAUDO'!N70</f>
        <v>3092375.53</v>
      </c>
      <c r="N7" s="318">
        <f t="shared" si="3"/>
        <v>12120712638.959999</v>
      </c>
      <c r="O7" s="354">
        <f>H7-N7</f>
        <v>0</v>
      </c>
      <c r="P7" s="1" t="b">
        <f t="shared" si="0"/>
        <v>1</v>
      </c>
    </row>
    <row r="8" spans="2:16" s="355" customFormat="1" ht="13" thickBot="1" x14ac:dyDescent="0.3">
      <c r="B8" s="341" t="s">
        <v>89</v>
      </c>
      <c r="C8" s="356">
        <f>'Recaudo EAAB Reciprocidad'!F26+'Recaudo EAAB + Ciud Limp'!F26+'Recaudo Directa Occidente'!F26+'Recaudo ENEL'!F26+'Recaudo ENERBIT'!F26</f>
        <v>0</v>
      </c>
      <c r="D8" s="356">
        <v>0</v>
      </c>
      <c r="E8" s="356">
        <v>0</v>
      </c>
      <c r="F8" s="356">
        <v>0</v>
      </c>
      <c r="G8" s="356">
        <v>0</v>
      </c>
      <c r="H8" s="340">
        <f t="shared" si="1"/>
        <v>0</v>
      </c>
      <c r="I8" s="357">
        <v>0</v>
      </c>
      <c r="J8" s="343">
        <v>0</v>
      </c>
      <c r="K8" s="343">
        <v>0</v>
      </c>
      <c r="L8" s="353">
        <f>'CONSOLIDADO_TOTAL RECAUDO'!E130</f>
        <v>0</v>
      </c>
      <c r="M8" s="356">
        <v>0</v>
      </c>
      <c r="N8" s="358">
        <f>SUM(I8:L8)-M8</f>
        <v>0</v>
      </c>
      <c r="O8" s="354">
        <f>H8-N8</f>
        <v>0</v>
      </c>
      <c r="P8" s="1" t="b">
        <f t="shared" si="0"/>
        <v>1</v>
      </c>
    </row>
    <row r="9" spans="2:16" s="355" customFormat="1" ht="13" thickBot="1" x14ac:dyDescent="0.3">
      <c r="B9" s="327"/>
      <c r="C9" s="290">
        <f>SUM(C3:C8)</f>
        <v>72497949967</v>
      </c>
      <c r="D9" s="290">
        <f t="shared" ref="D9:L9" si="4">SUM(D3:D8)</f>
        <v>62332280</v>
      </c>
      <c r="E9" s="290">
        <f t="shared" si="4"/>
        <v>536532174.63</v>
      </c>
      <c r="F9" s="290">
        <f t="shared" si="4"/>
        <v>41366675</v>
      </c>
      <c r="G9" s="290">
        <f t="shared" si="4"/>
        <v>1329905.5</v>
      </c>
      <c r="H9" s="290">
        <f>SUM(H3:H8)</f>
        <v>73139511002.12999</v>
      </c>
      <c r="I9" s="290">
        <f t="shared" si="4"/>
        <v>72441209167.710007</v>
      </c>
      <c r="J9" s="290">
        <f t="shared" si="4"/>
        <v>143093581.66999999</v>
      </c>
      <c r="K9" s="290">
        <f t="shared" si="4"/>
        <v>398460321.09999996</v>
      </c>
      <c r="L9" s="290">
        <f t="shared" si="4"/>
        <v>0</v>
      </c>
      <c r="M9" s="290">
        <f>SUM(M3:M8)</f>
        <v>156747931.65000001</v>
      </c>
      <c r="N9" s="290">
        <f>SUM(N3:N8)</f>
        <v>73139511002.130005</v>
      </c>
      <c r="O9" s="359">
        <f>SUM(O3:O8)</f>
        <v>0</v>
      </c>
      <c r="P9" s="1" t="b">
        <f t="shared" si="0"/>
        <v>1</v>
      </c>
    </row>
    <row r="11" spans="2:16" ht="13" x14ac:dyDescent="0.3">
      <c r="B11" s="102" t="s">
        <v>89</v>
      </c>
      <c r="C11" s="103" t="s">
        <v>90</v>
      </c>
      <c r="M11" s="141"/>
      <c r="O11" s="137"/>
    </row>
    <row r="12" spans="2:16" x14ac:dyDescent="0.25">
      <c r="C12" s="143"/>
    </row>
    <row r="13" spans="2:16" x14ac:dyDescent="0.25">
      <c r="B13" s="142"/>
      <c r="C13" s="143" t="s">
        <v>1</v>
      </c>
    </row>
    <row r="14" spans="2:16" x14ac:dyDescent="0.25">
      <c r="C14" s="245">
        <f>'Valida - Control Recaudo'!F10</f>
        <v>72497949967</v>
      </c>
    </row>
    <row r="15" spans="2:16" x14ac:dyDescent="0.25">
      <c r="C15" s="249" t="b">
        <f>C14=C9</f>
        <v>1</v>
      </c>
    </row>
    <row r="16" spans="2:16" x14ac:dyDescent="0.25">
      <c r="C16" s="355"/>
    </row>
    <row r="18" spans="3:18" ht="13.5" thickBot="1" x14ac:dyDescent="0.35">
      <c r="D18" s="702" t="s">
        <v>271</v>
      </c>
      <c r="E18" s="702"/>
    </row>
    <row r="19" spans="3:18" ht="35" thickBot="1" x14ac:dyDescent="0.3">
      <c r="D19" s="28" t="s">
        <v>55</v>
      </c>
      <c r="E19" s="28" t="s">
        <v>50</v>
      </c>
      <c r="F19" s="28" t="s">
        <v>57</v>
      </c>
      <c r="G19" s="28" t="s">
        <v>129</v>
      </c>
      <c r="H19" s="28" t="s">
        <v>130</v>
      </c>
      <c r="I19" s="131" t="s">
        <v>52</v>
      </c>
      <c r="J19" s="12" t="s">
        <v>58</v>
      </c>
      <c r="K19" s="12" t="s">
        <v>59</v>
      </c>
      <c r="L19" s="12" t="s">
        <v>53</v>
      </c>
      <c r="M19" s="27" t="s">
        <v>60</v>
      </c>
      <c r="N19" s="65" t="s">
        <v>92</v>
      </c>
      <c r="O19" s="132" t="s">
        <v>54</v>
      </c>
    </row>
    <row r="20" spans="3:18" x14ac:dyDescent="0.25">
      <c r="C20" t="s">
        <v>203</v>
      </c>
      <c r="D20" s="696">
        <f>VALIDACION_RECIP!C9</f>
        <v>40117400</v>
      </c>
      <c r="E20" s="696">
        <f>VALIDACION_RECIP!D9</f>
        <v>41900</v>
      </c>
      <c r="F20" s="696">
        <f>VALIDACION_RECIP!E9</f>
        <v>101922698.10999998</v>
      </c>
      <c r="G20" s="696">
        <f>VALIDACION_RECIP!F9</f>
        <v>0</v>
      </c>
      <c r="H20" s="696">
        <f>VALIDACION_RECIP!G9</f>
        <v>251980.21</v>
      </c>
      <c r="I20" s="696">
        <f>VALIDACION_RECIP!H9</f>
        <v>142333978.31999999</v>
      </c>
      <c r="J20" s="696">
        <f>VALIDACION_RECIP!I9</f>
        <v>118508638.31999999</v>
      </c>
      <c r="K20" s="696">
        <f>VALIDACION_RECIP!J9</f>
        <v>0</v>
      </c>
      <c r="L20" s="696">
        <f>VALIDACION_RECIP!K9</f>
        <v>23089310</v>
      </c>
      <c r="M20" s="696">
        <f>VALIDACION_RECIP!L9</f>
        <v>0</v>
      </c>
      <c r="N20" s="696">
        <f>VALIDACION_RECIP!M9</f>
        <v>736030</v>
      </c>
      <c r="O20" s="696">
        <f>VALIDACION_RECIP!N9</f>
        <v>142333978.31999999</v>
      </c>
    </row>
    <row r="21" spans="3:18" x14ac:dyDescent="0.25">
      <c r="C21" s="167" t="s">
        <v>155</v>
      </c>
      <c r="D21" s="696">
        <f>VALIDACION_ENEL!C9</f>
        <v>68144618192</v>
      </c>
      <c r="E21" s="696">
        <f>VALIDACION_ENEL!D9</f>
        <v>61046127</v>
      </c>
      <c r="F21" s="696">
        <f>VALIDACION_ENEL!E9</f>
        <v>247021750.10999998</v>
      </c>
      <c r="G21" s="696">
        <f>VALIDACION_ENEL!F9</f>
        <v>41366675</v>
      </c>
      <c r="H21" s="696">
        <f>VALIDACION_ENEL!G9</f>
        <v>1077925.29</v>
      </c>
      <c r="I21" s="696">
        <f>VALIDACION_ENEL!H9</f>
        <v>68495130669.400002</v>
      </c>
      <c r="J21" s="696">
        <f>VALIDACION_ENEL!I9</f>
        <v>68026235701.290009</v>
      </c>
      <c r="K21" s="696">
        <f>VALIDACION_ENEL!J9</f>
        <v>82026262.269999996</v>
      </c>
      <c r="L21" s="696">
        <f>VALIDACION_ENEL!K9</f>
        <v>236717169.25</v>
      </c>
      <c r="M21" s="696">
        <f>VALIDACION_ENEL!L9</f>
        <v>0</v>
      </c>
      <c r="N21" s="696">
        <f>VALIDACION_ENEL!M9</f>
        <v>150151536.59</v>
      </c>
      <c r="O21" s="696">
        <f>VALIDACION_ENEL!N9</f>
        <v>68495130669.400009</v>
      </c>
    </row>
    <row r="22" spans="3:18" x14ac:dyDescent="0.25">
      <c r="C22" s="760" t="s">
        <v>328</v>
      </c>
      <c r="D22" s="696">
        <f>VALIDACION_ENERBIT!C9</f>
        <v>28645323</v>
      </c>
      <c r="E22" s="696">
        <f>VALIDACION_ENERBIT!D9</f>
        <v>0</v>
      </c>
      <c r="F22" s="696">
        <f>VALIDACION_ENERBIT!E9</f>
        <v>6242402.4799999995</v>
      </c>
      <c r="G22" s="696">
        <f>VALIDACION_ENERBIT!F9</f>
        <v>0</v>
      </c>
      <c r="H22" s="696">
        <f>VALIDACION_ENERBIT!G9</f>
        <v>0</v>
      </c>
      <c r="I22" s="696">
        <f>VALIDACION_ENERBIT!H9</f>
        <v>34887725.479999997</v>
      </c>
      <c r="J22" s="696">
        <f>VALIDACION_ENERBIT!I9</f>
        <v>33106622.48</v>
      </c>
      <c r="K22" s="696">
        <f>VALIDACION_ENERBIT!J9</f>
        <v>0</v>
      </c>
      <c r="L22" s="696">
        <f>VALIDACION_ENERBIT!K9</f>
        <v>1781103</v>
      </c>
      <c r="M22" s="696">
        <f>VALIDACION_ENERBIT!L9</f>
        <v>0</v>
      </c>
      <c r="N22" s="696">
        <f>VALIDACION_ENERBIT!M9</f>
        <v>0</v>
      </c>
      <c r="O22" s="696">
        <f>VALIDACION_ENERBIT!N9</f>
        <v>34887725.480000004</v>
      </c>
    </row>
    <row r="23" spans="3:18" x14ac:dyDescent="0.25">
      <c r="C23" s="212" t="s">
        <v>119</v>
      </c>
      <c r="D23" s="696">
        <f>VALIDACION_OCCIDENTE!C9</f>
        <v>4284569052</v>
      </c>
      <c r="E23" s="696">
        <f>VALIDACION_OCCIDENTE!D9</f>
        <v>1244253</v>
      </c>
      <c r="F23" s="696">
        <f>VALIDACION_OCCIDENTE!E9</f>
        <v>181345323.93000001</v>
      </c>
      <c r="G23" s="696">
        <f>VALIDACION_OCCIDENTE!F9</f>
        <v>0</v>
      </c>
      <c r="H23" s="696">
        <f>VALIDACION_OCCIDENTE!G9</f>
        <v>0</v>
      </c>
      <c r="I23" s="696">
        <f>VALIDACION_OCCIDENTE!H9</f>
        <v>4467158628.9300003</v>
      </c>
      <c r="J23" s="696">
        <f>VALIDACION_OCCIDENTE!I9</f>
        <v>4263358205.6200008</v>
      </c>
      <c r="K23" s="696">
        <f>VALIDACION_OCCIDENTE!J9</f>
        <v>61067319.399999999</v>
      </c>
      <c r="L23" s="696">
        <f>VALIDACION_OCCIDENTE!K9</f>
        <v>136872738.84999999</v>
      </c>
      <c r="M23" s="696">
        <f>VALIDACION_OCCIDENTE!L9</f>
        <v>0</v>
      </c>
      <c r="N23" s="696">
        <f>VALIDACION_OCCIDENTE!M9</f>
        <v>5860365.0600000005</v>
      </c>
      <c r="O23" s="696">
        <f>VALIDACION_OCCIDENTE!N9</f>
        <v>4467158628.9300003</v>
      </c>
    </row>
    <row r="24" spans="3:18" x14ac:dyDescent="0.25">
      <c r="D24" s="703">
        <f>SUM(D20:D23)</f>
        <v>72497949967</v>
      </c>
      <c r="E24" s="141">
        <f>SUM(E20:E23)</f>
        <v>62332280</v>
      </c>
      <c r="F24" s="141">
        <f>SUM(F20:F23)</f>
        <v>536532174.63</v>
      </c>
      <c r="G24" s="141">
        <f>SUM(G20:G23)</f>
        <v>41366675</v>
      </c>
      <c r="H24" s="141">
        <f t="shared" ref="H24:O24" si="5">SUM(H20:H23)</f>
        <v>1329905.5</v>
      </c>
      <c r="I24" s="141">
        <f t="shared" si="5"/>
        <v>73139511002.130005</v>
      </c>
      <c r="J24" s="141">
        <f t="shared" si="5"/>
        <v>72441209167.710007</v>
      </c>
      <c r="K24" s="141">
        <f t="shared" si="5"/>
        <v>143093581.66999999</v>
      </c>
      <c r="L24" s="141">
        <f t="shared" si="5"/>
        <v>398460321.10000002</v>
      </c>
      <c r="M24" s="141">
        <f t="shared" si="5"/>
        <v>0</v>
      </c>
      <c r="N24" s="141">
        <f t="shared" si="5"/>
        <v>156747931.65000001</v>
      </c>
      <c r="O24" s="141">
        <f t="shared" si="5"/>
        <v>73139511002.130005</v>
      </c>
    </row>
    <row r="25" spans="3:18" x14ac:dyDescent="0.25">
      <c r="D25" t="b">
        <f>D24=C9</f>
        <v>1</v>
      </c>
      <c r="E25" s="141" t="b">
        <f>E24=D9</f>
        <v>1</v>
      </c>
      <c r="F25" t="b">
        <f>F24=E9</f>
        <v>1</v>
      </c>
      <c r="G25" t="b">
        <f t="shared" ref="G25:O25" si="6">G24=F9</f>
        <v>1</v>
      </c>
      <c r="H25" t="b">
        <f t="shared" si="6"/>
        <v>1</v>
      </c>
      <c r="I25" t="b">
        <f>I24=H9</f>
        <v>1</v>
      </c>
      <c r="J25" t="b">
        <f t="shared" si="6"/>
        <v>1</v>
      </c>
      <c r="K25" t="b">
        <f t="shared" si="6"/>
        <v>1</v>
      </c>
      <c r="L25" t="b">
        <f t="shared" si="6"/>
        <v>1</v>
      </c>
      <c r="M25" t="b">
        <f>M24=L9</f>
        <v>1</v>
      </c>
      <c r="N25" t="b">
        <f t="shared" si="6"/>
        <v>1</v>
      </c>
      <c r="O25" t="b">
        <f t="shared" si="6"/>
        <v>1</v>
      </c>
    </row>
    <row r="27" spans="3:18" ht="13.5" thickBot="1" x14ac:dyDescent="0.35">
      <c r="D27" s="702" t="s">
        <v>272</v>
      </c>
    </row>
    <row r="28" spans="3:18" ht="57" customHeight="1" thickBot="1" x14ac:dyDescent="0.3">
      <c r="D28" s="11" t="s">
        <v>4</v>
      </c>
      <c r="E28" s="12" t="s">
        <v>7</v>
      </c>
      <c r="F28" s="12" t="s">
        <v>276</v>
      </c>
      <c r="G28" s="12" t="s">
        <v>191</v>
      </c>
      <c r="I28" s="12" t="s">
        <v>38</v>
      </c>
      <c r="J28" s="85" t="s">
        <v>274</v>
      </c>
      <c r="K28" s="65" t="s">
        <v>47</v>
      </c>
      <c r="L28" s="370" t="s">
        <v>56</v>
      </c>
      <c r="M28" s="73" t="s">
        <v>275</v>
      </c>
      <c r="N28" s="73" t="s">
        <v>172</v>
      </c>
      <c r="O28" s="28" t="s">
        <v>129</v>
      </c>
      <c r="P28" s="12" t="s">
        <v>191</v>
      </c>
      <c r="Q28" s="12" t="s">
        <v>273</v>
      </c>
    </row>
    <row r="29" spans="3:18" x14ac:dyDescent="0.25">
      <c r="C29" t="s">
        <v>203</v>
      </c>
      <c r="D29" s="696">
        <f>'REMUNERACION Reciprocidad EAAB'!D109</f>
        <v>118508638.31999999</v>
      </c>
      <c r="E29" s="696">
        <f>'REMUNERACION Reciprocidad EAAB'!N109</f>
        <v>0</v>
      </c>
      <c r="F29" s="696">
        <f>D29+E29</f>
        <v>118508638.31999999</v>
      </c>
      <c r="G29" s="704">
        <f>D20-F29</f>
        <v>-78391238.319999993</v>
      </c>
      <c r="H29" s="696"/>
      <c r="I29" s="696">
        <f>'REMUNERACION Reciprocidad EAAB'!D131</f>
        <v>23089310</v>
      </c>
      <c r="J29" s="696"/>
      <c r="K29" s="696">
        <f>'REMUNERACION Reciprocidad EAAB'!G131</f>
        <v>41900</v>
      </c>
      <c r="L29" s="696">
        <f>'REMUNERACION Reciprocidad EAAB'!H131</f>
        <v>101922698.10999998</v>
      </c>
      <c r="M29" s="696">
        <f>'REMUNERACION Reciprocidad EAAB'!I131</f>
        <v>251980.21</v>
      </c>
      <c r="N29" s="696">
        <f>+'REMUNERACION Reciprocidad EAAB'!J131</f>
        <v>-736030</v>
      </c>
      <c r="O29" s="696">
        <f>'REMUNERACION Reciprocidad EAAB'!I147</f>
        <v>0</v>
      </c>
      <c r="P29" s="704">
        <f>I29+J29-K29-L29-M29-N29-O29</f>
        <v>-78391238.319999978</v>
      </c>
      <c r="Q29" s="705">
        <f>G29-P29</f>
        <v>0</v>
      </c>
      <c r="R29" s="141"/>
    </row>
    <row r="30" spans="3:18" x14ac:dyDescent="0.25">
      <c r="C30" s="167" t="s">
        <v>155</v>
      </c>
      <c r="D30" s="696">
        <f>REMUNERACION_ENEL!D109</f>
        <v>68026235701.290009</v>
      </c>
      <c r="E30" s="696">
        <f>REMUNERACION_ENEL!N109</f>
        <v>82026262.269999996</v>
      </c>
      <c r="F30" s="696">
        <f>D30+E30</f>
        <v>68108261963.560005</v>
      </c>
      <c r="G30" s="706">
        <f>D21-F30</f>
        <v>36356228.439994812</v>
      </c>
      <c r="H30" s="696"/>
      <c r="I30" s="696">
        <f>REMUNERACION_ENEL!D131</f>
        <v>236717169.25</v>
      </c>
      <c r="J30" s="696"/>
      <c r="K30" s="696">
        <f>REMUNERACION_ENEL!G131</f>
        <v>61046127</v>
      </c>
      <c r="L30" s="696">
        <f>REMUNERACION_ENEL!H131</f>
        <v>247021750.10999998</v>
      </c>
      <c r="M30" s="696">
        <f>REMUNERACION_ENEL!I131</f>
        <v>1077925.29</v>
      </c>
      <c r="N30" s="696">
        <f>REMUNERACION_ENEL!J131</f>
        <v>-150151536.59</v>
      </c>
      <c r="O30" s="696">
        <f>REMUNERACION_ENEL!I147</f>
        <v>41366675</v>
      </c>
      <c r="P30" s="704">
        <f>I30+J30-K30-L30-M30-N30-O30</f>
        <v>36356228.440000013</v>
      </c>
      <c r="Q30" s="705">
        <f>G30-P30</f>
        <v>-5.200505256652832E-6</v>
      </c>
      <c r="R30" s="141"/>
    </row>
    <row r="31" spans="3:18" x14ac:dyDescent="0.25">
      <c r="C31" s="760" t="s">
        <v>328</v>
      </c>
      <c r="D31" s="696">
        <f>REMUNERACION_ENERBIT!D109</f>
        <v>33106622.48</v>
      </c>
      <c r="E31" s="696">
        <f>REMUNERACION_ENERBIT!N109</f>
        <v>0</v>
      </c>
      <c r="F31" s="696">
        <f>D31+E31</f>
        <v>33106622.48</v>
      </c>
      <c r="G31" s="706">
        <f>D22-F31</f>
        <v>-4461299.4800000004</v>
      </c>
      <c r="H31" s="696"/>
      <c r="I31" s="696">
        <f>REMUNERACION_ENERBIT!D131</f>
        <v>1781103</v>
      </c>
      <c r="J31" s="696"/>
      <c r="K31" s="696">
        <f>REMUNERACION_ENERBIT!G131</f>
        <v>0</v>
      </c>
      <c r="L31" s="696">
        <f>REMUNERACION_ENERBIT!H131</f>
        <v>6242402.4799999995</v>
      </c>
      <c r="M31" s="696">
        <f>REMUNERACION_ENERBIT!I131</f>
        <v>0</v>
      </c>
      <c r="N31" s="696">
        <f>REMUNERACION_ENERBIT!J131</f>
        <v>0</v>
      </c>
      <c r="O31" s="696">
        <f>REMUNERACION_ENERBIT!K131</f>
        <v>0</v>
      </c>
      <c r="P31" s="704">
        <f t="shared" ref="P31" si="7">I31+J31-K31-L31-M31-N31-O31</f>
        <v>-4461299.4799999995</v>
      </c>
      <c r="Q31" s="705">
        <f t="shared" ref="Q31:Q32" si="8">G31-P31</f>
        <v>0</v>
      </c>
      <c r="R31" s="141"/>
    </row>
    <row r="32" spans="3:18" x14ac:dyDescent="0.25">
      <c r="C32" s="212" t="s">
        <v>119</v>
      </c>
      <c r="D32" s="696">
        <f>'REMUNERACION_OCCIDENTE_ Directa'!D109</f>
        <v>4263358205.6200008</v>
      </c>
      <c r="E32" s="696">
        <f>'REMUNERACION_OCCIDENTE_ Directa'!N109</f>
        <v>61067319.399999999</v>
      </c>
      <c r="F32" s="696">
        <f t="shared" ref="F32" si="9">D32+E32</f>
        <v>4324425525.0200005</v>
      </c>
      <c r="G32" s="706">
        <f>D23-F32</f>
        <v>-39856473.020000458</v>
      </c>
      <c r="H32" s="696"/>
      <c r="I32" s="696">
        <f>'REMUNERACION_OCCIDENTE_ Directa'!D131</f>
        <v>136872738.84999999</v>
      </c>
      <c r="J32" s="696">
        <f>'CONSOLIDADO_TOTAL RECAUDO'!E131</f>
        <v>0</v>
      </c>
      <c r="K32" s="696">
        <f>'REMUNERACION_OCCIDENTE_ Directa'!G131</f>
        <v>1244253</v>
      </c>
      <c r="L32" s="696">
        <f>'REMUNERACION_OCCIDENTE_ Directa'!H131</f>
        <v>181345323.93000001</v>
      </c>
      <c r="M32" s="696">
        <f>'REMUNERACION_OCCIDENTE_ Directa'!I131</f>
        <v>0</v>
      </c>
      <c r="N32" s="696">
        <f>'REMUNERACION_OCCIDENTE_ Directa'!J131</f>
        <v>-5860365.0600000005</v>
      </c>
      <c r="O32" s="696">
        <f>'REMUNERACION_OCCIDENTE_ Directa'!I147</f>
        <v>0</v>
      </c>
      <c r="P32" s="704">
        <f t="shared" ref="P32" si="10">I32+J32-K32-L32-M32-N32-O32</f>
        <v>-39856473.020000011</v>
      </c>
      <c r="Q32" s="705">
        <f t="shared" si="8"/>
        <v>-4.4703483581542969E-7</v>
      </c>
      <c r="R32" s="141"/>
    </row>
    <row r="33" spans="4:17" x14ac:dyDescent="0.25">
      <c r="D33" s="696">
        <f>SUM(D29:D32)</f>
        <v>72441209167.710007</v>
      </c>
      <c r="E33" s="696">
        <f>SUM(E29:E32)</f>
        <v>143093581.66999999</v>
      </c>
      <c r="F33" s="707">
        <f t="shared" ref="F33" si="11">SUM(F29:F32)</f>
        <v>72584302749.380005</v>
      </c>
      <c r="G33" s="708">
        <f>D24-F33</f>
        <v>-86352782.380004883</v>
      </c>
      <c r="H33" s="696"/>
      <c r="I33" s="696">
        <f>SUM(I29:I32)</f>
        <v>398460321.10000002</v>
      </c>
      <c r="J33" s="696">
        <f>SUM(J29:J32)</f>
        <v>0</v>
      </c>
      <c r="K33" s="696">
        <f>SUM(K29:K32)</f>
        <v>62332280</v>
      </c>
      <c r="L33" s="696">
        <f t="shared" ref="L33:N33" si="12">SUM(L29:L32)</f>
        <v>536532174.63</v>
      </c>
      <c r="M33" s="696">
        <f t="shared" si="12"/>
        <v>1329905.5</v>
      </c>
      <c r="N33" s="696">
        <f t="shared" si="12"/>
        <v>-156747931.65000001</v>
      </c>
      <c r="O33" s="696">
        <f>SUM(O29:O32)</f>
        <v>41366675</v>
      </c>
      <c r="P33" s="709">
        <f>SUM(P29:P32)</f>
        <v>-86352782.379999965</v>
      </c>
      <c r="Q33" s="705">
        <f>SUM(Q29:Q32)</f>
        <v>-5.6475400924682617E-6</v>
      </c>
    </row>
    <row r="34" spans="4:17" x14ac:dyDescent="0.25">
      <c r="D34" s="696" t="b">
        <f>D33='CONSOLIDADO_TOTAL RECAUDO'!D109</f>
        <v>1</v>
      </c>
      <c r="E34" s="696" t="b">
        <f>E33='CONSOLIDADO_TOTAL RECAUDO'!N109</f>
        <v>1</v>
      </c>
      <c r="F34" s="696" t="b">
        <f>F33='CONSOLIDADO_TOTAL RECAUDO'!D109+'CONSOLIDADO_TOTAL RECAUDO'!N109</f>
        <v>1</v>
      </c>
      <c r="G34" s="696"/>
      <c r="H34" s="696"/>
      <c r="I34" s="696"/>
      <c r="J34" s="696"/>
      <c r="K34" s="696"/>
      <c r="L34" s="696"/>
      <c r="M34" s="696"/>
      <c r="N34" s="696"/>
      <c r="O34" s="696"/>
    </row>
    <row r="35" spans="4:17" x14ac:dyDescent="0.25">
      <c r="K35" s="141"/>
      <c r="P35" s="270">
        <f>P33-G33</f>
        <v>4.9173831939697266E-6</v>
      </c>
    </row>
    <row r="36" spans="4:17" x14ac:dyDescent="0.25">
      <c r="L36" s="141"/>
      <c r="P36" s="141"/>
    </row>
    <row r="37" spans="4:17" x14ac:dyDescent="0.25">
      <c r="P37" s="602"/>
    </row>
    <row r="38" spans="4:17" x14ac:dyDescent="0.25">
      <c r="P38" s="141"/>
    </row>
  </sheetData>
  <conditionalFormatting sqref="C15">
    <cfRule type="cellIs" dxfId="67" priority="1" operator="equal">
      <formula>FALSE</formula>
    </cfRule>
    <cfRule type="cellIs" dxfId="66" priority="2" operator="equal">
      <formula>TRUE</formula>
    </cfRule>
    <cfRule type="cellIs" dxfId="65" priority="4" operator="notEqual">
      <formula>TRUE</formula>
    </cfRule>
  </conditionalFormatting>
  <conditionalFormatting sqref="P3:P9">
    <cfRule type="cellIs" dxfId="64" priority="3" operator="notEqual">
      <formula>TRUE</formula>
    </cfRule>
  </conditionalFormatting>
  <pageMargins left="0.7" right="0.7" top="0.75" bottom="0.75" header="0.3" footer="0.3"/>
  <pageSetup orientation="portrait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tabColor rgb="FF00FF00"/>
    <pageSetUpPr fitToPage="1"/>
  </sheetPr>
  <dimension ref="A1:AI52"/>
  <sheetViews>
    <sheetView zoomScaleNormal="100" workbookViewId="0"/>
  </sheetViews>
  <sheetFormatPr baseColWidth="10" defaultColWidth="11.453125" defaultRowHeight="11.5" x14ac:dyDescent="0.25"/>
  <cols>
    <col min="1" max="1" width="3" style="1" customWidth="1"/>
    <col min="2" max="2" width="4.453125" style="1" bestFit="1" customWidth="1"/>
    <col min="3" max="3" width="36.81640625" style="1" customWidth="1"/>
    <col min="4" max="4" width="14.81640625" style="1" bestFit="1" customWidth="1"/>
    <col min="5" max="5" width="15.453125" style="1" bestFit="1" customWidth="1"/>
    <col min="6" max="7" width="14.81640625" style="1" customWidth="1"/>
    <col min="8" max="8" width="16.1796875" style="1" customWidth="1"/>
    <col min="9" max="9" width="20.1796875" style="1" bestFit="1" customWidth="1"/>
    <col min="10" max="10" width="15.54296875" style="1" customWidth="1"/>
    <col min="11" max="11" width="17.54296875" style="1" customWidth="1"/>
    <col min="12" max="12" width="16.54296875" style="1" customWidth="1"/>
    <col min="13" max="13" width="19.81640625" style="1" customWidth="1"/>
    <col min="14" max="14" width="15.1796875" style="1" customWidth="1"/>
    <col min="15" max="15" width="16.81640625" style="1" customWidth="1"/>
    <col min="16" max="16" width="3.81640625" style="1" customWidth="1"/>
    <col min="17" max="17" width="2.81640625" style="1" customWidth="1"/>
    <col min="18" max="18" width="4.54296875" style="1" customWidth="1"/>
    <col min="19" max="19" width="11.1796875" style="1" customWidth="1"/>
    <col min="20" max="20" width="39.453125" style="1" customWidth="1"/>
    <col min="21" max="21" width="19.1796875" style="1" customWidth="1"/>
    <col min="22" max="22" width="17.81640625" style="1" customWidth="1"/>
    <col min="23" max="23" width="16.453125" style="1" customWidth="1"/>
    <col min="24" max="24" width="17.1796875" style="1" customWidth="1"/>
    <col min="25" max="25" width="15.81640625" style="1" customWidth="1"/>
    <col min="26" max="26" width="16" style="1" customWidth="1"/>
    <col min="27" max="27" width="15" style="1" customWidth="1"/>
    <col min="28" max="29" width="16.81640625" style="1" customWidth="1"/>
    <col min="30" max="31" width="15.453125" style="1" customWidth="1"/>
    <col min="32" max="32" width="16.1796875" style="1" customWidth="1"/>
    <col min="33" max="33" width="11.1796875" style="1" customWidth="1"/>
    <col min="34" max="34" width="12" style="1" bestFit="1" customWidth="1"/>
    <col min="35" max="35" width="3.453125" style="1" customWidth="1"/>
    <col min="36" max="16384" width="11.453125" style="1"/>
  </cols>
  <sheetData>
    <row r="1" spans="2:35" ht="12" thickBot="1" x14ac:dyDescent="0.3">
      <c r="Q1" s="4"/>
      <c r="AI1" s="4"/>
    </row>
    <row r="2" spans="2:35" x14ac:dyDescent="0.25">
      <c r="B2" s="600"/>
      <c r="C2" s="3" t="s">
        <v>1</v>
      </c>
      <c r="D2" s="6" t="s">
        <v>1</v>
      </c>
      <c r="E2" s="3"/>
      <c r="F2" s="3"/>
      <c r="G2" s="3"/>
      <c r="H2" s="3" t="s">
        <v>1</v>
      </c>
      <c r="I2" s="3"/>
      <c r="J2" s="3"/>
      <c r="K2" s="3"/>
      <c r="L2" s="3"/>
      <c r="M2" s="3"/>
      <c r="N2" s="3"/>
      <c r="O2" s="7"/>
      <c r="P2" s="2"/>
      <c r="Q2" s="4"/>
      <c r="S2" s="5"/>
      <c r="T2" s="3" t="s">
        <v>1</v>
      </c>
      <c r="U2" s="6" t="s">
        <v>1</v>
      </c>
      <c r="V2" s="3"/>
      <c r="W2" s="3"/>
      <c r="X2" s="3" t="s">
        <v>1</v>
      </c>
      <c r="Y2" s="3"/>
      <c r="Z2" s="3"/>
      <c r="AA2" s="3"/>
      <c r="AB2" s="3"/>
      <c r="AC2" s="3"/>
      <c r="AD2" s="3"/>
      <c r="AE2" s="3"/>
      <c r="AF2" s="7"/>
      <c r="AG2" s="2"/>
      <c r="AI2" s="4"/>
    </row>
    <row r="3" spans="2:35" ht="14" x14ac:dyDescent="0.3">
      <c r="B3" s="8"/>
      <c r="F3" s="26" t="s">
        <v>8</v>
      </c>
      <c r="G3" s="26"/>
      <c r="I3" s="26" t="s">
        <v>16</v>
      </c>
      <c r="J3" s="25"/>
      <c r="M3" s="2" t="s">
        <v>15</v>
      </c>
      <c r="N3" s="50">
        <f>'CONSOLIDADO_TOTAL RECAUDO'!N98</f>
        <v>2026072</v>
      </c>
      <c r="O3" s="10"/>
      <c r="P3" s="2"/>
      <c r="Q3" s="4"/>
      <c r="S3" s="8"/>
      <c r="U3" s="26" t="s">
        <v>8</v>
      </c>
      <c r="W3" s="26" t="s">
        <v>16</v>
      </c>
      <c r="X3" s="25"/>
      <c r="Y3" s="2"/>
      <c r="AA3" s="2" t="s">
        <v>15</v>
      </c>
      <c r="AD3" s="84">
        <f>N3</f>
        <v>2026072</v>
      </c>
      <c r="AE3" s="84"/>
      <c r="AF3" s="48"/>
      <c r="AG3" s="2"/>
      <c r="AI3" s="4"/>
    </row>
    <row r="4" spans="2:35" ht="15.5" x14ac:dyDescent="0.35">
      <c r="B4" s="8"/>
      <c r="F4" s="36" t="s">
        <v>29</v>
      </c>
      <c r="G4" s="36"/>
      <c r="O4" s="10"/>
      <c r="P4" s="2"/>
      <c r="Q4" s="4"/>
      <c r="S4" s="8"/>
      <c r="T4" s="26" t="s">
        <v>1</v>
      </c>
      <c r="U4" s="36" t="s">
        <v>29</v>
      </c>
      <c r="Y4" s="2" t="s">
        <v>1</v>
      </c>
      <c r="AA4" s="50" t="s">
        <v>1</v>
      </c>
      <c r="AB4" s="2"/>
      <c r="AC4" s="2"/>
      <c r="AD4" s="2"/>
      <c r="AE4" s="2"/>
      <c r="AF4" s="10" t="s">
        <v>1</v>
      </c>
      <c r="AG4" s="2"/>
      <c r="AI4" s="4"/>
    </row>
    <row r="5" spans="2:35" ht="14" x14ac:dyDescent="0.3">
      <c r="B5" s="8"/>
      <c r="F5" s="2" t="s">
        <v>30</v>
      </c>
      <c r="G5" s="2"/>
      <c r="M5" s="2" t="s">
        <v>1</v>
      </c>
      <c r="O5" s="10"/>
      <c r="P5" s="2"/>
      <c r="Q5" s="4"/>
      <c r="S5" s="8"/>
      <c r="T5" s="49" t="s">
        <v>1</v>
      </c>
      <c r="U5" s="2" t="s">
        <v>30</v>
      </c>
      <c r="AF5" s="44"/>
      <c r="AG5" s="2"/>
      <c r="AI5" s="4"/>
    </row>
    <row r="6" spans="2:35" ht="15.5" x14ac:dyDescent="0.35">
      <c r="B6" s="8"/>
      <c r="C6" s="599" t="s">
        <v>17</v>
      </c>
      <c r="D6" s="9">
        <f>'CONSOLIDADO_TOTAL RECAUDO'!D101</f>
        <v>46238</v>
      </c>
      <c r="F6" s="58" t="str">
        <f>'CONSOLIDADO_TOTAL RECAUDO'!F101</f>
        <v>REPORTE CONSOLIDADO TOTAL DE RECAUDO</v>
      </c>
      <c r="G6" s="58"/>
      <c r="H6" s="59"/>
      <c r="I6" s="60"/>
      <c r="J6" s="59"/>
      <c r="O6" s="10"/>
      <c r="P6" s="2"/>
      <c r="Q6" s="4"/>
      <c r="S6" s="8"/>
      <c r="T6" s="41" t="s">
        <v>1</v>
      </c>
      <c r="U6" s="58" t="str">
        <f>'CONSOLIDADO_TOTAL RECAUDO'!U101</f>
        <v>REPORTE DETALLADO SUBBOLSA RBL DISCRIMINADO POR ACTIVIDADES</v>
      </c>
      <c r="V6" s="59"/>
      <c r="W6" s="60"/>
      <c r="X6" s="59"/>
      <c r="Y6" s="2"/>
      <c r="AF6" s="48"/>
      <c r="AG6" s="2"/>
      <c r="AI6" s="4"/>
    </row>
    <row r="7" spans="2:35" ht="12" thickBot="1" x14ac:dyDescent="0.3">
      <c r="B7" s="95"/>
      <c r="C7" s="601" t="s">
        <v>0</v>
      </c>
      <c r="D7" s="556">
        <f>'CONSOLIDADO_TOTAL RECAUDO'!D102</f>
        <v>0.58333333333333337</v>
      </c>
      <c r="E7" s="45"/>
      <c r="F7" s="555" t="s">
        <v>27</v>
      </c>
      <c r="G7" s="557">
        <f>'CONSOLIDADO_TOTAL RECAUDO'!G102</f>
        <v>46219</v>
      </c>
      <c r="H7" s="45"/>
      <c r="I7" s="45"/>
      <c r="J7" s="555" t="s">
        <v>28</v>
      </c>
      <c r="K7" s="557">
        <f>'CONSOLIDADO_TOTAL RECAUDO'!K102</f>
        <v>46234</v>
      </c>
      <c r="L7" s="45"/>
      <c r="M7" s="45"/>
      <c r="N7" s="45"/>
      <c r="O7" s="558"/>
      <c r="P7" s="2"/>
      <c r="Q7" s="4"/>
      <c r="S7" s="8"/>
      <c r="U7" s="1" t="str">
        <f>F7</f>
        <v>Fecha Desde:</v>
      </c>
      <c r="V7" s="9">
        <f>G7</f>
        <v>46219</v>
      </c>
      <c r="W7" s="1" t="s">
        <v>1</v>
      </c>
      <c r="X7" s="1" t="str">
        <f>J7</f>
        <v>Feha Hasta:</v>
      </c>
      <c r="Y7" s="9">
        <f>K7</f>
        <v>46234</v>
      </c>
      <c r="Z7" s="1" t="s">
        <v>1</v>
      </c>
      <c r="AF7" s="48"/>
      <c r="AG7" s="2"/>
      <c r="AI7" s="4"/>
    </row>
    <row r="8" spans="2:35" ht="69.5" thickBot="1" x14ac:dyDescent="0.3">
      <c r="B8" s="11" t="s">
        <v>3</v>
      </c>
      <c r="C8" s="27" t="s">
        <v>9</v>
      </c>
      <c r="D8" s="11" t="s">
        <v>4</v>
      </c>
      <c r="E8" s="12" t="s">
        <v>5</v>
      </c>
      <c r="F8" s="12" t="s">
        <v>6</v>
      </c>
      <c r="G8" s="268" t="s">
        <v>159</v>
      </c>
      <c r="H8" s="12" t="s">
        <v>18</v>
      </c>
      <c r="I8" s="12" t="s">
        <v>24</v>
      </c>
      <c r="J8" s="73" t="s">
        <v>19</v>
      </c>
      <c r="K8" s="29" t="s">
        <v>20</v>
      </c>
      <c r="L8" s="28" t="s">
        <v>21</v>
      </c>
      <c r="M8" s="39" t="s">
        <v>22</v>
      </c>
      <c r="N8" s="12" t="s">
        <v>7</v>
      </c>
      <c r="O8" s="39" t="s">
        <v>23</v>
      </c>
      <c r="P8" s="13"/>
      <c r="Q8" s="4"/>
      <c r="S8" s="11" t="s">
        <v>3</v>
      </c>
      <c r="T8" s="27" t="s">
        <v>9</v>
      </c>
      <c r="U8" s="80" t="s">
        <v>39</v>
      </c>
      <c r="V8" s="51" t="s">
        <v>40</v>
      </c>
      <c r="W8" s="51" t="s">
        <v>41</v>
      </c>
      <c r="X8" s="51" t="s">
        <v>42</v>
      </c>
      <c r="Y8" s="81" t="s">
        <v>43</v>
      </c>
      <c r="Z8" s="85" t="s">
        <v>21</v>
      </c>
      <c r="AA8" s="65" t="s">
        <v>46</v>
      </c>
      <c r="AB8" s="65" t="s">
        <v>7</v>
      </c>
      <c r="AC8" s="65" t="s">
        <v>168</v>
      </c>
      <c r="AD8" s="65" t="s">
        <v>105</v>
      </c>
      <c r="AE8" s="65" t="s">
        <v>104</v>
      </c>
      <c r="AF8" s="39" t="s">
        <v>23</v>
      </c>
      <c r="AG8" s="13"/>
      <c r="AI8" s="4"/>
    </row>
    <row r="9" spans="2:35" x14ac:dyDescent="0.25">
      <c r="B9" s="14">
        <v>1</v>
      </c>
      <c r="C9" s="61" t="s">
        <v>10</v>
      </c>
      <c r="D9" s="66">
        <f>'CONSOLIDADO_TOTAL RECAUDO'!D104</f>
        <v>17450228673.349998</v>
      </c>
      <c r="E9" s="66">
        <f>'CONSOLIDADO_TOTAL RECAUDO'!E104</f>
        <v>907089032.16000009</v>
      </c>
      <c r="F9" s="66">
        <f>'CONSOLIDADO_TOTAL RECAUDO'!F104</f>
        <v>511619081.72000003</v>
      </c>
      <c r="G9" s="66">
        <f>'CONSOLIDADO_TOTAL RECAUDO'!G104</f>
        <v>268690518.94</v>
      </c>
      <c r="H9" s="66">
        <f>'CONSOLIDADO_TOTAL RECAUDO'!H104</f>
        <v>3815252256.9000001</v>
      </c>
      <c r="I9" s="66">
        <f>'CONSOLIDADO_TOTAL RECAUDO'!I104</f>
        <v>134368143.47</v>
      </c>
      <c r="J9" s="66">
        <f>'CONSOLIDADO_TOTAL RECAUDO'!J104</f>
        <v>-3589454665.5499997</v>
      </c>
      <c r="K9" s="30">
        <f>D9-E9-F9-G9-H9-I9-J9</f>
        <v>15402664305.709999</v>
      </c>
      <c r="L9" s="66">
        <f>'CONSOLIDADO_TOTAL RECAUDO'!L104</f>
        <v>189185988</v>
      </c>
      <c r="M9" s="30">
        <f>K9-L9</f>
        <v>15213478317.709999</v>
      </c>
      <c r="N9" s="66">
        <f>'CONSOLIDADO_TOTAL RECAUDO'!N104</f>
        <v>25277316.260000002</v>
      </c>
      <c r="O9" s="30">
        <f>M9+N9</f>
        <v>15238755633.969999</v>
      </c>
      <c r="Q9" s="4"/>
      <c r="S9" s="14">
        <v>1</v>
      </c>
      <c r="T9" s="61" t="s">
        <v>10</v>
      </c>
      <c r="U9" s="66">
        <f>'CONSOLIDADO_TOTAL RECAUDO'!U104</f>
        <v>1182502863.3800001</v>
      </c>
      <c r="V9" s="66">
        <f>'CONSOLIDADO_TOTAL RECAUDO'!V104</f>
        <v>1138203111.0299997</v>
      </c>
      <c r="W9" s="66">
        <f>'CONSOLIDADO_TOTAL RECAUDO'!W104</f>
        <v>5384239175.3499994</v>
      </c>
      <c r="X9" s="66">
        <f>'CONSOLIDADO_TOTAL RECAUDO'!X104</f>
        <v>2460648865.29</v>
      </c>
      <c r="Y9" s="66">
        <f>'CONSOLIDADO_TOTAL RECAUDO'!Y104</f>
        <v>219070048.99000001</v>
      </c>
      <c r="Z9" s="66">
        <f>'CONSOLIDADO_TOTAL RECAUDO'!Z104</f>
        <v>-189185988</v>
      </c>
      <c r="AA9" s="66">
        <f>'CONSOLIDADO_TOTAL RECAUDO'!AA104</f>
        <v>-17520.82</v>
      </c>
      <c r="AB9" s="66">
        <f>'CONSOLIDADO_TOTAL RECAUDO'!AB104</f>
        <v>25277316.260000002</v>
      </c>
      <c r="AC9" s="66">
        <f>'CONSOLIDADO_TOTAL RECAUDO'!AC104</f>
        <v>-1592.61</v>
      </c>
      <c r="AD9" s="66">
        <f>'CONSOLIDADO_TOTAL RECAUDO'!AD104</f>
        <v>5018019355.0999994</v>
      </c>
      <c r="AE9" s="66">
        <f>'CONSOLIDADO_TOTAL RECAUDO'!AE104</f>
        <v>1428564689.55</v>
      </c>
      <c r="AF9" s="69">
        <f>SUM(U9:AD9)</f>
        <v>15238755633.969997</v>
      </c>
      <c r="AG9" s="71">
        <f>AF9-O9</f>
        <v>0</v>
      </c>
      <c r="AH9" s="1" t="b">
        <f>INT(AG9)=0</f>
        <v>1</v>
      </c>
      <c r="AI9" s="4"/>
    </row>
    <row r="10" spans="2:35" x14ac:dyDescent="0.25">
      <c r="B10" s="16">
        <v>2</v>
      </c>
      <c r="C10" s="62" t="s">
        <v>11</v>
      </c>
      <c r="D10" s="66">
        <f>'CONSOLIDADO_TOTAL RECAUDO'!D105</f>
        <v>20516143969.650002</v>
      </c>
      <c r="E10" s="66">
        <f>'CONSOLIDADO_TOTAL RECAUDO'!E105</f>
        <v>1584179837.8299999</v>
      </c>
      <c r="F10" s="66">
        <f>'CONSOLIDADO_TOTAL RECAUDO'!F105</f>
        <v>890098162.61999989</v>
      </c>
      <c r="G10" s="66">
        <f>'CONSOLIDADO_TOTAL RECAUDO'!G105</f>
        <v>466611469.23999995</v>
      </c>
      <c r="H10" s="66">
        <f>'CONSOLIDADO_TOTAL RECAUDO'!H105</f>
        <v>5815089519.5800009</v>
      </c>
      <c r="I10" s="66">
        <f>'CONSOLIDADO_TOTAL RECAUDO'!I105</f>
        <v>222428730.16</v>
      </c>
      <c r="J10" s="66">
        <f>'CONSOLIDADO_TOTAL RECAUDO'!J105</f>
        <v>-3241193714.1100001</v>
      </c>
      <c r="K10" s="31">
        <f t="shared" ref="K10:K13" si="0">D10-E10-F10-G10-H10-I10-J10</f>
        <v>14778929964.329998</v>
      </c>
      <c r="L10" s="66">
        <f>'CONSOLIDADO_TOTAL RECAUDO'!L105</f>
        <v>266580256</v>
      </c>
      <c r="M10" s="31">
        <f>K10-L10</f>
        <v>14512349708.329998</v>
      </c>
      <c r="N10" s="66">
        <f>'CONSOLIDADO_TOTAL RECAUDO'!N105</f>
        <v>53454221.280000001</v>
      </c>
      <c r="O10" s="31">
        <f t="shared" ref="O10:O13" si="1">M10+N10</f>
        <v>14565803929.609999</v>
      </c>
      <c r="Q10" s="4"/>
      <c r="S10" s="16">
        <v>2</v>
      </c>
      <c r="T10" s="62" t="s">
        <v>11</v>
      </c>
      <c r="U10" s="66">
        <f>'CONSOLIDADO_TOTAL RECAUDO'!U105</f>
        <v>1949886300.4400001</v>
      </c>
      <c r="V10" s="66">
        <f>'CONSOLIDADO_TOTAL RECAUDO'!V105</f>
        <v>1945637036.9099996</v>
      </c>
      <c r="W10" s="66">
        <f>'CONSOLIDADO_TOTAL RECAUDO'!W105</f>
        <v>9155886148.1600037</v>
      </c>
      <c r="X10" s="66">
        <f>'CONSOLIDADO_TOTAL RECAUDO'!X105</f>
        <v>3142209362.4400001</v>
      </c>
      <c r="Y10" s="66">
        <f>'CONSOLIDADO_TOTAL RECAUDO'!Y105</f>
        <v>363003578.24000001</v>
      </c>
      <c r="Z10" s="66">
        <f>'CONSOLIDADO_TOTAL RECAUDO'!Z105</f>
        <v>-266580256</v>
      </c>
      <c r="AA10" s="66">
        <f>'CONSOLIDADO_TOTAL RECAUDO'!AA105</f>
        <v>86900.159999999989</v>
      </c>
      <c r="AB10" s="66">
        <f>'CONSOLIDADO_TOTAL RECAUDO'!AB105</f>
        <v>53454221.280000001</v>
      </c>
      <c r="AC10" s="66">
        <f>'CONSOLIDADO_TOTAL RECAUDO'!AC105</f>
        <v>-123.21</v>
      </c>
      <c r="AD10" s="66">
        <f>'CONSOLIDADO_TOTAL RECAUDO'!AD105</f>
        <v>-1777779238.8099999</v>
      </c>
      <c r="AE10" s="66">
        <f>'CONSOLIDADO_TOTAL RECAUDO'!AE105</f>
        <v>-5018972952.9200001</v>
      </c>
      <c r="AF10" s="70">
        <f>SUM(U10:AD10)</f>
        <v>14565803929.610004</v>
      </c>
      <c r="AG10" s="72">
        <f>AF10-O10</f>
        <v>0</v>
      </c>
      <c r="AH10" s="1" t="b">
        <f t="shared" ref="AH10:AH14" si="2">INT(AG10)=0</f>
        <v>1</v>
      </c>
      <c r="AI10" s="4"/>
    </row>
    <row r="11" spans="2:35" x14ac:dyDescent="0.25">
      <c r="B11" s="16">
        <v>3</v>
      </c>
      <c r="C11" s="62" t="s">
        <v>12</v>
      </c>
      <c r="D11" s="66">
        <f>'CONSOLIDADO_TOTAL RECAUDO'!D106</f>
        <v>15221896467.450003</v>
      </c>
      <c r="E11" s="66">
        <f>'CONSOLIDADO_TOTAL RECAUDO'!E106</f>
        <v>1154816918.0400002</v>
      </c>
      <c r="F11" s="66">
        <f>'CONSOLIDADO_TOTAL RECAUDO'!F106</f>
        <v>650648256.78000009</v>
      </c>
      <c r="G11" s="66">
        <f>'CONSOLIDADO_TOTAL RECAUDO'!G106</f>
        <v>342168927.41999996</v>
      </c>
      <c r="H11" s="66">
        <f>'CONSOLIDADO_TOTAL RECAUDO'!H106</f>
        <v>3419471286.5799999</v>
      </c>
      <c r="I11" s="66">
        <f>'CONSOLIDADO_TOTAL RECAUDO'!I106</f>
        <v>125690282.95999999</v>
      </c>
      <c r="J11" s="66">
        <f>'CONSOLIDADO_TOTAL RECAUDO'!J106</f>
        <v>-853244564.50999999</v>
      </c>
      <c r="K11" s="31">
        <f t="shared" si="0"/>
        <v>10382345360.180002</v>
      </c>
      <c r="L11" s="66">
        <f>'CONSOLIDADO_TOTAL RECAUDO'!L106</f>
        <v>154788536</v>
      </c>
      <c r="M11" s="31">
        <f>K11-L11</f>
        <v>10227556824.180002</v>
      </c>
      <c r="N11" s="66">
        <f>'CONSOLIDADO_TOTAL RECAUDO'!N106</f>
        <v>14341963.319999998</v>
      </c>
      <c r="O11" s="31">
        <f t="shared" si="1"/>
        <v>10241898787.500002</v>
      </c>
      <c r="Q11" s="4"/>
      <c r="S11" s="16">
        <v>3</v>
      </c>
      <c r="T11" s="62" t="s">
        <v>12</v>
      </c>
      <c r="U11" s="66">
        <f>'CONSOLIDADO_TOTAL RECAUDO'!U106</f>
        <v>1102335590.3299999</v>
      </c>
      <c r="V11" s="66">
        <f>'CONSOLIDADO_TOTAL RECAUDO'!V106</f>
        <v>1086464208.23</v>
      </c>
      <c r="W11" s="66">
        <f>'CONSOLIDADO_TOTAL RECAUDO'!W106</f>
        <v>5141961247.9000006</v>
      </c>
      <c r="X11" s="66">
        <f>'CONSOLIDADO_TOTAL RECAUDO'!X106</f>
        <v>2685857516.6600003</v>
      </c>
      <c r="Y11" s="66">
        <f>'CONSOLIDADO_TOTAL RECAUDO'!Y106</f>
        <v>205160229.32000002</v>
      </c>
      <c r="Z11" s="66">
        <f>'CONSOLIDADO_TOTAL RECAUDO'!Z106</f>
        <v>-154788536</v>
      </c>
      <c r="AA11" s="66">
        <f>'CONSOLIDADO_TOTAL RECAUDO'!AA106</f>
        <v>246404.58</v>
      </c>
      <c r="AB11" s="66">
        <f>'CONSOLIDADO_TOTAL RECAUDO'!AB106</f>
        <v>14341963.319999998</v>
      </c>
      <c r="AC11" s="66">
        <f>'CONSOLIDADO_TOTAL RECAUDO'!AC106</f>
        <v>-11885.619999999999</v>
      </c>
      <c r="AD11" s="66">
        <f>'CONSOLIDADO_TOTAL RECAUDO'!AD106</f>
        <v>160332048.78000009</v>
      </c>
      <c r="AE11" s="66">
        <f>'CONSOLIDADO_TOTAL RECAUDO'!AE106</f>
        <v>-692912515.7299999</v>
      </c>
      <c r="AF11" s="70">
        <f>SUM(U11:AD11)</f>
        <v>10241898787.5</v>
      </c>
      <c r="AG11" s="72">
        <f>AF11-O11</f>
        <v>0</v>
      </c>
      <c r="AH11" s="1" t="b">
        <f t="shared" si="2"/>
        <v>1</v>
      </c>
      <c r="AI11" s="4"/>
    </row>
    <row r="12" spans="2:35" x14ac:dyDescent="0.25">
      <c r="B12" s="16">
        <v>4</v>
      </c>
      <c r="C12" s="62" t="s">
        <v>13</v>
      </c>
      <c r="D12" s="66">
        <f>'CONSOLIDADO_TOTAL RECAUDO'!D107</f>
        <v>7179595395.6699991</v>
      </c>
      <c r="E12" s="66">
        <f>'CONSOLIDADO_TOTAL RECAUDO'!E107</f>
        <v>473606043.33000004</v>
      </c>
      <c r="F12" s="66">
        <f>'CONSOLIDADO_TOTAL RECAUDO'!F107</f>
        <v>264596657.70000002</v>
      </c>
      <c r="G12" s="66">
        <f>'CONSOLIDADO_TOTAL RECAUDO'!G107</f>
        <v>136481575.35000002</v>
      </c>
      <c r="H12" s="66">
        <f>'CONSOLIDADO_TOTAL RECAUDO'!H107</f>
        <v>1605437093.76</v>
      </c>
      <c r="I12" s="66">
        <f>'CONSOLIDADO_TOTAL RECAUDO'!I107</f>
        <v>62582401.519999996</v>
      </c>
      <c r="J12" s="66">
        <f>'CONSOLIDADO_TOTAL RECAUDO'!J107</f>
        <v>-699882713.37000012</v>
      </c>
      <c r="K12" s="31">
        <f t="shared" si="0"/>
        <v>5336774337.3799982</v>
      </c>
      <c r="L12" s="66">
        <f>'CONSOLIDADO_TOTAL RECAUDO'!L107</f>
        <v>120391083</v>
      </c>
      <c r="M12" s="31">
        <f>K12-L12</f>
        <v>5216383254.3799982</v>
      </c>
      <c r="N12" s="66">
        <f>'CONSOLIDADO_TOTAL RECAUDO'!N107</f>
        <v>34128344.93</v>
      </c>
      <c r="O12" s="31">
        <f t="shared" si="1"/>
        <v>5250511599.3099985</v>
      </c>
      <c r="Q12" s="4"/>
      <c r="S12" s="16">
        <v>4</v>
      </c>
      <c r="T12" s="62" t="s">
        <v>13</v>
      </c>
      <c r="U12" s="66">
        <f>'CONSOLIDADO_TOTAL RECAUDO'!U107</f>
        <v>549450408.40999997</v>
      </c>
      <c r="V12" s="66">
        <f>'CONSOLIDADO_TOTAL RECAUDO'!V107</f>
        <v>548186870.46999991</v>
      </c>
      <c r="W12" s="66">
        <f>'CONSOLIDADO_TOTAL RECAUDO'!W107</f>
        <v>2799232757.4099998</v>
      </c>
      <c r="X12" s="66">
        <f>'CONSOLIDADO_TOTAL RECAUDO'!X107</f>
        <v>1254527099.4500003</v>
      </c>
      <c r="Y12" s="66">
        <f>'CONSOLIDADO_TOTAL RECAUDO'!Y107</f>
        <v>102249901.39999999</v>
      </c>
      <c r="Z12" s="66">
        <f>'CONSOLIDADO_TOTAL RECAUDO'!Z107</f>
        <v>-120391083</v>
      </c>
      <c r="AA12" s="66">
        <f>'CONSOLIDADO_TOTAL RECAUDO'!AA107</f>
        <v>-16263.19</v>
      </c>
      <c r="AB12" s="66">
        <f>'CONSOLIDADO_TOTAL RECAUDO'!AB107</f>
        <v>34128344.93</v>
      </c>
      <c r="AC12" s="66">
        <f>'CONSOLIDADO_TOTAL RECAUDO'!AC107</f>
        <v>-529.09999999999991</v>
      </c>
      <c r="AD12" s="66">
        <f>'CONSOLIDADO_TOTAL RECAUDO'!AD107</f>
        <v>83144092.53000021</v>
      </c>
      <c r="AE12" s="66">
        <f>'CONSOLIDADO_TOTAL RECAUDO'!AE107</f>
        <v>-616738620.83999991</v>
      </c>
      <c r="AF12" s="70">
        <f>SUM(U12:AD12)</f>
        <v>5250511599.3099995</v>
      </c>
      <c r="AG12" s="72">
        <f>AF12-O12</f>
        <v>0</v>
      </c>
      <c r="AH12" s="1" t="b">
        <f t="shared" si="2"/>
        <v>1</v>
      </c>
      <c r="AI12" s="4"/>
    </row>
    <row r="13" spans="2:35" ht="12" thickBot="1" x14ac:dyDescent="0.3">
      <c r="B13" s="19">
        <v>5</v>
      </c>
      <c r="C13" s="63" t="s">
        <v>14</v>
      </c>
      <c r="D13" s="66">
        <f>'CONSOLIDADO_TOTAL RECAUDO'!D108</f>
        <v>12073344661.59</v>
      </c>
      <c r="E13" s="66">
        <f>'CONSOLIDADO_TOTAL RECAUDO'!E108</f>
        <v>731686441.62</v>
      </c>
      <c r="F13" s="66">
        <f>'CONSOLIDADO_TOTAL RECAUDO'!F108</f>
        <v>412480816.2899999</v>
      </c>
      <c r="G13" s="66">
        <f>'CONSOLIDADO_TOTAL RECAUDO'!G108</f>
        <v>216220999.25</v>
      </c>
      <c r="H13" s="66">
        <f>'CONSOLIDADO_TOTAL RECAUDO'!H108</f>
        <v>2771170796.7799997</v>
      </c>
      <c r="I13" s="66">
        <f>'CONSOLIDADO_TOTAL RECAUDO'!I108</f>
        <v>105860252.47</v>
      </c>
      <c r="J13" s="66">
        <f>'CONSOLIDADO_TOTAL RECAUDO'!J108</f>
        <v>-82959023.660000086</v>
      </c>
      <c r="K13" s="31">
        <f t="shared" si="0"/>
        <v>7918884378.8400002</v>
      </c>
      <c r="L13" s="66">
        <f>'CONSOLIDADO_TOTAL RECAUDO'!L108</f>
        <v>128990446</v>
      </c>
      <c r="M13" s="40">
        <f>K13-L13</f>
        <v>7789893932.8400002</v>
      </c>
      <c r="N13" s="66">
        <f>'CONSOLIDADO_TOTAL RECAUDO'!N108</f>
        <v>15891735.880000001</v>
      </c>
      <c r="O13" s="40">
        <f t="shared" si="1"/>
        <v>7805785668.7200003</v>
      </c>
      <c r="Q13" s="4"/>
      <c r="S13" s="19">
        <v>5</v>
      </c>
      <c r="T13" s="63" t="s">
        <v>14</v>
      </c>
      <c r="U13" s="66">
        <f>'CONSOLIDADO_TOTAL RECAUDO'!U108</f>
        <v>928205240.1500001</v>
      </c>
      <c r="V13" s="66">
        <f>'CONSOLIDADO_TOTAL RECAUDO'!V108</f>
        <v>911180502.11000001</v>
      </c>
      <c r="W13" s="66">
        <f>'CONSOLIDADO_TOTAL RECAUDO'!W108</f>
        <v>4681131561.2200003</v>
      </c>
      <c r="X13" s="66">
        <f>'CONSOLIDADO_TOTAL RECAUDO'!X108</f>
        <v>2173851295.3300004</v>
      </c>
      <c r="Y13" s="66">
        <f>'CONSOLIDADO_TOTAL RECAUDO'!Y108</f>
        <v>172729906.53999999</v>
      </c>
      <c r="Z13" s="66">
        <f>'CONSOLIDADO_TOTAL RECAUDO'!Z108</f>
        <v>-128990446</v>
      </c>
      <c r="AA13" s="66">
        <f>'CONSOLIDADO_TOTAL RECAUDO'!AA108</f>
        <v>-147744.56999999998</v>
      </c>
      <c r="AB13" s="66">
        <f>'CONSOLIDADO_TOTAL RECAUDO'!AB108</f>
        <v>15891735.880000001</v>
      </c>
      <c r="AC13" s="66">
        <f>'CONSOLIDADO_TOTAL RECAUDO'!AC108</f>
        <v>-32.979999999999997</v>
      </c>
      <c r="AD13" s="66">
        <f>'CONSOLIDADO_TOTAL RECAUDO'!AD108</f>
        <v>-948066348.95999992</v>
      </c>
      <c r="AE13" s="66">
        <f>'CONSOLIDADO_TOTAL RECAUDO'!AE108</f>
        <v>-1031025372.62</v>
      </c>
      <c r="AF13" s="70">
        <f>SUM(U13:AD13)</f>
        <v>7805785668.7200022</v>
      </c>
      <c r="AG13" s="72">
        <f>AF13-O13</f>
        <v>0</v>
      </c>
      <c r="AH13" s="1" t="b">
        <f t="shared" si="2"/>
        <v>1</v>
      </c>
      <c r="AI13" s="4"/>
    </row>
    <row r="14" spans="2:35" ht="13.5" thickBot="1" x14ac:dyDescent="0.35">
      <c r="B14" s="21"/>
      <c r="C14" s="22" t="s">
        <v>2</v>
      </c>
      <c r="D14" s="43">
        <f t="shared" ref="D14:O14" si="3">SUM(D9:D13)</f>
        <v>72441209167.710007</v>
      </c>
      <c r="E14" s="43">
        <f t="shared" si="3"/>
        <v>4851378272.9799995</v>
      </c>
      <c r="F14" s="43">
        <f t="shared" si="3"/>
        <v>2729442975.1099997</v>
      </c>
      <c r="G14" s="43">
        <f t="shared" si="3"/>
        <v>1430173490.1999998</v>
      </c>
      <c r="H14" s="43">
        <f t="shared" si="3"/>
        <v>17426420953.600002</v>
      </c>
      <c r="I14" s="43">
        <f t="shared" si="3"/>
        <v>650929810.58000004</v>
      </c>
      <c r="J14" s="43">
        <f t="shared" si="3"/>
        <v>-8466734681.1999998</v>
      </c>
      <c r="K14" s="32">
        <f t="shared" si="3"/>
        <v>53819598346.440002</v>
      </c>
      <c r="L14" s="23">
        <f t="shared" si="3"/>
        <v>859936309</v>
      </c>
      <c r="M14" s="76">
        <f t="shared" si="3"/>
        <v>52959662037.440002</v>
      </c>
      <c r="N14" s="23">
        <f t="shared" si="3"/>
        <v>143093581.66999999</v>
      </c>
      <c r="O14" s="76">
        <f t="shared" si="3"/>
        <v>53102755619.110001</v>
      </c>
      <c r="P14" s="2"/>
      <c r="Q14" s="4"/>
      <c r="S14" s="21"/>
      <c r="T14" s="22" t="s">
        <v>2</v>
      </c>
      <c r="U14" s="43">
        <f>SUM(U9:U13)</f>
        <v>5712380402.710001</v>
      </c>
      <c r="V14" s="43">
        <f t="shared" ref="V14:AG14" si="4">SUM(V9:V13)</f>
        <v>5629671728.749999</v>
      </c>
      <c r="W14" s="43">
        <f t="shared" si="4"/>
        <v>27162450890.040005</v>
      </c>
      <c r="X14" s="43">
        <f t="shared" si="4"/>
        <v>11717094139.17</v>
      </c>
      <c r="Y14" s="43">
        <f t="shared" si="4"/>
        <v>1062213664.49</v>
      </c>
      <c r="Z14" s="43">
        <f t="shared" si="4"/>
        <v>-859936309</v>
      </c>
      <c r="AA14" s="43">
        <f t="shared" si="4"/>
        <v>151776.16</v>
      </c>
      <c r="AB14" s="43">
        <f t="shared" si="4"/>
        <v>143093581.66999999</v>
      </c>
      <c r="AC14" s="43">
        <f t="shared" si="4"/>
        <v>-14163.519999999999</v>
      </c>
      <c r="AD14" s="43">
        <f t="shared" ref="AD14" si="5">SUM(AD9:AD13)</f>
        <v>2535649908.6399999</v>
      </c>
      <c r="AE14" s="43">
        <f>SUM(AE9:AE13)</f>
        <v>-5931084772.5599995</v>
      </c>
      <c r="AF14" s="68">
        <f t="shared" si="4"/>
        <v>53102755619.110001</v>
      </c>
      <c r="AG14" s="43">
        <f t="shared" si="4"/>
        <v>0</v>
      </c>
      <c r="AH14" s="1" t="b">
        <f t="shared" si="2"/>
        <v>1</v>
      </c>
      <c r="AI14" s="4"/>
    </row>
    <row r="15" spans="2:35" ht="12" thickBot="1" x14ac:dyDescent="0.3">
      <c r="B15" s="2"/>
      <c r="C15" s="2"/>
      <c r="D15" s="24"/>
      <c r="E15" s="24"/>
      <c r="F15" s="24"/>
      <c r="G15" s="24"/>
      <c r="H15" s="24"/>
      <c r="I15" s="24"/>
      <c r="K15" s="24"/>
      <c r="L15" s="24"/>
      <c r="M15" s="24"/>
      <c r="N15" s="24"/>
      <c r="O15" s="24"/>
      <c r="Q15" s="4"/>
      <c r="S15" s="2"/>
      <c r="T15" s="2"/>
      <c r="U15" s="24"/>
      <c r="V15" s="24"/>
      <c r="W15" s="24"/>
      <c r="X15" s="24"/>
      <c r="Y15" s="24"/>
      <c r="AF15" s="24"/>
      <c r="AI15" s="4"/>
    </row>
    <row r="16" spans="2:35" ht="12" thickBot="1" x14ac:dyDescent="0.3">
      <c r="B16" s="2"/>
      <c r="C16" s="2"/>
      <c r="D16" s="24" t="s">
        <v>1</v>
      </c>
      <c r="E16" s="24"/>
      <c r="F16" s="24"/>
      <c r="G16" s="24"/>
      <c r="H16" s="24"/>
      <c r="I16" s="24"/>
      <c r="K16" s="24"/>
      <c r="L16" s="24"/>
      <c r="M16" s="24"/>
      <c r="N16" s="24"/>
      <c r="O16" s="24"/>
      <c r="Q16" s="4"/>
      <c r="Y16" s="86">
        <f>SUM(U14:Y14)</f>
        <v>51283810825.159996</v>
      </c>
      <c r="AA16" s="1" t="s">
        <v>1</v>
      </c>
      <c r="AB16" s="1" t="s">
        <v>1</v>
      </c>
      <c r="AD16" s="1" t="s">
        <v>1</v>
      </c>
      <c r="AF16" s="1" t="s">
        <v>1</v>
      </c>
      <c r="AI16" s="4"/>
    </row>
    <row r="17" spans="1:35" ht="64.5" customHeight="1" thickBot="1" x14ac:dyDescent="0.3">
      <c r="B17" s="2"/>
      <c r="C17" s="2"/>
      <c r="D17" s="24" t="s">
        <v>1</v>
      </c>
      <c r="E17" s="33"/>
      <c r="F17" s="33"/>
      <c r="G17" s="33"/>
      <c r="H17" s="33"/>
      <c r="I17" s="24"/>
      <c r="K17" s="24"/>
      <c r="L17" s="24"/>
      <c r="M17" s="24"/>
      <c r="N17" s="24"/>
      <c r="O17" s="24"/>
      <c r="Q17" s="4"/>
      <c r="U17" s="33"/>
      <c r="V17" s="33"/>
      <c r="W17" s="33"/>
      <c r="X17" s="33"/>
      <c r="AI17" s="4"/>
    </row>
    <row r="18" spans="1:35" x14ac:dyDescent="0.25">
      <c r="B18" s="2"/>
      <c r="C18" s="2"/>
      <c r="D18" s="24" t="s">
        <v>1</v>
      </c>
      <c r="E18" s="24" t="s">
        <v>1</v>
      </c>
      <c r="F18" s="24" t="s">
        <v>25</v>
      </c>
      <c r="G18" s="24"/>
      <c r="H18" s="24"/>
      <c r="I18" s="24"/>
      <c r="K18" s="24"/>
      <c r="L18" s="24"/>
      <c r="M18" s="24"/>
      <c r="N18" s="24"/>
      <c r="O18" s="24"/>
      <c r="Q18" s="4"/>
      <c r="U18" s="24" t="s">
        <v>1</v>
      </c>
      <c r="V18" s="24" t="s">
        <v>25</v>
      </c>
      <c r="W18" s="24"/>
      <c r="X18" s="24"/>
      <c r="AI18" s="4"/>
    </row>
    <row r="19" spans="1:35" x14ac:dyDescent="0.25">
      <c r="A19" s="52"/>
      <c r="B19" s="53"/>
      <c r="C19" s="53"/>
      <c r="D19" s="54"/>
      <c r="E19" s="54"/>
      <c r="F19" s="54"/>
      <c r="G19" s="54"/>
      <c r="H19" s="54"/>
      <c r="I19" s="54"/>
      <c r="J19" s="52"/>
      <c r="K19" s="54"/>
      <c r="L19" s="54"/>
      <c r="M19" s="54"/>
      <c r="N19" s="54"/>
      <c r="O19" s="54"/>
      <c r="P19" s="52"/>
      <c r="Q19" s="52"/>
      <c r="R19" s="52"/>
      <c r="S19" s="52"/>
      <c r="T19" s="52"/>
      <c r="U19" s="52"/>
      <c r="V19" s="52"/>
      <c r="W19" s="52"/>
      <c r="X19" s="52"/>
      <c r="Y19" s="52"/>
      <c r="Z19" s="52"/>
      <c r="AA19" s="52"/>
      <c r="AB19" s="52"/>
      <c r="AC19" s="52"/>
      <c r="AD19" s="52"/>
      <c r="AE19" s="52"/>
      <c r="AF19" s="52"/>
      <c r="AG19" s="52"/>
      <c r="AH19" s="52"/>
      <c r="AI19" s="52"/>
    </row>
    <row r="20" spans="1:35" ht="12" thickBot="1" x14ac:dyDescent="0.3">
      <c r="Q20" s="4"/>
    </row>
    <row r="21" spans="1:35" x14ac:dyDescent="0.25">
      <c r="B21" s="5"/>
      <c r="C21" s="3" t="s">
        <v>1</v>
      </c>
      <c r="D21" s="6" t="s">
        <v>1</v>
      </c>
      <c r="E21" s="3"/>
      <c r="F21" s="3"/>
      <c r="G21" s="3"/>
      <c r="H21" s="3" t="s">
        <v>1</v>
      </c>
      <c r="I21" s="3"/>
      <c r="J21" s="3"/>
      <c r="K21" s="3"/>
      <c r="L21" s="3"/>
      <c r="M21" s="3"/>
      <c r="N21" s="3"/>
      <c r="O21" s="7"/>
      <c r="P21" s="2"/>
      <c r="Q21" s="35"/>
    </row>
    <row r="22" spans="1:35" ht="14" x14ac:dyDescent="0.3">
      <c r="B22" s="8"/>
      <c r="C22" s="2"/>
      <c r="D22" s="9"/>
      <c r="F22" s="26" t="s">
        <v>8</v>
      </c>
      <c r="G22" s="26"/>
      <c r="I22" s="26" t="s">
        <v>16</v>
      </c>
      <c r="J22" s="25"/>
      <c r="M22" s="2" t="s">
        <v>15</v>
      </c>
      <c r="N22" s="50">
        <f>'CONSOLIDADO_TOTAL RECAUDO'!M117</f>
        <v>2026072</v>
      </c>
      <c r="O22" s="10"/>
      <c r="P22" s="2"/>
      <c r="Q22" s="4"/>
    </row>
    <row r="23" spans="1:35" ht="15.5" x14ac:dyDescent="0.35">
      <c r="B23" s="8"/>
      <c r="C23" s="2"/>
      <c r="D23" s="57"/>
      <c r="F23" s="36" t="s">
        <v>29</v>
      </c>
      <c r="G23" s="36"/>
      <c r="O23" s="10"/>
      <c r="P23" s="2"/>
      <c r="Q23" s="4"/>
    </row>
    <row r="24" spans="1:35" x14ac:dyDescent="0.25">
      <c r="B24" s="8"/>
      <c r="F24" s="2" t="s">
        <v>30</v>
      </c>
      <c r="G24" s="2"/>
      <c r="M24" s="2" t="s">
        <v>1</v>
      </c>
      <c r="O24" s="10"/>
      <c r="P24" s="2"/>
      <c r="Q24" s="4"/>
    </row>
    <row r="25" spans="1:35" x14ac:dyDescent="0.25">
      <c r="B25" s="8"/>
      <c r="I25" s="2"/>
      <c r="J25" s="2"/>
      <c r="O25" s="10"/>
      <c r="P25" s="2"/>
      <c r="Q25" s="4"/>
    </row>
    <row r="26" spans="1:35" ht="15.5" x14ac:dyDescent="0.35">
      <c r="B26" s="8"/>
      <c r="F26" s="41" t="s">
        <v>37</v>
      </c>
      <c r="G26" s="41"/>
      <c r="H26" s="2"/>
      <c r="J26" s="2"/>
      <c r="O26" s="10"/>
      <c r="P26" s="2"/>
      <c r="Q26" s="4"/>
    </row>
    <row r="27" spans="1:35" x14ac:dyDescent="0.25">
      <c r="B27" s="8"/>
      <c r="F27" s="2" t="s">
        <v>27</v>
      </c>
      <c r="G27" s="2"/>
      <c r="H27" s="9">
        <f>'CONSOLIDADO_TOTAL RECAUDO'!G122</f>
        <v>46219</v>
      </c>
      <c r="J27" s="2" t="s">
        <v>28</v>
      </c>
      <c r="K27" s="9">
        <f>'CONSOLIDADO_TOTAL RECAUDO'!K122</f>
        <v>46234</v>
      </c>
      <c r="O27" s="10"/>
      <c r="P27" s="2"/>
      <c r="Q27" s="4"/>
    </row>
    <row r="28" spans="1:35" ht="12" thickBot="1" x14ac:dyDescent="0.3">
      <c r="B28" s="8"/>
      <c r="C28" s="2" t="s">
        <v>1</v>
      </c>
      <c r="D28" s="2" t="s">
        <v>1</v>
      </c>
      <c r="J28" s="1" t="s">
        <v>1</v>
      </c>
      <c r="O28" s="44"/>
      <c r="P28" s="2"/>
      <c r="Q28" s="4"/>
    </row>
    <row r="29" spans="1:35" ht="46.5" thickBot="1" x14ac:dyDescent="0.3">
      <c r="B29" s="11" t="s">
        <v>3</v>
      </c>
      <c r="C29" s="12" t="s">
        <v>9</v>
      </c>
      <c r="D29" s="12" t="s">
        <v>38</v>
      </c>
      <c r="E29" s="12" t="s">
        <v>48</v>
      </c>
      <c r="G29" s="104" t="s">
        <v>47</v>
      </c>
      <c r="H29" s="105" t="s">
        <v>56</v>
      </c>
      <c r="I29" s="147" t="s">
        <v>130</v>
      </c>
      <c r="J29" s="147" t="s">
        <v>172</v>
      </c>
      <c r="K29" s="73" t="s">
        <v>143</v>
      </c>
      <c r="L29" s="73" t="s">
        <v>144</v>
      </c>
      <c r="O29" s="44"/>
      <c r="P29" s="13"/>
      <c r="Q29" s="4"/>
    </row>
    <row r="30" spans="1:35" x14ac:dyDescent="0.25">
      <c r="B30" s="108">
        <v>1</v>
      </c>
      <c r="C30" s="109" t="s">
        <v>10</v>
      </c>
      <c r="D30" s="110">
        <f>'CONSOLIDADO_TOTAL RECAUDO'!D125</f>
        <v>100931031.88</v>
      </c>
      <c r="E30" s="111">
        <f>'CONSOLIDADO_TOTAL RECAUDO'!E125</f>
        <v>0</v>
      </c>
      <c r="G30" s="140">
        <f>'CONSOLIDADO_TOTAL RECAUDO'!G125</f>
        <v>49580</v>
      </c>
      <c r="H30" s="110">
        <f>'CONSOLIDADO_TOTAL RECAUDO'!H125</f>
        <v>125948553.12</v>
      </c>
      <c r="I30" s="111">
        <f>'CONSOLIDADO_TOTAL RECAUDO'!I125</f>
        <v>973693.46</v>
      </c>
      <c r="J30" s="111">
        <f>'CONSOLIDADO_TOTAL RECAUDO'!J125</f>
        <v>-16536713.09</v>
      </c>
      <c r="K30" s="111">
        <f>'CONSOLIDADO_TOTAL RECAUDO'!K125</f>
        <v>82340</v>
      </c>
      <c r="L30" s="111">
        <f>'CONSOLIDADO_TOTAL RECAUDO'!L125</f>
        <v>182537.90999999997</v>
      </c>
      <c r="O30" s="44"/>
      <c r="Q30" s="4"/>
    </row>
    <row r="31" spans="1:35" x14ac:dyDescent="0.25">
      <c r="B31" s="16">
        <v>2</v>
      </c>
      <c r="C31" s="17" t="s">
        <v>11</v>
      </c>
      <c r="D31" s="15">
        <f>'CONSOLIDADO_TOTAL RECAUDO'!D126</f>
        <v>136534753</v>
      </c>
      <c r="E31" s="74">
        <f>'CONSOLIDADO_TOTAL RECAUDO'!E126</f>
        <v>0</v>
      </c>
      <c r="G31" s="82">
        <f>'CONSOLIDADO_TOTAL RECAUDO'!G126</f>
        <v>56190070</v>
      </c>
      <c r="H31" s="18">
        <f>'CONSOLIDADO_TOTAL RECAUDO'!H126</f>
        <v>178539092.16</v>
      </c>
      <c r="I31" s="83">
        <f>'CONSOLIDADO_TOTAL RECAUDO'!I126</f>
        <v>216025.77</v>
      </c>
      <c r="J31" s="83">
        <f>'CONSOLIDADO_TOTAL RECAUDO'!J126</f>
        <v>-71069759</v>
      </c>
      <c r="K31" s="83">
        <f>'CONSOLIDADO_TOTAL RECAUDO'!K126</f>
        <v>5228610</v>
      </c>
      <c r="L31" s="83">
        <f>'CONSOLIDADO_TOTAL RECAUDO'!L126</f>
        <v>0</v>
      </c>
      <c r="O31" s="44"/>
      <c r="Q31" s="4"/>
    </row>
    <row r="32" spans="1:35" x14ac:dyDescent="0.25">
      <c r="B32" s="16">
        <v>3</v>
      </c>
      <c r="C32" s="17" t="s">
        <v>12</v>
      </c>
      <c r="D32" s="15">
        <f>'CONSOLIDADO_TOTAL RECAUDO'!D127</f>
        <v>58884032.920000002</v>
      </c>
      <c r="E32" s="74">
        <f>'CONSOLIDADO_TOTAL RECAUDO'!E127</f>
        <v>0</v>
      </c>
      <c r="G32" s="82">
        <f>'CONSOLIDADO_TOTAL RECAUDO'!G127</f>
        <v>1307680</v>
      </c>
      <c r="H32" s="18">
        <f>'CONSOLIDADO_TOTAL RECAUDO'!H127</f>
        <v>26609070.66</v>
      </c>
      <c r="I32" s="83">
        <f>'CONSOLIDADO_TOTAL RECAUDO'!I127</f>
        <v>104231.83</v>
      </c>
      <c r="J32" s="83">
        <f>'CONSOLIDADO_TOTAL RECAUDO'!J127</f>
        <v>-32310979.800000001</v>
      </c>
      <c r="K32" s="83">
        <f>'CONSOLIDADO_TOTAL RECAUDO'!K127</f>
        <v>0</v>
      </c>
      <c r="L32" s="83">
        <f>'CONSOLIDADO_TOTAL RECAUDO'!L127</f>
        <v>2423600.2000000002</v>
      </c>
      <c r="O32" s="44"/>
      <c r="Q32" s="4"/>
    </row>
    <row r="33" spans="1:20" x14ac:dyDescent="0.25">
      <c r="B33" s="16">
        <v>4</v>
      </c>
      <c r="C33" s="17" t="s">
        <v>13</v>
      </c>
      <c r="D33" s="15">
        <f>'CONSOLIDADO_TOTAL RECAUDO'!D128</f>
        <v>73726637.340000004</v>
      </c>
      <c r="E33" s="74">
        <f>'CONSOLIDADO_TOTAL RECAUDO'!E128</f>
        <v>0</v>
      </c>
      <c r="G33" s="82">
        <f>'CONSOLIDADO_TOTAL RECAUDO'!G128</f>
        <v>4343101</v>
      </c>
      <c r="H33" s="18">
        <f>'CONSOLIDADO_TOTAL RECAUDO'!H128</f>
        <v>161461949.73000002</v>
      </c>
      <c r="I33" s="83">
        <f>'CONSOLIDADO_TOTAL RECAUDO'!I128</f>
        <v>35954.44</v>
      </c>
      <c r="J33" s="83">
        <f>'CONSOLIDADO_TOTAL RECAUDO'!J128</f>
        <v>-33738104.229999997</v>
      </c>
      <c r="K33" s="83">
        <f>'CONSOLIDADO_TOTAL RECAUDO'!K128</f>
        <v>14538094</v>
      </c>
      <c r="L33" s="83">
        <f>'CONSOLIDADO_TOTAL RECAUDO'!L128</f>
        <v>14979759.77</v>
      </c>
      <c r="O33" s="44"/>
      <c r="Q33" s="4"/>
    </row>
    <row r="34" spans="1:20" x14ac:dyDescent="0.25">
      <c r="B34" s="133">
        <v>5</v>
      </c>
      <c r="C34" s="138" t="s">
        <v>14</v>
      </c>
      <c r="D34" s="135">
        <f>'CONSOLIDADO_TOTAL RECAUDO'!D129</f>
        <v>28383865.960000001</v>
      </c>
      <c r="E34" s="139">
        <f>'CONSOLIDADO_TOTAL RECAUDO'!E129</f>
        <v>0</v>
      </c>
      <c r="G34" s="82">
        <f>'CONSOLIDADO_TOTAL RECAUDO'!G129</f>
        <v>441849</v>
      </c>
      <c r="H34" s="18">
        <f>'CONSOLIDADO_TOTAL RECAUDO'!H129</f>
        <v>43973508.960000001</v>
      </c>
      <c r="I34" s="83">
        <f>'CONSOLIDADO_TOTAL RECAUDO'!I129</f>
        <v>0</v>
      </c>
      <c r="J34" s="83">
        <f>'CONSOLIDADO_TOTAL RECAUDO'!J129</f>
        <v>-3092375.53</v>
      </c>
      <c r="K34" s="83">
        <f>'CONSOLIDADO_TOTAL RECAUDO'!K129</f>
        <v>87550</v>
      </c>
      <c r="L34" s="83">
        <f>'CONSOLIDADO_TOTAL RECAUDO'!L129</f>
        <v>215053.47</v>
      </c>
      <c r="O34" s="44"/>
      <c r="Q34" s="4"/>
    </row>
    <row r="35" spans="1:20" ht="12" thickBot="1" x14ac:dyDescent="0.3">
      <c r="B35" s="19" t="s">
        <v>89</v>
      </c>
      <c r="C35" s="20" t="s">
        <v>113</v>
      </c>
      <c r="D35" s="78"/>
      <c r="E35" s="79">
        <f>'CONSOLIDADO_TOTAL RECAUDO'!E130</f>
        <v>0</v>
      </c>
      <c r="G35" s="77"/>
      <c r="H35" s="78"/>
      <c r="I35" s="79"/>
      <c r="J35" s="79"/>
      <c r="K35" s="79"/>
      <c r="L35" s="79"/>
      <c r="O35" s="44"/>
      <c r="Q35" s="4"/>
    </row>
    <row r="36" spans="1:20" ht="12" thickBot="1" x14ac:dyDescent="0.3">
      <c r="B36" s="95"/>
      <c r="C36" s="106" t="s">
        <v>2</v>
      </c>
      <c r="D36" s="107">
        <f t="shared" ref="D36" si="6">SUM(D30:D34)</f>
        <v>398460321.09999996</v>
      </c>
      <c r="E36" s="107">
        <f>'CONSOLIDADO_TOTAL RECAUDO'!E131</f>
        <v>0</v>
      </c>
      <c r="F36" s="45"/>
      <c r="G36" s="107">
        <f t="shared" ref="G36" si="7">SUM(G30:G34)</f>
        <v>62332280</v>
      </c>
      <c r="H36" s="107">
        <f t="shared" ref="H36:L36" si="8">SUM(H30:H34)</f>
        <v>536532174.63</v>
      </c>
      <c r="I36" s="107">
        <f t="shared" si="8"/>
        <v>1329905.5</v>
      </c>
      <c r="J36" s="107">
        <f t="shared" ref="J36" si="9">SUM(J30:J34)</f>
        <v>-156747931.65000001</v>
      </c>
      <c r="K36" s="107">
        <f t="shared" si="8"/>
        <v>19936594</v>
      </c>
      <c r="L36" s="107">
        <f t="shared" si="8"/>
        <v>17800951.349999998</v>
      </c>
      <c r="M36" s="45"/>
      <c r="N36" s="45"/>
      <c r="O36" s="46"/>
      <c r="P36" s="2"/>
      <c r="Q36" s="4"/>
    </row>
    <row r="37" spans="1:20" x14ac:dyDescent="0.25">
      <c r="B37" s="2"/>
      <c r="C37" s="2"/>
      <c r="D37" s="24"/>
      <c r="Q37" s="4"/>
    </row>
    <row r="38" spans="1:20" x14ac:dyDescent="0.25">
      <c r="B38" s="2"/>
      <c r="C38" s="2"/>
      <c r="D38" s="24"/>
      <c r="L38" s="1" t="s">
        <v>1</v>
      </c>
      <c r="Q38" s="4"/>
    </row>
    <row r="39" spans="1:20" ht="64.5" customHeight="1" thickBot="1" x14ac:dyDescent="0.3">
      <c r="B39" s="2"/>
      <c r="C39" s="2"/>
      <c r="D39" s="24"/>
      <c r="E39" s="33"/>
      <c r="F39" s="33"/>
      <c r="G39" s="33"/>
      <c r="H39" s="33"/>
      <c r="I39" s="24"/>
      <c r="K39" s="24"/>
      <c r="L39" s="24" t="s">
        <v>1</v>
      </c>
      <c r="M39" s="24" t="s">
        <v>1</v>
      </c>
      <c r="N39" s="24"/>
      <c r="O39" s="24"/>
      <c r="Q39" s="4"/>
    </row>
    <row r="40" spans="1:20" x14ac:dyDescent="0.25">
      <c r="B40" s="2"/>
      <c r="C40" s="2"/>
      <c r="D40" s="24"/>
      <c r="E40" s="24" t="s">
        <v>1</v>
      </c>
      <c r="F40" s="42" t="s">
        <v>36</v>
      </c>
      <c r="G40" s="42"/>
      <c r="H40" s="42"/>
      <c r="I40" s="24"/>
      <c r="K40" s="24"/>
      <c r="L40" s="24"/>
      <c r="M40" s="24"/>
      <c r="N40" s="24"/>
      <c r="O40" s="24"/>
      <c r="Q40" s="4"/>
    </row>
    <row r="41" spans="1:20" x14ac:dyDescent="0.25">
      <c r="A41" s="52"/>
      <c r="B41" s="53"/>
      <c r="C41" s="53"/>
      <c r="D41" s="54"/>
      <c r="E41" s="54"/>
      <c r="F41" s="54"/>
      <c r="G41" s="54"/>
      <c r="H41" s="54"/>
      <c r="I41" s="54"/>
      <c r="J41" s="52"/>
      <c r="K41" s="54"/>
      <c r="L41" s="54"/>
      <c r="M41" s="54"/>
      <c r="N41" s="54"/>
      <c r="O41" s="54"/>
      <c r="P41" s="52"/>
      <c r="Q41" s="4"/>
    </row>
    <row r="42" spans="1:20" x14ac:dyDescent="0.25">
      <c r="N42" s="24"/>
      <c r="O42" s="24"/>
      <c r="Q42" s="24"/>
      <c r="T42" s="24"/>
    </row>
    <row r="43" spans="1:20" x14ac:dyDescent="0.25">
      <c r="N43" s="24"/>
      <c r="O43" s="24"/>
      <c r="Q43" s="24"/>
      <c r="T43" s="24"/>
    </row>
    <row r="44" spans="1:20" x14ac:dyDescent="0.25">
      <c r="D44" s="267" t="b">
        <f>D14='CONSOLIDADO_TOTAL RECAUDO'!D109</f>
        <v>1</v>
      </c>
      <c r="E44" s="267" t="b">
        <f>E14='CONSOLIDADO_TOTAL RECAUDO'!E109</f>
        <v>1</v>
      </c>
      <c r="F44" s="267" t="b">
        <f>F14='CONSOLIDADO_TOTAL RECAUDO'!F109</f>
        <v>1</v>
      </c>
      <c r="G44" s="267" t="b">
        <f>G14='CONSOLIDADO_TOTAL RECAUDO'!G109</f>
        <v>1</v>
      </c>
      <c r="H44" s="267" t="b">
        <f>H14='CONSOLIDADO_TOTAL RECAUDO'!H109</f>
        <v>1</v>
      </c>
      <c r="I44" s="267" t="b">
        <f>I14='CONSOLIDADO_TOTAL RECAUDO'!I109</f>
        <v>1</v>
      </c>
      <c r="J44" s="267" t="b">
        <f>J14='CONSOLIDADO_TOTAL RECAUDO'!J109</f>
        <v>1</v>
      </c>
      <c r="K44" s="267" t="b">
        <f>K14='CONSOLIDADO_TOTAL RECAUDO'!K109</f>
        <v>1</v>
      </c>
      <c r="L44" s="267" t="b">
        <f>L14='CONSOLIDADO_TOTAL RECAUDO'!L109</f>
        <v>1</v>
      </c>
      <c r="M44" s="267" t="b">
        <f>M14='CONSOLIDADO_TOTAL RECAUDO'!M109</f>
        <v>1</v>
      </c>
      <c r="N44" s="267" t="b">
        <f>N14='CONSOLIDADO_TOTAL RECAUDO'!N109</f>
        <v>1</v>
      </c>
      <c r="O44" s="267" t="b">
        <f>O14='CONSOLIDADO_TOTAL RECAUDO'!O109</f>
        <v>1</v>
      </c>
      <c r="Q44" s="24"/>
      <c r="T44" s="24"/>
    </row>
    <row r="45" spans="1:20" x14ac:dyDescent="0.25">
      <c r="D45" s="267" t="b">
        <f>D36='CONSOLIDADO_TOTAL RECAUDO'!D131</f>
        <v>1</v>
      </c>
      <c r="E45" s="267" t="b">
        <f>E36='CONSOLIDADO_TOTAL RECAUDO'!E131</f>
        <v>1</v>
      </c>
      <c r="F45" s="267" t="b">
        <f>F36='CONSOLIDADO_TOTAL RECAUDO'!F131</f>
        <v>1</v>
      </c>
      <c r="G45" s="267" t="b">
        <f>G36='CONSOLIDADO_TOTAL RECAUDO'!G131</f>
        <v>1</v>
      </c>
      <c r="H45" s="267" t="b">
        <f>H36='CONSOLIDADO_TOTAL RECAUDO'!H131</f>
        <v>1</v>
      </c>
      <c r="I45" s="267" t="b">
        <f>I36='CONSOLIDADO_TOTAL RECAUDO'!I131</f>
        <v>1</v>
      </c>
      <c r="J45" s="267" t="b">
        <f>K36='CONSOLIDADO_TOTAL RECAUDO'!K131</f>
        <v>1</v>
      </c>
      <c r="K45" s="267" t="b">
        <f>K36='CONSOLIDADO_TOTAL RECAUDO'!K131</f>
        <v>1</v>
      </c>
      <c r="L45" s="267" t="b">
        <f>L36='CONSOLIDADO_TOTAL RECAUDO'!L131</f>
        <v>1</v>
      </c>
      <c r="M45" s="267" t="b">
        <f>M36='CONSOLIDADO_TOTAL RECAUDO'!M131</f>
        <v>1</v>
      </c>
      <c r="N45" s="267" t="b">
        <f>N36='CONSOLIDADO_TOTAL RECAUDO'!N131</f>
        <v>1</v>
      </c>
      <c r="O45" s="267" t="b">
        <f>O36='CONSOLIDADO_TOTAL RECAUDO'!O131</f>
        <v>1</v>
      </c>
      <c r="Q45" s="24"/>
      <c r="T45" s="24"/>
    </row>
    <row r="46" spans="1:20" x14ac:dyDescent="0.25">
      <c r="N46" s="24"/>
      <c r="O46" s="24"/>
      <c r="Q46" s="24"/>
      <c r="T46" s="24"/>
    </row>
    <row r="47" spans="1:20" x14ac:dyDescent="0.25">
      <c r="N47" s="24"/>
      <c r="O47" s="24"/>
      <c r="Q47" s="24"/>
      <c r="T47" s="24"/>
    </row>
    <row r="48" spans="1:20" x14ac:dyDescent="0.25">
      <c r="N48" s="24"/>
      <c r="O48" s="24"/>
      <c r="Q48" s="24"/>
      <c r="T48" s="24"/>
    </row>
    <row r="49" spans="14:20" x14ac:dyDescent="0.25">
      <c r="N49" s="24"/>
      <c r="O49" s="24"/>
      <c r="Q49" s="24"/>
      <c r="T49" s="24"/>
    </row>
    <row r="50" spans="14:20" x14ac:dyDescent="0.25">
      <c r="N50" s="24"/>
      <c r="O50" s="24"/>
      <c r="Q50" s="24"/>
      <c r="T50" s="24"/>
    </row>
    <row r="51" spans="14:20" x14ac:dyDescent="0.25">
      <c r="Q51" s="24"/>
      <c r="T51" s="24"/>
    </row>
    <row r="52" spans="14:20" x14ac:dyDescent="0.25">
      <c r="Q52" s="24"/>
    </row>
  </sheetData>
  <conditionalFormatting sqref="AH9:AH14">
    <cfRule type="cellIs" dxfId="63" priority="1" operator="notEqual">
      <formula>TRUE</formula>
    </cfRule>
  </conditionalFormatting>
  <printOptions horizontalCentered="1" verticalCentered="1"/>
  <pageMargins left="0.55118110236220474" right="0.74803149606299213" top="0.59055118110236227" bottom="0.78740157480314965" header="0" footer="0"/>
  <pageSetup scale="24" orientation="landscape" r:id="rId1"/>
  <headerFooter alignWithMargins="0"/>
  <drawing r:id="rId2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tabColor rgb="FF00B0F0"/>
    <pageSetUpPr fitToPage="1"/>
  </sheetPr>
  <dimension ref="A1:AJ166"/>
  <sheetViews>
    <sheetView topLeftCell="A95" zoomScaleNormal="100" workbookViewId="0">
      <selection activeCell="A95" sqref="A95"/>
    </sheetView>
  </sheetViews>
  <sheetFormatPr baseColWidth="10" defaultColWidth="11.453125" defaultRowHeight="11.5" x14ac:dyDescent="0.25"/>
  <cols>
    <col min="1" max="1" width="3" style="1" customWidth="1"/>
    <col min="2" max="2" width="4.453125" style="1" bestFit="1" customWidth="1"/>
    <col min="3" max="3" width="36.81640625" style="1" customWidth="1"/>
    <col min="4" max="4" width="15.1796875" style="1" customWidth="1"/>
    <col min="5" max="5" width="16" style="1" customWidth="1"/>
    <col min="6" max="7" width="14.81640625" style="1" customWidth="1"/>
    <col min="8" max="9" width="16" style="1" customWidth="1"/>
    <col min="10" max="10" width="15.54296875" style="1" customWidth="1"/>
    <col min="11" max="11" width="17.54296875" style="1" customWidth="1"/>
    <col min="12" max="12" width="17.81640625" style="1" customWidth="1"/>
    <col min="13" max="13" width="18.81640625" style="1" customWidth="1"/>
    <col min="14" max="14" width="15.1796875" style="1" customWidth="1"/>
    <col min="15" max="15" width="16.81640625" style="1" customWidth="1"/>
    <col min="16" max="16" width="3.81640625" style="1" customWidth="1"/>
    <col min="17" max="17" width="2.81640625" style="1" customWidth="1"/>
    <col min="18" max="18" width="4.54296875" style="1" customWidth="1"/>
    <col min="19" max="19" width="11.1796875" style="1" customWidth="1"/>
    <col min="20" max="20" width="37.54296875" style="1" bestFit="1" customWidth="1"/>
    <col min="21" max="21" width="19.1796875" style="1" customWidth="1"/>
    <col min="22" max="22" width="17.81640625" style="1" customWidth="1"/>
    <col min="23" max="23" width="16.453125" style="1" customWidth="1"/>
    <col min="24" max="24" width="17.1796875" style="1" customWidth="1"/>
    <col min="25" max="25" width="15.81640625" style="1" customWidth="1"/>
    <col min="26" max="26" width="16" style="1" customWidth="1"/>
    <col min="27" max="27" width="15" style="1" customWidth="1"/>
    <col min="28" max="29" width="16.81640625" style="1" customWidth="1"/>
    <col min="30" max="31" width="15.453125" style="1" customWidth="1"/>
    <col min="32" max="32" width="16.1796875" style="1" customWidth="1"/>
    <col min="33" max="33" width="18.1796875" style="1" customWidth="1"/>
    <col min="34" max="34" width="13.81640625" style="1" customWidth="1"/>
    <col min="35" max="35" width="3.453125" style="1" customWidth="1"/>
    <col min="36" max="36" width="13.81640625" style="1" bestFit="1" customWidth="1"/>
    <col min="37" max="16384" width="11.453125" style="1"/>
  </cols>
  <sheetData>
    <row r="1" spans="1:35" ht="12" thickBot="1" x14ac:dyDescent="0.3">
      <c r="A1" s="241"/>
      <c r="Q1" s="4"/>
      <c r="AI1" s="4"/>
    </row>
    <row r="2" spans="1:35" x14ac:dyDescent="0.25">
      <c r="B2" s="5"/>
      <c r="C2" s="3" t="s">
        <v>1</v>
      </c>
      <c r="D2" s="6" t="s">
        <v>1</v>
      </c>
      <c r="E2" s="3"/>
      <c r="F2" s="3"/>
      <c r="G2" s="3"/>
      <c r="H2" s="3" t="s">
        <v>1</v>
      </c>
      <c r="I2" s="3"/>
      <c r="J2" s="3"/>
      <c r="K2" s="3"/>
      <c r="L2" s="3"/>
      <c r="M2" s="3"/>
      <c r="N2" s="3"/>
      <c r="O2" s="7"/>
      <c r="P2" s="2"/>
      <c r="Q2" s="4"/>
      <c r="S2" s="5"/>
      <c r="T2" s="3" t="s">
        <v>1</v>
      </c>
      <c r="U2" s="6" t="s">
        <v>1</v>
      </c>
      <c r="V2" s="3"/>
      <c r="W2" s="3"/>
      <c r="X2" s="3" t="s">
        <v>1</v>
      </c>
      <c r="Y2" s="3"/>
      <c r="Z2" s="3"/>
      <c r="AA2" s="3"/>
      <c r="AB2" s="3"/>
      <c r="AC2" s="3"/>
      <c r="AD2" s="3"/>
      <c r="AE2" s="3"/>
      <c r="AF2" s="7"/>
      <c r="AG2" s="2"/>
      <c r="AI2" s="4"/>
    </row>
    <row r="3" spans="1:35" ht="14" x14ac:dyDescent="0.3">
      <c r="B3" s="8"/>
      <c r="F3" s="26" t="s">
        <v>8</v>
      </c>
      <c r="G3" s="26"/>
      <c r="I3" s="26" t="s">
        <v>16</v>
      </c>
      <c r="J3" s="25"/>
      <c r="M3" s="2" t="s">
        <v>15</v>
      </c>
      <c r="N3" s="50">
        <f>'CONSOLIDADO_TOTAL RECAUDO'!N3</f>
        <v>2026072</v>
      </c>
      <c r="O3" s="10"/>
      <c r="P3" s="2"/>
      <c r="Q3" s="4"/>
      <c r="S3" s="8"/>
      <c r="U3" s="26" t="s">
        <v>8</v>
      </c>
      <c r="W3" s="26" t="s">
        <v>16</v>
      </c>
      <c r="X3" s="25"/>
      <c r="Y3" s="2"/>
      <c r="AA3" s="2" t="s">
        <v>15</v>
      </c>
      <c r="AD3" s="84">
        <f>N3</f>
        <v>2026072</v>
      </c>
      <c r="AE3" s="84"/>
      <c r="AF3" s="48"/>
      <c r="AG3" s="2"/>
      <c r="AI3" s="4"/>
    </row>
    <row r="4" spans="1:35" ht="15.5" x14ac:dyDescent="0.35">
      <c r="B4" s="8"/>
      <c r="F4" s="36" t="s">
        <v>29</v>
      </c>
      <c r="G4" s="36"/>
      <c r="O4" s="10"/>
      <c r="P4" s="2"/>
      <c r="Q4" s="4"/>
      <c r="S4" s="8"/>
      <c r="T4" s="26" t="s">
        <v>1</v>
      </c>
      <c r="U4" s="36" t="s">
        <v>29</v>
      </c>
      <c r="Y4" s="2" t="s">
        <v>1</v>
      </c>
      <c r="AA4" s="50" t="s">
        <v>1</v>
      </c>
      <c r="AB4" s="2"/>
      <c r="AC4" s="2"/>
      <c r="AD4" s="2"/>
      <c r="AE4" s="2"/>
      <c r="AF4" s="10" t="s">
        <v>1</v>
      </c>
      <c r="AG4" s="2"/>
      <c r="AI4" s="4"/>
    </row>
    <row r="5" spans="1:35" ht="14" x14ac:dyDescent="0.3">
      <c r="B5" s="8"/>
      <c r="F5" s="2" t="s">
        <v>30</v>
      </c>
      <c r="G5" s="2"/>
      <c r="M5" s="2" t="s">
        <v>1</v>
      </c>
      <c r="O5" s="10"/>
      <c r="P5" s="2"/>
      <c r="Q5" s="4"/>
      <c r="S5" s="8"/>
      <c r="T5" s="49" t="s">
        <v>1</v>
      </c>
      <c r="U5" s="2" t="s">
        <v>30</v>
      </c>
      <c r="AF5" s="44"/>
      <c r="AG5" s="2"/>
      <c r="AI5" s="4"/>
    </row>
    <row r="6" spans="1:35" ht="15.5" x14ac:dyDescent="0.35">
      <c r="B6" s="8"/>
      <c r="C6" s="599" t="s">
        <v>17</v>
      </c>
      <c r="D6" s="9">
        <f>'CONSOLIDADO_TOTAL RECAUDO'!D6</f>
        <v>46238</v>
      </c>
      <c r="F6" s="41" t="s">
        <v>26</v>
      </c>
      <c r="G6" s="41"/>
      <c r="H6" s="2"/>
      <c r="J6" s="2"/>
      <c r="O6" s="10"/>
      <c r="P6" s="2"/>
      <c r="Q6" s="4"/>
      <c r="S6" s="8"/>
      <c r="T6" s="41" t="s">
        <v>1</v>
      </c>
      <c r="U6" s="41" t="s">
        <v>26</v>
      </c>
      <c r="V6" s="2"/>
      <c r="X6" s="2"/>
      <c r="Y6" s="2"/>
      <c r="AF6" s="48"/>
      <c r="AG6" s="2"/>
      <c r="AI6" s="4"/>
    </row>
    <row r="7" spans="1:35" ht="12" thickBot="1" x14ac:dyDescent="0.3">
      <c r="B7" s="8"/>
      <c r="C7" s="599" t="s">
        <v>0</v>
      </c>
      <c r="D7" s="241">
        <f>'CONSOLIDADO_TOTAL RECAUDO'!D7</f>
        <v>0.58333333333333337</v>
      </c>
      <c r="F7" s="2" t="s">
        <v>27</v>
      </c>
      <c r="G7" s="9">
        <f>'CONSOLIDADO_TOTAL RECAUDO'!G7</f>
        <v>46219</v>
      </c>
      <c r="J7" s="2" t="s">
        <v>28</v>
      </c>
      <c r="K7" s="9">
        <f>'CONSOLIDADO_TOTAL RECAUDO'!K7</f>
        <v>46234</v>
      </c>
      <c r="O7" s="10"/>
      <c r="P7" s="2"/>
      <c r="Q7" s="4"/>
      <c r="S7" s="8"/>
      <c r="U7" s="1" t="str">
        <f>F7</f>
        <v>Fecha Desde:</v>
      </c>
      <c r="V7" s="9">
        <f>G7</f>
        <v>46219</v>
      </c>
      <c r="W7" s="1" t="s">
        <v>1</v>
      </c>
      <c r="X7" s="1" t="str">
        <f>J7</f>
        <v>Feha Hasta:</v>
      </c>
      <c r="Y7" s="9">
        <f>K7</f>
        <v>46234</v>
      </c>
      <c r="Z7" s="1" t="s">
        <v>1</v>
      </c>
      <c r="AF7" s="48"/>
      <c r="AG7" s="2"/>
      <c r="AI7" s="4"/>
    </row>
    <row r="8" spans="1:35" ht="72" customHeight="1" thickBot="1" x14ac:dyDescent="0.3">
      <c r="B8" s="11" t="s">
        <v>3</v>
      </c>
      <c r="C8" s="27" t="s">
        <v>9</v>
      </c>
      <c r="D8" s="11" t="s">
        <v>4</v>
      </c>
      <c r="E8" s="12" t="s">
        <v>5</v>
      </c>
      <c r="F8" s="27" t="s">
        <v>6</v>
      </c>
      <c r="G8" s="268" t="s">
        <v>159</v>
      </c>
      <c r="H8" s="27" t="s">
        <v>18</v>
      </c>
      <c r="I8" s="12" t="s">
        <v>24</v>
      </c>
      <c r="J8" s="73" t="s">
        <v>19</v>
      </c>
      <c r="K8" s="29" t="s">
        <v>20</v>
      </c>
      <c r="L8" s="28" t="s">
        <v>21</v>
      </c>
      <c r="M8" s="39" t="s">
        <v>22</v>
      </c>
      <c r="N8" s="12" t="s">
        <v>7</v>
      </c>
      <c r="O8" s="39" t="s">
        <v>23</v>
      </c>
      <c r="P8" s="13"/>
      <c r="Q8" s="4"/>
      <c r="S8" s="11" t="s">
        <v>3</v>
      </c>
      <c r="T8" s="27" t="s">
        <v>9</v>
      </c>
      <c r="U8" s="162" t="s">
        <v>39</v>
      </c>
      <c r="V8" s="163" t="s">
        <v>40</v>
      </c>
      <c r="W8" s="163" t="s">
        <v>41</v>
      </c>
      <c r="X8" s="163" t="s">
        <v>42</v>
      </c>
      <c r="Y8" s="164" t="s">
        <v>43</v>
      </c>
      <c r="Z8" s="85" t="s">
        <v>21</v>
      </c>
      <c r="AA8" s="65" t="s">
        <v>46</v>
      </c>
      <c r="AB8" s="65" t="s">
        <v>7</v>
      </c>
      <c r="AC8" s="85" t="s">
        <v>168</v>
      </c>
      <c r="AD8" s="121" t="s">
        <v>107</v>
      </c>
      <c r="AE8" s="121" t="s">
        <v>226</v>
      </c>
      <c r="AF8" s="39" t="s">
        <v>23</v>
      </c>
      <c r="AG8" s="13"/>
      <c r="AI8" s="4"/>
    </row>
    <row r="9" spans="1:35" s="305" customFormat="1" x14ac:dyDescent="0.25">
      <c r="B9" s="303">
        <v>1</v>
      </c>
      <c r="C9" s="304" t="s">
        <v>10</v>
      </c>
      <c r="D9" s="291">
        <f>'Reporte Componentes R1'!F58</f>
        <v>0</v>
      </c>
      <c r="E9" s="292">
        <f>'Reporte Componentes R1'!G58</f>
        <v>0</v>
      </c>
      <c r="F9" s="292">
        <f>'Reporte Componentes R1'!H58</f>
        <v>0</v>
      </c>
      <c r="G9" s="292">
        <f>'Reporte Componentes R1'!I58</f>
        <v>0</v>
      </c>
      <c r="H9" s="292">
        <f>'Reporte Componentes R1'!J58</f>
        <v>0</v>
      </c>
      <c r="I9" s="292">
        <f>'Reporte Componentes R1'!K58</f>
        <v>0</v>
      </c>
      <c r="J9" s="288">
        <v>0</v>
      </c>
      <c r="K9" s="293">
        <f>D9-E9-F9-G9-H9-I9-J9</f>
        <v>0</v>
      </c>
      <c r="L9" s="294">
        <v>0</v>
      </c>
      <c r="M9" s="293">
        <f>K9-L9</f>
        <v>0</v>
      </c>
      <c r="N9" s="294">
        <f>'Reporte Componentes R1'!L58</f>
        <v>0</v>
      </c>
      <c r="O9" s="293">
        <f>M9+N9</f>
        <v>0</v>
      </c>
      <c r="Q9" s="306"/>
      <c r="S9" s="303">
        <v>1</v>
      </c>
      <c r="T9" s="304" t="s">
        <v>10</v>
      </c>
      <c r="U9" s="307">
        <f>'Reporte Componentes R1'!M58</f>
        <v>0</v>
      </c>
      <c r="V9" s="308">
        <f>'Reporte Componentes R1'!N58</f>
        <v>0</v>
      </c>
      <c r="W9" s="308">
        <f>'Reporte Componentes R1'!O58</f>
        <v>0</v>
      </c>
      <c r="X9" s="308">
        <f>'Reporte Componentes R1'!P58</f>
        <v>0</v>
      </c>
      <c r="Y9" s="309">
        <f>'Reporte Componentes R1'!Q58</f>
        <v>0</v>
      </c>
      <c r="Z9" s="310">
        <f>L9*-1</f>
        <v>0</v>
      </c>
      <c r="AA9" s="311">
        <f>'Reporte Componentes R1'!R58+'Reporte Componentes R1'!V58+'Reporte Componentes R1'!U58</f>
        <v>0</v>
      </c>
      <c r="AB9" s="294">
        <f>N9</f>
        <v>0</v>
      </c>
      <c r="AC9" s="311">
        <f>'Reporte Componentes R1'!T58+'Reporte Componentes R1'!W58+'Reporte Componentes R1'!X58+'Reporte Componentes R1'!Y58+'Reporte Componentes R1'!Z58+'Reporte Componentes R1'!S58</f>
        <v>0</v>
      </c>
      <c r="AD9" s="291">
        <f>-J9+AE9</f>
        <v>0</v>
      </c>
      <c r="AE9" s="291">
        <f>'Reporte Componentes R1'!F59</f>
        <v>0</v>
      </c>
      <c r="AF9" s="313">
        <f>SUM(U9:AD9)</f>
        <v>0</v>
      </c>
      <c r="AG9" s="521">
        <f>(AF9-O9)</f>
        <v>0</v>
      </c>
      <c r="AH9" s="1" t="b">
        <f>INT(AG9)=0</f>
        <v>1</v>
      </c>
      <c r="AI9" s="306"/>
    </row>
    <row r="10" spans="1:35" s="305" customFormat="1" x14ac:dyDescent="0.25">
      <c r="B10" s="314">
        <v>2</v>
      </c>
      <c r="C10" s="315" t="s">
        <v>11</v>
      </c>
      <c r="D10" s="291">
        <f>'Reporte Componentes R1'!F211</f>
        <v>11411240</v>
      </c>
      <c r="E10" s="292">
        <f>'Reporte Componentes R1'!G211</f>
        <v>846445.31</v>
      </c>
      <c r="F10" s="292">
        <f>'Reporte Componentes R1'!H211</f>
        <v>456814.64</v>
      </c>
      <c r="G10" s="292">
        <f>'Reporte Componentes R1'!I211</f>
        <v>246633.46</v>
      </c>
      <c r="H10" s="292">
        <f>'Reporte Componentes R1'!J211</f>
        <v>3859157.96</v>
      </c>
      <c r="I10" s="292">
        <f>'Reporte Componentes R1'!K211</f>
        <v>125021.13</v>
      </c>
      <c r="J10" s="288">
        <v>0</v>
      </c>
      <c r="K10" s="295">
        <f t="shared" ref="K10:K13" si="0">D10-E10-F10-G10-H10-I10-J10</f>
        <v>5877167.4999999981</v>
      </c>
      <c r="L10" s="294">
        <v>0</v>
      </c>
      <c r="M10" s="295">
        <f>K10-L10</f>
        <v>5877167.4999999981</v>
      </c>
      <c r="N10" s="294">
        <f>'Reporte Componentes R1'!L211</f>
        <v>0</v>
      </c>
      <c r="O10" s="295">
        <f t="shared" ref="O10:O12" si="1">M10+N10</f>
        <v>5877167.4999999981</v>
      </c>
      <c r="Q10" s="306"/>
      <c r="S10" s="314">
        <v>2</v>
      </c>
      <c r="T10" s="315" t="s">
        <v>11</v>
      </c>
      <c r="U10" s="316">
        <f>'Reporte Componentes R1'!M211</f>
        <v>1101678.21</v>
      </c>
      <c r="V10" s="317">
        <f>'Reporte Componentes R1'!N211</f>
        <v>1198553.1100000001</v>
      </c>
      <c r="W10" s="317">
        <f>'Reporte Componentes R1'!O211</f>
        <v>5597648.7699999996</v>
      </c>
      <c r="X10" s="317">
        <f>'Reporte Componentes R1'!P211</f>
        <v>1666421.96</v>
      </c>
      <c r="Y10" s="318">
        <f>'Reporte Componentes R1'!Q211</f>
        <v>204886.65</v>
      </c>
      <c r="Z10" s="319">
        <f>L10*-1</f>
        <v>0</v>
      </c>
      <c r="AA10" s="320">
        <f>'Reporte Componentes R1'!R211+'Reporte Componentes R1'!V211+'Reporte Componentes R1'!U211</f>
        <v>72.06</v>
      </c>
      <c r="AB10" s="294">
        <f>N10</f>
        <v>0</v>
      </c>
      <c r="AC10" s="320">
        <f>'Reporte Componentes R1'!T211+'Reporte Componentes R1'!W211+'Reporte Componentes R1'!X211+'Reporte Componentes R1'!Y211+'Reporte Componentes R1'!Z211++'Reporte Componentes R1'!S211</f>
        <v>-7.0000000000000007E-2</v>
      </c>
      <c r="AD10" s="291">
        <f t="shared" ref="AD10:AD13" si="2">-J10+AE10</f>
        <v>-3892093.19</v>
      </c>
      <c r="AE10" s="291">
        <f>'Reporte Componentes R1'!F212</f>
        <v>-3892093.19</v>
      </c>
      <c r="AF10" s="322">
        <f>SUM(U10:AD10)</f>
        <v>5877167.5000000019</v>
      </c>
      <c r="AG10" s="522">
        <f>(AF10-O10)</f>
        <v>3.7252902984619141E-9</v>
      </c>
      <c r="AH10" s="1" t="b">
        <f t="shared" ref="AH10:AH14" si="3">INT(AG10)=0</f>
        <v>1</v>
      </c>
      <c r="AI10" s="306"/>
    </row>
    <row r="11" spans="1:35" s="305" customFormat="1" x14ac:dyDescent="0.25">
      <c r="B11" s="314">
        <v>3</v>
      </c>
      <c r="C11" s="315" t="s">
        <v>12</v>
      </c>
      <c r="D11" s="291">
        <f>'Reporte Componentes R1'!F348</f>
        <v>0</v>
      </c>
      <c r="E11" s="292">
        <f>'Reporte Componentes R1'!G348</f>
        <v>0</v>
      </c>
      <c r="F11" s="292">
        <f>'Reporte Componentes R1'!H348</f>
        <v>0</v>
      </c>
      <c r="G11" s="292">
        <f>'Reporte Componentes R1'!I348</f>
        <v>0</v>
      </c>
      <c r="H11" s="292">
        <f>'Reporte Componentes R1'!J348</f>
        <v>0</v>
      </c>
      <c r="I11" s="292">
        <f>'Reporte Componentes R1'!K348</f>
        <v>0</v>
      </c>
      <c r="J11" s="288">
        <v>0</v>
      </c>
      <c r="K11" s="295">
        <f t="shared" si="0"/>
        <v>0</v>
      </c>
      <c r="L11" s="294">
        <v>0</v>
      </c>
      <c r="M11" s="295">
        <f>K11-L11</f>
        <v>0</v>
      </c>
      <c r="N11" s="294">
        <f>'Reporte Componentes R1'!L348</f>
        <v>0</v>
      </c>
      <c r="O11" s="295">
        <f t="shared" si="1"/>
        <v>0</v>
      </c>
      <c r="Q11" s="306"/>
      <c r="S11" s="314">
        <v>3</v>
      </c>
      <c r="T11" s="315" t="s">
        <v>12</v>
      </c>
      <c r="U11" s="316">
        <f>'Reporte Componentes R1'!M348</f>
        <v>0</v>
      </c>
      <c r="V11" s="317">
        <f>'Reporte Componentes R1'!N348</f>
        <v>0</v>
      </c>
      <c r="W11" s="317">
        <f>'Reporte Componentes R1'!O348</f>
        <v>0</v>
      </c>
      <c r="X11" s="317">
        <f>'Reporte Componentes R1'!P348</f>
        <v>0</v>
      </c>
      <c r="Y11" s="318">
        <f>'Reporte Componentes R1'!Q348</f>
        <v>0</v>
      </c>
      <c r="Z11" s="319">
        <f>L11*-1</f>
        <v>0</v>
      </c>
      <c r="AA11" s="320">
        <f>'Reporte Componentes R1'!R348+'Reporte Componentes R1'!V348+'Reporte Componentes R1'!U348</f>
        <v>0</v>
      </c>
      <c r="AB11" s="294">
        <f>N11</f>
        <v>0</v>
      </c>
      <c r="AC11" s="320">
        <f>'Reporte Componentes R1'!T348+'Reporte Componentes R1'!W348+'Reporte Componentes R1'!X348+'Reporte Componentes R1'!Y348+'Reporte Componentes R1'!Z348++'Reporte Componentes R1'!S348</f>
        <v>0</v>
      </c>
      <c r="AD11" s="291">
        <f t="shared" si="2"/>
        <v>0</v>
      </c>
      <c r="AE11" s="291">
        <f>'Reporte Componentes R1'!F349</f>
        <v>0</v>
      </c>
      <c r="AF11" s="322">
        <f t="shared" ref="AF11:AF13" si="4">SUM(U11:AD11)</f>
        <v>0</v>
      </c>
      <c r="AG11" s="522">
        <f>(AF11-O11)</f>
        <v>0</v>
      </c>
      <c r="AH11" s="1" t="b">
        <f t="shared" si="3"/>
        <v>1</v>
      </c>
      <c r="AI11" s="306"/>
    </row>
    <row r="12" spans="1:35" s="305" customFormat="1" x14ac:dyDescent="0.25">
      <c r="B12" s="314">
        <v>4</v>
      </c>
      <c r="C12" s="315" t="s">
        <v>13</v>
      </c>
      <c r="D12" s="291">
        <f>'Reporte Componentes R1'!F473</f>
        <v>5616850</v>
      </c>
      <c r="E12" s="292">
        <f>'Reporte Componentes R1'!G473</f>
        <v>348026.22</v>
      </c>
      <c r="F12" s="292">
        <f>'Reporte Componentes R1'!H473</f>
        <v>182658.96</v>
      </c>
      <c r="G12" s="292">
        <f>'Reporte Componentes R1'!I473</f>
        <v>98773.43</v>
      </c>
      <c r="H12" s="292">
        <f>'Reporte Componentes R1'!J473</f>
        <v>1121911.54</v>
      </c>
      <c r="I12" s="292">
        <f>'Reporte Componentes R1'!K473</f>
        <v>39196.07</v>
      </c>
      <c r="J12" s="288">
        <v>0</v>
      </c>
      <c r="K12" s="295">
        <f t="shared" si="0"/>
        <v>3826283.7800000007</v>
      </c>
      <c r="L12" s="294">
        <v>0</v>
      </c>
      <c r="M12" s="295">
        <f>K12-L12</f>
        <v>3826283.7800000007</v>
      </c>
      <c r="N12" s="294">
        <f>'Reporte Componentes R1'!L473</f>
        <v>0</v>
      </c>
      <c r="O12" s="295">
        <f t="shared" si="1"/>
        <v>3826283.7800000007</v>
      </c>
      <c r="Q12" s="306"/>
      <c r="S12" s="314">
        <v>4</v>
      </c>
      <c r="T12" s="315" t="s">
        <v>13</v>
      </c>
      <c r="U12" s="316">
        <f>'Reporte Componentes R1'!M473</f>
        <v>344054.1</v>
      </c>
      <c r="V12" s="317">
        <f>'Reporte Componentes R1'!N473</f>
        <v>366770.81</v>
      </c>
      <c r="W12" s="317">
        <f>'Reporte Componentes R1'!O473</f>
        <v>1860672.37</v>
      </c>
      <c r="X12" s="317">
        <f>'Reporte Componentes R1'!P473</f>
        <v>927916.55</v>
      </c>
      <c r="Y12" s="318">
        <f>'Reporte Componentes R1'!Q473</f>
        <v>64006.76</v>
      </c>
      <c r="Z12" s="319">
        <f>L12*-1</f>
        <v>0</v>
      </c>
      <c r="AA12" s="320">
        <f>'Reporte Componentes R1'!R473+'Reporte Componentes R1'!V473+'Reporte Componentes R1'!U473</f>
        <v>-38.130000000000003</v>
      </c>
      <c r="AB12" s="294">
        <f>N12</f>
        <v>0</v>
      </c>
      <c r="AC12" s="320">
        <f>'Reporte Componentes R1'!T473+'Reporte Componentes R1'!W473+'Reporte Componentes R1'!X473+'Reporte Componentes R1'!Y473+'Reporte Componentes R1'!Z473++'Reporte Componentes R1'!S473</f>
        <v>0</v>
      </c>
      <c r="AD12" s="291">
        <f t="shared" si="2"/>
        <v>262901.32</v>
      </c>
      <c r="AE12" s="291">
        <f>'Reporte Componentes R1'!F474</f>
        <v>262901.32</v>
      </c>
      <c r="AF12" s="322">
        <f t="shared" si="4"/>
        <v>3826283.78</v>
      </c>
      <c r="AG12" s="522">
        <f>(AF12-O12)</f>
        <v>-9.3132257461547852E-10</v>
      </c>
      <c r="AH12" s="1" t="b">
        <f t="shared" si="3"/>
        <v>0</v>
      </c>
      <c r="AI12" s="306"/>
    </row>
    <row r="13" spans="1:35" s="305" customFormat="1" ht="12" thickBot="1" x14ac:dyDescent="0.3">
      <c r="B13" s="324">
        <v>5</v>
      </c>
      <c r="C13" s="325" t="s">
        <v>14</v>
      </c>
      <c r="D13" s="296">
        <f>'Reporte Componentes R1'!F563</f>
        <v>0</v>
      </c>
      <c r="E13" s="297">
        <f>'Reporte Componentes R1'!G563</f>
        <v>0</v>
      </c>
      <c r="F13" s="297">
        <f>'Reporte Componentes R1'!H563</f>
        <v>0</v>
      </c>
      <c r="G13" s="297">
        <f>'Reporte Componentes R1'!I563</f>
        <v>0</v>
      </c>
      <c r="H13" s="297">
        <f>'Reporte Componentes R1'!J563</f>
        <v>0</v>
      </c>
      <c r="I13" s="297">
        <f>'Reporte Componentes R1'!K563</f>
        <v>0</v>
      </c>
      <c r="J13" s="289">
        <v>0</v>
      </c>
      <c r="K13" s="295">
        <f t="shared" si="0"/>
        <v>0</v>
      </c>
      <c r="L13" s="294">
        <v>0</v>
      </c>
      <c r="M13" s="298">
        <f>K13-L13</f>
        <v>0</v>
      </c>
      <c r="N13" s="299">
        <f>'Reporte Componentes R1'!L563</f>
        <v>0</v>
      </c>
      <c r="O13" s="298">
        <f>M13+N13</f>
        <v>0</v>
      </c>
      <c r="Q13" s="306"/>
      <c r="S13" s="324">
        <v>5</v>
      </c>
      <c r="T13" s="325" t="s">
        <v>14</v>
      </c>
      <c r="U13" s="296">
        <f>'Reporte Componentes R1'!M563</f>
        <v>0</v>
      </c>
      <c r="V13" s="297">
        <f>'Reporte Componentes R1'!N563</f>
        <v>0</v>
      </c>
      <c r="W13" s="297">
        <f>'Reporte Componentes R1'!O563</f>
        <v>0</v>
      </c>
      <c r="X13" s="297">
        <f>'Reporte Componentes R1'!P563</f>
        <v>0</v>
      </c>
      <c r="Y13" s="289">
        <f>'Reporte Componentes R1'!Q563</f>
        <v>0</v>
      </c>
      <c r="Z13" s="319">
        <f>L13*-1</f>
        <v>0</v>
      </c>
      <c r="AA13" s="320">
        <f>'Reporte Componentes R1'!R563+'Reporte Componentes R1'!V563+'Reporte Componentes R1'!U563</f>
        <v>0</v>
      </c>
      <c r="AB13" s="294">
        <f>N13</f>
        <v>0</v>
      </c>
      <c r="AC13" s="320">
        <f>'Reporte Componentes R1'!T563+'Reporte Componentes R1'!W563+'Reporte Componentes R1'!X563+'Reporte Componentes R1'!Y563+'Reporte Componentes R1'!Z563+'Reporte Componentes R1'!S563</f>
        <v>0</v>
      </c>
      <c r="AD13" s="291">
        <f t="shared" si="2"/>
        <v>0</v>
      </c>
      <c r="AE13" s="291">
        <f>'Reporte Componentes R1'!F564</f>
        <v>0</v>
      </c>
      <c r="AF13" s="322">
        <f t="shared" si="4"/>
        <v>0</v>
      </c>
      <c r="AG13" s="523">
        <f>(AF13-O13)</f>
        <v>0</v>
      </c>
      <c r="AH13" s="1" t="b">
        <f t="shared" si="3"/>
        <v>1</v>
      </c>
      <c r="AI13" s="306"/>
    </row>
    <row r="14" spans="1:35" s="305" customFormat="1" ht="13.5" thickBot="1" x14ac:dyDescent="0.35">
      <c r="B14" s="327"/>
      <c r="C14" s="328" t="s">
        <v>2</v>
      </c>
      <c r="D14" s="290">
        <f>SUM(D9:D13)</f>
        <v>17028090</v>
      </c>
      <c r="E14" s="290">
        <f t="shared" ref="E14:O14" si="5">SUM(E9:E13)</f>
        <v>1194471.53</v>
      </c>
      <c r="F14" s="290">
        <f t="shared" si="5"/>
        <v>639473.6</v>
      </c>
      <c r="G14" s="290">
        <f t="shared" si="5"/>
        <v>345406.89</v>
      </c>
      <c r="H14" s="290">
        <f t="shared" si="5"/>
        <v>4981069.5</v>
      </c>
      <c r="I14" s="290">
        <f t="shared" si="5"/>
        <v>164217.20000000001</v>
      </c>
      <c r="J14" s="290">
        <f t="shared" si="5"/>
        <v>0</v>
      </c>
      <c r="K14" s="300">
        <f t="shared" si="5"/>
        <v>9703451.2799999993</v>
      </c>
      <c r="L14" s="301">
        <f>SUM(L9:L13)</f>
        <v>0</v>
      </c>
      <c r="M14" s="302">
        <f t="shared" si="5"/>
        <v>9703451.2799999993</v>
      </c>
      <c r="N14" s="301">
        <f t="shared" si="5"/>
        <v>0</v>
      </c>
      <c r="O14" s="302">
        <f t="shared" si="5"/>
        <v>9703451.2799999993</v>
      </c>
      <c r="P14" s="329"/>
      <c r="Q14" s="306"/>
      <c r="S14" s="327"/>
      <c r="T14" s="328" t="s">
        <v>2</v>
      </c>
      <c r="U14" s="330">
        <f>SUM(U9:U13)</f>
        <v>1445732.31</v>
      </c>
      <c r="V14" s="330">
        <f t="shared" ref="V14:AF14" si="6">SUM(V9:V13)</f>
        <v>1565323.9200000002</v>
      </c>
      <c r="W14" s="330">
        <f t="shared" si="6"/>
        <v>7458321.1399999997</v>
      </c>
      <c r="X14" s="330">
        <f t="shared" si="6"/>
        <v>2594338.5099999998</v>
      </c>
      <c r="Y14" s="330">
        <f t="shared" si="6"/>
        <v>268893.40999999997</v>
      </c>
      <c r="Z14" s="290">
        <f t="shared" si="6"/>
        <v>0</v>
      </c>
      <c r="AA14" s="290">
        <f t="shared" si="6"/>
        <v>33.93</v>
      </c>
      <c r="AB14" s="290">
        <f t="shared" si="6"/>
        <v>0</v>
      </c>
      <c r="AC14" s="290">
        <f t="shared" si="6"/>
        <v>-7.0000000000000007E-2</v>
      </c>
      <c r="AD14" s="290">
        <f>SUM(AD9:AD13)</f>
        <v>-3629191.87</v>
      </c>
      <c r="AE14" s="290">
        <f>SUM(AE9:AE13)</f>
        <v>-3629191.87</v>
      </c>
      <c r="AF14" s="331">
        <f t="shared" si="6"/>
        <v>9703451.2800000012</v>
      </c>
      <c r="AG14" s="524">
        <f>SUM(AG9:AG13)</f>
        <v>2.7939677238464355E-9</v>
      </c>
      <c r="AH14" s="1" t="b">
        <f t="shared" si="3"/>
        <v>1</v>
      </c>
      <c r="AI14" s="306"/>
    </row>
    <row r="15" spans="1:35" ht="12" thickBot="1" x14ac:dyDescent="0.3">
      <c r="B15" s="2"/>
      <c r="C15" s="2"/>
      <c r="D15" s="24"/>
      <c r="E15" s="24"/>
      <c r="F15" s="24"/>
      <c r="G15" s="24"/>
      <c r="H15" s="24"/>
      <c r="I15" s="24"/>
      <c r="K15" s="24"/>
      <c r="L15" s="24"/>
      <c r="M15" s="24"/>
      <c r="N15" s="24"/>
      <c r="O15" s="24"/>
      <c r="Q15" s="4"/>
      <c r="S15" s="2"/>
      <c r="T15" s="2"/>
      <c r="U15" s="24"/>
      <c r="V15" s="24"/>
      <c r="W15" s="24"/>
      <c r="X15" s="24"/>
      <c r="Y15" s="24"/>
      <c r="AF15" s="24"/>
      <c r="AI15" s="4"/>
    </row>
    <row r="16" spans="1:35" ht="12" thickBot="1" x14ac:dyDescent="0.3">
      <c r="B16" s="2"/>
      <c r="C16" s="2"/>
      <c r="D16" s="24"/>
      <c r="E16" s="24" t="s">
        <v>1</v>
      </c>
      <c r="F16" s="24" t="s">
        <v>1</v>
      </c>
      <c r="G16" s="24"/>
      <c r="H16" s="24" t="s">
        <v>1</v>
      </c>
      <c r="I16" s="24" t="s">
        <v>1</v>
      </c>
      <c r="K16" s="24"/>
      <c r="L16" s="24" t="s">
        <v>1</v>
      </c>
      <c r="M16" s="24"/>
      <c r="N16" s="24"/>
      <c r="O16" s="24"/>
      <c r="Q16" s="4"/>
      <c r="Y16" s="86">
        <f>SUM(U14:Y14)</f>
        <v>13332609.290000001</v>
      </c>
      <c r="AA16" s="1" t="s">
        <v>1</v>
      </c>
      <c r="AB16" s="1" t="s">
        <v>1</v>
      </c>
      <c r="AD16" s="1" t="s">
        <v>1</v>
      </c>
      <c r="AF16" s="1" t="s">
        <v>1</v>
      </c>
      <c r="AI16" s="4"/>
    </row>
    <row r="17" spans="1:35" ht="12" thickBot="1" x14ac:dyDescent="0.3">
      <c r="B17" s="2"/>
      <c r="C17" s="2"/>
      <c r="D17" s="24" t="s">
        <v>1</v>
      </c>
      <c r="E17" s="33"/>
      <c r="F17" s="33"/>
      <c r="G17" s="33"/>
      <c r="H17" s="33"/>
      <c r="I17" s="24" t="s">
        <v>1</v>
      </c>
      <c r="K17" s="24"/>
      <c r="L17" s="24" t="s">
        <v>1</v>
      </c>
      <c r="M17" s="24"/>
      <c r="N17" s="24"/>
      <c r="O17" s="24"/>
      <c r="Q17" s="4"/>
      <c r="AI17" s="4"/>
    </row>
    <row r="18" spans="1:35" x14ac:dyDescent="0.25">
      <c r="B18" s="2"/>
      <c r="C18" s="2"/>
      <c r="D18" s="24" t="s">
        <v>1</v>
      </c>
      <c r="E18" s="24" t="s">
        <v>1</v>
      </c>
      <c r="F18" s="24" t="s">
        <v>25</v>
      </c>
      <c r="G18" s="24"/>
      <c r="H18" s="24"/>
      <c r="I18" s="24"/>
      <c r="K18" s="24"/>
      <c r="L18" s="24"/>
      <c r="M18" s="24"/>
      <c r="N18" s="24"/>
      <c r="O18" s="24"/>
      <c r="Q18" s="4"/>
      <c r="AI18" s="4"/>
    </row>
    <row r="19" spans="1:35" x14ac:dyDescent="0.25">
      <c r="A19" s="4"/>
      <c r="B19" s="34"/>
      <c r="C19" s="34"/>
      <c r="D19" s="35"/>
      <c r="E19" s="35"/>
      <c r="F19" s="35"/>
      <c r="G19" s="35"/>
      <c r="H19" s="35"/>
      <c r="I19" s="35"/>
      <c r="J19" s="4"/>
      <c r="K19" s="35"/>
      <c r="L19" s="35"/>
      <c r="M19" s="35"/>
      <c r="N19" s="35"/>
      <c r="O19" s="35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  <c r="AE19" s="4"/>
      <c r="AF19" s="4"/>
      <c r="AG19" s="4"/>
      <c r="AH19" s="4"/>
      <c r="AI19" s="4"/>
    </row>
    <row r="20" spans="1:35" ht="12" thickBot="1" x14ac:dyDescent="0.3">
      <c r="Q20" s="4"/>
      <c r="AI20" s="4"/>
    </row>
    <row r="21" spans="1:35" x14ac:dyDescent="0.25">
      <c r="B21" s="5"/>
      <c r="C21" s="3" t="s">
        <v>1</v>
      </c>
      <c r="D21" s="6" t="s">
        <v>1</v>
      </c>
      <c r="E21" s="3"/>
      <c r="F21" s="3"/>
      <c r="G21" s="3"/>
      <c r="H21" s="3" t="s">
        <v>1</v>
      </c>
      <c r="I21" s="3"/>
      <c r="J21" s="3"/>
      <c r="K21" s="3"/>
      <c r="L21" s="3"/>
      <c r="M21" s="3"/>
      <c r="N21" s="3"/>
      <c r="O21" s="7"/>
      <c r="P21" s="2"/>
      <c r="Q21" s="4"/>
      <c r="S21" s="5"/>
      <c r="T21" s="3" t="s">
        <v>1</v>
      </c>
      <c r="U21" s="6" t="s">
        <v>1</v>
      </c>
      <c r="V21" s="3"/>
      <c r="W21" s="3"/>
      <c r="X21" s="3" t="s">
        <v>1</v>
      </c>
      <c r="Y21" s="3"/>
      <c r="Z21" s="3"/>
      <c r="AA21" s="3"/>
      <c r="AB21" s="3"/>
      <c r="AC21" s="3"/>
      <c r="AD21" s="3"/>
      <c r="AE21" s="3"/>
      <c r="AF21" s="7"/>
      <c r="AG21" s="2"/>
      <c r="AI21" s="4"/>
    </row>
    <row r="22" spans="1:35" ht="14" x14ac:dyDescent="0.3">
      <c r="B22" s="8"/>
      <c r="F22" s="26" t="s">
        <v>8</v>
      </c>
      <c r="G22" s="26"/>
      <c r="I22" s="26" t="s">
        <v>16</v>
      </c>
      <c r="J22" s="25"/>
      <c r="M22" s="2" t="s">
        <v>15</v>
      </c>
      <c r="N22" s="50">
        <f>N3</f>
        <v>2026072</v>
      </c>
      <c r="O22" s="10"/>
      <c r="P22" s="2"/>
      <c r="Q22" s="4"/>
      <c r="S22" s="8"/>
      <c r="U22" s="26" t="s">
        <v>8</v>
      </c>
      <c r="W22" s="26" t="s">
        <v>16</v>
      </c>
      <c r="X22" s="25"/>
      <c r="Y22" s="2"/>
      <c r="AA22" s="2" t="s">
        <v>15</v>
      </c>
      <c r="AD22" s="84">
        <f>N22</f>
        <v>2026072</v>
      </c>
      <c r="AE22" s="84"/>
      <c r="AF22" s="48"/>
      <c r="AG22" s="2"/>
      <c r="AI22" s="4"/>
    </row>
    <row r="23" spans="1:35" ht="15.5" x14ac:dyDescent="0.35">
      <c r="B23" s="8"/>
      <c r="F23" s="36" t="s">
        <v>29</v>
      </c>
      <c r="G23" s="36"/>
      <c r="O23" s="10"/>
      <c r="P23" s="2"/>
      <c r="Q23" s="4"/>
      <c r="S23" s="8"/>
      <c r="T23" s="26" t="s">
        <v>1</v>
      </c>
      <c r="U23" s="36" t="s">
        <v>29</v>
      </c>
      <c r="Y23" s="2" t="s">
        <v>1</v>
      </c>
      <c r="AA23" s="50" t="s">
        <v>1</v>
      </c>
      <c r="AB23" s="2"/>
      <c r="AC23" s="2"/>
      <c r="AD23" s="2"/>
      <c r="AE23" s="2"/>
      <c r="AF23" s="10" t="s">
        <v>1</v>
      </c>
      <c r="AG23" s="2"/>
      <c r="AI23" s="4"/>
    </row>
    <row r="24" spans="1:35" ht="14" x14ac:dyDescent="0.3">
      <c r="B24" s="8"/>
      <c r="F24" s="2" t="s">
        <v>30</v>
      </c>
      <c r="G24" s="2"/>
      <c r="M24" s="2" t="s">
        <v>1</v>
      </c>
      <c r="O24" s="10"/>
      <c r="P24" s="2"/>
      <c r="Q24" s="4"/>
      <c r="S24" s="8"/>
      <c r="T24" s="49" t="s">
        <v>1</v>
      </c>
      <c r="U24" s="2" t="s">
        <v>30</v>
      </c>
      <c r="AF24" s="44"/>
      <c r="AG24" s="2"/>
      <c r="AI24" s="4"/>
    </row>
    <row r="25" spans="1:35" ht="15.5" x14ac:dyDescent="0.35">
      <c r="B25" s="8"/>
      <c r="C25" s="599" t="s">
        <v>17</v>
      </c>
      <c r="D25" s="9">
        <f>D6</f>
        <v>46238</v>
      </c>
      <c r="F25" s="41" t="s">
        <v>31</v>
      </c>
      <c r="G25" s="41"/>
      <c r="H25" s="2"/>
      <c r="J25" s="2"/>
      <c r="O25" s="10"/>
      <c r="P25" s="2"/>
      <c r="Q25" s="4"/>
      <c r="S25" s="8"/>
      <c r="T25" s="41" t="s">
        <v>1</v>
      </c>
      <c r="U25" s="41" t="s">
        <v>31</v>
      </c>
      <c r="V25" s="2"/>
      <c r="X25" s="2"/>
      <c r="Y25" s="2"/>
      <c r="AF25" s="48"/>
      <c r="AG25" s="2"/>
      <c r="AI25" s="4"/>
    </row>
    <row r="26" spans="1:35" ht="12" thickBot="1" x14ac:dyDescent="0.3">
      <c r="B26" s="8"/>
      <c r="C26" s="599" t="s">
        <v>0</v>
      </c>
      <c r="D26" s="241">
        <f>D7</f>
        <v>0.58333333333333337</v>
      </c>
      <c r="F26" s="2" t="s">
        <v>27</v>
      </c>
      <c r="G26" s="9">
        <f>G7</f>
        <v>46219</v>
      </c>
      <c r="J26" s="2" t="s">
        <v>28</v>
      </c>
      <c r="K26" s="9">
        <f>K7</f>
        <v>46234</v>
      </c>
      <c r="O26" s="10"/>
      <c r="P26" s="2"/>
      <c r="Q26" s="4"/>
      <c r="S26" s="8"/>
      <c r="U26" s="1" t="str">
        <f>F26</f>
        <v>Fecha Desde:</v>
      </c>
      <c r="V26" s="9">
        <f>G26</f>
        <v>46219</v>
      </c>
      <c r="W26" s="1" t="s">
        <v>1</v>
      </c>
      <c r="X26" s="1" t="str">
        <f>J26</f>
        <v>Feha Hasta:</v>
      </c>
      <c r="Y26" s="9">
        <f>K26</f>
        <v>46234</v>
      </c>
      <c r="Z26" s="1" t="s">
        <v>1</v>
      </c>
      <c r="AF26" s="48"/>
      <c r="AG26" s="2"/>
      <c r="AI26" s="4"/>
    </row>
    <row r="27" spans="1:35" ht="72" customHeight="1" thickBot="1" x14ac:dyDescent="0.3">
      <c r="B27" s="11" t="s">
        <v>3</v>
      </c>
      <c r="C27" s="27" t="s">
        <v>9</v>
      </c>
      <c r="D27" s="11" t="s">
        <v>4</v>
      </c>
      <c r="E27" s="12" t="s">
        <v>5</v>
      </c>
      <c r="F27" s="27" t="s">
        <v>6</v>
      </c>
      <c r="G27" s="268" t="s">
        <v>159</v>
      </c>
      <c r="H27" s="27" t="s">
        <v>18</v>
      </c>
      <c r="I27" s="12" t="s">
        <v>24</v>
      </c>
      <c r="J27" s="73" t="s">
        <v>19</v>
      </c>
      <c r="K27" s="29" t="s">
        <v>20</v>
      </c>
      <c r="L27" s="28" t="s">
        <v>21</v>
      </c>
      <c r="M27" s="39" t="s">
        <v>22</v>
      </c>
      <c r="N27" s="12" t="s">
        <v>7</v>
      </c>
      <c r="O27" s="39" t="s">
        <v>23</v>
      </c>
      <c r="P27" s="13"/>
      <c r="Q27" s="4"/>
      <c r="S27" s="11" t="s">
        <v>3</v>
      </c>
      <c r="T27" s="27" t="s">
        <v>9</v>
      </c>
      <c r="U27" s="162" t="s">
        <v>39</v>
      </c>
      <c r="V27" s="163" t="s">
        <v>40</v>
      </c>
      <c r="W27" s="163" t="s">
        <v>41</v>
      </c>
      <c r="X27" s="163" t="s">
        <v>42</v>
      </c>
      <c r="Y27" s="164" t="s">
        <v>43</v>
      </c>
      <c r="Z27" s="85" t="s">
        <v>21</v>
      </c>
      <c r="AA27" s="65" t="s">
        <v>46</v>
      </c>
      <c r="AB27" s="65" t="s">
        <v>7</v>
      </c>
      <c r="AC27" s="85" t="s">
        <v>168</v>
      </c>
      <c r="AD27" s="121" t="s">
        <v>107</v>
      </c>
      <c r="AE27" s="121" t="s">
        <v>226</v>
      </c>
      <c r="AF27" s="39" t="s">
        <v>23</v>
      </c>
      <c r="AG27" s="13"/>
      <c r="AI27" s="4"/>
    </row>
    <row r="28" spans="1:35" s="305" customFormat="1" x14ac:dyDescent="0.25">
      <c r="B28" s="303">
        <v>1</v>
      </c>
      <c r="C28" s="304" t="s">
        <v>10</v>
      </c>
      <c r="D28" s="291">
        <f>'Rem. Anticipos R2'!E46</f>
        <v>0</v>
      </c>
      <c r="E28" s="292">
        <f>'Rem. Anticipos R2'!F46</f>
        <v>0</v>
      </c>
      <c r="F28" s="292">
        <f>'Rem. Anticipos R2'!G46</f>
        <v>0</v>
      </c>
      <c r="G28" s="292">
        <f>'Rem. Anticipos R2'!H46</f>
        <v>0</v>
      </c>
      <c r="H28" s="292">
        <f>'Rem. Anticipos R2'!I46</f>
        <v>0</v>
      </c>
      <c r="I28" s="292">
        <f>'Rem. Anticipos R2'!J46</f>
        <v>0</v>
      </c>
      <c r="J28" s="288">
        <v>0</v>
      </c>
      <c r="K28" s="293">
        <f>D28-E28-F28-G28-H28-I28-J28</f>
        <v>0</v>
      </c>
      <c r="L28" s="294">
        <v>0</v>
      </c>
      <c r="M28" s="293">
        <f>K28-L28</f>
        <v>0</v>
      </c>
      <c r="N28" s="294">
        <f>'Rem. Anticipos R2'!K46</f>
        <v>0</v>
      </c>
      <c r="O28" s="293">
        <f>M28+N28</f>
        <v>0</v>
      </c>
      <c r="Q28" s="306"/>
      <c r="S28" s="303">
        <v>1</v>
      </c>
      <c r="T28" s="304" t="s">
        <v>10</v>
      </c>
      <c r="U28" s="307">
        <f>'Rem. Anticipos R2'!L46</f>
        <v>0</v>
      </c>
      <c r="V28" s="308">
        <f>'Rem. Anticipos R2'!M46</f>
        <v>0</v>
      </c>
      <c r="W28" s="308">
        <f>'Rem. Anticipos R2'!N46</f>
        <v>0</v>
      </c>
      <c r="X28" s="308">
        <f>'Rem. Anticipos R2'!O46</f>
        <v>0</v>
      </c>
      <c r="Y28" s="309">
        <f>'Rem. Anticipos R2'!P46</f>
        <v>0</v>
      </c>
      <c r="Z28" s="310">
        <f>L28*-1</f>
        <v>0</v>
      </c>
      <c r="AA28" s="311">
        <f>'Rem. Anticipos R2'!Q46</f>
        <v>0</v>
      </c>
      <c r="AB28" s="294">
        <f>N28</f>
        <v>0</v>
      </c>
      <c r="AC28" s="311">
        <f>'Rem. Anticipos R2'!R46</f>
        <v>0</v>
      </c>
      <c r="AD28" s="291">
        <f>-J28+AE28</f>
        <v>0</v>
      </c>
      <c r="AE28" s="291">
        <f>'Rem. Anticipos R2'!E47</f>
        <v>0</v>
      </c>
      <c r="AF28" s="313">
        <f>SUM(U28:AD28)</f>
        <v>0</v>
      </c>
      <c r="AG28" s="521">
        <f>(AF28-O28)</f>
        <v>0</v>
      </c>
      <c r="AH28" s="1" t="b">
        <f>INT(AG28)=0</f>
        <v>1</v>
      </c>
      <c r="AI28" s="306"/>
    </row>
    <row r="29" spans="1:35" s="305" customFormat="1" x14ac:dyDescent="0.25">
      <c r="B29" s="314">
        <v>2</v>
      </c>
      <c r="C29" s="315" t="s">
        <v>11</v>
      </c>
      <c r="D29" s="291">
        <f>'Rem. Anticipos R2'!E142</f>
        <v>35414329.289999992</v>
      </c>
      <c r="E29" s="292">
        <f>'Rem. Anticipos R2'!F142</f>
        <v>3216777.59</v>
      </c>
      <c r="F29" s="292">
        <f>'Rem. Anticipos R2'!G142</f>
        <v>1799399.45</v>
      </c>
      <c r="G29" s="292">
        <f>'Rem. Anticipos R2'!H142</f>
        <v>773125.81</v>
      </c>
      <c r="H29" s="292">
        <f>'Rem. Anticipos R2'!I142</f>
        <v>14315915.6</v>
      </c>
      <c r="I29" s="292">
        <f>'Rem. Anticipos R2'!J142</f>
        <v>406510.66</v>
      </c>
      <c r="J29" s="288">
        <v>0</v>
      </c>
      <c r="K29" s="295">
        <f t="shared" ref="K29:K31" si="7">D29-E29-F29-G29-H29-I29-J29</f>
        <v>14902600.179999994</v>
      </c>
      <c r="L29" s="294">
        <v>0</v>
      </c>
      <c r="M29" s="295">
        <f>K29-L29</f>
        <v>14902600.179999994</v>
      </c>
      <c r="N29" s="294">
        <f>'Rem. Anticipos R2'!K142</f>
        <v>0</v>
      </c>
      <c r="O29" s="295">
        <f t="shared" ref="O29:O32" si="8">M29+N29</f>
        <v>14902600.179999994</v>
      </c>
      <c r="Q29" s="306"/>
      <c r="S29" s="314">
        <v>2</v>
      </c>
      <c r="T29" s="315" t="s">
        <v>11</v>
      </c>
      <c r="U29" s="316">
        <f>'Rem. Anticipos R2'!L142</f>
        <v>3668619.83</v>
      </c>
      <c r="V29" s="317">
        <f>'Rem. Anticipos R2'!M142</f>
        <v>4175302.62</v>
      </c>
      <c r="W29" s="317">
        <f>'Rem. Anticipos R2'!N142</f>
        <v>14329479.369999999</v>
      </c>
      <c r="X29" s="317">
        <f>'Rem. Anticipos R2'!O142</f>
        <v>9282610.9499999993</v>
      </c>
      <c r="Y29" s="318">
        <f>'Rem. Anticipos R2'!P142</f>
        <v>502138.48</v>
      </c>
      <c r="Z29" s="319">
        <f>L29*-1</f>
        <v>0</v>
      </c>
      <c r="AA29" s="320">
        <f>'Rem. Anticipos R2'!Q142</f>
        <v>-28.95</v>
      </c>
      <c r="AB29" s="294">
        <f>N29</f>
        <v>0</v>
      </c>
      <c r="AC29" s="320">
        <f>'Rem. Anticipos R2'!R142</f>
        <v>0</v>
      </c>
      <c r="AD29" s="291">
        <f>-J29+AE29</f>
        <v>-17055522.120000001</v>
      </c>
      <c r="AE29" s="291">
        <f>'Rem. Anticipos R2'!E143</f>
        <v>-17055522.120000001</v>
      </c>
      <c r="AF29" s="322">
        <f>SUM(U29:AD29)</f>
        <v>14902600.18</v>
      </c>
      <c r="AG29" s="522">
        <f>(AF29-O29)</f>
        <v>5.5879354476928711E-9</v>
      </c>
      <c r="AH29" s="1" t="b">
        <f t="shared" ref="AH29:AH33" si="9">INT(AG29)=0</f>
        <v>1</v>
      </c>
      <c r="AI29" s="306"/>
    </row>
    <row r="30" spans="1:35" s="305" customFormat="1" x14ac:dyDescent="0.25">
      <c r="B30" s="314">
        <v>3</v>
      </c>
      <c r="C30" s="315" t="s">
        <v>12</v>
      </c>
      <c r="D30" s="291">
        <f>'Rem. Anticipos R2'!E259</f>
        <v>0</v>
      </c>
      <c r="E30" s="292">
        <f>'Rem. Anticipos R2'!F259</f>
        <v>0</v>
      </c>
      <c r="F30" s="292">
        <f>'Rem. Anticipos R2'!G259</f>
        <v>0</v>
      </c>
      <c r="G30" s="292">
        <f>'Rem. Anticipos R2'!H259</f>
        <v>0</v>
      </c>
      <c r="H30" s="292">
        <f>'Rem. Anticipos R2'!I259</f>
        <v>0</v>
      </c>
      <c r="I30" s="292">
        <f>'Rem. Anticipos R2'!J259</f>
        <v>0</v>
      </c>
      <c r="J30" s="288">
        <v>0</v>
      </c>
      <c r="K30" s="295">
        <f t="shared" si="7"/>
        <v>0</v>
      </c>
      <c r="L30" s="294">
        <v>0</v>
      </c>
      <c r="M30" s="295">
        <f>K30-L30</f>
        <v>0</v>
      </c>
      <c r="N30" s="294">
        <f>'Rem. Anticipos R2'!K259</f>
        <v>0</v>
      </c>
      <c r="O30" s="295">
        <f t="shared" si="8"/>
        <v>0</v>
      </c>
      <c r="Q30" s="306"/>
      <c r="S30" s="314">
        <v>3</v>
      </c>
      <c r="T30" s="315" t="s">
        <v>12</v>
      </c>
      <c r="U30" s="316">
        <f>'Rem. Anticipos R2'!L259</f>
        <v>0</v>
      </c>
      <c r="V30" s="317">
        <f>'Rem. Anticipos R2'!M259</f>
        <v>0</v>
      </c>
      <c r="W30" s="317">
        <f>'Rem. Anticipos R2'!N259</f>
        <v>0</v>
      </c>
      <c r="X30" s="317">
        <f>'Rem. Anticipos R2'!O259</f>
        <v>0</v>
      </c>
      <c r="Y30" s="318">
        <f>'Rem. Anticipos R2'!P259</f>
        <v>0</v>
      </c>
      <c r="Z30" s="319">
        <f>L30*-1</f>
        <v>0</v>
      </c>
      <c r="AA30" s="320">
        <f>'Rem. Anticipos R2'!Q259</f>
        <v>0</v>
      </c>
      <c r="AB30" s="294">
        <f>N30</f>
        <v>0</v>
      </c>
      <c r="AC30" s="320">
        <f>'Rem. Anticipos R2'!R259</f>
        <v>0</v>
      </c>
      <c r="AD30" s="291">
        <f t="shared" ref="AD30:AD32" si="10">-J30+AE30</f>
        <v>0</v>
      </c>
      <c r="AE30" s="291">
        <f>'Rem. Anticipos R2'!E260</f>
        <v>0</v>
      </c>
      <c r="AF30" s="322">
        <f>SUM(U30:AD30)</f>
        <v>0</v>
      </c>
      <c r="AG30" s="522">
        <f t="shared" ref="AG30:AG31" si="11">(AF30-O30)</f>
        <v>0</v>
      </c>
      <c r="AH30" s="1" t="b">
        <f t="shared" si="9"/>
        <v>1</v>
      </c>
      <c r="AI30" s="306"/>
    </row>
    <row r="31" spans="1:35" s="305" customFormat="1" x14ac:dyDescent="0.25">
      <c r="B31" s="314">
        <v>4</v>
      </c>
      <c r="C31" s="315" t="s">
        <v>13</v>
      </c>
      <c r="D31" s="291">
        <f>'Rem. Anticipos R2'!E361</f>
        <v>66508368.82</v>
      </c>
      <c r="E31" s="292">
        <f>'Rem. Anticipos R2'!F361</f>
        <v>9041231.2599999998</v>
      </c>
      <c r="F31" s="292">
        <f>'Rem. Anticipos R2'!G361</f>
        <v>5072388.55</v>
      </c>
      <c r="G31" s="292">
        <f>'Rem. Anticipos R2'!H361</f>
        <v>1011597.42</v>
      </c>
      <c r="H31" s="292">
        <f>'Rem. Anticipos R2'!I361</f>
        <v>7983360.1600000001</v>
      </c>
      <c r="I31" s="292">
        <f>'Rem. Anticipos R2'!J361</f>
        <v>230579.94</v>
      </c>
      <c r="J31" s="288">
        <v>0</v>
      </c>
      <c r="K31" s="295">
        <f t="shared" si="7"/>
        <v>43169211.49000001</v>
      </c>
      <c r="L31" s="294">
        <v>0</v>
      </c>
      <c r="M31" s="295">
        <f>K31-L31</f>
        <v>43169211.49000001</v>
      </c>
      <c r="N31" s="294">
        <f>'Rem. Anticipos R2'!K361</f>
        <v>0</v>
      </c>
      <c r="O31" s="295">
        <f t="shared" si="8"/>
        <v>43169211.49000001</v>
      </c>
      <c r="Q31" s="306"/>
      <c r="S31" s="314">
        <v>4</v>
      </c>
      <c r="T31" s="315" t="s">
        <v>13</v>
      </c>
      <c r="U31" s="316">
        <f>'Rem. Anticipos R2'!L361</f>
        <v>2199940.9</v>
      </c>
      <c r="V31" s="317">
        <f>'Rem. Anticipos R2'!M361</f>
        <v>2412632.5099999998</v>
      </c>
      <c r="W31" s="317">
        <f>'Rem. Anticipos R2'!N361</f>
        <v>10659886.970000001</v>
      </c>
      <c r="X31" s="317">
        <f>'Rem. Anticipos R2'!O361</f>
        <v>24512256.039999999</v>
      </c>
      <c r="Y31" s="318">
        <f>'Rem. Anticipos R2'!P361</f>
        <v>336993.11</v>
      </c>
      <c r="Z31" s="319">
        <f>L31*-1</f>
        <v>0</v>
      </c>
      <c r="AA31" s="320">
        <f>'Rem. Anticipos R2'!Q361</f>
        <v>84.56</v>
      </c>
      <c r="AB31" s="294">
        <f>N31</f>
        <v>0</v>
      </c>
      <c r="AC31" s="320">
        <f>'Rem. Anticipos R2'!R361</f>
        <v>0</v>
      </c>
      <c r="AD31" s="291">
        <f t="shared" si="10"/>
        <v>3047417.4</v>
      </c>
      <c r="AE31" s="291">
        <f>'Rem. Anticipos R2'!E362</f>
        <v>3047417.4</v>
      </c>
      <c r="AF31" s="322">
        <f>SUM(U31:AD31)</f>
        <v>43169211.490000002</v>
      </c>
      <c r="AG31" s="522">
        <f t="shared" si="11"/>
        <v>-7.4505805969238281E-9</v>
      </c>
      <c r="AH31" s="1" t="b">
        <f t="shared" si="9"/>
        <v>0</v>
      </c>
      <c r="AI31" s="306"/>
    </row>
    <row r="32" spans="1:35" s="305" customFormat="1" ht="12" thickBot="1" x14ac:dyDescent="0.3">
      <c r="B32" s="324">
        <v>5</v>
      </c>
      <c r="C32" s="325" t="s">
        <v>14</v>
      </c>
      <c r="D32" s="296">
        <f>'Rem. Anticipos R2'!E441</f>
        <v>0</v>
      </c>
      <c r="E32" s="297">
        <f>'Rem. Anticipos R2'!F441</f>
        <v>0</v>
      </c>
      <c r="F32" s="297">
        <f>'Rem. Anticipos R2'!G441</f>
        <v>0</v>
      </c>
      <c r="G32" s="297">
        <f>'Rem. Anticipos R2'!H441</f>
        <v>0</v>
      </c>
      <c r="H32" s="297">
        <f>'Rem. Anticipos R2'!I441</f>
        <v>0</v>
      </c>
      <c r="I32" s="297">
        <f>'Rem. Anticipos R2'!J441</f>
        <v>0</v>
      </c>
      <c r="J32" s="289">
        <v>0</v>
      </c>
      <c r="K32" s="295">
        <f>D32-E32-F32-G32-H32-I32-J32</f>
        <v>0</v>
      </c>
      <c r="L32" s="294">
        <v>0</v>
      </c>
      <c r="M32" s="298">
        <f>K32-L32</f>
        <v>0</v>
      </c>
      <c r="N32" s="299">
        <f>'Rem. Anticipos R2'!K441</f>
        <v>0</v>
      </c>
      <c r="O32" s="298">
        <f t="shared" si="8"/>
        <v>0</v>
      </c>
      <c r="Q32" s="306"/>
      <c r="S32" s="324">
        <v>5</v>
      </c>
      <c r="T32" s="325" t="s">
        <v>14</v>
      </c>
      <c r="U32" s="296">
        <f>'Rem. Anticipos R2'!L441</f>
        <v>0</v>
      </c>
      <c r="V32" s="297">
        <f>'Rem. Anticipos R2'!M441</f>
        <v>0</v>
      </c>
      <c r="W32" s="297">
        <f>'Rem. Anticipos R2'!N441</f>
        <v>0</v>
      </c>
      <c r="X32" s="297">
        <f>'Rem. Anticipos R2'!O441</f>
        <v>0</v>
      </c>
      <c r="Y32" s="289">
        <f>'Rem. Anticipos R2'!P441</f>
        <v>0</v>
      </c>
      <c r="Z32" s="319">
        <f>L32*-1</f>
        <v>0</v>
      </c>
      <c r="AA32" s="320">
        <f>'Rem. Anticipos R2'!Q441</f>
        <v>0</v>
      </c>
      <c r="AB32" s="294">
        <f>N32</f>
        <v>0</v>
      </c>
      <c r="AC32" s="320">
        <f>'Rem. Anticipos R2'!R441</f>
        <v>0</v>
      </c>
      <c r="AD32" s="291">
        <f t="shared" si="10"/>
        <v>0</v>
      </c>
      <c r="AE32" s="291">
        <f>'Rem. Anticipos R2'!E442</f>
        <v>0</v>
      </c>
      <c r="AF32" s="322">
        <f>SUM(U32:AD32)</f>
        <v>0</v>
      </c>
      <c r="AG32" s="523">
        <f>(AF32-O32)</f>
        <v>0</v>
      </c>
      <c r="AH32" s="1" t="b">
        <f t="shared" si="9"/>
        <v>1</v>
      </c>
      <c r="AI32" s="306"/>
    </row>
    <row r="33" spans="1:35" s="305" customFormat="1" ht="13.5" thickBot="1" x14ac:dyDescent="0.35">
      <c r="B33" s="327"/>
      <c r="C33" s="328" t="s">
        <v>2</v>
      </c>
      <c r="D33" s="290">
        <f>SUM(D28:D32)</f>
        <v>101922698.10999998</v>
      </c>
      <c r="E33" s="290">
        <f>SUM(E28:E32)</f>
        <v>12258008.85</v>
      </c>
      <c r="F33" s="290">
        <f t="shared" ref="F33:O33" si="12">SUM(F28:F32)</f>
        <v>6871788</v>
      </c>
      <c r="G33" s="290">
        <f t="shared" si="12"/>
        <v>1784723.23</v>
      </c>
      <c r="H33" s="290">
        <f t="shared" si="12"/>
        <v>22299275.759999998</v>
      </c>
      <c r="I33" s="290">
        <f t="shared" si="12"/>
        <v>637090.6</v>
      </c>
      <c r="J33" s="290">
        <f t="shared" si="12"/>
        <v>0</v>
      </c>
      <c r="K33" s="300">
        <f t="shared" si="12"/>
        <v>58071811.670000002</v>
      </c>
      <c r="L33" s="301">
        <f t="shared" si="12"/>
        <v>0</v>
      </c>
      <c r="M33" s="302">
        <f t="shared" si="12"/>
        <v>58071811.670000002</v>
      </c>
      <c r="N33" s="301">
        <f t="shared" si="12"/>
        <v>0</v>
      </c>
      <c r="O33" s="302">
        <f t="shared" si="12"/>
        <v>58071811.670000002</v>
      </c>
      <c r="P33" s="329"/>
      <c r="Q33" s="306"/>
      <c r="S33" s="327"/>
      <c r="T33" s="328" t="s">
        <v>2</v>
      </c>
      <c r="U33" s="330">
        <f>SUM(U28:U32)</f>
        <v>5868560.7300000004</v>
      </c>
      <c r="V33" s="330">
        <f t="shared" ref="V33:AG33" si="13">SUM(V28:V32)</f>
        <v>6587935.1299999999</v>
      </c>
      <c r="W33" s="330">
        <f t="shared" si="13"/>
        <v>24989366.34</v>
      </c>
      <c r="X33" s="330">
        <f t="shared" si="13"/>
        <v>33794866.989999995</v>
      </c>
      <c r="Y33" s="330">
        <f t="shared" si="13"/>
        <v>839131.59</v>
      </c>
      <c r="Z33" s="290">
        <f t="shared" si="13"/>
        <v>0</v>
      </c>
      <c r="AA33" s="290">
        <f t="shared" si="13"/>
        <v>55.61</v>
      </c>
      <c r="AB33" s="290">
        <f t="shared" si="13"/>
        <v>0</v>
      </c>
      <c r="AC33" s="290">
        <f t="shared" ref="AC33" si="14">SUM(AC28:AC32)</f>
        <v>0</v>
      </c>
      <c r="AD33" s="290">
        <f>SUM(AD28:AD32)</f>
        <v>-14008104.720000001</v>
      </c>
      <c r="AE33" s="290">
        <f>SUM(AE28:AE32)</f>
        <v>-14008104.720000001</v>
      </c>
      <c r="AF33" s="331">
        <f t="shared" si="13"/>
        <v>58071811.670000002</v>
      </c>
      <c r="AG33" s="524">
        <f t="shared" si="13"/>
        <v>-1.862645149230957E-9</v>
      </c>
      <c r="AH33" s="1" t="b">
        <f t="shared" si="9"/>
        <v>0</v>
      </c>
      <c r="AI33" s="306"/>
    </row>
    <row r="34" spans="1:35" ht="12" thickBot="1" x14ac:dyDescent="0.3">
      <c r="B34" s="2"/>
      <c r="C34" s="2"/>
      <c r="D34" s="24"/>
      <c r="E34" s="24"/>
      <c r="F34" s="24"/>
      <c r="G34" s="24"/>
      <c r="H34" s="24"/>
      <c r="I34" s="24"/>
      <c r="K34" s="24"/>
      <c r="L34" s="24"/>
      <c r="M34" s="24"/>
      <c r="N34" s="24"/>
      <c r="O34" s="24"/>
      <c r="Q34" s="4"/>
      <c r="S34" s="2"/>
      <c r="T34" s="2"/>
      <c r="U34" s="24"/>
      <c r="V34" s="24"/>
      <c r="W34" s="24"/>
      <c r="X34" s="24"/>
      <c r="Y34" s="24"/>
      <c r="AF34" s="24"/>
      <c r="AI34" s="4"/>
    </row>
    <row r="35" spans="1:35" ht="12" thickBot="1" x14ac:dyDescent="0.3">
      <c r="B35" s="2"/>
      <c r="C35" s="2"/>
      <c r="D35" s="24" t="s">
        <v>1</v>
      </c>
      <c r="E35" s="24"/>
      <c r="F35" s="24"/>
      <c r="G35" s="24"/>
      <c r="H35" s="24"/>
      <c r="I35" s="24"/>
      <c r="K35" s="24"/>
      <c r="L35" s="24"/>
      <c r="M35" s="24"/>
      <c r="N35" s="24"/>
      <c r="O35" s="24"/>
      <c r="Q35" s="4"/>
      <c r="Y35" s="86">
        <f>SUM(U33:Y33)</f>
        <v>72079860.780000001</v>
      </c>
      <c r="AA35" s="1" t="s">
        <v>1</v>
      </c>
      <c r="AB35" s="1" t="s">
        <v>1</v>
      </c>
      <c r="AD35" s="1" t="s">
        <v>1</v>
      </c>
      <c r="AF35" s="1" t="s">
        <v>1</v>
      </c>
      <c r="AI35" s="4"/>
    </row>
    <row r="36" spans="1:35" ht="12" thickBot="1" x14ac:dyDescent="0.3">
      <c r="B36" s="2"/>
      <c r="C36" s="2"/>
      <c r="D36" s="24" t="s">
        <v>1</v>
      </c>
      <c r="E36" s="33"/>
      <c r="F36" s="33"/>
      <c r="G36" s="33"/>
      <c r="H36" s="33"/>
      <c r="I36" s="24"/>
      <c r="K36" s="24"/>
      <c r="L36" s="24"/>
      <c r="M36" s="24"/>
      <c r="N36" s="24"/>
      <c r="O36" s="24"/>
      <c r="Q36" s="4"/>
      <c r="AI36" s="4"/>
    </row>
    <row r="37" spans="1:35" x14ac:dyDescent="0.25">
      <c r="B37" s="2"/>
      <c r="C37" s="2"/>
      <c r="D37" s="24" t="s">
        <v>1</v>
      </c>
      <c r="E37" s="24" t="s">
        <v>1</v>
      </c>
      <c r="F37" s="24" t="s">
        <v>25</v>
      </c>
      <c r="G37" s="24"/>
      <c r="H37" s="24"/>
      <c r="I37" s="24"/>
      <c r="K37" s="24"/>
      <c r="L37" s="24"/>
      <c r="M37" s="24"/>
      <c r="N37" s="24"/>
      <c r="O37" s="24"/>
      <c r="Q37" s="4"/>
      <c r="AI37" s="4"/>
    </row>
    <row r="38" spans="1:35" x14ac:dyDescent="0.25">
      <c r="A38" s="4"/>
      <c r="B38" s="34"/>
      <c r="C38" s="34"/>
      <c r="D38" s="35"/>
      <c r="E38" s="35"/>
      <c r="F38" s="35"/>
      <c r="G38" s="35"/>
      <c r="H38" s="35"/>
      <c r="I38" s="35"/>
      <c r="J38" s="4"/>
      <c r="K38" s="35"/>
      <c r="L38" s="35"/>
      <c r="M38" s="35"/>
      <c r="N38" s="35"/>
      <c r="O38" s="35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  <c r="AE38" s="4"/>
      <c r="AF38" s="4"/>
      <c r="AG38" s="4"/>
      <c r="AH38" s="4"/>
      <c r="AI38" s="4"/>
    </row>
    <row r="39" spans="1:35" ht="12" thickBot="1" x14ac:dyDescent="0.3">
      <c r="Q39" s="4"/>
      <c r="AI39" s="4"/>
    </row>
    <row r="40" spans="1:35" x14ac:dyDescent="0.25">
      <c r="B40" s="5"/>
      <c r="C40" s="3" t="s">
        <v>1</v>
      </c>
      <c r="D40" s="6" t="s">
        <v>1</v>
      </c>
      <c r="E40" s="3"/>
      <c r="F40" s="3"/>
      <c r="G40" s="3"/>
      <c r="H40" s="3" t="s">
        <v>1</v>
      </c>
      <c r="I40" s="3"/>
      <c r="J40" s="3"/>
      <c r="K40" s="3"/>
      <c r="L40" s="3"/>
      <c r="M40" s="3"/>
      <c r="N40" s="3"/>
      <c r="O40" s="7"/>
      <c r="P40" s="2"/>
      <c r="Q40" s="4"/>
      <c r="S40" s="5"/>
      <c r="T40" s="3" t="s">
        <v>1</v>
      </c>
      <c r="U40" s="6" t="s">
        <v>1</v>
      </c>
      <c r="V40" s="3"/>
      <c r="W40" s="3"/>
      <c r="X40" s="3" t="s">
        <v>1</v>
      </c>
      <c r="Y40" s="3"/>
      <c r="Z40" s="3"/>
      <c r="AA40" s="3"/>
      <c r="AB40" s="3"/>
      <c r="AC40" s="3"/>
      <c r="AD40" s="3"/>
      <c r="AE40" s="3"/>
      <c r="AF40" s="7"/>
      <c r="AG40" s="2"/>
      <c r="AI40" s="4"/>
    </row>
    <row r="41" spans="1:35" ht="14" x14ac:dyDescent="0.3">
      <c r="B41" s="8"/>
      <c r="F41" s="26" t="s">
        <v>8</v>
      </c>
      <c r="G41" s="26"/>
      <c r="I41" s="26" t="s">
        <v>16</v>
      </c>
      <c r="J41" s="25"/>
      <c r="M41" s="2" t="s">
        <v>15</v>
      </c>
      <c r="N41" s="50">
        <f>N3</f>
        <v>2026072</v>
      </c>
      <c r="O41" s="10"/>
      <c r="P41" s="2"/>
      <c r="Q41" s="4"/>
      <c r="S41" s="8"/>
      <c r="U41" s="26" t="s">
        <v>8</v>
      </c>
      <c r="W41" s="26" t="s">
        <v>16</v>
      </c>
      <c r="X41" s="25"/>
      <c r="Y41" s="2"/>
      <c r="AA41" s="2" t="s">
        <v>15</v>
      </c>
      <c r="AD41" s="84">
        <f>N41</f>
        <v>2026072</v>
      </c>
      <c r="AE41" s="84"/>
      <c r="AF41" s="48"/>
      <c r="AG41" s="2"/>
      <c r="AI41" s="4"/>
    </row>
    <row r="42" spans="1:35" ht="15.5" x14ac:dyDescent="0.35">
      <c r="B42" s="8"/>
      <c r="F42" s="36" t="s">
        <v>29</v>
      </c>
      <c r="G42" s="36"/>
      <c r="O42" s="10"/>
      <c r="P42" s="2"/>
      <c r="Q42" s="4"/>
      <c r="S42" s="8"/>
      <c r="T42" s="26" t="s">
        <v>1</v>
      </c>
      <c r="U42" s="36" t="s">
        <v>29</v>
      </c>
      <c r="Y42" s="2" t="s">
        <v>1</v>
      </c>
      <c r="AA42" s="50" t="s">
        <v>1</v>
      </c>
      <c r="AB42" s="2"/>
      <c r="AC42" s="2"/>
      <c r="AD42" s="2"/>
      <c r="AE42" s="2"/>
      <c r="AF42" s="10" t="s">
        <v>1</v>
      </c>
      <c r="AG42" s="2"/>
      <c r="AI42" s="4"/>
    </row>
    <row r="43" spans="1:35" ht="14" x14ac:dyDescent="0.3">
      <c r="B43" s="8"/>
      <c r="F43" s="2" t="s">
        <v>30</v>
      </c>
      <c r="G43" s="2"/>
      <c r="M43" s="2" t="s">
        <v>1</v>
      </c>
      <c r="O43" s="10"/>
      <c r="P43" s="2"/>
      <c r="Q43" s="4"/>
      <c r="S43" s="8"/>
      <c r="T43" s="49" t="s">
        <v>1</v>
      </c>
      <c r="U43" s="2" t="s">
        <v>30</v>
      </c>
      <c r="AF43" s="44"/>
      <c r="AG43" s="2"/>
      <c r="AI43" s="4"/>
    </row>
    <row r="44" spans="1:35" ht="15.5" x14ac:dyDescent="0.35">
      <c r="B44" s="8"/>
      <c r="C44" s="599" t="s">
        <v>17</v>
      </c>
      <c r="D44" s="9">
        <f>D6</f>
        <v>46238</v>
      </c>
      <c r="F44" s="41" t="s">
        <v>32</v>
      </c>
      <c r="G44" s="41"/>
      <c r="H44" s="2"/>
      <c r="J44" s="2"/>
      <c r="O44" s="10"/>
      <c r="P44" s="2"/>
      <c r="Q44" s="4"/>
      <c r="S44" s="8"/>
      <c r="T44" s="41" t="s">
        <v>1</v>
      </c>
      <c r="U44" s="41" t="s">
        <v>32</v>
      </c>
      <c r="V44" s="2"/>
      <c r="X44" s="2"/>
      <c r="Y44" s="2"/>
      <c r="AF44" s="48"/>
      <c r="AG44" s="2"/>
      <c r="AI44" s="4"/>
    </row>
    <row r="45" spans="1:35" ht="12" thickBot="1" x14ac:dyDescent="0.3">
      <c r="B45" s="8"/>
      <c r="C45" s="599" t="s">
        <v>0</v>
      </c>
      <c r="D45" s="241">
        <f>D7</f>
        <v>0.58333333333333337</v>
      </c>
      <c r="F45" s="2" t="s">
        <v>27</v>
      </c>
      <c r="G45" s="9">
        <f>G7</f>
        <v>46219</v>
      </c>
      <c r="J45" s="2" t="s">
        <v>28</v>
      </c>
      <c r="K45" s="9">
        <f>K7</f>
        <v>46234</v>
      </c>
      <c r="O45" s="10"/>
      <c r="P45" s="2"/>
      <c r="Q45" s="4"/>
      <c r="S45" s="8"/>
      <c r="U45" s="1" t="str">
        <f>F45</f>
        <v>Fecha Desde:</v>
      </c>
      <c r="V45" s="9">
        <f>G45</f>
        <v>46219</v>
      </c>
      <c r="W45" s="1" t="s">
        <v>1</v>
      </c>
      <c r="X45" s="1" t="str">
        <f>J45</f>
        <v>Feha Hasta:</v>
      </c>
      <c r="Y45" s="9">
        <f>K45</f>
        <v>46234</v>
      </c>
      <c r="Z45" s="1" t="s">
        <v>1</v>
      </c>
      <c r="AF45" s="48"/>
      <c r="AG45" s="2"/>
      <c r="AI45" s="4"/>
    </row>
    <row r="46" spans="1:35" ht="72" customHeight="1" thickBot="1" x14ac:dyDescent="0.3">
      <c r="B46" s="11" t="s">
        <v>3</v>
      </c>
      <c r="C46" s="27" t="s">
        <v>9</v>
      </c>
      <c r="D46" s="11" t="s">
        <v>4</v>
      </c>
      <c r="E46" s="12" t="s">
        <v>5</v>
      </c>
      <c r="F46" s="27" t="s">
        <v>6</v>
      </c>
      <c r="G46" s="268" t="s">
        <v>159</v>
      </c>
      <c r="H46" s="27" t="s">
        <v>18</v>
      </c>
      <c r="I46" s="12" t="s">
        <v>24</v>
      </c>
      <c r="J46" s="73" t="s">
        <v>19</v>
      </c>
      <c r="K46" s="29" t="s">
        <v>20</v>
      </c>
      <c r="L46" s="28" t="s">
        <v>21</v>
      </c>
      <c r="M46" s="39" t="s">
        <v>22</v>
      </c>
      <c r="N46" s="12" t="s">
        <v>7</v>
      </c>
      <c r="O46" s="39" t="s">
        <v>23</v>
      </c>
      <c r="P46" s="13"/>
      <c r="Q46" s="4"/>
      <c r="S46" s="11" t="s">
        <v>3</v>
      </c>
      <c r="T46" s="27" t="s">
        <v>9</v>
      </c>
      <c r="U46" s="162" t="s">
        <v>39</v>
      </c>
      <c r="V46" s="163" t="s">
        <v>40</v>
      </c>
      <c r="W46" s="163" t="s">
        <v>41</v>
      </c>
      <c r="X46" s="163" t="s">
        <v>42</v>
      </c>
      <c r="Y46" s="164" t="s">
        <v>43</v>
      </c>
      <c r="Z46" s="85" t="s">
        <v>21</v>
      </c>
      <c r="AA46" s="65" t="s">
        <v>46</v>
      </c>
      <c r="AB46" s="65" t="s">
        <v>7</v>
      </c>
      <c r="AC46" s="85" t="s">
        <v>168</v>
      </c>
      <c r="AD46" s="121" t="s">
        <v>107</v>
      </c>
      <c r="AE46" s="121" t="s">
        <v>226</v>
      </c>
      <c r="AF46" s="39" t="s">
        <v>23</v>
      </c>
      <c r="AG46" s="13"/>
      <c r="AI46" s="4"/>
    </row>
    <row r="47" spans="1:35" s="305" customFormat="1" x14ac:dyDescent="0.25">
      <c r="B47" s="303">
        <v>1</v>
      </c>
      <c r="C47" s="304" t="s">
        <v>10</v>
      </c>
      <c r="D47" s="291">
        <f>'Reporte Componentes R1'!F60</f>
        <v>0</v>
      </c>
      <c r="E47" s="292">
        <f>'Reporte Componentes R1'!G60</f>
        <v>0</v>
      </c>
      <c r="F47" s="292">
        <f>'Reporte Componentes R1'!H60</f>
        <v>0</v>
      </c>
      <c r="G47" s="292">
        <f>'Reporte Componentes R1'!I60</f>
        <v>0</v>
      </c>
      <c r="H47" s="292">
        <f>'Reporte Componentes R1'!J60</f>
        <v>0</v>
      </c>
      <c r="I47" s="292">
        <f>'Reporte Componentes R1'!K60</f>
        <v>0</v>
      </c>
      <c r="J47" s="288">
        <v>0</v>
      </c>
      <c r="K47" s="293">
        <f>D47-E47-F47-G47-H47-I47-J47</f>
        <v>0</v>
      </c>
      <c r="L47" s="294">
        <v>0</v>
      </c>
      <c r="M47" s="293">
        <f>K47-L47</f>
        <v>0</v>
      </c>
      <c r="N47" s="294">
        <f>'Reporte Componentes R1'!L60</f>
        <v>0</v>
      </c>
      <c r="O47" s="293">
        <f>M47+N47</f>
        <v>0</v>
      </c>
      <c r="Q47" s="306"/>
      <c r="S47" s="303">
        <v>1</v>
      </c>
      <c r="T47" s="304" t="s">
        <v>10</v>
      </c>
      <c r="U47" s="307">
        <f>'Reporte Componentes R1'!M60</f>
        <v>0</v>
      </c>
      <c r="V47" s="308">
        <f>'Reporte Componentes R1'!N60</f>
        <v>0</v>
      </c>
      <c r="W47" s="308">
        <f>'Reporte Componentes R1'!O60</f>
        <v>0</v>
      </c>
      <c r="X47" s="308">
        <f>'Reporte Componentes R1'!P60</f>
        <v>0</v>
      </c>
      <c r="Y47" s="309">
        <f>'Reporte Componentes R1'!Q60</f>
        <v>0</v>
      </c>
      <c r="Z47" s="310">
        <f>-L47</f>
        <v>0</v>
      </c>
      <c r="AA47" s="311">
        <f>'Reporte Componentes R1'!R60+'Reporte Componentes R1'!V60+'Reporte Componentes R1'!U60</f>
        <v>0</v>
      </c>
      <c r="AB47" s="294">
        <f>N47</f>
        <v>0</v>
      </c>
      <c r="AC47" s="311">
        <f>'Reporte Componentes R1'!T60+'Reporte Componentes R1'!W60+'Reporte Componentes R1'!X60+'Reporte Componentes R1'!Y60+'Reporte Componentes R1'!Z60+'Reporte Componentes R1'!S60</f>
        <v>0</v>
      </c>
      <c r="AD47" s="291">
        <f>-J47+AE47</f>
        <v>0</v>
      </c>
      <c r="AE47" s="291">
        <f>'Reporte Componentes R1'!F61</f>
        <v>0</v>
      </c>
      <c r="AF47" s="313">
        <f>SUM(U47:AD47)</f>
        <v>0</v>
      </c>
      <c r="AG47" s="521">
        <f>(AF47-O47)</f>
        <v>0</v>
      </c>
      <c r="AH47" s="1" t="b">
        <f t="shared" ref="AH47:AH52" si="15">INT(AG47)=0</f>
        <v>1</v>
      </c>
      <c r="AI47" s="306"/>
    </row>
    <row r="48" spans="1:35" s="305" customFormat="1" x14ac:dyDescent="0.25">
      <c r="B48" s="314">
        <v>2</v>
      </c>
      <c r="C48" s="315" t="s">
        <v>11</v>
      </c>
      <c r="D48" s="291">
        <f>'Reporte Componentes R1'!F213</f>
        <v>0</v>
      </c>
      <c r="E48" s="292">
        <f>'Reporte Componentes R1'!G213</f>
        <v>0</v>
      </c>
      <c r="F48" s="292">
        <f>'Reporte Componentes R1'!H213</f>
        <v>0</v>
      </c>
      <c r="G48" s="292">
        <f>'Reporte Componentes R1'!I213</f>
        <v>0</v>
      </c>
      <c r="H48" s="292">
        <f>'Reporte Componentes R1'!J213</f>
        <v>0</v>
      </c>
      <c r="I48" s="292">
        <f>'Reporte Componentes R1'!K213</f>
        <v>0</v>
      </c>
      <c r="J48" s="288">
        <v>0</v>
      </c>
      <c r="K48" s="295">
        <f t="shared" ref="K48:K51" si="16">D48-E48-F48-G48-H48-I48-J48</f>
        <v>0</v>
      </c>
      <c r="L48" s="294">
        <v>0</v>
      </c>
      <c r="M48" s="295">
        <f>K48-L48</f>
        <v>0</v>
      </c>
      <c r="N48" s="294">
        <f>'Reporte Componentes R1'!L213</f>
        <v>0</v>
      </c>
      <c r="O48" s="295">
        <f t="shared" ref="O48:O51" si="17">M48+N48</f>
        <v>0</v>
      </c>
      <c r="Q48" s="306"/>
      <c r="S48" s="314">
        <v>2</v>
      </c>
      <c r="T48" s="315" t="s">
        <v>11</v>
      </c>
      <c r="U48" s="316">
        <f>'Reporte Componentes R1'!M213</f>
        <v>0</v>
      </c>
      <c r="V48" s="317">
        <f>'Reporte Componentes R1'!N213</f>
        <v>0</v>
      </c>
      <c r="W48" s="317">
        <f>'Reporte Componentes R1'!O213</f>
        <v>0</v>
      </c>
      <c r="X48" s="317">
        <f>'Reporte Componentes R1'!P213</f>
        <v>0</v>
      </c>
      <c r="Y48" s="318">
        <f>'Reporte Componentes R1'!Q213</f>
        <v>0</v>
      </c>
      <c r="Z48" s="319">
        <f>-L48</f>
        <v>0</v>
      </c>
      <c r="AA48" s="320">
        <f>'Reporte Componentes R1'!R213+'Reporte Componentes R1'!V213+'Reporte Componentes R1'!U213</f>
        <v>0</v>
      </c>
      <c r="AB48" s="294">
        <f>N48</f>
        <v>0</v>
      </c>
      <c r="AC48" s="320">
        <f>'Reporte Componentes R1'!T213+'Reporte Componentes R1'!W213+'Reporte Componentes R1'!X213+'Reporte Componentes R1'!Y213+'Reporte Componentes R1'!Z213+'Reporte Componentes R1'!S213</f>
        <v>0</v>
      </c>
      <c r="AD48" s="291">
        <f t="shared" ref="AD48:AD51" si="18">-J48+AE48</f>
        <v>0</v>
      </c>
      <c r="AE48" s="291">
        <f>'Reporte Componentes R1'!F214</f>
        <v>0</v>
      </c>
      <c r="AF48" s="322">
        <f>SUM(U48:AD48)</f>
        <v>0</v>
      </c>
      <c r="AG48" s="522">
        <f>(AF48-O48)</f>
        <v>0</v>
      </c>
      <c r="AH48" s="1" t="b">
        <f t="shared" si="15"/>
        <v>1</v>
      </c>
      <c r="AI48" s="306"/>
    </row>
    <row r="49" spans="1:35" s="305" customFormat="1" x14ac:dyDescent="0.25">
      <c r="B49" s="314">
        <v>3</v>
      </c>
      <c r="C49" s="315" t="s">
        <v>12</v>
      </c>
      <c r="D49" s="291">
        <f>'Reporte Componentes R1'!F350</f>
        <v>0</v>
      </c>
      <c r="E49" s="292">
        <f>'Reporte Componentes R1'!G350</f>
        <v>0</v>
      </c>
      <c r="F49" s="292">
        <f>'Reporte Componentes R1'!H350</f>
        <v>0</v>
      </c>
      <c r="G49" s="292">
        <f>'Reporte Componentes R1'!I350</f>
        <v>0</v>
      </c>
      <c r="H49" s="292">
        <f>'Reporte Componentes R1'!J350</f>
        <v>0</v>
      </c>
      <c r="I49" s="292">
        <f>'Reporte Componentes R1'!K350</f>
        <v>0</v>
      </c>
      <c r="J49" s="288">
        <v>0</v>
      </c>
      <c r="K49" s="295">
        <f t="shared" si="16"/>
        <v>0</v>
      </c>
      <c r="L49" s="294">
        <v>0</v>
      </c>
      <c r="M49" s="295">
        <f>K49-L49</f>
        <v>0</v>
      </c>
      <c r="N49" s="294">
        <f>'Reporte Componentes R1'!L350</f>
        <v>0</v>
      </c>
      <c r="O49" s="295">
        <f t="shared" si="17"/>
        <v>0</v>
      </c>
      <c r="Q49" s="306"/>
      <c r="S49" s="314">
        <v>3</v>
      </c>
      <c r="T49" s="315" t="s">
        <v>12</v>
      </c>
      <c r="U49" s="316">
        <f>'Reporte Componentes R1'!M350</f>
        <v>0</v>
      </c>
      <c r="V49" s="317">
        <f>'Reporte Componentes R1'!N350</f>
        <v>0</v>
      </c>
      <c r="W49" s="317">
        <f>'Reporte Componentes R1'!O350</f>
        <v>0</v>
      </c>
      <c r="X49" s="317">
        <f>'Reporte Componentes R1'!P350</f>
        <v>0</v>
      </c>
      <c r="Y49" s="318">
        <f>'Reporte Componentes R1'!Q350</f>
        <v>0</v>
      </c>
      <c r="Z49" s="319">
        <f>-L49</f>
        <v>0</v>
      </c>
      <c r="AA49" s="320">
        <f>'Reporte Componentes R1'!R350+'Reporte Componentes R1'!V350+'Reporte Componentes R1'!U350</f>
        <v>0</v>
      </c>
      <c r="AB49" s="294">
        <f>N49</f>
        <v>0</v>
      </c>
      <c r="AC49" s="320">
        <f>'Reporte Componentes R1'!T350+'Reporte Componentes R1'!W350+'Reporte Componentes R1'!X350+'Reporte Componentes R1'!Y350+'Reporte Componentes R1'!Z350+'Reporte Componentes R1'!S350</f>
        <v>0</v>
      </c>
      <c r="AD49" s="291">
        <f t="shared" si="18"/>
        <v>0</v>
      </c>
      <c r="AE49" s="291">
        <f>'Reporte Componentes R1'!F351</f>
        <v>0</v>
      </c>
      <c r="AF49" s="322">
        <f t="shared" ref="AF49:AF51" si="19">SUM(U49:AD49)</f>
        <v>0</v>
      </c>
      <c r="AG49" s="522">
        <f t="shared" ref="AG49:AG51" si="20">(AF49-O49)</f>
        <v>0</v>
      </c>
      <c r="AH49" s="1" t="b">
        <f t="shared" si="15"/>
        <v>1</v>
      </c>
      <c r="AI49" s="306"/>
    </row>
    <row r="50" spans="1:35" s="305" customFormat="1" x14ac:dyDescent="0.25">
      <c r="B50" s="314">
        <v>4</v>
      </c>
      <c r="C50" s="315" t="s">
        <v>13</v>
      </c>
      <c r="D50" s="291">
        <f>'Reporte Componentes R1'!F475</f>
        <v>41900</v>
      </c>
      <c r="E50" s="292">
        <f>'Reporte Componentes R1'!G475</f>
        <v>2593.4699999999998</v>
      </c>
      <c r="F50" s="292">
        <f>'Reporte Componentes R1'!H475</f>
        <v>1464.28</v>
      </c>
      <c r="G50" s="292">
        <f>'Reporte Componentes R1'!I475</f>
        <v>768.54</v>
      </c>
      <c r="H50" s="292">
        <f>'Reporte Componentes R1'!J475</f>
        <v>8475</v>
      </c>
      <c r="I50" s="292">
        <f>'Reporte Componentes R1'!K475</f>
        <v>336.82</v>
      </c>
      <c r="J50" s="288">
        <v>0</v>
      </c>
      <c r="K50" s="295">
        <f t="shared" si="16"/>
        <v>28261.89</v>
      </c>
      <c r="L50" s="294">
        <v>0</v>
      </c>
      <c r="M50" s="295">
        <f>K50-L50</f>
        <v>28261.89</v>
      </c>
      <c r="N50" s="294">
        <f>'Reporte Componentes R1'!L475</f>
        <v>0</v>
      </c>
      <c r="O50" s="295">
        <f t="shared" si="17"/>
        <v>28261.89</v>
      </c>
      <c r="Q50" s="306"/>
      <c r="S50" s="314">
        <v>4</v>
      </c>
      <c r="T50" s="315" t="s">
        <v>13</v>
      </c>
      <c r="U50" s="316">
        <f>'Reporte Componentes R1'!M475</f>
        <v>2954.55</v>
      </c>
      <c r="V50" s="317">
        <f>'Reporte Componentes R1'!N475</f>
        <v>2903.79</v>
      </c>
      <c r="W50" s="317">
        <f>'Reporte Componentes R1'!O475</f>
        <v>14989.18</v>
      </c>
      <c r="X50" s="317">
        <f>'Reporte Componentes R1'!P475</f>
        <v>6864.83</v>
      </c>
      <c r="Y50" s="318">
        <f>'Reporte Componentes R1'!Q475</f>
        <v>549.54</v>
      </c>
      <c r="Z50" s="319">
        <f>-L50</f>
        <v>0</v>
      </c>
      <c r="AA50" s="320">
        <f>'Reporte Componentes R1'!R475+'Reporte Componentes R1'!V475+'Reporte Componentes R1'!U475</f>
        <v>0</v>
      </c>
      <c r="AB50" s="294">
        <f>N50</f>
        <v>0</v>
      </c>
      <c r="AC50" s="320">
        <f>'Reporte Componentes R1'!T475+'Reporte Componentes R1'!W475+'Reporte Componentes R1'!X475+'Reporte Componentes R1'!Y475+'Reporte Componentes R1'!Z475+'Reporte Componentes R1'!S475</f>
        <v>0</v>
      </c>
      <c r="AD50" s="291">
        <f t="shared" si="18"/>
        <v>0</v>
      </c>
      <c r="AE50" s="291">
        <f>'Reporte Componentes R1'!F476</f>
        <v>0</v>
      </c>
      <c r="AF50" s="322">
        <f t="shared" si="19"/>
        <v>28261.89</v>
      </c>
      <c r="AG50" s="522">
        <f t="shared" si="20"/>
        <v>0</v>
      </c>
      <c r="AH50" s="1" t="b">
        <f t="shared" si="15"/>
        <v>1</v>
      </c>
      <c r="AI50" s="306"/>
    </row>
    <row r="51" spans="1:35" s="305" customFormat="1" ht="12" thickBot="1" x14ac:dyDescent="0.3">
      <c r="B51" s="324">
        <v>5</v>
      </c>
      <c r="C51" s="325" t="s">
        <v>14</v>
      </c>
      <c r="D51" s="296">
        <f>'Reporte Componentes R1'!F565</f>
        <v>0</v>
      </c>
      <c r="E51" s="297">
        <f>'Reporte Componentes R1'!G565</f>
        <v>0</v>
      </c>
      <c r="F51" s="297">
        <f>'Reporte Componentes R1'!H565</f>
        <v>0</v>
      </c>
      <c r="G51" s="297">
        <f>'Reporte Componentes R1'!I565</f>
        <v>0</v>
      </c>
      <c r="H51" s="297">
        <f>'Reporte Componentes R1'!J565</f>
        <v>0</v>
      </c>
      <c r="I51" s="297">
        <f>'Reporte Componentes R1'!K565</f>
        <v>0</v>
      </c>
      <c r="J51" s="289">
        <v>0</v>
      </c>
      <c r="K51" s="295">
        <f t="shared" si="16"/>
        <v>0</v>
      </c>
      <c r="L51" s="294">
        <v>0</v>
      </c>
      <c r="M51" s="298">
        <f>K51-L51</f>
        <v>0</v>
      </c>
      <c r="N51" s="299">
        <f>'Reporte Componentes R1'!L565</f>
        <v>0</v>
      </c>
      <c r="O51" s="298">
        <f t="shared" si="17"/>
        <v>0</v>
      </c>
      <c r="Q51" s="306"/>
      <c r="S51" s="324">
        <v>5</v>
      </c>
      <c r="T51" s="325" t="s">
        <v>14</v>
      </c>
      <c r="U51" s="296">
        <f>'Reporte Componentes R1'!M565</f>
        <v>0</v>
      </c>
      <c r="V51" s="297">
        <f>'Reporte Componentes R1'!N565</f>
        <v>0</v>
      </c>
      <c r="W51" s="297">
        <f>'Reporte Componentes R1'!O565</f>
        <v>0</v>
      </c>
      <c r="X51" s="297">
        <f>'Reporte Componentes R1'!P565</f>
        <v>0</v>
      </c>
      <c r="Y51" s="289">
        <f>'Reporte Componentes R1'!Q565</f>
        <v>0</v>
      </c>
      <c r="Z51" s="319">
        <f>-L51</f>
        <v>0</v>
      </c>
      <c r="AA51" s="320">
        <f>'Reporte Componentes R1'!R565+'Reporte Componentes R1'!V565+'Reporte Componentes R1'!U565</f>
        <v>0</v>
      </c>
      <c r="AB51" s="294">
        <f>N51</f>
        <v>0</v>
      </c>
      <c r="AC51" s="320">
        <f>'Reporte Componentes R1'!T565+'Reporte Componentes R1'!W565+'Reporte Componentes R1'!X565+'Reporte Componentes R1'!Y565+'Reporte Componentes R1'!Z565+'Reporte Componentes R1'!S565</f>
        <v>0</v>
      </c>
      <c r="AD51" s="291">
        <f t="shared" si="18"/>
        <v>0</v>
      </c>
      <c r="AE51" s="291">
        <f>'Reporte Componentes R1'!F566</f>
        <v>0</v>
      </c>
      <c r="AF51" s="322">
        <f t="shared" si="19"/>
        <v>0</v>
      </c>
      <c r="AG51" s="523">
        <f t="shared" si="20"/>
        <v>0</v>
      </c>
      <c r="AH51" s="1" t="b">
        <f t="shared" si="15"/>
        <v>1</v>
      </c>
      <c r="AI51" s="306"/>
    </row>
    <row r="52" spans="1:35" s="305" customFormat="1" ht="13.5" thickBot="1" x14ac:dyDescent="0.35">
      <c r="B52" s="327"/>
      <c r="C52" s="328" t="s">
        <v>2</v>
      </c>
      <c r="D52" s="290">
        <f t="shared" ref="D52:O52" si="21">SUM(D47:D51)</f>
        <v>41900</v>
      </c>
      <c r="E52" s="290">
        <f t="shared" si="21"/>
        <v>2593.4699999999998</v>
      </c>
      <c r="F52" s="290">
        <f t="shared" si="21"/>
        <v>1464.28</v>
      </c>
      <c r="G52" s="290">
        <f t="shared" ref="G52" si="22">SUM(G47:G51)</f>
        <v>768.54</v>
      </c>
      <c r="H52" s="290">
        <f t="shared" si="21"/>
        <v>8475</v>
      </c>
      <c r="I52" s="290">
        <f t="shared" si="21"/>
        <v>336.82</v>
      </c>
      <c r="J52" s="290">
        <f t="shared" si="21"/>
        <v>0</v>
      </c>
      <c r="K52" s="300">
        <f t="shared" si="21"/>
        <v>28261.89</v>
      </c>
      <c r="L52" s="301">
        <f t="shared" si="21"/>
        <v>0</v>
      </c>
      <c r="M52" s="302">
        <f t="shared" si="21"/>
        <v>28261.89</v>
      </c>
      <c r="N52" s="301">
        <f t="shared" si="21"/>
        <v>0</v>
      </c>
      <c r="O52" s="302">
        <f t="shared" si="21"/>
        <v>28261.89</v>
      </c>
      <c r="P52" s="329"/>
      <c r="Q52" s="306"/>
      <c r="S52" s="327"/>
      <c r="T52" s="328" t="s">
        <v>2</v>
      </c>
      <c r="U52" s="330">
        <f>SUM(U47:U51)</f>
        <v>2954.55</v>
      </c>
      <c r="V52" s="330">
        <f t="shared" ref="V52:AG52" si="23">SUM(V47:V51)</f>
        <v>2903.79</v>
      </c>
      <c r="W52" s="330">
        <f t="shared" si="23"/>
        <v>14989.18</v>
      </c>
      <c r="X52" s="330">
        <f t="shared" si="23"/>
        <v>6864.83</v>
      </c>
      <c r="Y52" s="330">
        <f t="shared" si="23"/>
        <v>549.54</v>
      </c>
      <c r="Z52" s="290">
        <f t="shared" si="23"/>
        <v>0</v>
      </c>
      <c r="AA52" s="290">
        <f t="shared" si="23"/>
        <v>0</v>
      </c>
      <c r="AB52" s="290">
        <f t="shared" si="23"/>
        <v>0</v>
      </c>
      <c r="AC52" s="290">
        <f t="shared" si="23"/>
        <v>0</v>
      </c>
      <c r="AD52" s="290">
        <f>SUM(AD47:AD51)</f>
        <v>0</v>
      </c>
      <c r="AE52" s="290">
        <f>SUM(AE47:AE51)</f>
        <v>0</v>
      </c>
      <c r="AF52" s="331">
        <f t="shared" si="23"/>
        <v>28261.89</v>
      </c>
      <c r="AG52" s="524">
        <f t="shared" si="23"/>
        <v>0</v>
      </c>
      <c r="AH52" s="1" t="b">
        <f t="shared" si="15"/>
        <v>1</v>
      </c>
      <c r="AI52" s="306"/>
    </row>
    <row r="53" spans="1:35" ht="12" thickBot="1" x14ac:dyDescent="0.3">
      <c r="B53" s="2"/>
      <c r="C53" s="2"/>
      <c r="D53" s="24"/>
      <c r="E53" s="24"/>
      <c r="F53" s="24"/>
      <c r="G53" s="24"/>
      <c r="H53" s="24"/>
      <c r="I53" s="24"/>
      <c r="K53" s="24"/>
      <c r="L53" s="24"/>
      <c r="M53" s="24"/>
      <c r="N53" s="24"/>
      <c r="O53" s="24"/>
      <c r="Q53" s="4"/>
      <c r="S53" s="2"/>
      <c r="T53" s="2"/>
      <c r="U53" s="24"/>
      <c r="V53" s="24"/>
      <c r="W53" s="24"/>
      <c r="X53" s="24"/>
      <c r="Y53" s="24"/>
      <c r="AF53" s="24"/>
      <c r="AI53" s="4"/>
    </row>
    <row r="54" spans="1:35" ht="12" thickBot="1" x14ac:dyDescent="0.3">
      <c r="B54" s="2"/>
      <c r="C54" s="2"/>
      <c r="D54" s="24" t="s">
        <v>1</v>
      </c>
      <c r="E54" s="24"/>
      <c r="F54" s="24"/>
      <c r="G54" s="24"/>
      <c r="H54" s="24"/>
      <c r="I54" s="24"/>
      <c r="K54" s="24"/>
      <c r="L54" s="24"/>
      <c r="M54" s="24"/>
      <c r="N54" s="24"/>
      <c r="O54" s="24"/>
      <c r="Q54" s="4"/>
      <c r="Y54" s="86">
        <f>SUM(U52:Y52)</f>
        <v>28261.89</v>
      </c>
      <c r="AA54" s="1" t="s">
        <v>1</v>
      </c>
      <c r="AB54" s="1" t="s">
        <v>1</v>
      </c>
      <c r="AD54" s="1" t="s">
        <v>1</v>
      </c>
      <c r="AF54" s="1" t="s">
        <v>1</v>
      </c>
      <c r="AI54" s="4"/>
    </row>
    <row r="55" spans="1:35" ht="12" thickBot="1" x14ac:dyDescent="0.3">
      <c r="B55" s="2"/>
      <c r="C55" s="2"/>
      <c r="D55" s="24" t="s">
        <v>1</v>
      </c>
      <c r="E55" s="33"/>
      <c r="F55" s="33"/>
      <c r="G55" s="33"/>
      <c r="H55" s="33"/>
      <c r="I55" s="24"/>
      <c r="K55" s="24"/>
      <c r="L55" s="24"/>
      <c r="M55" s="24"/>
      <c r="N55" s="24"/>
      <c r="O55" s="24"/>
      <c r="Q55" s="4"/>
      <c r="AI55" s="4"/>
    </row>
    <row r="56" spans="1:35" x14ac:dyDescent="0.25">
      <c r="B56" s="2"/>
      <c r="C56" s="2"/>
      <c r="D56" s="24" t="s">
        <v>1</v>
      </c>
      <c r="E56" s="24" t="s">
        <v>1</v>
      </c>
      <c r="F56" s="24" t="s">
        <v>25</v>
      </c>
      <c r="G56" s="24"/>
      <c r="H56" s="24"/>
      <c r="I56" s="24"/>
      <c r="K56" s="24"/>
      <c r="L56" s="24"/>
      <c r="M56" s="24"/>
      <c r="N56" s="24"/>
      <c r="O56" s="24"/>
      <c r="Q56" s="4"/>
      <c r="AI56" s="4"/>
    </row>
    <row r="57" spans="1:35" x14ac:dyDescent="0.25">
      <c r="A57" s="4"/>
      <c r="B57" s="34"/>
      <c r="C57" s="34"/>
      <c r="D57" s="35"/>
      <c r="E57" s="35"/>
      <c r="F57" s="35"/>
      <c r="G57" s="35"/>
      <c r="H57" s="35"/>
      <c r="I57" s="35"/>
      <c r="J57" s="4"/>
      <c r="K57" s="35"/>
      <c r="L57" s="35"/>
      <c r="M57" s="35"/>
      <c r="N57" s="35"/>
      <c r="O57" s="35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  <c r="AE57" s="4"/>
      <c r="AF57" s="4"/>
      <c r="AG57" s="4"/>
      <c r="AH57" s="4"/>
      <c r="AI57" s="4"/>
    </row>
    <row r="58" spans="1:35" ht="12" thickBot="1" x14ac:dyDescent="0.3">
      <c r="Q58" s="4"/>
      <c r="AI58" s="4"/>
    </row>
    <row r="59" spans="1:35" x14ac:dyDescent="0.25">
      <c r="B59" s="5"/>
      <c r="C59" s="3" t="s">
        <v>1</v>
      </c>
      <c r="D59" s="6" t="s">
        <v>1</v>
      </c>
      <c r="E59" s="3"/>
      <c r="F59" s="3"/>
      <c r="G59" s="3"/>
      <c r="H59" s="3" t="s">
        <v>1</v>
      </c>
      <c r="I59" s="3"/>
      <c r="J59" s="3"/>
      <c r="K59" s="3"/>
      <c r="L59" s="3"/>
      <c r="M59" s="3"/>
      <c r="N59" s="3"/>
      <c r="O59" s="7"/>
      <c r="P59" s="2"/>
      <c r="Q59" s="4"/>
      <c r="S59" s="5"/>
      <c r="T59" s="3" t="s">
        <v>1</v>
      </c>
      <c r="U59" s="6" t="s">
        <v>1</v>
      </c>
      <c r="V59" s="3"/>
      <c r="W59" s="3"/>
      <c r="X59" s="3" t="s">
        <v>1</v>
      </c>
      <c r="Y59" s="3"/>
      <c r="Z59" s="3"/>
      <c r="AA59" s="3"/>
      <c r="AB59" s="3"/>
      <c r="AC59" s="3"/>
      <c r="AD59" s="3"/>
      <c r="AE59" s="3"/>
      <c r="AF59" s="7"/>
      <c r="AG59" s="2"/>
      <c r="AI59" s="4"/>
    </row>
    <row r="60" spans="1:35" ht="14" x14ac:dyDescent="0.3">
      <c r="B60" s="8"/>
      <c r="F60" s="26" t="s">
        <v>8</v>
      </c>
      <c r="G60" s="26"/>
      <c r="I60" s="26" t="s">
        <v>16</v>
      </c>
      <c r="J60" s="25"/>
      <c r="M60" s="2" t="s">
        <v>15</v>
      </c>
      <c r="N60" s="50">
        <f>N3</f>
        <v>2026072</v>
      </c>
      <c r="O60" s="10"/>
      <c r="P60" s="2"/>
      <c r="Q60" s="4"/>
      <c r="S60" s="8"/>
      <c r="U60" s="26" t="s">
        <v>8</v>
      </c>
      <c r="W60" s="26" t="s">
        <v>16</v>
      </c>
      <c r="X60" s="25"/>
      <c r="Y60" s="2"/>
      <c r="AA60" s="2" t="s">
        <v>15</v>
      </c>
      <c r="AD60" s="84">
        <f>N60</f>
        <v>2026072</v>
      </c>
      <c r="AE60" s="84"/>
      <c r="AF60" s="48"/>
      <c r="AG60" s="2"/>
      <c r="AI60" s="4"/>
    </row>
    <row r="61" spans="1:35" ht="15.5" x14ac:dyDescent="0.35">
      <c r="B61" s="8"/>
      <c r="F61" s="36" t="s">
        <v>29</v>
      </c>
      <c r="G61" s="36"/>
      <c r="O61" s="10"/>
      <c r="P61" s="2"/>
      <c r="Q61" s="4"/>
      <c r="S61" s="8"/>
      <c r="T61" s="26" t="s">
        <v>1</v>
      </c>
      <c r="U61" s="36" t="s">
        <v>29</v>
      </c>
      <c r="Y61" s="2" t="s">
        <v>1</v>
      </c>
      <c r="AA61" s="50" t="s">
        <v>1</v>
      </c>
      <c r="AB61" s="2"/>
      <c r="AC61" s="2"/>
      <c r="AD61" s="2"/>
      <c r="AE61" s="2"/>
      <c r="AF61" s="10" t="s">
        <v>1</v>
      </c>
      <c r="AG61" s="2"/>
      <c r="AI61" s="4"/>
    </row>
    <row r="62" spans="1:35" ht="14" x14ac:dyDescent="0.3">
      <c r="B62" s="8"/>
      <c r="F62" s="2" t="s">
        <v>30</v>
      </c>
      <c r="G62" s="2"/>
      <c r="M62" s="2" t="s">
        <v>1</v>
      </c>
      <c r="O62" s="10"/>
      <c r="P62" s="2"/>
      <c r="Q62" s="4"/>
      <c r="S62" s="8"/>
      <c r="T62" s="49" t="s">
        <v>1</v>
      </c>
      <c r="U62" s="2" t="s">
        <v>30</v>
      </c>
      <c r="AF62" s="44"/>
      <c r="AG62" s="2"/>
      <c r="AI62" s="4"/>
    </row>
    <row r="63" spans="1:35" ht="15.5" x14ac:dyDescent="0.35">
      <c r="B63" s="8"/>
      <c r="C63" s="599" t="s">
        <v>17</v>
      </c>
      <c r="D63" s="9">
        <f>D6</f>
        <v>46238</v>
      </c>
      <c r="F63" s="41" t="s">
        <v>33</v>
      </c>
      <c r="G63" s="41"/>
      <c r="H63" s="2"/>
      <c r="J63" s="2"/>
      <c r="O63" s="10"/>
      <c r="P63" s="2"/>
      <c r="Q63" s="4"/>
      <c r="S63" s="8"/>
      <c r="T63" s="41" t="s">
        <v>1</v>
      </c>
      <c r="U63" s="41" t="s">
        <v>33</v>
      </c>
      <c r="V63" s="2"/>
      <c r="X63" s="2"/>
      <c r="Y63" s="2"/>
      <c r="AF63" s="48"/>
      <c r="AG63" s="2"/>
      <c r="AI63" s="4"/>
    </row>
    <row r="64" spans="1:35" ht="12" thickBot="1" x14ac:dyDescent="0.3">
      <c r="B64" s="8"/>
      <c r="C64" s="599" t="s">
        <v>0</v>
      </c>
      <c r="D64" s="241">
        <f>D7</f>
        <v>0.58333333333333337</v>
      </c>
      <c r="F64" s="2" t="s">
        <v>27</v>
      </c>
      <c r="G64" s="9">
        <f>G7</f>
        <v>46219</v>
      </c>
      <c r="J64" s="2" t="s">
        <v>28</v>
      </c>
      <c r="K64" s="9">
        <f>K7</f>
        <v>46234</v>
      </c>
      <c r="O64" s="10"/>
      <c r="P64" s="2"/>
      <c r="Q64" s="4"/>
      <c r="S64" s="8"/>
      <c r="U64" s="1" t="str">
        <f>F64</f>
        <v>Fecha Desde:</v>
      </c>
      <c r="V64" s="9">
        <f>G64</f>
        <v>46219</v>
      </c>
      <c r="W64" s="1" t="s">
        <v>1</v>
      </c>
      <c r="X64" s="1" t="str">
        <f>J64</f>
        <v>Feha Hasta:</v>
      </c>
      <c r="Y64" s="9">
        <f>K64</f>
        <v>46234</v>
      </c>
      <c r="Z64" s="1" t="s">
        <v>1</v>
      </c>
      <c r="AF64" s="48"/>
      <c r="AG64" s="2"/>
      <c r="AI64" s="4"/>
    </row>
    <row r="65" spans="1:35" ht="72" customHeight="1" thickBot="1" x14ac:dyDescent="0.3">
      <c r="B65" s="11" t="s">
        <v>3</v>
      </c>
      <c r="C65" s="27" t="s">
        <v>9</v>
      </c>
      <c r="D65" s="11" t="s">
        <v>4</v>
      </c>
      <c r="E65" s="12" t="s">
        <v>5</v>
      </c>
      <c r="F65" s="27" t="s">
        <v>6</v>
      </c>
      <c r="G65" s="268" t="s">
        <v>159</v>
      </c>
      <c r="H65" s="27" t="s">
        <v>18</v>
      </c>
      <c r="I65" s="12" t="s">
        <v>24</v>
      </c>
      <c r="J65" s="73" t="s">
        <v>19</v>
      </c>
      <c r="K65" s="29" t="s">
        <v>20</v>
      </c>
      <c r="L65" s="28" t="s">
        <v>21</v>
      </c>
      <c r="M65" s="39" t="s">
        <v>22</v>
      </c>
      <c r="N65" s="12" t="s">
        <v>7</v>
      </c>
      <c r="O65" s="39" t="s">
        <v>23</v>
      </c>
      <c r="P65" s="13"/>
      <c r="Q65" s="4"/>
      <c r="S65" s="11" t="s">
        <v>3</v>
      </c>
      <c r="T65" s="27" t="s">
        <v>9</v>
      </c>
      <c r="U65" s="162" t="s">
        <v>39</v>
      </c>
      <c r="V65" s="163" t="s">
        <v>40</v>
      </c>
      <c r="W65" s="163" t="s">
        <v>41</v>
      </c>
      <c r="X65" s="163" t="s">
        <v>42</v>
      </c>
      <c r="Y65" s="164" t="s">
        <v>43</v>
      </c>
      <c r="Z65" s="85" t="s">
        <v>21</v>
      </c>
      <c r="AA65" s="65" t="s">
        <v>46</v>
      </c>
      <c r="AB65" s="65" t="s">
        <v>7</v>
      </c>
      <c r="AC65" s="85" t="s">
        <v>168</v>
      </c>
      <c r="AD65" s="121" t="s">
        <v>107</v>
      </c>
      <c r="AE65" s="121" t="s">
        <v>226</v>
      </c>
      <c r="AF65" s="39" t="s">
        <v>23</v>
      </c>
      <c r="AG65" s="13"/>
      <c r="AI65" s="4"/>
    </row>
    <row r="66" spans="1:35" s="305" customFormat="1" x14ac:dyDescent="0.25">
      <c r="B66" s="303">
        <v>1</v>
      </c>
      <c r="C66" s="304" t="s">
        <v>10</v>
      </c>
      <c r="D66" s="291">
        <f>'Reversion Pagos R4'!D76</f>
        <v>0</v>
      </c>
      <c r="E66" s="292">
        <f>'Reversion Pagos R4'!E76</f>
        <v>0</v>
      </c>
      <c r="F66" s="292">
        <f>'Reversion Pagos R4'!F76</f>
        <v>0</v>
      </c>
      <c r="G66" s="292">
        <f>'Reversion Pagos R4'!G76</f>
        <v>0</v>
      </c>
      <c r="H66" s="292">
        <f>'Reversion Pagos R4'!H76</f>
        <v>0</v>
      </c>
      <c r="I66" s="292">
        <f>'Reversion Pagos R4'!I76</f>
        <v>0</v>
      </c>
      <c r="J66" s="288">
        <v>0</v>
      </c>
      <c r="K66" s="293">
        <f>D66-E66-F66-G66-H66-I66-J66</f>
        <v>0</v>
      </c>
      <c r="L66" s="294">
        <v>0</v>
      </c>
      <c r="M66" s="293">
        <f>K66-L66</f>
        <v>0</v>
      </c>
      <c r="N66" s="294">
        <f>'Reversion Pagos R4'!P76</f>
        <v>0</v>
      </c>
      <c r="O66" s="293">
        <f>M66+N66</f>
        <v>0</v>
      </c>
      <c r="Q66" s="306"/>
      <c r="S66" s="303">
        <v>1</v>
      </c>
      <c r="T66" s="304" t="s">
        <v>10</v>
      </c>
      <c r="U66" s="307">
        <f>'Reversion Pagos R4'!J76</f>
        <v>0</v>
      </c>
      <c r="V66" s="308">
        <f>'Reversion Pagos R4'!K76</f>
        <v>0</v>
      </c>
      <c r="W66" s="308">
        <f>'Reversion Pagos R4'!L76</f>
        <v>0</v>
      </c>
      <c r="X66" s="308">
        <f>'Reversion Pagos R4'!M76</f>
        <v>0</v>
      </c>
      <c r="Y66" s="309">
        <f>'Reversion Pagos R4'!N76</f>
        <v>0</v>
      </c>
      <c r="Z66" s="310">
        <f>-L66</f>
        <v>0</v>
      </c>
      <c r="AA66" s="320">
        <f>'Reversion Pagos R4'!O76</f>
        <v>0</v>
      </c>
      <c r="AB66" s="294">
        <f>N66</f>
        <v>0</v>
      </c>
      <c r="AC66" s="320">
        <f>+'Reversion Pagos R4'!Q76+'Reversion Pagos R4'!R76</f>
        <v>0</v>
      </c>
      <c r="AD66" s="291">
        <f>-J66+AE66</f>
        <v>0</v>
      </c>
      <c r="AE66" s="291">
        <f>'Reversion Pagos R4'!D77</f>
        <v>0</v>
      </c>
      <c r="AF66" s="313">
        <f>SUM(U66:AD66)</f>
        <v>0</v>
      </c>
      <c r="AG66" s="521">
        <f>(AF66-O66)</f>
        <v>0</v>
      </c>
      <c r="AH66" s="1" t="b">
        <f t="shared" ref="AH66:AH71" si="24">INT(AG66)=0</f>
        <v>1</v>
      </c>
      <c r="AI66" s="306"/>
    </row>
    <row r="67" spans="1:35" s="305" customFormat="1" x14ac:dyDescent="0.25">
      <c r="B67" s="314">
        <v>2</v>
      </c>
      <c r="C67" s="315" t="s">
        <v>11</v>
      </c>
      <c r="D67" s="291">
        <f>'Reversion Pagos R4'!D171</f>
        <v>0</v>
      </c>
      <c r="E67" s="292">
        <f>'Reversion Pagos R4'!E171</f>
        <v>0</v>
      </c>
      <c r="F67" s="292">
        <f>'Reversion Pagos R4'!F171</f>
        <v>0</v>
      </c>
      <c r="G67" s="292">
        <f>'Reversion Pagos R4'!G171</f>
        <v>0</v>
      </c>
      <c r="H67" s="292">
        <f>'Reversion Pagos R4'!H171</f>
        <v>0</v>
      </c>
      <c r="I67" s="292">
        <f>'Reversion Pagos R4'!I171</f>
        <v>0</v>
      </c>
      <c r="J67" s="288">
        <v>0</v>
      </c>
      <c r="K67" s="295">
        <f t="shared" ref="K67:K70" si="25">D67-E67-F67-G67-H67-I67-J67</f>
        <v>0</v>
      </c>
      <c r="L67" s="294">
        <v>0</v>
      </c>
      <c r="M67" s="295">
        <f>K67-L67</f>
        <v>0</v>
      </c>
      <c r="N67" s="294">
        <f>'Reversion Pagos R4'!P171</f>
        <v>0</v>
      </c>
      <c r="O67" s="295">
        <f t="shared" ref="O67:O70" si="26">M67+N67</f>
        <v>0</v>
      </c>
      <c r="Q67" s="306"/>
      <c r="S67" s="314">
        <v>2</v>
      </c>
      <c r="T67" s="315" t="s">
        <v>11</v>
      </c>
      <c r="U67" s="316">
        <f>'Reversion Pagos R4'!J171</f>
        <v>0</v>
      </c>
      <c r="V67" s="317">
        <f>'Reversion Pagos R4'!K171</f>
        <v>0</v>
      </c>
      <c r="W67" s="317">
        <f>'Reversion Pagos R4'!L171</f>
        <v>0</v>
      </c>
      <c r="X67" s="317">
        <f>'Reversion Pagos R4'!M171</f>
        <v>0</v>
      </c>
      <c r="Y67" s="318">
        <f>'Reversion Pagos R4'!N171</f>
        <v>0</v>
      </c>
      <c r="Z67" s="319">
        <f t="shared" ref="Z67:Z70" si="27">-L67</f>
        <v>0</v>
      </c>
      <c r="AA67" s="320">
        <f>'Reversion Pagos R4'!O171</f>
        <v>0</v>
      </c>
      <c r="AB67" s="294">
        <f t="shared" ref="AB67:AB70" si="28">N67</f>
        <v>0</v>
      </c>
      <c r="AC67" s="320">
        <f>+'Reversion Pagos R4'!Q171+'Reversion Pagos R4'!R171</f>
        <v>0</v>
      </c>
      <c r="AD67" s="291">
        <f t="shared" ref="AD67:AD70" si="29">-J67+AE67</f>
        <v>0</v>
      </c>
      <c r="AE67" s="291">
        <f>'Reversion Pagos R4'!D172</f>
        <v>0</v>
      </c>
      <c r="AF67" s="322">
        <f>SUM(U67:AD67)</f>
        <v>0</v>
      </c>
      <c r="AG67" s="522">
        <f>(AF67-O67)</f>
        <v>0</v>
      </c>
      <c r="AH67" s="1" t="b">
        <f t="shared" si="24"/>
        <v>1</v>
      </c>
      <c r="AI67" s="306"/>
    </row>
    <row r="68" spans="1:35" s="305" customFormat="1" x14ac:dyDescent="0.25">
      <c r="B68" s="314">
        <v>3</v>
      </c>
      <c r="C68" s="315" t="s">
        <v>12</v>
      </c>
      <c r="D68" s="291">
        <f>'Reversion Pagos R4'!D208</f>
        <v>0</v>
      </c>
      <c r="E68" s="292">
        <f>'Reversion Pagos R4'!E208</f>
        <v>0</v>
      </c>
      <c r="F68" s="292">
        <f>'Reversion Pagos R4'!F208</f>
        <v>0</v>
      </c>
      <c r="G68" s="292">
        <f>'Reversion Pagos R4'!G208</f>
        <v>0</v>
      </c>
      <c r="H68" s="292">
        <f>'Reversion Pagos R4'!H208</f>
        <v>0</v>
      </c>
      <c r="I68" s="292">
        <f>'Reversion Pagos R4'!I208</f>
        <v>0</v>
      </c>
      <c r="J68" s="288">
        <v>0</v>
      </c>
      <c r="K68" s="295">
        <f t="shared" si="25"/>
        <v>0</v>
      </c>
      <c r="L68" s="294">
        <v>0</v>
      </c>
      <c r="M68" s="295">
        <f>K68-L68</f>
        <v>0</v>
      </c>
      <c r="N68" s="294">
        <f>'Reversion Pagos R4'!P208</f>
        <v>0</v>
      </c>
      <c r="O68" s="295">
        <f t="shared" si="26"/>
        <v>0</v>
      </c>
      <c r="Q68" s="306"/>
      <c r="S68" s="314">
        <v>3</v>
      </c>
      <c r="T68" s="315" t="s">
        <v>12</v>
      </c>
      <c r="U68" s="316">
        <f>'Reversion Pagos R4'!J208</f>
        <v>0</v>
      </c>
      <c r="V68" s="317">
        <f>'Reversion Pagos R4'!K208</f>
        <v>0</v>
      </c>
      <c r="W68" s="317">
        <f>'Reversion Pagos R4'!L208</f>
        <v>0</v>
      </c>
      <c r="X68" s="317">
        <f>'Reversion Pagos R4'!M208</f>
        <v>0</v>
      </c>
      <c r="Y68" s="318">
        <f>'Reversion Pagos R4'!N208</f>
        <v>0</v>
      </c>
      <c r="Z68" s="319">
        <f t="shared" si="27"/>
        <v>0</v>
      </c>
      <c r="AA68" s="320">
        <f>'Reversion Pagos R4'!O208</f>
        <v>0</v>
      </c>
      <c r="AB68" s="294">
        <f t="shared" si="28"/>
        <v>0</v>
      </c>
      <c r="AC68" s="320">
        <f>+'Reversion Pagos R4'!Q208+'Reversion Pagos R4'!R208</f>
        <v>0</v>
      </c>
      <c r="AD68" s="291">
        <f t="shared" si="29"/>
        <v>0</v>
      </c>
      <c r="AE68" s="291">
        <f>'Reversion Pagos R4'!D209</f>
        <v>0</v>
      </c>
      <c r="AF68" s="322">
        <f t="shared" ref="AF68:AF70" si="30">SUM(U68:AD68)</f>
        <v>0</v>
      </c>
      <c r="AG68" s="522">
        <f t="shared" ref="AG68:AG70" si="31">(AF68-O68)</f>
        <v>0</v>
      </c>
      <c r="AH68" s="1" t="b">
        <f t="shared" si="24"/>
        <v>1</v>
      </c>
      <c r="AI68" s="306"/>
    </row>
    <row r="69" spans="1:35" s="305" customFormat="1" x14ac:dyDescent="0.25">
      <c r="B69" s="314">
        <v>4</v>
      </c>
      <c r="C69" s="315" t="s">
        <v>13</v>
      </c>
      <c r="D69" s="291">
        <f>'Reversion Pagos R4'!D323</f>
        <v>-736030</v>
      </c>
      <c r="E69" s="292">
        <f>'Reversion Pagos R4'!E323</f>
        <v>-56621.87</v>
      </c>
      <c r="F69" s="292">
        <f>'Reversion Pagos R4'!F323</f>
        <v>-29964.27</v>
      </c>
      <c r="G69" s="292">
        <f>'Reversion Pagos R4'!G323</f>
        <v>-16688.439999999999</v>
      </c>
      <c r="H69" s="292">
        <f>'Reversion Pagos R4'!H323</f>
        <v>-192605.11</v>
      </c>
      <c r="I69" s="292">
        <f>'Reversion Pagos R4'!I323</f>
        <v>-5220.43</v>
      </c>
      <c r="J69" s="288">
        <v>0</v>
      </c>
      <c r="K69" s="295">
        <f t="shared" si="25"/>
        <v>-434929.88000000006</v>
      </c>
      <c r="L69" s="294">
        <v>0</v>
      </c>
      <c r="M69" s="295">
        <f>K69-L69</f>
        <v>-434929.88000000006</v>
      </c>
      <c r="N69" s="294">
        <f>'Reversion Pagos R4'!P323</f>
        <v>0</v>
      </c>
      <c r="O69" s="295">
        <f t="shared" si="26"/>
        <v>-434929.88000000006</v>
      </c>
      <c r="Q69" s="306"/>
      <c r="S69" s="314">
        <v>4</v>
      </c>
      <c r="T69" s="315" t="s">
        <v>13</v>
      </c>
      <c r="U69" s="316">
        <f>'Reversion Pagos R4'!J323</f>
        <v>-44096.46</v>
      </c>
      <c r="V69" s="317">
        <f>'Reversion Pagos R4'!K323</f>
        <v>-55230.35</v>
      </c>
      <c r="W69" s="317">
        <f>'Reversion Pagos R4'!L323</f>
        <v>-296231.31</v>
      </c>
      <c r="X69" s="317">
        <f>'Reversion Pagos R4'!M323</f>
        <v>-151197.87</v>
      </c>
      <c r="Y69" s="318">
        <f>'Reversion Pagos R4'!N323</f>
        <v>-8517.5499999999993</v>
      </c>
      <c r="Z69" s="319">
        <f t="shared" si="27"/>
        <v>0</v>
      </c>
      <c r="AA69" s="320">
        <f>'Reversion Pagos R4'!O323</f>
        <v>5.68</v>
      </c>
      <c r="AB69" s="294">
        <f t="shared" si="28"/>
        <v>0</v>
      </c>
      <c r="AC69" s="320">
        <f>+'Reversion Pagos R4'!Q323+'Reversion Pagos R4'!R323</f>
        <v>0</v>
      </c>
      <c r="AD69" s="291">
        <f t="shared" si="29"/>
        <v>120337.98</v>
      </c>
      <c r="AE69" s="291">
        <f>'Reversion Pagos R4'!D324</f>
        <v>120337.98</v>
      </c>
      <c r="AF69" s="322">
        <f>SUM(U69:AD69)</f>
        <v>-434929.88</v>
      </c>
      <c r="AG69" s="522">
        <f>(AF69-O69)</f>
        <v>5.8207660913467407E-11</v>
      </c>
      <c r="AH69" s="1" t="b">
        <f t="shared" si="24"/>
        <v>1</v>
      </c>
      <c r="AI69" s="306"/>
    </row>
    <row r="70" spans="1:35" s="305" customFormat="1" ht="12" thickBot="1" x14ac:dyDescent="0.3">
      <c r="B70" s="324">
        <v>5</v>
      </c>
      <c r="C70" s="325" t="s">
        <v>14</v>
      </c>
      <c r="D70" s="296">
        <f>'Reversion Pagos R4'!D358</f>
        <v>0</v>
      </c>
      <c r="E70" s="297">
        <f>'Reversion Pagos R4'!E358</f>
        <v>0</v>
      </c>
      <c r="F70" s="297">
        <f>'Reversion Pagos R4'!F358</f>
        <v>0</v>
      </c>
      <c r="G70" s="297">
        <f>'Reversion Pagos R4'!G358</f>
        <v>0</v>
      </c>
      <c r="H70" s="297">
        <f>'Reversion Pagos R4'!H358</f>
        <v>0</v>
      </c>
      <c r="I70" s="297">
        <f>'Reversion Pagos R4'!I358</f>
        <v>0</v>
      </c>
      <c r="J70" s="289">
        <v>0</v>
      </c>
      <c r="K70" s="295">
        <f t="shared" si="25"/>
        <v>0</v>
      </c>
      <c r="L70" s="294">
        <v>0</v>
      </c>
      <c r="M70" s="298">
        <f>K70-L70</f>
        <v>0</v>
      </c>
      <c r="N70" s="294">
        <f>'Reversion Pagos R4'!P358</f>
        <v>0</v>
      </c>
      <c r="O70" s="298">
        <f t="shared" si="26"/>
        <v>0</v>
      </c>
      <c r="Q70" s="306"/>
      <c r="S70" s="324">
        <v>5</v>
      </c>
      <c r="T70" s="325" t="s">
        <v>14</v>
      </c>
      <c r="U70" s="296">
        <f>'Reversion Pagos R4'!J358</f>
        <v>0</v>
      </c>
      <c r="V70" s="297">
        <f>'Reversion Pagos R4'!K358</f>
        <v>0</v>
      </c>
      <c r="W70" s="297">
        <f>'Reversion Pagos R4'!L358</f>
        <v>0</v>
      </c>
      <c r="X70" s="297">
        <f>'Reversion Pagos R4'!M358</f>
        <v>0</v>
      </c>
      <c r="Y70" s="289">
        <f>'Reversion Pagos R4'!N358</f>
        <v>0</v>
      </c>
      <c r="Z70" s="319">
        <f t="shared" si="27"/>
        <v>0</v>
      </c>
      <c r="AA70" s="320">
        <f>'Reversion Pagos R4'!O358</f>
        <v>0</v>
      </c>
      <c r="AB70" s="294">
        <f t="shared" si="28"/>
        <v>0</v>
      </c>
      <c r="AC70" s="320">
        <f>+'Reversion Pagos R4'!Q358+'Reversion Pagos R4'!R358</f>
        <v>0</v>
      </c>
      <c r="AD70" s="291">
        <f t="shared" si="29"/>
        <v>0</v>
      </c>
      <c r="AE70" s="291">
        <f>'Reversion Pagos R4'!D359</f>
        <v>0</v>
      </c>
      <c r="AF70" s="322">
        <f t="shared" si="30"/>
        <v>0</v>
      </c>
      <c r="AG70" s="523">
        <f t="shared" si="31"/>
        <v>0</v>
      </c>
      <c r="AH70" s="1" t="b">
        <f t="shared" si="24"/>
        <v>1</v>
      </c>
      <c r="AI70" s="306"/>
    </row>
    <row r="71" spans="1:35" s="305" customFormat="1" ht="13.5" thickBot="1" x14ac:dyDescent="0.35">
      <c r="B71" s="327"/>
      <c r="C71" s="328" t="s">
        <v>2</v>
      </c>
      <c r="D71" s="290">
        <f t="shared" ref="D71:O71" si="32">SUM(D66:D70)</f>
        <v>-736030</v>
      </c>
      <c r="E71" s="290">
        <f t="shared" si="32"/>
        <v>-56621.87</v>
      </c>
      <c r="F71" s="290">
        <f t="shared" si="32"/>
        <v>-29964.27</v>
      </c>
      <c r="G71" s="290">
        <f t="shared" si="32"/>
        <v>-16688.439999999999</v>
      </c>
      <c r="H71" s="290">
        <f t="shared" si="32"/>
        <v>-192605.11</v>
      </c>
      <c r="I71" s="290">
        <f t="shared" si="32"/>
        <v>-5220.43</v>
      </c>
      <c r="J71" s="290">
        <f t="shared" si="32"/>
        <v>0</v>
      </c>
      <c r="K71" s="300">
        <f t="shared" si="32"/>
        <v>-434929.88000000006</v>
      </c>
      <c r="L71" s="301">
        <f t="shared" si="32"/>
        <v>0</v>
      </c>
      <c r="M71" s="302">
        <f t="shared" si="32"/>
        <v>-434929.88000000006</v>
      </c>
      <c r="N71" s="301">
        <f t="shared" si="32"/>
        <v>0</v>
      </c>
      <c r="O71" s="302">
        <f t="shared" si="32"/>
        <v>-434929.88000000006</v>
      </c>
      <c r="P71" s="329"/>
      <c r="Q71" s="306"/>
      <c r="S71" s="327"/>
      <c r="T71" s="328" t="s">
        <v>2</v>
      </c>
      <c r="U71" s="330">
        <f>SUM(U66:U70)</f>
        <v>-44096.46</v>
      </c>
      <c r="V71" s="330">
        <f t="shared" ref="V71:AG71" si="33">SUM(V66:V70)</f>
        <v>-55230.35</v>
      </c>
      <c r="W71" s="330">
        <f t="shared" si="33"/>
        <v>-296231.31</v>
      </c>
      <c r="X71" s="330">
        <f t="shared" si="33"/>
        <v>-151197.87</v>
      </c>
      <c r="Y71" s="330">
        <f t="shared" si="33"/>
        <v>-8517.5499999999993</v>
      </c>
      <c r="Z71" s="290">
        <f t="shared" si="33"/>
        <v>0</v>
      </c>
      <c r="AA71" s="290">
        <f>SUM(AA66:AA70)</f>
        <v>5.68</v>
      </c>
      <c r="AB71" s="290">
        <f t="shared" si="33"/>
        <v>0</v>
      </c>
      <c r="AC71" s="290">
        <f t="shared" ref="AC71" si="34">SUM(AC66:AC70)</f>
        <v>0</v>
      </c>
      <c r="AD71" s="290">
        <f>SUM(AD66:AD70)</f>
        <v>120337.98</v>
      </c>
      <c r="AE71" s="290">
        <f>SUM(AE66:AE70)</f>
        <v>120337.98</v>
      </c>
      <c r="AF71" s="331">
        <f t="shared" si="33"/>
        <v>-434929.88</v>
      </c>
      <c r="AG71" s="524">
        <f t="shared" si="33"/>
        <v>5.8207660913467407E-11</v>
      </c>
      <c r="AH71" s="1" t="b">
        <f t="shared" si="24"/>
        <v>1</v>
      </c>
      <c r="AI71" s="306"/>
    </row>
    <row r="72" spans="1:35" ht="12" thickBot="1" x14ac:dyDescent="0.3">
      <c r="B72" s="2"/>
      <c r="C72" s="2"/>
      <c r="D72" s="24"/>
      <c r="E72" s="24"/>
      <c r="F72" s="24"/>
      <c r="G72" s="24"/>
      <c r="H72" s="24"/>
      <c r="I72" s="24"/>
      <c r="K72" s="24"/>
      <c r="L72" s="24"/>
      <c r="M72" s="24"/>
      <c r="N72" s="24"/>
      <c r="O72" s="24"/>
      <c r="Q72" s="4"/>
      <c r="S72" s="2"/>
      <c r="T72" s="2"/>
      <c r="U72" s="24"/>
      <c r="V72" s="24"/>
      <c r="W72" s="24"/>
      <c r="X72" s="24"/>
      <c r="Y72" s="24"/>
      <c r="AF72" s="24"/>
      <c r="AI72" s="4"/>
    </row>
    <row r="73" spans="1:35" ht="12" thickBot="1" x14ac:dyDescent="0.3">
      <c r="B73" s="2"/>
      <c r="C73" s="2"/>
      <c r="D73" s="24" t="s">
        <v>1</v>
      </c>
      <c r="E73" s="24"/>
      <c r="F73" s="24"/>
      <c r="G73" s="24"/>
      <c r="H73" s="24"/>
      <c r="I73" s="24"/>
      <c r="K73" s="24"/>
      <c r="L73" s="24"/>
      <c r="M73" s="24"/>
      <c r="N73" s="24"/>
      <c r="O73" s="24"/>
      <c r="Q73" s="4"/>
      <c r="Y73" s="86">
        <f>SUM(U71:Y71)</f>
        <v>-555273.54</v>
      </c>
      <c r="AA73" s="1" t="s">
        <v>1</v>
      </c>
      <c r="AB73" s="1" t="s">
        <v>1</v>
      </c>
      <c r="AD73" s="1" t="s">
        <v>1</v>
      </c>
      <c r="AF73" s="1" t="s">
        <v>1</v>
      </c>
      <c r="AI73" s="4"/>
    </row>
    <row r="74" spans="1:35" ht="12" thickBot="1" x14ac:dyDescent="0.3">
      <c r="B74" s="2"/>
      <c r="C74" s="2"/>
      <c r="D74" s="24" t="s">
        <v>1</v>
      </c>
      <c r="E74" s="33"/>
      <c r="F74" s="33"/>
      <c r="G74" s="33"/>
      <c r="H74" s="33"/>
      <c r="I74" s="24"/>
      <c r="K74" s="24"/>
      <c r="L74" s="24"/>
      <c r="M74" s="24"/>
      <c r="N74" s="24"/>
      <c r="O74" s="24"/>
      <c r="Q74" s="4"/>
      <c r="AI74" s="4"/>
    </row>
    <row r="75" spans="1:35" x14ac:dyDescent="0.25">
      <c r="B75" s="2"/>
      <c r="C75" s="2"/>
      <c r="D75" s="24" t="s">
        <v>1</v>
      </c>
      <c r="E75" s="24" t="s">
        <v>1</v>
      </c>
      <c r="F75" s="24" t="s">
        <v>25</v>
      </c>
      <c r="G75" s="24"/>
      <c r="H75" s="24"/>
      <c r="I75" s="24"/>
      <c r="K75" s="24"/>
      <c r="L75" s="24"/>
      <c r="M75" s="24"/>
      <c r="N75" s="24"/>
      <c r="O75" s="24"/>
      <c r="Q75" s="4"/>
      <c r="AI75" s="4"/>
    </row>
    <row r="76" spans="1:35" x14ac:dyDescent="0.25">
      <c r="A76" s="4"/>
      <c r="B76" s="34"/>
      <c r="C76" s="34"/>
      <c r="D76" s="35"/>
      <c r="E76" s="35"/>
      <c r="F76" s="35"/>
      <c r="G76" s="35"/>
      <c r="H76" s="35"/>
      <c r="I76" s="35"/>
      <c r="J76" s="4"/>
      <c r="K76" s="35"/>
      <c r="L76" s="35"/>
      <c r="M76" s="35"/>
      <c r="N76" s="35"/>
      <c r="O76" s="35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  <c r="AE76" s="4"/>
      <c r="AF76" s="4"/>
      <c r="AG76" s="4"/>
      <c r="AH76" s="4"/>
      <c r="AI76" s="4"/>
    </row>
    <row r="77" spans="1:35" ht="12" thickBot="1" x14ac:dyDescent="0.3">
      <c r="Q77" s="4"/>
      <c r="AI77" s="4"/>
    </row>
    <row r="78" spans="1:35" x14ac:dyDescent="0.25">
      <c r="B78" s="5"/>
      <c r="C78" s="3" t="s">
        <v>1</v>
      </c>
      <c r="D78" s="6" t="s">
        <v>1</v>
      </c>
      <c r="E78" s="3"/>
      <c r="F78" s="3"/>
      <c r="G78" s="3"/>
      <c r="H78" s="3" t="s">
        <v>1</v>
      </c>
      <c r="I78" s="3"/>
      <c r="J78" s="3"/>
      <c r="K78" s="3"/>
      <c r="L78" s="3"/>
      <c r="M78" s="3"/>
      <c r="N78" s="3"/>
      <c r="O78" s="7"/>
      <c r="P78" s="2"/>
      <c r="Q78" s="4"/>
      <c r="S78" s="5"/>
      <c r="T78" s="3" t="s">
        <v>1</v>
      </c>
      <c r="U78" s="6" t="s">
        <v>1</v>
      </c>
      <c r="V78" s="3"/>
      <c r="W78" s="3"/>
      <c r="X78" s="3" t="s">
        <v>1</v>
      </c>
      <c r="Y78" s="3"/>
      <c r="Z78" s="3"/>
      <c r="AA78" s="3"/>
      <c r="AB78" s="3"/>
      <c r="AC78" s="3"/>
      <c r="AD78" s="3"/>
      <c r="AE78" s="3"/>
      <c r="AF78" s="7"/>
      <c r="AG78" s="2"/>
      <c r="AI78" s="4"/>
    </row>
    <row r="79" spans="1:35" ht="14" x14ac:dyDescent="0.3">
      <c r="B79" s="8"/>
      <c r="F79" s="26" t="s">
        <v>8</v>
      </c>
      <c r="G79" s="26"/>
      <c r="I79" s="26" t="s">
        <v>16</v>
      </c>
      <c r="J79" s="25"/>
      <c r="M79" s="2" t="s">
        <v>15</v>
      </c>
      <c r="N79" s="50">
        <f>N3</f>
        <v>2026072</v>
      </c>
      <c r="O79" s="10"/>
      <c r="P79" s="2"/>
      <c r="Q79" s="4"/>
      <c r="S79" s="8"/>
      <c r="U79" s="26" t="s">
        <v>8</v>
      </c>
      <c r="W79" s="26" t="s">
        <v>16</v>
      </c>
      <c r="X79" s="25"/>
      <c r="Y79" s="2"/>
      <c r="AA79" s="2" t="s">
        <v>15</v>
      </c>
      <c r="AD79" s="84">
        <f>N79</f>
        <v>2026072</v>
      </c>
      <c r="AE79" s="84"/>
      <c r="AF79" s="48"/>
      <c r="AG79" s="2"/>
      <c r="AI79" s="4"/>
    </row>
    <row r="80" spans="1:35" ht="15.5" x14ac:dyDescent="0.35">
      <c r="B80" s="8"/>
      <c r="F80" s="36" t="s">
        <v>29</v>
      </c>
      <c r="G80" s="36"/>
      <c r="O80" s="10"/>
      <c r="P80" s="2"/>
      <c r="Q80" s="4"/>
      <c r="S80" s="8"/>
      <c r="T80" s="26" t="s">
        <v>1</v>
      </c>
      <c r="U80" s="36" t="s">
        <v>29</v>
      </c>
      <c r="Y80" s="2" t="s">
        <v>1</v>
      </c>
      <c r="AA80" s="50" t="s">
        <v>1</v>
      </c>
      <c r="AB80" s="2"/>
      <c r="AC80" s="2"/>
      <c r="AD80" s="2"/>
      <c r="AE80" s="2"/>
      <c r="AF80" s="10" t="s">
        <v>1</v>
      </c>
      <c r="AG80" s="2"/>
      <c r="AI80" s="4"/>
    </row>
    <row r="81" spans="1:35" ht="14" x14ac:dyDescent="0.3">
      <c r="B81" s="8"/>
      <c r="F81" s="2" t="s">
        <v>30</v>
      </c>
      <c r="G81" s="2"/>
      <c r="M81" s="2" t="s">
        <v>1</v>
      </c>
      <c r="O81" s="10"/>
      <c r="P81" s="2"/>
      <c r="Q81" s="4"/>
      <c r="S81" s="8"/>
      <c r="T81" s="49" t="s">
        <v>1</v>
      </c>
      <c r="U81" s="2" t="s">
        <v>30</v>
      </c>
      <c r="AF81" s="44"/>
      <c r="AG81" s="2"/>
      <c r="AI81" s="4"/>
    </row>
    <row r="82" spans="1:35" ht="15.5" x14ac:dyDescent="0.35">
      <c r="B82" s="8"/>
      <c r="C82" s="599" t="s">
        <v>17</v>
      </c>
      <c r="D82" s="9">
        <f>D6</f>
        <v>46238</v>
      </c>
      <c r="F82" s="41" t="s">
        <v>126</v>
      </c>
      <c r="G82" s="41"/>
      <c r="H82" s="2"/>
      <c r="J82" s="2"/>
      <c r="O82" s="10"/>
      <c r="P82" s="2"/>
      <c r="Q82" s="4"/>
      <c r="S82" s="8"/>
      <c r="T82" s="41" t="s">
        <v>1</v>
      </c>
      <c r="U82" s="41" t="s">
        <v>34</v>
      </c>
      <c r="V82" s="2"/>
      <c r="X82" s="2"/>
      <c r="Y82" s="2"/>
      <c r="AF82" s="48"/>
      <c r="AG82" s="2"/>
      <c r="AI82" s="4"/>
    </row>
    <row r="83" spans="1:35" ht="12" thickBot="1" x14ac:dyDescent="0.3">
      <c r="B83" s="8"/>
      <c r="C83" s="599" t="s">
        <v>0</v>
      </c>
      <c r="D83" s="241">
        <f>D7</f>
        <v>0.58333333333333337</v>
      </c>
      <c r="F83" s="2" t="s">
        <v>27</v>
      </c>
      <c r="G83" s="9">
        <f>G7</f>
        <v>46219</v>
      </c>
      <c r="J83" s="2" t="s">
        <v>28</v>
      </c>
      <c r="K83" s="9">
        <f>K7</f>
        <v>46234</v>
      </c>
      <c r="O83" s="10"/>
      <c r="P83" s="2"/>
      <c r="Q83" s="4"/>
      <c r="S83" s="8"/>
      <c r="U83" s="1" t="str">
        <f>F83</f>
        <v>Fecha Desde:</v>
      </c>
      <c r="V83" s="9">
        <f>G83</f>
        <v>46219</v>
      </c>
      <c r="W83" s="1" t="s">
        <v>1</v>
      </c>
      <c r="X83" s="1" t="str">
        <f>J83</f>
        <v>Feha Hasta:</v>
      </c>
      <c r="Y83" s="9">
        <f>K83</f>
        <v>46234</v>
      </c>
      <c r="Z83" s="1" t="s">
        <v>1</v>
      </c>
      <c r="AF83" s="48"/>
      <c r="AG83" s="2"/>
      <c r="AI83" s="4"/>
    </row>
    <row r="84" spans="1:35" ht="72" customHeight="1" thickBot="1" x14ac:dyDescent="0.3">
      <c r="B84" s="11" t="s">
        <v>3</v>
      </c>
      <c r="C84" s="27" t="s">
        <v>9</v>
      </c>
      <c r="D84" s="11" t="s">
        <v>4</v>
      </c>
      <c r="E84" s="12" t="s">
        <v>5</v>
      </c>
      <c r="F84" s="27" t="s">
        <v>6</v>
      </c>
      <c r="G84" s="268" t="s">
        <v>159</v>
      </c>
      <c r="H84" s="27" t="s">
        <v>18</v>
      </c>
      <c r="I84" s="12" t="s">
        <v>24</v>
      </c>
      <c r="J84" s="73" t="s">
        <v>19</v>
      </c>
      <c r="K84" s="29" t="s">
        <v>20</v>
      </c>
      <c r="L84" s="28" t="s">
        <v>21</v>
      </c>
      <c r="M84" s="39" t="s">
        <v>22</v>
      </c>
      <c r="N84" s="12" t="s">
        <v>7</v>
      </c>
      <c r="O84" s="39" t="s">
        <v>23</v>
      </c>
      <c r="P84" s="13"/>
      <c r="Q84" s="4"/>
      <c r="S84" s="11" t="s">
        <v>3</v>
      </c>
      <c r="T84" s="27" t="s">
        <v>9</v>
      </c>
      <c r="U84" s="162" t="s">
        <v>39</v>
      </c>
      <c r="V84" s="163" t="s">
        <v>40</v>
      </c>
      <c r="W84" s="163" t="s">
        <v>41</v>
      </c>
      <c r="X84" s="163" t="s">
        <v>42</v>
      </c>
      <c r="Y84" s="164" t="s">
        <v>43</v>
      </c>
      <c r="Z84" s="85" t="s">
        <v>21</v>
      </c>
      <c r="AA84" s="65" t="s">
        <v>46</v>
      </c>
      <c r="AB84" s="65" t="s">
        <v>7</v>
      </c>
      <c r="AC84" s="85" t="s">
        <v>168</v>
      </c>
      <c r="AD84" s="121" t="s">
        <v>105</v>
      </c>
      <c r="AE84" s="121" t="s">
        <v>104</v>
      </c>
      <c r="AF84" s="39" t="s">
        <v>23</v>
      </c>
      <c r="AG84" s="13"/>
      <c r="AI84" s="4"/>
    </row>
    <row r="85" spans="1:35" s="305" customFormat="1" x14ac:dyDescent="0.25">
      <c r="B85" s="303">
        <v>1</v>
      </c>
      <c r="C85" s="304" t="s">
        <v>10</v>
      </c>
      <c r="D85" s="291">
        <v>0</v>
      </c>
      <c r="E85" s="292">
        <v>0</v>
      </c>
      <c r="F85" s="292">
        <v>0</v>
      </c>
      <c r="G85" s="292">
        <v>0</v>
      </c>
      <c r="H85" s="292">
        <v>0</v>
      </c>
      <c r="I85" s="292">
        <v>0</v>
      </c>
      <c r="J85" s="288">
        <f>'AJUSTES - SF-T'!J47</f>
        <v>0</v>
      </c>
      <c r="K85" s="293">
        <f>D85-E85-F85-G85-H85-I85-J85</f>
        <v>0</v>
      </c>
      <c r="L85" s="294">
        <v>0</v>
      </c>
      <c r="M85" s="293">
        <f>K85-L85</f>
        <v>0</v>
      </c>
      <c r="N85" s="294">
        <v>0</v>
      </c>
      <c r="O85" s="293">
        <f>M85+N85</f>
        <v>0</v>
      </c>
      <c r="Q85" s="306"/>
      <c r="S85" s="303">
        <v>1</v>
      </c>
      <c r="T85" s="304" t="s">
        <v>10</v>
      </c>
      <c r="U85" s="307">
        <v>0</v>
      </c>
      <c r="V85" s="308">
        <v>0</v>
      </c>
      <c r="W85" s="308">
        <v>0</v>
      </c>
      <c r="X85" s="308">
        <v>0</v>
      </c>
      <c r="Y85" s="309">
        <v>0</v>
      </c>
      <c r="Z85" s="310">
        <f>-L85</f>
        <v>0</v>
      </c>
      <c r="AA85" s="311">
        <v>0</v>
      </c>
      <c r="AB85" s="294">
        <f>N85</f>
        <v>0</v>
      </c>
      <c r="AC85" s="311">
        <v>0</v>
      </c>
      <c r="AD85" s="291">
        <f>-J85+AE85</f>
        <v>0</v>
      </c>
      <c r="AE85" s="291">
        <v>0</v>
      </c>
      <c r="AF85" s="313">
        <f>SUM(U85:AD85)</f>
        <v>0</v>
      </c>
      <c r="AG85" s="521">
        <f>AF85-O85</f>
        <v>0</v>
      </c>
      <c r="AH85" s="1" t="b">
        <f t="shared" ref="AH85:AH90" si="35">INT(AG85)=0</f>
        <v>1</v>
      </c>
      <c r="AI85" s="306"/>
    </row>
    <row r="86" spans="1:35" s="305" customFormat="1" x14ac:dyDescent="0.25">
      <c r="B86" s="314">
        <v>2</v>
      </c>
      <c r="C86" s="315" t="s">
        <v>11</v>
      </c>
      <c r="D86" s="291">
        <f>'AJUSTES - SF-T'!D48</f>
        <v>216025.77</v>
      </c>
      <c r="E86" s="292">
        <f>'AJUSTES - SF-T'!E48</f>
        <v>31897.62</v>
      </c>
      <c r="F86" s="292">
        <f>'AJUSTES - SF-T'!F48</f>
        <v>18572.91</v>
      </c>
      <c r="G86" s="292">
        <f>'AJUSTES - SF-T'!G48</f>
        <v>8867.14</v>
      </c>
      <c r="H86" s="292">
        <f>'AJUSTES - SF-T'!H48</f>
        <v>92959.49</v>
      </c>
      <c r="I86" s="292">
        <f>'AJUSTES - SF-T'!I48</f>
        <v>3883.88</v>
      </c>
      <c r="J86" s="288">
        <f>'AJUSTES - SF-T'!J48</f>
        <v>0</v>
      </c>
      <c r="K86" s="295">
        <f t="shared" ref="K86:K89" si="36">D86-E86-F86-G86-H86-I86-J86</f>
        <v>59844.729999999974</v>
      </c>
      <c r="L86" s="294">
        <v>0</v>
      </c>
      <c r="M86" s="295">
        <f>K86-L86</f>
        <v>59844.729999999974</v>
      </c>
      <c r="N86" s="294">
        <f>'AJUSTES - SF-T'!N48</f>
        <v>0</v>
      </c>
      <c r="O86" s="295">
        <f t="shared" ref="O86:O89" si="37">M86+N86</f>
        <v>59844.729999999974</v>
      </c>
      <c r="Q86" s="306"/>
      <c r="S86" s="314">
        <v>2</v>
      </c>
      <c r="T86" s="315" t="s">
        <v>11</v>
      </c>
      <c r="U86" s="316">
        <f>'AJUSTES - SF-T'!U48</f>
        <v>61358.09</v>
      </c>
      <c r="V86" s="317">
        <f>'AJUSTES - SF-T'!V48</f>
        <v>33534.01</v>
      </c>
      <c r="W86" s="317">
        <f>'AJUSTES - SF-T'!W48</f>
        <v>127815.87</v>
      </c>
      <c r="X86" s="317">
        <f>'AJUSTES - SF-T'!X48</f>
        <v>64515.32</v>
      </c>
      <c r="Y86" s="318">
        <f>'AJUSTES - SF-T'!Y48</f>
        <v>5139.92</v>
      </c>
      <c r="Z86" s="319">
        <f>-L86</f>
        <v>0</v>
      </c>
      <c r="AA86" s="320">
        <f>'AJUSTES - SF-T'!AA48</f>
        <v>-0.36</v>
      </c>
      <c r="AB86" s="294">
        <f>N86</f>
        <v>0</v>
      </c>
      <c r="AC86" s="320">
        <v>0</v>
      </c>
      <c r="AD86" s="291">
        <f t="shared" ref="AD86:AD88" si="38">-J86+AE86</f>
        <v>-232518.12</v>
      </c>
      <c r="AE86" s="291">
        <f>'AJUSTES - SF-T'!AD48</f>
        <v>-232518.12</v>
      </c>
      <c r="AF86" s="322">
        <f>SUM(U86:AD86)</f>
        <v>59844.729999999981</v>
      </c>
      <c r="AG86" s="522">
        <f>AF86-O86</f>
        <v>0</v>
      </c>
      <c r="AH86" s="1" t="b">
        <f t="shared" si="35"/>
        <v>1</v>
      </c>
      <c r="AI86" s="306"/>
    </row>
    <row r="87" spans="1:35" s="305" customFormat="1" x14ac:dyDescent="0.25">
      <c r="B87" s="314">
        <v>3</v>
      </c>
      <c r="C87" s="315" t="s">
        <v>12</v>
      </c>
      <c r="D87" s="291">
        <v>0</v>
      </c>
      <c r="E87" s="292">
        <v>0</v>
      </c>
      <c r="F87" s="292">
        <v>0</v>
      </c>
      <c r="G87" s="292">
        <v>0</v>
      </c>
      <c r="H87" s="292">
        <v>0</v>
      </c>
      <c r="I87" s="292">
        <v>0</v>
      </c>
      <c r="J87" s="288">
        <v>0</v>
      </c>
      <c r="K87" s="295">
        <f t="shared" si="36"/>
        <v>0</v>
      </c>
      <c r="L87" s="294">
        <v>0</v>
      </c>
      <c r="M87" s="295">
        <f>K87-L87</f>
        <v>0</v>
      </c>
      <c r="N87" s="294">
        <v>0</v>
      </c>
      <c r="O87" s="295">
        <f t="shared" si="37"/>
        <v>0</v>
      </c>
      <c r="Q87" s="306"/>
      <c r="S87" s="314">
        <v>3</v>
      </c>
      <c r="T87" s="315" t="s">
        <v>12</v>
      </c>
      <c r="U87" s="316">
        <v>0</v>
      </c>
      <c r="V87" s="317">
        <v>0</v>
      </c>
      <c r="W87" s="317">
        <v>0</v>
      </c>
      <c r="X87" s="317">
        <v>0</v>
      </c>
      <c r="Y87" s="318">
        <v>0</v>
      </c>
      <c r="Z87" s="319">
        <v>0</v>
      </c>
      <c r="AA87" s="320">
        <v>0</v>
      </c>
      <c r="AB87" s="294">
        <v>0</v>
      </c>
      <c r="AC87" s="320">
        <v>0</v>
      </c>
      <c r="AD87" s="291">
        <f t="shared" si="38"/>
        <v>0</v>
      </c>
      <c r="AE87" s="291">
        <v>0</v>
      </c>
      <c r="AF87" s="322">
        <f t="shared" ref="AF87:AF89" si="39">SUM(U87:AD87)</f>
        <v>0</v>
      </c>
      <c r="AG87" s="522">
        <f>AF87-O87</f>
        <v>0</v>
      </c>
      <c r="AH87" s="1" t="b">
        <f t="shared" si="35"/>
        <v>1</v>
      </c>
      <c r="AI87" s="306"/>
    </row>
    <row r="88" spans="1:35" s="305" customFormat="1" x14ac:dyDescent="0.25">
      <c r="B88" s="314">
        <v>4</v>
      </c>
      <c r="C88" s="315" t="s">
        <v>13</v>
      </c>
      <c r="D88" s="291">
        <f>'AJUSTES - SF-T'!D50</f>
        <v>35954.44</v>
      </c>
      <c r="E88" s="292">
        <f>'AJUSTES - SF-T'!E50</f>
        <v>1890.6</v>
      </c>
      <c r="F88" s="292">
        <f>'AJUSTES - SF-T'!F50</f>
        <v>1067.43</v>
      </c>
      <c r="G88" s="292">
        <f>'AJUSTES - SF-T'!G50</f>
        <v>560.27</v>
      </c>
      <c r="H88" s="292">
        <f>'AJUSTES - SF-T'!H50</f>
        <v>10800.02</v>
      </c>
      <c r="I88" s="292">
        <f>'AJUSTES - SF-T'!I50</f>
        <v>371.66</v>
      </c>
      <c r="J88" s="288">
        <f>'AJUSTES - SF-T'!J50</f>
        <v>0</v>
      </c>
      <c r="K88" s="295">
        <f t="shared" si="36"/>
        <v>21264.460000000003</v>
      </c>
      <c r="L88" s="294">
        <v>0</v>
      </c>
      <c r="M88" s="295">
        <f>K88-L88</f>
        <v>21264.460000000003</v>
      </c>
      <c r="N88" s="294">
        <f>'AJUSTES - SF-T'!N50</f>
        <v>0</v>
      </c>
      <c r="O88" s="295">
        <f t="shared" si="37"/>
        <v>21264.460000000003</v>
      </c>
      <c r="Q88" s="306"/>
      <c r="S88" s="314">
        <v>4</v>
      </c>
      <c r="T88" s="315" t="s">
        <v>13</v>
      </c>
      <c r="U88" s="316">
        <f>'AJUSTES - SF-T'!U50</f>
        <v>3260.18</v>
      </c>
      <c r="V88" s="317">
        <f>'AJUSTES - SF-T'!V50</f>
        <v>3149.08</v>
      </c>
      <c r="W88" s="317">
        <f>'AJUSTES - SF-T'!W50</f>
        <v>15696.81</v>
      </c>
      <c r="X88" s="317">
        <f>'AJUSTES - SF-T'!X50</f>
        <v>5005.76</v>
      </c>
      <c r="Y88" s="318">
        <f>'AJUSTES - SF-T'!Y50</f>
        <v>606.39</v>
      </c>
      <c r="Z88" s="319">
        <f>-L88</f>
        <v>0</v>
      </c>
      <c r="AA88" s="320">
        <f>'AJUSTES - SF-T'!AA50</f>
        <v>0</v>
      </c>
      <c r="AB88" s="294">
        <f>N88</f>
        <v>0</v>
      </c>
      <c r="AC88" s="320">
        <v>0</v>
      </c>
      <c r="AD88" s="291">
        <f t="shared" si="38"/>
        <v>-6453.76</v>
      </c>
      <c r="AE88" s="291">
        <f>'AJUSTES - SF-T'!AD50</f>
        <v>-6453.76</v>
      </c>
      <c r="AF88" s="322">
        <f t="shared" si="39"/>
        <v>21264.46</v>
      </c>
      <c r="AG88" s="522">
        <f>AF88-O88</f>
        <v>0</v>
      </c>
      <c r="AH88" s="1" t="b">
        <f t="shared" si="35"/>
        <v>1</v>
      </c>
      <c r="AI88" s="306"/>
    </row>
    <row r="89" spans="1:35" s="305" customFormat="1" ht="12" thickBot="1" x14ac:dyDescent="0.3">
      <c r="B89" s="324">
        <v>5</v>
      </c>
      <c r="C89" s="325" t="s">
        <v>14</v>
      </c>
      <c r="D89" s="296">
        <v>0</v>
      </c>
      <c r="E89" s="297">
        <v>0</v>
      </c>
      <c r="F89" s="297">
        <v>0</v>
      </c>
      <c r="G89" s="297">
        <v>0</v>
      </c>
      <c r="H89" s="297">
        <v>0</v>
      </c>
      <c r="I89" s="297">
        <v>0</v>
      </c>
      <c r="J89" s="289">
        <v>0</v>
      </c>
      <c r="K89" s="295">
        <f t="shared" si="36"/>
        <v>0</v>
      </c>
      <c r="L89" s="294">
        <v>0</v>
      </c>
      <c r="M89" s="298">
        <f>K89-L89</f>
        <v>0</v>
      </c>
      <c r="N89" s="299">
        <v>0</v>
      </c>
      <c r="O89" s="298">
        <f t="shared" si="37"/>
        <v>0</v>
      </c>
      <c r="Q89" s="306"/>
      <c r="S89" s="324">
        <v>5</v>
      </c>
      <c r="T89" s="325" t="s">
        <v>14</v>
      </c>
      <c r="U89" s="296">
        <v>0</v>
      </c>
      <c r="V89" s="297">
        <v>0</v>
      </c>
      <c r="W89" s="297">
        <v>0</v>
      </c>
      <c r="X89" s="297">
        <v>0</v>
      </c>
      <c r="Y89" s="289">
        <v>0</v>
      </c>
      <c r="Z89" s="319">
        <v>0</v>
      </c>
      <c r="AA89" s="320">
        <v>0</v>
      </c>
      <c r="AB89" s="294">
        <v>0</v>
      </c>
      <c r="AC89" s="320">
        <v>0</v>
      </c>
      <c r="AD89" s="291">
        <v>0</v>
      </c>
      <c r="AE89" s="291">
        <v>0</v>
      </c>
      <c r="AF89" s="322">
        <f t="shared" si="39"/>
        <v>0</v>
      </c>
      <c r="AG89" s="523">
        <f>AF89-O89</f>
        <v>0</v>
      </c>
      <c r="AH89" s="1" t="b">
        <f t="shared" si="35"/>
        <v>1</v>
      </c>
      <c r="AI89" s="306"/>
    </row>
    <row r="90" spans="1:35" s="305" customFormat="1" ht="13.5" thickBot="1" x14ac:dyDescent="0.35">
      <c r="B90" s="327"/>
      <c r="C90" s="328" t="s">
        <v>2</v>
      </c>
      <c r="D90" s="290">
        <f t="shared" ref="D90:O90" si="40">SUM(D85:D89)</f>
        <v>251980.21</v>
      </c>
      <c r="E90" s="290">
        <f t="shared" si="40"/>
        <v>33788.22</v>
      </c>
      <c r="F90" s="290">
        <f t="shared" si="40"/>
        <v>19640.34</v>
      </c>
      <c r="G90" s="290">
        <f t="shared" si="40"/>
        <v>9427.41</v>
      </c>
      <c r="H90" s="290">
        <f t="shared" si="40"/>
        <v>103759.51000000001</v>
      </c>
      <c r="I90" s="290">
        <f t="shared" si="40"/>
        <v>4255.54</v>
      </c>
      <c r="J90" s="290">
        <f t="shared" si="40"/>
        <v>0</v>
      </c>
      <c r="K90" s="300">
        <f t="shared" si="40"/>
        <v>81109.189999999973</v>
      </c>
      <c r="L90" s="301">
        <f t="shared" si="40"/>
        <v>0</v>
      </c>
      <c r="M90" s="302">
        <f t="shared" si="40"/>
        <v>81109.189999999973</v>
      </c>
      <c r="N90" s="301">
        <f t="shared" si="40"/>
        <v>0</v>
      </c>
      <c r="O90" s="302">
        <f t="shared" si="40"/>
        <v>81109.189999999973</v>
      </c>
      <c r="P90" s="329"/>
      <c r="Q90" s="306"/>
      <c r="S90" s="327"/>
      <c r="T90" s="328" t="s">
        <v>2</v>
      </c>
      <c r="U90" s="330">
        <f>SUM(U85:U89)</f>
        <v>64618.27</v>
      </c>
      <c r="V90" s="330">
        <f t="shared" ref="V90:AG90" si="41">SUM(V85:V89)</f>
        <v>36683.090000000004</v>
      </c>
      <c r="W90" s="330">
        <f t="shared" si="41"/>
        <v>143512.68</v>
      </c>
      <c r="X90" s="330">
        <f t="shared" si="41"/>
        <v>69521.08</v>
      </c>
      <c r="Y90" s="330">
        <f t="shared" si="41"/>
        <v>5746.31</v>
      </c>
      <c r="Z90" s="290">
        <f t="shared" si="41"/>
        <v>0</v>
      </c>
      <c r="AA90" s="290">
        <f t="shared" si="41"/>
        <v>-0.36</v>
      </c>
      <c r="AB90" s="290">
        <f t="shared" si="41"/>
        <v>0</v>
      </c>
      <c r="AC90" s="290">
        <f t="shared" ref="AC90" si="42">SUM(AC85:AC89)</f>
        <v>0</v>
      </c>
      <c r="AD90" s="290">
        <f t="shared" si="41"/>
        <v>-238971.88</v>
      </c>
      <c r="AE90" s="290">
        <f t="shared" si="41"/>
        <v>-238971.88</v>
      </c>
      <c r="AF90" s="331">
        <f t="shared" si="41"/>
        <v>81109.189999999973</v>
      </c>
      <c r="AG90" s="524">
        <f t="shared" si="41"/>
        <v>0</v>
      </c>
      <c r="AH90" s="1" t="b">
        <f t="shared" si="35"/>
        <v>1</v>
      </c>
      <c r="AI90" s="306"/>
    </row>
    <row r="91" spans="1:35" ht="12" thickBot="1" x14ac:dyDescent="0.3">
      <c r="B91" s="2"/>
      <c r="C91" s="2"/>
      <c r="D91" s="24"/>
      <c r="E91" s="24"/>
      <c r="F91" s="24"/>
      <c r="G91" s="24"/>
      <c r="H91" s="24"/>
      <c r="I91" s="24"/>
      <c r="K91" s="24"/>
      <c r="L91" s="24"/>
      <c r="M91" s="24"/>
      <c r="N91" s="24"/>
      <c r="O91" s="24"/>
      <c r="Q91" s="4"/>
      <c r="S91" s="2"/>
      <c r="T91" s="2"/>
      <c r="U91" s="24"/>
      <c r="V91" s="24"/>
      <c r="W91" s="24"/>
      <c r="X91" s="24"/>
      <c r="Y91" s="24"/>
      <c r="AF91" s="24"/>
      <c r="AI91" s="4"/>
    </row>
    <row r="92" spans="1:35" ht="12" thickBot="1" x14ac:dyDescent="0.3">
      <c r="B92" s="2"/>
      <c r="C92" s="2"/>
      <c r="D92" s="24" t="s">
        <v>1</v>
      </c>
      <c r="E92" s="24"/>
      <c r="F92" s="24"/>
      <c r="G92" s="24"/>
      <c r="H92" s="24"/>
      <c r="I92" s="24"/>
      <c r="K92" s="24"/>
      <c r="L92" s="24"/>
      <c r="M92" s="24"/>
      <c r="N92" s="24"/>
      <c r="O92" s="24"/>
      <c r="Q92" s="4"/>
      <c r="Y92" s="86">
        <f>SUM(U90:Y90)</f>
        <v>320081.43</v>
      </c>
      <c r="AA92" s="1" t="s">
        <v>1</v>
      </c>
      <c r="AB92" s="1" t="s">
        <v>1</v>
      </c>
      <c r="AD92" s="1" t="s">
        <v>1</v>
      </c>
      <c r="AF92" s="1" t="s">
        <v>1</v>
      </c>
      <c r="AI92" s="4"/>
    </row>
    <row r="93" spans="1:35" ht="12" thickBot="1" x14ac:dyDescent="0.3">
      <c r="B93" s="2"/>
      <c r="C93" s="2"/>
      <c r="D93" s="24" t="s">
        <v>1</v>
      </c>
      <c r="E93" s="33"/>
      <c r="F93" s="33"/>
      <c r="G93" s="33"/>
      <c r="H93" s="33"/>
      <c r="I93" s="24"/>
      <c r="K93" s="24"/>
      <c r="L93" s="24"/>
      <c r="M93" s="24"/>
      <c r="N93" s="24"/>
      <c r="O93" s="24"/>
      <c r="Q93" s="4"/>
      <c r="AI93" s="4"/>
    </row>
    <row r="94" spans="1:35" x14ac:dyDescent="0.25">
      <c r="B94" s="2"/>
      <c r="C94" s="2"/>
      <c r="D94" s="24" t="s">
        <v>1</v>
      </c>
      <c r="E94" s="24" t="s">
        <v>1</v>
      </c>
      <c r="F94" s="24" t="s">
        <v>25</v>
      </c>
      <c r="G94" s="24"/>
      <c r="H94" s="24"/>
      <c r="I94" s="24"/>
      <c r="K94" s="24"/>
      <c r="L94" s="24"/>
      <c r="M94" s="24"/>
      <c r="N94" s="24"/>
      <c r="O94" s="24"/>
      <c r="Q94" s="4"/>
      <c r="AI94" s="4"/>
    </row>
    <row r="95" spans="1:35" x14ac:dyDescent="0.25">
      <c r="A95" s="4"/>
      <c r="B95" s="34"/>
      <c r="C95" s="34"/>
      <c r="D95" s="35"/>
      <c r="E95" s="35"/>
      <c r="F95" s="35"/>
      <c r="G95" s="35"/>
      <c r="H95" s="35"/>
      <c r="I95" s="35"/>
      <c r="J95" s="4"/>
      <c r="K95" s="35"/>
      <c r="L95" s="35"/>
      <c r="M95" s="35"/>
      <c r="N95" s="35"/>
      <c r="O95" s="35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  <c r="AE95" s="4"/>
      <c r="AF95" s="4"/>
      <c r="AG95" s="4"/>
      <c r="AH95" s="4"/>
      <c r="AI95" s="4"/>
    </row>
    <row r="96" spans="1:35" ht="12" thickBot="1" x14ac:dyDescent="0.3">
      <c r="Q96" s="4"/>
      <c r="AI96" s="4"/>
    </row>
    <row r="97" spans="2:36" x14ac:dyDescent="0.25">
      <c r="B97" s="5"/>
      <c r="C97" s="3" t="s">
        <v>1</v>
      </c>
      <c r="D97" s="6" t="s">
        <v>1</v>
      </c>
      <c r="E97" s="3"/>
      <c r="F97" s="3"/>
      <c r="G97" s="3"/>
      <c r="H97" s="3" t="s">
        <v>1</v>
      </c>
      <c r="I97" s="3"/>
      <c r="J97" s="3"/>
      <c r="K97" s="3"/>
      <c r="L97" s="3"/>
      <c r="M97" s="3"/>
      <c r="N97" s="3"/>
      <c r="O97" s="7"/>
      <c r="P97" s="2"/>
      <c r="Q97" s="4"/>
      <c r="S97" s="5"/>
      <c r="T97" s="3" t="s">
        <v>1</v>
      </c>
      <c r="U97" s="6" t="s">
        <v>1</v>
      </c>
      <c r="V97" s="3"/>
      <c r="W97" s="3"/>
      <c r="X97" s="3" t="s">
        <v>1</v>
      </c>
      <c r="Y97" s="3"/>
      <c r="Z97" s="3"/>
      <c r="AA97" s="3"/>
      <c r="AB97" s="3"/>
      <c r="AC97" s="3"/>
      <c r="AD97" s="3"/>
      <c r="AE97" s="3"/>
      <c r="AF97" s="7"/>
      <c r="AG97" s="2"/>
      <c r="AI97" s="4"/>
    </row>
    <row r="98" spans="2:36" ht="14" x14ac:dyDescent="0.3">
      <c r="B98" s="8"/>
      <c r="F98" s="26" t="s">
        <v>8</v>
      </c>
      <c r="G98" s="26"/>
      <c r="I98" s="26" t="s">
        <v>16</v>
      </c>
      <c r="J98" s="25"/>
      <c r="M98" s="2" t="s">
        <v>15</v>
      </c>
      <c r="N98" s="50">
        <f>N3</f>
        <v>2026072</v>
      </c>
      <c r="O98" s="10"/>
      <c r="P98" s="2"/>
      <c r="Q98" s="4"/>
      <c r="S98" s="8"/>
      <c r="U98" s="26" t="s">
        <v>8</v>
      </c>
      <c r="W98" s="26" t="s">
        <v>16</v>
      </c>
      <c r="X98" s="25"/>
      <c r="Y98" s="2"/>
      <c r="AA98" s="2" t="s">
        <v>15</v>
      </c>
      <c r="AD98" s="84">
        <f>N98</f>
        <v>2026072</v>
      </c>
      <c r="AE98" s="84"/>
      <c r="AF98" s="48"/>
      <c r="AG98" s="2"/>
      <c r="AI98" s="4"/>
    </row>
    <row r="99" spans="2:36" ht="15.5" x14ac:dyDescent="0.35">
      <c r="B99" s="8"/>
      <c r="F99" s="36" t="s">
        <v>29</v>
      </c>
      <c r="G99" s="36"/>
      <c r="O99" s="10"/>
      <c r="P99" s="2"/>
      <c r="Q99" s="4"/>
      <c r="S99" s="8"/>
      <c r="T99" s="26" t="s">
        <v>1</v>
      </c>
      <c r="U99" s="36" t="s">
        <v>29</v>
      </c>
      <c r="Y99" s="2" t="s">
        <v>1</v>
      </c>
      <c r="AA99" s="50" t="s">
        <v>1</v>
      </c>
      <c r="AB99" s="2"/>
      <c r="AC99" s="2"/>
      <c r="AD99" s="2"/>
      <c r="AE99" s="2"/>
      <c r="AF99" s="10" t="s">
        <v>1</v>
      </c>
      <c r="AG99" s="2"/>
      <c r="AI99" s="4"/>
    </row>
    <row r="100" spans="2:36" ht="14" x14ac:dyDescent="0.3">
      <c r="B100" s="8"/>
      <c r="F100" s="2" t="s">
        <v>30</v>
      </c>
      <c r="G100" s="2"/>
      <c r="L100" s="91"/>
      <c r="M100" s="2" t="s">
        <v>1</v>
      </c>
      <c r="O100" s="10"/>
      <c r="P100" s="2"/>
      <c r="Q100" s="4"/>
      <c r="S100" s="8"/>
      <c r="T100" s="49" t="s">
        <v>1</v>
      </c>
      <c r="U100" s="2" t="s">
        <v>30</v>
      </c>
      <c r="AF100" s="44"/>
      <c r="AG100" s="2"/>
      <c r="AI100" s="4"/>
    </row>
    <row r="101" spans="2:36" ht="15.5" x14ac:dyDescent="0.35">
      <c r="B101" s="8"/>
      <c r="C101" s="599" t="s">
        <v>17</v>
      </c>
      <c r="D101" s="9">
        <f>D6</f>
        <v>46238</v>
      </c>
      <c r="F101" s="58" t="s">
        <v>215</v>
      </c>
      <c r="G101" s="58"/>
      <c r="H101" s="59"/>
      <c r="I101" s="60"/>
      <c r="J101" s="59"/>
      <c r="L101" s="91"/>
      <c r="O101" s="10"/>
      <c r="P101" s="2"/>
      <c r="Q101" s="4"/>
      <c r="S101" s="8"/>
      <c r="T101" s="41" t="s">
        <v>1</v>
      </c>
      <c r="U101" s="58" t="s">
        <v>216</v>
      </c>
      <c r="V101" s="59"/>
      <c r="W101" s="60"/>
      <c r="X101" s="59"/>
      <c r="Y101" s="2"/>
      <c r="AF101" s="48"/>
      <c r="AG101" s="2"/>
      <c r="AI101" s="4"/>
    </row>
    <row r="102" spans="2:36" ht="18" thickBot="1" x14ac:dyDescent="0.5">
      <c r="B102" s="8"/>
      <c r="C102" s="599" t="s">
        <v>0</v>
      </c>
      <c r="D102" s="241">
        <f>D7</f>
        <v>0.58333333333333337</v>
      </c>
      <c r="F102" s="2" t="s">
        <v>27</v>
      </c>
      <c r="G102" s="9">
        <f>G7</f>
        <v>46219</v>
      </c>
      <c r="J102" s="2" t="s">
        <v>28</v>
      </c>
      <c r="K102" s="9">
        <f>K7</f>
        <v>46234</v>
      </c>
      <c r="L102" s="92"/>
      <c r="O102" s="10"/>
      <c r="P102" s="2"/>
      <c r="Q102" s="4"/>
      <c r="S102" s="8"/>
      <c r="U102" s="1" t="str">
        <f>F102</f>
        <v>Fecha Desde:</v>
      </c>
      <c r="V102" s="9">
        <f>G102</f>
        <v>46219</v>
      </c>
      <c r="W102" s="1" t="s">
        <v>1</v>
      </c>
      <c r="X102" s="1" t="str">
        <f>J102</f>
        <v>Feha Hasta:</v>
      </c>
      <c r="Y102" s="9">
        <f>K102</f>
        <v>46234</v>
      </c>
      <c r="Z102" s="1" t="s">
        <v>1</v>
      </c>
      <c r="AF102" s="48"/>
      <c r="AG102" s="2"/>
      <c r="AI102" s="4"/>
      <c r="AJ102" s="112" t="s">
        <v>1</v>
      </c>
    </row>
    <row r="103" spans="2:36" ht="72" customHeight="1" thickBot="1" x14ac:dyDescent="0.3">
      <c r="B103" s="11" t="s">
        <v>3</v>
      </c>
      <c r="C103" s="27" t="s">
        <v>9</v>
      </c>
      <c r="D103" s="11" t="s">
        <v>4</v>
      </c>
      <c r="E103" s="12" t="s">
        <v>5</v>
      </c>
      <c r="F103" s="27" t="s">
        <v>6</v>
      </c>
      <c r="G103" s="268" t="s">
        <v>159</v>
      </c>
      <c r="H103" s="27" t="s">
        <v>18</v>
      </c>
      <c r="I103" s="12" t="s">
        <v>24</v>
      </c>
      <c r="J103" s="73" t="s">
        <v>19</v>
      </c>
      <c r="K103" s="29" t="s">
        <v>20</v>
      </c>
      <c r="L103" s="28" t="s">
        <v>21</v>
      </c>
      <c r="M103" s="39" t="s">
        <v>22</v>
      </c>
      <c r="N103" s="12" t="s">
        <v>7</v>
      </c>
      <c r="O103" s="39" t="s">
        <v>23</v>
      </c>
      <c r="P103" s="13"/>
      <c r="Q103" s="4"/>
      <c r="S103" s="11" t="s">
        <v>3</v>
      </c>
      <c r="T103" s="27" t="s">
        <v>9</v>
      </c>
      <c r="U103" s="162" t="s">
        <v>39</v>
      </c>
      <c r="V103" s="163" t="s">
        <v>40</v>
      </c>
      <c r="W103" s="163" t="s">
        <v>41</v>
      </c>
      <c r="X103" s="163" t="s">
        <v>42</v>
      </c>
      <c r="Y103" s="164" t="s">
        <v>43</v>
      </c>
      <c r="Z103" s="85" t="s">
        <v>21</v>
      </c>
      <c r="AA103" s="65" t="s">
        <v>46</v>
      </c>
      <c r="AB103" s="65" t="s">
        <v>7</v>
      </c>
      <c r="AC103" s="85" t="s">
        <v>168</v>
      </c>
      <c r="AD103" s="121" t="s">
        <v>105</v>
      </c>
      <c r="AE103" s="121" t="s">
        <v>104</v>
      </c>
      <c r="AF103" s="39" t="s">
        <v>23</v>
      </c>
      <c r="AG103" s="13"/>
      <c r="AI103" s="4"/>
    </row>
    <row r="104" spans="2:36" s="305" customFormat="1" x14ac:dyDescent="0.25">
      <c r="B104" s="303">
        <v>1</v>
      </c>
      <c r="C104" s="304" t="s">
        <v>10</v>
      </c>
      <c r="D104" s="291">
        <f t="shared" ref="D104:J108" si="43">D9+D28+D47+D66+D85</f>
        <v>0</v>
      </c>
      <c r="E104" s="292">
        <f t="shared" si="43"/>
        <v>0</v>
      </c>
      <c r="F104" s="292">
        <f t="shared" si="43"/>
        <v>0</v>
      </c>
      <c r="G104" s="292">
        <f t="shared" si="43"/>
        <v>0</v>
      </c>
      <c r="H104" s="292">
        <f t="shared" si="43"/>
        <v>0</v>
      </c>
      <c r="I104" s="292">
        <f t="shared" si="43"/>
        <v>0</v>
      </c>
      <c r="J104" s="288">
        <f t="shared" si="43"/>
        <v>0</v>
      </c>
      <c r="K104" s="293">
        <f>D104-E104-F104-G104-H104-I104-J104</f>
        <v>0</v>
      </c>
      <c r="L104" s="294">
        <f>L9+L28+L47+L66+L85</f>
        <v>0</v>
      </c>
      <c r="M104" s="293">
        <f>K104-L104</f>
        <v>0</v>
      </c>
      <c r="N104" s="294">
        <f>N9+N28+N47+N66+N85</f>
        <v>0</v>
      </c>
      <c r="O104" s="293">
        <f>M104+N104</f>
        <v>0</v>
      </c>
      <c r="Q104" s="306"/>
      <c r="S104" s="303">
        <v>1</v>
      </c>
      <c r="T104" s="304" t="s">
        <v>10</v>
      </c>
      <c r="U104" s="307">
        <f t="shared" ref="U104:AC108" si="44">U9+U28+U47+U66+U85</f>
        <v>0</v>
      </c>
      <c r="V104" s="308">
        <f t="shared" si="44"/>
        <v>0</v>
      </c>
      <c r="W104" s="308">
        <f t="shared" si="44"/>
        <v>0</v>
      </c>
      <c r="X104" s="308">
        <f t="shared" si="44"/>
        <v>0</v>
      </c>
      <c r="Y104" s="309">
        <f t="shared" si="44"/>
        <v>0</v>
      </c>
      <c r="Z104" s="310">
        <f t="shared" si="44"/>
        <v>0</v>
      </c>
      <c r="AA104" s="311">
        <f t="shared" si="44"/>
        <v>0</v>
      </c>
      <c r="AB104" s="294">
        <f t="shared" si="44"/>
        <v>0</v>
      </c>
      <c r="AC104" s="311">
        <f t="shared" si="44"/>
        <v>0</v>
      </c>
      <c r="AD104" s="291">
        <f>-J104+AE104</f>
        <v>0</v>
      </c>
      <c r="AE104" s="291">
        <f>AE9+AE28+AE47+AE66+AE85</f>
        <v>0</v>
      </c>
      <c r="AF104" s="313">
        <f>SUM(U104:AD104)</f>
        <v>0</v>
      </c>
      <c r="AG104" s="521">
        <f>AF104-O104</f>
        <v>0</v>
      </c>
      <c r="AH104" s="1" t="b">
        <f t="shared" ref="AH104:AH109" si="45">INT(AG104)=0</f>
        <v>1</v>
      </c>
      <c r="AI104" s="306"/>
    </row>
    <row r="105" spans="2:36" s="305" customFormat="1" x14ac:dyDescent="0.25">
      <c r="B105" s="314">
        <v>2</v>
      </c>
      <c r="C105" s="315" t="s">
        <v>11</v>
      </c>
      <c r="D105" s="291">
        <f t="shared" si="43"/>
        <v>47041595.059999995</v>
      </c>
      <c r="E105" s="292">
        <f t="shared" si="43"/>
        <v>4095120.52</v>
      </c>
      <c r="F105" s="292">
        <f t="shared" si="43"/>
        <v>2274787</v>
      </c>
      <c r="G105" s="292">
        <f t="shared" si="43"/>
        <v>1028626.41</v>
      </c>
      <c r="H105" s="292">
        <f t="shared" si="43"/>
        <v>18268033.049999997</v>
      </c>
      <c r="I105" s="292">
        <f t="shared" si="43"/>
        <v>535415.67000000004</v>
      </c>
      <c r="J105" s="288">
        <f t="shared" si="43"/>
        <v>0</v>
      </c>
      <c r="K105" s="295">
        <f t="shared" ref="K105:K108" si="46">D105-E105-F105-G105-H105-I105-J105</f>
        <v>20839612.409999996</v>
      </c>
      <c r="L105" s="294">
        <f>L10+L29+L48+L67+L86</f>
        <v>0</v>
      </c>
      <c r="M105" s="295">
        <f>K105-L105</f>
        <v>20839612.409999996</v>
      </c>
      <c r="N105" s="294">
        <f>N10+N29+N48+N67+N86</f>
        <v>0</v>
      </c>
      <c r="O105" s="295">
        <f t="shared" ref="O105:O108" si="47">M105+N105</f>
        <v>20839612.409999996</v>
      </c>
      <c r="Q105" s="306"/>
      <c r="S105" s="314">
        <v>2</v>
      </c>
      <c r="T105" s="315" t="s">
        <v>11</v>
      </c>
      <c r="U105" s="316">
        <f t="shared" si="44"/>
        <v>4831656.13</v>
      </c>
      <c r="V105" s="317">
        <f t="shared" si="44"/>
        <v>5407389.7400000002</v>
      </c>
      <c r="W105" s="317">
        <f t="shared" si="44"/>
        <v>20054944.010000002</v>
      </c>
      <c r="X105" s="317">
        <f t="shared" si="44"/>
        <v>11013548.23</v>
      </c>
      <c r="Y105" s="318">
        <f t="shared" si="44"/>
        <v>712165.05</v>
      </c>
      <c r="Z105" s="319">
        <f t="shared" si="44"/>
        <v>0</v>
      </c>
      <c r="AA105" s="320">
        <f t="shared" si="44"/>
        <v>42.75</v>
      </c>
      <c r="AB105" s="294">
        <f t="shared" si="44"/>
        <v>0</v>
      </c>
      <c r="AC105" s="320">
        <f t="shared" si="44"/>
        <v>-7.0000000000000007E-2</v>
      </c>
      <c r="AD105" s="291">
        <f t="shared" ref="AD105:AD107" si="48">-J105+AE105</f>
        <v>-21180133.430000003</v>
      </c>
      <c r="AE105" s="291">
        <f>AE10+AE29+AE48+AE67+AE86</f>
        <v>-21180133.430000003</v>
      </c>
      <c r="AF105" s="322">
        <f>SUM(U105:AD105)</f>
        <v>20839612.409999993</v>
      </c>
      <c r="AG105" s="522">
        <f>AF105-O105</f>
        <v>0</v>
      </c>
      <c r="AH105" s="1" t="b">
        <f t="shared" si="45"/>
        <v>1</v>
      </c>
      <c r="AI105" s="306"/>
    </row>
    <row r="106" spans="2:36" s="305" customFormat="1" x14ac:dyDescent="0.25">
      <c r="B106" s="314">
        <v>3</v>
      </c>
      <c r="C106" s="315" t="s">
        <v>12</v>
      </c>
      <c r="D106" s="291">
        <f t="shared" si="43"/>
        <v>0</v>
      </c>
      <c r="E106" s="292">
        <f t="shared" si="43"/>
        <v>0</v>
      </c>
      <c r="F106" s="292">
        <f t="shared" si="43"/>
        <v>0</v>
      </c>
      <c r="G106" s="292">
        <f t="shared" si="43"/>
        <v>0</v>
      </c>
      <c r="H106" s="292">
        <f t="shared" si="43"/>
        <v>0</v>
      </c>
      <c r="I106" s="292">
        <f t="shared" si="43"/>
        <v>0</v>
      </c>
      <c r="J106" s="288">
        <f t="shared" si="43"/>
        <v>0</v>
      </c>
      <c r="K106" s="295">
        <f t="shared" si="46"/>
        <v>0</v>
      </c>
      <c r="L106" s="294">
        <f>L11+L30+L49+L68+L87</f>
        <v>0</v>
      </c>
      <c r="M106" s="295">
        <f>K106-L106</f>
        <v>0</v>
      </c>
      <c r="N106" s="294">
        <f>N11+N30+N49+N68+N87</f>
        <v>0</v>
      </c>
      <c r="O106" s="295">
        <f t="shared" si="47"/>
        <v>0</v>
      </c>
      <c r="Q106" s="306"/>
      <c r="S106" s="314">
        <v>3</v>
      </c>
      <c r="T106" s="315" t="s">
        <v>12</v>
      </c>
      <c r="U106" s="316">
        <f t="shared" si="44"/>
        <v>0</v>
      </c>
      <c r="V106" s="317">
        <f t="shared" si="44"/>
        <v>0</v>
      </c>
      <c r="W106" s="317">
        <f t="shared" si="44"/>
        <v>0</v>
      </c>
      <c r="X106" s="317">
        <f t="shared" si="44"/>
        <v>0</v>
      </c>
      <c r="Y106" s="318">
        <f t="shared" si="44"/>
        <v>0</v>
      </c>
      <c r="Z106" s="319">
        <f t="shared" si="44"/>
        <v>0</v>
      </c>
      <c r="AA106" s="320">
        <f t="shared" si="44"/>
        <v>0</v>
      </c>
      <c r="AB106" s="294">
        <f t="shared" si="44"/>
        <v>0</v>
      </c>
      <c r="AC106" s="320">
        <f t="shared" si="44"/>
        <v>0</v>
      </c>
      <c r="AD106" s="291">
        <f t="shared" si="48"/>
        <v>0</v>
      </c>
      <c r="AE106" s="291">
        <f>AE11+AE30+AE49+AE68+AE87</f>
        <v>0</v>
      </c>
      <c r="AF106" s="322">
        <f>SUM(U106:AD106)</f>
        <v>0</v>
      </c>
      <c r="AG106" s="522">
        <f>AF106-O106</f>
        <v>0</v>
      </c>
      <c r="AH106" s="1" t="b">
        <f t="shared" si="45"/>
        <v>1</v>
      </c>
      <c r="AI106" s="306"/>
    </row>
    <row r="107" spans="2:36" s="305" customFormat="1" x14ac:dyDescent="0.25">
      <c r="B107" s="314">
        <v>4</v>
      </c>
      <c r="C107" s="315" t="s">
        <v>13</v>
      </c>
      <c r="D107" s="291">
        <f t="shared" si="43"/>
        <v>71467043.25999999</v>
      </c>
      <c r="E107" s="292">
        <f t="shared" si="43"/>
        <v>9337119.6800000016</v>
      </c>
      <c r="F107" s="292">
        <f t="shared" si="43"/>
        <v>5227614.95</v>
      </c>
      <c r="G107" s="292">
        <f t="shared" si="43"/>
        <v>1095011.2200000002</v>
      </c>
      <c r="H107" s="292">
        <f t="shared" si="43"/>
        <v>8931941.6099999994</v>
      </c>
      <c r="I107" s="292">
        <f t="shared" si="43"/>
        <v>265264.06</v>
      </c>
      <c r="J107" s="288">
        <f t="shared" si="43"/>
        <v>0</v>
      </c>
      <c r="K107" s="295">
        <f t="shared" si="46"/>
        <v>46610091.739999987</v>
      </c>
      <c r="L107" s="294">
        <f>L12+L31+L50+L69+L88</f>
        <v>0</v>
      </c>
      <c r="M107" s="295">
        <f>K107-L107</f>
        <v>46610091.739999987</v>
      </c>
      <c r="N107" s="294">
        <f>N12+N31+N50+N69+N88</f>
        <v>0</v>
      </c>
      <c r="O107" s="295">
        <f t="shared" si="47"/>
        <v>46610091.739999987</v>
      </c>
      <c r="Q107" s="306"/>
      <c r="S107" s="314">
        <v>4</v>
      </c>
      <c r="T107" s="315" t="s">
        <v>13</v>
      </c>
      <c r="U107" s="316">
        <f t="shared" si="44"/>
        <v>2506113.27</v>
      </c>
      <c r="V107" s="317">
        <f t="shared" si="44"/>
        <v>2730225.84</v>
      </c>
      <c r="W107" s="317">
        <f t="shared" si="44"/>
        <v>12255014.02</v>
      </c>
      <c r="X107" s="317">
        <f t="shared" si="44"/>
        <v>25300845.309999999</v>
      </c>
      <c r="Y107" s="318">
        <f t="shared" si="44"/>
        <v>393638.25</v>
      </c>
      <c r="Z107" s="319">
        <f t="shared" si="44"/>
        <v>0</v>
      </c>
      <c r="AA107" s="320">
        <f t="shared" si="44"/>
        <v>52.11</v>
      </c>
      <c r="AB107" s="294">
        <f t="shared" si="44"/>
        <v>0</v>
      </c>
      <c r="AC107" s="320">
        <f t="shared" si="44"/>
        <v>0</v>
      </c>
      <c r="AD107" s="291">
        <f t="shared" si="48"/>
        <v>3424202.94</v>
      </c>
      <c r="AE107" s="291">
        <f>AE12+AE31+AE50+AE69+AE88</f>
        <v>3424202.94</v>
      </c>
      <c r="AF107" s="322">
        <f>SUM(U107:AD107)</f>
        <v>46610091.739999995</v>
      </c>
      <c r="AG107" s="522">
        <f>AF107-O107</f>
        <v>0</v>
      </c>
      <c r="AH107" s="1" t="b">
        <f t="shared" si="45"/>
        <v>1</v>
      </c>
      <c r="AI107" s="306"/>
    </row>
    <row r="108" spans="2:36" s="305" customFormat="1" ht="12" thickBot="1" x14ac:dyDescent="0.3">
      <c r="B108" s="324">
        <v>5</v>
      </c>
      <c r="C108" s="325" t="s">
        <v>14</v>
      </c>
      <c r="D108" s="296">
        <f>D13+D32+D51+D70+D89</f>
        <v>0</v>
      </c>
      <c r="E108" s="297">
        <f t="shared" si="43"/>
        <v>0</v>
      </c>
      <c r="F108" s="297">
        <f t="shared" si="43"/>
        <v>0</v>
      </c>
      <c r="G108" s="297">
        <f t="shared" si="43"/>
        <v>0</v>
      </c>
      <c r="H108" s="297">
        <f t="shared" si="43"/>
        <v>0</v>
      </c>
      <c r="I108" s="297">
        <f t="shared" si="43"/>
        <v>0</v>
      </c>
      <c r="J108" s="289">
        <f t="shared" si="43"/>
        <v>0</v>
      </c>
      <c r="K108" s="295">
        <f t="shared" si="46"/>
        <v>0</v>
      </c>
      <c r="L108" s="294">
        <f>L13+L32+L51+L70+L89</f>
        <v>0</v>
      </c>
      <c r="M108" s="298">
        <f>K108-L108</f>
        <v>0</v>
      </c>
      <c r="N108" s="299">
        <f>N13+N32+N51+N70+N89</f>
        <v>0</v>
      </c>
      <c r="O108" s="298">
        <f t="shared" si="47"/>
        <v>0</v>
      </c>
      <c r="Q108" s="306"/>
      <c r="S108" s="324">
        <v>5</v>
      </c>
      <c r="T108" s="325" t="s">
        <v>14</v>
      </c>
      <c r="U108" s="296">
        <f t="shared" si="44"/>
        <v>0</v>
      </c>
      <c r="V108" s="297">
        <f t="shared" si="44"/>
        <v>0</v>
      </c>
      <c r="W108" s="297">
        <f t="shared" si="44"/>
        <v>0</v>
      </c>
      <c r="X108" s="297">
        <f t="shared" si="44"/>
        <v>0</v>
      </c>
      <c r="Y108" s="289">
        <f t="shared" si="44"/>
        <v>0</v>
      </c>
      <c r="Z108" s="319">
        <f t="shared" si="44"/>
        <v>0</v>
      </c>
      <c r="AA108" s="320">
        <f t="shared" si="44"/>
        <v>0</v>
      </c>
      <c r="AB108" s="294">
        <f t="shared" si="44"/>
        <v>0</v>
      </c>
      <c r="AC108" s="320">
        <f t="shared" si="44"/>
        <v>0</v>
      </c>
      <c r="AD108" s="291">
        <f>-J108+AE108</f>
        <v>0</v>
      </c>
      <c r="AE108" s="291">
        <f>AE13+AE32+AE51+AE70+AE89</f>
        <v>0</v>
      </c>
      <c r="AF108" s="322">
        <f>SUM(U108:AD108)</f>
        <v>0</v>
      </c>
      <c r="AG108" s="523">
        <f>AF108-O108</f>
        <v>0</v>
      </c>
      <c r="AH108" s="1" t="b">
        <f t="shared" si="45"/>
        <v>1</v>
      </c>
      <c r="AI108" s="306"/>
    </row>
    <row r="109" spans="2:36" s="305" customFormat="1" ht="13.5" thickBot="1" x14ac:dyDescent="0.35">
      <c r="B109" s="327"/>
      <c r="C109" s="328" t="s">
        <v>2</v>
      </c>
      <c r="D109" s="290">
        <f t="shared" ref="D109:O109" si="49">SUM(D104:D108)</f>
        <v>118508638.31999999</v>
      </c>
      <c r="E109" s="290">
        <f t="shared" si="49"/>
        <v>13432240.200000001</v>
      </c>
      <c r="F109" s="290">
        <f t="shared" si="49"/>
        <v>7502401.9500000002</v>
      </c>
      <c r="G109" s="290">
        <f t="shared" si="49"/>
        <v>2123637.6300000004</v>
      </c>
      <c r="H109" s="290">
        <f t="shared" si="49"/>
        <v>27199974.659999996</v>
      </c>
      <c r="I109" s="290">
        <f t="shared" si="49"/>
        <v>800679.73</v>
      </c>
      <c r="J109" s="290">
        <f t="shared" si="49"/>
        <v>0</v>
      </c>
      <c r="K109" s="300">
        <f t="shared" si="49"/>
        <v>67449704.149999976</v>
      </c>
      <c r="L109" s="301">
        <f t="shared" si="49"/>
        <v>0</v>
      </c>
      <c r="M109" s="302">
        <f t="shared" si="49"/>
        <v>67449704.149999976</v>
      </c>
      <c r="N109" s="301">
        <f t="shared" si="49"/>
        <v>0</v>
      </c>
      <c r="O109" s="302">
        <f t="shared" si="49"/>
        <v>67449704.149999976</v>
      </c>
      <c r="P109" s="329"/>
      <c r="Q109" s="306"/>
      <c r="S109" s="327"/>
      <c r="T109" s="328" t="s">
        <v>2</v>
      </c>
      <c r="U109" s="330">
        <f>SUM(U104:U108)</f>
        <v>7337769.4000000004</v>
      </c>
      <c r="V109" s="330">
        <f t="shared" ref="V109:AF109" si="50">SUM(V104:V108)</f>
        <v>8137615.5800000001</v>
      </c>
      <c r="W109" s="330">
        <f t="shared" si="50"/>
        <v>32309958.030000001</v>
      </c>
      <c r="X109" s="330">
        <f t="shared" si="50"/>
        <v>36314393.539999999</v>
      </c>
      <c r="Y109" s="330">
        <f t="shared" si="50"/>
        <v>1105803.3</v>
      </c>
      <c r="Z109" s="290">
        <f t="shared" si="50"/>
        <v>0</v>
      </c>
      <c r="AA109" s="290">
        <f t="shared" si="50"/>
        <v>94.86</v>
      </c>
      <c r="AB109" s="290">
        <f t="shared" si="50"/>
        <v>0</v>
      </c>
      <c r="AC109" s="290">
        <f t="shared" si="50"/>
        <v>-7.0000000000000007E-2</v>
      </c>
      <c r="AD109" s="290">
        <f t="shared" si="50"/>
        <v>-17755930.490000002</v>
      </c>
      <c r="AE109" s="290">
        <f>SUM(AE104:AE108)</f>
        <v>-17755930.490000002</v>
      </c>
      <c r="AF109" s="331">
        <f t="shared" si="50"/>
        <v>67449704.149999991</v>
      </c>
      <c r="AG109" s="524">
        <f>SUM(AG104:AG108)</f>
        <v>0</v>
      </c>
      <c r="AH109" s="1" t="b">
        <f t="shared" si="45"/>
        <v>1</v>
      </c>
      <c r="AI109" s="306"/>
    </row>
    <row r="110" spans="2:36" ht="12" thickBot="1" x14ac:dyDescent="0.3">
      <c r="B110" s="2"/>
      <c r="C110" s="2"/>
      <c r="D110" s="165"/>
      <c r="E110" s="24"/>
      <c r="F110" s="24"/>
      <c r="G110" s="24"/>
      <c r="H110" s="24"/>
      <c r="I110" s="24"/>
      <c r="J110" s="165"/>
      <c r="K110" s="24"/>
      <c r="L110" s="24"/>
      <c r="M110" s="24"/>
      <c r="N110" s="24"/>
      <c r="O110" s="24"/>
      <c r="Q110" s="4"/>
      <c r="S110" s="2"/>
      <c r="T110" s="2"/>
      <c r="U110" s="24"/>
      <c r="V110" s="24"/>
      <c r="W110" s="24"/>
      <c r="X110" s="24"/>
      <c r="Y110" s="24"/>
      <c r="AF110" s="24"/>
      <c r="AI110" s="4"/>
    </row>
    <row r="111" spans="2:36" ht="12" thickBot="1" x14ac:dyDescent="0.3">
      <c r="B111" s="2"/>
      <c r="C111" s="2"/>
      <c r="D111" s="24"/>
      <c r="E111" s="24"/>
      <c r="F111" s="24"/>
      <c r="G111" s="24"/>
      <c r="H111" s="24"/>
      <c r="I111" s="24"/>
      <c r="J111" s="24"/>
      <c r="K111" s="24"/>
      <c r="L111" s="24"/>
      <c r="M111" s="24"/>
      <c r="N111" s="24"/>
      <c r="O111" s="24"/>
      <c r="Q111" s="4"/>
      <c r="Y111" s="86">
        <f>SUM(U109:Y109)</f>
        <v>85205539.850000009</v>
      </c>
      <c r="AA111" s="1" t="s">
        <v>1</v>
      </c>
      <c r="AB111" s="1" t="s">
        <v>1</v>
      </c>
      <c r="AC111" s="55"/>
      <c r="AD111" s="1" t="s">
        <v>1</v>
      </c>
      <c r="AF111" s="1" t="s">
        <v>1</v>
      </c>
      <c r="AI111" s="4"/>
    </row>
    <row r="112" spans="2:36" ht="12" thickBot="1" x14ac:dyDescent="0.3">
      <c r="B112" s="2"/>
      <c r="C112" s="2"/>
      <c r="D112" s="24" t="s">
        <v>1</v>
      </c>
      <c r="E112" s="33"/>
      <c r="F112" s="33"/>
      <c r="G112" s="33"/>
      <c r="H112" s="33"/>
      <c r="I112" s="24"/>
      <c r="K112" s="24"/>
      <c r="L112" s="24"/>
      <c r="M112" s="24"/>
      <c r="N112" s="24"/>
      <c r="O112" s="24"/>
      <c r="Q112" s="4"/>
      <c r="U112" s="33"/>
      <c r="V112" s="33"/>
      <c r="W112" s="33"/>
      <c r="X112" s="33"/>
      <c r="AC112" s="55"/>
      <c r="AI112" s="4"/>
    </row>
    <row r="113" spans="1:35" x14ac:dyDescent="0.25">
      <c r="B113" s="2"/>
      <c r="C113" s="2"/>
      <c r="D113" s="24" t="s">
        <v>1</v>
      </c>
      <c r="E113" s="24" t="s">
        <v>1</v>
      </c>
      <c r="F113" s="24" t="s">
        <v>25</v>
      </c>
      <c r="G113" s="24"/>
      <c r="H113" s="24"/>
      <c r="I113" s="24"/>
      <c r="K113" s="24"/>
      <c r="L113" s="24"/>
      <c r="M113" s="24"/>
      <c r="N113" s="24"/>
      <c r="O113" s="24"/>
      <c r="Q113" s="4"/>
      <c r="U113" s="24" t="s">
        <v>1</v>
      </c>
      <c r="V113" s="24" t="s">
        <v>25</v>
      </c>
      <c r="W113" s="24"/>
      <c r="X113" s="24"/>
      <c r="AI113" s="4"/>
    </row>
    <row r="114" spans="1:35" x14ac:dyDescent="0.25">
      <c r="A114" s="52"/>
      <c r="B114" s="53"/>
      <c r="C114" s="53"/>
      <c r="D114" s="54"/>
      <c r="E114" s="54"/>
      <c r="F114" s="54"/>
      <c r="G114" s="54"/>
      <c r="H114" s="54"/>
      <c r="I114" s="54"/>
      <c r="J114" s="52"/>
      <c r="K114" s="54"/>
      <c r="L114" s="54"/>
      <c r="M114" s="54"/>
      <c r="N114" s="54"/>
      <c r="O114" s="54"/>
      <c r="P114" s="52"/>
      <c r="Q114" s="52"/>
      <c r="R114" s="52"/>
      <c r="S114" s="52"/>
      <c r="T114" s="52"/>
      <c r="U114" s="52"/>
      <c r="V114" s="52"/>
      <c r="W114" s="52"/>
      <c r="X114" s="52"/>
      <c r="Y114" s="52"/>
      <c r="Z114" s="52"/>
      <c r="AA114" s="52"/>
      <c r="AB114" s="52"/>
      <c r="AC114" s="52"/>
      <c r="AD114" s="52"/>
      <c r="AE114" s="52"/>
      <c r="AF114" s="52"/>
      <c r="AG114" s="52"/>
      <c r="AH114" s="52"/>
      <c r="AI114" s="52"/>
    </row>
    <row r="115" spans="1:35" ht="12" thickBot="1" x14ac:dyDescent="0.3">
      <c r="Q115" s="4"/>
    </row>
    <row r="116" spans="1:35" x14ac:dyDescent="0.25">
      <c r="B116" s="5"/>
      <c r="C116" s="3" t="s">
        <v>1</v>
      </c>
      <c r="D116" s="6" t="s">
        <v>1</v>
      </c>
      <c r="E116" s="3"/>
      <c r="F116" s="3"/>
      <c r="G116" s="3"/>
      <c r="H116" s="3" t="s">
        <v>1</v>
      </c>
      <c r="I116" s="3"/>
      <c r="J116" s="3"/>
      <c r="K116" s="3"/>
      <c r="L116" s="3"/>
      <c r="M116" s="3"/>
      <c r="N116" s="3"/>
      <c r="O116" s="7"/>
      <c r="P116" s="2"/>
      <c r="Q116" s="35"/>
    </row>
    <row r="117" spans="1:35" ht="14" x14ac:dyDescent="0.3">
      <c r="B117" s="8"/>
      <c r="C117" s="2"/>
      <c r="D117" s="9"/>
      <c r="F117" s="26" t="s">
        <v>8</v>
      </c>
      <c r="G117" s="26"/>
      <c r="I117" s="26" t="s">
        <v>16</v>
      </c>
      <c r="J117" s="25"/>
      <c r="L117" s="2" t="s">
        <v>15</v>
      </c>
      <c r="M117" s="50">
        <f>N3</f>
        <v>2026072</v>
      </c>
      <c r="O117" s="10"/>
      <c r="P117" s="2"/>
      <c r="Q117" s="4"/>
    </row>
    <row r="118" spans="1:35" ht="15.5" x14ac:dyDescent="0.35">
      <c r="B118" s="8"/>
      <c r="C118" s="2"/>
      <c r="D118" s="57"/>
      <c r="F118" s="36" t="s">
        <v>29</v>
      </c>
      <c r="G118" s="36"/>
      <c r="O118" s="10"/>
      <c r="P118" s="2"/>
      <c r="Q118" s="4"/>
    </row>
    <row r="119" spans="1:35" x14ac:dyDescent="0.25">
      <c r="B119" s="8"/>
      <c r="F119" s="2" t="s">
        <v>30</v>
      </c>
      <c r="G119" s="2"/>
      <c r="M119" s="2" t="s">
        <v>1</v>
      </c>
      <c r="O119" s="10"/>
      <c r="P119" s="2"/>
      <c r="Q119" s="4"/>
    </row>
    <row r="120" spans="1:35" x14ac:dyDescent="0.25">
      <c r="B120" s="8"/>
      <c r="I120" s="2"/>
      <c r="J120" s="2"/>
      <c r="O120" s="10"/>
      <c r="P120" s="2"/>
      <c r="Q120" s="4"/>
    </row>
    <row r="121" spans="1:35" ht="15.5" x14ac:dyDescent="0.35">
      <c r="B121" s="8"/>
      <c r="F121" s="41" t="s">
        <v>37</v>
      </c>
      <c r="G121" s="41"/>
      <c r="H121" s="2"/>
      <c r="J121" s="2"/>
      <c r="O121" s="10"/>
      <c r="P121" s="2"/>
      <c r="Q121" s="4"/>
    </row>
    <row r="122" spans="1:35" x14ac:dyDescent="0.25">
      <c r="B122" s="8"/>
      <c r="F122" s="2" t="s">
        <v>27</v>
      </c>
      <c r="G122" s="9">
        <f>G7</f>
        <v>46219</v>
      </c>
      <c r="J122" s="2" t="s">
        <v>28</v>
      </c>
      <c r="K122" s="9">
        <f>K7</f>
        <v>46234</v>
      </c>
      <c r="O122" s="10"/>
      <c r="P122" s="2"/>
      <c r="Q122" s="4"/>
    </row>
    <row r="123" spans="1:35" ht="12" thickBot="1" x14ac:dyDescent="0.3">
      <c r="B123" s="8"/>
      <c r="C123" s="2" t="s">
        <v>1</v>
      </c>
      <c r="D123" s="2" t="s">
        <v>1</v>
      </c>
      <c r="J123" s="1" t="s">
        <v>1</v>
      </c>
      <c r="O123" s="44"/>
      <c r="P123" s="2"/>
      <c r="Q123" s="4"/>
    </row>
    <row r="124" spans="1:35" ht="46.5" thickBot="1" x14ac:dyDescent="0.3">
      <c r="B124" s="11" t="s">
        <v>3</v>
      </c>
      <c r="C124" s="12" t="s">
        <v>9</v>
      </c>
      <c r="D124" s="12" t="s">
        <v>38</v>
      </c>
      <c r="E124" s="73" t="s">
        <v>48</v>
      </c>
      <c r="G124" s="65" t="s">
        <v>47</v>
      </c>
      <c r="H124" s="370" t="s">
        <v>56</v>
      </c>
      <c r="I124" s="73" t="s">
        <v>130</v>
      </c>
      <c r="J124" s="73" t="s">
        <v>172</v>
      </c>
      <c r="K124" s="73" t="s">
        <v>143</v>
      </c>
      <c r="L124" s="73" t="s">
        <v>144</v>
      </c>
      <c r="O124" s="44"/>
      <c r="P124" s="13"/>
      <c r="Q124" s="4"/>
    </row>
    <row r="125" spans="1:35" x14ac:dyDescent="0.25">
      <c r="B125" s="108">
        <v>1</v>
      </c>
      <c r="C125" s="109" t="s">
        <v>10</v>
      </c>
      <c r="D125" s="110">
        <f>'ANTICIPOS USUARIOS'!F3</f>
        <v>0</v>
      </c>
      <c r="E125" s="111">
        <v>0</v>
      </c>
      <c r="G125" s="336">
        <f>D47+N47</f>
        <v>0</v>
      </c>
      <c r="H125" s="310">
        <f>D28+N28</f>
        <v>0</v>
      </c>
      <c r="I125" s="309">
        <f>D85+N85</f>
        <v>0</v>
      </c>
      <c r="J125" s="309">
        <f>D66+N66</f>
        <v>0</v>
      </c>
      <c r="K125" s="309">
        <f>'ANTICIPOS USUARIOS'!F12</f>
        <v>0</v>
      </c>
      <c r="L125" s="309">
        <f>-'ANTICIPOS USUARIOS'!F21</f>
        <v>0</v>
      </c>
      <c r="O125" s="44"/>
      <c r="Q125" s="4"/>
    </row>
    <row r="126" spans="1:35" x14ac:dyDescent="0.25">
      <c r="B126" s="16">
        <v>2</v>
      </c>
      <c r="C126" s="17" t="s">
        <v>11</v>
      </c>
      <c r="D126" s="15">
        <f>'ANTICIPOS USUARIOS'!F4</f>
        <v>12820520</v>
      </c>
      <c r="E126" s="74">
        <v>0</v>
      </c>
      <c r="G126" s="339">
        <f>D48+N48</f>
        <v>0</v>
      </c>
      <c r="H126" s="340">
        <f>D29+N29</f>
        <v>35414329.289999992</v>
      </c>
      <c r="I126" s="288">
        <f>D86+N86</f>
        <v>216025.77</v>
      </c>
      <c r="J126" s="288">
        <f t="shared" ref="J126:J129" si="51">D67+N67</f>
        <v>0</v>
      </c>
      <c r="K126" s="288">
        <f>'ANTICIPOS USUARIOS'!F13</f>
        <v>0</v>
      </c>
      <c r="L126" s="288">
        <f>-'ANTICIPOS USUARIOS'!F22</f>
        <v>0</v>
      </c>
      <c r="O126" s="44"/>
      <c r="Q126" s="4"/>
    </row>
    <row r="127" spans="1:35" x14ac:dyDescent="0.25">
      <c r="B127" s="16">
        <v>3</v>
      </c>
      <c r="C127" s="17" t="s">
        <v>12</v>
      </c>
      <c r="D127" s="15">
        <f>'ANTICIPOS USUARIOS'!F5</f>
        <v>0</v>
      </c>
      <c r="E127" s="74">
        <v>0</v>
      </c>
      <c r="G127" s="339">
        <f>D49+N49</f>
        <v>0</v>
      </c>
      <c r="H127" s="340">
        <f>D30+N30</f>
        <v>0</v>
      </c>
      <c r="I127" s="288">
        <f>D87+N87</f>
        <v>0</v>
      </c>
      <c r="J127" s="288">
        <f t="shared" si="51"/>
        <v>0</v>
      </c>
      <c r="K127" s="288">
        <f>'ANTICIPOS USUARIOS'!F14</f>
        <v>0</v>
      </c>
      <c r="L127" s="288">
        <f>-'ANTICIPOS USUARIOS'!F23</f>
        <v>0</v>
      </c>
      <c r="O127" s="44"/>
      <c r="Q127" s="4"/>
    </row>
    <row r="128" spans="1:35" x14ac:dyDescent="0.25">
      <c r="B128" s="16">
        <v>4</v>
      </c>
      <c r="C128" s="17" t="s">
        <v>13</v>
      </c>
      <c r="D128" s="15">
        <f>'ANTICIPOS USUARIOS'!F6</f>
        <v>10268790</v>
      </c>
      <c r="E128" s="74">
        <v>0</v>
      </c>
      <c r="G128" s="339">
        <f>D50+N50</f>
        <v>41900</v>
      </c>
      <c r="H128" s="340">
        <f>D31+N31</f>
        <v>66508368.82</v>
      </c>
      <c r="I128" s="288">
        <f>D88+N88</f>
        <v>35954.44</v>
      </c>
      <c r="J128" s="288">
        <f t="shared" si="51"/>
        <v>-736030</v>
      </c>
      <c r="K128" s="288">
        <f>'ANTICIPOS USUARIOS'!F15</f>
        <v>694130</v>
      </c>
      <c r="L128" s="288">
        <f>-'ANTICIPOS USUARIOS'!F24</f>
        <v>0</v>
      </c>
      <c r="O128" s="44"/>
      <c r="Q128" s="4"/>
    </row>
    <row r="129" spans="1:18" x14ac:dyDescent="0.25">
      <c r="B129" s="133">
        <v>5</v>
      </c>
      <c r="C129" s="138" t="s">
        <v>14</v>
      </c>
      <c r="D129" s="15">
        <f>'ANTICIPOS USUARIOS'!F7</f>
        <v>0</v>
      </c>
      <c r="E129" s="139">
        <v>0</v>
      </c>
      <c r="G129" s="339">
        <f>D51+N51</f>
        <v>0</v>
      </c>
      <c r="H129" s="340">
        <f>D32+N32</f>
        <v>0</v>
      </c>
      <c r="I129" s="288">
        <f>D89+N89</f>
        <v>0</v>
      </c>
      <c r="J129" s="288">
        <f t="shared" si="51"/>
        <v>0</v>
      </c>
      <c r="K129" s="288">
        <f>'ANTICIPOS USUARIOS'!F16</f>
        <v>0</v>
      </c>
      <c r="L129" s="288">
        <f>-'ANTICIPOS USUARIOS'!F25</f>
        <v>0</v>
      </c>
      <c r="O129" s="44"/>
      <c r="Q129" s="4"/>
    </row>
    <row r="130" spans="1:18" ht="12" thickBot="1" x14ac:dyDescent="0.3">
      <c r="B130" s="19" t="s">
        <v>89</v>
      </c>
      <c r="C130" s="20" t="s">
        <v>113</v>
      </c>
      <c r="D130" s="78"/>
      <c r="E130" s="79">
        <f>'Recaudo EAAB Reciprocidad'!F26</f>
        <v>0</v>
      </c>
      <c r="G130" s="346"/>
      <c r="H130" s="347"/>
      <c r="I130" s="289"/>
      <c r="J130" s="289"/>
      <c r="K130" s="289"/>
      <c r="L130" s="289"/>
      <c r="O130" s="44"/>
      <c r="Q130" s="4"/>
    </row>
    <row r="131" spans="1:18" ht="12" thickBot="1" x14ac:dyDescent="0.3">
      <c r="B131" s="95"/>
      <c r="C131" s="106" t="s">
        <v>2</v>
      </c>
      <c r="D131" s="107">
        <f>SUM(D125:D130)</f>
        <v>23089310</v>
      </c>
      <c r="E131" s="107">
        <f>SUM(E125:E130)</f>
        <v>0</v>
      </c>
      <c r="F131" s="45"/>
      <c r="G131" s="350">
        <f t="shared" ref="G131" si="52">SUM(G125:G129)</f>
        <v>41900</v>
      </c>
      <c r="H131" s="350">
        <f>SUM(H125:H130)</f>
        <v>101922698.10999998</v>
      </c>
      <c r="I131" s="350">
        <f>SUM(I125:I130)</f>
        <v>251980.21</v>
      </c>
      <c r="J131" s="350">
        <f>SUM(J125:J130)</f>
        <v>-736030</v>
      </c>
      <c r="K131" s="350">
        <f>SUM(K125:K130)</f>
        <v>694130</v>
      </c>
      <c r="L131" s="350">
        <f>SUM(L125:L130)</f>
        <v>0</v>
      </c>
      <c r="M131" s="45"/>
      <c r="N131" s="45"/>
      <c r="O131" s="46"/>
      <c r="P131" s="2"/>
      <c r="Q131" s="4"/>
    </row>
    <row r="132" spans="1:18" x14ac:dyDescent="0.25">
      <c r="B132" s="2"/>
      <c r="C132" s="2"/>
      <c r="D132" s="24"/>
      <c r="Q132" s="4"/>
    </row>
    <row r="133" spans="1:18" x14ac:dyDescent="0.25">
      <c r="B133" s="2"/>
      <c r="C133" s="2"/>
      <c r="D133" s="24"/>
      <c r="L133" s="1" t="s">
        <v>1</v>
      </c>
      <c r="Q133" s="4"/>
    </row>
    <row r="134" spans="1:18" ht="12" thickBot="1" x14ac:dyDescent="0.3">
      <c r="B134" s="2"/>
      <c r="C134" s="2"/>
      <c r="D134" s="24"/>
      <c r="E134" s="33"/>
      <c r="F134" s="33"/>
      <c r="G134" s="33"/>
      <c r="H134" s="33"/>
      <c r="I134" s="24"/>
      <c r="K134" s="24"/>
      <c r="L134" s="24" t="s">
        <v>1</v>
      </c>
      <c r="M134" s="24" t="s">
        <v>1</v>
      </c>
      <c r="N134" s="24"/>
      <c r="O134" s="24"/>
      <c r="Q134" s="4"/>
    </row>
    <row r="135" spans="1:18" x14ac:dyDescent="0.25">
      <c r="B135" s="2"/>
      <c r="C135" s="2"/>
      <c r="D135" s="24"/>
      <c r="E135" s="24" t="s">
        <v>1</v>
      </c>
      <c r="F135" s="42" t="s">
        <v>36</v>
      </c>
      <c r="G135" s="42"/>
      <c r="H135" s="42"/>
      <c r="I135" s="24"/>
      <c r="K135" s="24"/>
      <c r="L135" s="24"/>
      <c r="M135" s="24"/>
      <c r="N135" s="24"/>
      <c r="O135" s="24"/>
      <c r="Q135" s="4"/>
    </row>
    <row r="136" spans="1:18" x14ac:dyDescent="0.25">
      <c r="A136" s="52"/>
      <c r="B136" s="53"/>
      <c r="C136" s="53"/>
      <c r="D136" s="54"/>
      <c r="E136" s="54"/>
      <c r="F136" s="54"/>
      <c r="G136" s="54"/>
      <c r="H136" s="54"/>
      <c r="I136" s="54"/>
      <c r="J136" s="52"/>
      <c r="K136" s="54"/>
      <c r="L136" s="54"/>
      <c r="M136" s="54"/>
      <c r="N136" s="54"/>
      <c r="O136" s="54"/>
      <c r="P136" s="52"/>
      <c r="Q136" s="4"/>
    </row>
    <row r="137" spans="1:18" x14ac:dyDescent="0.25">
      <c r="B137" s="2"/>
      <c r="C137" s="2"/>
      <c r="D137" s="24"/>
      <c r="E137" s="24"/>
      <c r="F137" s="24"/>
      <c r="G137" s="24"/>
      <c r="H137" s="24"/>
      <c r="I137" s="24"/>
      <c r="K137" s="24"/>
      <c r="L137" s="24"/>
      <c r="M137" s="24"/>
      <c r="N137" s="24"/>
      <c r="O137" s="24"/>
      <c r="Q137" s="4"/>
    </row>
    <row r="138" spans="1:18" x14ac:dyDescent="0.25">
      <c r="B138" s="2"/>
      <c r="C138" s="59" t="s">
        <v>49</v>
      </c>
      <c r="D138" s="64"/>
      <c r="E138" s="24"/>
      <c r="F138" s="24"/>
      <c r="G138" s="24"/>
      <c r="H138" s="24"/>
      <c r="I138" s="24"/>
      <c r="K138" s="24"/>
      <c r="L138" s="24"/>
      <c r="M138" s="24"/>
      <c r="N138" s="24"/>
      <c r="O138" s="24"/>
      <c r="Q138" s="35"/>
    </row>
    <row r="139" spans="1:18" x14ac:dyDescent="0.25">
      <c r="B139" s="2"/>
      <c r="C139" s="2"/>
      <c r="D139" s="24"/>
      <c r="E139" s="24"/>
      <c r="F139" s="24"/>
      <c r="G139" s="24"/>
      <c r="H139" s="24"/>
      <c r="I139" s="24"/>
      <c r="K139" s="24"/>
      <c r="L139" s="24"/>
      <c r="M139" s="24"/>
      <c r="N139" s="24"/>
      <c r="O139" s="24"/>
      <c r="Q139" s="35"/>
    </row>
    <row r="140" spans="1:18" ht="18.75" customHeight="1" thickBot="1" x14ac:dyDescent="0.3">
      <c r="B140" s="2"/>
      <c r="C140" s="2"/>
      <c r="D140" s="24"/>
      <c r="E140" s="24"/>
      <c r="F140" s="24"/>
      <c r="G140" s="24"/>
      <c r="H140" s="24"/>
      <c r="J140" s="24"/>
      <c r="K140" s="24"/>
      <c r="M140" s="24"/>
      <c r="N140" s="24"/>
      <c r="O140" s="24"/>
      <c r="P140" s="24"/>
      <c r="Q140" s="35"/>
    </row>
    <row r="141" spans="1:18" ht="46.5" thickBot="1" x14ac:dyDescent="0.3">
      <c r="B141" s="104" t="s">
        <v>3</v>
      </c>
      <c r="C141" s="105" t="s">
        <v>9</v>
      </c>
      <c r="D141" s="105" t="s">
        <v>44</v>
      </c>
      <c r="E141" s="105" t="s">
        <v>45</v>
      </c>
      <c r="F141" s="105" t="s">
        <v>31</v>
      </c>
      <c r="G141" s="105" t="s">
        <v>91</v>
      </c>
      <c r="H141" s="105" t="s">
        <v>128</v>
      </c>
      <c r="I141" s="105" t="s">
        <v>127</v>
      </c>
      <c r="J141" s="105" t="s">
        <v>47</v>
      </c>
      <c r="K141" s="105" t="s">
        <v>51</v>
      </c>
      <c r="L141" s="1" t="s">
        <v>1</v>
      </c>
      <c r="M141" s="56"/>
      <c r="N141" s="56"/>
      <c r="O141" s="56"/>
      <c r="P141" s="24"/>
      <c r="Q141" s="35"/>
      <c r="R141" s="24"/>
    </row>
    <row r="142" spans="1:18" x14ac:dyDescent="0.25">
      <c r="B142" s="108">
        <v>1</v>
      </c>
      <c r="C142" s="109" t="s">
        <v>10</v>
      </c>
      <c r="D142" s="110">
        <f>D104+N104+D125+E125</f>
        <v>0</v>
      </c>
      <c r="E142" s="110">
        <f>'Recaudo EAAB Reciprocidad'!F21</f>
        <v>0</v>
      </c>
      <c r="F142" s="110">
        <f>D28+N28</f>
        <v>0</v>
      </c>
      <c r="G142" s="110">
        <f>D66+N66</f>
        <v>0</v>
      </c>
      <c r="H142" s="110">
        <f>D85+N85</f>
        <v>0</v>
      </c>
      <c r="I142" s="110">
        <v>0</v>
      </c>
      <c r="J142" s="110">
        <f t="shared" ref="J142:K146" si="53">G125</f>
        <v>0</v>
      </c>
      <c r="K142" s="111">
        <f t="shared" si="53"/>
        <v>0</v>
      </c>
      <c r="L142" s="598">
        <f>D142-E142-F142-G142-J142-H142-I142</f>
        <v>0</v>
      </c>
      <c r="M142" s="1" t="b">
        <f>INT(L142)=0</f>
        <v>1</v>
      </c>
      <c r="O142" s="55"/>
      <c r="P142" s="24"/>
      <c r="Q142" s="35"/>
      <c r="R142" s="24"/>
    </row>
    <row r="143" spans="1:18" x14ac:dyDescent="0.25">
      <c r="B143" s="16">
        <v>2</v>
      </c>
      <c r="C143" s="17" t="s">
        <v>11</v>
      </c>
      <c r="D143" s="18">
        <f>D105+N105+D126+E126</f>
        <v>59862115.059999995</v>
      </c>
      <c r="E143" s="18">
        <f>'Recaudo EAAB Reciprocidad'!F22</f>
        <v>24231760</v>
      </c>
      <c r="F143" s="18">
        <f>D29+N29</f>
        <v>35414329.289999992</v>
      </c>
      <c r="G143" s="18">
        <f>D67+N67</f>
        <v>0</v>
      </c>
      <c r="H143" s="18">
        <f>D86+N86</f>
        <v>216025.77</v>
      </c>
      <c r="I143" s="18">
        <f>('REPORTE RECAUDO x BANCO'!E64)</f>
        <v>0</v>
      </c>
      <c r="J143" s="18">
        <f t="shared" si="53"/>
        <v>0</v>
      </c>
      <c r="K143" s="83">
        <f t="shared" si="53"/>
        <v>35414329.289999992</v>
      </c>
      <c r="L143" s="598">
        <f>D143-E143-F143-G143-J143-H143-I143</f>
        <v>3.2887328416109085E-9</v>
      </c>
      <c r="M143" s="1" t="b">
        <f>INT(L143)=0</f>
        <v>1</v>
      </c>
      <c r="O143" s="130"/>
      <c r="P143" s="24"/>
      <c r="Q143" s="35"/>
      <c r="R143" s="24"/>
    </row>
    <row r="144" spans="1:18" x14ac:dyDescent="0.25">
      <c r="B144" s="16">
        <v>3</v>
      </c>
      <c r="C144" s="17" t="s">
        <v>12</v>
      </c>
      <c r="D144" s="18">
        <f>D106+N106+D127+E127</f>
        <v>0</v>
      </c>
      <c r="E144" s="18">
        <f>'Recaudo EAAB Reciprocidad'!F23</f>
        <v>0</v>
      </c>
      <c r="F144" s="18">
        <f>D30+N30</f>
        <v>0</v>
      </c>
      <c r="G144" s="18">
        <f>D68+N68</f>
        <v>0</v>
      </c>
      <c r="H144" s="18">
        <f>D87+N87</f>
        <v>0</v>
      </c>
      <c r="I144" s="18">
        <v>0</v>
      </c>
      <c r="J144" s="18">
        <f t="shared" si="53"/>
        <v>0</v>
      </c>
      <c r="K144" s="83">
        <f t="shared" si="53"/>
        <v>0</v>
      </c>
      <c r="L144" s="598">
        <f>D144-E144-F144-G144-J144-H144-I144</f>
        <v>0</v>
      </c>
      <c r="M144" s="1" t="b">
        <f t="shared" ref="M144:M147" si="54">INT(L144)=0</f>
        <v>1</v>
      </c>
      <c r="O144" s="55"/>
      <c r="P144" s="24"/>
      <c r="Q144" s="35"/>
      <c r="R144" s="24"/>
    </row>
    <row r="145" spans="1:20" x14ac:dyDescent="0.25">
      <c r="B145" s="16">
        <v>4</v>
      </c>
      <c r="C145" s="17" t="s">
        <v>13</v>
      </c>
      <c r="D145" s="18">
        <f>D107+N107+D128+E128</f>
        <v>81735833.25999999</v>
      </c>
      <c r="E145" s="18">
        <f>'Recaudo EAAB Reciprocidad'!F24</f>
        <v>15885640</v>
      </c>
      <c r="F145" s="18">
        <f>D31+N31</f>
        <v>66508368.82</v>
      </c>
      <c r="G145" s="18">
        <f>D69+N69</f>
        <v>-736030</v>
      </c>
      <c r="H145" s="18">
        <f>D88+N88</f>
        <v>35954.44</v>
      </c>
      <c r="I145" s="18">
        <f>('REPORTE RECAUDO x BANCO'!E69)</f>
        <v>0</v>
      </c>
      <c r="J145" s="18">
        <f t="shared" si="53"/>
        <v>41900</v>
      </c>
      <c r="K145" s="83">
        <f t="shared" si="53"/>
        <v>66508368.82</v>
      </c>
      <c r="L145" s="598">
        <f>D145-E145-F145-G145-J145-H145-I145</f>
        <v>-9.8370946943759918E-9</v>
      </c>
      <c r="M145" s="1" t="b">
        <f t="shared" si="54"/>
        <v>0</v>
      </c>
      <c r="O145" s="96"/>
      <c r="P145" s="24"/>
      <c r="Q145" s="35"/>
      <c r="R145" s="24"/>
    </row>
    <row r="146" spans="1:20" ht="12" thickBot="1" x14ac:dyDescent="0.3">
      <c r="B146" s="133">
        <v>5</v>
      </c>
      <c r="C146" s="138" t="s">
        <v>14</v>
      </c>
      <c r="D146" s="134">
        <f>D108+N108+D129+E129</f>
        <v>0</v>
      </c>
      <c r="E146" s="18">
        <f>'Recaudo EAAB Reciprocidad'!F25</f>
        <v>0</v>
      </c>
      <c r="F146" s="134">
        <f>D32+N32</f>
        <v>0</v>
      </c>
      <c r="G146" s="134">
        <f>D70+N70</f>
        <v>0</v>
      </c>
      <c r="H146" s="134">
        <f>D89+N89</f>
        <v>0</v>
      </c>
      <c r="I146" s="134">
        <v>0</v>
      </c>
      <c r="J146" s="134">
        <f t="shared" si="53"/>
        <v>0</v>
      </c>
      <c r="K146" s="136">
        <f t="shared" si="53"/>
        <v>0</v>
      </c>
      <c r="L146" s="598">
        <f>D146-E146-F146-G146-J146-H146-I146</f>
        <v>0</v>
      </c>
      <c r="M146" s="1" t="b">
        <f t="shared" si="54"/>
        <v>1</v>
      </c>
      <c r="O146" s="55"/>
      <c r="P146" s="24"/>
      <c r="Q146" s="35"/>
      <c r="R146" s="24"/>
    </row>
    <row r="147" spans="1:20" ht="12" thickBot="1" x14ac:dyDescent="0.3">
      <c r="B147" s="21"/>
      <c r="C147" s="22" t="s">
        <v>2</v>
      </c>
      <c r="D147" s="47">
        <f>SUM(D142:D146)</f>
        <v>141597948.31999999</v>
      </c>
      <c r="E147" s="47">
        <f>SUM(E142:E146)</f>
        <v>40117400</v>
      </c>
      <c r="F147" s="47">
        <f t="shared" ref="F147:K147" si="55">SUM(F142:F146)</f>
        <v>101922698.10999998</v>
      </c>
      <c r="G147" s="47">
        <f t="shared" si="55"/>
        <v>-736030</v>
      </c>
      <c r="H147" s="47">
        <f t="shared" si="55"/>
        <v>251980.21</v>
      </c>
      <c r="I147" s="47">
        <f t="shared" si="55"/>
        <v>0</v>
      </c>
      <c r="J147" s="47">
        <f t="shared" si="55"/>
        <v>41900</v>
      </c>
      <c r="K147" s="47">
        <f t="shared" si="55"/>
        <v>101922698.10999998</v>
      </c>
      <c r="L147" s="598">
        <f>SUM(L142:L146)</f>
        <v>-6.5483618527650833E-9</v>
      </c>
      <c r="M147" s="1" t="b">
        <f t="shared" si="54"/>
        <v>0</v>
      </c>
      <c r="P147" s="24"/>
      <c r="Q147" s="35"/>
      <c r="R147" s="24"/>
    </row>
    <row r="148" spans="1:20" x14ac:dyDescent="0.25">
      <c r="B148" s="2"/>
      <c r="H148" s="55"/>
      <c r="L148" s="548"/>
      <c r="M148" s="24"/>
      <c r="N148" s="24"/>
      <c r="O148" s="24"/>
      <c r="P148" s="24"/>
      <c r="Q148" s="35"/>
    </row>
    <row r="149" spans="1:20" ht="21.75" customHeight="1" x14ac:dyDescent="0.25">
      <c r="B149" s="2"/>
      <c r="C149" s="2"/>
      <c r="D149" s="24"/>
      <c r="F149" s="24"/>
      <c r="G149" s="24"/>
      <c r="H149" s="24"/>
      <c r="I149" s="24"/>
      <c r="K149" s="24"/>
      <c r="L149" s="24"/>
      <c r="M149" s="24"/>
      <c r="N149" s="24"/>
      <c r="O149" s="24"/>
      <c r="Q149" s="35"/>
    </row>
    <row r="150" spans="1:20" x14ac:dyDescent="0.25">
      <c r="B150" s="2"/>
      <c r="C150" s="2"/>
      <c r="D150" s="24"/>
      <c r="E150" s="24"/>
      <c r="F150" s="24"/>
      <c r="G150" s="24"/>
      <c r="H150" s="24"/>
      <c r="I150" s="24"/>
      <c r="J150" s="55"/>
      <c r="K150" s="24"/>
      <c r="L150" s="24"/>
      <c r="M150" s="24"/>
      <c r="N150" s="24"/>
      <c r="O150" s="24"/>
      <c r="Q150" s="35"/>
      <c r="T150" s="24"/>
    </row>
    <row r="151" spans="1:20" x14ac:dyDescent="0.25">
      <c r="A151" s="52"/>
      <c r="B151" s="53"/>
      <c r="C151" s="53"/>
      <c r="D151" s="54"/>
      <c r="E151" s="54"/>
      <c r="F151" s="54"/>
      <c r="G151" s="54"/>
      <c r="H151" s="54"/>
      <c r="I151" s="54"/>
      <c r="J151" s="52"/>
      <c r="K151" s="54"/>
      <c r="L151" s="54"/>
      <c r="M151" s="54"/>
      <c r="N151" s="54"/>
      <c r="O151" s="54"/>
      <c r="P151" s="52"/>
      <c r="Q151" s="54"/>
      <c r="T151" s="24"/>
    </row>
    <row r="152" spans="1:20" x14ac:dyDescent="0.25">
      <c r="N152" s="24"/>
      <c r="O152" s="24"/>
      <c r="Q152" s="24"/>
      <c r="T152" s="24"/>
    </row>
    <row r="153" spans="1:20" x14ac:dyDescent="0.25">
      <c r="N153" s="24"/>
      <c r="O153" s="24"/>
      <c r="Q153" s="24"/>
      <c r="T153" s="24"/>
    </row>
    <row r="154" spans="1:20" x14ac:dyDescent="0.25">
      <c r="N154" s="24"/>
      <c r="O154" s="24"/>
      <c r="Q154" s="24"/>
      <c r="T154" s="24"/>
    </row>
    <row r="155" spans="1:20" x14ac:dyDescent="0.25">
      <c r="N155" s="24"/>
      <c r="O155" s="24"/>
      <c r="Q155" s="24"/>
      <c r="T155" s="24"/>
    </row>
    <row r="156" spans="1:20" x14ac:dyDescent="0.25">
      <c r="N156" s="24"/>
      <c r="O156" s="24"/>
      <c r="Q156" s="24"/>
      <c r="T156" s="24"/>
    </row>
    <row r="157" spans="1:20" x14ac:dyDescent="0.25">
      <c r="N157" s="24"/>
      <c r="O157" s="24"/>
      <c r="Q157" s="24"/>
      <c r="T157" s="24"/>
    </row>
    <row r="158" spans="1:20" x14ac:dyDescent="0.25">
      <c r="N158" s="24"/>
      <c r="O158" s="24"/>
      <c r="Q158" s="24"/>
      <c r="T158" s="24"/>
    </row>
    <row r="159" spans="1:20" x14ac:dyDescent="0.25">
      <c r="N159" s="24"/>
      <c r="O159" s="24"/>
      <c r="Q159" s="24"/>
      <c r="T159" s="24"/>
    </row>
    <row r="160" spans="1:20" x14ac:dyDescent="0.25">
      <c r="N160" s="24"/>
      <c r="O160" s="24"/>
      <c r="Q160" s="24"/>
      <c r="T160" s="24"/>
    </row>
    <row r="161" spans="14:20" x14ac:dyDescent="0.25">
      <c r="N161" s="24"/>
      <c r="O161" s="24"/>
      <c r="Q161" s="24"/>
      <c r="T161" s="24"/>
    </row>
    <row r="162" spans="14:20" x14ac:dyDescent="0.25">
      <c r="N162" s="24"/>
      <c r="O162" s="24"/>
      <c r="Q162" s="24"/>
      <c r="T162" s="24"/>
    </row>
    <row r="163" spans="14:20" x14ac:dyDescent="0.25">
      <c r="N163" s="24"/>
      <c r="O163" s="24"/>
      <c r="Q163" s="24"/>
      <c r="T163" s="24"/>
    </row>
    <row r="164" spans="14:20" x14ac:dyDescent="0.25">
      <c r="N164" s="24"/>
      <c r="O164" s="24"/>
      <c r="Q164" s="24"/>
      <c r="T164" s="24"/>
    </row>
    <row r="165" spans="14:20" x14ac:dyDescent="0.25">
      <c r="Q165" s="24"/>
      <c r="T165" s="24"/>
    </row>
    <row r="166" spans="14:20" x14ac:dyDescent="0.25">
      <c r="Q166" s="24"/>
    </row>
  </sheetData>
  <conditionalFormatting sqref="L142:L147">
    <cfRule type="expression" dxfId="62" priority="24">
      <formula>$L$142&lt;&gt;0</formula>
    </cfRule>
  </conditionalFormatting>
  <conditionalFormatting sqref="M142:M147">
    <cfRule type="cellIs" dxfId="61" priority="5" operator="notEqual">
      <formula>TRUE</formula>
    </cfRule>
  </conditionalFormatting>
  <conditionalFormatting sqref="AH9:AH14">
    <cfRule type="cellIs" dxfId="60" priority="11" operator="notEqual">
      <formula>TRUE</formula>
    </cfRule>
  </conditionalFormatting>
  <conditionalFormatting sqref="AH28:AH33">
    <cfRule type="cellIs" dxfId="59" priority="10" operator="notEqual">
      <formula>TRUE</formula>
    </cfRule>
  </conditionalFormatting>
  <conditionalFormatting sqref="AH47:AH52">
    <cfRule type="cellIs" dxfId="58" priority="4" operator="notEqual">
      <formula>TRUE</formula>
    </cfRule>
  </conditionalFormatting>
  <conditionalFormatting sqref="AH66:AH71">
    <cfRule type="cellIs" dxfId="57" priority="3" operator="notEqual">
      <formula>TRUE</formula>
    </cfRule>
  </conditionalFormatting>
  <conditionalFormatting sqref="AH85:AH90">
    <cfRule type="cellIs" dxfId="56" priority="2" operator="notEqual">
      <formula>TRUE</formula>
    </cfRule>
  </conditionalFormatting>
  <conditionalFormatting sqref="AH104:AH109">
    <cfRule type="cellIs" dxfId="55" priority="1" operator="notEqual">
      <formula>TRUE</formula>
    </cfRule>
  </conditionalFormatting>
  <printOptions horizontalCentered="1" verticalCentered="1"/>
  <pageMargins left="0.55118110236220474" right="0.55118110236220474" top="0.59055118110236227" bottom="0.59055118110236227" header="0" footer="0"/>
  <pageSetup scale="21" orientation="landscape" r:id="rId1"/>
  <headerFooter alignWithMargins="0"/>
  <ignoredErrors>
    <ignoredError sqref="K104:K109 M104:M109" formula="1"/>
  </ignoredErrors>
  <drawing r:id="rId2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tabColor rgb="FF00B0F0"/>
  </sheetPr>
  <dimension ref="B1:P16"/>
  <sheetViews>
    <sheetView zoomScale="90" zoomScaleNormal="90" workbookViewId="0">
      <selection activeCell="D9" sqref="D9"/>
    </sheetView>
  </sheetViews>
  <sheetFormatPr baseColWidth="10" defaultRowHeight="12.5" x14ac:dyDescent="0.25"/>
  <cols>
    <col min="1" max="1" width="3" customWidth="1"/>
    <col min="2" max="2" width="4.1796875" bestFit="1" customWidth="1"/>
    <col min="3" max="3" width="16.81640625" customWidth="1"/>
    <col min="4" max="4" width="14.1796875" customWidth="1"/>
    <col min="5" max="7" width="17.81640625" customWidth="1"/>
    <col min="8" max="8" width="18.1796875" customWidth="1"/>
    <col min="9" max="9" width="15.81640625" customWidth="1"/>
    <col min="10" max="10" width="16.453125" customWidth="1"/>
    <col min="11" max="11" width="15.81640625" customWidth="1"/>
    <col min="12" max="13" width="18.1796875" customWidth="1"/>
    <col min="14" max="14" width="15.81640625" customWidth="1"/>
    <col min="15" max="15" width="14.1796875" customWidth="1"/>
    <col min="16" max="16" width="14.453125" customWidth="1"/>
  </cols>
  <sheetData>
    <row r="1" spans="2:16" ht="13" thickBot="1" x14ac:dyDescent="0.3"/>
    <row r="2" spans="2:16" ht="35" thickBot="1" x14ac:dyDescent="0.3">
      <c r="B2" s="11" t="s">
        <v>3</v>
      </c>
      <c r="C2" s="28" t="s">
        <v>55</v>
      </c>
      <c r="D2" s="28" t="s">
        <v>50</v>
      </c>
      <c r="E2" s="28" t="s">
        <v>57</v>
      </c>
      <c r="F2" s="28" t="s">
        <v>129</v>
      </c>
      <c r="G2" s="28" t="s">
        <v>130</v>
      </c>
      <c r="H2" s="131" t="s">
        <v>52</v>
      </c>
      <c r="I2" s="12" t="s">
        <v>58</v>
      </c>
      <c r="J2" s="12" t="s">
        <v>59</v>
      </c>
      <c r="K2" s="12" t="s">
        <v>53</v>
      </c>
      <c r="L2" s="27" t="s">
        <v>60</v>
      </c>
      <c r="M2" s="65" t="s">
        <v>92</v>
      </c>
      <c r="N2" s="132" t="s">
        <v>54</v>
      </c>
    </row>
    <row r="3" spans="2:16" s="355" customFormat="1" x14ac:dyDescent="0.25">
      <c r="B3" s="303">
        <v>1</v>
      </c>
      <c r="C3" s="292">
        <f>'Recaudo EAAB Reciprocidad'!F21</f>
        <v>0</v>
      </c>
      <c r="D3" s="292">
        <f>'REMUNERACION Reciprocidad EAAB'!G125</f>
        <v>0</v>
      </c>
      <c r="E3" s="292">
        <f>'REMUNERACION Reciprocidad EAAB'!D28+'REMUNERACION Reciprocidad EAAB'!N28</f>
        <v>0</v>
      </c>
      <c r="F3" s="292">
        <f>'REMUNERACION Reciprocidad EAAB'!I142</f>
        <v>0</v>
      </c>
      <c r="G3" s="292">
        <f>'REMUNERACION Reciprocidad EAAB'!H142</f>
        <v>0</v>
      </c>
      <c r="H3" s="340">
        <f>SUM(C3:G3)</f>
        <v>0</v>
      </c>
      <c r="I3" s="291">
        <f>'REMUNERACION Reciprocidad EAAB'!D104</f>
        <v>0</v>
      </c>
      <c r="J3" s="292">
        <f>'REMUNERACION Reciprocidad EAAB'!N104</f>
        <v>0</v>
      </c>
      <c r="K3" s="292">
        <f>'REMUNERACION Reciprocidad EAAB'!D125</f>
        <v>0</v>
      </c>
      <c r="L3" s="353">
        <f>'REMUNERACION Reciprocidad EAAB'!E125</f>
        <v>0</v>
      </c>
      <c r="M3" s="292">
        <f>-'REMUNERACION Reciprocidad EAAB'!D66-'REMUNERACION Reciprocidad EAAB'!N66</f>
        <v>0</v>
      </c>
      <c r="N3" s="288">
        <f>SUM(I3:M3)</f>
        <v>0</v>
      </c>
      <c r="O3" s="354">
        <f t="shared" ref="O3:O8" si="0">H3-N3</f>
        <v>0</v>
      </c>
      <c r="P3" s="1" t="b">
        <f>INT(O3)=0</f>
        <v>1</v>
      </c>
    </row>
    <row r="4" spans="2:16" s="355" customFormat="1" x14ac:dyDescent="0.25">
      <c r="B4" s="314">
        <v>2</v>
      </c>
      <c r="C4" s="317">
        <f>'Recaudo EAAB Reciprocidad'!F22</f>
        <v>24231760</v>
      </c>
      <c r="D4" s="292">
        <f>'REMUNERACION Reciprocidad EAAB'!G126</f>
        <v>0</v>
      </c>
      <c r="E4" s="292">
        <f>'REMUNERACION Reciprocidad EAAB'!D29+'REMUNERACION Reciprocidad EAAB'!N29</f>
        <v>35414329.289999992</v>
      </c>
      <c r="F4" s="292">
        <f>'REMUNERACION Reciprocidad EAAB'!I143</f>
        <v>0</v>
      </c>
      <c r="G4" s="292">
        <f>'REMUNERACION Reciprocidad EAAB'!H143</f>
        <v>216025.77</v>
      </c>
      <c r="H4" s="340">
        <f t="shared" ref="H4:H8" si="1">SUM(C4:G4)</f>
        <v>59862115.059999995</v>
      </c>
      <c r="I4" s="291">
        <f>'REMUNERACION Reciprocidad EAAB'!D105</f>
        <v>47041595.059999995</v>
      </c>
      <c r="J4" s="292">
        <f>'REMUNERACION Reciprocidad EAAB'!N105</f>
        <v>0</v>
      </c>
      <c r="K4" s="292">
        <f>'REMUNERACION Reciprocidad EAAB'!D126</f>
        <v>12820520</v>
      </c>
      <c r="L4" s="353">
        <f>'REMUNERACION Reciprocidad EAAB'!E126</f>
        <v>0</v>
      </c>
      <c r="M4" s="292">
        <f>-'REMUNERACION Reciprocidad EAAB'!D67-'REMUNERACION Reciprocidad EAAB'!N67</f>
        <v>0</v>
      </c>
      <c r="N4" s="318">
        <f>SUM(I4:M4)</f>
        <v>59862115.059999995</v>
      </c>
      <c r="O4" s="354">
        <f t="shared" si="0"/>
        <v>0</v>
      </c>
      <c r="P4" s="1" t="b">
        <f t="shared" ref="P4:P9" si="2">INT(O4)=0</f>
        <v>1</v>
      </c>
    </row>
    <row r="5" spans="2:16" s="355" customFormat="1" x14ac:dyDescent="0.25">
      <c r="B5" s="314">
        <v>3</v>
      </c>
      <c r="C5" s="317">
        <f>'Recaudo EAAB Reciprocidad'!D23</f>
        <v>0</v>
      </c>
      <c r="D5" s="292">
        <f>'REMUNERACION Reciprocidad EAAB'!G127</f>
        <v>0</v>
      </c>
      <c r="E5" s="292">
        <f>'REMUNERACION Reciprocidad EAAB'!D30+'REMUNERACION Reciprocidad EAAB'!N30</f>
        <v>0</v>
      </c>
      <c r="F5" s="292">
        <f>'REMUNERACION Reciprocidad EAAB'!I144</f>
        <v>0</v>
      </c>
      <c r="G5" s="292">
        <f>'REMUNERACION Reciprocidad EAAB'!H144</f>
        <v>0</v>
      </c>
      <c r="H5" s="340">
        <f t="shared" si="1"/>
        <v>0</v>
      </c>
      <c r="I5" s="291">
        <f>'REMUNERACION Reciprocidad EAAB'!D106</f>
        <v>0</v>
      </c>
      <c r="J5" s="292">
        <f>'REMUNERACION Reciprocidad EAAB'!N106</f>
        <v>0</v>
      </c>
      <c r="K5" s="292">
        <f>'REMUNERACION Reciprocidad EAAB'!D127</f>
        <v>0</v>
      </c>
      <c r="L5" s="353">
        <f>'REMUNERACION Reciprocidad EAAB'!E127</f>
        <v>0</v>
      </c>
      <c r="M5" s="292">
        <f>-'REMUNERACION Reciprocidad EAAB'!D68-'REMUNERACION Reciprocidad EAAB'!N68</f>
        <v>0</v>
      </c>
      <c r="N5" s="318">
        <f>SUM(I5:M5)</f>
        <v>0</v>
      </c>
      <c r="O5" s="354">
        <f>H5-N5</f>
        <v>0</v>
      </c>
      <c r="P5" s="1" t="b">
        <f t="shared" si="2"/>
        <v>1</v>
      </c>
    </row>
    <row r="6" spans="2:16" s="355" customFormat="1" x14ac:dyDescent="0.25">
      <c r="B6" s="314">
        <v>4</v>
      </c>
      <c r="C6" s="317">
        <f>'Recaudo EAAB Reciprocidad'!F24</f>
        <v>15885640</v>
      </c>
      <c r="D6" s="292">
        <f>'REMUNERACION Reciprocidad EAAB'!G128</f>
        <v>41900</v>
      </c>
      <c r="E6" s="292">
        <f>'REMUNERACION Reciprocidad EAAB'!D31+'REMUNERACION Reciprocidad EAAB'!N31</f>
        <v>66508368.82</v>
      </c>
      <c r="F6" s="292">
        <f>'REMUNERACION Reciprocidad EAAB'!I145</f>
        <v>0</v>
      </c>
      <c r="G6" s="292">
        <f>'REMUNERACION Reciprocidad EAAB'!H145</f>
        <v>35954.44</v>
      </c>
      <c r="H6" s="340">
        <f t="shared" si="1"/>
        <v>82471863.25999999</v>
      </c>
      <c r="I6" s="291">
        <f>'REMUNERACION Reciprocidad EAAB'!D107</f>
        <v>71467043.25999999</v>
      </c>
      <c r="J6" s="292">
        <f>'REMUNERACION Reciprocidad EAAB'!N107</f>
        <v>0</v>
      </c>
      <c r="K6" s="292">
        <f>'REMUNERACION Reciprocidad EAAB'!D128</f>
        <v>10268790</v>
      </c>
      <c r="L6" s="353">
        <f>'REMUNERACION Reciprocidad EAAB'!E128</f>
        <v>0</v>
      </c>
      <c r="M6" s="292">
        <f>-'REMUNERACION Reciprocidad EAAB'!D69-'REMUNERACION Reciprocidad EAAB'!N69</f>
        <v>736030</v>
      </c>
      <c r="N6" s="318">
        <f t="shared" ref="N6:N7" si="3">SUM(I6:M6)</f>
        <v>82471863.25999999</v>
      </c>
      <c r="O6" s="354">
        <f t="shared" si="0"/>
        <v>0</v>
      </c>
      <c r="P6" s="1" t="b">
        <f t="shared" si="2"/>
        <v>1</v>
      </c>
    </row>
    <row r="7" spans="2:16" s="355" customFormat="1" x14ac:dyDescent="0.25">
      <c r="B7" s="314">
        <v>5</v>
      </c>
      <c r="C7" s="317">
        <f>'Recaudo EAAB Reciprocidad'!D25</f>
        <v>0</v>
      </c>
      <c r="D7" s="292">
        <f>'REMUNERACION Reciprocidad EAAB'!G129</f>
        <v>0</v>
      </c>
      <c r="E7" s="292">
        <f>'REMUNERACION Reciprocidad EAAB'!D32+'REMUNERACION Reciprocidad EAAB'!N32</f>
        <v>0</v>
      </c>
      <c r="F7" s="292">
        <f>'REMUNERACION Reciprocidad EAAB'!I146</f>
        <v>0</v>
      </c>
      <c r="G7" s="292">
        <f>'REMUNERACION Reciprocidad EAAB'!H146</f>
        <v>0</v>
      </c>
      <c r="H7" s="340">
        <f t="shared" si="1"/>
        <v>0</v>
      </c>
      <c r="I7" s="291">
        <f>'REMUNERACION Reciprocidad EAAB'!D108</f>
        <v>0</v>
      </c>
      <c r="J7" s="292">
        <f>'REMUNERACION Reciprocidad EAAB'!N108</f>
        <v>0</v>
      </c>
      <c r="K7" s="292">
        <f>'REMUNERACION Reciprocidad EAAB'!D129</f>
        <v>0</v>
      </c>
      <c r="L7" s="353">
        <f>'REMUNERACION Reciprocidad EAAB'!E129</f>
        <v>0</v>
      </c>
      <c r="M7" s="292">
        <f>-'REMUNERACION Reciprocidad EAAB'!D70-'REMUNERACION Reciprocidad EAAB'!N70</f>
        <v>0</v>
      </c>
      <c r="N7" s="318">
        <f t="shared" si="3"/>
        <v>0</v>
      </c>
      <c r="O7" s="354">
        <f>H7-N7</f>
        <v>0</v>
      </c>
      <c r="P7" s="1" t="b">
        <f t="shared" si="2"/>
        <v>1</v>
      </c>
    </row>
    <row r="8" spans="2:16" s="355" customFormat="1" ht="13" thickBot="1" x14ac:dyDescent="0.3">
      <c r="B8" s="341" t="s">
        <v>89</v>
      </c>
      <c r="C8" s="317">
        <f>'Recaudo EAAB Reciprocidad'!F26</f>
        <v>0</v>
      </c>
      <c r="D8" s="356">
        <v>0</v>
      </c>
      <c r="E8" s="356">
        <v>0</v>
      </c>
      <c r="F8" s="356">
        <v>0</v>
      </c>
      <c r="G8" s="356">
        <v>0</v>
      </c>
      <c r="H8" s="340">
        <f t="shared" si="1"/>
        <v>0</v>
      </c>
      <c r="I8" s="357">
        <v>0</v>
      </c>
      <c r="J8" s="343">
        <v>0</v>
      </c>
      <c r="K8" s="343">
        <v>0</v>
      </c>
      <c r="L8" s="353">
        <f>'REMUNERACION Reciprocidad EAAB'!E130</f>
        <v>0</v>
      </c>
      <c r="M8" s="356">
        <v>0</v>
      </c>
      <c r="N8" s="358">
        <f>SUM(I8:L8)-M8</f>
        <v>0</v>
      </c>
      <c r="O8" s="354">
        <f t="shared" si="0"/>
        <v>0</v>
      </c>
      <c r="P8" s="1" t="b">
        <f t="shared" si="2"/>
        <v>1</v>
      </c>
    </row>
    <row r="9" spans="2:16" s="355" customFormat="1" ht="13" thickBot="1" x14ac:dyDescent="0.3">
      <c r="B9" s="327"/>
      <c r="C9" s="290">
        <f>SUM(C3:C8)</f>
        <v>40117400</v>
      </c>
      <c r="D9" s="290">
        <f t="shared" ref="D9:M9" si="4">SUM(D3:D8)</f>
        <v>41900</v>
      </c>
      <c r="E9" s="290">
        <f>SUM(E3:E8)</f>
        <v>101922698.10999998</v>
      </c>
      <c r="F9" s="290">
        <f t="shared" si="4"/>
        <v>0</v>
      </c>
      <c r="G9" s="290">
        <f t="shared" si="4"/>
        <v>251980.21</v>
      </c>
      <c r="H9" s="290">
        <f t="shared" si="4"/>
        <v>142333978.31999999</v>
      </c>
      <c r="I9" s="290">
        <f t="shared" si="4"/>
        <v>118508638.31999999</v>
      </c>
      <c r="J9" s="290">
        <f t="shared" si="4"/>
        <v>0</v>
      </c>
      <c r="K9" s="290">
        <f t="shared" si="4"/>
        <v>23089310</v>
      </c>
      <c r="L9" s="290">
        <f t="shared" si="4"/>
        <v>0</v>
      </c>
      <c r="M9" s="290">
        <f t="shared" si="4"/>
        <v>736030</v>
      </c>
      <c r="N9" s="290">
        <f>SUM(N3:N8)</f>
        <v>142333978.31999999</v>
      </c>
      <c r="O9" s="359">
        <f>SUM(O3:O8)</f>
        <v>0</v>
      </c>
      <c r="P9" s="1" t="b">
        <f t="shared" si="2"/>
        <v>1</v>
      </c>
    </row>
    <row r="11" spans="2:16" ht="13" x14ac:dyDescent="0.3">
      <c r="B11" s="102" t="s">
        <v>89</v>
      </c>
      <c r="C11" s="103" t="s">
        <v>90</v>
      </c>
      <c r="M11" s="141"/>
      <c r="O11" s="137"/>
    </row>
    <row r="12" spans="2:16" x14ac:dyDescent="0.25">
      <c r="C12" s="143"/>
    </row>
    <row r="13" spans="2:16" x14ac:dyDescent="0.25">
      <c r="B13" s="142"/>
      <c r="C13" s="143" t="s">
        <v>1</v>
      </c>
    </row>
    <row r="14" spans="2:16" x14ac:dyDescent="0.25">
      <c r="C14" s="245">
        <f>'Valida - Control Recaudo'!D9</f>
        <v>40117400</v>
      </c>
    </row>
    <row r="15" spans="2:16" x14ac:dyDescent="0.25">
      <c r="C15" s="249" t="b">
        <f>C14=C9</f>
        <v>1</v>
      </c>
    </row>
    <row r="16" spans="2:16" x14ac:dyDescent="0.25">
      <c r="C16" s="212" t="s">
        <v>1</v>
      </c>
    </row>
  </sheetData>
  <conditionalFormatting sqref="C15">
    <cfRule type="cellIs" dxfId="54" priority="4" operator="notEqual">
      <formula>TRUE</formula>
    </cfRule>
  </conditionalFormatting>
  <conditionalFormatting sqref="P3:P9">
    <cfRule type="cellIs" dxfId="53" priority="2" operator="notEqual">
      <formula>TRUE</formula>
    </cfRule>
  </conditionalFormatting>
  <pageMargins left="0.7" right="0.7" top="0.75" bottom="0.75" header="0.3" footer="0.3"/>
  <pageSetup orientation="portrait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tabColor rgb="FF00B0F0"/>
    <pageSetUpPr fitToPage="1"/>
  </sheetPr>
  <dimension ref="A1:AI52"/>
  <sheetViews>
    <sheetView zoomScaleNormal="100" workbookViewId="0"/>
  </sheetViews>
  <sheetFormatPr baseColWidth="10" defaultColWidth="11.453125" defaultRowHeight="11.5" x14ac:dyDescent="0.25"/>
  <cols>
    <col min="1" max="1" width="3" style="1" customWidth="1"/>
    <col min="2" max="2" width="4.453125" style="1" bestFit="1" customWidth="1"/>
    <col min="3" max="3" width="36.81640625" style="1" customWidth="1"/>
    <col min="4" max="4" width="15.1796875" style="1" customWidth="1"/>
    <col min="5" max="5" width="16" style="1" customWidth="1"/>
    <col min="6" max="7" width="14.81640625" style="1" customWidth="1"/>
    <col min="8" max="8" width="16.1796875" style="1" customWidth="1"/>
    <col min="9" max="9" width="20.1796875" style="1" bestFit="1" customWidth="1"/>
    <col min="10" max="10" width="15.54296875" style="1" customWidth="1"/>
    <col min="11" max="11" width="17.54296875" style="1" customWidth="1"/>
    <col min="12" max="12" width="16.54296875" style="1" customWidth="1"/>
    <col min="13" max="13" width="19.81640625" style="1" customWidth="1"/>
    <col min="14" max="14" width="15.1796875" style="1" customWidth="1"/>
    <col min="15" max="15" width="16.81640625" style="1" customWidth="1"/>
    <col min="16" max="16" width="3.81640625" style="1" customWidth="1"/>
    <col min="17" max="17" width="2.81640625" style="1" customWidth="1"/>
    <col min="18" max="18" width="4.54296875" style="1" customWidth="1"/>
    <col min="19" max="19" width="11.1796875" style="1" customWidth="1"/>
    <col min="20" max="20" width="39.453125" style="1" customWidth="1"/>
    <col min="21" max="21" width="19.1796875" style="1" customWidth="1"/>
    <col min="22" max="22" width="17.81640625" style="1" customWidth="1"/>
    <col min="23" max="23" width="16.453125" style="1" customWidth="1"/>
    <col min="24" max="24" width="17.1796875" style="1" customWidth="1"/>
    <col min="25" max="25" width="15.81640625" style="1" customWidth="1"/>
    <col min="26" max="26" width="16" style="1" customWidth="1"/>
    <col min="27" max="27" width="15" style="1" customWidth="1"/>
    <col min="28" max="29" width="16.81640625" style="1" customWidth="1"/>
    <col min="30" max="31" width="15.453125" style="1" customWidth="1"/>
    <col min="32" max="32" width="16.1796875" style="1" customWidth="1"/>
    <col min="33" max="33" width="9.81640625" style="1" customWidth="1"/>
    <col min="34" max="34" width="13.81640625" style="1" customWidth="1"/>
    <col min="35" max="35" width="3.453125" style="1" customWidth="1"/>
    <col min="36" max="16384" width="11.453125" style="1"/>
  </cols>
  <sheetData>
    <row r="1" spans="2:35" ht="12" thickBot="1" x14ac:dyDescent="0.3">
      <c r="Q1" s="4"/>
      <c r="AI1" s="4"/>
    </row>
    <row r="2" spans="2:35" x14ac:dyDescent="0.25">
      <c r="B2" s="5"/>
      <c r="C2" s="3" t="s">
        <v>1</v>
      </c>
      <c r="D2" s="6" t="s">
        <v>1</v>
      </c>
      <c r="E2" s="3"/>
      <c r="F2" s="3"/>
      <c r="G2" s="3"/>
      <c r="H2" s="3" t="s">
        <v>1</v>
      </c>
      <c r="I2" s="3"/>
      <c r="J2" s="3"/>
      <c r="K2" s="3"/>
      <c r="L2" s="3"/>
      <c r="M2" s="3"/>
      <c r="N2" s="3"/>
      <c r="O2" s="7"/>
      <c r="P2" s="2"/>
      <c r="Q2" s="4"/>
      <c r="S2" s="5"/>
      <c r="T2" s="3" t="s">
        <v>1</v>
      </c>
      <c r="U2" s="6" t="s">
        <v>1</v>
      </c>
      <c r="V2" s="3"/>
      <c r="W2" s="3"/>
      <c r="X2" s="3" t="s">
        <v>1</v>
      </c>
      <c r="Y2" s="3"/>
      <c r="Z2" s="3"/>
      <c r="AA2" s="3"/>
      <c r="AB2" s="3"/>
      <c r="AC2" s="3"/>
      <c r="AD2" s="3"/>
      <c r="AE2" s="3"/>
      <c r="AF2" s="7"/>
      <c r="AG2" s="2"/>
      <c r="AI2" s="4"/>
    </row>
    <row r="3" spans="2:35" ht="14" x14ac:dyDescent="0.3">
      <c r="B3" s="8"/>
      <c r="F3" s="26" t="s">
        <v>8</v>
      </c>
      <c r="G3" s="26"/>
      <c r="I3" s="26" t="s">
        <v>16</v>
      </c>
      <c r="J3" s="25"/>
      <c r="M3" s="2" t="s">
        <v>15</v>
      </c>
      <c r="N3" s="50">
        <f>'REMUNERACION Reciprocidad EAAB'!N98</f>
        <v>2026072</v>
      </c>
      <c r="O3" s="10"/>
      <c r="P3" s="2"/>
      <c r="Q3" s="4"/>
      <c r="S3" s="8"/>
      <c r="U3" s="26" t="s">
        <v>8</v>
      </c>
      <c r="W3" s="26" t="s">
        <v>16</v>
      </c>
      <c r="X3" s="25"/>
      <c r="Y3" s="2"/>
      <c r="AA3" s="2" t="s">
        <v>15</v>
      </c>
      <c r="AD3" s="84">
        <f>N3</f>
        <v>2026072</v>
      </c>
      <c r="AE3" s="84"/>
      <c r="AF3" s="48"/>
      <c r="AG3" s="2"/>
      <c r="AI3" s="4"/>
    </row>
    <row r="4" spans="2:35" ht="15.5" x14ac:dyDescent="0.35">
      <c r="B4" s="8"/>
      <c r="F4" s="36" t="s">
        <v>29</v>
      </c>
      <c r="G4" s="36"/>
      <c r="O4" s="10"/>
      <c r="P4" s="2"/>
      <c r="Q4" s="4"/>
      <c r="S4" s="8"/>
      <c r="T4" s="26" t="s">
        <v>1</v>
      </c>
      <c r="U4" s="36" t="s">
        <v>29</v>
      </c>
      <c r="Y4" s="2" t="s">
        <v>1</v>
      </c>
      <c r="AA4" s="50" t="s">
        <v>1</v>
      </c>
      <c r="AB4" s="2"/>
      <c r="AC4" s="2"/>
      <c r="AD4" s="2"/>
      <c r="AE4" s="2"/>
      <c r="AF4" s="10" t="s">
        <v>1</v>
      </c>
      <c r="AG4" s="2"/>
      <c r="AI4" s="4"/>
    </row>
    <row r="5" spans="2:35" ht="14" x14ac:dyDescent="0.3">
      <c r="B5" s="8"/>
      <c r="F5" s="2" t="s">
        <v>30</v>
      </c>
      <c r="G5" s="2"/>
      <c r="M5" s="2" t="s">
        <v>1</v>
      </c>
      <c r="O5" s="10"/>
      <c r="P5" s="2"/>
      <c r="Q5" s="4"/>
      <c r="S5" s="8"/>
      <c r="T5" s="49" t="s">
        <v>1</v>
      </c>
      <c r="U5" s="2" t="s">
        <v>30</v>
      </c>
      <c r="AF5" s="44"/>
      <c r="AG5" s="2"/>
      <c r="AI5" s="4"/>
    </row>
    <row r="6" spans="2:35" ht="15.5" x14ac:dyDescent="0.35">
      <c r="B6" s="8"/>
      <c r="C6" s="599" t="s">
        <v>17</v>
      </c>
      <c r="D6" s="9">
        <f>'REMUNERACION Reciprocidad EAAB'!D101</f>
        <v>46238</v>
      </c>
      <c r="F6" s="58" t="str">
        <f>'REMUNERACION Reciprocidad EAAB'!F101</f>
        <v>REPORTE CONSOLIDADO TOTAL DE RECAUDO // RECIPROCIDAD - EAAB</v>
      </c>
      <c r="G6" s="58"/>
      <c r="H6" s="59"/>
      <c r="I6" s="60"/>
      <c r="J6" s="59"/>
      <c r="O6" s="10"/>
      <c r="P6" s="2"/>
      <c r="Q6" s="4"/>
      <c r="S6" s="8"/>
      <c r="T6" s="41" t="s">
        <v>1</v>
      </c>
      <c r="U6" s="58" t="str">
        <f>'REMUNERACION Reciprocidad EAAB'!U101</f>
        <v>REPORTE DETALLADO SUBBOLSA RBL DISCRIMINADO POR ACTIVIDADES // RECIPROCIDAD - EAAB</v>
      </c>
      <c r="V6" s="59"/>
      <c r="W6" s="60"/>
      <c r="X6" s="59"/>
      <c r="Y6" s="2"/>
      <c r="AF6" s="48"/>
      <c r="AG6" s="2"/>
      <c r="AI6" s="4"/>
    </row>
    <row r="7" spans="2:35" ht="12" thickBot="1" x14ac:dyDescent="0.3">
      <c r="B7" s="8"/>
      <c r="C7" s="599" t="s">
        <v>0</v>
      </c>
      <c r="D7" s="241">
        <f>'REMUNERACION Reciprocidad EAAB'!D102</f>
        <v>0.58333333333333337</v>
      </c>
      <c r="F7" s="2" t="s">
        <v>27</v>
      </c>
      <c r="G7" s="9">
        <f>'REMUNERACION Reciprocidad EAAB'!G102</f>
        <v>46219</v>
      </c>
      <c r="J7" s="2" t="s">
        <v>28</v>
      </c>
      <c r="K7" s="9">
        <f>'REMUNERACION Reciprocidad EAAB'!K102</f>
        <v>46234</v>
      </c>
      <c r="O7" s="10"/>
      <c r="P7" s="2"/>
      <c r="Q7" s="4"/>
      <c r="S7" s="8"/>
      <c r="U7" s="1" t="str">
        <f>F7</f>
        <v>Fecha Desde:</v>
      </c>
      <c r="V7" s="9">
        <f>G7</f>
        <v>46219</v>
      </c>
      <c r="W7" s="1" t="s">
        <v>1</v>
      </c>
      <c r="X7" s="1" t="str">
        <f>J7</f>
        <v>Feha Hasta:</v>
      </c>
      <c r="Y7" s="9">
        <f>K7</f>
        <v>46234</v>
      </c>
      <c r="Z7" s="1" t="s">
        <v>1</v>
      </c>
      <c r="AF7" s="48"/>
      <c r="AG7" s="2"/>
      <c r="AI7" s="4"/>
    </row>
    <row r="8" spans="2:35" ht="69.5" thickBot="1" x14ac:dyDescent="0.3">
      <c r="B8" s="11" t="s">
        <v>3</v>
      </c>
      <c r="C8" s="27" t="s">
        <v>9</v>
      </c>
      <c r="D8" s="11" t="s">
        <v>4</v>
      </c>
      <c r="E8" s="12" t="s">
        <v>5</v>
      </c>
      <c r="F8" s="12" t="s">
        <v>6</v>
      </c>
      <c r="G8" s="27" t="s">
        <v>159</v>
      </c>
      <c r="H8" s="12" t="s">
        <v>18</v>
      </c>
      <c r="I8" s="12" t="s">
        <v>24</v>
      </c>
      <c r="J8" s="73" t="s">
        <v>19</v>
      </c>
      <c r="K8" s="29" t="s">
        <v>20</v>
      </c>
      <c r="L8" s="28" t="s">
        <v>21</v>
      </c>
      <c r="M8" s="39" t="s">
        <v>22</v>
      </c>
      <c r="N8" s="12" t="s">
        <v>7</v>
      </c>
      <c r="O8" s="39" t="s">
        <v>23</v>
      </c>
      <c r="P8" s="13"/>
      <c r="Q8" s="4"/>
      <c r="S8" s="11" t="s">
        <v>3</v>
      </c>
      <c r="T8" s="27" t="s">
        <v>9</v>
      </c>
      <c r="U8" s="80" t="s">
        <v>39</v>
      </c>
      <c r="V8" s="51" t="s">
        <v>40</v>
      </c>
      <c r="W8" s="51" t="s">
        <v>41</v>
      </c>
      <c r="X8" s="51" t="s">
        <v>42</v>
      </c>
      <c r="Y8" s="81" t="s">
        <v>43</v>
      </c>
      <c r="Z8" s="85" t="s">
        <v>21</v>
      </c>
      <c r="AA8" s="65" t="s">
        <v>46</v>
      </c>
      <c r="AB8" s="65" t="s">
        <v>7</v>
      </c>
      <c r="AC8" s="85" t="s">
        <v>168</v>
      </c>
      <c r="AD8" s="27" t="s">
        <v>105</v>
      </c>
      <c r="AE8" s="27" t="s">
        <v>104</v>
      </c>
      <c r="AF8" s="39" t="s">
        <v>23</v>
      </c>
      <c r="AG8" s="13"/>
      <c r="AI8" s="4"/>
    </row>
    <row r="9" spans="2:35" x14ac:dyDescent="0.25">
      <c r="B9" s="14">
        <v>1</v>
      </c>
      <c r="C9" s="61" t="s">
        <v>10</v>
      </c>
      <c r="D9" s="66">
        <f>'REMUNERACION Reciprocidad EAAB'!D104</f>
        <v>0</v>
      </c>
      <c r="E9" s="66">
        <f>'REMUNERACION Reciprocidad EAAB'!E104</f>
        <v>0</v>
      </c>
      <c r="F9" s="66">
        <f>'REMUNERACION Reciprocidad EAAB'!F104</f>
        <v>0</v>
      </c>
      <c r="G9" s="66">
        <f>'REMUNERACION Reciprocidad EAAB'!G104</f>
        <v>0</v>
      </c>
      <c r="H9" s="66">
        <f>'REMUNERACION Reciprocidad EAAB'!H104</f>
        <v>0</v>
      </c>
      <c r="I9" s="66">
        <f>'REMUNERACION Reciprocidad EAAB'!I104</f>
        <v>0</v>
      </c>
      <c r="J9" s="66">
        <f>'REMUNERACION Reciprocidad EAAB'!J104</f>
        <v>0</v>
      </c>
      <c r="K9" s="30">
        <f>D9-E9-F9-G9-H9-I9-J9</f>
        <v>0</v>
      </c>
      <c r="L9" s="66">
        <f>'REMUNERACION Reciprocidad EAAB'!L104</f>
        <v>0</v>
      </c>
      <c r="M9" s="30">
        <f>K9-L9</f>
        <v>0</v>
      </c>
      <c r="N9" s="66">
        <f>'REMUNERACION Reciprocidad EAAB'!N104</f>
        <v>0</v>
      </c>
      <c r="O9" s="30">
        <f>M9+N9</f>
        <v>0</v>
      </c>
      <c r="Q9" s="4"/>
      <c r="S9" s="14">
        <v>1</v>
      </c>
      <c r="T9" s="61" t="s">
        <v>10</v>
      </c>
      <c r="U9" s="66">
        <f>'REMUNERACION Reciprocidad EAAB'!U104</f>
        <v>0</v>
      </c>
      <c r="V9" s="66">
        <f>'REMUNERACION Reciprocidad EAAB'!V104</f>
        <v>0</v>
      </c>
      <c r="W9" s="66">
        <f>'REMUNERACION Reciprocidad EAAB'!W104</f>
        <v>0</v>
      </c>
      <c r="X9" s="66">
        <f>'REMUNERACION Reciprocidad EAAB'!X104</f>
        <v>0</v>
      </c>
      <c r="Y9" s="66">
        <f>'REMUNERACION Reciprocidad EAAB'!Y104</f>
        <v>0</v>
      </c>
      <c r="Z9" s="66">
        <f>'REMUNERACION Reciprocidad EAAB'!Z104</f>
        <v>0</v>
      </c>
      <c r="AA9" s="66">
        <f>'REMUNERACION Reciprocidad EAAB'!AA104</f>
        <v>0</v>
      </c>
      <c r="AB9" s="66">
        <f>'REMUNERACION Reciprocidad EAAB'!AB104</f>
        <v>0</v>
      </c>
      <c r="AC9" s="66">
        <f>'REMUNERACION Reciprocidad EAAB'!AC104</f>
        <v>0</v>
      </c>
      <c r="AD9" s="66">
        <f>'REMUNERACION Reciprocidad EAAB'!AD104</f>
        <v>0</v>
      </c>
      <c r="AE9" s="66">
        <f>'REMUNERACION Reciprocidad EAAB'!AE104</f>
        <v>0</v>
      </c>
      <c r="AF9" s="69">
        <f>SUM(U9:AD9)</f>
        <v>0</v>
      </c>
      <c r="AG9" s="71">
        <f>AF9-O9</f>
        <v>0</v>
      </c>
      <c r="AH9" s="1" t="b">
        <f>INT(AG9)=0</f>
        <v>1</v>
      </c>
      <c r="AI9" s="4"/>
    </row>
    <row r="10" spans="2:35" x14ac:dyDescent="0.25">
      <c r="B10" s="16">
        <v>2</v>
      </c>
      <c r="C10" s="62" t="s">
        <v>11</v>
      </c>
      <c r="D10" s="66">
        <f>'REMUNERACION Reciprocidad EAAB'!D105</f>
        <v>47041595.059999995</v>
      </c>
      <c r="E10" s="66">
        <f>'REMUNERACION Reciprocidad EAAB'!E105</f>
        <v>4095120.52</v>
      </c>
      <c r="F10" s="66">
        <f>'REMUNERACION Reciprocidad EAAB'!F105</f>
        <v>2274787</v>
      </c>
      <c r="G10" s="66">
        <f>'REMUNERACION Reciprocidad EAAB'!G105</f>
        <v>1028626.41</v>
      </c>
      <c r="H10" s="66">
        <f>'REMUNERACION Reciprocidad EAAB'!H105</f>
        <v>18268033.049999997</v>
      </c>
      <c r="I10" s="66">
        <f>'REMUNERACION Reciprocidad EAAB'!I105</f>
        <v>535415.67000000004</v>
      </c>
      <c r="J10" s="66">
        <f>'REMUNERACION Reciprocidad EAAB'!J105</f>
        <v>0</v>
      </c>
      <c r="K10" s="31">
        <f t="shared" ref="K10:K13" si="0">D10-E10-F10-G10-H10-I10-J10</f>
        <v>20839612.409999996</v>
      </c>
      <c r="L10" s="66">
        <f>'REMUNERACION Reciprocidad EAAB'!L105</f>
        <v>0</v>
      </c>
      <c r="M10" s="31">
        <f>K10-L10</f>
        <v>20839612.409999996</v>
      </c>
      <c r="N10" s="66">
        <f>'REMUNERACION Reciprocidad EAAB'!N105</f>
        <v>0</v>
      </c>
      <c r="O10" s="31">
        <f t="shared" ref="O10:O13" si="1">M10+N10</f>
        <v>20839612.409999996</v>
      </c>
      <c r="Q10" s="4"/>
      <c r="S10" s="16">
        <v>2</v>
      </c>
      <c r="T10" s="62" t="s">
        <v>11</v>
      </c>
      <c r="U10" s="66">
        <f>'REMUNERACION Reciprocidad EAAB'!U105</f>
        <v>4831656.13</v>
      </c>
      <c r="V10" s="66">
        <f>'REMUNERACION Reciprocidad EAAB'!V105</f>
        <v>5407389.7400000002</v>
      </c>
      <c r="W10" s="66">
        <f>'REMUNERACION Reciprocidad EAAB'!W105</f>
        <v>20054944.010000002</v>
      </c>
      <c r="X10" s="66">
        <f>'REMUNERACION Reciprocidad EAAB'!X105</f>
        <v>11013548.23</v>
      </c>
      <c r="Y10" s="66">
        <f>'REMUNERACION Reciprocidad EAAB'!Y105</f>
        <v>712165.05</v>
      </c>
      <c r="Z10" s="66">
        <f>'REMUNERACION Reciprocidad EAAB'!Z105</f>
        <v>0</v>
      </c>
      <c r="AA10" s="66">
        <f>'REMUNERACION Reciprocidad EAAB'!AA105</f>
        <v>42.75</v>
      </c>
      <c r="AB10" s="66">
        <f>'REMUNERACION Reciprocidad EAAB'!AB105</f>
        <v>0</v>
      </c>
      <c r="AC10" s="66">
        <f>'REMUNERACION Reciprocidad EAAB'!AC105</f>
        <v>-7.0000000000000007E-2</v>
      </c>
      <c r="AD10" s="66">
        <f>'REMUNERACION Reciprocidad EAAB'!AD105</f>
        <v>-21180133.430000003</v>
      </c>
      <c r="AE10" s="66">
        <f>'REMUNERACION Reciprocidad EAAB'!AE105</f>
        <v>-21180133.430000003</v>
      </c>
      <c r="AF10" s="70">
        <f>SUM(U10:AD10)</f>
        <v>20839612.409999993</v>
      </c>
      <c r="AG10" s="72">
        <f>AF10-O10</f>
        <v>0</v>
      </c>
      <c r="AH10" s="1" t="b">
        <f t="shared" ref="AH10:AH14" si="2">INT(AG10)=0</f>
        <v>1</v>
      </c>
      <c r="AI10" s="4"/>
    </row>
    <row r="11" spans="2:35" x14ac:dyDescent="0.25">
      <c r="B11" s="16">
        <v>3</v>
      </c>
      <c r="C11" s="62" t="s">
        <v>12</v>
      </c>
      <c r="D11" s="66">
        <f>'REMUNERACION Reciprocidad EAAB'!D106</f>
        <v>0</v>
      </c>
      <c r="E11" s="66">
        <f>'REMUNERACION Reciprocidad EAAB'!E106</f>
        <v>0</v>
      </c>
      <c r="F11" s="66">
        <f>'REMUNERACION Reciprocidad EAAB'!F106</f>
        <v>0</v>
      </c>
      <c r="G11" s="66">
        <f>'REMUNERACION Reciprocidad EAAB'!G106</f>
        <v>0</v>
      </c>
      <c r="H11" s="66">
        <f>'REMUNERACION Reciprocidad EAAB'!H106</f>
        <v>0</v>
      </c>
      <c r="I11" s="66">
        <f>'REMUNERACION Reciprocidad EAAB'!I106</f>
        <v>0</v>
      </c>
      <c r="J11" s="66">
        <f>'REMUNERACION Reciprocidad EAAB'!J106</f>
        <v>0</v>
      </c>
      <c r="K11" s="31">
        <f t="shared" si="0"/>
        <v>0</v>
      </c>
      <c r="L11" s="66">
        <f>'REMUNERACION Reciprocidad EAAB'!L106</f>
        <v>0</v>
      </c>
      <c r="M11" s="31">
        <f>K11-L11</f>
        <v>0</v>
      </c>
      <c r="N11" s="66">
        <f>'REMUNERACION Reciprocidad EAAB'!N106</f>
        <v>0</v>
      </c>
      <c r="O11" s="31">
        <f t="shared" si="1"/>
        <v>0</v>
      </c>
      <c r="Q11" s="4"/>
      <c r="S11" s="16">
        <v>3</v>
      </c>
      <c r="T11" s="62" t="s">
        <v>12</v>
      </c>
      <c r="U11" s="66">
        <f>'REMUNERACION Reciprocidad EAAB'!U106</f>
        <v>0</v>
      </c>
      <c r="V11" s="66">
        <f>'REMUNERACION Reciprocidad EAAB'!V106</f>
        <v>0</v>
      </c>
      <c r="W11" s="66">
        <f>'REMUNERACION Reciprocidad EAAB'!W106</f>
        <v>0</v>
      </c>
      <c r="X11" s="66">
        <f>'REMUNERACION Reciprocidad EAAB'!X106</f>
        <v>0</v>
      </c>
      <c r="Y11" s="66">
        <f>'REMUNERACION Reciprocidad EAAB'!Y106</f>
        <v>0</v>
      </c>
      <c r="Z11" s="66">
        <f>'REMUNERACION Reciprocidad EAAB'!Z106</f>
        <v>0</v>
      </c>
      <c r="AA11" s="66">
        <f>'REMUNERACION Reciprocidad EAAB'!AA106</f>
        <v>0</v>
      </c>
      <c r="AB11" s="66">
        <f>'REMUNERACION Reciprocidad EAAB'!AB106</f>
        <v>0</v>
      </c>
      <c r="AC11" s="66">
        <f>'REMUNERACION Reciprocidad EAAB'!AC106</f>
        <v>0</v>
      </c>
      <c r="AD11" s="66">
        <f>'REMUNERACION Reciprocidad EAAB'!AD106</f>
        <v>0</v>
      </c>
      <c r="AE11" s="66">
        <f>'REMUNERACION Reciprocidad EAAB'!AE106</f>
        <v>0</v>
      </c>
      <c r="AF11" s="70">
        <f>SUM(U11:AD11)</f>
        <v>0</v>
      </c>
      <c r="AG11" s="72">
        <f>AF11-O11</f>
        <v>0</v>
      </c>
      <c r="AH11" s="1" t="b">
        <f t="shared" si="2"/>
        <v>1</v>
      </c>
      <c r="AI11" s="4"/>
    </row>
    <row r="12" spans="2:35" x14ac:dyDescent="0.25">
      <c r="B12" s="16">
        <v>4</v>
      </c>
      <c r="C12" s="62" t="s">
        <v>13</v>
      </c>
      <c r="D12" s="66">
        <f>'REMUNERACION Reciprocidad EAAB'!D107</f>
        <v>71467043.25999999</v>
      </c>
      <c r="E12" s="66">
        <f>'REMUNERACION Reciprocidad EAAB'!E107</f>
        <v>9337119.6800000016</v>
      </c>
      <c r="F12" s="66">
        <f>'REMUNERACION Reciprocidad EAAB'!F107</f>
        <v>5227614.95</v>
      </c>
      <c r="G12" s="66">
        <f>'REMUNERACION Reciprocidad EAAB'!G107</f>
        <v>1095011.2200000002</v>
      </c>
      <c r="H12" s="66">
        <f>'REMUNERACION Reciprocidad EAAB'!H107</f>
        <v>8931941.6099999994</v>
      </c>
      <c r="I12" s="66">
        <f>'REMUNERACION Reciprocidad EAAB'!I107</f>
        <v>265264.06</v>
      </c>
      <c r="J12" s="66">
        <f>'REMUNERACION Reciprocidad EAAB'!J107</f>
        <v>0</v>
      </c>
      <c r="K12" s="31">
        <f t="shared" si="0"/>
        <v>46610091.739999987</v>
      </c>
      <c r="L12" s="66">
        <f>'REMUNERACION Reciprocidad EAAB'!L107</f>
        <v>0</v>
      </c>
      <c r="M12" s="31">
        <f>K12-L12</f>
        <v>46610091.739999987</v>
      </c>
      <c r="N12" s="66">
        <f>'REMUNERACION Reciprocidad EAAB'!N107</f>
        <v>0</v>
      </c>
      <c r="O12" s="31">
        <f t="shared" si="1"/>
        <v>46610091.739999987</v>
      </c>
      <c r="Q12" s="4"/>
      <c r="S12" s="16">
        <v>4</v>
      </c>
      <c r="T12" s="62" t="s">
        <v>13</v>
      </c>
      <c r="U12" s="66">
        <f>'REMUNERACION Reciprocidad EAAB'!U107</f>
        <v>2506113.27</v>
      </c>
      <c r="V12" s="66">
        <f>'REMUNERACION Reciprocidad EAAB'!V107</f>
        <v>2730225.84</v>
      </c>
      <c r="W12" s="66">
        <f>'REMUNERACION Reciprocidad EAAB'!W107</f>
        <v>12255014.02</v>
      </c>
      <c r="X12" s="66">
        <f>'REMUNERACION Reciprocidad EAAB'!X107</f>
        <v>25300845.309999999</v>
      </c>
      <c r="Y12" s="66">
        <f>'REMUNERACION Reciprocidad EAAB'!Y107</f>
        <v>393638.25</v>
      </c>
      <c r="Z12" s="66">
        <f>'REMUNERACION Reciprocidad EAAB'!Z107</f>
        <v>0</v>
      </c>
      <c r="AA12" s="66">
        <f>'REMUNERACION Reciprocidad EAAB'!AA107</f>
        <v>52.11</v>
      </c>
      <c r="AB12" s="66">
        <f>'REMUNERACION Reciprocidad EAAB'!AB107</f>
        <v>0</v>
      </c>
      <c r="AC12" s="66">
        <f>'REMUNERACION Reciprocidad EAAB'!AC107</f>
        <v>0</v>
      </c>
      <c r="AD12" s="66">
        <f>'REMUNERACION Reciprocidad EAAB'!AD107</f>
        <v>3424202.94</v>
      </c>
      <c r="AE12" s="66">
        <f>'REMUNERACION Reciprocidad EAAB'!AE107</f>
        <v>3424202.94</v>
      </c>
      <c r="AF12" s="70">
        <f>SUM(U12:AD12)</f>
        <v>46610091.739999995</v>
      </c>
      <c r="AG12" s="72">
        <f>AF12-O12</f>
        <v>0</v>
      </c>
      <c r="AH12" s="1" t="b">
        <f t="shared" si="2"/>
        <v>1</v>
      </c>
      <c r="AI12" s="4"/>
    </row>
    <row r="13" spans="2:35" ht="12" thickBot="1" x14ac:dyDescent="0.3">
      <c r="B13" s="19">
        <v>5</v>
      </c>
      <c r="C13" s="63" t="s">
        <v>14</v>
      </c>
      <c r="D13" s="66">
        <f>'REMUNERACION Reciprocidad EAAB'!D108</f>
        <v>0</v>
      </c>
      <c r="E13" s="66">
        <f>'REMUNERACION Reciprocidad EAAB'!E108</f>
        <v>0</v>
      </c>
      <c r="F13" s="66">
        <f>'REMUNERACION Reciprocidad EAAB'!F108</f>
        <v>0</v>
      </c>
      <c r="G13" s="66">
        <f>'REMUNERACION Reciprocidad EAAB'!G108</f>
        <v>0</v>
      </c>
      <c r="H13" s="66">
        <f>'REMUNERACION Reciprocidad EAAB'!H108</f>
        <v>0</v>
      </c>
      <c r="I13" s="66">
        <f>'REMUNERACION Reciprocidad EAAB'!I108</f>
        <v>0</v>
      </c>
      <c r="J13" s="66">
        <f>'REMUNERACION Reciprocidad EAAB'!J108</f>
        <v>0</v>
      </c>
      <c r="K13" s="31">
        <f t="shared" si="0"/>
        <v>0</v>
      </c>
      <c r="L13" s="66">
        <f>'REMUNERACION Reciprocidad EAAB'!L108</f>
        <v>0</v>
      </c>
      <c r="M13" s="40">
        <f>K13-L13</f>
        <v>0</v>
      </c>
      <c r="N13" s="66">
        <f>'REMUNERACION Reciprocidad EAAB'!N108</f>
        <v>0</v>
      </c>
      <c r="O13" s="40">
        <f t="shared" si="1"/>
        <v>0</v>
      </c>
      <c r="Q13" s="4"/>
      <c r="S13" s="19">
        <v>5</v>
      </c>
      <c r="T13" s="63" t="s">
        <v>14</v>
      </c>
      <c r="U13" s="66">
        <f>'REMUNERACION Reciprocidad EAAB'!U108</f>
        <v>0</v>
      </c>
      <c r="V13" s="66">
        <f>'REMUNERACION Reciprocidad EAAB'!V108</f>
        <v>0</v>
      </c>
      <c r="W13" s="66">
        <f>'REMUNERACION Reciprocidad EAAB'!W108</f>
        <v>0</v>
      </c>
      <c r="X13" s="66">
        <f>'REMUNERACION Reciprocidad EAAB'!X108</f>
        <v>0</v>
      </c>
      <c r="Y13" s="66">
        <f>'REMUNERACION Reciprocidad EAAB'!Y108</f>
        <v>0</v>
      </c>
      <c r="Z13" s="66">
        <f>'REMUNERACION Reciprocidad EAAB'!Z108</f>
        <v>0</v>
      </c>
      <c r="AA13" s="66">
        <f>'REMUNERACION Reciprocidad EAAB'!AA108</f>
        <v>0</v>
      </c>
      <c r="AB13" s="66">
        <f>'REMUNERACION Reciprocidad EAAB'!AB108</f>
        <v>0</v>
      </c>
      <c r="AC13" s="66">
        <f>'REMUNERACION Reciprocidad EAAB'!AC108</f>
        <v>0</v>
      </c>
      <c r="AD13" s="66">
        <f>'REMUNERACION Reciprocidad EAAB'!AD108</f>
        <v>0</v>
      </c>
      <c r="AE13" s="66">
        <f>'REMUNERACION Reciprocidad EAAB'!AE108</f>
        <v>0</v>
      </c>
      <c r="AF13" s="70">
        <f>SUM(U13:AD13)</f>
        <v>0</v>
      </c>
      <c r="AG13" s="72">
        <f>AF13-O13</f>
        <v>0</v>
      </c>
      <c r="AH13" s="1" t="b">
        <f t="shared" si="2"/>
        <v>1</v>
      </c>
      <c r="AI13" s="4"/>
    </row>
    <row r="14" spans="2:35" ht="13.5" thickBot="1" x14ac:dyDescent="0.35">
      <c r="B14" s="21"/>
      <c r="C14" s="22" t="s">
        <v>2</v>
      </c>
      <c r="D14" s="43">
        <f t="shared" ref="D14:O14" si="3">SUM(D9:D13)</f>
        <v>118508638.31999999</v>
      </c>
      <c r="E14" s="43">
        <f t="shared" si="3"/>
        <v>13432240.200000001</v>
      </c>
      <c r="F14" s="43">
        <f t="shared" si="3"/>
        <v>7502401.9500000002</v>
      </c>
      <c r="G14" s="43">
        <f t="shared" si="3"/>
        <v>2123637.6300000004</v>
      </c>
      <c r="H14" s="43">
        <f t="shared" si="3"/>
        <v>27199974.659999996</v>
      </c>
      <c r="I14" s="43">
        <f t="shared" si="3"/>
        <v>800679.73</v>
      </c>
      <c r="J14" s="43">
        <f t="shared" si="3"/>
        <v>0</v>
      </c>
      <c r="K14" s="32">
        <f t="shared" si="3"/>
        <v>67449704.149999976</v>
      </c>
      <c r="L14" s="23">
        <f t="shared" si="3"/>
        <v>0</v>
      </c>
      <c r="M14" s="76">
        <f t="shared" si="3"/>
        <v>67449704.149999976</v>
      </c>
      <c r="N14" s="23">
        <f t="shared" si="3"/>
        <v>0</v>
      </c>
      <c r="O14" s="76">
        <f t="shared" si="3"/>
        <v>67449704.149999976</v>
      </c>
      <c r="P14" s="2"/>
      <c r="Q14" s="4"/>
      <c r="S14" s="21"/>
      <c r="T14" s="22" t="s">
        <v>2</v>
      </c>
      <c r="U14" s="43">
        <f>SUM(U9:U13)</f>
        <v>7337769.4000000004</v>
      </c>
      <c r="V14" s="43">
        <f t="shared" ref="V14:AG14" si="4">SUM(V9:V13)</f>
        <v>8137615.5800000001</v>
      </c>
      <c r="W14" s="43">
        <f t="shared" si="4"/>
        <v>32309958.030000001</v>
      </c>
      <c r="X14" s="43">
        <f t="shared" si="4"/>
        <v>36314393.539999999</v>
      </c>
      <c r="Y14" s="43">
        <f t="shared" si="4"/>
        <v>1105803.3</v>
      </c>
      <c r="Z14" s="43">
        <f t="shared" si="4"/>
        <v>0</v>
      </c>
      <c r="AA14" s="43">
        <f t="shared" si="4"/>
        <v>94.86</v>
      </c>
      <c r="AB14" s="43">
        <f t="shared" si="4"/>
        <v>0</v>
      </c>
      <c r="AC14" s="43">
        <f t="shared" si="4"/>
        <v>-7.0000000000000007E-2</v>
      </c>
      <c r="AD14" s="43">
        <f t="shared" si="4"/>
        <v>-17755930.490000002</v>
      </c>
      <c r="AE14" s="43">
        <f>SUM(AE9:AE13)</f>
        <v>-17755930.490000002</v>
      </c>
      <c r="AF14" s="68">
        <f t="shared" si="4"/>
        <v>67449704.149999991</v>
      </c>
      <c r="AG14" s="43">
        <f t="shared" si="4"/>
        <v>0</v>
      </c>
      <c r="AH14" s="1" t="b">
        <f t="shared" si="2"/>
        <v>1</v>
      </c>
      <c r="AI14" s="4"/>
    </row>
    <row r="15" spans="2:35" ht="12" thickBot="1" x14ac:dyDescent="0.3">
      <c r="B15" s="2"/>
      <c r="C15" s="2"/>
      <c r="D15" s="24"/>
      <c r="E15" s="24"/>
      <c r="F15" s="24"/>
      <c r="G15" s="24"/>
      <c r="H15" s="24"/>
      <c r="I15" s="24"/>
      <c r="K15" s="24"/>
      <c r="L15" s="24"/>
      <c r="M15" s="24"/>
      <c r="N15" s="24"/>
      <c r="O15" s="24"/>
      <c r="Q15" s="4"/>
      <c r="S15" s="2"/>
      <c r="T15" s="2"/>
      <c r="U15" s="24"/>
      <c r="V15" s="24"/>
      <c r="W15" s="24"/>
      <c r="X15" s="24"/>
      <c r="Y15" s="24"/>
      <c r="AF15" s="24"/>
      <c r="AI15" s="4"/>
    </row>
    <row r="16" spans="2:35" ht="12" thickBot="1" x14ac:dyDescent="0.3">
      <c r="B16" s="2"/>
      <c r="C16" s="2"/>
      <c r="D16" s="24" t="s">
        <v>1</v>
      </c>
      <c r="E16" s="24"/>
      <c r="F16" s="24"/>
      <c r="G16" s="24"/>
      <c r="H16" s="24"/>
      <c r="I16" s="24"/>
      <c r="K16" s="24"/>
      <c r="L16" s="24"/>
      <c r="M16" s="24"/>
      <c r="N16" s="24"/>
      <c r="O16" s="24"/>
      <c r="Q16" s="4"/>
      <c r="Y16" s="86">
        <f>SUM(U14:Y14)</f>
        <v>85205539.850000009</v>
      </c>
      <c r="AA16" s="1" t="s">
        <v>1</v>
      </c>
      <c r="AB16" s="1" t="s">
        <v>1</v>
      </c>
      <c r="AD16" s="1" t="s">
        <v>1</v>
      </c>
      <c r="AF16" s="1" t="s">
        <v>1</v>
      </c>
      <c r="AI16" s="4"/>
    </row>
    <row r="17" spans="1:35" ht="64.5" customHeight="1" thickBot="1" x14ac:dyDescent="0.3">
      <c r="B17" s="2"/>
      <c r="C17" s="2"/>
      <c r="D17" s="24" t="s">
        <v>1</v>
      </c>
      <c r="E17" s="33"/>
      <c r="F17" s="33"/>
      <c r="G17" s="33"/>
      <c r="H17" s="33"/>
      <c r="I17" s="24"/>
      <c r="K17" s="24"/>
      <c r="L17" s="24"/>
      <c r="M17" s="24"/>
      <c r="N17" s="24"/>
      <c r="O17" s="24"/>
      <c r="Q17" s="4"/>
      <c r="U17" s="33"/>
      <c r="V17" s="33"/>
      <c r="W17" s="33"/>
      <c r="X17" s="33"/>
      <c r="AI17" s="4"/>
    </row>
    <row r="18" spans="1:35" x14ac:dyDescent="0.25">
      <c r="B18" s="2"/>
      <c r="C18" s="2"/>
      <c r="D18" s="24" t="s">
        <v>1</v>
      </c>
      <c r="E18" s="24" t="s">
        <v>1</v>
      </c>
      <c r="F18" s="24" t="s">
        <v>25</v>
      </c>
      <c r="G18" s="24"/>
      <c r="H18" s="24"/>
      <c r="I18" s="24"/>
      <c r="K18" s="24"/>
      <c r="L18" s="24"/>
      <c r="M18" s="24"/>
      <c r="N18" s="24"/>
      <c r="O18" s="24"/>
      <c r="Q18" s="4"/>
      <c r="U18" s="24" t="s">
        <v>1</v>
      </c>
      <c r="V18" s="24" t="s">
        <v>25</v>
      </c>
      <c r="W18" s="24"/>
      <c r="X18" s="24"/>
      <c r="AI18" s="4"/>
    </row>
    <row r="19" spans="1:35" x14ac:dyDescent="0.25">
      <c r="A19" s="52"/>
      <c r="B19" s="53"/>
      <c r="C19" s="53"/>
      <c r="D19" s="54"/>
      <c r="E19" s="54"/>
      <c r="F19" s="54"/>
      <c r="G19" s="54"/>
      <c r="H19" s="54"/>
      <c r="I19" s="54"/>
      <c r="J19" s="52"/>
      <c r="K19" s="54"/>
      <c r="L19" s="54"/>
      <c r="M19" s="54"/>
      <c r="N19" s="54"/>
      <c r="O19" s="54"/>
      <c r="P19" s="52"/>
      <c r="Q19" s="52"/>
      <c r="R19" s="52"/>
      <c r="S19" s="52"/>
      <c r="T19" s="52"/>
      <c r="U19" s="52"/>
      <c r="V19" s="52"/>
      <c r="W19" s="52"/>
      <c r="X19" s="52"/>
      <c r="Y19" s="52"/>
      <c r="Z19" s="52"/>
      <c r="AA19" s="52"/>
      <c r="AB19" s="52"/>
      <c r="AC19" s="52"/>
      <c r="AD19" s="52"/>
      <c r="AE19" s="52"/>
      <c r="AF19" s="52"/>
      <c r="AG19" s="52"/>
      <c r="AH19" s="52"/>
      <c r="AI19" s="52"/>
    </row>
    <row r="20" spans="1:35" ht="12" thickBot="1" x14ac:dyDescent="0.3">
      <c r="Q20" s="4"/>
    </row>
    <row r="21" spans="1:35" x14ac:dyDescent="0.25">
      <c r="B21" s="5"/>
      <c r="C21" s="3" t="s">
        <v>1</v>
      </c>
      <c r="D21" s="6" t="s">
        <v>1</v>
      </c>
      <c r="E21" s="3"/>
      <c r="F21" s="3"/>
      <c r="G21" s="3"/>
      <c r="H21" s="3" t="s">
        <v>1</v>
      </c>
      <c r="I21" s="3"/>
      <c r="J21" s="3"/>
      <c r="K21" s="3"/>
      <c r="L21" s="3"/>
      <c r="M21" s="3"/>
      <c r="N21" s="3"/>
      <c r="O21" s="7"/>
      <c r="P21" s="2"/>
      <c r="Q21" s="35"/>
    </row>
    <row r="22" spans="1:35" ht="14" x14ac:dyDescent="0.3">
      <c r="B22" s="8"/>
      <c r="C22" s="2"/>
      <c r="D22" s="9"/>
      <c r="F22" s="26" t="s">
        <v>8</v>
      </c>
      <c r="G22" s="26"/>
      <c r="I22" s="26" t="s">
        <v>16</v>
      </c>
      <c r="J22" s="25"/>
      <c r="M22" s="2" t="s">
        <v>15</v>
      </c>
      <c r="N22" s="50">
        <f>'REMUNERACION Reciprocidad EAAB'!M117</f>
        <v>2026072</v>
      </c>
      <c r="O22" s="10"/>
      <c r="P22" s="2"/>
      <c r="Q22" s="4"/>
    </row>
    <row r="23" spans="1:35" ht="15.5" x14ac:dyDescent="0.35">
      <c r="B23" s="8"/>
      <c r="C23" s="2"/>
      <c r="D23" s="57"/>
      <c r="F23" s="36" t="s">
        <v>29</v>
      </c>
      <c r="G23" s="36"/>
      <c r="O23" s="10"/>
      <c r="P23" s="2"/>
      <c r="Q23" s="4"/>
    </row>
    <row r="24" spans="1:35" x14ac:dyDescent="0.25">
      <c r="B24" s="8"/>
      <c r="F24" s="2" t="s">
        <v>30</v>
      </c>
      <c r="G24" s="2"/>
      <c r="M24" s="2" t="s">
        <v>1</v>
      </c>
      <c r="O24" s="10"/>
      <c r="P24" s="2"/>
      <c r="Q24" s="4"/>
    </row>
    <row r="25" spans="1:35" x14ac:dyDescent="0.25">
      <c r="B25" s="8"/>
      <c r="I25" s="2"/>
      <c r="J25" s="2"/>
      <c r="O25" s="10"/>
      <c r="P25" s="2"/>
      <c r="Q25" s="4"/>
    </row>
    <row r="26" spans="1:35" ht="15.5" x14ac:dyDescent="0.35">
      <c r="B26" s="8"/>
      <c r="F26" s="41" t="s">
        <v>37</v>
      </c>
      <c r="G26" s="41"/>
      <c r="H26" s="2"/>
      <c r="J26" s="2"/>
      <c r="O26" s="10"/>
      <c r="P26" s="2"/>
      <c r="Q26" s="4"/>
    </row>
    <row r="27" spans="1:35" x14ac:dyDescent="0.25">
      <c r="B27" s="8"/>
      <c r="F27" s="2" t="s">
        <v>27</v>
      </c>
      <c r="G27" s="2"/>
      <c r="H27" s="9">
        <f>'REMUNERACION Reciprocidad EAAB'!G122</f>
        <v>46219</v>
      </c>
      <c r="J27" s="2" t="s">
        <v>28</v>
      </c>
      <c r="K27" s="9">
        <f>'REMUNERACION Reciprocidad EAAB'!K122</f>
        <v>46234</v>
      </c>
      <c r="O27" s="10"/>
      <c r="P27" s="2"/>
      <c r="Q27" s="4"/>
    </row>
    <row r="28" spans="1:35" ht="12" thickBot="1" x14ac:dyDescent="0.3">
      <c r="B28" s="8"/>
      <c r="C28" s="2" t="s">
        <v>1</v>
      </c>
      <c r="D28" s="2" t="s">
        <v>1</v>
      </c>
      <c r="J28" s="1" t="s">
        <v>1</v>
      </c>
      <c r="O28" s="44"/>
      <c r="P28" s="2"/>
      <c r="Q28" s="4"/>
    </row>
    <row r="29" spans="1:35" ht="46.5" thickBot="1" x14ac:dyDescent="0.3">
      <c r="B29" s="11" t="s">
        <v>3</v>
      </c>
      <c r="C29" s="12" t="s">
        <v>9</v>
      </c>
      <c r="D29" s="12" t="s">
        <v>38</v>
      </c>
      <c r="E29" s="12" t="s">
        <v>48</v>
      </c>
      <c r="G29" s="65" t="s">
        <v>47</v>
      </c>
      <c r="H29" s="370" t="s">
        <v>56</v>
      </c>
      <c r="I29" s="73" t="s">
        <v>130</v>
      </c>
      <c r="J29" s="73" t="s">
        <v>172</v>
      </c>
      <c r="K29" s="73" t="s">
        <v>143</v>
      </c>
      <c r="L29" s="73" t="s">
        <v>144</v>
      </c>
      <c r="O29" s="44"/>
      <c r="P29" s="13"/>
      <c r="Q29" s="4"/>
    </row>
    <row r="30" spans="1:35" x14ac:dyDescent="0.25">
      <c r="B30" s="108">
        <v>1</v>
      </c>
      <c r="C30" s="109" t="s">
        <v>10</v>
      </c>
      <c r="D30" s="110">
        <f>'REMUNERACION Reciprocidad EAAB'!D125</f>
        <v>0</v>
      </c>
      <c r="E30" s="111">
        <f>'REMUNERACION Reciprocidad EAAB'!E125</f>
        <v>0</v>
      </c>
      <c r="G30" s="336">
        <f>'REMUNERACION Reciprocidad EAAB'!G125</f>
        <v>0</v>
      </c>
      <c r="H30" s="310">
        <f>'REMUNERACION Reciprocidad EAAB'!H125</f>
        <v>0</v>
      </c>
      <c r="I30" s="309">
        <f>'REMUNERACION Reciprocidad EAAB'!I125</f>
        <v>0</v>
      </c>
      <c r="J30" s="309">
        <f>'REMUNERACION Reciprocidad EAAB'!J125</f>
        <v>0</v>
      </c>
      <c r="K30" s="309">
        <f>'REMUNERACION Reciprocidad EAAB'!K125</f>
        <v>0</v>
      </c>
      <c r="L30" s="309">
        <f>'REMUNERACION Reciprocidad EAAB'!L125</f>
        <v>0</v>
      </c>
      <c r="O30" s="44"/>
      <c r="Q30" s="4"/>
    </row>
    <row r="31" spans="1:35" x14ac:dyDescent="0.25">
      <c r="B31" s="16">
        <v>2</v>
      </c>
      <c r="C31" s="17" t="s">
        <v>11</v>
      </c>
      <c r="D31" s="15">
        <f>'REMUNERACION Reciprocidad EAAB'!D126</f>
        <v>12820520</v>
      </c>
      <c r="E31" s="74">
        <f>'REMUNERACION Reciprocidad EAAB'!E126</f>
        <v>0</v>
      </c>
      <c r="G31" s="339">
        <f>'REMUNERACION Reciprocidad EAAB'!G126</f>
        <v>0</v>
      </c>
      <c r="H31" s="340">
        <f>'REMUNERACION Reciprocidad EAAB'!H126</f>
        <v>35414329.289999992</v>
      </c>
      <c r="I31" s="288">
        <f>'REMUNERACION Reciprocidad EAAB'!I126</f>
        <v>216025.77</v>
      </c>
      <c r="J31" s="288">
        <f>'REMUNERACION Reciprocidad EAAB'!J126</f>
        <v>0</v>
      </c>
      <c r="K31" s="288">
        <f>'REMUNERACION Reciprocidad EAAB'!K126</f>
        <v>0</v>
      </c>
      <c r="L31" s="288">
        <f>'REMUNERACION Reciprocidad EAAB'!L126</f>
        <v>0</v>
      </c>
      <c r="O31" s="44"/>
      <c r="Q31" s="4"/>
    </row>
    <row r="32" spans="1:35" x14ac:dyDescent="0.25">
      <c r="B32" s="16">
        <v>3</v>
      </c>
      <c r="C32" s="17" t="s">
        <v>12</v>
      </c>
      <c r="D32" s="15">
        <f>'REMUNERACION Reciprocidad EAAB'!D127</f>
        <v>0</v>
      </c>
      <c r="E32" s="74">
        <f>'REMUNERACION Reciprocidad EAAB'!E127</f>
        <v>0</v>
      </c>
      <c r="G32" s="339">
        <f>'REMUNERACION Reciprocidad EAAB'!G127</f>
        <v>0</v>
      </c>
      <c r="H32" s="340">
        <f>'REMUNERACION Reciprocidad EAAB'!H127</f>
        <v>0</v>
      </c>
      <c r="I32" s="288">
        <f>'REMUNERACION Reciprocidad EAAB'!I127</f>
        <v>0</v>
      </c>
      <c r="J32" s="288">
        <f>'REMUNERACION Reciprocidad EAAB'!J127</f>
        <v>0</v>
      </c>
      <c r="K32" s="288">
        <f>'REMUNERACION Reciprocidad EAAB'!K127</f>
        <v>0</v>
      </c>
      <c r="L32" s="288">
        <f>'REMUNERACION Reciprocidad EAAB'!L127</f>
        <v>0</v>
      </c>
      <c r="O32" s="44"/>
      <c r="Q32" s="4"/>
    </row>
    <row r="33" spans="1:20" x14ac:dyDescent="0.25">
      <c r="B33" s="16">
        <v>4</v>
      </c>
      <c r="C33" s="17" t="s">
        <v>13</v>
      </c>
      <c r="D33" s="15">
        <f>'REMUNERACION Reciprocidad EAAB'!D128</f>
        <v>10268790</v>
      </c>
      <c r="E33" s="74">
        <f>'REMUNERACION Reciprocidad EAAB'!E128</f>
        <v>0</v>
      </c>
      <c r="G33" s="339">
        <f>'REMUNERACION Reciprocidad EAAB'!G128</f>
        <v>41900</v>
      </c>
      <c r="H33" s="340">
        <f>'REMUNERACION Reciprocidad EAAB'!H128</f>
        <v>66508368.82</v>
      </c>
      <c r="I33" s="288">
        <f>'REMUNERACION Reciprocidad EAAB'!I128</f>
        <v>35954.44</v>
      </c>
      <c r="J33" s="288">
        <f>'REMUNERACION Reciprocidad EAAB'!J128</f>
        <v>-736030</v>
      </c>
      <c r="K33" s="288">
        <f>'REMUNERACION Reciprocidad EAAB'!K128</f>
        <v>694130</v>
      </c>
      <c r="L33" s="288">
        <f>'REMUNERACION Reciprocidad EAAB'!L128</f>
        <v>0</v>
      </c>
      <c r="O33" s="44"/>
      <c r="Q33" s="4"/>
    </row>
    <row r="34" spans="1:20" x14ac:dyDescent="0.25">
      <c r="B34" s="133">
        <v>5</v>
      </c>
      <c r="C34" s="138" t="s">
        <v>14</v>
      </c>
      <c r="D34" s="135">
        <f>'REMUNERACION Reciprocidad EAAB'!D129</f>
        <v>0</v>
      </c>
      <c r="E34" s="139">
        <f>'REMUNERACION Reciprocidad EAAB'!E129</f>
        <v>0</v>
      </c>
      <c r="G34" s="339">
        <f>'REMUNERACION Reciprocidad EAAB'!G129</f>
        <v>0</v>
      </c>
      <c r="H34" s="340">
        <f>'REMUNERACION Reciprocidad EAAB'!H129</f>
        <v>0</v>
      </c>
      <c r="I34" s="288">
        <f>'REMUNERACION Reciprocidad EAAB'!I129</f>
        <v>0</v>
      </c>
      <c r="J34" s="288">
        <f>'REMUNERACION Reciprocidad EAAB'!J129</f>
        <v>0</v>
      </c>
      <c r="K34" s="288">
        <f>'REMUNERACION Reciprocidad EAAB'!K129</f>
        <v>0</v>
      </c>
      <c r="L34" s="288">
        <f>'REMUNERACION Reciprocidad EAAB'!L129</f>
        <v>0</v>
      </c>
      <c r="O34" s="44"/>
      <c r="Q34" s="4"/>
    </row>
    <row r="35" spans="1:20" ht="12" thickBot="1" x14ac:dyDescent="0.3">
      <c r="B35" s="19" t="s">
        <v>89</v>
      </c>
      <c r="C35" s="20" t="s">
        <v>113</v>
      </c>
      <c r="D35" s="78"/>
      <c r="E35" s="79">
        <f>'REMUNERACION Reciprocidad EAAB'!E130</f>
        <v>0</v>
      </c>
      <c r="G35" s="346"/>
      <c r="H35" s="347"/>
      <c r="I35" s="289"/>
      <c r="J35" s="289"/>
      <c r="K35" s="289"/>
      <c r="L35" s="289"/>
      <c r="O35" s="44"/>
      <c r="Q35" s="4"/>
    </row>
    <row r="36" spans="1:20" ht="12" thickBot="1" x14ac:dyDescent="0.3">
      <c r="B36" s="95"/>
      <c r="C36" s="106" t="s">
        <v>2</v>
      </c>
      <c r="D36" s="107">
        <f>SUM(D30:D34)</f>
        <v>23089310</v>
      </c>
      <c r="E36" s="107">
        <f>'REMUNERACION Reciprocidad EAAB'!E131</f>
        <v>0</v>
      </c>
      <c r="F36" s="45"/>
      <c r="G36" s="350">
        <f t="shared" ref="G36:L36" si="5">SUM(G30:G34)</f>
        <v>41900</v>
      </c>
      <c r="H36" s="350">
        <f t="shared" si="5"/>
        <v>101922698.10999998</v>
      </c>
      <c r="I36" s="350">
        <f t="shared" si="5"/>
        <v>251980.21</v>
      </c>
      <c r="J36" s="350">
        <f t="shared" si="5"/>
        <v>-736030</v>
      </c>
      <c r="K36" s="350">
        <f t="shared" si="5"/>
        <v>694130</v>
      </c>
      <c r="L36" s="350">
        <f t="shared" si="5"/>
        <v>0</v>
      </c>
      <c r="M36" s="45"/>
      <c r="N36" s="45"/>
      <c r="O36" s="46"/>
      <c r="P36" s="2"/>
      <c r="Q36" s="4"/>
    </row>
    <row r="37" spans="1:20" x14ac:dyDescent="0.25">
      <c r="B37" s="2"/>
      <c r="C37" s="2"/>
      <c r="D37" s="24"/>
      <c r="Q37" s="4"/>
    </row>
    <row r="38" spans="1:20" x14ac:dyDescent="0.25">
      <c r="B38" s="2"/>
      <c r="C38" s="2"/>
      <c r="D38" s="24"/>
      <c r="L38" s="1" t="s">
        <v>1</v>
      </c>
      <c r="Q38" s="4"/>
    </row>
    <row r="39" spans="1:20" ht="64.5" customHeight="1" thickBot="1" x14ac:dyDescent="0.3">
      <c r="B39" s="2"/>
      <c r="C39" s="2"/>
      <c r="D39" s="24"/>
      <c r="E39" s="33"/>
      <c r="F39" s="33"/>
      <c r="G39" s="33"/>
      <c r="H39" s="33"/>
      <c r="I39" s="24"/>
      <c r="K39" s="24"/>
      <c r="L39" s="24" t="s">
        <v>1</v>
      </c>
      <c r="M39" s="24" t="s">
        <v>1</v>
      </c>
      <c r="N39" s="24"/>
      <c r="O39" s="24"/>
      <c r="Q39" s="4"/>
    </row>
    <row r="40" spans="1:20" x14ac:dyDescent="0.25">
      <c r="B40" s="2"/>
      <c r="C40" s="2"/>
      <c r="D40" s="24"/>
      <c r="E40" s="24" t="s">
        <v>1</v>
      </c>
      <c r="F40" s="42" t="s">
        <v>36</v>
      </c>
      <c r="G40" s="42"/>
      <c r="H40" s="42"/>
      <c r="I40" s="24"/>
      <c r="K40" s="24"/>
      <c r="L40" s="24"/>
      <c r="M40" s="24"/>
      <c r="N40" s="24"/>
      <c r="O40" s="24"/>
      <c r="Q40" s="4"/>
    </row>
    <row r="41" spans="1:20" x14ac:dyDescent="0.25">
      <c r="A41" s="52"/>
      <c r="B41" s="53"/>
      <c r="C41" s="53"/>
      <c r="D41" s="54"/>
      <c r="E41" s="54"/>
      <c r="F41" s="54"/>
      <c r="G41" s="54"/>
      <c r="H41" s="54"/>
      <c r="I41" s="54"/>
      <c r="J41" s="52"/>
      <c r="K41" s="54"/>
      <c r="L41" s="54"/>
      <c r="M41" s="54"/>
      <c r="N41" s="54"/>
      <c r="O41" s="54"/>
      <c r="P41" s="52"/>
      <c r="Q41" s="4"/>
    </row>
    <row r="42" spans="1:20" x14ac:dyDescent="0.25">
      <c r="N42" s="24"/>
      <c r="O42" s="24"/>
      <c r="Q42" s="24"/>
      <c r="T42" s="24"/>
    </row>
    <row r="43" spans="1:20" x14ac:dyDescent="0.25">
      <c r="N43" s="24"/>
      <c r="O43" s="24"/>
      <c r="Q43" s="24"/>
      <c r="T43" s="24"/>
    </row>
    <row r="44" spans="1:20" x14ac:dyDescent="0.25">
      <c r="D44" s="267" t="b">
        <f>D14='REMUNERACION Reciprocidad EAAB'!D109</f>
        <v>1</v>
      </c>
      <c r="E44" s="267" t="b">
        <f>E14='REMUNERACION Reciprocidad EAAB'!E109</f>
        <v>1</v>
      </c>
      <c r="F44" s="267" t="b">
        <f>F14='REMUNERACION Reciprocidad EAAB'!F109</f>
        <v>1</v>
      </c>
      <c r="G44" s="267" t="b">
        <f>G14='REMUNERACION Reciprocidad EAAB'!G109</f>
        <v>1</v>
      </c>
      <c r="H44" s="267" t="b">
        <f>H14='REMUNERACION Reciprocidad EAAB'!H109</f>
        <v>1</v>
      </c>
      <c r="I44" s="267" t="b">
        <f>I14='REMUNERACION Reciprocidad EAAB'!I109</f>
        <v>1</v>
      </c>
      <c r="J44" s="267" t="b">
        <f>J14='REMUNERACION Reciprocidad EAAB'!J109</f>
        <v>1</v>
      </c>
      <c r="K44" s="267" t="b">
        <f>K14='REMUNERACION Reciprocidad EAAB'!K109</f>
        <v>1</v>
      </c>
      <c r="L44" s="267" t="b">
        <f>L14='REMUNERACION Reciprocidad EAAB'!L109</f>
        <v>1</v>
      </c>
      <c r="M44" s="267" t="b">
        <f>M14='REMUNERACION Reciprocidad EAAB'!M109</f>
        <v>1</v>
      </c>
      <c r="N44" s="267" t="b">
        <f>N14='REMUNERACION Reciprocidad EAAB'!N109</f>
        <v>1</v>
      </c>
      <c r="O44" s="267" t="b">
        <f>O14='REMUNERACION Reciprocidad EAAB'!O109</f>
        <v>1</v>
      </c>
      <c r="Q44" s="24"/>
      <c r="T44" s="24"/>
    </row>
    <row r="45" spans="1:20" x14ac:dyDescent="0.25">
      <c r="D45" s="267" t="b">
        <f>D36='REMUNERACION Reciprocidad EAAB'!D131</f>
        <v>1</v>
      </c>
      <c r="E45" s="267" t="b">
        <f>E36='REMUNERACION Reciprocidad EAAB'!E131</f>
        <v>1</v>
      </c>
      <c r="F45" s="267" t="b">
        <f>F36='REMUNERACION Reciprocidad EAAB'!F131</f>
        <v>1</v>
      </c>
      <c r="G45" s="267" t="b">
        <f>G36='REMUNERACION Reciprocidad EAAB'!G131</f>
        <v>1</v>
      </c>
      <c r="H45" s="267" t="b">
        <f>H36='REMUNERACION Reciprocidad EAAB'!H131</f>
        <v>1</v>
      </c>
      <c r="I45" s="267" t="b">
        <f>I36='REMUNERACION Reciprocidad EAAB'!I131</f>
        <v>1</v>
      </c>
      <c r="J45" s="267" t="b">
        <f>J36='REMUNERACION Reciprocidad EAAB'!J131</f>
        <v>1</v>
      </c>
      <c r="K45" s="267" t="b">
        <f>K36='REMUNERACION Reciprocidad EAAB'!K131</f>
        <v>1</v>
      </c>
      <c r="L45" s="267" t="b">
        <f>L36='REMUNERACION Reciprocidad EAAB'!L131</f>
        <v>1</v>
      </c>
      <c r="M45" s="267" t="b">
        <f>M36='REMUNERACION Reciprocidad EAAB'!M131</f>
        <v>1</v>
      </c>
      <c r="N45" s="267" t="b">
        <f>N36='REMUNERACION Reciprocidad EAAB'!N131</f>
        <v>1</v>
      </c>
      <c r="O45" s="267" t="b">
        <f>O36='REMUNERACION Reciprocidad EAAB'!O131</f>
        <v>1</v>
      </c>
      <c r="Q45" s="24"/>
      <c r="T45" s="24"/>
    </row>
    <row r="46" spans="1:20" x14ac:dyDescent="0.25">
      <c r="N46" s="24"/>
      <c r="O46" s="24"/>
      <c r="Q46" s="24"/>
      <c r="T46" s="24"/>
    </row>
    <row r="47" spans="1:20" x14ac:dyDescent="0.25">
      <c r="N47" s="24"/>
      <c r="O47" s="24"/>
      <c r="Q47" s="24"/>
      <c r="T47" s="24"/>
    </row>
    <row r="48" spans="1:20" x14ac:dyDescent="0.25">
      <c r="N48" s="24"/>
      <c r="O48" s="24"/>
      <c r="Q48" s="24"/>
      <c r="T48" s="24"/>
    </row>
    <row r="49" spans="14:20" x14ac:dyDescent="0.25">
      <c r="N49" s="24"/>
      <c r="O49" s="24"/>
      <c r="Q49" s="24"/>
      <c r="T49" s="24"/>
    </row>
    <row r="50" spans="14:20" x14ac:dyDescent="0.25">
      <c r="N50" s="24"/>
      <c r="O50" s="24"/>
      <c r="Q50" s="24"/>
      <c r="T50" s="24"/>
    </row>
    <row r="51" spans="14:20" x14ac:dyDescent="0.25">
      <c r="Q51" s="24"/>
      <c r="T51" s="24"/>
    </row>
    <row r="52" spans="14:20" x14ac:dyDescent="0.25">
      <c r="Q52" s="24"/>
    </row>
  </sheetData>
  <conditionalFormatting sqref="AH9:AH14">
    <cfRule type="cellIs" dxfId="52" priority="1" operator="notEqual">
      <formula>TRUE</formula>
    </cfRule>
  </conditionalFormatting>
  <printOptions horizontalCentered="1" verticalCentered="1"/>
  <pageMargins left="0.55118110236220474" right="0.74803149606299213" top="0.59055118110236227" bottom="0.78740157480314965" header="0" footer="0"/>
  <pageSetup scale="24" orientation="landscape" r:id="rId1"/>
  <headerFooter alignWithMargins="0"/>
  <drawing r:id="rId2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tabColor rgb="FFFF0000"/>
    <pageSetUpPr fitToPage="1"/>
  </sheetPr>
  <dimension ref="A1:AJ156"/>
  <sheetViews>
    <sheetView topLeftCell="U27" zoomScaleNormal="100" workbookViewId="0">
      <selection activeCell="AC54" sqref="AC54"/>
    </sheetView>
  </sheetViews>
  <sheetFormatPr baseColWidth="10" defaultColWidth="11.453125" defaultRowHeight="11.5" x14ac:dyDescent="0.25"/>
  <cols>
    <col min="1" max="1" width="3" style="1" customWidth="1"/>
    <col min="2" max="2" width="4.453125" style="1" bestFit="1" customWidth="1"/>
    <col min="3" max="3" width="36.81640625" style="1" customWidth="1"/>
    <col min="4" max="4" width="15.1796875" style="1" customWidth="1"/>
    <col min="5" max="5" width="16" style="1" customWidth="1"/>
    <col min="6" max="7" width="14.81640625" style="1" customWidth="1"/>
    <col min="8" max="9" width="16" style="1" customWidth="1"/>
    <col min="10" max="10" width="15.54296875" style="1" customWidth="1"/>
    <col min="11" max="11" width="17.54296875" style="1" customWidth="1"/>
    <col min="12" max="12" width="19.81640625" style="1" bestFit="1" customWidth="1"/>
    <col min="13" max="13" width="21" style="1" bestFit="1" customWidth="1"/>
    <col min="14" max="14" width="15.1796875" style="1" customWidth="1"/>
    <col min="15" max="15" width="16.81640625" style="1" customWidth="1"/>
    <col min="16" max="16" width="3.81640625" style="1" customWidth="1"/>
    <col min="17" max="17" width="2.81640625" style="1" customWidth="1"/>
    <col min="18" max="18" width="4.54296875" style="1" customWidth="1"/>
    <col min="19" max="19" width="11.1796875" style="1" customWidth="1"/>
    <col min="20" max="20" width="37.54296875" style="1" bestFit="1" customWidth="1"/>
    <col min="21" max="21" width="19.1796875" style="1" customWidth="1"/>
    <col min="22" max="22" width="17.81640625" style="1" customWidth="1"/>
    <col min="23" max="23" width="16.453125" style="1" customWidth="1"/>
    <col min="24" max="24" width="17.1796875" style="1" customWidth="1"/>
    <col min="25" max="25" width="15.81640625" style="1" customWidth="1"/>
    <col min="26" max="26" width="16" style="1" customWidth="1"/>
    <col min="27" max="27" width="15" style="1" customWidth="1"/>
    <col min="28" max="29" width="16.81640625" style="1" customWidth="1"/>
    <col min="30" max="31" width="15.453125" style="1" customWidth="1"/>
    <col min="32" max="32" width="16.1796875" style="1" customWidth="1"/>
    <col min="33" max="33" width="18.1796875" style="1" customWidth="1"/>
    <col min="34" max="34" width="13.81640625" style="1" customWidth="1"/>
    <col min="35" max="35" width="3.453125" style="1" customWidth="1"/>
    <col min="36" max="36" width="13.81640625" style="1" bestFit="1" customWidth="1"/>
    <col min="37" max="16384" width="11.453125" style="1"/>
  </cols>
  <sheetData>
    <row r="1" spans="1:35" ht="12" thickBot="1" x14ac:dyDescent="0.3">
      <c r="A1" s="241"/>
      <c r="Q1" s="4"/>
      <c r="AI1" s="4"/>
    </row>
    <row r="2" spans="1:35" x14ac:dyDescent="0.25">
      <c r="B2" s="5"/>
      <c r="C2" s="3" t="s">
        <v>1</v>
      </c>
      <c r="D2" s="6" t="s">
        <v>1</v>
      </c>
      <c r="E2" s="3"/>
      <c r="F2" s="3"/>
      <c r="G2" s="3"/>
      <c r="H2" s="3" t="s">
        <v>1</v>
      </c>
      <c r="I2" s="3"/>
      <c r="J2" s="3"/>
      <c r="K2" s="3"/>
      <c r="L2" s="3"/>
      <c r="M2" s="3"/>
      <c r="N2" s="3"/>
      <c r="O2" s="7"/>
      <c r="P2" s="2"/>
      <c r="Q2" s="4"/>
      <c r="S2" s="5"/>
      <c r="T2" s="3" t="s">
        <v>1</v>
      </c>
      <c r="U2" s="6" t="s">
        <v>1</v>
      </c>
      <c r="V2" s="3"/>
      <c r="W2" s="3"/>
      <c r="X2" s="3" t="s">
        <v>1</v>
      </c>
      <c r="Y2" s="3"/>
      <c r="Z2" s="3"/>
      <c r="AA2" s="3"/>
      <c r="AB2" s="3"/>
      <c r="AC2" s="3"/>
      <c r="AD2" s="3"/>
      <c r="AE2" s="3"/>
      <c r="AF2" s="7"/>
      <c r="AG2" s="2"/>
      <c r="AI2" s="4"/>
    </row>
    <row r="3" spans="1:35" ht="14" x14ac:dyDescent="0.3">
      <c r="B3" s="8"/>
      <c r="F3" s="26" t="s">
        <v>8</v>
      </c>
      <c r="G3" s="26"/>
      <c r="I3" s="26" t="s">
        <v>16</v>
      </c>
      <c r="J3" s="25"/>
      <c r="M3" s="2" t="s">
        <v>15</v>
      </c>
      <c r="N3" s="50">
        <f>'CONSOLIDADO_TOTAL RECAUDO'!N3</f>
        <v>2026072</v>
      </c>
      <c r="O3" s="10"/>
      <c r="P3" s="2"/>
      <c r="Q3" s="4"/>
      <c r="S3" s="8"/>
      <c r="U3" s="26" t="s">
        <v>8</v>
      </c>
      <c r="W3" s="26" t="s">
        <v>16</v>
      </c>
      <c r="X3" s="25"/>
      <c r="Y3" s="2"/>
      <c r="AA3" s="2" t="s">
        <v>15</v>
      </c>
      <c r="AD3" s="84">
        <f>N3</f>
        <v>2026072</v>
      </c>
      <c r="AE3" s="84"/>
      <c r="AF3" s="48"/>
      <c r="AG3" s="2"/>
      <c r="AI3" s="4"/>
    </row>
    <row r="4" spans="1:35" ht="15.5" x14ac:dyDescent="0.35">
      <c r="B4" s="8"/>
      <c r="F4" s="36" t="s">
        <v>29</v>
      </c>
      <c r="G4" s="36"/>
      <c r="O4" s="10"/>
      <c r="P4" s="2"/>
      <c r="Q4" s="4"/>
      <c r="S4" s="8"/>
      <c r="T4" s="26" t="s">
        <v>1</v>
      </c>
      <c r="U4" s="36" t="s">
        <v>29</v>
      </c>
      <c r="Y4" s="2" t="s">
        <v>1</v>
      </c>
      <c r="AA4" s="50" t="s">
        <v>1</v>
      </c>
      <c r="AB4" s="2"/>
      <c r="AC4" s="2"/>
      <c r="AD4" s="2"/>
      <c r="AE4" s="2"/>
      <c r="AF4" s="10" t="s">
        <v>1</v>
      </c>
      <c r="AG4" s="2"/>
      <c r="AI4" s="4"/>
    </row>
    <row r="5" spans="1:35" ht="14" x14ac:dyDescent="0.3">
      <c r="B5" s="8"/>
      <c r="F5" s="2" t="s">
        <v>30</v>
      </c>
      <c r="G5" s="2"/>
      <c r="M5" s="2" t="s">
        <v>1</v>
      </c>
      <c r="O5" s="10"/>
      <c r="P5" s="2"/>
      <c r="Q5" s="4"/>
      <c r="S5" s="8"/>
      <c r="T5" s="49" t="s">
        <v>1</v>
      </c>
      <c r="U5" s="2" t="s">
        <v>30</v>
      </c>
      <c r="AF5" s="44"/>
      <c r="AG5" s="2"/>
      <c r="AI5" s="4"/>
    </row>
    <row r="6" spans="1:35" ht="15.5" x14ac:dyDescent="0.35">
      <c r="B6" s="8"/>
      <c r="C6" s="599" t="s">
        <v>17</v>
      </c>
      <c r="D6" s="9">
        <f>'CONSOLIDADO_TOTAL RECAUDO'!D6</f>
        <v>46238</v>
      </c>
      <c r="F6" s="41" t="s">
        <v>26</v>
      </c>
      <c r="G6" s="41"/>
      <c r="H6" s="2"/>
      <c r="J6" s="2"/>
      <c r="O6" s="10"/>
      <c r="P6" s="2"/>
      <c r="Q6" s="4"/>
      <c r="S6" s="8"/>
      <c r="T6" s="41" t="s">
        <v>1</v>
      </c>
      <c r="U6" s="41" t="s">
        <v>26</v>
      </c>
      <c r="V6" s="2"/>
      <c r="X6" s="2"/>
      <c r="Y6" s="2"/>
      <c r="AF6" s="48"/>
      <c r="AG6" s="2"/>
      <c r="AI6" s="4"/>
    </row>
    <row r="7" spans="1:35" ht="12" thickBot="1" x14ac:dyDescent="0.3">
      <c r="B7" s="8"/>
      <c r="C7" s="599" t="s">
        <v>0</v>
      </c>
      <c r="D7" s="241">
        <f>'CONSOLIDADO_TOTAL RECAUDO'!D7</f>
        <v>0.58333333333333337</v>
      </c>
      <c r="F7" s="2" t="s">
        <v>27</v>
      </c>
      <c r="G7" s="9">
        <f>'CONSOLIDADO_TOTAL RECAUDO'!G7</f>
        <v>46219</v>
      </c>
      <c r="J7" s="2" t="s">
        <v>28</v>
      </c>
      <c r="K7" s="9">
        <f>'CONSOLIDADO_TOTAL RECAUDO'!K7</f>
        <v>46234</v>
      </c>
      <c r="O7" s="10"/>
      <c r="P7" s="2"/>
      <c r="Q7" s="4"/>
      <c r="S7" s="8"/>
      <c r="U7" s="1" t="str">
        <f>F7</f>
        <v>Fecha Desde:</v>
      </c>
      <c r="V7" s="9">
        <f>G7</f>
        <v>46219</v>
      </c>
      <c r="W7" s="1" t="s">
        <v>1</v>
      </c>
      <c r="X7" s="1" t="str">
        <f>J7</f>
        <v>Feha Hasta:</v>
      </c>
      <c r="Y7" s="9">
        <f>K7</f>
        <v>46234</v>
      </c>
      <c r="Z7" s="1" t="s">
        <v>1</v>
      </c>
      <c r="AF7" s="48"/>
      <c r="AG7" s="2"/>
      <c r="AI7" s="4"/>
    </row>
    <row r="8" spans="1:35" ht="72" customHeight="1" thickBot="1" x14ac:dyDescent="0.3">
      <c r="B8" s="11" t="s">
        <v>3</v>
      </c>
      <c r="C8" s="27" t="s">
        <v>9</v>
      </c>
      <c r="D8" s="11" t="s">
        <v>4</v>
      </c>
      <c r="E8" s="12" t="s">
        <v>5</v>
      </c>
      <c r="F8" s="27" t="s">
        <v>6</v>
      </c>
      <c r="G8" s="27" t="s">
        <v>159</v>
      </c>
      <c r="H8" s="27" t="s">
        <v>18</v>
      </c>
      <c r="I8" s="12" t="s">
        <v>24</v>
      </c>
      <c r="J8" s="73" t="s">
        <v>19</v>
      </c>
      <c r="K8" s="29" t="s">
        <v>20</v>
      </c>
      <c r="L8" s="28" t="s">
        <v>21</v>
      </c>
      <c r="M8" s="39" t="s">
        <v>22</v>
      </c>
      <c r="N8" s="12" t="s">
        <v>7</v>
      </c>
      <c r="O8" s="39" t="s">
        <v>23</v>
      </c>
      <c r="P8" s="13"/>
      <c r="Q8" s="4"/>
      <c r="S8" s="11" t="s">
        <v>3</v>
      </c>
      <c r="T8" s="27" t="s">
        <v>9</v>
      </c>
      <c r="U8" s="162" t="s">
        <v>39</v>
      </c>
      <c r="V8" s="163" t="s">
        <v>40</v>
      </c>
      <c r="W8" s="163" t="s">
        <v>41</v>
      </c>
      <c r="X8" s="163" t="s">
        <v>42</v>
      </c>
      <c r="Y8" s="164" t="s">
        <v>43</v>
      </c>
      <c r="Z8" s="85" t="s">
        <v>21</v>
      </c>
      <c r="AA8" s="65" t="s">
        <v>46</v>
      </c>
      <c r="AB8" s="65" t="s">
        <v>7</v>
      </c>
      <c r="AC8" s="85" t="s">
        <v>168</v>
      </c>
      <c r="AD8" s="121" t="s">
        <v>107</v>
      </c>
      <c r="AE8" s="121" t="s">
        <v>226</v>
      </c>
      <c r="AF8" s="39" t="s">
        <v>23</v>
      </c>
      <c r="AG8" s="13"/>
      <c r="AI8" s="4"/>
    </row>
    <row r="9" spans="1:35" s="305" customFormat="1" x14ac:dyDescent="0.25">
      <c r="B9" s="303">
        <v>1</v>
      </c>
      <c r="C9" s="304" t="s">
        <v>10</v>
      </c>
      <c r="D9" s="291">
        <f>'Reporte Componentes R1'!F63</f>
        <v>16560599150.5</v>
      </c>
      <c r="E9" s="292">
        <f>'Reporte Componentes R1'!G63</f>
        <v>801645029.27999997</v>
      </c>
      <c r="F9" s="292">
        <f>'Reporte Componentes R1'!H63</f>
        <v>452328892.93000001</v>
      </c>
      <c r="G9" s="292">
        <f>'Reporte Componentes R1'!I63</f>
        <v>237653152.88</v>
      </c>
      <c r="H9" s="292">
        <f>'Reporte Componentes R1'!J63</f>
        <v>3743398457.3299999</v>
      </c>
      <c r="I9" s="292">
        <f>'Reporte Componentes R1'!K63</f>
        <v>131909206.38000001</v>
      </c>
      <c r="J9" s="292">
        <f>'CONSOLIDADO_TOTAL RECAUDO'!J9</f>
        <v>-3589454665.5499997</v>
      </c>
      <c r="K9" s="293">
        <f>D9-E9-F9-G9-H9-I9-J9</f>
        <v>14783119077.25</v>
      </c>
      <c r="L9" s="294">
        <f>'CONSOLIDADO_TOTAL RECAUDO'!L9</f>
        <v>189185988</v>
      </c>
      <c r="M9" s="293">
        <f>K9-L9</f>
        <v>14593933089.25</v>
      </c>
      <c r="N9" s="294">
        <f>'Reporte Componentes R1'!L63</f>
        <v>16516492.25</v>
      </c>
      <c r="O9" s="293">
        <f>M9+N9</f>
        <v>14610449581.5</v>
      </c>
      <c r="Q9" s="306"/>
      <c r="S9" s="303">
        <v>1</v>
      </c>
      <c r="T9" s="304" t="s">
        <v>10</v>
      </c>
      <c r="U9" s="307">
        <f>'Reporte Componentes R1'!M63</f>
        <v>1160554403.1900001</v>
      </c>
      <c r="V9" s="308">
        <f>'Reporte Componentes R1'!N63</f>
        <v>1113470084.8499999</v>
      </c>
      <c r="W9" s="308">
        <f>'Reporte Componentes R1'!O63</f>
        <v>5271166494.5799999</v>
      </c>
      <c r="X9" s="308">
        <f>'Reporte Componentes R1'!P63</f>
        <v>2172128352.0600004</v>
      </c>
      <c r="Y9" s="309">
        <f>'Reporte Componentes R1'!Q63</f>
        <v>215238429.09999999</v>
      </c>
      <c r="Z9" s="310">
        <f>L9*-1</f>
        <v>-189185988</v>
      </c>
      <c r="AA9" s="311">
        <f>'Reporte Componentes R1'!R63+'Reporte Componentes R1'!V63+'Reporte Componentes R1'!U63</f>
        <v>-16764.259999999998</v>
      </c>
      <c r="AB9" s="294">
        <f>N9</f>
        <v>16516492.25</v>
      </c>
      <c r="AC9" s="311">
        <f>'Reporte Componentes R1'!T63+'Reporte Componentes R1'!W63+'Reporte Componentes R1'!X63+'Reporte Componentes R1'!Y63+'Reporte Componentes R1'!Z63+'Reporte Componentes R1'!S63</f>
        <v>521.77</v>
      </c>
      <c r="AD9" s="291">
        <f>-J9+AE9</f>
        <v>4850577555.96</v>
      </c>
      <c r="AE9" s="291">
        <f>'Reporte Componentes R1'!F64</f>
        <v>1261122890.4100001</v>
      </c>
      <c r="AF9" s="313">
        <f>SUM(U9:AD9)</f>
        <v>14610449581.5</v>
      </c>
      <c r="AG9" s="311">
        <f>(AF9-O9)</f>
        <v>0</v>
      </c>
      <c r="AH9" s="1" t="b">
        <f>INT(AG9)=0</f>
        <v>1</v>
      </c>
      <c r="AI9" s="306"/>
    </row>
    <row r="10" spans="1:35" s="305" customFormat="1" x14ac:dyDescent="0.25">
      <c r="B10" s="314">
        <v>2</v>
      </c>
      <c r="C10" s="315" t="s">
        <v>11</v>
      </c>
      <c r="D10" s="291">
        <f>'Reporte Componentes R1'!F216</f>
        <v>19023525223.110004</v>
      </c>
      <c r="E10" s="292">
        <f>'Reporte Componentes R1'!G216</f>
        <v>1400142290.9300001</v>
      </c>
      <c r="F10" s="292">
        <f>'Reporte Componentes R1'!H216</f>
        <v>785434828.66999996</v>
      </c>
      <c r="G10" s="292">
        <f>'Reporte Componentes R1'!I216</f>
        <v>411976719.89000005</v>
      </c>
      <c r="H10" s="292">
        <f>'Reporte Componentes R1'!J216</f>
        <v>5566978557.3000002</v>
      </c>
      <c r="I10" s="292">
        <f>'Reporte Componentes R1'!K216</f>
        <v>215502798.99000001</v>
      </c>
      <c r="J10" s="292">
        <f>'CONSOLIDADO_TOTAL RECAUDO'!J10</f>
        <v>-3241193714.1100001</v>
      </c>
      <c r="K10" s="295">
        <f>D10-E10-F10-G10-H10-I10-J10</f>
        <v>13884683741.440004</v>
      </c>
      <c r="L10" s="294">
        <f>'CONSOLIDADO_TOTAL RECAUDO'!L10</f>
        <v>266580256</v>
      </c>
      <c r="M10" s="295">
        <f>K10-L10</f>
        <v>13618103485.440004</v>
      </c>
      <c r="N10" s="294">
        <f>'Reporte Componentes R1'!L216</f>
        <v>24273229.890000001</v>
      </c>
      <c r="O10" s="295">
        <f t="shared" ref="O10:O12" si="0">M10+N10</f>
        <v>13642376715.330004</v>
      </c>
      <c r="Q10" s="306"/>
      <c r="S10" s="314">
        <v>2</v>
      </c>
      <c r="T10" s="315" t="s">
        <v>11</v>
      </c>
      <c r="U10" s="316">
        <f>'Reporte Componentes R1'!M216</f>
        <v>1888691595.8999999</v>
      </c>
      <c r="V10" s="317">
        <f>'Reporte Componentes R1'!N216</f>
        <v>1865131607.0600002</v>
      </c>
      <c r="W10" s="317">
        <f>'Reporte Componentes R1'!O216</f>
        <v>8796190172.9300003</v>
      </c>
      <c r="X10" s="317">
        <f>'Reporte Componentes R1'!P216</f>
        <v>2757907535.29</v>
      </c>
      <c r="Y10" s="318">
        <f>'Reporte Componentes R1'!Q216</f>
        <v>352119526.00999999</v>
      </c>
      <c r="Z10" s="319">
        <f>L10*-1</f>
        <v>-266580256</v>
      </c>
      <c r="AA10" s="320">
        <f>'Reporte Componentes R1'!R216+'Reporte Componentes R1'!V216+'Reporte Componentes R1'!U216</f>
        <v>89964.42</v>
      </c>
      <c r="AB10" s="294">
        <f>N10</f>
        <v>24273229.890000001</v>
      </c>
      <c r="AC10" s="320">
        <f>'Reporte Componentes R1'!T216+'Reporte Componentes R1'!W216+'Reporte Componentes R1'!X216+'Reporte Componentes R1'!Y216+'Reporte Componentes R1'!Z216+'Reporte Componentes R1'!S216</f>
        <v>-109.61</v>
      </c>
      <c r="AD10" s="291">
        <f t="shared" ref="AD10:AD13" si="1">-J10+AE10</f>
        <v>-1775446550.5599999</v>
      </c>
      <c r="AE10" s="291">
        <f>'Reporte Componentes R1'!F217</f>
        <v>-5016640264.6700001</v>
      </c>
      <c r="AF10" s="322">
        <f>SUM(U10:AD10)</f>
        <v>13642376715.33</v>
      </c>
      <c r="AG10" s="323">
        <f>(AF10-O10)</f>
        <v>-3.814697265625E-6</v>
      </c>
      <c r="AH10" s="1" t="b">
        <f t="shared" ref="AH10:AH14" si="2">INT(AG10)=0</f>
        <v>0</v>
      </c>
      <c r="AI10" s="306"/>
    </row>
    <row r="11" spans="1:35" s="305" customFormat="1" x14ac:dyDescent="0.25">
      <c r="B11" s="314">
        <v>3</v>
      </c>
      <c r="C11" s="315" t="s">
        <v>12</v>
      </c>
      <c r="D11" s="291">
        <f>'Reporte Componentes R1'!F353</f>
        <v>13997194578.870001</v>
      </c>
      <c r="E11" s="292">
        <f>'Reporte Componentes R1'!G353</f>
        <v>987122183.24000001</v>
      </c>
      <c r="F11" s="292">
        <f>'Reporte Componentes R1'!H353</f>
        <v>556797987.04999995</v>
      </c>
      <c r="G11" s="292">
        <f>'Reporte Componentes R1'!I353</f>
        <v>292504434.60000002</v>
      </c>
      <c r="H11" s="292">
        <f>'Reporte Componentes R1'!J353</f>
        <v>3384957591.0900002</v>
      </c>
      <c r="I11" s="292">
        <f>'Reporte Componentes R1'!K353</f>
        <v>124652663.64</v>
      </c>
      <c r="J11" s="292">
        <f>'CONSOLIDADO_TOTAL RECAUDO'!J11</f>
        <v>-853244564.50999999</v>
      </c>
      <c r="K11" s="295">
        <f t="shared" ref="K11:K13" si="3">D11-E11-F11-G11-H11-I11-J11</f>
        <v>9504404283.7600021</v>
      </c>
      <c r="L11" s="294">
        <f>'CONSOLIDADO_TOTAL RECAUDO'!L11</f>
        <v>154788536</v>
      </c>
      <c r="M11" s="295">
        <f>K11-L11</f>
        <v>9349615747.7600021</v>
      </c>
      <c r="N11" s="294">
        <f>'Reporte Componentes R1'!L353</f>
        <v>13007833.130000001</v>
      </c>
      <c r="O11" s="295">
        <f t="shared" si="0"/>
        <v>9362623580.8900013</v>
      </c>
      <c r="Q11" s="306"/>
      <c r="S11" s="314">
        <v>3</v>
      </c>
      <c r="T11" s="315" t="s">
        <v>12</v>
      </c>
      <c r="U11" s="316">
        <f>'Reporte Componentes R1'!M353</f>
        <v>1093234289.8399999</v>
      </c>
      <c r="V11" s="317">
        <f>'Reporte Componentes R1'!N353</f>
        <v>1073707981.87</v>
      </c>
      <c r="W11" s="317">
        <f>'Reporte Componentes R1'!O353</f>
        <v>5081970328.25</v>
      </c>
      <c r="X11" s="317">
        <f>'Reporte Componentes R1'!P353</f>
        <v>2295380517.8499999</v>
      </c>
      <c r="Y11" s="318">
        <f>'Reporte Componentes R1'!Q353</f>
        <v>203480280.53</v>
      </c>
      <c r="Z11" s="319">
        <f>L11*-1</f>
        <v>-154788536</v>
      </c>
      <c r="AA11" s="320">
        <f>'Reporte Componentes R1'!R353+'Reporte Componentes R1'!V353+'Reporte Componentes R1'!U353</f>
        <v>247498.34</v>
      </c>
      <c r="AB11" s="294">
        <f>N11</f>
        <v>13007833.130000001</v>
      </c>
      <c r="AC11" s="320">
        <f>'Reporte Componentes R1'!T353+'Reporte Componentes R1'!W353+'Reporte Componentes R1'!X353+'Reporte Componentes R1'!Y353+'Reporte Componentes R1'!Z353+'Reporte Componentes R1'!S353</f>
        <v>0.24</v>
      </c>
      <c r="AD11" s="291">
        <f t="shared" si="1"/>
        <v>-243616613.16000009</v>
      </c>
      <c r="AE11" s="291">
        <f>'Reporte Componentes R1'!F354</f>
        <v>-1096861177.6700001</v>
      </c>
      <c r="AF11" s="322">
        <f t="shared" ref="AF11:AF13" si="4">SUM(U11:AD11)</f>
        <v>9362623580.8899994</v>
      </c>
      <c r="AG11" s="323">
        <f>(AF11-O11)</f>
        <v>-1.9073486328125E-6</v>
      </c>
      <c r="AH11" s="1" t="b">
        <f t="shared" si="2"/>
        <v>0</v>
      </c>
      <c r="AI11" s="306"/>
    </row>
    <row r="12" spans="1:35" s="305" customFormat="1" x14ac:dyDescent="0.25">
      <c r="B12" s="314">
        <v>4</v>
      </c>
      <c r="C12" s="315" t="s">
        <v>13</v>
      </c>
      <c r="D12" s="291">
        <f>'Reporte Componentes R1'!F478</f>
        <v>6584787380.4700003</v>
      </c>
      <c r="E12" s="292">
        <f>'Reporte Componentes R1'!G478</f>
        <v>408144652.49000001</v>
      </c>
      <c r="F12" s="292">
        <f>'Reporte Componentes R1'!H478</f>
        <v>228232395.09</v>
      </c>
      <c r="G12" s="292">
        <f>'Reporte Componentes R1'!I478</f>
        <v>119582094.92999999</v>
      </c>
      <c r="H12" s="292">
        <f>'Reporte Componentes R1'!J478</f>
        <v>1524594519.48</v>
      </c>
      <c r="I12" s="292">
        <f>'Reporte Componentes R1'!K478</f>
        <v>59897729.049999997</v>
      </c>
      <c r="J12" s="292">
        <f>'CONSOLIDADO_TOTAL RECAUDO'!J12</f>
        <v>-699882713.37000012</v>
      </c>
      <c r="K12" s="295">
        <f>D12-E12-F12-G12-H12-I12-J12</f>
        <v>4944218702.7999992</v>
      </c>
      <c r="L12" s="294">
        <f>'CONSOLIDADO_TOTAL RECAUDO'!L12</f>
        <v>120391083</v>
      </c>
      <c r="M12" s="295">
        <f>K12-L12</f>
        <v>4823827619.7999992</v>
      </c>
      <c r="N12" s="294">
        <f>'Reporte Componentes R1'!L478</f>
        <v>19208887.530000001</v>
      </c>
      <c r="O12" s="295">
        <f t="shared" si="0"/>
        <v>4843036507.329999</v>
      </c>
      <c r="Q12" s="306"/>
      <c r="S12" s="314">
        <v>4</v>
      </c>
      <c r="T12" s="315" t="s">
        <v>13</v>
      </c>
      <c r="U12" s="316">
        <f>'Reporte Componentes R1'!M478</f>
        <v>524397834.05000001</v>
      </c>
      <c r="V12" s="317">
        <f>'Reporte Componentes R1'!N478</f>
        <v>518689495.65999997</v>
      </c>
      <c r="W12" s="317">
        <f>'Reporte Componentes R1'!O478</f>
        <v>2657171147.7400002</v>
      </c>
      <c r="X12" s="317">
        <f>'Reporte Componentes R1'!P478</f>
        <v>1079967383.1800001</v>
      </c>
      <c r="Y12" s="318">
        <f>'Reporte Componentes R1'!Q478</f>
        <v>97939197.519999996</v>
      </c>
      <c r="Z12" s="319">
        <f>L12*-1</f>
        <v>-120391083</v>
      </c>
      <c r="AA12" s="320">
        <f>'Reporte Componentes R1'!R478+'Reporte Componentes R1'!V478+'Reporte Componentes R1'!U478</f>
        <v>-16815.95</v>
      </c>
      <c r="AB12" s="294">
        <f>N12</f>
        <v>19208887.530000001</v>
      </c>
      <c r="AC12" s="320">
        <f>'Reporte Componentes R1'!T478+'Reporte Componentes R1'!W478+'Reporte Componentes R1'!X478+'Reporte Componentes R1'!Y478+'Reporte Componentes R1'!Z478+'Reporte Componentes R1'!S478</f>
        <v>-359.5</v>
      </c>
      <c r="AD12" s="291">
        <f t="shared" si="1"/>
        <v>66070820.100000143</v>
      </c>
      <c r="AE12" s="291">
        <f>'Reporte Componentes R1'!F479</f>
        <v>-633811893.26999998</v>
      </c>
      <c r="AF12" s="322">
        <f t="shared" si="4"/>
        <v>4843036507.3300009</v>
      </c>
      <c r="AG12" s="323">
        <f>(AF12-O12)</f>
        <v>1.9073486328125E-6</v>
      </c>
      <c r="AH12" s="1" t="b">
        <f t="shared" si="2"/>
        <v>1</v>
      </c>
      <c r="AI12" s="306"/>
    </row>
    <row r="13" spans="1:35" s="305" customFormat="1" ht="12" thickBot="1" x14ac:dyDescent="0.3">
      <c r="B13" s="324">
        <v>5</v>
      </c>
      <c r="C13" s="325" t="s">
        <v>14</v>
      </c>
      <c r="D13" s="296">
        <f>'Reporte Componentes R1'!F568</f>
        <v>11701157844.9</v>
      </c>
      <c r="E13" s="297">
        <f>'Reporte Componentes R1'!G568</f>
        <v>696844795.02999997</v>
      </c>
      <c r="F13" s="297">
        <f>'Reporte Componentes R1'!H568</f>
        <v>392989640.31</v>
      </c>
      <c r="G13" s="297">
        <f>'Reporte Componentes R1'!I568</f>
        <v>206069582.44999999</v>
      </c>
      <c r="H13" s="297">
        <f>'Reporte Componentes R1'!J568</f>
        <v>2740722350.5100002</v>
      </c>
      <c r="I13" s="297">
        <f>'Reporte Componentes R1'!K568</f>
        <v>104578894.56</v>
      </c>
      <c r="J13" s="292">
        <f>'CONSOLIDADO_TOTAL RECAUDO'!J13</f>
        <v>-82959023.660000086</v>
      </c>
      <c r="K13" s="295">
        <f t="shared" si="3"/>
        <v>7642911605.6999979</v>
      </c>
      <c r="L13" s="294">
        <f>'CONSOLIDADO_TOTAL RECAUDO'!L13</f>
        <v>128990446</v>
      </c>
      <c r="M13" s="298">
        <f>K13-L13</f>
        <v>7513921159.6999979</v>
      </c>
      <c r="N13" s="299">
        <f>'Reporte Componentes R1'!L568</f>
        <v>8997077.0999999996</v>
      </c>
      <c r="O13" s="298">
        <f>M13+N13</f>
        <v>7522918236.7999983</v>
      </c>
      <c r="Q13" s="306"/>
      <c r="S13" s="324">
        <v>5</v>
      </c>
      <c r="T13" s="325" t="s">
        <v>14</v>
      </c>
      <c r="U13" s="296">
        <f>'Reporte Componentes R1'!M568</f>
        <v>916904609.30999994</v>
      </c>
      <c r="V13" s="297">
        <f>'Reporte Componentes R1'!N568</f>
        <v>898289087.46000004</v>
      </c>
      <c r="W13" s="297">
        <f>'Reporte Componentes R1'!O568</f>
        <v>4616985820.4700003</v>
      </c>
      <c r="X13" s="297">
        <f>'Reporte Componentes R1'!P568</f>
        <v>2070281460.76</v>
      </c>
      <c r="Y13" s="289">
        <f>'Reporte Componentes R1'!Q568</f>
        <v>170680332.09999999</v>
      </c>
      <c r="Z13" s="319">
        <f>L13*-1</f>
        <v>-128990446</v>
      </c>
      <c r="AA13" s="320">
        <f>'Reporte Componentes R1'!R568+'Reporte Componentes R1'!V568+'Reporte Componentes R1'!U568</f>
        <v>-147148.47</v>
      </c>
      <c r="AB13" s="294">
        <f>N13</f>
        <v>8997077.0999999996</v>
      </c>
      <c r="AC13" s="320">
        <f>'Reporte Componentes R1'!T568+'Reporte Componentes R1'!W568+'Reporte Componentes R1'!X568+'Reporte Componentes R1'!Y568+'Reporte Componentes R1'!Z568+'Reporte Componentes R1'!S568</f>
        <v>-33.33</v>
      </c>
      <c r="AD13" s="291">
        <f t="shared" si="1"/>
        <v>-1030082522.5999999</v>
      </c>
      <c r="AE13" s="291">
        <f>'Reporte Componentes R1'!F569</f>
        <v>-1113041546.26</v>
      </c>
      <c r="AF13" s="322">
        <f t="shared" si="4"/>
        <v>7522918236.8000011</v>
      </c>
      <c r="AG13" s="326">
        <f>(AF13-O13)</f>
        <v>2.86102294921875E-6</v>
      </c>
      <c r="AH13" s="1" t="b">
        <f t="shared" si="2"/>
        <v>1</v>
      </c>
      <c r="AI13" s="306"/>
    </row>
    <row r="14" spans="1:35" s="305" customFormat="1" ht="13.5" thickBot="1" x14ac:dyDescent="0.35">
      <c r="B14" s="327"/>
      <c r="C14" s="328" t="s">
        <v>2</v>
      </c>
      <c r="D14" s="290">
        <f>SUM(D9:D13)</f>
        <v>67867264177.850006</v>
      </c>
      <c r="E14" s="290">
        <f t="shared" ref="E14:O14" si="5">SUM(E9:E13)</f>
        <v>4293898950.9699993</v>
      </c>
      <c r="F14" s="290">
        <f t="shared" si="5"/>
        <v>2415783744.0499997</v>
      </c>
      <c r="G14" s="290">
        <f t="shared" si="5"/>
        <v>1267785984.75</v>
      </c>
      <c r="H14" s="290">
        <f t="shared" si="5"/>
        <v>16960651475.710001</v>
      </c>
      <c r="I14" s="290">
        <f t="shared" si="5"/>
        <v>636541292.62</v>
      </c>
      <c r="J14" s="290">
        <f t="shared" si="5"/>
        <v>-8466734681.1999998</v>
      </c>
      <c r="K14" s="300">
        <f t="shared" si="5"/>
        <v>50759337410.949997</v>
      </c>
      <c r="L14" s="301">
        <f>SUM(L9:L13)</f>
        <v>859936309</v>
      </c>
      <c r="M14" s="302">
        <f t="shared" si="5"/>
        <v>49899401101.949997</v>
      </c>
      <c r="N14" s="301">
        <f t="shared" si="5"/>
        <v>82003519.900000006</v>
      </c>
      <c r="O14" s="302">
        <f t="shared" si="5"/>
        <v>49981404621.849998</v>
      </c>
      <c r="P14" s="329"/>
      <c r="Q14" s="306"/>
      <c r="S14" s="327"/>
      <c r="T14" s="328" t="s">
        <v>2</v>
      </c>
      <c r="U14" s="330">
        <f>SUM(U9:U13)</f>
        <v>5583782732.2900009</v>
      </c>
      <c r="V14" s="330">
        <f t="shared" ref="V14:AF14" si="6">SUM(V9:V13)</f>
        <v>5469288256.8999996</v>
      </c>
      <c r="W14" s="330">
        <f t="shared" si="6"/>
        <v>26423483963.970005</v>
      </c>
      <c r="X14" s="330">
        <f t="shared" si="6"/>
        <v>10375665249.140001</v>
      </c>
      <c r="Y14" s="330">
        <f t="shared" si="6"/>
        <v>1039457765.26</v>
      </c>
      <c r="Z14" s="290">
        <f t="shared" si="6"/>
        <v>-859936309</v>
      </c>
      <c r="AA14" s="290">
        <f t="shared" si="6"/>
        <v>156734.07999999999</v>
      </c>
      <c r="AB14" s="290">
        <f t="shared" si="6"/>
        <v>82003519.900000006</v>
      </c>
      <c r="AC14" s="290">
        <f t="shared" si="6"/>
        <v>19.569999999999979</v>
      </c>
      <c r="AD14" s="290">
        <f>SUM(AD9:AD13)</f>
        <v>1867502689.7400002</v>
      </c>
      <c r="AE14" s="290">
        <f>SUM(AE9:AE13)</f>
        <v>-6599231991.460001</v>
      </c>
      <c r="AF14" s="331">
        <f t="shared" si="6"/>
        <v>49981404621.850006</v>
      </c>
      <c r="AG14" s="332">
        <f>SUM(AG9:AG13)</f>
        <v>-9.5367431640625E-7</v>
      </c>
      <c r="AH14" s="1" t="b">
        <f t="shared" si="2"/>
        <v>0</v>
      </c>
      <c r="AI14" s="306"/>
    </row>
    <row r="15" spans="1:35" ht="12" thickBot="1" x14ac:dyDescent="0.3">
      <c r="B15" s="2"/>
      <c r="C15" s="2"/>
      <c r="D15" s="24"/>
      <c r="E15" s="24"/>
      <c r="F15" s="24"/>
      <c r="G15" s="24"/>
      <c r="H15" s="24"/>
      <c r="I15" s="24"/>
      <c r="K15" s="24"/>
      <c r="L15" s="24"/>
      <c r="M15" s="24"/>
      <c r="N15" s="24"/>
      <c r="O15" s="24"/>
      <c r="Q15" s="4"/>
      <c r="S15" s="2"/>
      <c r="T15" s="2"/>
      <c r="U15" s="24"/>
      <c r="V15" s="24"/>
      <c r="W15" s="24"/>
      <c r="X15" s="24"/>
      <c r="Y15" s="24"/>
      <c r="AF15" s="24"/>
      <c r="AI15" s="4"/>
    </row>
    <row r="16" spans="1:35" ht="12" thickBot="1" x14ac:dyDescent="0.3">
      <c r="B16" s="2"/>
      <c r="C16" s="2"/>
      <c r="D16" s="24"/>
      <c r="E16" s="24" t="s">
        <v>1</v>
      </c>
      <c r="F16" s="24" t="s">
        <v>1</v>
      </c>
      <c r="G16" s="24"/>
      <c r="H16" s="24" t="s">
        <v>1</v>
      </c>
      <c r="I16" s="24" t="s">
        <v>1</v>
      </c>
      <c r="K16" s="24"/>
      <c r="L16" s="24" t="s">
        <v>1</v>
      </c>
      <c r="M16" s="24"/>
      <c r="N16" s="24"/>
      <c r="O16" s="24"/>
      <c r="Q16" s="4"/>
      <c r="Y16" s="86">
        <f>SUM(U14:Y14)</f>
        <v>48891677967.560005</v>
      </c>
      <c r="AA16" s="1" t="s">
        <v>1</v>
      </c>
      <c r="AB16" s="1" t="s">
        <v>1</v>
      </c>
      <c r="AD16" s="1" t="s">
        <v>1</v>
      </c>
      <c r="AF16" s="1" t="s">
        <v>1</v>
      </c>
      <c r="AI16" s="4"/>
    </row>
    <row r="17" spans="1:35" ht="12" thickBot="1" x14ac:dyDescent="0.3">
      <c r="B17" s="2"/>
      <c r="C17" s="2"/>
      <c r="D17" s="24" t="s">
        <v>1</v>
      </c>
      <c r="E17" s="33"/>
      <c r="F17" s="33"/>
      <c r="G17" s="33"/>
      <c r="H17" s="33"/>
      <c r="I17" s="24" t="s">
        <v>1</v>
      </c>
      <c r="K17" s="24"/>
      <c r="L17" s="24" t="s">
        <v>1</v>
      </c>
      <c r="M17" s="24"/>
      <c r="N17" s="24"/>
      <c r="O17" s="24"/>
      <c r="Q17" s="4"/>
      <c r="AI17" s="4"/>
    </row>
    <row r="18" spans="1:35" x14ac:dyDescent="0.25">
      <c r="B18" s="2"/>
      <c r="C18" s="2"/>
      <c r="D18" s="24" t="s">
        <v>1</v>
      </c>
      <c r="E18" s="24" t="s">
        <v>1</v>
      </c>
      <c r="F18" s="24" t="s">
        <v>25</v>
      </c>
      <c r="G18" s="24"/>
      <c r="H18" s="24"/>
      <c r="I18" s="241"/>
      <c r="K18" s="24"/>
      <c r="L18" s="24"/>
      <c r="M18" s="24"/>
      <c r="N18" s="24"/>
      <c r="O18" s="24"/>
      <c r="Q18" s="4"/>
      <c r="AI18" s="4"/>
    </row>
    <row r="19" spans="1:35" x14ac:dyDescent="0.25">
      <c r="A19" s="4"/>
      <c r="B19" s="34"/>
      <c r="C19" s="34"/>
      <c r="D19" s="35"/>
      <c r="E19" s="35"/>
      <c r="F19" s="35"/>
      <c r="G19" s="35"/>
      <c r="H19" s="35"/>
      <c r="I19" s="35"/>
      <c r="J19" s="4"/>
      <c r="K19" s="35"/>
      <c r="L19" s="35"/>
      <c r="M19" s="35"/>
      <c r="N19" s="35"/>
      <c r="O19" s="35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  <c r="AE19" s="4"/>
      <c r="AF19" s="4"/>
      <c r="AG19" s="4"/>
      <c r="AH19" s="4"/>
      <c r="AI19" s="4"/>
    </row>
    <row r="20" spans="1:35" ht="12" thickBot="1" x14ac:dyDescent="0.3">
      <c r="Q20" s="4"/>
      <c r="AI20" s="4"/>
    </row>
    <row r="21" spans="1:35" x14ac:dyDescent="0.25">
      <c r="B21" s="5"/>
      <c r="C21" s="3" t="s">
        <v>1</v>
      </c>
      <c r="D21" s="6" t="s">
        <v>1</v>
      </c>
      <c r="E21" s="3"/>
      <c r="F21" s="3"/>
      <c r="G21" s="3"/>
      <c r="H21" s="3" t="s">
        <v>1</v>
      </c>
      <c r="I21" s="3"/>
      <c r="J21" s="3"/>
      <c r="K21" s="3"/>
      <c r="L21" s="3"/>
      <c r="M21" s="3"/>
      <c r="N21" s="3"/>
      <c r="O21" s="7"/>
      <c r="P21" s="2"/>
      <c r="Q21" s="4"/>
      <c r="S21" s="5"/>
      <c r="T21" s="3" t="s">
        <v>1</v>
      </c>
      <c r="U21" s="6" t="s">
        <v>1</v>
      </c>
      <c r="V21" s="3"/>
      <c r="W21" s="3"/>
      <c r="X21" s="3" t="s">
        <v>1</v>
      </c>
      <c r="Y21" s="3"/>
      <c r="Z21" s="3"/>
      <c r="AA21" s="3"/>
      <c r="AB21" s="3"/>
      <c r="AC21" s="3"/>
      <c r="AD21" s="3"/>
      <c r="AE21" s="3"/>
      <c r="AF21" s="7"/>
      <c r="AG21" s="2"/>
      <c r="AI21" s="4"/>
    </row>
    <row r="22" spans="1:35" ht="14" x14ac:dyDescent="0.3">
      <c r="B22" s="8"/>
      <c r="F22" s="26" t="s">
        <v>8</v>
      </c>
      <c r="G22" s="26"/>
      <c r="I22" s="26" t="s">
        <v>16</v>
      </c>
      <c r="J22" s="25"/>
      <c r="M22" s="2" t="s">
        <v>15</v>
      </c>
      <c r="N22" s="50">
        <f>N3</f>
        <v>2026072</v>
      </c>
      <c r="O22" s="10"/>
      <c r="P22" s="2"/>
      <c r="Q22" s="4"/>
      <c r="S22" s="8"/>
      <c r="U22" s="26" t="s">
        <v>8</v>
      </c>
      <c r="W22" s="26" t="s">
        <v>16</v>
      </c>
      <c r="X22" s="25"/>
      <c r="Y22" s="2"/>
      <c r="AA22" s="2" t="s">
        <v>15</v>
      </c>
      <c r="AD22" s="84">
        <f>N22</f>
        <v>2026072</v>
      </c>
      <c r="AE22" s="84"/>
      <c r="AF22" s="48"/>
      <c r="AG22" s="2"/>
      <c r="AI22" s="4"/>
    </row>
    <row r="23" spans="1:35" ht="15.5" x14ac:dyDescent="0.35">
      <c r="B23" s="8"/>
      <c r="F23" s="36" t="s">
        <v>29</v>
      </c>
      <c r="G23" s="36"/>
      <c r="O23" s="10"/>
      <c r="P23" s="2"/>
      <c r="Q23" s="4"/>
      <c r="S23" s="8"/>
      <c r="T23" s="26" t="s">
        <v>1</v>
      </c>
      <c r="U23" s="36" t="s">
        <v>29</v>
      </c>
      <c r="Y23" s="2" t="s">
        <v>1</v>
      </c>
      <c r="AA23" s="50" t="s">
        <v>1</v>
      </c>
      <c r="AB23" s="2"/>
      <c r="AC23" s="2"/>
      <c r="AD23" s="2"/>
      <c r="AE23" s="2"/>
      <c r="AF23" s="10" t="s">
        <v>1</v>
      </c>
      <c r="AG23" s="2"/>
      <c r="AI23" s="4"/>
    </row>
    <row r="24" spans="1:35" ht="14" x14ac:dyDescent="0.3">
      <c r="B24" s="8"/>
      <c r="F24" s="2" t="s">
        <v>30</v>
      </c>
      <c r="G24" s="2"/>
      <c r="M24" s="2" t="s">
        <v>1</v>
      </c>
      <c r="O24" s="10"/>
      <c r="P24" s="2"/>
      <c r="Q24" s="4"/>
      <c r="S24" s="8"/>
      <c r="T24" s="49" t="s">
        <v>1</v>
      </c>
      <c r="U24" s="2" t="s">
        <v>30</v>
      </c>
      <c r="AF24" s="44"/>
      <c r="AG24" s="2"/>
      <c r="AI24" s="4"/>
    </row>
    <row r="25" spans="1:35" ht="15.5" x14ac:dyDescent="0.35">
      <c r="B25" s="8"/>
      <c r="C25" s="599" t="s">
        <v>17</v>
      </c>
      <c r="D25" s="9">
        <f>D6</f>
        <v>46238</v>
      </c>
      <c r="F25" s="41" t="s">
        <v>31</v>
      </c>
      <c r="G25" s="41"/>
      <c r="H25" s="2"/>
      <c r="J25" s="2"/>
      <c r="O25" s="10"/>
      <c r="P25" s="2"/>
      <c r="Q25" s="4"/>
      <c r="S25" s="8"/>
      <c r="T25" s="41" t="s">
        <v>1</v>
      </c>
      <c r="U25" s="41" t="s">
        <v>31</v>
      </c>
      <c r="V25" s="2"/>
      <c r="X25" s="2"/>
      <c r="Y25" s="2"/>
      <c r="AF25" s="48"/>
      <c r="AG25" s="2"/>
      <c r="AI25" s="4"/>
    </row>
    <row r="26" spans="1:35" ht="12" thickBot="1" x14ac:dyDescent="0.3">
      <c r="B26" s="8"/>
      <c r="C26" s="599" t="s">
        <v>0</v>
      </c>
      <c r="D26" s="241">
        <f>D7</f>
        <v>0.58333333333333337</v>
      </c>
      <c r="F26" s="2" t="s">
        <v>27</v>
      </c>
      <c r="G26" s="9">
        <f>G7</f>
        <v>46219</v>
      </c>
      <c r="J26" s="2" t="s">
        <v>28</v>
      </c>
      <c r="K26" s="9">
        <f>K7</f>
        <v>46234</v>
      </c>
      <c r="O26" s="10"/>
      <c r="P26" s="2"/>
      <c r="Q26" s="4"/>
      <c r="S26" s="8"/>
      <c r="U26" s="1" t="str">
        <f>F26</f>
        <v>Fecha Desde:</v>
      </c>
      <c r="V26" s="9">
        <f>G26</f>
        <v>46219</v>
      </c>
      <c r="W26" s="1" t="s">
        <v>1</v>
      </c>
      <c r="X26" s="1" t="str">
        <f>J26</f>
        <v>Feha Hasta:</v>
      </c>
      <c r="Y26" s="9">
        <f>K26</f>
        <v>46234</v>
      </c>
      <c r="Z26" s="1" t="s">
        <v>1</v>
      </c>
      <c r="AF26" s="48"/>
      <c r="AG26" s="2"/>
      <c r="AI26" s="4"/>
    </row>
    <row r="27" spans="1:35" ht="72" customHeight="1" thickBot="1" x14ac:dyDescent="0.3">
      <c r="B27" s="11" t="s">
        <v>3</v>
      </c>
      <c r="C27" s="27" t="s">
        <v>9</v>
      </c>
      <c r="D27" s="11" t="s">
        <v>4</v>
      </c>
      <c r="E27" s="12" t="s">
        <v>5</v>
      </c>
      <c r="F27" s="27" t="s">
        <v>6</v>
      </c>
      <c r="G27" s="27" t="s">
        <v>159</v>
      </c>
      <c r="H27" s="27" t="s">
        <v>18</v>
      </c>
      <c r="I27" s="12" t="s">
        <v>24</v>
      </c>
      <c r="J27" s="73" t="s">
        <v>19</v>
      </c>
      <c r="K27" s="29" t="s">
        <v>20</v>
      </c>
      <c r="L27" s="28" t="s">
        <v>21</v>
      </c>
      <c r="M27" s="39" t="s">
        <v>22</v>
      </c>
      <c r="N27" s="12" t="s">
        <v>7</v>
      </c>
      <c r="O27" s="39" t="s">
        <v>23</v>
      </c>
      <c r="P27" s="13"/>
      <c r="Q27" s="4"/>
      <c r="S27" s="11" t="s">
        <v>3</v>
      </c>
      <c r="T27" s="27" t="s">
        <v>9</v>
      </c>
      <c r="U27" s="162" t="s">
        <v>39</v>
      </c>
      <c r="V27" s="163" t="s">
        <v>40</v>
      </c>
      <c r="W27" s="163" t="s">
        <v>41</v>
      </c>
      <c r="X27" s="163" t="s">
        <v>42</v>
      </c>
      <c r="Y27" s="164" t="s">
        <v>43</v>
      </c>
      <c r="Z27" s="85" t="s">
        <v>21</v>
      </c>
      <c r="AA27" s="65" t="s">
        <v>46</v>
      </c>
      <c r="AB27" s="65" t="s">
        <v>7</v>
      </c>
      <c r="AC27" s="85" t="s">
        <v>168</v>
      </c>
      <c r="AD27" s="121" t="s">
        <v>107</v>
      </c>
      <c r="AE27" s="121" t="s">
        <v>226</v>
      </c>
      <c r="AF27" s="39" t="s">
        <v>23</v>
      </c>
      <c r="AG27" s="13"/>
      <c r="AI27" s="4"/>
    </row>
    <row r="28" spans="1:35" s="305" customFormat="1" ht="12" thickBot="1" x14ac:dyDescent="0.3">
      <c r="B28" s="303">
        <v>1</v>
      </c>
      <c r="C28" s="304" t="s">
        <v>10</v>
      </c>
      <c r="D28" s="291">
        <f>'Rem. Anticipos R2'!E49</f>
        <v>97091142.519999996</v>
      </c>
      <c r="E28" s="292">
        <f>'Rem. Anticipos R2'!F49</f>
        <v>6976462.0700000003</v>
      </c>
      <c r="F28" s="292">
        <f>'Rem. Anticipos R2'!G49</f>
        <v>3989520.43</v>
      </c>
      <c r="G28" s="292">
        <f>'Rem. Anticipos R2'!H49</f>
        <v>1892052.01</v>
      </c>
      <c r="H28" s="292">
        <f>'Rem. Anticipos R2'!I49</f>
        <v>21816860.75</v>
      </c>
      <c r="I28" s="292">
        <f>'Rem. Anticipos R2'!J49</f>
        <v>885223.84</v>
      </c>
      <c r="J28" s="289">
        <v>0</v>
      </c>
      <c r="K28" s="293">
        <f>D28-E28-F28-G28-H28-I28-J28</f>
        <v>61531023.419999972</v>
      </c>
      <c r="L28" s="294">
        <v>0</v>
      </c>
      <c r="M28" s="293">
        <f>K28-L28</f>
        <v>61531023.419999972</v>
      </c>
      <c r="N28" s="294">
        <f>'Rem. Anticipos R2'!K49</f>
        <v>0</v>
      </c>
      <c r="O28" s="293">
        <f>M28+N28</f>
        <v>61531023.419999972</v>
      </c>
      <c r="Q28" s="306"/>
      <c r="S28" s="303">
        <v>1</v>
      </c>
      <c r="T28" s="304" t="s">
        <v>10</v>
      </c>
      <c r="U28" s="307">
        <f>'Rem. Anticipos R2'!L49</f>
        <v>8066881.2199999997</v>
      </c>
      <c r="V28" s="308">
        <f>'Rem. Anticipos R2'!M49</f>
        <v>7537523.3099999996</v>
      </c>
      <c r="W28" s="308">
        <f>'Rem. Anticipos R2'!N49</f>
        <v>33217967.449999999</v>
      </c>
      <c r="X28" s="308">
        <f>'Rem. Anticipos R2'!O49</f>
        <v>19118696.010000002</v>
      </c>
      <c r="Y28" s="309">
        <f>'Rem. Anticipos R2'!P49</f>
        <v>1269265.17</v>
      </c>
      <c r="Z28" s="310">
        <f>L28*-1</f>
        <v>0</v>
      </c>
      <c r="AA28" s="311">
        <f>'Rem. Anticipos R2'!Q49</f>
        <v>-0.55000000000000004</v>
      </c>
      <c r="AB28" s="294">
        <f>N28</f>
        <v>0</v>
      </c>
      <c r="AC28" s="311">
        <f>'Rem. Anticipos R2'!R49</f>
        <v>0</v>
      </c>
      <c r="AD28" s="291">
        <f>-J28+AE28</f>
        <v>-7679309.1900000004</v>
      </c>
      <c r="AE28" s="291">
        <f>'Rem. Anticipos R2'!E50</f>
        <v>-7679309.1900000004</v>
      </c>
      <c r="AF28" s="313">
        <f>SUM(U28:AD28)</f>
        <v>61531023.420000002</v>
      </c>
      <c r="AG28" s="311">
        <f>(AF28-O28)</f>
        <v>2.9802322387695313E-8</v>
      </c>
      <c r="AH28" s="1" t="b">
        <f>INT(AG28)=0</f>
        <v>1</v>
      </c>
      <c r="AI28" s="306"/>
    </row>
    <row r="29" spans="1:35" s="305" customFormat="1" x14ac:dyDescent="0.25">
      <c r="B29" s="314">
        <v>2</v>
      </c>
      <c r="C29" s="315" t="s">
        <v>11</v>
      </c>
      <c r="D29" s="291">
        <f>'Rem. Anticipos R2'!E145</f>
        <v>55676152.700000003</v>
      </c>
      <c r="E29" s="292">
        <f>'Rem. Anticipos R2'!F145</f>
        <v>4128221.21</v>
      </c>
      <c r="F29" s="292">
        <f>'Rem. Anticipos R2'!G145</f>
        <v>2450514.75</v>
      </c>
      <c r="G29" s="292">
        <f>'Rem. Anticipos R2'!H145</f>
        <v>991071.1</v>
      </c>
      <c r="H29" s="292">
        <f>'Rem. Anticipos R2'!I145</f>
        <v>18977352.940000001</v>
      </c>
      <c r="I29" s="292">
        <f>'Rem. Anticipos R2'!J145</f>
        <v>633591.15</v>
      </c>
      <c r="J29" s="288">
        <v>0</v>
      </c>
      <c r="K29" s="295">
        <f t="shared" ref="K29:K31" si="7">D29-E29-F29-G29-H29-I29-J29</f>
        <v>28495401.550000001</v>
      </c>
      <c r="L29" s="294">
        <v>0</v>
      </c>
      <c r="M29" s="295">
        <f>K29-L29</f>
        <v>28495401.550000001</v>
      </c>
      <c r="N29" s="294">
        <f>'Rem. Anticipos R2'!K145</f>
        <v>0</v>
      </c>
      <c r="O29" s="295">
        <f t="shared" ref="O29:O32" si="8">M29+N29</f>
        <v>28495401.550000001</v>
      </c>
      <c r="Q29" s="306"/>
      <c r="S29" s="314">
        <v>2</v>
      </c>
      <c r="T29" s="315" t="s">
        <v>11</v>
      </c>
      <c r="U29" s="316">
        <f>'Rem. Anticipos R2'!L145</f>
        <v>5929589.2400000002</v>
      </c>
      <c r="V29" s="317">
        <f>'Rem. Anticipos R2'!M145</f>
        <v>5758615.9699999997</v>
      </c>
      <c r="W29" s="317">
        <f>'Rem. Anticipos R2'!N145</f>
        <v>23292145.649999999</v>
      </c>
      <c r="X29" s="317">
        <f>'Rem. Anticipos R2'!O145</f>
        <v>8749581.6400000006</v>
      </c>
      <c r="Y29" s="318">
        <f>'Rem. Anticipos R2'!P145</f>
        <v>886619.66</v>
      </c>
      <c r="Z29" s="319">
        <f>L29*-1</f>
        <v>0</v>
      </c>
      <c r="AA29" s="320">
        <f>'Rem. Anticipos R2'!Q145</f>
        <v>144.25</v>
      </c>
      <c r="AB29" s="294">
        <f>N29</f>
        <v>0</v>
      </c>
      <c r="AC29" s="320">
        <f>'Rem. Anticipos R2'!R145</f>
        <v>0</v>
      </c>
      <c r="AD29" s="291">
        <f>-J29+AE29</f>
        <v>-16121294.859999999</v>
      </c>
      <c r="AE29" s="291">
        <f>'Rem. Anticipos R2'!E146</f>
        <v>-16121294.859999999</v>
      </c>
      <c r="AF29" s="322">
        <f>SUM(U29:AD29)</f>
        <v>28495401.549999997</v>
      </c>
      <c r="AG29" s="323">
        <f>(AF29-O29)</f>
        <v>-3.7252902984619141E-9</v>
      </c>
      <c r="AH29" s="1" t="b">
        <f t="shared" ref="AH29:AH33" si="9">INT(AG29)=0</f>
        <v>0</v>
      </c>
      <c r="AI29" s="306"/>
    </row>
    <row r="30" spans="1:35" s="305" customFormat="1" x14ac:dyDescent="0.25">
      <c r="B30" s="314">
        <v>3</v>
      </c>
      <c r="C30" s="315" t="s">
        <v>12</v>
      </c>
      <c r="D30" s="291">
        <f>'Rem. Anticipos R2'!E262</f>
        <v>10032919.670000002</v>
      </c>
      <c r="E30" s="292">
        <f>'Rem. Anticipos R2'!F262</f>
        <v>701731.13</v>
      </c>
      <c r="F30" s="292">
        <f>'Rem. Anticipos R2'!G262</f>
        <v>402850.38</v>
      </c>
      <c r="G30" s="292">
        <f>'Rem. Anticipos R2'!H262</f>
        <v>200945.85</v>
      </c>
      <c r="H30" s="292">
        <f>'Rem. Anticipos R2'!I262</f>
        <v>2080358.83</v>
      </c>
      <c r="I30" s="292">
        <f>'Rem. Anticipos R2'!J262</f>
        <v>75750.34</v>
      </c>
      <c r="J30" s="288">
        <v>0</v>
      </c>
      <c r="K30" s="295">
        <f t="shared" si="7"/>
        <v>6571283.1400000006</v>
      </c>
      <c r="L30" s="294">
        <v>0</v>
      </c>
      <c r="M30" s="295">
        <f>K30-L30</f>
        <v>6571283.1400000006</v>
      </c>
      <c r="N30" s="294">
        <f>'Rem. Anticipos R2'!K262</f>
        <v>22742.37</v>
      </c>
      <c r="O30" s="295">
        <f t="shared" si="8"/>
        <v>6594025.5100000007</v>
      </c>
      <c r="Q30" s="306"/>
      <c r="S30" s="314">
        <v>3</v>
      </c>
      <c r="T30" s="315" t="s">
        <v>12</v>
      </c>
      <c r="U30" s="316">
        <f>'Rem. Anticipos R2'!L262</f>
        <v>672022.47</v>
      </c>
      <c r="V30" s="317">
        <f>'Rem. Anticipos R2'!M262</f>
        <v>686444.88</v>
      </c>
      <c r="W30" s="317">
        <f>'Rem. Anticipos R2'!N262</f>
        <v>3594429</v>
      </c>
      <c r="X30" s="317">
        <f>'Rem. Anticipos R2'!O262</f>
        <v>1748778.82</v>
      </c>
      <c r="Y30" s="318">
        <f>'Rem. Anticipos R2'!P262</f>
        <v>105523.93999999999</v>
      </c>
      <c r="Z30" s="319">
        <f>L30*-1</f>
        <v>0</v>
      </c>
      <c r="AA30" s="320">
        <f>'Rem. Anticipos R2'!Q262</f>
        <v>14.57</v>
      </c>
      <c r="AB30" s="294">
        <f>N30</f>
        <v>22742.37</v>
      </c>
      <c r="AC30" s="320">
        <f>'Rem. Anticipos R2'!R262</f>
        <v>0</v>
      </c>
      <c r="AD30" s="291">
        <f t="shared" ref="AD30:AD32" si="10">-J30+AE30</f>
        <v>-235930.54</v>
      </c>
      <c r="AE30" s="291">
        <f>'Rem. Anticipos R2'!E263</f>
        <v>-235930.54</v>
      </c>
      <c r="AF30" s="322">
        <f>SUM(U30:AD30)</f>
        <v>6594025.5100000007</v>
      </c>
      <c r="AG30" s="323">
        <f t="shared" ref="AG30:AG31" si="11">(AF30-O30)</f>
        <v>0</v>
      </c>
      <c r="AH30" s="1" t="b">
        <f t="shared" si="9"/>
        <v>1</v>
      </c>
      <c r="AI30" s="306"/>
    </row>
    <row r="31" spans="1:35" s="305" customFormat="1" x14ac:dyDescent="0.25">
      <c r="B31" s="314">
        <v>4</v>
      </c>
      <c r="C31" s="315" t="s">
        <v>13</v>
      </c>
      <c r="D31" s="291">
        <f>'Rem. Anticipos R2'!E364</f>
        <v>60774931.109999992</v>
      </c>
      <c r="E31" s="292">
        <f>'Rem. Anticipos R2'!F364</f>
        <v>3643585.71</v>
      </c>
      <c r="F31" s="292">
        <f>'Rem. Anticipos R2'!G364</f>
        <v>2134528.5099999998</v>
      </c>
      <c r="G31" s="292">
        <f>'Rem. Anticipos R2'!H364</f>
        <v>922327.31</v>
      </c>
      <c r="H31" s="292">
        <f>'Rem. Anticipos R2'!I364</f>
        <v>19101300.940000001</v>
      </c>
      <c r="I31" s="292">
        <f>'Rem. Anticipos R2'!J364</f>
        <v>695389.45</v>
      </c>
      <c r="J31" s="288">
        <v>0</v>
      </c>
      <c r="K31" s="295">
        <f t="shared" si="7"/>
        <v>34277799.189999983</v>
      </c>
      <c r="L31" s="294">
        <v>0</v>
      </c>
      <c r="M31" s="295">
        <f>K31-L31</f>
        <v>34277799.189999983</v>
      </c>
      <c r="N31" s="294">
        <f>'Rem. Anticipos R2'!K364</f>
        <v>0</v>
      </c>
      <c r="O31" s="295">
        <f t="shared" si="8"/>
        <v>34277799.189999983</v>
      </c>
      <c r="Q31" s="306"/>
      <c r="S31" s="314">
        <v>4</v>
      </c>
      <c r="T31" s="315" t="s">
        <v>13</v>
      </c>
      <c r="U31" s="316">
        <f>'Rem. Anticipos R2'!L364</f>
        <v>6006974.5499999998</v>
      </c>
      <c r="V31" s="317">
        <f>'Rem. Anticipos R2'!M364</f>
        <v>5941622.6399999997</v>
      </c>
      <c r="W31" s="317">
        <f>'Rem. Anticipos R2'!N364</f>
        <v>26384823.629999999</v>
      </c>
      <c r="X31" s="317">
        <f>'Rem. Anticipos R2'!O364</f>
        <v>9973356.7599999998</v>
      </c>
      <c r="Y31" s="318">
        <f>'Rem. Anticipos R2'!P364</f>
        <v>1107550.0900000001</v>
      </c>
      <c r="Z31" s="319">
        <f>L31*-1</f>
        <v>0</v>
      </c>
      <c r="AA31" s="320">
        <f>'Rem. Anticipos R2'!Q364</f>
        <v>-85.27</v>
      </c>
      <c r="AB31" s="294">
        <f>N31</f>
        <v>0</v>
      </c>
      <c r="AC31" s="320">
        <f>'Rem. Anticipos R2'!R364</f>
        <v>0</v>
      </c>
      <c r="AD31" s="291">
        <f t="shared" si="10"/>
        <v>-15136443.210000001</v>
      </c>
      <c r="AE31" s="291">
        <f>'Rem. Anticipos R2'!E365</f>
        <v>-15136443.210000001</v>
      </c>
      <c r="AF31" s="322">
        <f>SUM(U31:AD31)</f>
        <v>34277799.189999998</v>
      </c>
      <c r="AG31" s="323">
        <f t="shared" si="11"/>
        <v>1.4901161193847656E-8</v>
      </c>
      <c r="AH31" s="1" t="b">
        <f t="shared" si="9"/>
        <v>1</v>
      </c>
      <c r="AI31" s="306"/>
    </row>
    <row r="32" spans="1:35" s="305" customFormat="1" ht="12" thickBot="1" x14ac:dyDescent="0.3">
      <c r="B32" s="324">
        <v>5</v>
      </c>
      <c r="C32" s="325" t="s">
        <v>14</v>
      </c>
      <c r="D32" s="296">
        <f>'Rem. Anticipos R2'!E444</f>
        <v>23423861.739999998</v>
      </c>
      <c r="E32" s="297">
        <f>'Rem. Anticipos R2'!F444</f>
        <v>1434797.19</v>
      </c>
      <c r="F32" s="297">
        <f>'Rem. Anticipos R2'!G444</f>
        <v>822131.91</v>
      </c>
      <c r="G32" s="297">
        <f>'Rem. Anticipos R2'!H444</f>
        <v>382101.97</v>
      </c>
      <c r="H32" s="297">
        <f>'Rem. Anticipos R2'!I444</f>
        <v>4012967.88</v>
      </c>
      <c r="I32" s="297">
        <f>'Rem. Anticipos R2'!J444</f>
        <v>149799.45000000001</v>
      </c>
      <c r="J32" s="289">
        <v>0</v>
      </c>
      <c r="K32" s="295">
        <f>D32-E32-F32-G32-H32-I32-J32</f>
        <v>16622063.34</v>
      </c>
      <c r="L32" s="294">
        <v>0</v>
      </c>
      <c r="M32" s="298">
        <f>K32-L32</f>
        <v>16622063.34</v>
      </c>
      <c r="N32" s="299">
        <f>'Rem. Anticipos R2'!K444</f>
        <v>0</v>
      </c>
      <c r="O32" s="298">
        <f t="shared" si="8"/>
        <v>16622063.34</v>
      </c>
      <c r="Q32" s="306"/>
      <c r="S32" s="324">
        <v>5</v>
      </c>
      <c r="T32" s="325" t="s">
        <v>14</v>
      </c>
      <c r="U32" s="296">
        <f>'Rem. Anticipos R2'!L444</f>
        <v>1255063.1599999999</v>
      </c>
      <c r="V32" s="297">
        <f>'Rem. Anticipos R2'!M444</f>
        <v>1364790.51</v>
      </c>
      <c r="W32" s="297">
        <f>'Rem. Anticipos R2'!N444</f>
        <v>5825494.6100000003</v>
      </c>
      <c r="X32" s="297">
        <f>'Rem. Anticipos R2'!O444</f>
        <v>4273227.9400000004</v>
      </c>
      <c r="Y32" s="289">
        <f>'Rem. Anticipos R2'!P444</f>
        <v>211847.59</v>
      </c>
      <c r="Z32" s="319">
        <f>L32*-1</f>
        <v>0</v>
      </c>
      <c r="AA32" s="320">
        <f>'Rem. Anticipos R2'!Q444</f>
        <v>90.03</v>
      </c>
      <c r="AB32" s="294">
        <f>N32</f>
        <v>0</v>
      </c>
      <c r="AC32" s="320">
        <f>'Rem. Anticipos R2'!R444</f>
        <v>0</v>
      </c>
      <c r="AD32" s="291">
        <f t="shared" si="10"/>
        <v>3691549.5</v>
      </c>
      <c r="AE32" s="291">
        <f>'Rem. Anticipos R2'!E445</f>
        <v>3691549.5</v>
      </c>
      <c r="AF32" s="322">
        <f>SUM(U32:AD32)</f>
        <v>16622063.340000002</v>
      </c>
      <c r="AG32" s="326">
        <f>(AF32-O32)</f>
        <v>1.862645149230957E-9</v>
      </c>
      <c r="AH32" s="1" t="b">
        <f t="shared" si="9"/>
        <v>1</v>
      </c>
      <c r="AI32" s="306"/>
    </row>
    <row r="33" spans="1:35" s="305" customFormat="1" ht="13.5" thickBot="1" x14ac:dyDescent="0.35">
      <c r="B33" s="327"/>
      <c r="C33" s="328" t="s">
        <v>2</v>
      </c>
      <c r="D33" s="290">
        <f>SUM(D28:D32)</f>
        <v>246999007.73999998</v>
      </c>
      <c r="E33" s="290">
        <f>SUM(E28:E32)</f>
        <v>16884797.310000002</v>
      </c>
      <c r="F33" s="290">
        <f t="shared" ref="F33:O33" si="12">SUM(F28:F32)</f>
        <v>9799545.9800000004</v>
      </c>
      <c r="G33" s="290">
        <f t="shared" si="12"/>
        <v>4388498.24</v>
      </c>
      <c r="H33" s="290">
        <f t="shared" si="12"/>
        <v>65988841.339999996</v>
      </c>
      <c r="I33" s="290">
        <f t="shared" si="12"/>
        <v>2439754.2300000004</v>
      </c>
      <c r="J33" s="290">
        <f t="shared" si="12"/>
        <v>0</v>
      </c>
      <c r="K33" s="300">
        <f t="shared" si="12"/>
        <v>147497570.63999996</v>
      </c>
      <c r="L33" s="301">
        <f t="shared" si="12"/>
        <v>0</v>
      </c>
      <c r="M33" s="302">
        <f t="shared" si="12"/>
        <v>147497570.63999996</v>
      </c>
      <c r="N33" s="301">
        <f t="shared" si="12"/>
        <v>22742.37</v>
      </c>
      <c r="O33" s="302">
        <f t="shared" si="12"/>
        <v>147520313.00999996</v>
      </c>
      <c r="P33" s="329"/>
      <c r="Q33" s="306"/>
      <c r="S33" s="327"/>
      <c r="T33" s="328" t="s">
        <v>2</v>
      </c>
      <c r="U33" s="330">
        <f>SUM(U28:U32)</f>
        <v>21930530.640000001</v>
      </c>
      <c r="V33" s="330">
        <f t="shared" ref="V33:AG33" si="13">SUM(V28:V32)</f>
        <v>21288997.310000002</v>
      </c>
      <c r="W33" s="330">
        <f t="shared" si="13"/>
        <v>92314860.339999989</v>
      </c>
      <c r="X33" s="330">
        <f t="shared" si="13"/>
        <v>43863641.170000002</v>
      </c>
      <c r="Y33" s="330">
        <f t="shared" si="13"/>
        <v>3580806.45</v>
      </c>
      <c r="Z33" s="290">
        <f t="shared" si="13"/>
        <v>0</v>
      </c>
      <c r="AA33" s="290">
        <f t="shared" si="13"/>
        <v>163.02999999999997</v>
      </c>
      <c r="AB33" s="290">
        <f t="shared" si="13"/>
        <v>22742.37</v>
      </c>
      <c r="AC33" s="290">
        <f t="shared" ref="AC33" si="14">SUM(AC28:AC32)</f>
        <v>0</v>
      </c>
      <c r="AD33" s="290">
        <f>SUM(AD28:AD32)</f>
        <v>-35481428.299999997</v>
      </c>
      <c r="AE33" s="290">
        <f>SUM(AE28:AE32)</f>
        <v>-35481428.299999997</v>
      </c>
      <c r="AF33" s="331">
        <f t="shared" si="13"/>
        <v>147520313.00999999</v>
      </c>
      <c r="AG33" s="332">
        <f t="shared" si="13"/>
        <v>4.2840838432312012E-8</v>
      </c>
      <c r="AH33" s="1" t="b">
        <f t="shared" si="9"/>
        <v>1</v>
      </c>
      <c r="AI33" s="306"/>
    </row>
    <row r="34" spans="1:35" ht="12" thickBot="1" x14ac:dyDescent="0.3">
      <c r="B34" s="2"/>
      <c r="C34" s="2"/>
      <c r="D34" s="24"/>
      <c r="E34" s="24"/>
      <c r="F34" s="24"/>
      <c r="G34" s="24"/>
      <c r="H34" s="24"/>
      <c r="I34" s="24"/>
      <c r="K34" s="24"/>
      <c r="L34" s="24"/>
      <c r="M34" s="24"/>
      <c r="N34" s="24"/>
      <c r="O34" s="24"/>
      <c r="Q34" s="4"/>
      <c r="S34" s="2"/>
      <c r="T34" s="2"/>
      <c r="U34" s="24"/>
      <c r="V34" s="24"/>
      <c r="W34" s="24"/>
      <c r="X34" s="24"/>
      <c r="Y34" s="24"/>
      <c r="AF34" s="24"/>
      <c r="AI34" s="4"/>
    </row>
    <row r="35" spans="1:35" ht="12" thickBot="1" x14ac:dyDescent="0.3">
      <c r="B35" s="2"/>
      <c r="C35" s="2"/>
      <c r="D35" s="24" t="s">
        <v>1</v>
      </c>
      <c r="E35" s="24"/>
      <c r="F35" s="24"/>
      <c r="G35" s="24"/>
      <c r="H35" s="24"/>
      <c r="I35" s="24"/>
      <c r="K35" s="24"/>
      <c r="L35" s="24"/>
      <c r="M35" s="24"/>
      <c r="N35" s="24"/>
      <c r="O35" s="24"/>
      <c r="Q35" s="4"/>
      <c r="Y35" s="86">
        <f>SUM(U33:Y33)</f>
        <v>182978835.90999997</v>
      </c>
      <c r="AD35" s="1" t="s">
        <v>1</v>
      </c>
      <c r="AF35" s="1" t="s">
        <v>1</v>
      </c>
      <c r="AI35" s="4"/>
    </row>
    <row r="36" spans="1:35" ht="12" thickBot="1" x14ac:dyDescent="0.3">
      <c r="B36" s="2"/>
      <c r="C36" s="2"/>
      <c r="D36" s="24" t="s">
        <v>1</v>
      </c>
      <c r="E36" s="33"/>
      <c r="F36" s="33"/>
      <c r="G36" s="33"/>
      <c r="H36" s="33"/>
      <c r="I36" s="24"/>
      <c r="K36" s="24"/>
      <c r="L36" s="24"/>
      <c r="M36" s="24"/>
      <c r="N36" s="24"/>
      <c r="O36" s="24"/>
      <c r="Q36" s="4"/>
      <c r="AI36" s="4"/>
    </row>
    <row r="37" spans="1:35" x14ac:dyDescent="0.25">
      <c r="B37" s="2"/>
      <c r="C37" s="2"/>
      <c r="D37" s="24" t="s">
        <v>1</v>
      </c>
      <c r="E37" s="24" t="s">
        <v>1</v>
      </c>
      <c r="F37" s="24" t="s">
        <v>25</v>
      </c>
      <c r="G37" s="24"/>
      <c r="H37" s="24"/>
      <c r="I37" s="24"/>
      <c r="K37" s="24"/>
      <c r="L37" s="24"/>
      <c r="M37" s="24"/>
      <c r="N37" s="24"/>
      <c r="O37" s="24"/>
      <c r="Q37" s="4"/>
      <c r="AI37" s="4"/>
    </row>
    <row r="38" spans="1:35" x14ac:dyDescent="0.25">
      <c r="A38" s="4"/>
      <c r="B38" s="34"/>
      <c r="C38" s="34"/>
      <c r="D38" s="35"/>
      <c r="E38" s="35"/>
      <c r="F38" s="35"/>
      <c r="G38" s="35"/>
      <c r="H38" s="35"/>
      <c r="I38" s="35"/>
      <c r="J38" s="4"/>
      <c r="K38" s="35"/>
      <c r="L38" s="35"/>
      <c r="M38" s="35"/>
      <c r="N38" s="35"/>
      <c r="O38" s="35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  <c r="AE38" s="4"/>
      <c r="AF38" s="4"/>
      <c r="AG38" s="4"/>
      <c r="AH38" s="4"/>
      <c r="AI38" s="4"/>
    </row>
    <row r="39" spans="1:35" ht="12" thickBot="1" x14ac:dyDescent="0.3">
      <c r="Q39" s="4"/>
      <c r="AI39" s="4"/>
    </row>
    <row r="40" spans="1:35" x14ac:dyDescent="0.25">
      <c r="B40" s="5"/>
      <c r="C40" s="3" t="s">
        <v>1</v>
      </c>
      <c r="D40" s="6" t="s">
        <v>1</v>
      </c>
      <c r="E40" s="3"/>
      <c r="F40" s="3"/>
      <c r="G40" s="3"/>
      <c r="H40" s="3" t="s">
        <v>1</v>
      </c>
      <c r="I40" s="3"/>
      <c r="J40" s="3"/>
      <c r="K40" s="3"/>
      <c r="L40" s="3"/>
      <c r="M40" s="3"/>
      <c r="N40" s="3"/>
      <c r="O40" s="7"/>
      <c r="P40" s="2"/>
      <c r="Q40" s="4"/>
      <c r="S40" s="5"/>
      <c r="T40" s="3" t="s">
        <v>1</v>
      </c>
      <c r="U40" s="6" t="s">
        <v>1</v>
      </c>
      <c r="V40" s="3"/>
      <c r="W40" s="3"/>
      <c r="X40" s="3" t="s">
        <v>1</v>
      </c>
      <c r="Y40" s="3"/>
      <c r="Z40" s="3"/>
      <c r="AA40" s="3"/>
      <c r="AB40" s="3"/>
      <c r="AC40" s="3"/>
      <c r="AD40" s="3"/>
      <c r="AE40" s="3"/>
      <c r="AF40" s="7"/>
      <c r="AG40" s="2"/>
      <c r="AI40" s="4"/>
    </row>
    <row r="41" spans="1:35" ht="14" x14ac:dyDescent="0.3">
      <c r="B41" s="8"/>
      <c r="F41" s="26" t="s">
        <v>8</v>
      </c>
      <c r="G41" s="26"/>
      <c r="I41" s="26" t="s">
        <v>16</v>
      </c>
      <c r="J41" s="25"/>
      <c r="M41" s="2" t="s">
        <v>15</v>
      </c>
      <c r="N41" s="50">
        <f>N3</f>
        <v>2026072</v>
      </c>
      <c r="O41" s="10"/>
      <c r="P41" s="2"/>
      <c r="Q41" s="4"/>
      <c r="S41" s="8"/>
      <c r="U41" s="26" t="s">
        <v>8</v>
      </c>
      <c r="W41" s="26" t="s">
        <v>16</v>
      </c>
      <c r="X41" s="25"/>
      <c r="Y41" s="2"/>
      <c r="AA41" s="2" t="s">
        <v>15</v>
      </c>
      <c r="AD41" s="84">
        <f>N41</f>
        <v>2026072</v>
      </c>
      <c r="AE41" s="84"/>
      <c r="AF41" s="48"/>
      <c r="AG41" s="2"/>
      <c r="AI41" s="4"/>
    </row>
    <row r="42" spans="1:35" ht="15.5" x14ac:dyDescent="0.35">
      <c r="B42" s="8"/>
      <c r="F42" s="36" t="s">
        <v>29</v>
      </c>
      <c r="G42" s="36"/>
      <c r="O42" s="10"/>
      <c r="P42" s="2"/>
      <c r="Q42" s="4"/>
      <c r="S42" s="8"/>
      <c r="T42" s="26" t="s">
        <v>1</v>
      </c>
      <c r="U42" s="36" t="s">
        <v>29</v>
      </c>
      <c r="Y42" s="2" t="s">
        <v>1</v>
      </c>
      <c r="AA42" s="50" t="s">
        <v>1</v>
      </c>
      <c r="AB42" s="2"/>
      <c r="AC42" s="2"/>
      <c r="AD42" s="2"/>
      <c r="AE42" s="2"/>
      <c r="AF42" s="10" t="s">
        <v>1</v>
      </c>
      <c r="AG42" s="2"/>
      <c r="AI42" s="4"/>
    </row>
    <row r="43" spans="1:35" ht="14" x14ac:dyDescent="0.3">
      <c r="B43" s="8"/>
      <c r="F43" s="2" t="s">
        <v>30</v>
      </c>
      <c r="G43" s="2"/>
      <c r="M43" s="2" t="s">
        <v>1</v>
      </c>
      <c r="O43" s="10"/>
      <c r="P43" s="2"/>
      <c r="Q43" s="4"/>
      <c r="S43" s="8"/>
      <c r="T43" s="49" t="s">
        <v>1</v>
      </c>
      <c r="U43" s="2" t="s">
        <v>30</v>
      </c>
      <c r="AF43" s="44"/>
      <c r="AG43" s="2"/>
      <c r="AI43" s="4"/>
    </row>
    <row r="44" spans="1:35" ht="15.5" x14ac:dyDescent="0.35">
      <c r="B44" s="8"/>
      <c r="C44" s="599" t="s">
        <v>17</v>
      </c>
      <c r="D44" s="9">
        <f>D6</f>
        <v>46238</v>
      </c>
      <c r="F44" s="41" t="s">
        <v>32</v>
      </c>
      <c r="G44" s="41"/>
      <c r="H44" s="2"/>
      <c r="J44" s="2"/>
      <c r="O44" s="10"/>
      <c r="P44" s="2"/>
      <c r="Q44" s="4"/>
      <c r="S44" s="8"/>
      <c r="T44" s="41" t="s">
        <v>1</v>
      </c>
      <c r="U44" s="41" t="s">
        <v>32</v>
      </c>
      <c r="V44" s="2"/>
      <c r="X44" s="2"/>
      <c r="Y44" s="2"/>
      <c r="AF44" s="48"/>
      <c r="AG44" s="2"/>
      <c r="AI44" s="4"/>
    </row>
    <row r="45" spans="1:35" ht="12" thickBot="1" x14ac:dyDescent="0.3">
      <c r="B45" s="8"/>
      <c r="C45" s="599" t="s">
        <v>0</v>
      </c>
      <c r="D45" s="241">
        <f>D7</f>
        <v>0.58333333333333337</v>
      </c>
      <c r="F45" s="2" t="s">
        <v>27</v>
      </c>
      <c r="G45" s="9">
        <f>G7</f>
        <v>46219</v>
      </c>
      <c r="J45" s="2" t="s">
        <v>28</v>
      </c>
      <c r="K45" s="9">
        <f>K7</f>
        <v>46234</v>
      </c>
      <c r="O45" s="10"/>
      <c r="P45" s="2"/>
      <c r="Q45" s="4"/>
      <c r="S45" s="8"/>
      <c r="U45" s="1" t="str">
        <f>F45</f>
        <v>Fecha Desde:</v>
      </c>
      <c r="V45" s="9">
        <f>G45</f>
        <v>46219</v>
      </c>
      <c r="W45" s="1" t="s">
        <v>1</v>
      </c>
      <c r="X45" s="1" t="str">
        <f>J45</f>
        <v>Feha Hasta:</v>
      </c>
      <c r="Y45" s="9">
        <f>K45</f>
        <v>46234</v>
      </c>
      <c r="Z45" s="1" t="s">
        <v>1</v>
      </c>
      <c r="AF45" s="48"/>
      <c r="AG45" s="2"/>
      <c r="AI45" s="4"/>
    </row>
    <row r="46" spans="1:35" ht="72" customHeight="1" thickBot="1" x14ac:dyDescent="0.3">
      <c r="B46" s="11" t="s">
        <v>3</v>
      </c>
      <c r="C46" s="27" t="s">
        <v>9</v>
      </c>
      <c r="D46" s="11" t="s">
        <v>4</v>
      </c>
      <c r="E46" s="12" t="s">
        <v>5</v>
      </c>
      <c r="F46" s="27" t="s">
        <v>6</v>
      </c>
      <c r="G46" s="27" t="s">
        <v>159</v>
      </c>
      <c r="H46" s="27" t="s">
        <v>18</v>
      </c>
      <c r="I46" s="12" t="s">
        <v>24</v>
      </c>
      <c r="J46" s="73" t="s">
        <v>19</v>
      </c>
      <c r="K46" s="29" t="s">
        <v>20</v>
      </c>
      <c r="L46" s="28" t="s">
        <v>21</v>
      </c>
      <c r="M46" s="39" t="s">
        <v>22</v>
      </c>
      <c r="N46" s="12" t="s">
        <v>7</v>
      </c>
      <c r="O46" s="39" t="s">
        <v>23</v>
      </c>
      <c r="P46" s="13"/>
      <c r="Q46" s="4"/>
      <c r="S46" s="11" t="s">
        <v>3</v>
      </c>
      <c r="T46" s="27" t="s">
        <v>9</v>
      </c>
      <c r="U46" s="162" t="s">
        <v>39</v>
      </c>
      <c r="V46" s="163" t="s">
        <v>40</v>
      </c>
      <c r="W46" s="163" t="s">
        <v>41</v>
      </c>
      <c r="X46" s="163" t="s">
        <v>42</v>
      </c>
      <c r="Y46" s="164" t="s">
        <v>43</v>
      </c>
      <c r="Z46" s="85" t="s">
        <v>21</v>
      </c>
      <c r="AA46" s="65" t="s">
        <v>46</v>
      </c>
      <c r="AB46" s="65" t="s">
        <v>7</v>
      </c>
      <c r="AC46" s="85" t="s">
        <v>168</v>
      </c>
      <c r="AD46" s="121" t="s">
        <v>107</v>
      </c>
      <c r="AE46" s="121" t="s">
        <v>226</v>
      </c>
      <c r="AF46" s="39" t="s">
        <v>23</v>
      </c>
      <c r="AG46" s="13"/>
      <c r="AI46" s="4"/>
    </row>
    <row r="47" spans="1:35" s="305" customFormat="1" ht="12" thickBot="1" x14ac:dyDescent="0.3">
      <c r="B47" s="303">
        <v>1</v>
      </c>
      <c r="C47" s="304" t="s">
        <v>10</v>
      </c>
      <c r="D47" s="291">
        <f>'Reporte Componentes R1'!F65</f>
        <v>49580</v>
      </c>
      <c r="E47" s="292">
        <f>'Reporte Componentes R1'!G65</f>
        <v>2007.44</v>
      </c>
      <c r="F47" s="292">
        <f>'Reporte Componentes R1'!H65</f>
        <v>1133.3800000000001</v>
      </c>
      <c r="G47" s="292">
        <f>'Reporte Componentes R1'!I65</f>
        <v>594.88</v>
      </c>
      <c r="H47" s="292">
        <f>'Reporte Componentes R1'!J65</f>
        <v>0</v>
      </c>
      <c r="I47" s="292">
        <f>'Reporte Componentes R1'!K65</f>
        <v>0</v>
      </c>
      <c r="J47" s="289">
        <v>0</v>
      </c>
      <c r="K47" s="293">
        <f>D47-E47-F47-G47-H47-I47-J47</f>
        <v>45844.3</v>
      </c>
      <c r="L47" s="294">
        <v>0</v>
      </c>
      <c r="M47" s="293">
        <f>K47-L47</f>
        <v>45844.3</v>
      </c>
      <c r="N47" s="294">
        <f>'Reporte Componentes R1'!L65</f>
        <v>0</v>
      </c>
      <c r="O47" s="293">
        <f>M47+N47</f>
        <v>45844.3</v>
      </c>
      <c r="Q47" s="306"/>
      <c r="S47" s="303">
        <v>1</v>
      </c>
      <c r="T47" s="304" t="s">
        <v>10</v>
      </c>
      <c r="U47" s="307">
        <f>'Reporte Componentes R1'!M65</f>
        <v>0</v>
      </c>
      <c r="V47" s="308">
        <f>'Reporte Componentes R1'!N65</f>
        <v>0</v>
      </c>
      <c r="W47" s="308">
        <f>'Reporte Componentes R1'!O65</f>
        <v>0</v>
      </c>
      <c r="X47" s="308">
        <f>'Reporte Componentes R1'!P65</f>
        <v>5482.6</v>
      </c>
      <c r="Y47" s="309">
        <f>'Reporte Componentes R1'!Q65</f>
        <v>0</v>
      </c>
      <c r="Z47" s="310">
        <f>-L47</f>
        <v>0</v>
      </c>
      <c r="AA47" s="320">
        <f>'Reporte Componentes R1'!R65+'Reporte Componentes R1'!V65+'Reporte Componentes R1'!U65</f>
        <v>-2.61</v>
      </c>
      <c r="AB47" s="294">
        <f>N47</f>
        <v>0</v>
      </c>
      <c r="AC47" s="311">
        <f>'Reporte Componentes R1'!T65+'Reporte Componentes R1'!W65+'Reporte Componentes R1'!X65+'Reporte Componentes R1'!Y65+'Reporte Componentes R1'!Z65+'Reporte Componentes R1'!S65</f>
        <v>0</v>
      </c>
      <c r="AD47" s="291">
        <f>-J47+AE47</f>
        <v>40364.31</v>
      </c>
      <c r="AE47" s="291">
        <f>'Reporte Componentes R1'!F66</f>
        <v>40364.31</v>
      </c>
      <c r="AF47" s="313">
        <f>SUM(U47:AD47)</f>
        <v>45844.299999999996</v>
      </c>
      <c r="AG47" s="311">
        <f>(AF47-O47)</f>
        <v>-7.2759576141834259E-12</v>
      </c>
      <c r="AH47" s="1" t="b">
        <f>INT(AG47)=0</f>
        <v>0</v>
      </c>
      <c r="AI47" s="306"/>
    </row>
    <row r="48" spans="1:35" s="305" customFormat="1" x14ac:dyDescent="0.25">
      <c r="B48" s="314">
        <v>2</v>
      </c>
      <c r="C48" s="315" t="s">
        <v>11</v>
      </c>
      <c r="D48" s="291">
        <f>'Reporte Componentes R1'!F218</f>
        <v>56078860</v>
      </c>
      <c r="E48" s="292">
        <f>'Reporte Componentes R1'!G218</f>
        <v>7696969.2400000002</v>
      </c>
      <c r="F48" s="292">
        <f>'Reporte Componentes R1'!H218</f>
        <v>4351440.59</v>
      </c>
      <c r="G48" s="292">
        <f>'Reporte Componentes R1'!I218</f>
        <v>2306516.2999999998</v>
      </c>
      <c r="H48" s="292">
        <f>'Reporte Componentes R1'!J218</f>
        <v>107263.69</v>
      </c>
      <c r="I48" s="292">
        <f>'Reporte Componentes R1'!K218</f>
        <v>3376.45</v>
      </c>
      <c r="J48" s="288">
        <v>0</v>
      </c>
      <c r="K48" s="295">
        <f t="shared" ref="K48:K51" si="15">D48-E48-F48-G48-H48-I48-J48</f>
        <v>41613293.730000004</v>
      </c>
      <c r="L48" s="294">
        <v>0</v>
      </c>
      <c r="M48" s="295">
        <f>K48-L48</f>
        <v>41613293.730000004</v>
      </c>
      <c r="N48" s="294">
        <f>'Reporte Componentes R1'!L218</f>
        <v>0</v>
      </c>
      <c r="O48" s="295">
        <f t="shared" ref="O48:O51" si="16">M48+N48</f>
        <v>41613293.730000004</v>
      </c>
      <c r="Q48" s="306"/>
      <c r="S48" s="314">
        <v>2</v>
      </c>
      <c r="T48" s="315" t="s">
        <v>11</v>
      </c>
      <c r="U48" s="316">
        <f>'Reporte Componentes R1'!M218</f>
        <v>29617.98</v>
      </c>
      <c r="V48" s="317">
        <f>'Reporte Componentes R1'!N218</f>
        <v>33795.33</v>
      </c>
      <c r="W48" s="317">
        <f>'Reporte Componentes R1'!O218</f>
        <v>157592.63</v>
      </c>
      <c r="X48" s="317">
        <f>'Reporte Componentes R1'!P218</f>
        <v>15452175.380000001</v>
      </c>
      <c r="Y48" s="318">
        <f>'Reporte Componentes R1'!Q218</f>
        <v>5508.95</v>
      </c>
      <c r="Z48" s="319">
        <f>-L48</f>
        <v>0</v>
      </c>
      <c r="AA48" s="320">
        <f>'Reporte Componentes R1'!R218+'Reporte Componentes R1'!V218+'Reporte Componentes R1'!U218</f>
        <v>2.83</v>
      </c>
      <c r="AB48" s="294">
        <f>N48</f>
        <v>0</v>
      </c>
      <c r="AC48" s="320">
        <f>'Reporte Componentes R1'!T218+'Reporte Componentes R1'!W218+'Reporte Componentes R1'!X218+'Reporte Componentes R1'!Y218+'Reporte Componentes R1'!Z218+'Reporte Componentes R1'!S218</f>
        <v>0</v>
      </c>
      <c r="AD48" s="291">
        <f t="shared" ref="AD48:AD51" si="17">-J48+AE48</f>
        <v>25934600.629999999</v>
      </c>
      <c r="AE48" s="291">
        <f>'Reporte Componentes R1'!F219</f>
        <v>25934600.629999999</v>
      </c>
      <c r="AF48" s="322">
        <f>SUM(U48:AD48)</f>
        <v>41613293.729999997</v>
      </c>
      <c r="AG48" s="323">
        <f>(AF48-O48)</f>
        <v>-7.4505805969238281E-9</v>
      </c>
      <c r="AH48" s="1" t="b">
        <f t="shared" ref="AH48:AH52" si="18">INT(AG48)=0</f>
        <v>0</v>
      </c>
      <c r="AI48" s="306"/>
    </row>
    <row r="49" spans="1:35" s="305" customFormat="1" x14ac:dyDescent="0.25">
      <c r="B49" s="314">
        <v>3</v>
      </c>
      <c r="C49" s="315" t="s">
        <v>12</v>
      </c>
      <c r="D49" s="291">
        <f>'Reporte Componentes R1'!F355</f>
        <v>1307680</v>
      </c>
      <c r="E49" s="292">
        <f>'Reporte Componentes R1'!G355</f>
        <v>147598.38</v>
      </c>
      <c r="F49" s="292">
        <f>'Reporte Componentes R1'!H355</f>
        <v>66140.960000000006</v>
      </c>
      <c r="G49" s="292">
        <f>'Reporte Componentes R1'!I355</f>
        <v>37291.57</v>
      </c>
      <c r="H49" s="292">
        <f>'Reporte Componentes R1'!J355</f>
        <v>33572.080000000002</v>
      </c>
      <c r="I49" s="292">
        <f>'Reporte Componentes R1'!K355</f>
        <v>682.45</v>
      </c>
      <c r="J49" s="288">
        <v>0</v>
      </c>
      <c r="K49" s="295">
        <f t="shared" si="15"/>
        <v>1022394.5600000002</v>
      </c>
      <c r="L49" s="294">
        <v>0</v>
      </c>
      <c r="M49" s="295">
        <f>K49-L49</f>
        <v>1022394.5600000002</v>
      </c>
      <c r="N49" s="294">
        <f>'Reporte Componentes R1'!L355</f>
        <v>0</v>
      </c>
      <c r="O49" s="295">
        <f t="shared" si="16"/>
        <v>1022394.5600000002</v>
      </c>
      <c r="Q49" s="306"/>
      <c r="S49" s="314">
        <v>3</v>
      </c>
      <c r="T49" s="315" t="s">
        <v>12</v>
      </c>
      <c r="U49" s="316">
        <f>'Reporte Componentes R1'!M355</f>
        <v>5991.23</v>
      </c>
      <c r="V49" s="317">
        <f>'Reporte Componentes R1'!N355</f>
        <v>7293.25</v>
      </c>
      <c r="W49" s="317">
        <f>'Reporte Componentes R1'!O355</f>
        <v>33919.089999999997</v>
      </c>
      <c r="X49" s="317">
        <f>'Reporte Componentes R1'!P355</f>
        <v>346942.9</v>
      </c>
      <c r="Y49" s="318">
        <f>'Reporte Componentes R1'!Q355</f>
        <v>1113.3699999999999</v>
      </c>
      <c r="Z49" s="319">
        <f>-L49</f>
        <v>0</v>
      </c>
      <c r="AA49" s="320">
        <f>'Reporte Componentes R1'!R355+'Reporte Componentes R1'!V355+'Reporte Componentes R1'!U355</f>
        <v>-7.95</v>
      </c>
      <c r="AB49" s="294">
        <f>N49</f>
        <v>0</v>
      </c>
      <c r="AC49" s="320">
        <f>'Reporte Componentes R1'!T355+'Reporte Componentes R1'!W355+'Reporte Componentes R1'!X355+'Reporte Componentes R1'!Y355+'Reporte Componentes R1'!Z355+'Reporte Componentes R1'!S355</f>
        <v>0.7</v>
      </c>
      <c r="AD49" s="291">
        <f t="shared" si="17"/>
        <v>627141.97</v>
      </c>
      <c r="AE49" s="291">
        <f>'Reporte Componentes R1'!F356</f>
        <v>627141.97</v>
      </c>
      <c r="AF49" s="322">
        <f t="shared" ref="AF49:AF51" si="19">SUM(U49:AD49)</f>
        <v>1022394.56</v>
      </c>
      <c r="AG49" s="323">
        <f t="shared" ref="AG49:AG51" si="20">(AF49-O49)</f>
        <v>-1.1641532182693481E-10</v>
      </c>
      <c r="AH49" s="1" t="b">
        <f t="shared" si="18"/>
        <v>0</v>
      </c>
      <c r="AI49" s="306"/>
    </row>
    <row r="50" spans="1:35" s="305" customFormat="1" x14ac:dyDescent="0.25">
      <c r="B50" s="314">
        <v>4</v>
      </c>
      <c r="C50" s="315" t="s">
        <v>13</v>
      </c>
      <c r="D50" s="291">
        <f>'Reporte Componentes R1'!F480</f>
        <v>3610007</v>
      </c>
      <c r="E50" s="292">
        <f>'Reporte Componentes R1'!G480</f>
        <v>257262.75</v>
      </c>
      <c r="F50" s="292">
        <f>'Reporte Componentes R1'!H480</f>
        <v>144117.51999999999</v>
      </c>
      <c r="G50" s="292">
        <f>'Reporte Componentes R1'!I480</f>
        <v>78318.55</v>
      </c>
      <c r="H50" s="292">
        <f>'Reporte Componentes R1'!J480</f>
        <v>797142.56</v>
      </c>
      <c r="I50" s="292">
        <f>'Reporte Componentes R1'!K480</f>
        <v>26303.65</v>
      </c>
      <c r="J50" s="288">
        <v>0</v>
      </c>
      <c r="K50" s="295">
        <f t="shared" si="15"/>
        <v>2306861.9700000002</v>
      </c>
      <c r="L50" s="294">
        <v>0</v>
      </c>
      <c r="M50" s="295">
        <f>K50-L50</f>
        <v>2306861.9700000002</v>
      </c>
      <c r="N50" s="294">
        <f>'Reporte Componentes R1'!L480</f>
        <v>0</v>
      </c>
      <c r="O50" s="295">
        <f t="shared" si="16"/>
        <v>2306861.9700000002</v>
      </c>
      <c r="Q50" s="306"/>
      <c r="S50" s="314">
        <v>4</v>
      </c>
      <c r="T50" s="315" t="s">
        <v>13</v>
      </c>
      <c r="U50" s="316">
        <f>'Reporte Componentes R1'!M480</f>
        <v>230741.2</v>
      </c>
      <c r="V50" s="317">
        <f>'Reporte Componentes R1'!N480</f>
        <v>257553.6</v>
      </c>
      <c r="W50" s="317">
        <f>'Reporte Componentes R1'!O480</f>
        <v>1317195.17</v>
      </c>
      <c r="X50" s="317">
        <f>'Reporte Componentes R1'!P480</f>
        <v>682944.24</v>
      </c>
      <c r="Y50" s="318">
        <f>'Reporte Componentes R1'!Q480</f>
        <v>44789.86</v>
      </c>
      <c r="Z50" s="319">
        <f>-L50</f>
        <v>0</v>
      </c>
      <c r="AA50" s="320">
        <f>'Reporte Componentes R1'!R480+'Reporte Componentes R1'!V480+'Reporte Componentes R1'!U480</f>
        <v>4.71</v>
      </c>
      <c r="AB50" s="294">
        <f>N50</f>
        <v>0</v>
      </c>
      <c r="AC50" s="320">
        <f>'Reporte Componentes R1'!T480+'Reporte Componentes R1'!W480+'Reporte Componentes R1'!X480+'Reporte Componentes R1'!Y480+'Reporte Componentes R1'!Z480+'Reporte Componentes R1'!S480</f>
        <v>-88.74</v>
      </c>
      <c r="AD50" s="291">
        <f t="shared" si="17"/>
        <v>-226278.07</v>
      </c>
      <c r="AE50" s="291">
        <f>'Reporte Componentes R1'!F481</f>
        <v>-226278.07</v>
      </c>
      <c r="AF50" s="322">
        <f t="shared" si="19"/>
        <v>2306861.9699999997</v>
      </c>
      <c r="AG50" s="323">
        <f t="shared" si="20"/>
        <v>-4.6566128730773926E-10</v>
      </c>
      <c r="AH50" s="1" t="b">
        <f t="shared" si="18"/>
        <v>0</v>
      </c>
      <c r="AI50" s="306"/>
    </row>
    <row r="51" spans="1:35" s="305" customFormat="1" ht="12" thickBot="1" x14ac:dyDescent="0.3">
      <c r="B51" s="324">
        <v>5</v>
      </c>
      <c r="C51" s="325" t="s">
        <v>14</v>
      </c>
      <c r="D51" s="296">
        <f>'Reporte Componentes R1'!F570</f>
        <v>0</v>
      </c>
      <c r="E51" s="297">
        <f>'Reporte Componentes R1'!G570</f>
        <v>0</v>
      </c>
      <c r="F51" s="297">
        <f>'Reporte Componentes R1'!H570</f>
        <v>0</v>
      </c>
      <c r="G51" s="297">
        <f>'Reporte Componentes R1'!I570</f>
        <v>0</v>
      </c>
      <c r="H51" s="297">
        <f>'Reporte Componentes R1'!J570</f>
        <v>0</v>
      </c>
      <c r="I51" s="297">
        <f>'Reporte Componentes R1'!K570</f>
        <v>0</v>
      </c>
      <c r="J51" s="289">
        <v>0</v>
      </c>
      <c r="K51" s="295">
        <f t="shared" si="15"/>
        <v>0</v>
      </c>
      <c r="L51" s="294">
        <v>0</v>
      </c>
      <c r="M51" s="298">
        <f>K51-L51</f>
        <v>0</v>
      </c>
      <c r="N51" s="299">
        <f>'Reporte Componentes R1'!L570</f>
        <v>0</v>
      </c>
      <c r="O51" s="298">
        <f t="shared" si="16"/>
        <v>0</v>
      </c>
      <c r="Q51" s="306"/>
      <c r="S51" s="324">
        <v>5</v>
      </c>
      <c r="T51" s="325" t="s">
        <v>14</v>
      </c>
      <c r="U51" s="296">
        <f>'Reporte Componentes R1'!M570</f>
        <v>0</v>
      </c>
      <c r="V51" s="297">
        <f>'Reporte Componentes R1'!N570</f>
        <v>0</v>
      </c>
      <c r="W51" s="297">
        <f>'Reporte Componentes R1'!O570</f>
        <v>0</v>
      </c>
      <c r="X51" s="297">
        <f>'Reporte Componentes R1'!P570</f>
        <v>0</v>
      </c>
      <c r="Y51" s="289">
        <f>'Reporte Componentes R1'!Q570</f>
        <v>0</v>
      </c>
      <c r="Z51" s="319">
        <f>-L51</f>
        <v>0</v>
      </c>
      <c r="AA51" s="320">
        <f>'Reporte Componentes R1'!R570+'Reporte Componentes R1'!V570+'Reporte Componentes R1'!U570</f>
        <v>0</v>
      </c>
      <c r="AB51" s="294">
        <f>N51</f>
        <v>0</v>
      </c>
      <c r="AC51" s="320">
        <f>'Reporte Componentes R1'!T570+'Reporte Componentes R1'!W570+'Reporte Componentes R1'!X570+'Reporte Componentes R1'!Y570+'Reporte Componentes R1'!Z570+'Reporte Componentes R1'!S570</f>
        <v>0</v>
      </c>
      <c r="AD51" s="291">
        <f t="shared" si="17"/>
        <v>0</v>
      </c>
      <c r="AE51" s="291">
        <f>'Reporte Componentes R1'!F571</f>
        <v>0</v>
      </c>
      <c r="AF51" s="322">
        <f t="shared" si="19"/>
        <v>0</v>
      </c>
      <c r="AG51" s="326">
        <f t="shared" si="20"/>
        <v>0</v>
      </c>
      <c r="AH51" s="1" t="b">
        <f t="shared" si="18"/>
        <v>1</v>
      </c>
      <c r="AI51" s="306"/>
    </row>
    <row r="52" spans="1:35" s="305" customFormat="1" ht="13.5" thickBot="1" x14ac:dyDescent="0.35">
      <c r="B52" s="327"/>
      <c r="C52" s="328" t="s">
        <v>2</v>
      </c>
      <c r="D52" s="290">
        <f t="shared" ref="D52:O52" si="21">SUM(D47:D51)</f>
        <v>61046127</v>
      </c>
      <c r="E52" s="290">
        <f t="shared" si="21"/>
        <v>8103837.8100000005</v>
      </c>
      <c r="F52" s="290">
        <f t="shared" si="21"/>
        <v>4562832.4499999993</v>
      </c>
      <c r="G52" s="290">
        <f t="shared" ref="G52" si="22">SUM(G47:G51)</f>
        <v>2422721.2999999993</v>
      </c>
      <c r="H52" s="290">
        <f t="shared" si="21"/>
        <v>937978.33000000007</v>
      </c>
      <c r="I52" s="290">
        <f t="shared" si="21"/>
        <v>30362.550000000003</v>
      </c>
      <c r="J52" s="290">
        <f t="shared" si="21"/>
        <v>0</v>
      </c>
      <c r="K52" s="300">
        <f t="shared" si="21"/>
        <v>44988394.560000002</v>
      </c>
      <c r="L52" s="301">
        <f t="shared" si="21"/>
        <v>0</v>
      </c>
      <c r="M52" s="302">
        <f t="shared" si="21"/>
        <v>44988394.560000002</v>
      </c>
      <c r="N52" s="301">
        <f t="shared" si="21"/>
        <v>0</v>
      </c>
      <c r="O52" s="302">
        <f t="shared" si="21"/>
        <v>44988394.560000002</v>
      </c>
      <c r="P52" s="329"/>
      <c r="Q52" s="306"/>
      <c r="S52" s="327"/>
      <c r="T52" s="328" t="s">
        <v>2</v>
      </c>
      <c r="U52" s="330">
        <f>SUM(U47:U51)</f>
        <v>266350.41000000003</v>
      </c>
      <c r="V52" s="330">
        <f t="shared" ref="V52:AG52" si="23">SUM(V47:V51)</f>
        <v>298642.18</v>
      </c>
      <c r="W52" s="330">
        <f t="shared" si="23"/>
        <v>1508706.89</v>
      </c>
      <c r="X52" s="330">
        <f t="shared" si="23"/>
        <v>16487545.120000001</v>
      </c>
      <c r="Y52" s="330">
        <f t="shared" si="23"/>
        <v>51412.18</v>
      </c>
      <c r="Z52" s="290">
        <f t="shared" si="23"/>
        <v>0</v>
      </c>
      <c r="AA52" s="290">
        <f t="shared" si="23"/>
        <v>-3.0200000000000005</v>
      </c>
      <c r="AB52" s="290">
        <f t="shared" si="23"/>
        <v>0</v>
      </c>
      <c r="AC52" s="290">
        <f t="shared" si="23"/>
        <v>-88.039999999999992</v>
      </c>
      <c r="AD52" s="290">
        <f>SUM(AD47:AD51)</f>
        <v>26375828.839999996</v>
      </c>
      <c r="AE52" s="290">
        <f>SUM(AE47:AE51)</f>
        <v>26375828.839999996</v>
      </c>
      <c r="AF52" s="331">
        <f t="shared" si="23"/>
        <v>44988394.559999995</v>
      </c>
      <c r="AG52" s="332">
        <f t="shared" si="23"/>
        <v>-8.0399331636726856E-9</v>
      </c>
      <c r="AH52" s="1" t="b">
        <f t="shared" si="18"/>
        <v>0</v>
      </c>
      <c r="AI52" s="306"/>
    </row>
    <row r="53" spans="1:35" ht="12" thickBot="1" x14ac:dyDescent="0.3">
      <c r="B53" s="2"/>
      <c r="C53" s="2"/>
      <c r="D53" s="24"/>
      <c r="E53" s="24"/>
      <c r="F53" s="24"/>
      <c r="G53" s="24"/>
      <c r="H53" s="24"/>
      <c r="I53" s="24"/>
      <c r="K53" s="24"/>
      <c r="L53" s="24"/>
      <c r="M53" s="24"/>
      <c r="N53" s="24"/>
      <c r="O53" s="24"/>
      <c r="Q53" s="4"/>
      <c r="S53" s="2"/>
      <c r="T53" s="2"/>
      <c r="U53" s="24"/>
      <c r="V53" s="24"/>
      <c r="W53" s="24"/>
      <c r="X53" s="24"/>
      <c r="Y53" s="24"/>
      <c r="AF53" s="24"/>
      <c r="AI53" s="4"/>
    </row>
    <row r="54" spans="1:35" ht="12" thickBot="1" x14ac:dyDescent="0.3">
      <c r="B54" s="2"/>
      <c r="C54" s="2"/>
      <c r="D54" s="24" t="s">
        <v>1</v>
      </c>
      <c r="E54" s="24"/>
      <c r="F54" s="24"/>
      <c r="G54" s="24"/>
      <c r="H54" s="24"/>
      <c r="I54" s="24"/>
      <c r="K54" s="24"/>
      <c r="L54" s="24"/>
      <c r="M54" s="24"/>
      <c r="N54" s="24"/>
      <c r="O54" s="24"/>
      <c r="Q54" s="4"/>
      <c r="Y54" s="86">
        <f>SUM(U52:Y52)</f>
        <v>18612656.780000001</v>
      </c>
      <c r="AA54" s="1" t="s">
        <v>1</v>
      </c>
      <c r="AB54" s="1" t="s">
        <v>1</v>
      </c>
      <c r="AD54" s="1" t="s">
        <v>1</v>
      </c>
      <c r="AF54" s="1" t="s">
        <v>1</v>
      </c>
      <c r="AI54" s="4"/>
    </row>
    <row r="55" spans="1:35" ht="12" thickBot="1" x14ac:dyDescent="0.3">
      <c r="B55" s="2"/>
      <c r="C55" s="2"/>
      <c r="D55" s="24" t="s">
        <v>1</v>
      </c>
      <c r="E55" s="33"/>
      <c r="F55" s="33"/>
      <c r="G55" s="33"/>
      <c r="H55" s="33"/>
      <c r="I55" s="24"/>
      <c r="K55" s="24"/>
      <c r="L55" s="24"/>
      <c r="M55" s="24"/>
      <c r="N55" s="24"/>
      <c r="O55" s="24"/>
      <c r="Q55" s="4"/>
      <c r="AI55" s="4"/>
    </row>
    <row r="56" spans="1:35" x14ac:dyDescent="0.25">
      <c r="B56" s="2"/>
      <c r="C56" s="2"/>
      <c r="D56" s="24" t="s">
        <v>1</v>
      </c>
      <c r="E56" s="24" t="s">
        <v>1</v>
      </c>
      <c r="F56" s="24" t="s">
        <v>25</v>
      </c>
      <c r="G56" s="24"/>
      <c r="H56" s="24"/>
      <c r="I56" s="24"/>
      <c r="K56" s="24"/>
      <c r="L56" s="24"/>
      <c r="M56" s="24"/>
      <c r="N56" s="24"/>
      <c r="O56" s="24"/>
      <c r="Q56" s="4"/>
      <c r="AI56" s="4"/>
    </row>
    <row r="57" spans="1:35" x14ac:dyDescent="0.25">
      <c r="A57" s="4"/>
      <c r="B57" s="34"/>
      <c r="C57" s="34"/>
      <c r="D57" s="35"/>
      <c r="E57" s="35"/>
      <c r="F57" s="35"/>
      <c r="G57" s="35"/>
      <c r="H57" s="35"/>
      <c r="I57" s="35"/>
      <c r="J57" s="4"/>
      <c r="K57" s="35"/>
      <c r="L57" s="35"/>
      <c r="M57" s="35"/>
      <c r="N57" s="35"/>
      <c r="O57" s="35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  <c r="AE57" s="4"/>
      <c r="AF57" s="4"/>
      <c r="AG57" s="4"/>
      <c r="AH57" s="4"/>
      <c r="AI57" s="4"/>
    </row>
    <row r="58" spans="1:35" ht="12" thickBot="1" x14ac:dyDescent="0.3">
      <c r="Q58" s="4"/>
      <c r="AI58" s="4"/>
    </row>
    <row r="59" spans="1:35" x14ac:dyDescent="0.25">
      <c r="B59" s="5"/>
      <c r="C59" s="3" t="s">
        <v>1</v>
      </c>
      <c r="D59" s="6" t="s">
        <v>1</v>
      </c>
      <c r="E59" s="3"/>
      <c r="F59" s="3"/>
      <c r="G59" s="3"/>
      <c r="H59" s="3" t="s">
        <v>1</v>
      </c>
      <c r="I59" s="3"/>
      <c r="J59" s="3"/>
      <c r="K59" s="3"/>
      <c r="L59" s="3"/>
      <c r="M59" s="3"/>
      <c r="N59" s="3"/>
      <c r="O59" s="7"/>
      <c r="P59" s="2"/>
      <c r="Q59" s="4"/>
      <c r="S59" s="5"/>
      <c r="T59" s="3" t="s">
        <v>1</v>
      </c>
      <c r="U59" s="6" t="s">
        <v>1</v>
      </c>
      <c r="V59" s="3"/>
      <c r="W59" s="3"/>
      <c r="X59" s="3" t="s">
        <v>1</v>
      </c>
      <c r="Y59" s="3"/>
      <c r="Z59" s="3"/>
      <c r="AA59" s="3"/>
      <c r="AB59" s="3"/>
      <c r="AC59" s="3"/>
      <c r="AD59" s="3"/>
      <c r="AE59" s="3"/>
      <c r="AF59" s="7"/>
      <c r="AG59" s="2"/>
      <c r="AI59" s="4"/>
    </row>
    <row r="60" spans="1:35" ht="14" x14ac:dyDescent="0.3">
      <c r="B60" s="8"/>
      <c r="F60" s="26" t="s">
        <v>8</v>
      </c>
      <c r="G60" s="26"/>
      <c r="I60" s="26" t="s">
        <v>16</v>
      </c>
      <c r="J60" s="25"/>
      <c r="M60" s="2" t="s">
        <v>15</v>
      </c>
      <c r="N60" s="50">
        <f>N3</f>
        <v>2026072</v>
      </c>
      <c r="O60" s="10"/>
      <c r="P60" s="2"/>
      <c r="Q60" s="4"/>
      <c r="S60" s="8"/>
      <c r="U60" s="26" t="s">
        <v>8</v>
      </c>
      <c r="W60" s="26" t="s">
        <v>16</v>
      </c>
      <c r="X60" s="25"/>
      <c r="Y60" s="2"/>
      <c r="AA60" s="2" t="s">
        <v>15</v>
      </c>
      <c r="AD60" s="84">
        <f>N60</f>
        <v>2026072</v>
      </c>
      <c r="AE60" s="84"/>
      <c r="AF60" s="48"/>
      <c r="AG60" s="2"/>
      <c r="AI60" s="4"/>
    </row>
    <row r="61" spans="1:35" ht="15.5" x14ac:dyDescent="0.35">
      <c r="B61" s="8"/>
      <c r="F61" s="36" t="s">
        <v>29</v>
      </c>
      <c r="G61" s="36"/>
      <c r="O61" s="10"/>
      <c r="P61" s="2"/>
      <c r="Q61" s="4"/>
      <c r="S61" s="8"/>
      <c r="T61" s="26" t="s">
        <v>1</v>
      </c>
      <c r="U61" s="36" t="s">
        <v>29</v>
      </c>
      <c r="Y61" s="2" t="s">
        <v>1</v>
      </c>
      <c r="AA61" s="50" t="s">
        <v>1</v>
      </c>
      <c r="AB61" s="2"/>
      <c r="AC61" s="2"/>
      <c r="AD61" s="2"/>
      <c r="AE61" s="2"/>
      <c r="AF61" s="10" t="s">
        <v>1</v>
      </c>
      <c r="AG61" s="2"/>
      <c r="AI61" s="4"/>
    </row>
    <row r="62" spans="1:35" ht="14" x14ac:dyDescent="0.3">
      <c r="B62" s="8"/>
      <c r="F62" s="2" t="s">
        <v>30</v>
      </c>
      <c r="G62" s="2"/>
      <c r="M62" s="2" t="s">
        <v>1</v>
      </c>
      <c r="O62" s="10"/>
      <c r="P62" s="2"/>
      <c r="Q62" s="4"/>
      <c r="S62" s="8"/>
      <c r="T62" s="49" t="s">
        <v>1</v>
      </c>
      <c r="U62" s="2" t="s">
        <v>30</v>
      </c>
      <c r="AF62" s="44"/>
      <c r="AG62" s="2"/>
      <c r="AI62" s="4"/>
    </row>
    <row r="63" spans="1:35" ht="15.5" x14ac:dyDescent="0.35">
      <c r="B63" s="8"/>
      <c r="C63" s="599" t="s">
        <v>17</v>
      </c>
      <c r="D63" s="9">
        <f>D6</f>
        <v>46238</v>
      </c>
      <c r="F63" s="41" t="s">
        <v>33</v>
      </c>
      <c r="G63" s="41"/>
      <c r="H63" s="2"/>
      <c r="J63" s="2"/>
      <c r="O63" s="10"/>
      <c r="P63" s="2"/>
      <c r="Q63" s="4"/>
      <c r="S63" s="8"/>
      <c r="T63" s="41" t="s">
        <v>1</v>
      </c>
      <c r="U63" s="41" t="s">
        <v>33</v>
      </c>
      <c r="V63" s="2"/>
      <c r="X63" s="2"/>
      <c r="Y63" s="2"/>
      <c r="AF63" s="48"/>
      <c r="AG63" s="2"/>
      <c r="AI63" s="4"/>
    </row>
    <row r="64" spans="1:35" ht="12" thickBot="1" x14ac:dyDescent="0.3">
      <c r="B64" s="8"/>
      <c r="C64" s="599" t="s">
        <v>0</v>
      </c>
      <c r="D64" s="241">
        <f>D7</f>
        <v>0.58333333333333337</v>
      </c>
      <c r="F64" s="2" t="s">
        <v>27</v>
      </c>
      <c r="G64" s="9">
        <f>G7</f>
        <v>46219</v>
      </c>
      <c r="J64" s="2" t="s">
        <v>28</v>
      </c>
      <c r="K64" s="9">
        <f>K7</f>
        <v>46234</v>
      </c>
      <c r="O64" s="10"/>
      <c r="P64" s="2"/>
      <c r="Q64" s="4"/>
      <c r="S64" s="8"/>
      <c r="U64" s="1" t="str">
        <f>F64</f>
        <v>Fecha Desde:</v>
      </c>
      <c r="V64" s="9">
        <f>G64</f>
        <v>46219</v>
      </c>
      <c r="W64" s="1" t="s">
        <v>1</v>
      </c>
      <c r="X64" s="1" t="str">
        <f>J64</f>
        <v>Feha Hasta:</v>
      </c>
      <c r="Y64" s="9">
        <f>K64</f>
        <v>46234</v>
      </c>
      <c r="Z64" s="1" t="s">
        <v>1</v>
      </c>
      <c r="AF64" s="48"/>
      <c r="AG64" s="2"/>
      <c r="AI64" s="4"/>
    </row>
    <row r="65" spans="1:35" ht="72" customHeight="1" thickBot="1" x14ac:dyDescent="0.3">
      <c r="B65" s="11" t="s">
        <v>3</v>
      </c>
      <c r="C65" s="27" t="s">
        <v>9</v>
      </c>
      <c r="D65" s="11" t="s">
        <v>4</v>
      </c>
      <c r="E65" s="12" t="s">
        <v>5</v>
      </c>
      <c r="F65" s="27" t="s">
        <v>6</v>
      </c>
      <c r="G65" s="27" t="s">
        <v>159</v>
      </c>
      <c r="H65" s="27" t="s">
        <v>18</v>
      </c>
      <c r="I65" s="12" t="s">
        <v>24</v>
      </c>
      <c r="J65" s="73" t="s">
        <v>19</v>
      </c>
      <c r="K65" s="29" t="s">
        <v>20</v>
      </c>
      <c r="L65" s="28" t="s">
        <v>21</v>
      </c>
      <c r="M65" s="39" t="s">
        <v>22</v>
      </c>
      <c r="N65" s="12" t="s">
        <v>7</v>
      </c>
      <c r="O65" s="39" t="s">
        <v>23</v>
      </c>
      <c r="P65" s="13"/>
      <c r="Q65" s="4"/>
      <c r="S65" s="11" t="s">
        <v>3</v>
      </c>
      <c r="T65" s="27" t="s">
        <v>9</v>
      </c>
      <c r="U65" s="162" t="s">
        <v>39</v>
      </c>
      <c r="V65" s="163" t="s">
        <v>40</v>
      </c>
      <c r="W65" s="163" t="s">
        <v>41</v>
      </c>
      <c r="X65" s="163" t="s">
        <v>42</v>
      </c>
      <c r="Y65" s="164" t="s">
        <v>43</v>
      </c>
      <c r="Z65" s="85" t="s">
        <v>21</v>
      </c>
      <c r="AA65" s="65" t="s">
        <v>46</v>
      </c>
      <c r="AB65" s="65" t="s">
        <v>7</v>
      </c>
      <c r="AC65" s="85" t="s">
        <v>168</v>
      </c>
      <c r="AD65" s="121" t="s">
        <v>107</v>
      </c>
      <c r="AE65" s="121" t="s">
        <v>226</v>
      </c>
      <c r="AF65" s="39" t="s">
        <v>23</v>
      </c>
      <c r="AG65" s="13"/>
      <c r="AI65" s="4"/>
    </row>
    <row r="66" spans="1:35" s="305" customFormat="1" x14ac:dyDescent="0.25">
      <c r="B66" s="303">
        <v>1</v>
      </c>
      <c r="C66" s="304" t="s">
        <v>10</v>
      </c>
      <c r="D66" s="291">
        <f>'Reversion Pagos R4'!D79</f>
        <v>-15533961.699999999</v>
      </c>
      <c r="E66" s="292">
        <f>'Reversion Pagos R4'!E79</f>
        <v>-793724.01</v>
      </c>
      <c r="F66" s="292">
        <f>'Reversion Pagos R4'!F79</f>
        <v>-444038.25</v>
      </c>
      <c r="G66" s="292">
        <f>'Reversion Pagos R4'!G79</f>
        <v>-235437.54</v>
      </c>
      <c r="H66" s="292">
        <f>'Reversion Pagos R4'!H79</f>
        <v>-3814145.68</v>
      </c>
      <c r="I66" s="292">
        <f>'Reversion Pagos R4'!I79</f>
        <v>-140234.1</v>
      </c>
      <c r="J66" s="309">
        <v>0</v>
      </c>
      <c r="K66" s="293">
        <f>D66-E66-F66-G66-H66-I66-J66</f>
        <v>-10106382.120000001</v>
      </c>
      <c r="L66" s="294">
        <v>0</v>
      </c>
      <c r="M66" s="293">
        <f>K66-L66</f>
        <v>-10106382.120000001</v>
      </c>
      <c r="N66" s="294">
        <f>'Reversion Pagos R4'!P79</f>
        <v>0</v>
      </c>
      <c r="O66" s="293">
        <f>M66+N66</f>
        <v>-10106382.120000001</v>
      </c>
      <c r="Q66" s="306"/>
      <c r="S66" s="303">
        <v>1</v>
      </c>
      <c r="T66" s="304" t="s">
        <v>10</v>
      </c>
      <c r="U66" s="307">
        <f>'Reversion Pagos R4'!J79</f>
        <v>-1243696.27</v>
      </c>
      <c r="V66" s="308">
        <f>'Reversion Pagos R4'!K79</f>
        <v>-1203871</v>
      </c>
      <c r="W66" s="308">
        <f>'Reversion Pagos R4'!L79</f>
        <v>-5528843.9900000002</v>
      </c>
      <c r="X66" s="308">
        <f>'Reversion Pagos R4'!M79</f>
        <v>-2184189.35</v>
      </c>
      <c r="Y66" s="309">
        <f>'Reversion Pagos R4'!N79</f>
        <v>-229854.06</v>
      </c>
      <c r="Z66" s="310">
        <f>-L66</f>
        <v>0</v>
      </c>
      <c r="AA66" s="311">
        <f>+'Reversion Pagos R4'!O79</f>
        <v>111.04</v>
      </c>
      <c r="AB66" s="294">
        <f>N66</f>
        <v>0</v>
      </c>
      <c r="AC66" s="311">
        <f>+'Reversion Pagos R4'!Q79+'Reversion Pagos R4'!R79</f>
        <v>0</v>
      </c>
      <c r="AD66" s="291">
        <f>-J66+AE66</f>
        <v>283961.51</v>
      </c>
      <c r="AE66" s="291">
        <f>'Reversion Pagos R4'!D80</f>
        <v>283961.51</v>
      </c>
      <c r="AF66" s="313">
        <f>SUM(U66:AD66)</f>
        <v>-10106382.120000001</v>
      </c>
      <c r="AG66" s="311">
        <f>(AF66-O66)</f>
        <v>0</v>
      </c>
      <c r="AH66" s="1" t="b">
        <f>INT(AG66)=0</f>
        <v>1</v>
      </c>
      <c r="AI66" s="306"/>
    </row>
    <row r="67" spans="1:35" s="305" customFormat="1" x14ac:dyDescent="0.25">
      <c r="B67" s="314">
        <v>2</v>
      </c>
      <c r="C67" s="315" t="s">
        <v>11</v>
      </c>
      <c r="D67" s="291">
        <f>'Reversion Pagos R4'!D174</f>
        <v>-70779009</v>
      </c>
      <c r="E67" s="292">
        <f>'Reversion Pagos R4'!E174</f>
        <v>-15837976.050000001</v>
      </c>
      <c r="F67" s="292">
        <f>'Reversion Pagos R4'!F174</f>
        <v>-7358007.8200000003</v>
      </c>
      <c r="G67" s="292">
        <f>'Reversion Pagos R4'!G174</f>
        <v>-4026740.13</v>
      </c>
      <c r="H67" s="292">
        <f>'Reversion Pagos R4'!H174</f>
        <v>-3253504.04</v>
      </c>
      <c r="I67" s="292">
        <f>'Reversion Pagos R4'!I174</f>
        <v>-117278.95</v>
      </c>
      <c r="J67" s="288">
        <v>0</v>
      </c>
      <c r="K67" s="295">
        <f t="shared" ref="K67:K70" si="24">D67-E67-F67-G67-H67-I67-J67</f>
        <v>-40185502.009999998</v>
      </c>
      <c r="L67" s="294">
        <v>0</v>
      </c>
      <c r="M67" s="295">
        <f>K67-L67</f>
        <v>-40185502.009999998</v>
      </c>
      <c r="N67" s="294">
        <f>'Reversion Pagos R4'!P174</f>
        <v>0</v>
      </c>
      <c r="O67" s="295">
        <f t="shared" ref="O67:O70" si="25">M67+N67</f>
        <v>-40185502.009999998</v>
      </c>
      <c r="Q67" s="306"/>
      <c r="S67" s="314">
        <v>2</v>
      </c>
      <c r="T67" s="315" t="s">
        <v>11</v>
      </c>
      <c r="U67" s="316">
        <f>'Reversion Pagos R4'!J174</f>
        <v>-1030358.55</v>
      </c>
      <c r="V67" s="317">
        <f>'Reversion Pagos R4'!K174</f>
        <v>-1031768.99</v>
      </c>
      <c r="W67" s="317">
        <f>'Reversion Pagos R4'!L174</f>
        <v>-4830594.83</v>
      </c>
      <c r="X67" s="317">
        <f>'Reversion Pagos R4'!M174</f>
        <v>-32110042.210000001</v>
      </c>
      <c r="Y67" s="318">
        <f>'Reversion Pagos R4'!N174</f>
        <v>-191350.21</v>
      </c>
      <c r="Z67" s="319">
        <f t="shared" ref="Z67:Z70" si="26">-L67</f>
        <v>0</v>
      </c>
      <c r="AA67" s="320">
        <f>'Reversion Pagos R4'!O174</f>
        <v>23.74</v>
      </c>
      <c r="AB67" s="294">
        <f t="shared" ref="AB67:AB70" si="27">N67</f>
        <v>0</v>
      </c>
      <c r="AC67" s="320">
        <f>'Reversion Pagos R4'!Q174+'Reversion Pagos R4'!R174</f>
        <v>0</v>
      </c>
      <c r="AD67" s="291">
        <f t="shared" ref="AD67:AD70" si="28">-J67+AE67</f>
        <v>-991410.96</v>
      </c>
      <c r="AE67" s="291">
        <f>'Reversion Pagos R4'!D175</f>
        <v>-991410.96</v>
      </c>
      <c r="AF67" s="322">
        <f>SUM(U67:AD67)</f>
        <v>-40185502.009999998</v>
      </c>
      <c r="AG67" s="323">
        <f>(AF67-O67)</f>
        <v>0</v>
      </c>
      <c r="AH67" s="1" t="b">
        <f t="shared" ref="AH67:AH71" si="29">INT(AG67)=0</f>
        <v>1</v>
      </c>
      <c r="AI67" s="306"/>
    </row>
    <row r="68" spans="1:35" s="305" customFormat="1" x14ac:dyDescent="0.25">
      <c r="B68" s="314">
        <v>3</v>
      </c>
      <c r="C68" s="315" t="s">
        <v>12</v>
      </c>
      <c r="D68" s="291">
        <f>'Reversion Pagos R4'!D211</f>
        <v>-32004320</v>
      </c>
      <c r="E68" s="292">
        <f>'Reversion Pagos R4'!E211</f>
        <v>-2340537.3199999998</v>
      </c>
      <c r="F68" s="292">
        <f>'Reversion Pagos R4'!F211</f>
        <v>-1296820.46</v>
      </c>
      <c r="G68" s="292">
        <f>'Reversion Pagos R4'!G211</f>
        <v>-688419.35</v>
      </c>
      <c r="H68" s="292">
        <f>'Reversion Pagos R4'!H211</f>
        <v>-5532000.4000000004</v>
      </c>
      <c r="I68" s="292">
        <f>'Reversion Pagos R4'!I211</f>
        <v>-205312.19</v>
      </c>
      <c r="J68" s="288">
        <v>0</v>
      </c>
      <c r="K68" s="295">
        <f t="shared" si="24"/>
        <v>-21941230.279999997</v>
      </c>
      <c r="L68" s="294">
        <v>0</v>
      </c>
      <c r="M68" s="295">
        <f>K68-L68</f>
        <v>-21941230.279999997</v>
      </c>
      <c r="N68" s="294">
        <f>'Reversion Pagos R4'!P211</f>
        <v>0</v>
      </c>
      <c r="O68" s="295">
        <f t="shared" si="25"/>
        <v>-21941230.279999997</v>
      </c>
      <c r="Q68" s="306"/>
      <c r="S68" s="314">
        <v>3</v>
      </c>
      <c r="T68" s="315" t="s">
        <v>12</v>
      </c>
      <c r="U68" s="316">
        <f>'Reversion Pagos R4'!J211</f>
        <v>-1808499.37</v>
      </c>
      <c r="V68" s="317">
        <f>'Reversion Pagos R4'!K211</f>
        <v>-1737951.36</v>
      </c>
      <c r="W68" s="317">
        <f>'Reversion Pagos R4'!L211</f>
        <v>-8173269.9000000004</v>
      </c>
      <c r="X68" s="317">
        <f>'Reversion Pagos R4'!M211</f>
        <v>-5453141.6200000001</v>
      </c>
      <c r="Y68" s="318">
        <f>'Reversion Pagos R4'!N211</f>
        <v>-337646.88</v>
      </c>
      <c r="Z68" s="319">
        <f t="shared" si="26"/>
        <v>0</v>
      </c>
      <c r="AA68" s="320">
        <f>'Reversion Pagos R4'!O211</f>
        <v>-127.97</v>
      </c>
      <c r="AB68" s="294">
        <f t="shared" si="27"/>
        <v>0</v>
      </c>
      <c r="AC68" s="320">
        <f>'Reversion Pagos R4'!Q211+'Reversion Pagos R4'!R211</f>
        <v>0</v>
      </c>
      <c r="AD68" s="291">
        <f t="shared" si="28"/>
        <v>-4430593.18</v>
      </c>
      <c r="AE68" s="291">
        <f>'Reversion Pagos R4'!D212</f>
        <v>-4430593.18</v>
      </c>
      <c r="AF68" s="322">
        <f t="shared" ref="AF68:AF70" si="30">SUM(U68:AD68)</f>
        <v>-21941230.279999997</v>
      </c>
      <c r="AG68" s="323">
        <f t="shared" ref="AG68:AG70" si="31">(AF68-O68)</f>
        <v>0</v>
      </c>
      <c r="AH68" s="1" t="b">
        <f t="shared" si="29"/>
        <v>1</v>
      </c>
      <c r="AI68" s="306"/>
    </row>
    <row r="69" spans="1:35" s="305" customFormat="1" x14ac:dyDescent="0.25">
      <c r="B69" s="314">
        <v>4</v>
      </c>
      <c r="C69" s="315" t="s">
        <v>13</v>
      </c>
      <c r="D69" s="291">
        <f>'Reversion Pagos R4'!D326</f>
        <v>-29768645.890000001</v>
      </c>
      <c r="E69" s="292">
        <f>'Reversion Pagos R4'!E326</f>
        <v>-2979733</v>
      </c>
      <c r="F69" s="292">
        <f>'Reversion Pagos R4'!F326</f>
        <v>-1487124.52</v>
      </c>
      <c r="G69" s="292">
        <f>'Reversion Pagos R4'!G326</f>
        <v>-685656.31</v>
      </c>
      <c r="H69" s="292">
        <f>'Reversion Pagos R4'!H326</f>
        <v>-5741813.8499999996</v>
      </c>
      <c r="I69" s="292">
        <f>'Reversion Pagos R4'!I326</f>
        <v>-212062.94</v>
      </c>
      <c r="J69" s="288">
        <v>0</v>
      </c>
      <c r="K69" s="295">
        <f t="shared" si="24"/>
        <v>-18662255.27</v>
      </c>
      <c r="L69" s="294">
        <v>0</v>
      </c>
      <c r="M69" s="295">
        <f>K69-L69</f>
        <v>-18662255.27</v>
      </c>
      <c r="N69" s="294">
        <f>'Reversion Pagos R4'!P326</f>
        <v>0</v>
      </c>
      <c r="O69" s="295">
        <f t="shared" si="25"/>
        <v>-18662255.27</v>
      </c>
      <c r="Q69" s="306"/>
      <c r="S69" s="314">
        <v>4</v>
      </c>
      <c r="T69" s="315" t="s">
        <v>13</v>
      </c>
      <c r="U69" s="316">
        <f>'Reversion Pagos R4'!J326</f>
        <v>-1844890.36</v>
      </c>
      <c r="V69" s="317">
        <f>'Reversion Pagos R4'!K326</f>
        <v>-1940190.03</v>
      </c>
      <c r="W69" s="317">
        <f>'Reversion Pagos R4'!L326</f>
        <v>-8829559.8200000003</v>
      </c>
      <c r="X69" s="317">
        <f>'Reversion Pagos R4'!M326</f>
        <v>-7875657.4699999997</v>
      </c>
      <c r="Y69" s="318">
        <f>'Reversion Pagos R4'!N326</f>
        <v>-346018.31</v>
      </c>
      <c r="Z69" s="319">
        <f t="shared" si="26"/>
        <v>0</v>
      </c>
      <c r="AA69" s="320">
        <f>'Reversion Pagos R4'!O326</f>
        <v>-21.79</v>
      </c>
      <c r="AB69" s="294">
        <f t="shared" si="27"/>
        <v>0</v>
      </c>
      <c r="AC69" s="320">
        <f>'Reversion Pagos R4'!Q326+'Reversion Pagos R4'!R326</f>
        <v>-0.28999999999999998</v>
      </c>
      <c r="AD69" s="291">
        <f t="shared" si="28"/>
        <v>2174082.7999999998</v>
      </c>
      <c r="AE69" s="291">
        <f>'Reversion Pagos R4'!D327</f>
        <v>2174082.7999999998</v>
      </c>
      <c r="AF69" s="322">
        <f>SUM(U69:AD69)</f>
        <v>-18662255.269999996</v>
      </c>
      <c r="AG69" s="323">
        <f>(AF69-O69)</f>
        <v>3.7252902984619141E-9</v>
      </c>
      <c r="AH69" s="1" t="b">
        <f t="shared" si="29"/>
        <v>1</v>
      </c>
      <c r="AI69" s="306"/>
    </row>
    <row r="70" spans="1:35" s="305" customFormat="1" ht="12" thickBot="1" x14ac:dyDescent="0.3">
      <c r="B70" s="324">
        <v>5</v>
      </c>
      <c r="C70" s="325" t="s">
        <v>14</v>
      </c>
      <c r="D70" s="296">
        <f>'Reversion Pagos R4'!D361</f>
        <v>-2065600</v>
      </c>
      <c r="E70" s="297">
        <f>'Reversion Pagos R4'!E361</f>
        <v>-131268.72</v>
      </c>
      <c r="F70" s="297">
        <f>'Reversion Pagos R4'!F361</f>
        <v>-73999.75</v>
      </c>
      <c r="G70" s="297">
        <f>'Reversion Pagos R4'!G361</f>
        <v>-38388.879999999997</v>
      </c>
      <c r="H70" s="297">
        <f>'Reversion Pagos R4'!H361</f>
        <v>-517154.17</v>
      </c>
      <c r="I70" s="297">
        <f>'Reversion Pagos R4'!I361</f>
        <v>-20620.099999999999</v>
      </c>
      <c r="J70" s="289">
        <v>0</v>
      </c>
      <c r="K70" s="295">
        <f t="shared" si="24"/>
        <v>-1284168.3800000001</v>
      </c>
      <c r="L70" s="294">
        <v>0</v>
      </c>
      <c r="M70" s="298">
        <f>K70-L70</f>
        <v>-1284168.3800000001</v>
      </c>
      <c r="N70" s="294">
        <f>'Reversion Pagos R4'!P361</f>
        <v>0</v>
      </c>
      <c r="O70" s="298">
        <f t="shared" si="25"/>
        <v>-1284168.3800000001</v>
      </c>
      <c r="Q70" s="306"/>
      <c r="S70" s="324">
        <v>5</v>
      </c>
      <c r="T70" s="325" t="s">
        <v>14</v>
      </c>
      <c r="U70" s="296">
        <f>'Reversion Pagos R4'!J361</f>
        <v>-180880.17</v>
      </c>
      <c r="V70" s="297">
        <f>'Reversion Pagos R4'!K361</f>
        <v>-177121.01</v>
      </c>
      <c r="W70" s="297">
        <f>'Reversion Pagos R4'!L361</f>
        <v>-904166.17</v>
      </c>
      <c r="X70" s="297">
        <f>'Reversion Pagos R4'!M361</f>
        <v>-384256.35</v>
      </c>
      <c r="Y70" s="289">
        <f>'Reversion Pagos R4'!N361</f>
        <v>-33643.24</v>
      </c>
      <c r="Z70" s="319">
        <f t="shared" si="26"/>
        <v>0</v>
      </c>
      <c r="AA70" s="320">
        <f>'Reversion Pagos R4'!O361</f>
        <v>8.7899999999999991</v>
      </c>
      <c r="AB70" s="294">
        <f t="shared" si="27"/>
        <v>0</v>
      </c>
      <c r="AC70" s="320">
        <f>'Reversion Pagos R4'!Q361+'Reversion Pagos R4'!R361</f>
        <v>0</v>
      </c>
      <c r="AD70" s="291">
        <f t="shared" si="28"/>
        <v>395889.77</v>
      </c>
      <c r="AE70" s="291">
        <f>'Reversion Pagos R4'!D362</f>
        <v>395889.77</v>
      </c>
      <c r="AF70" s="322">
        <f t="shared" si="30"/>
        <v>-1284168.3800000001</v>
      </c>
      <c r="AG70" s="326">
        <f t="shared" si="31"/>
        <v>0</v>
      </c>
      <c r="AH70" s="1" t="b">
        <f t="shared" si="29"/>
        <v>1</v>
      </c>
      <c r="AI70" s="306"/>
    </row>
    <row r="71" spans="1:35" s="305" customFormat="1" ht="13.5" thickBot="1" x14ac:dyDescent="0.35">
      <c r="B71" s="327"/>
      <c r="C71" s="328" t="s">
        <v>2</v>
      </c>
      <c r="D71" s="290">
        <f t="shared" ref="D71:O71" si="32">SUM(D66:D70)</f>
        <v>-150151536.59</v>
      </c>
      <c r="E71" s="290">
        <f t="shared" si="32"/>
        <v>-22083239.099999998</v>
      </c>
      <c r="F71" s="290">
        <f t="shared" si="32"/>
        <v>-10659990.800000001</v>
      </c>
      <c r="G71" s="290">
        <f t="shared" si="32"/>
        <v>-5674642.21</v>
      </c>
      <c r="H71" s="290">
        <f t="shared" si="32"/>
        <v>-18858618.140000001</v>
      </c>
      <c r="I71" s="290">
        <f t="shared" si="32"/>
        <v>-695508.27999999991</v>
      </c>
      <c r="J71" s="290">
        <f t="shared" si="32"/>
        <v>0</v>
      </c>
      <c r="K71" s="300">
        <f t="shared" si="32"/>
        <v>-92179538.059999987</v>
      </c>
      <c r="L71" s="301">
        <f t="shared" si="32"/>
        <v>0</v>
      </c>
      <c r="M71" s="302">
        <f t="shared" si="32"/>
        <v>-92179538.059999987</v>
      </c>
      <c r="N71" s="301">
        <f t="shared" si="32"/>
        <v>0</v>
      </c>
      <c r="O71" s="302">
        <f t="shared" si="32"/>
        <v>-92179538.059999987</v>
      </c>
      <c r="P71" s="329"/>
      <c r="Q71" s="306"/>
      <c r="S71" s="327"/>
      <c r="T71" s="328" t="s">
        <v>2</v>
      </c>
      <c r="U71" s="330">
        <f>SUM(U66:U70)</f>
        <v>-6108324.7200000007</v>
      </c>
      <c r="V71" s="330">
        <f t="shared" ref="V71:AG71" si="33">SUM(V66:V70)</f>
        <v>-6090902.3900000006</v>
      </c>
      <c r="W71" s="330">
        <f t="shared" si="33"/>
        <v>-28266434.710000001</v>
      </c>
      <c r="X71" s="330">
        <f t="shared" si="33"/>
        <v>-48007287</v>
      </c>
      <c r="Y71" s="330">
        <f t="shared" si="33"/>
        <v>-1138512.7</v>
      </c>
      <c r="Z71" s="290">
        <f t="shared" si="33"/>
        <v>0</v>
      </c>
      <c r="AA71" s="290">
        <f>SUM(AA66:AA70)</f>
        <v>-6.1899999999999977</v>
      </c>
      <c r="AB71" s="290">
        <f t="shared" si="33"/>
        <v>0</v>
      </c>
      <c r="AC71" s="290">
        <f t="shared" ref="AC71" si="34">SUM(AC66:AC70)</f>
        <v>-0.28999999999999998</v>
      </c>
      <c r="AD71" s="290">
        <f>SUM(AD66:AD70)</f>
        <v>-2568070.06</v>
      </c>
      <c r="AE71" s="290">
        <f>SUM(AE66:AE70)</f>
        <v>-2568070.06</v>
      </c>
      <c r="AF71" s="331">
        <f t="shared" si="33"/>
        <v>-92179538.059999987</v>
      </c>
      <c r="AG71" s="332">
        <f t="shared" si="33"/>
        <v>3.7252902984619141E-9</v>
      </c>
      <c r="AH71" s="1" t="b">
        <f t="shared" si="29"/>
        <v>1</v>
      </c>
      <c r="AI71" s="306"/>
    </row>
    <row r="72" spans="1:35" ht="12" thickBot="1" x14ac:dyDescent="0.3">
      <c r="B72" s="2"/>
      <c r="C72" s="2"/>
      <c r="D72" s="24"/>
      <c r="E72" s="24"/>
      <c r="F72" s="24"/>
      <c r="G72" s="24"/>
      <c r="H72" s="24"/>
      <c r="I72" s="24"/>
      <c r="K72" s="24"/>
      <c r="L72" s="24"/>
      <c r="M72" s="24"/>
      <c r="N72" s="24"/>
      <c r="O72" s="24"/>
      <c r="Q72" s="4"/>
      <c r="S72" s="2"/>
      <c r="T72" s="2"/>
      <c r="U72" s="24"/>
      <c r="V72" s="24"/>
      <c r="W72" s="24"/>
      <c r="X72" s="24"/>
      <c r="Y72" s="24"/>
      <c r="AF72" s="24"/>
      <c r="AI72" s="4"/>
    </row>
    <row r="73" spans="1:35" ht="12" thickBot="1" x14ac:dyDescent="0.3">
      <c r="B73" s="2"/>
      <c r="C73" s="2"/>
      <c r="D73" s="24" t="s">
        <v>1</v>
      </c>
      <c r="E73" s="24"/>
      <c r="F73" s="24"/>
      <c r="G73" s="24"/>
      <c r="H73" s="24"/>
      <c r="I73" s="24"/>
      <c r="K73" s="24"/>
      <c r="L73" s="24"/>
      <c r="M73" s="24"/>
      <c r="N73" s="24"/>
      <c r="O73" s="24"/>
      <c r="Q73" s="4"/>
      <c r="Y73" s="86">
        <f>SUM(U71:Y71)</f>
        <v>-89611461.519999996</v>
      </c>
      <c r="AA73" s="1" t="s">
        <v>1</v>
      </c>
      <c r="AB73" s="1" t="s">
        <v>1</v>
      </c>
      <c r="AD73" s="1" t="s">
        <v>1</v>
      </c>
      <c r="AF73" s="1" t="s">
        <v>1</v>
      </c>
      <c r="AI73" s="4"/>
    </row>
    <row r="74" spans="1:35" ht="12" thickBot="1" x14ac:dyDescent="0.3">
      <c r="B74" s="2"/>
      <c r="C74" s="2"/>
      <c r="D74" s="24" t="s">
        <v>1</v>
      </c>
      <c r="E74" s="33"/>
      <c r="F74" s="33"/>
      <c r="G74" s="33"/>
      <c r="H74" s="33"/>
      <c r="I74" s="24"/>
      <c r="K74" s="24"/>
      <c r="L74" s="24"/>
      <c r="M74" s="24"/>
      <c r="N74" s="24"/>
      <c r="O74" s="24"/>
      <c r="Q74" s="4"/>
      <c r="AI74" s="4"/>
    </row>
    <row r="75" spans="1:35" x14ac:dyDescent="0.25">
      <c r="B75" s="2"/>
      <c r="C75" s="2"/>
      <c r="D75" s="24" t="s">
        <v>1</v>
      </c>
      <c r="E75" s="24" t="s">
        <v>1</v>
      </c>
      <c r="F75" s="24" t="s">
        <v>25</v>
      </c>
      <c r="G75" s="24"/>
      <c r="H75" s="24"/>
      <c r="I75" s="24"/>
      <c r="K75" s="24"/>
      <c r="L75" s="24"/>
      <c r="M75" s="24"/>
      <c r="N75" s="24"/>
      <c r="O75" s="24"/>
      <c r="Q75" s="4"/>
      <c r="AI75" s="4"/>
    </row>
    <row r="76" spans="1:35" x14ac:dyDescent="0.25">
      <c r="A76" s="4"/>
      <c r="B76" s="34"/>
      <c r="C76" s="34"/>
      <c r="D76" s="35"/>
      <c r="E76" s="35"/>
      <c r="F76" s="35"/>
      <c r="G76" s="35"/>
      <c r="H76" s="35"/>
      <c r="I76" s="35"/>
      <c r="J76" s="4"/>
      <c r="K76" s="35"/>
      <c r="L76" s="35"/>
      <c r="M76" s="35"/>
      <c r="N76" s="35"/>
      <c r="O76" s="35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  <c r="AE76" s="4"/>
      <c r="AF76" s="4"/>
      <c r="AG76" s="4"/>
      <c r="AH76" s="4"/>
      <c r="AI76" s="4"/>
    </row>
    <row r="77" spans="1:35" ht="12" thickBot="1" x14ac:dyDescent="0.3">
      <c r="Q77" s="4"/>
      <c r="AI77" s="4"/>
    </row>
    <row r="78" spans="1:35" x14ac:dyDescent="0.25">
      <c r="B78" s="5"/>
      <c r="C78" s="3" t="s">
        <v>1</v>
      </c>
      <c r="D78" s="6" t="s">
        <v>1</v>
      </c>
      <c r="E78" s="3"/>
      <c r="F78" s="3"/>
      <c r="G78" s="3"/>
      <c r="H78" s="3" t="s">
        <v>1</v>
      </c>
      <c r="I78" s="3"/>
      <c r="J78" s="3"/>
      <c r="K78" s="3"/>
      <c r="L78" s="3"/>
      <c r="M78" s="3"/>
      <c r="N78" s="3"/>
      <c r="O78" s="7"/>
      <c r="P78" s="2"/>
      <c r="Q78" s="4"/>
      <c r="S78" s="5"/>
      <c r="T78" s="3" t="s">
        <v>1</v>
      </c>
      <c r="U78" s="6" t="s">
        <v>1</v>
      </c>
      <c r="V78" s="3"/>
      <c r="W78" s="3"/>
      <c r="X78" s="3" t="s">
        <v>1</v>
      </c>
      <c r="Y78" s="3"/>
      <c r="Z78" s="3"/>
      <c r="AA78" s="3"/>
      <c r="AB78" s="3"/>
      <c r="AC78" s="3"/>
      <c r="AD78" s="3"/>
      <c r="AE78" s="3"/>
      <c r="AF78" s="7"/>
      <c r="AG78" s="2"/>
      <c r="AI78" s="4"/>
    </row>
    <row r="79" spans="1:35" ht="14" x14ac:dyDescent="0.3">
      <c r="B79" s="8"/>
      <c r="F79" s="26" t="s">
        <v>8</v>
      </c>
      <c r="G79" s="26"/>
      <c r="I79" s="26" t="s">
        <v>16</v>
      </c>
      <c r="J79" s="25"/>
      <c r="M79" s="2" t="s">
        <v>15</v>
      </c>
      <c r="N79" s="50">
        <f>N3</f>
        <v>2026072</v>
      </c>
      <c r="O79" s="10"/>
      <c r="P79" s="2"/>
      <c r="Q79" s="4"/>
      <c r="S79" s="8"/>
      <c r="U79" s="26" t="s">
        <v>8</v>
      </c>
      <c r="W79" s="26" t="s">
        <v>16</v>
      </c>
      <c r="X79" s="25"/>
      <c r="Y79" s="2"/>
      <c r="AA79" s="2" t="s">
        <v>15</v>
      </c>
      <c r="AD79" s="84">
        <f>N79</f>
        <v>2026072</v>
      </c>
      <c r="AE79" s="84"/>
      <c r="AF79" s="48"/>
      <c r="AG79" s="2"/>
      <c r="AI79" s="4"/>
    </row>
    <row r="80" spans="1:35" ht="15.5" x14ac:dyDescent="0.35">
      <c r="B80" s="8"/>
      <c r="F80" s="36" t="s">
        <v>29</v>
      </c>
      <c r="G80" s="36"/>
      <c r="O80" s="10"/>
      <c r="P80" s="2"/>
      <c r="Q80" s="4"/>
      <c r="S80" s="8"/>
      <c r="T80" s="26" t="s">
        <v>1</v>
      </c>
      <c r="U80" s="36" t="s">
        <v>29</v>
      </c>
      <c r="Y80" s="2" t="s">
        <v>1</v>
      </c>
      <c r="AA80" s="50" t="s">
        <v>1</v>
      </c>
      <c r="AB80" s="2"/>
      <c r="AC80" s="2"/>
      <c r="AD80" s="2"/>
      <c r="AE80" s="2"/>
      <c r="AF80" s="10" t="s">
        <v>1</v>
      </c>
      <c r="AG80" s="2"/>
      <c r="AI80" s="4"/>
    </row>
    <row r="81" spans="1:35" ht="14" x14ac:dyDescent="0.3">
      <c r="B81" s="8"/>
      <c r="F81" s="2" t="s">
        <v>30</v>
      </c>
      <c r="G81" s="2"/>
      <c r="M81" s="2" t="s">
        <v>1</v>
      </c>
      <c r="O81" s="10"/>
      <c r="P81" s="2"/>
      <c r="Q81" s="4"/>
      <c r="S81" s="8"/>
      <c r="T81" s="49" t="s">
        <v>1</v>
      </c>
      <c r="U81" s="2" t="s">
        <v>30</v>
      </c>
      <c r="AF81" s="44"/>
      <c r="AG81" s="2"/>
      <c r="AI81" s="4"/>
    </row>
    <row r="82" spans="1:35" ht="15.5" x14ac:dyDescent="0.35">
      <c r="B82" s="8"/>
      <c r="C82" s="599" t="s">
        <v>17</v>
      </c>
      <c r="D82" s="9">
        <f>D6</f>
        <v>46238</v>
      </c>
      <c r="F82" s="41" t="s">
        <v>126</v>
      </c>
      <c r="G82" s="41"/>
      <c r="H82" s="2"/>
      <c r="J82" s="2"/>
      <c r="O82" s="10"/>
      <c r="P82" s="2"/>
      <c r="Q82" s="4"/>
      <c r="S82" s="8"/>
      <c r="T82" s="41" t="s">
        <v>1</v>
      </c>
      <c r="U82" s="41" t="s">
        <v>34</v>
      </c>
      <c r="V82" s="2"/>
      <c r="X82" s="2"/>
      <c r="Y82" s="2"/>
      <c r="AF82" s="48"/>
      <c r="AG82" s="2"/>
      <c r="AI82" s="4"/>
    </row>
    <row r="83" spans="1:35" ht="12" thickBot="1" x14ac:dyDescent="0.3">
      <c r="B83" s="8"/>
      <c r="C83" s="599" t="s">
        <v>0</v>
      </c>
      <c r="D83" s="241">
        <f>D7</f>
        <v>0.58333333333333337</v>
      </c>
      <c r="F83" s="2" t="s">
        <v>27</v>
      </c>
      <c r="G83" s="9">
        <f>G7</f>
        <v>46219</v>
      </c>
      <c r="J83" s="2" t="s">
        <v>28</v>
      </c>
      <c r="K83" s="9">
        <f>K7</f>
        <v>46234</v>
      </c>
      <c r="O83" s="10"/>
      <c r="P83" s="2"/>
      <c r="Q83" s="4"/>
      <c r="S83" s="8"/>
      <c r="U83" s="1" t="str">
        <f>F83</f>
        <v>Fecha Desde:</v>
      </c>
      <c r="V83" s="9">
        <f>G83</f>
        <v>46219</v>
      </c>
      <c r="W83" s="1" t="s">
        <v>1</v>
      </c>
      <c r="X83" s="1" t="str">
        <f>J83</f>
        <v>Feha Hasta:</v>
      </c>
      <c r="Y83" s="9">
        <f>K83</f>
        <v>46234</v>
      </c>
      <c r="Z83" s="1" t="s">
        <v>1</v>
      </c>
      <c r="AF83" s="48"/>
      <c r="AG83" s="2"/>
      <c r="AI83" s="4"/>
    </row>
    <row r="84" spans="1:35" ht="72" customHeight="1" thickBot="1" x14ac:dyDescent="0.3">
      <c r="B84" s="11" t="s">
        <v>3</v>
      </c>
      <c r="C84" s="27" t="s">
        <v>9</v>
      </c>
      <c r="D84" s="11" t="s">
        <v>4</v>
      </c>
      <c r="E84" s="12" t="s">
        <v>5</v>
      </c>
      <c r="F84" s="27" t="s">
        <v>6</v>
      </c>
      <c r="G84" s="27" t="s">
        <v>159</v>
      </c>
      <c r="H84" s="27" t="s">
        <v>18</v>
      </c>
      <c r="I84" s="12" t="s">
        <v>24</v>
      </c>
      <c r="J84" s="73" t="s">
        <v>19</v>
      </c>
      <c r="K84" s="29" t="s">
        <v>20</v>
      </c>
      <c r="L84" s="85" t="s">
        <v>21</v>
      </c>
      <c r="M84" s="29" t="s">
        <v>22</v>
      </c>
      <c r="N84" s="65" t="s">
        <v>7</v>
      </c>
      <c r="O84" s="29" t="s">
        <v>23</v>
      </c>
      <c r="P84" s="13"/>
      <c r="Q84" s="4"/>
      <c r="S84" s="11" t="s">
        <v>3</v>
      </c>
      <c r="T84" s="27" t="s">
        <v>9</v>
      </c>
      <c r="U84" s="39" t="s">
        <v>39</v>
      </c>
      <c r="V84" s="39" t="s">
        <v>40</v>
      </c>
      <c r="W84" s="39" t="s">
        <v>41</v>
      </c>
      <c r="X84" s="39" t="s">
        <v>42</v>
      </c>
      <c r="Y84" s="39" t="s">
        <v>43</v>
      </c>
      <c r="Z84" s="65" t="s">
        <v>21</v>
      </c>
      <c r="AA84" s="85" t="s">
        <v>46</v>
      </c>
      <c r="AB84" s="65" t="s">
        <v>7</v>
      </c>
      <c r="AC84" s="85" t="s">
        <v>168</v>
      </c>
      <c r="AD84" s="574" t="s">
        <v>105</v>
      </c>
      <c r="AE84" s="573" t="s">
        <v>104</v>
      </c>
      <c r="AF84" s="39" t="s">
        <v>23</v>
      </c>
      <c r="AG84" s="13"/>
      <c r="AI84" s="4"/>
    </row>
    <row r="85" spans="1:35" s="305" customFormat="1" x14ac:dyDescent="0.25">
      <c r="B85" s="303">
        <v>1</v>
      </c>
      <c r="C85" s="304" t="s">
        <v>10</v>
      </c>
      <c r="D85" s="291">
        <f>'AJUSTES - SF-T'!D47</f>
        <v>973693.46</v>
      </c>
      <c r="E85" s="292">
        <f>'AJUSTES - SF-T'!E47</f>
        <v>65524.22</v>
      </c>
      <c r="F85" s="292">
        <f>'AJUSTES - SF-T'!F47</f>
        <v>36995.019999999997</v>
      </c>
      <c r="G85" s="292">
        <f>'AJUSTES - SF-T'!G47</f>
        <v>19417.650000000001</v>
      </c>
      <c r="H85" s="292">
        <f>'AJUSTES - SF-T'!H47</f>
        <v>156624.35</v>
      </c>
      <c r="I85" s="292">
        <f>'AJUSTES - SF-T'!I47</f>
        <v>5557.5</v>
      </c>
      <c r="J85" s="292">
        <f>'AJUSTES - SF-T'!J47</f>
        <v>0</v>
      </c>
      <c r="K85" s="292">
        <f>D85-E85-F85-G85-H85-I85-J85</f>
        <v>689574.72</v>
      </c>
      <c r="L85" s="294">
        <v>0</v>
      </c>
      <c r="M85" s="321">
        <f>K85-L85</f>
        <v>689574.72</v>
      </c>
      <c r="N85" s="321">
        <f>'AJUSTES - SF-T'!N47</f>
        <v>0</v>
      </c>
      <c r="O85" s="321">
        <f>M85+N85</f>
        <v>689574.72</v>
      </c>
      <c r="Q85" s="306"/>
      <c r="S85" s="303">
        <v>1</v>
      </c>
      <c r="T85" s="304" t="s">
        <v>10</v>
      </c>
      <c r="U85" s="312">
        <f>'AJUSTES - SF-T'!U47</f>
        <v>52109.79</v>
      </c>
      <c r="V85" s="312">
        <f>'AJUSTES - SF-T'!V47</f>
        <v>47607.03</v>
      </c>
      <c r="W85" s="312">
        <f>'AJUSTES - SF-T'!W47</f>
        <v>225441.17</v>
      </c>
      <c r="X85" s="312">
        <f>'AJUSTES - SF-T'!X47</f>
        <v>178429.31</v>
      </c>
      <c r="Y85" s="312">
        <f>'AJUSTES - SF-T'!Y47</f>
        <v>9067.43</v>
      </c>
      <c r="Z85" s="312">
        <f>'AJUSTES - SF-T'!Z47</f>
        <v>0</v>
      </c>
      <c r="AA85" s="571">
        <f>'AJUSTES - SF-T'!AA47</f>
        <v>0</v>
      </c>
      <c r="AB85" s="312">
        <f>'AJUSTES - SF-T'!AB47</f>
        <v>0</v>
      </c>
      <c r="AC85" s="571">
        <v>0</v>
      </c>
      <c r="AD85" s="321">
        <f>'AJUSTES - SF-T'!AC47</f>
        <v>176919.99</v>
      </c>
      <c r="AE85" s="294">
        <f>'AJUSTES - SF-T'!AD47</f>
        <v>176919.99</v>
      </c>
      <c r="AF85" s="363">
        <f>SUM(U85:AD85)</f>
        <v>689574.72</v>
      </c>
      <c r="AG85" s="569">
        <f>AF85-O85</f>
        <v>0</v>
      </c>
      <c r="AH85" s="1" t="b">
        <f>INT(AG85)=0</f>
        <v>1</v>
      </c>
      <c r="AI85" s="306"/>
    </row>
    <row r="86" spans="1:35" s="305" customFormat="1" x14ac:dyDescent="0.25">
      <c r="B86" s="314">
        <v>2</v>
      </c>
      <c r="C86" s="315" t="s">
        <v>11</v>
      </c>
      <c r="D86" s="291">
        <v>0</v>
      </c>
      <c r="E86" s="292">
        <v>0</v>
      </c>
      <c r="F86" s="292">
        <v>0</v>
      </c>
      <c r="G86" s="292">
        <v>0</v>
      </c>
      <c r="H86" s="292">
        <v>0</v>
      </c>
      <c r="I86" s="292">
        <v>0</v>
      </c>
      <c r="J86" s="292">
        <v>0</v>
      </c>
      <c r="K86" s="292">
        <f t="shared" ref="K86:K89" si="35">D86-E86-F86-G86-H86-I86-J86</f>
        <v>0</v>
      </c>
      <c r="L86" s="294">
        <v>0</v>
      </c>
      <c r="M86" s="321">
        <f>K86-L86</f>
        <v>0</v>
      </c>
      <c r="N86" s="321">
        <v>0</v>
      </c>
      <c r="O86" s="321">
        <f t="shared" ref="O86:O89" si="36">M86+N86</f>
        <v>0</v>
      </c>
      <c r="Q86" s="306"/>
      <c r="S86" s="314">
        <v>2</v>
      </c>
      <c r="T86" s="315" t="s">
        <v>11</v>
      </c>
      <c r="U86" s="320">
        <v>0</v>
      </c>
      <c r="V86" s="320">
        <v>0</v>
      </c>
      <c r="W86" s="320">
        <v>0</v>
      </c>
      <c r="X86" s="320">
        <v>0</v>
      </c>
      <c r="Y86" s="320">
        <v>0</v>
      </c>
      <c r="Z86" s="320">
        <f>-L86</f>
        <v>0</v>
      </c>
      <c r="AA86" s="320">
        <v>0</v>
      </c>
      <c r="AB86" s="320">
        <f>N86</f>
        <v>0</v>
      </c>
      <c r="AC86" s="299">
        <v>0</v>
      </c>
      <c r="AD86" s="320">
        <f t="shared" ref="AD86:AD88" si="37">-J86+AE86</f>
        <v>0</v>
      </c>
      <c r="AE86" s="299">
        <v>0</v>
      </c>
      <c r="AF86" s="365">
        <f>SUM(U86:AD86)</f>
        <v>0</v>
      </c>
      <c r="AG86" s="570">
        <f>AF86-O86</f>
        <v>0</v>
      </c>
      <c r="AH86" s="1" t="b">
        <f t="shared" ref="AH86:AH90" si="38">INT(AG86)=0</f>
        <v>1</v>
      </c>
      <c r="AI86" s="306"/>
    </row>
    <row r="87" spans="1:35" s="305" customFormat="1" x14ac:dyDescent="0.25">
      <c r="B87" s="314">
        <v>3</v>
      </c>
      <c r="C87" s="315" t="s">
        <v>12</v>
      </c>
      <c r="D87" s="291">
        <f>'AJUSTES - SF-T'!D49</f>
        <v>104231.83</v>
      </c>
      <c r="E87" s="292">
        <f>'AJUSTES - SF-T'!E49</f>
        <v>6620.63</v>
      </c>
      <c r="F87" s="292">
        <f>'AJUSTES - SF-T'!F49</f>
        <v>3738.02</v>
      </c>
      <c r="G87" s="292">
        <f>'AJUSTES - SF-T'!G49</f>
        <v>1961.98</v>
      </c>
      <c r="H87" s="292">
        <f>'AJUSTES - SF-T'!H49</f>
        <v>20927.5</v>
      </c>
      <c r="I87" s="292">
        <f>'AJUSTES - SF-T'!I49</f>
        <v>743.08</v>
      </c>
      <c r="J87" s="292">
        <f>'AJUSTES - SF-T'!J49</f>
        <v>0</v>
      </c>
      <c r="K87" s="292">
        <f>D87-E87-F87-G87-H87-I87-J87</f>
        <v>70240.62</v>
      </c>
      <c r="L87" s="294">
        <v>0</v>
      </c>
      <c r="M87" s="321">
        <f>K87-L87</f>
        <v>70240.62</v>
      </c>
      <c r="N87" s="321">
        <f>'AJUSTES - SF-T'!N49</f>
        <v>0</v>
      </c>
      <c r="O87" s="321">
        <f>M87+N87</f>
        <v>70240.62</v>
      </c>
      <c r="Q87" s="306"/>
      <c r="S87" s="314">
        <v>3</v>
      </c>
      <c r="T87" s="315" t="s">
        <v>12</v>
      </c>
      <c r="U87" s="320">
        <f>'AJUSTES - SF-T'!U49</f>
        <v>6518.28</v>
      </c>
      <c r="V87" s="320">
        <f>'AJUSTES - SF-T'!V49</f>
        <v>6410.86</v>
      </c>
      <c r="W87" s="320">
        <f>'AJUSTES - SF-T'!W49</f>
        <v>30349.1</v>
      </c>
      <c r="X87" s="320">
        <f>'AJUSTES - SF-T'!X49</f>
        <v>15383.1</v>
      </c>
      <c r="Y87" s="320">
        <f>'AJUSTES - SF-T'!Y49</f>
        <v>1212.4000000000001</v>
      </c>
      <c r="Z87" s="320">
        <f>'AJUSTES - SF-T'!Z49</f>
        <v>0</v>
      </c>
      <c r="AA87" s="320">
        <f>'AJUSTES - SF-T'!AA49</f>
        <v>0</v>
      </c>
      <c r="AB87" s="320">
        <f>'AJUSTES - SF-T'!AB49</f>
        <v>0</v>
      </c>
      <c r="AC87" s="299">
        <v>0</v>
      </c>
      <c r="AD87" s="320">
        <f>'AJUSTES - SF-T'!AC49</f>
        <v>10366.879999999999</v>
      </c>
      <c r="AE87" s="299">
        <f>'AJUSTES - SF-T'!AD49</f>
        <v>10366.879999999999</v>
      </c>
      <c r="AF87" s="365">
        <f>SUM(U87:AD87)</f>
        <v>70240.62</v>
      </c>
      <c r="AG87" s="570">
        <f>AF87-O87</f>
        <v>0</v>
      </c>
      <c r="AH87" s="1" t="b">
        <f t="shared" si="38"/>
        <v>1</v>
      </c>
      <c r="AI87" s="306"/>
    </row>
    <row r="88" spans="1:35" s="305" customFormat="1" x14ac:dyDescent="0.25">
      <c r="B88" s="314">
        <v>4</v>
      </c>
      <c r="C88" s="315" t="s">
        <v>13</v>
      </c>
      <c r="D88" s="291">
        <v>0</v>
      </c>
      <c r="E88" s="292">
        <v>0</v>
      </c>
      <c r="F88" s="292">
        <v>0</v>
      </c>
      <c r="G88" s="292">
        <v>0</v>
      </c>
      <c r="H88" s="292">
        <v>0</v>
      </c>
      <c r="I88" s="292">
        <v>0</v>
      </c>
      <c r="J88" s="292">
        <v>0</v>
      </c>
      <c r="K88" s="292">
        <f t="shared" si="35"/>
        <v>0</v>
      </c>
      <c r="L88" s="294">
        <v>0</v>
      </c>
      <c r="M88" s="321">
        <f>K88-L88</f>
        <v>0</v>
      </c>
      <c r="N88" s="321">
        <v>0</v>
      </c>
      <c r="O88" s="321">
        <f t="shared" si="36"/>
        <v>0</v>
      </c>
      <c r="Q88" s="306"/>
      <c r="S88" s="314">
        <v>4</v>
      </c>
      <c r="T88" s="315" t="s">
        <v>13</v>
      </c>
      <c r="U88" s="320">
        <v>0</v>
      </c>
      <c r="V88" s="320">
        <v>0</v>
      </c>
      <c r="W88" s="320">
        <v>0</v>
      </c>
      <c r="X88" s="320">
        <v>0</v>
      </c>
      <c r="Y88" s="320">
        <v>0</v>
      </c>
      <c r="Z88" s="320">
        <f>-L88</f>
        <v>0</v>
      </c>
      <c r="AA88" s="320">
        <v>0</v>
      </c>
      <c r="AB88" s="320">
        <f>N88</f>
        <v>0</v>
      </c>
      <c r="AC88" s="299">
        <v>0</v>
      </c>
      <c r="AD88" s="320">
        <f t="shared" si="37"/>
        <v>0</v>
      </c>
      <c r="AE88" s="299">
        <v>0</v>
      </c>
      <c r="AF88" s="365">
        <f t="shared" ref="AF88:AF89" si="39">SUM(U88:AD88)</f>
        <v>0</v>
      </c>
      <c r="AG88" s="570">
        <f>AF88-O88</f>
        <v>0</v>
      </c>
      <c r="AH88" s="1" t="b">
        <f t="shared" si="38"/>
        <v>1</v>
      </c>
      <c r="AI88" s="306"/>
    </row>
    <row r="89" spans="1:35" s="305" customFormat="1" ht="12" thickBot="1" x14ac:dyDescent="0.3">
      <c r="B89" s="324">
        <v>5</v>
      </c>
      <c r="C89" s="325" t="s">
        <v>14</v>
      </c>
      <c r="D89" s="296">
        <f>'AJUSTES - SF-T'!D51</f>
        <v>0</v>
      </c>
      <c r="E89" s="297">
        <f>'AJUSTES - SF-T'!E51</f>
        <v>0</v>
      </c>
      <c r="F89" s="297">
        <f>'AJUSTES - SF-T'!F51</f>
        <v>0</v>
      </c>
      <c r="G89" s="297">
        <f>'AJUSTES - SF-T'!G51</f>
        <v>0</v>
      </c>
      <c r="H89" s="297">
        <f>'AJUSTES - SF-T'!H51</f>
        <v>0</v>
      </c>
      <c r="I89" s="297">
        <f>'AJUSTES - SF-T'!I51</f>
        <v>0</v>
      </c>
      <c r="J89" s="297">
        <f>'AJUSTES - SF-T'!J51</f>
        <v>0</v>
      </c>
      <c r="K89" s="297">
        <f t="shared" si="35"/>
        <v>0</v>
      </c>
      <c r="L89" s="294">
        <v>0</v>
      </c>
      <c r="M89" s="346">
        <f>K89-L89</f>
        <v>0</v>
      </c>
      <c r="N89" s="346">
        <f>'AJUSTES - SF-T'!N51</f>
        <v>0</v>
      </c>
      <c r="O89" s="346">
        <f t="shared" si="36"/>
        <v>0</v>
      </c>
      <c r="Q89" s="306"/>
      <c r="S89" s="324">
        <v>5</v>
      </c>
      <c r="T89" s="325" t="s">
        <v>14</v>
      </c>
      <c r="U89" s="346">
        <f>'AJUSTES - SF-T'!U51</f>
        <v>0</v>
      </c>
      <c r="V89" s="346">
        <f>'AJUSTES - SF-T'!V51</f>
        <v>0</v>
      </c>
      <c r="W89" s="346">
        <f>'AJUSTES - SF-T'!W51</f>
        <v>0</v>
      </c>
      <c r="X89" s="346">
        <f>'AJUSTES - SF-T'!X51</f>
        <v>0</v>
      </c>
      <c r="Y89" s="346">
        <f>'AJUSTES - SF-T'!Y51</f>
        <v>0</v>
      </c>
      <c r="Z89" s="346">
        <f>'AJUSTES - SF-T'!Z51</f>
        <v>0</v>
      </c>
      <c r="AA89" s="320">
        <f>'AJUSTES - SF-T'!AA51</f>
        <v>0</v>
      </c>
      <c r="AB89" s="572">
        <f>'AJUSTES - SF-T'!AB51</f>
        <v>0</v>
      </c>
      <c r="AC89" s="609">
        <v>0</v>
      </c>
      <c r="AD89" s="572">
        <f>'AJUSTES - SF-T'!AC51</f>
        <v>0</v>
      </c>
      <c r="AE89" s="294">
        <f>'AJUSTES - SF-T'!AD51</f>
        <v>0</v>
      </c>
      <c r="AF89" s="576">
        <f t="shared" si="39"/>
        <v>0</v>
      </c>
      <c r="AG89" s="575">
        <f>AF89-O89</f>
        <v>0</v>
      </c>
      <c r="AH89" s="1" t="b">
        <f t="shared" si="38"/>
        <v>1</v>
      </c>
      <c r="AI89" s="306"/>
    </row>
    <row r="90" spans="1:35" s="305" customFormat="1" ht="13.5" thickBot="1" x14ac:dyDescent="0.35">
      <c r="B90" s="327"/>
      <c r="C90" s="328" t="s">
        <v>2</v>
      </c>
      <c r="D90" s="290">
        <f t="shared" ref="D90:O90" si="40">SUM(D85:D89)</f>
        <v>1077925.29</v>
      </c>
      <c r="E90" s="290">
        <f t="shared" si="40"/>
        <v>72144.850000000006</v>
      </c>
      <c r="F90" s="290">
        <f t="shared" si="40"/>
        <v>40733.039999999994</v>
      </c>
      <c r="G90" s="290">
        <f t="shared" si="40"/>
        <v>21379.63</v>
      </c>
      <c r="H90" s="290">
        <f t="shared" si="40"/>
        <v>177551.85</v>
      </c>
      <c r="I90" s="290">
        <f t="shared" si="40"/>
        <v>6300.58</v>
      </c>
      <c r="J90" s="290">
        <f t="shared" si="40"/>
        <v>0</v>
      </c>
      <c r="K90" s="300">
        <f t="shared" si="40"/>
        <v>759815.34</v>
      </c>
      <c r="L90" s="301">
        <f t="shared" si="40"/>
        <v>0</v>
      </c>
      <c r="M90" s="302">
        <f t="shared" si="40"/>
        <v>759815.34</v>
      </c>
      <c r="N90" s="301">
        <f t="shared" si="40"/>
        <v>0</v>
      </c>
      <c r="O90" s="302">
        <f t="shared" si="40"/>
        <v>759815.34</v>
      </c>
      <c r="P90" s="329"/>
      <c r="Q90" s="306"/>
      <c r="S90" s="327"/>
      <c r="T90" s="567" t="s">
        <v>2</v>
      </c>
      <c r="U90" s="330">
        <f>SUM(U85:U89)</f>
        <v>58628.07</v>
      </c>
      <c r="V90" s="330">
        <f t="shared" ref="V90:AG90" si="41">SUM(V85:V89)</f>
        <v>54017.89</v>
      </c>
      <c r="W90" s="568">
        <f t="shared" si="41"/>
        <v>255790.27000000002</v>
      </c>
      <c r="X90" s="330">
        <f t="shared" si="41"/>
        <v>193812.41</v>
      </c>
      <c r="Y90" s="330">
        <f t="shared" si="41"/>
        <v>10279.83</v>
      </c>
      <c r="Z90" s="290">
        <f t="shared" si="41"/>
        <v>0</v>
      </c>
      <c r="AA90" s="290">
        <f t="shared" si="41"/>
        <v>0</v>
      </c>
      <c r="AB90" s="290">
        <f t="shared" si="41"/>
        <v>0</v>
      </c>
      <c r="AC90" s="290">
        <f t="shared" ref="AC90" si="42">SUM(AC85:AC89)</f>
        <v>0</v>
      </c>
      <c r="AD90" s="290">
        <f t="shared" si="41"/>
        <v>187286.87</v>
      </c>
      <c r="AE90" s="290">
        <f t="shared" si="41"/>
        <v>187286.87</v>
      </c>
      <c r="AF90" s="331">
        <f t="shared" si="41"/>
        <v>759815.34</v>
      </c>
      <c r="AG90" s="332">
        <f t="shared" si="41"/>
        <v>0</v>
      </c>
      <c r="AH90" s="1" t="b">
        <f t="shared" si="38"/>
        <v>1</v>
      </c>
      <c r="AI90" s="306"/>
    </row>
    <row r="91" spans="1:35" ht="12" thickBot="1" x14ac:dyDescent="0.3">
      <c r="B91" s="2"/>
      <c r="C91" s="2"/>
      <c r="D91" s="24"/>
      <c r="E91" s="24"/>
      <c r="F91" s="24"/>
      <c r="G91" s="24"/>
      <c r="H91" s="24"/>
      <c r="I91" s="24"/>
      <c r="K91" s="24"/>
      <c r="L91" s="24"/>
      <c r="M91" s="24"/>
      <c r="N91" s="24"/>
      <c r="O91" s="24"/>
      <c r="Q91" s="4"/>
      <c r="S91" s="2"/>
      <c r="T91" s="2"/>
      <c r="U91" s="24"/>
      <c r="V91" s="24"/>
      <c r="W91" s="24"/>
      <c r="X91" s="24"/>
      <c r="Y91" s="24"/>
      <c r="AF91" s="24"/>
      <c r="AI91" s="4"/>
    </row>
    <row r="92" spans="1:35" ht="12" thickBot="1" x14ac:dyDescent="0.3">
      <c r="B92" s="2"/>
      <c r="C92" s="2"/>
      <c r="D92" s="24" t="s">
        <v>1</v>
      </c>
      <c r="E92" s="24"/>
      <c r="F92" s="24"/>
      <c r="G92" s="24"/>
      <c r="H92" s="24"/>
      <c r="I92" s="24"/>
      <c r="K92" s="24"/>
      <c r="L92" s="24"/>
      <c r="M92" s="24"/>
      <c r="N92" s="24"/>
      <c r="O92" s="24"/>
      <c r="Q92" s="4"/>
      <c r="Y92" s="86">
        <f>SUM(U90:Y90)</f>
        <v>572528.47</v>
      </c>
      <c r="AA92" s="1" t="s">
        <v>1</v>
      </c>
      <c r="AB92" s="1" t="s">
        <v>1</v>
      </c>
      <c r="AD92" s="1" t="s">
        <v>1</v>
      </c>
      <c r="AF92" s="1" t="s">
        <v>1</v>
      </c>
      <c r="AI92" s="4"/>
    </row>
    <row r="93" spans="1:35" ht="12" thickBot="1" x14ac:dyDescent="0.3">
      <c r="B93" s="2"/>
      <c r="C93" s="2"/>
      <c r="D93" s="24" t="s">
        <v>1</v>
      </c>
      <c r="E93" s="33"/>
      <c r="F93" s="33"/>
      <c r="G93" s="33"/>
      <c r="H93" s="33"/>
      <c r="I93" s="24"/>
      <c r="K93" s="24"/>
      <c r="L93" s="24"/>
      <c r="M93" s="24"/>
      <c r="N93" s="24"/>
      <c r="O93" s="24"/>
      <c r="Q93" s="4"/>
      <c r="AI93" s="4"/>
    </row>
    <row r="94" spans="1:35" x14ac:dyDescent="0.25">
      <c r="B94" s="2"/>
      <c r="C94" s="2"/>
      <c r="D94" s="24" t="s">
        <v>1</v>
      </c>
      <c r="E94" s="24" t="s">
        <v>1</v>
      </c>
      <c r="F94" s="24" t="s">
        <v>25</v>
      </c>
      <c r="G94" s="24"/>
      <c r="H94" s="24"/>
      <c r="I94" s="24"/>
      <c r="K94" s="24"/>
      <c r="L94" s="24"/>
      <c r="M94" s="24"/>
      <c r="N94" s="24"/>
      <c r="O94" s="24"/>
      <c r="Q94" s="4"/>
      <c r="AI94" s="4"/>
    </row>
    <row r="95" spans="1:35" x14ac:dyDescent="0.25">
      <c r="A95" s="4"/>
      <c r="B95" s="34"/>
      <c r="C95" s="34"/>
      <c r="D95" s="35"/>
      <c r="E95" s="35"/>
      <c r="F95" s="35"/>
      <c r="G95" s="35"/>
      <c r="H95" s="35"/>
      <c r="I95" s="35"/>
      <c r="J95" s="4"/>
      <c r="K95" s="35"/>
      <c r="L95" s="35"/>
      <c r="M95" s="35"/>
      <c r="N95" s="35"/>
      <c r="O95" s="35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  <c r="AE95" s="4"/>
      <c r="AF95" s="4"/>
      <c r="AG95" s="4"/>
      <c r="AH95" s="4"/>
      <c r="AI95" s="4"/>
    </row>
    <row r="96" spans="1:35" ht="12" thickBot="1" x14ac:dyDescent="0.3">
      <c r="Q96" s="4"/>
      <c r="AI96" s="4"/>
    </row>
    <row r="97" spans="2:36" x14ac:dyDescent="0.25">
      <c r="B97" s="5"/>
      <c r="C97" s="3" t="s">
        <v>1</v>
      </c>
      <c r="D97" s="6" t="s">
        <v>1</v>
      </c>
      <c r="E97" s="3"/>
      <c r="F97" s="3"/>
      <c r="G97" s="3"/>
      <c r="H97" s="3" t="s">
        <v>1</v>
      </c>
      <c r="I97" s="3"/>
      <c r="J97" s="3"/>
      <c r="K97" s="3"/>
      <c r="L97" s="3"/>
      <c r="M97" s="3"/>
      <c r="N97" s="3"/>
      <c r="O97" s="7"/>
      <c r="P97" s="2"/>
      <c r="Q97" s="4"/>
      <c r="S97" s="5"/>
      <c r="T97" s="3" t="s">
        <v>1</v>
      </c>
      <c r="U97" s="6" t="s">
        <v>1</v>
      </c>
      <c r="V97" s="3"/>
      <c r="W97" s="3"/>
      <c r="X97" s="3" t="s">
        <v>1</v>
      </c>
      <c r="Y97" s="3"/>
      <c r="Z97" s="3"/>
      <c r="AA97" s="3"/>
      <c r="AB97" s="3"/>
      <c r="AC97" s="3"/>
      <c r="AD97" s="3"/>
      <c r="AE97" s="3"/>
      <c r="AF97" s="7"/>
      <c r="AG97" s="2"/>
      <c r="AI97" s="4"/>
    </row>
    <row r="98" spans="2:36" ht="14" x14ac:dyDescent="0.3">
      <c r="B98" s="8"/>
      <c r="F98" s="26" t="s">
        <v>8</v>
      </c>
      <c r="G98" s="26"/>
      <c r="I98" s="26" t="s">
        <v>16</v>
      </c>
      <c r="J98" s="25"/>
      <c r="M98" s="2" t="s">
        <v>15</v>
      </c>
      <c r="N98" s="50">
        <f>N3</f>
        <v>2026072</v>
      </c>
      <c r="O98" s="10"/>
      <c r="P98" s="2"/>
      <c r="Q98" s="4"/>
      <c r="S98" s="8"/>
      <c r="U98" s="26" t="s">
        <v>8</v>
      </c>
      <c r="W98" s="26" t="s">
        <v>16</v>
      </c>
      <c r="X98" s="25"/>
      <c r="Y98" s="2"/>
      <c r="AA98" s="2" t="s">
        <v>15</v>
      </c>
      <c r="AD98" s="84">
        <f>N98</f>
        <v>2026072</v>
      </c>
      <c r="AE98" s="84"/>
      <c r="AF98" s="48"/>
      <c r="AG98" s="2"/>
      <c r="AI98" s="4"/>
    </row>
    <row r="99" spans="2:36" ht="15.5" x14ac:dyDescent="0.35">
      <c r="B99" s="8"/>
      <c r="F99" s="36" t="s">
        <v>29</v>
      </c>
      <c r="G99" s="36"/>
      <c r="O99" s="10"/>
      <c r="P99" s="2"/>
      <c r="Q99" s="4"/>
      <c r="S99" s="8"/>
      <c r="T99" s="26" t="s">
        <v>1</v>
      </c>
      <c r="U99" s="36" t="s">
        <v>29</v>
      </c>
      <c r="Y99" s="2" t="s">
        <v>1</v>
      </c>
      <c r="AA99" s="50" t="s">
        <v>1</v>
      </c>
      <c r="AB99" s="2"/>
      <c r="AC99" s="2"/>
      <c r="AD99" s="2"/>
      <c r="AE99" s="2"/>
      <c r="AF99" s="10" t="s">
        <v>1</v>
      </c>
      <c r="AG99" s="2"/>
      <c r="AI99" s="4"/>
    </row>
    <row r="100" spans="2:36" ht="14" x14ac:dyDescent="0.3">
      <c r="B100" s="8"/>
      <c r="F100" s="2" t="s">
        <v>30</v>
      </c>
      <c r="G100" s="2"/>
      <c r="L100" s="91"/>
      <c r="M100" s="2" t="s">
        <v>1</v>
      </c>
      <c r="O100" s="10"/>
      <c r="P100" s="2"/>
      <c r="Q100" s="4"/>
      <c r="S100" s="8"/>
      <c r="T100" s="49" t="s">
        <v>1</v>
      </c>
      <c r="U100" s="2" t="s">
        <v>30</v>
      </c>
      <c r="AF100" s="44"/>
      <c r="AG100" s="2"/>
      <c r="AI100" s="4"/>
    </row>
    <row r="101" spans="2:36" ht="15.5" x14ac:dyDescent="0.35">
      <c r="B101" s="8"/>
      <c r="C101" s="599" t="s">
        <v>17</v>
      </c>
      <c r="D101" s="9">
        <f>D6</f>
        <v>46238</v>
      </c>
      <c r="F101" s="58" t="s">
        <v>217</v>
      </c>
      <c r="G101" s="58"/>
      <c r="H101" s="59"/>
      <c r="I101" s="60"/>
      <c r="J101" s="59"/>
      <c r="L101" s="91"/>
      <c r="O101" s="10"/>
      <c r="P101" s="2"/>
      <c r="Q101" s="4"/>
      <c r="S101" s="8"/>
      <c r="T101" s="41" t="s">
        <v>1</v>
      </c>
      <c r="U101" s="58" t="s">
        <v>218</v>
      </c>
      <c r="V101" s="59"/>
      <c r="W101" s="60"/>
      <c r="X101" s="59"/>
      <c r="Y101" s="2"/>
      <c r="AF101" s="48"/>
      <c r="AG101" s="2"/>
      <c r="AI101" s="4"/>
    </row>
    <row r="102" spans="2:36" ht="18" thickBot="1" x14ac:dyDescent="0.5">
      <c r="B102" s="8"/>
      <c r="C102" s="599" t="s">
        <v>0</v>
      </c>
      <c r="D102" s="241">
        <f>D7</f>
        <v>0.58333333333333337</v>
      </c>
      <c r="F102" s="2" t="s">
        <v>27</v>
      </c>
      <c r="G102" s="9">
        <f>G7</f>
        <v>46219</v>
      </c>
      <c r="J102" s="2" t="s">
        <v>28</v>
      </c>
      <c r="K102" s="9">
        <f>K7</f>
        <v>46234</v>
      </c>
      <c r="L102" s="92"/>
      <c r="O102" s="10"/>
      <c r="P102" s="2"/>
      <c r="Q102" s="4"/>
      <c r="S102" s="8"/>
      <c r="U102" s="1" t="str">
        <f>F102</f>
        <v>Fecha Desde:</v>
      </c>
      <c r="V102" s="9">
        <f>G102</f>
        <v>46219</v>
      </c>
      <c r="W102" s="1" t="s">
        <v>1</v>
      </c>
      <c r="X102" s="1" t="str">
        <f>J102</f>
        <v>Feha Hasta:</v>
      </c>
      <c r="Y102" s="9">
        <f>K102</f>
        <v>46234</v>
      </c>
      <c r="Z102" s="1" t="s">
        <v>1</v>
      </c>
      <c r="AF102" s="48"/>
      <c r="AG102" s="2"/>
      <c r="AI102" s="4"/>
      <c r="AJ102" s="112" t="s">
        <v>1</v>
      </c>
    </row>
    <row r="103" spans="2:36" ht="72" customHeight="1" thickBot="1" x14ac:dyDescent="0.3">
      <c r="B103" s="11" t="s">
        <v>3</v>
      </c>
      <c r="C103" s="27" t="s">
        <v>9</v>
      </c>
      <c r="D103" s="11" t="s">
        <v>4</v>
      </c>
      <c r="E103" s="12" t="s">
        <v>5</v>
      </c>
      <c r="F103" s="27" t="s">
        <v>6</v>
      </c>
      <c r="G103" s="27" t="s">
        <v>159</v>
      </c>
      <c r="H103" s="27" t="s">
        <v>18</v>
      </c>
      <c r="I103" s="12" t="s">
        <v>24</v>
      </c>
      <c r="J103" s="73" t="s">
        <v>19</v>
      </c>
      <c r="K103" s="29" t="s">
        <v>20</v>
      </c>
      <c r="L103" s="28" t="s">
        <v>21</v>
      </c>
      <c r="M103" s="39" t="s">
        <v>22</v>
      </c>
      <c r="N103" s="12" t="s">
        <v>7</v>
      </c>
      <c r="O103" s="39" t="s">
        <v>23</v>
      </c>
      <c r="P103" s="13"/>
      <c r="Q103" s="4"/>
      <c r="S103" s="11" t="s">
        <v>3</v>
      </c>
      <c r="T103" s="27" t="s">
        <v>9</v>
      </c>
      <c r="U103" s="162" t="s">
        <v>39</v>
      </c>
      <c r="V103" s="163" t="s">
        <v>40</v>
      </c>
      <c r="W103" s="163" t="s">
        <v>41</v>
      </c>
      <c r="X103" s="163" t="s">
        <v>42</v>
      </c>
      <c r="Y103" s="164" t="s">
        <v>43</v>
      </c>
      <c r="Z103" s="85" t="s">
        <v>21</v>
      </c>
      <c r="AA103" s="65" t="s">
        <v>46</v>
      </c>
      <c r="AB103" s="65" t="s">
        <v>7</v>
      </c>
      <c r="AC103" s="85" t="s">
        <v>168</v>
      </c>
      <c r="AD103" s="121" t="s">
        <v>105</v>
      </c>
      <c r="AE103" s="121" t="s">
        <v>104</v>
      </c>
      <c r="AF103" s="39" t="s">
        <v>23</v>
      </c>
      <c r="AG103" s="13"/>
      <c r="AI103" s="4"/>
    </row>
    <row r="104" spans="2:36" s="305" customFormat="1" x14ac:dyDescent="0.25">
      <c r="B104" s="303">
        <v>1</v>
      </c>
      <c r="C104" s="304" t="s">
        <v>10</v>
      </c>
      <c r="D104" s="291">
        <f t="shared" ref="D104:J108" si="43">D9+D28+D47+D66+D85</f>
        <v>16643179604.779999</v>
      </c>
      <c r="E104" s="292">
        <f t="shared" si="43"/>
        <v>807895299.00000012</v>
      </c>
      <c r="F104" s="292">
        <f t="shared" si="43"/>
        <v>455912503.50999999</v>
      </c>
      <c r="G104" s="292">
        <f t="shared" si="43"/>
        <v>239329779.88</v>
      </c>
      <c r="H104" s="292">
        <f t="shared" si="43"/>
        <v>3761557796.75</v>
      </c>
      <c r="I104" s="292">
        <f t="shared" si="43"/>
        <v>132659753.62000002</v>
      </c>
      <c r="J104" s="292">
        <f t="shared" si="43"/>
        <v>-3589454665.5499997</v>
      </c>
      <c r="K104" s="293">
        <f>D104-E104-F104-G104-H104-I104-J104</f>
        <v>14835279137.569998</v>
      </c>
      <c r="L104" s="294">
        <f>L9+L28+L47+L66+L85</f>
        <v>189185988</v>
      </c>
      <c r="M104" s="293">
        <f>K104-L104</f>
        <v>14646093149.569998</v>
      </c>
      <c r="N104" s="294">
        <f>N9+N28+N47+N66+N85</f>
        <v>16516492.25</v>
      </c>
      <c r="O104" s="293">
        <f>M104+N104</f>
        <v>14662609641.819998</v>
      </c>
      <c r="Q104" s="306"/>
      <c r="S104" s="303">
        <v>1</v>
      </c>
      <c r="T104" s="304" t="s">
        <v>10</v>
      </c>
      <c r="U104" s="307">
        <f t="shared" ref="U104:AB108" si="44">U9+U28+U47+U66+U85</f>
        <v>1167429697.9300001</v>
      </c>
      <c r="V104" s="308">
        <f t="shared" si="44"/>
        <v>1119851344.1899998</v>
      </c>
      <c r="W104" s="308">
        <f t="shared" si="44"/>
        <v>5299081059.21</v>
      </c>
      <c r="X104" s="308">
        <f t="shared" si="44"/>
        <v>2189246770.6300006</v>
      </c>
      <c r="Y104" s="309">
        <f t="shared" si="44"/>
        <v>216286907.63999999</v>
      </c>
      <c r="Z104" s="310">
        <f t="shared" si="44"/>
        <v>-189185988</v>
      </c>
      <c r="AA104" s="311">
        <f>AA9+AA28+AA47+AA66+AA85</f>
        <v>-16656.379999999997</v>
      </c>
      <c r="AB104" s="294">
        <f>AB9+AB28+AB47+AB66+AB85</f>
        <v>16516492.25</v>
      </c>
      <c r="AC104" s="311">
        <f>AC9+AC28+AC47+AC66+AC85</f>
        <v>521.77</v>
      </c>
      <c r="AD104" s="291">
        <f>-J104+AE104</f>
        <v>4843399492.5799999</v>
      </c>
      <c r="AE104" s="291">
        <f>AE9+AE28+AE47+AE66+AE85</f>
        <v>1253944827.03</v>
      </c>
      <c r="AF104" s="313">
        <f>SUM(U104:AD104)</f>
        <v>14662609641.820002</v>
      </c>
      <c r="AG104" s="311">
        <f>AF104-O104</f>
        <v>0</v>
      </c>
      <c r="AH104" s="1" t="b">
        <f>INT(AG104)=0</f>
        <v>1</v>
      </c>
      <c r="AI104" s="306"/>
    </row>
    <row r="105" spans="2:36" s="305" customFormat="1" x14ac:dyDescent="0.25">
      <c r="B105" s="314">
        <v>2</v>
      </c>
      <c r="C105" s="315" t="s">
        <v>11</v>
      </c>
      <c r="D105" s="291">
        <f t="shared" si="43"/>
        <v>19064501226.810005</v>
      </c>
      <c r="E105" s="292">
        <f t="shared" si="43"/>
        <v>1396129505.3300002</v>
      </c>
      <c r="F105" s="292">
        <f t="shared" si="43"/>
        <v>784878776.18999994</v>
      </c>
      <c r="G105" s="292">
        <f t="shared" si="43"/>
        <v>411247567.16000009</v>
      </c>
      <c r="H105" s="292">
        <f t="shared" si="43"/>
        <v>5582809669.8899994</v>
      </c>
      <c r="I105" s="292">
        <f t="shared" si="43"/>
        <v>216022487.64000002</v>
      </c>
      <c r="J105" s="292">
        <f t="shared" si="43"/>
        <v>-3241193714.1100001</v>
      </c>
      <c r="K105" s="295">
        <f t="shared" ref="K105:K108" si="45">D105-E105-F105-G105-H105-I105-J105</f>
        <v>13914606934.710005</v>
      </c>
      <c r="L105" s="294">
        <f>L10+L29+L48+L67+L86</f>
        <v>266580256</v>
      </c>
      <c r="M105" s="295">
        <f>K105-L105</f>
        <v>13648026678.710005</v>
      </c>
      <c r="N105" s="294">
        <f>N10+N29+N48+N67+N86</f>
        <v>24273229.890000001</v>
      </c>
      <c r="O105" s="295">
        <f t="shared" ref="O105:O108" si="46">M105+N105</f>
        <v>13672299908.600004</v>
      </c>
      <c r="Q105" s="306"/>
      <c r="S105" s="314">
        <v>2</v>
      </c>
      <c r="T105" s="315" t="s">
        <v>11</v>
      </c>
      <c r="U105" s="316">
        <f t="shared" si="44"/>
        <v>1893620444.5699999</v>
      </c>
      <c r="V105" s="317">
        <f t="shared" si="44"/>
        <v>1869892249.3700001</v>
      </c>
      <c r="W105" s="317">
        <f t="shared" si="44"/>
        <v>8814809316.3799992</v>
      </c>
      <c r="X105" s="317">
        <f t="shared" si="44"/>
        <v>2749999250.0999999</v>
      </c>
      <c r="Y105" s="318">
        <f t="shared" si="44"/>
        <v>352820304.41000003</v>
      </c>
      <c r="Z105" s="319">
        <f t="shared" si="44"/>
        <v>-266580256</v>
      </c>
      <c r="AA105" s="320">
        <f t="shared" si="44"/>
        <v>90135.24</v>
      </c>
      <c r="AB105" s="294">
        <f t="shared" si="44"/>
        <v>24273229.890000001</v>
      </c>
      <c r="AC105" s="320">
        <f t="shared" ref="AC105" si="47">AC10+AC29+AC48+AC67+AC86</f>
        <v>-109.61</v>
      </c>
      <c r="AD105" s="291">
        <f t="shared" ref="AD105:AD106" si="48">-J105+AE105</f>
        <v>-1766624655.7499995</v>
      </c>
      <c r="AE105" s="291">
        <f>AE10+AE29+AE48+AE67+AE86</f>
        <v>-5007818369.8599997</v>
      </c>
      <c r="AF105" s="322">
        <f>SUM(U105:AD105)</f>
        <v>13672299908.599998</v>
      </c>
      <c r="AG105" s="323">
        <f>AF105-O105</f>
        <v>0</v>
      </c>
      <c r="AH105" s="1" t="b">
        <f t="shared" ref="AH105:AH109" si="49">INT(AG105)=0</f>
        <v>1</v>
      </c>
      <c r="AI105" s="306"/>
    </row>
    <row r="106" spans="2:36" s="305" customFormat="1" x14ac:dyDescent="0.25">
      <c r="B106" s="314">
        <v>3</v>
      </c>
      <c r="C106" s="315" t="s">
        <v>12</v>
      </c>
      <c r="D106" s="291">
        <f t="shared" si="43"/>
        <v>13976635090.370001</v>
      </c>
      <c r="E106" s="292">
        <f t="shared" si="43"/>
        <v>985637596.05999994</v>
      </c>
      <c r="F106" s="292">
        <f t="shared" si="43"/>
        <v>555973895.94999993</v>
      </c>
      <c r="G106" s="292">
        <f t="shared" si="43"/>
        <v>292056214.65000004</v>
      </c>
      <c r="H106" s="292">
        <f t="shared" si="43"/>
        <v>3381560449.0999999</v>
      </c>
      <c r="I106" s="292">
        <f t="shared" si="43"/>
        <v>124524527.32000001</v>
      </c>
      <c r="J106" s="292">
        <f t="shared" si="43"/>
        <v>-853244564.50999999</v>
      </c>
      <c r="K106" s="295">
        <f t="shared" si="45"/>
        <v>9490126971.8000011</v>
      </c>
      <c r="L106" s="294">
        <f>L11+L30+L49+L68+L87</f>
        <v>154788536</v>
      </c>
      <c r="M106" s="295">
        <f>K106-L106</f>
        <v>9335338435.8000011</v>
      </c>
      <c r="N106" s="294">
        <f>N11+N30+N49+N68+N87</f>
        <v>13030575.5</v>
      </c>
      <c r="O106" s="295">
        <f t="shared" si="46"/>
        <v>9348369011.3000011</v>
      </c>
      <c r="Q106" s="306"/>
      <c r="S106" s="314">
        <v>3</v>
      </c>
      <c r="T106" s="315" t="s">
        <v>12</v>
      </c>
      <c r="U106" s="316">
        <f t="shared" si="44"/>
        <v>1092110322.45</v>
      </c>
      <c r="V106" s="317">
        <f t="shared" si="44"/>
        <v>1072670179.5</v>
      </c>
      <c r="W106" s="317">
        <f t="shared" si="44"/>
        <v>5077455755.5400009</v>
      </c>
      <c r="X106" s="317">
        <f t="shared" si="44"/>
        <v>2292038481.0500002</v>
      </c>
      <c r="Y106" s="318">
        <f t="shared" si="44"/>
        <v>203250483.36000001</v>
      </c>
      <c r="Z106" s="319">
        <f t="shared" si="44"/>
        <v>-154788536</v>
      </c>
      <c r="AA106" s="320">
        <f t="shared" si="44"/>
        <v>247376.99</v>
      </c>
      <c r="AB106" s="294">
        <f t="shared" si="44"/>
        <v>13030575.5</v>
      </c>
      <c r="AC106" s="320">
        <f t="shared" ref="AC106" si="50">AC11+AC30+AC49+AC68+AC87</f>
        <v>0.94</v>
      </c>
      <c r="AD106" s="291">
        <f t="shared" si="48"/>
        <v>-247645628.02999997</v>
      </c>
      <c r="AE106" s="291">
        <f>AE11+AE30+AE49+AE68+AE87</f>
        <v>-1100890192.54</v>
      </c>
      <c r="AF106" s="322">
        <f>SUM(U106:AD106)</f>
        <v>9348369011.3000011</v>
      </c>
      <c r="AG106" s="323">
        <f>AF106-O106</f>
        <v>0</v>
      </c>
      <c r="AH106" s="1" t="b">
        <f t="shared" si="49"/>
        <v>1</v>
      </c>
      <c r="AI106" s="306"/>
    </row>
    <row r="107" spans="2:36" s="305" customFormat="1" x14ac:dyDescent="0.25">
      <c r="B107" s="314">
        <v>4</v>
      </c>
      <c r="C107" s="315" t="s">
        <v>13</v>
      </c>
      <c r="D107" s="291">
        <f t="shared" si="43"/>
        <v>6619403672.6899996</v>
      </c>
      <c r="E107" s="292">
        <f t="shared" si="43"/>
        <v>409065767.94999999</v>
      </c>
      <c r="F107" s="292">
        <f t="shared" si="43"/>
        <v>229023916.59999999</v>
      </c>
      <c r="G107" s="292">
        <f t="shared" si="43"/>
        <v>119897084.47999999</v>
      </c>
      <c r="H107" s="292">
        <f t="shared" si="43"/>
        <v>1538751149.1300001</v>
      </c>
      <c r="I107" s="292">
        <f t="shared" si="43"/>
        <v>60407359.210000001</v>
      </c>
      <c r="J107" s="292">
        <f t="shared" si="43"/>
        <v>-699882713.37000012</v>
      </c>
      <c r="K107" s="295">
        <f t="shared" si="45"/>
        <v>4962141108.6899996</v>
      </c>
      <c r="L107" s="294">
        <f>L12+L31+L50+L69+L88</f>
        <v>120391083</v>
      </c>
      <c r="M107" s="295">
        <f>K107-L107</f>
        <v>4841750025.6899996</v>
      </c>
      <c r="N107" s="294">
        <f>N12+N31+N50+N69+N88</f>
        <v>19208887.530000001</v>
      </c>
      <c r="O107" s="295">
        <f>M107+N107</f>
        <v>4860958913.2199993</v>
      </c>
      <c r="Q107" s="306"/>
      <c r="S107" s="314">
        <v>4</v>
      </c>
      <c r="T107" s="315" t="s">
        <v>13</v>
      </c>
      <c r="U107" s="316">
        <f t="shared" si="44"/>
        <v>528790659.44</v>
      </c>
      <c r="V107" s="317">
        <f t="shared" si="44"/>
        <v>522948481.87</v>
      </c>
      <c r="W107" s="317">
        <f t="shared" si="44"/>
        <v>2676043606.7200003</v>
      </c>
      <c r="X107" s="317">
        <f t="shared" si="44"/>
        <v>1082748026.71</v>
      </c>
      <c r="Y107" s="318">
        <f t="shared" si="44"/>
        <v>98745519.159999996</v>
      </c>
      <c r="Z107" s="319">
        <f t="shared" si="44"/>
        <v>-120391083</v>
      </c>
      <c r="AA107" s="320">
        <f>AA12+AA31+AA50+AA69+AA88</f>
        <v>-16918.300000000003</v>
      </c>
      <c r="AB107" s="294">
        <f t="shared" si="44"/>
        <v>19208887.530000001</v>
      </c>
      <c r="AC107" s="320">
        <f t="shared" ref="AC107" si="51">AC12+AC31+AC50+AC69+AC88</f>
        <v>-448.53000000000003</v>
      </c>
      <c r="AD107" s="291">
        <f t="shared" ref="AD107" si="52">-J107+AE107</f>
        <v>52882181.620000005</v>
      </c>
      <c r="AE107" s="291">
        <f>AE12+AE31+AE50+AE69+AE88</f>
        <v>-647000531.75000012</v>
      </c>
      <c r="AF107" s="322">
        <f t="shared" ref="AF107:AF108" si="53">SUM(U107:AD107)</f>
        <v>4860958913.2199993</v>
      </c>
      <c r="AG107" s="323">
        <f>AF117-O117</f>
        <v>0</v>
      </c>
      <c r="AH107" s="1" t="b">
        <f t="shared" si="49"/>
        <v>1</v>
      </c>
      <c r="AI107" s="306"/>
    </row>
    <row r="108" spans="2:36" s="305" customFormat="1" ht="12" thickBot="1" x14ac:dyDescent="0.3">
      <c r="B108" s="324">
        <v>5</v>
      </c>
      <c r="C108" s="325" t="s">
        <v>14</v>
      </c>
      <c r="D108" s="296">
        <f>D13+D32+D51+D70+D89</f>
        <v>11722516106.639999</v>
      </c>
      <c r="E108" s="297">
        <f t="shared" si="43"/>
        <v>698148323.5</v>
      </c>
      <c r="F108" s="297">
        <f t="shared" si="43"/>
        <v>393737772.47000003</v>
      </c>
      <c r="G108" s="297">
        <f t="shared" si="43"/>
        <v>206413295.53999999</v>
      </c>
      <c r="H108" s="297">
        <f t="shared" si="43"/>
        <v>2744218164.2200003</v>
      </c>
      <c r="I108" s="297">
        <f t="shared" si="43"/>
        <v>104708073.91000001</v>
      </c>
      <c r="J108" s="297">
        <f t="shared" si="43"/>
        <v>-82959023.660000086</v>
      </c>
      <c r="K108" s="295">
        <f t="shared" si="45"/>
        <v>7658249500.6599989</v>
      </c>
      <c r="L108" s="294">
        <f>L13+L32+L51+L70+L89</f>
        <v>128990446</v>
      </c>
      <c r="M108" s="298">
        <f>K108-L108</f>
        <v>7529259054.6599989</v>
      </c>
      <c r="N108" s="299">
        <f>N13+N32+N51+N70+N89</f>
        <v>8997077.0999999996</v>
      </c>
      <c r="O108" s="298">
        <f t="shared" si="46"/>
        <v>7538256131.7599993</v>
      </c>
      <c r="Q108" s="306"/>
      <c r="S108" s="324">
        <v>5</v>
      </c>
      <c r="T108" s="325" t="s">
        <v>14</v>
      </c>
      <c r="U108" s="296">
        <f t="shared" si="44"/>
        <v>917978792.29999995</v>
      </c>
      <c r="V108" s="297">
        <f t="shared" si="44"/>
        <v>899476756.96000004</v>
      </c>
      <c r="W108" s="297">
        <f t="shared" si="44"/>
        <v>4621907148.9099998</v>
      </c>
      <c r="X108" s="297">
        <f t="shared" si="44"/>
        <v>2074170432.3500001</v>
      </c>
      <c r="Y108" s="289">
        <f t="shared" si="44"/>
        <v>170858536.44999999</v>
      </c>
      <c r="Z108" s="319">
        <f t="shared" si="44"/>
        <v>-128990446</v>
      </c>
      <c r="AA108" s="320">
        <f t="shared" si="44"/>
        <v>-147049.65</v>
      </c>
      <c r="AB108" s="294">
        <f t="shared" si="44"/>
        <v>8997077.0999999996</v>
      </c>
      <c r="AC108" s="320">
        <f t="shared" ref="AC108" si="54">AC13+AC32+AC51+AC70+AC89</f>
        <v>-33.33</v>
      </c>
      <c r="AD108" s="291">
        <f>-J108+AE108</f>
        <v>-1025995083.3299999</v>
      </c>
      <c r="AE108" s="291">
        <f>AE13+AE32+AE51+AE70+AE89</f>
        <v>-1108954106.99</v>
      </c>
      <c r="AF108" s="322">
        <f t="shared" si="53"/>
        <v>7538256131.7600021</v>
      </c>
      <c r="AG108" s="326">
        <f>AF108-O108</f>
        <v>0</v>
      </c>
      <c r="AH108" s="1" t="b">
        <f t="shared" si="49"/>
        <v>1</v>
      </c>
      <c r="AI108" s="306"/>
    </row>
    <row r="109" spans="2:36" s="305" customFormat="1" ht="13.5" thickBot="1" x14ac:dyDescent="0.35">
      <c r="B109" s="327"/>
      <c r="C109" s="328" t="s">
        <v>2</v>
      </c>
      <c r="D109" s="290">
        <f t="shared" ref="D109:O109" si="55">SUM(D104:D108)</f>
        <v>68026235701.290009</v>
      </c>
      <c r="E109" s="290">
        <f t="shared" si="55"/>
        <v>4296876491.8400002</v>
      </c>
      <c r="F109" s="290">
        <f t="shared" si="55"/>
        <v>2419526864.7199993</v>
      </c>
      <c r="G109" s="290">
        <f t="shared" si="55"/>
        <v>1268943941.71</v>
      </c>
      <c r="H109" s="290">
        <f t="shared" si="55"/>
        <v>17008897229.09</v>
      </c>
      <c r="I109" s="290">
        <f t="shared" si="55"/>
        <v>638322201.70000005</v>
      </c>
      <c r="J109" s="290">
        <f t="shared" si="55"/>
        <v>-8466734681.1999998</v>
      </c>
      <c r="K109" s="300">
        <f t="shared" si="55"/>
        <v>50860403653.43</v>
      </c>
      <c r="L109" s="301">
        <f t="shared" si="55"/>
        <v>859936309</v>
      </c>
      <c r="M109" s="302">
        <f t="shared" si="55"/>
        <v>50000467344.43</v>
      </c>
      <c r="N109" s="301">
        <f t="shared" si="55"/>
        <v>82026262.269999996</v>
      </c>
      <c r="O109" s="302">
        <f t="shared" si="55"/>
        <v>50082493606.700005</v>
      </c>
      <c r="P109" s="329"/>
      <c r="Q109" s="306"/>
      <c r="S109" s="327"/>
      <c r="T109" s="328" t="s">
        <v>2</v>
      </c>
      <c r="U109" s="330">
        <f>SUM(U104:U108)</f>
        <v>5599929916.6899996</v>
      </c>
      <c r="V109" s="330">
        <f t="shared" ref="V109:AF109" si="56">SUM(V104:V108)</f>
        <v>5484839011.8900003</v>
      </c>
      <c r="W109" s="330">
        <f t="shared" si="56"/>
        <v>26489296886.760002</v>
      </c>
      <c r="X109" s="330">
        <f t="shared" si="56"/>
        <v>10388202960.84</v>
      </c>
      <c r="Y109" s="330">
        <f t="shared" si="56"/>
        <v>1041961751.02</v>
      </c>
      <c r="Z109" s="290">
        <f t="shared" si="56"/>
        <v>-859936309</v>
      </c>
      <c r="AA109" s="290">
        <f t="shared" si="56"/>
        <v>156887.9</v>
      </c>
      <c r="AB109" s="290">
        <f t="shared" si="56"/>
        <v>82026262.269999996</v>
      </c>
      <c r="AC109" s="290">
        <f t="shared" si="56"/>
        <v>-68.760000000000062</v>
      </c>
      <c r="AD109" s="290">
        <f t="shared" si="56"/>
        <v>1856016307.0900002</v>
      </c>
      <c r="AE109" s="290">
        <f>SUM(AE104:AE108)</f>
        <v>-6610718374.1099997</v>
      </c>
      <c r="AF109" s="331">
        <f t="shared" si="56"/>
        <v>50082493606.700005</v>
      </c>
      <c r="AG109" s="332">
        <f>SUM(AG104:AG108)</f>
        <v>0</v>
      </c>
      <c r="AH109" s="1" t="b">
        <f t="shared" si="49"/>
        <v>1</v>
      </c>
      <c r="AI109" s="306"/>
    </row>
    <row r="110" spans="2:36" ht="12" thickBot="1" x14ac:dyDescent="0.3">
      <c r="B110" s="2"/>
      <c r="C110" s="2"/>
      <c r="D110" s="165"/>
      <c r="E110" s="24"/>
      <c r="F110" s="24"/>
      <c r="G110" s="24"/>
      <c r="H110" s="24"/>
      <c r="I110" s="24"/>
      <c r="J110" s="165"/>
      <c r="K110" s="24"/>
      <c r="L110" s="24"/>
      <c r="M110" s="24"/>
      <c r="N110" s="24"/>
      <c r="O110" s="24"/>
      <c r="Q110" s="4"/>
      <c r="S110" s="2"/>
      <c r="T110" s="2"/>
      <c r="U110" s="24"/>
      <c r="V110" s="24"/>
      <c r="W110" s="24"/>
      <c r="X110" s="24"/>
      <c r="Y110" s="24"/>
      <c r="AF110" s="24"/>
      <c r="AI110" s="4"/>
    </row>
    <row r="111" spans="2:36" ht="12" thickBot="1" x14ac:dyDescent="0.3">
      <c r="B111" s="2"/>
      <c r="C111" s="2"/>
      <c r="D111" s="24"/>
      <c r="E111" s="24"/>
      <c r="F111" s="24"/>
      <c r="G111" s="24"/>
      <c r="H111" s="24"/>
      <c r="I111" s="24"/>
      <c r="J111" s="24"/>
      <c r="K111" s="24"/>
      <c r="L111" s="24"/>
      <c r="M111" s="24"/>
      <c r="N111" s="24"/>
      <c r="O111" s="24"/>
      <c r="Q111" s="4"/>
      <c r="Y111" s="86">
        <f>SUM(U109:Y109)</f>
        <v>49004230527.200005</v>
      </c>
      <c r="AD111" s="1" t="s">
        <v>1</v>
      </c>
      <c r="AF111" s="1" t="s">
        <v>1</v>
      </c>
      <c r="AI111" s="4"/>
    </row>
    <row r="112" spans="2:36" ht="12" thickBot="1" x14ac:dyDescent="0.3">
      <c r="B112" s="2"/>
      <c r="C112" s="2"/>
      <c r="D112" s="24" t="s">
        <v>1</v>
      </c>
      <c r="E112" s="33"/>
      <c r="F112" s="33"/>
      <c r="G112" s="33"/>
      <c r="H112" s="33"/>
      <c r="I112" s="24"/>
      <c r="K112" s="24"/>
      <c r="L112" s="24"/>
      <c r="M112" s="24"/>
      <c r="N112" s="24"/>
      <c r="O112" s="24"/>
      <c r="Q112" s="4"/>
      <c r="U112" s="33"/>
      <c r="V112" s="33"/>
      <c r="W112" s="33"/>
      <c r="X112" s="33"/>
      <c r="AA112" s="305"/>
      <c r="AB112" s="305"/>
      <c r="AC112" s="305"/>
      <c r="AI112" s="4"/>
    </row>
    <row r="113" spans="1:35" x14ac:dyDescent="0.25">
      <c r="B113" s="2"/>
      <c r="C113" s="2"/>
      <c r="D113" s="24" t="s">
        <v>1</v>
      </c>
      <c r="E113" s="24" t="s">
        <v>1</v>
      </c>
      <c r="F113" s="24" t="s">
        <v>25</v>
      </c>
      <c r="G113" s="24"/>
      <c r="H113" s="24"/>
      <c r="I113" s="24"/>
      <c r="K113" s="24"/>
      <c r="L113" s="24"/>
      <c r="M113" s="24"/>
      <c r="N113" s="24"/>
      <c r="O113" s="24"/>
      <c r="Q113" s="4"/>
      <c r="U113" s="24" t="s">
        <v>1</v>
      </c>
      <c r="V113" s="24" t="s">
        <v>25</v>
      </c>
      <c r="W113" s="24"/>
      <c r="X113" s="24"/>
      <c r="AI113" s="4"/>
    </row>
    <row r="114" spans="1:35" x14ac:dyDescent="0.25">
      <c r="A114" s="52"/>
      <c r="B114" s="53"/>
      <c r="C114" s="53"/>
      <c r="D114" s="54"/>
      <c r="E114" s="54"/>
      <c r="F114" s="54"/>
      <c r="G114" s="54"/>
      <c r="H114" s="54"/>
      <c r="I114" s="54"/>
      <c r="J114" s="52"/>
      <c r="K114" s="54"/>
      <c r="L114" s="54"/>
      <c r="M114" s="54"/>
      <c r="N114" s="54"/>
      <c r="O114" s="54"/>
      <c r="P114" s="52"/>
      <c r="Q114" s="52"/>
      <c r="R114" s="52"/>
      <c r="S114" s="52"/>
      <c r="T114" s="52"/>
      <c r="U114" s="52"/>
      <c r="V114" s="52"/>
      <c r="W114" s="52"/>
      <c r="X114" s="52"/>
      <c r="Y114" s="52"/>
      <c r="Z114" s="52"/>
      <c r="AA114" s="52"/>
      <c r="AB114" s="52"/>
      <c r="AC114" s="52"/>
      <c r="AD114" s="52"/>
      <c r="AE114" s="52"/>
      <c r="AF114" s="52"/>
      <c r="AG114" s="52"/>
      <c r="AH114" s="52"/>
      <c r="AI114" s="52"/>
    </row>
    <row r="115" spans="1:35" ht="12" thickBot="1" x14ac:dyDescent="0.3">
      <c r="Q115" s="4"/>
    </row>
    <row r="116" spans="1:35" x14ac:dyDescent="0.25">
      <c r="B116" s="5"/>
      <c r="C116" s="3" t="s">
        <v>1</v>
      </c>
      <c r="D116" s="6" t="s">
        <v>1</v>
      </c>
      <c r="E116" s="3"/>
      <c r="F116" s="3"/>
      <c r="G116" s="3"/>
      <c r="H116" s="3" t="s">
        <v>1</v>
      </c>
      <c r="I116" s="3"/>
      <c r="J116" s="3"/>
      <c r="K116" s="3"/>
      <c r="L116" s="3"/>
      <c r="M116" s="3"/>
      <c r="N116" s="3"/>
      <c r="O116" s="7"/>
      <c r="P116" s="2"/>
      <c r="Q116" s="35"/>
    </row>
    <row r="117" spans="1:35" ht="14" x14ac:dyDescent="0.3">
      <c r="B117" s="8"/>
      <c r="C117" s="2"/>
      <c r="D117" s="9"/>
      <c r="F117" s="26" t="s">
        <v>8</v>
      </c>
      <c r="G117" s="26"/>
      <c r="I117" s="26" t="s">
        <v>16</v>
      </c>
      <c r="J117" s="25"/>
      <c r="L117" s="2" t="s">
        <v>15</v>
      </c>
      <c r="M117" s="50">
        <f>N3</f>
        <v>2026072</v>
      </c>
      <c r="O117" s="10"/>
      <c r="P117" s="2"/>
      <c r="Q117" s="4"/>
    </row>
    <row r="118" spans="1:35" ht="15.5" x14ac:dyDescent="0.35">
      <c r="B118" s="8"/>
      <c r="C118" s="2"/>
      <c r="D118" s="57"/>
      <c r="F118" s="36" t="s">
        <v>29</v>
      </c>
      <c r="G118" s="36"/>
      <c r="O118" s="10"/>
      <c r="P118" s="2"/>
      <c r="Q118" s="4"/>
    </row>
    <row r="119" spans="1:35" x14ac:dyDescent="0.25">
      <c r="B119" s="8"/>
      <c r="F119" s="2" t="s">
        <v>30</v>
      </c>
      <c r="G119" s="2"/>
      <c r="M119" s="2" t="s">
        <v>1</v>
      </c>
      <c r="O119" s="10"/>
      <c r="P119" s="2"/>
      <c r="Q119" s="4"/>
    </row>
    <row r="120" spans="1:35" x14ac:dyDescent="0.25">
      <c r="B120" s="8"/>
      <c r="I120" s="2"/>
      <c r="J120" s="2"/>
      <c r="O120" s="10"/>
      <c r="P120" s="2"/>
      <c r="Q120" s="4"/>
    </row>
    <row r="121" spans="1:35" ht="15.5" x14ac:dyDescent="0.35">
      <c r="B121" s="8"/>
      <c r="F121" s="41" t="s">
        <v>37</v>
      </c>
      <c r="G121" s="41"/>
      <c r="H121" s="2"/>
      <c r="J121" s="2"/>
      <c r="O121" s="10"/>
      <c r="P121" s="2"/>
      <c r="Q121" s="4"/>
    </row>
    <row r="122" spans="1:35" x14ac:dyDescent="0.25">
      <c r="B122" s="8"/>
      <c r="F122" s="2" t="s">
        <v>27</v>
      </c>
      <c r="G122" s="9">
        <f>G7</f>
        <v>46219</v>
      </c>
      <c r="J122" s="2" t="s">
        <v>28</v>
      </c>
      <c r="K122" s="9">
        <f>K7</f>
        <v>46234</v>
      </c>
      <c r="O122" s="10"/>
      <c r="P122" s="2"/>
      <c r="Q122" s="4"/>
    </row>
    <row r="123" spans="1:35" ht="12" thickBot="1" x14ac:dyDescent="0.3">
      <c r="B123" s="8"/>
      <c r="C123" s="2" t="s">
        <v>1</v>
      </c>
      <c r="D123" s="2" t="s">
        <v>1</v>
      </c>
      <c r="J123" s="1" t="s">
        <v>1</v>
      </c>
      <c r="O123" s="44"/>
      <c r="P123" s="2"/>
      <c r="Q123" s="4"/>
    </row>
    <row r="124" spans="1:35" ht="46.5" thickBot="1" x14ac:dyDescent="0.3">
      <c r="B124" s="11" t="s">
        <v>3</v>
      </c>
      <c r="C124" s="12" t="s">
        <v>9</v>
      </c>
      <c r="D124" s="12" t="s">
        <v>38</v>
      </c>
      <c r="E124" s="73" t="s">
        <v>48</v>
      </c>
      <c r="G124" s="104" t="s">
        <v>47</v>
      </c>
      <c r="H124" s="73" t="s">
        <v>56</v>
      </c>
      <c r="I124" s="73" t="s">
        <v>130</v>
      </c>
      <c r="J124" s="73" t="s">
        <v>172</v>
      </c>
      <c r="K124" s="73" t="s">
        <v>143</v>
      </c>
      <c r="L124" s="73" t="s">
        <v>144</v>
      </c>
      <c r="O124" s="44"/>
      <c r="P124" s="13"/>
      <c r="Q124" s="4"/>
    </row>
    <row r="125" spans="1:35" x14ac:dyDescent="0.25">
      <c r="B125" s="108">
        <v>1</v>
      </c>
      <c r="C125" s="109" t="s">
        <v>10</v>
      </c>
      <c r="D125" s="110">
        <f>'ANTICIPOS USUARIOS'!I3</f>
        <v>83572548.25</v>
      </c>
      <c r="E125" s="111">
        <v>0</v>
      </c>
      <c r="G125" s="336">
        <f>D47+N47</f>
        <v>49580</v>
      </c>
      <c r="H125" s="310">
        <f>D28+N28</f>
        <v>97091142.519999996</v>
      </c>
      <c r="I125" s="309">
        <f>D85+N85</f>
        <v>973693.46</v>
      </c>
      <c r="J125" s="309">
        <f>D66+N66</f>
        <v>-15533961.699999999</v>
      </c>
      <c r="K125" s="309">
        <f>'ANTICIPOS USUARIOS'!I12</f>
        <v>0</v>
      </c>
      <c r="L125" s="309">
        <f>-'ANTICIPOS USUARIOS'!I21</f>
        <v>16889.3</v>
      </c>
      <c r="O125" s="44"/>
      <c r="Q125" s="4"/>
    </row>
    <row r="126" spans="1:35" x14ac:dyDescent="0.25">
      <c r="B126" s="16">
        <v>2</v>
      </c>
      <c r="C126" s="17" t="s">
        <v>11</v>
      </c>
      <c r="D126" s="15">
        <f>'ANTICIPOS USUARIOS'!I4</f>
        <v>44281124</v>
      </c>
      <c r="E126" s="74">
        <v>0</v>
      </c>
      <c r="G126" s="339">
        <f>D48+N48</f>
        <v>56078860</v>
      </c>
      <c r="H126" s="340">
        <f>D29+N29</f>
        <v>55676152.700000003</v>
      </c>
      <c r="I126" s="288">
        <f>D86+N86</f>
        <v>0</v>
      </c>
      <c r="J126" s="288">
        <f t="shared" ref="J126:J129" si="57">D67+N67</f>
        <v>-70779009</v>
      </c>
      <c r="K126" s="288">
        <f>'ANTICIPOS USUARIOS'!I13</f>
        <v>5227240</v>
      </c>
      <c r="L126" s="288">
        <f>-'ANTICIPOS USUARIOS'!I22</f>
        <v>0</v>
      </c>
      <c r="O126" s="44"/>
      <c r="Q126" s="4"/>
    </row>
    <row r="127" spans="1:35" x14ac:dyDescent="0.25">
      <c r="B127" s="16">
        <v>3</v>
      </c>
      <c r="C127" s="17" t="s">
        <v>12</v>
      </c>
      <c r="D127" s="15">
        <f>'ANTICIPOS USUARIOS'!I5</f>
        <v>44039530</v>
      </c>
      <c r="E127" s="74">
        <v>0</v>
      </c>
      <c r="G127" s="339">
        <f>D49+N49</f>
        <v>1307680</v>
      </c>
      <c r="H127" s="340">
        <f>D30+N30</f>
        <v>10055662.040000001</v>
      </c>
      <c r="I127" s="288">
        <f>D87+N87</f>
        <v>104231.83</v>
      </c>
      <c r="J127" s="288">
        <f t="shared" si="57"/>
        <v>-32004320</v>
      </c>
      <c r="K127" s="288">
        <f>'ANTICIPOS USUARIOS'!I14</f>
        <v>0</v>
      </c>
      <c r="L127" s="288">
        <f>-'ANTICIPOS USUARIOS'!I23</f>
        <v>79850</v>
      </c>
      <c r="O127" s="44"/>
      <c r="Q127" s="4"/>
    </row>
    <row r="128" spans="1:35" x14ac:dyDescent="0.25">
      <c r="B128" s="16">
        <v>4</v>
      </c>
      <c r="C128" s="17" t="s">
        <v>13</v>
      </c>
      <c r="D128" s="15">
        <f>'ANTICIPOS USUARIOS'!I6</f>
        <v>48826052</v>
      </c>
      <c r="E128" s="74">
        <v>0</v>
      </c>
      <c r="G128" s="339">
        <f>D50+N50</f>
        <v>3610007</v>
      </c>
      <c r="H128" s="340">
        <f>D31+N31</f>
        <v>60774931.109999992</v>
      </c>
      <c r="I128" s="288">
        <f>D88+N88</f>
        <v>0</v>
      </c>
      <c r="J128" s="288">
        <f t="shared" si="57"/>
        <v>-29768645.890000001</v>
      </c>
      <c r="K128" s="288">
        <f>'ANTICIPOS USUARIOS'!I15</f>
        <v>11634964</v>
      </c>
      <c r="L128" s="288">
        <f>-'ANTICIPOS USUARIOS'!I24</f>
        <v>386384.11</v>
      </c>
      <c r="O128" s="44"/>
      <c r="Q128" s="4"/>
    </row>
    <row r="129" spans="1:18" x14ac:dyDescent="0.25">
      <c r="B129" s="133">
        <v>5</v>
      </c>
      <c r="C129" s="138" t="s">
        <v>14</v>
      </c>
      <c r="D129" s="15">
        <f>'ANTICIPOS USUARIOS'!I7</f>
        <v>15997915</v>
      </c>
      <c r="E129" s="139">
        <v>0</v>
      </c>
      <c r="G129" s="339">
        <f>D51+N51</f>
        <v>0</v>
      </c>
      <c r="H129" s="340">
        <f>D32+N32</f>
        <v>23423861.739999998</v>
      </c>
      <c r="I129" s="288">
        <f>D89+N89</f>
        <v>0</v>
      </c>
      <c r="J129" s="288">
        <f t="shared" si="57"/>
        <v>-2065600</v>
      </c>
      <c r="K129" s="288">
        <f>'ANTICIPOS USUARIOS'!I16</f>
        <v>0</v>
      </c>
      <c r="L129" s="288">
        <f>-'ANTICIPOS USUARIOS'!I25</f>
        <v>49280</v>
      </c>
      <c r="O129" s="44"/>
      <c r="Q129" s="4"/>
    </row>
    <row r="130" spans="1:18" ht="12" thickBot="1" x14ac:dyDescent="0.3">
      <c r="B130" s="19" t="s">
        <v>89</v>
      </c>
      <c r="C130" s="20" t="s">
        <v>113</v>
      </c>
      <c r="D130" s="78"/>
      <c r="E130" s="79">
        <f>'Recaudo ENEL'!F26</f>
        <v>0</v>
      </c>
      <c r="G130" s="346"/>
      <c r="H130" s="347"/>
      <c r="I130" s="289"/>
      <c r="J130" s="289"/>
      <c r="K130" s="289"/>
      <c r="L130" s="289"/>
      <c r="O130" s="44"/>
      <c r="Q130" s="4"/>
    </row>
    <row r="131" spans="1:18" ht="12" thickBot="1" x14ac:dyDescent="0.3">
      <c r="B131" s="95"/>
      <c r="C131" s="106" t="s">
        <v>2</v>
      </c>
      <c r="D131" s="107">
        <f>SUM(D125:D130)</f>
        <v>236717169.25</v>
      </c>
      <c r="E131" s="107">
        <f>SUM(E125:E130)</f>
        <v>0</v>
      </c>
      <c r="F131" s="45"/>
      <c r="G131" s="350">
        <f t="shared" ref="G131" si="58">SUM(G125:G129)</f>
        <v>61046127</v>
      </c>
      <c r="H131" s="350">
        <f>SUM(H125:H130)</f>
        <v>247021750.10999998</v>
      </c>
      <c r="I131" s="350">
        <f>SUM(I125:I130)</f>
        <v>1077925.29</v>
      </c>
      <c r="J131" s="350">
        <f>SUM(J125:J130)</f>
        <v>-150151536.59</v>
      </c>
      <c r="K131" s="350">
        <f>SUM(K125:K130)</f>
        <v>16862204</v>
      </c>
      <c r="L131" s="350">
        <f>SUM(L125:L130)</f>
        <v>532403.40999999992</v>
      </c>
      <c r="M131" s="45"/>
      <c r="N131" s="45"/>
      <c r="O131" s="46"/>
      <c r="P131" s="2"/>
      <c r="Q131" s="4"/>
    </row>
    <row r="132" spans="1:18" x14ac:dyDescent="0.25">
      <c r="B132" s="2"/>
      <c r="C132" s="2"/>
      <c r="D132" s="24"/>
      <c r="Q132" s="4"/>
    </row>
    <row r="133" spans="1:18" x14ac:dyDescent="0.25">
      <c r="B133" s="2"/>
      <c r="C133" s="2"/>
      <c r="D133" s="24"/>
      <c r="L133" s="1" t="s">
        <v>1</v>
      </c>
      <c r="Q133" s="4"/>
    </row>
    <row r="134" spans="1:18" ht="12" thickBot="1" x14ac:dyDescent="0.3">
      <c r="B134" s="2"/>
      <c r="C134" s="2"/>
      <c r="D134" s="24"/>
      <c r="E134" s="33"/>
      <c r="F134" s="33"/>
      <c r="G134" s="33"/>
      <c r="H134" s="33"/>
      <c r="I134" s="24"/>
      <c r="K134" s="24"/>
      <c r="L134" s="24" t="s">
        <v>1</v>
      </c>
      <c r="M134" s="24" t="s">
        <v>1</v>
      </c>
      <c r="N134" s="24"/>
      <c r="O134" s="24"/>
      <c r="Q134" s="4"/>
    </row>
    <row r="135" spans="1:18" x14ac:dyDescent="0.25">
      <c r="B135" s="2"/>
      <c r="C135" s="2"/>
      <c r="D135" s="24"/>
      <c r="E135" s="24" t="s">
        <v>1</v>
      </c>
      <c r="F135" s="42" t="s">
        <v>36</v>
      </c>
      <c r="G135" s="42"/>
      <c r="H135" s="42"/>
      <c r="I135" s="24"/>
      <c r="K135" s="24"/>
      <c r="L135" s="24"/>
      <c r="M135" s="24"/>
      <c r="N135" s="24"/>
      <c r="O135" s="24"/>
      <c r="Q135" s="4"/>
    </row>
    <row r="136" spans="1:18" x14ac:dyDescent="0.25">
      <c r="A136" s="52"/>
      <c r="B136" s="53"/>
      <c r="C136" s="53"/>
      <c r="D136" s="54"/>
      <c r="E136" s="54"/>
      <c r="F136" s="54"/>
      <c r="G136" s="54"/>
      <c r="H136" s="54"/>
      <c r="I136" s="54"/>
      <c r="J136" s="52"/>
      <c r="K136" s="54"/>
      <c r="L136" s="54"/>
      <c r="M136" s="54"/>
      <c r="N136" s="54"/>
      <c r="O136" s="54"/>
      <c r="P136" s="52"/>
      <c r="Q136" s="4"/>
    </row>
    <row r="137" spans="1:18" x14ac:dyDescent="0.25">
      <c r="B137" s="2"/>
      <c r="C137" s="2"/>
      <c r="D137" s="24"/>
      <c r="E137" s="24"/>
      <c r="F137" s="24"/>
      <c r="G137" s="24"/>
      <c r="H137" s="24"/>
      <c r="I137" s="24"/>
      <c r="K137" s="24"/>
      <c r="L137" s="24"/>
      <c r="M137" s="24"/>
      <c r="N137" s="24"/>
      <c r="O137" s="24"/>
      <c r="Q137" s="4"/>
    </row>
    <row r="138" spans="1:18" x14ac:dyDescent="0.25">
      <c r="B138" s="2"/>
      <c r="C138" s="59" t="s">
        <v>49</v>
      </c>
      <c r="D138" s="64"/>
      <c r="E138" s="24"/>
      <c r="F138" s="24"/>
      <c r="G138" s="24"/>
      <c r="H138" s="24"/>
      <c r="I138" s="24"/>
      <c r="K138" s="24"/>
      <c r="L138" s="24"/>
      <c r="M138" s="24"/>
      <c r="N138" s="24"/>
      <c r="O138" s="24"/>
      <c r="Q138" s="35"/>
    </row>
    <row r="139" spans="1:18" x14ac:dyDescent="0.25">
      <c r="B139" s="2"/>
      <c r="C139" s="2"/>
      <c r="D139" s="24"/>
      <c r="E139" s="24"/>
      <c r="F139" s="24"/>
      <c r="G139" s="24"/>
      <c r="H139" s="24"/>
      <c r="I139" s="24"/>
      <c r="K139" s="24"/>
      <c r="L139" s="24"/>
      <c r="M139" s="24"/>
      <c r="N139" s="24"/>
      <c r="O139" s="24"/>
      <c r="Q139" s="35"/>
    </row>
    <row r="140" spans="1:18" ht="18.75" customHeight="1" thickBot="1" x14ac:dyDescent="0.3">
      <c r="B140" s="2"/>
      <c r="C140" s="2"/>
      <c r="D140" s="24"/>
      <c r="E140" s="24"/>
      <c r="F140" s="24"/>
      <c r="G140" s="24"/>
      <c r="H140" s="24"/>
      <c r="J140" s="24"/>
      <c r="K140" s="24"/>
      <c r="M140" s="24"/>
      <c r="N140" s="24"/>
      <c r="O140" s="24"/>
      <c r="P140" s="24"/>
      <c r="Q140" s="35"/>
    </row>
    <row r="141" spans="1:18" ht="46.5" thickBot="1" x14ac:dyDescent="0.3">
      <c r="B141" s="104" t="s">
        <v>3</v>
      </c>
      <c r="C141" s="105" t="s">
        <v>9</v>
      </c>
      <c r="D141" s="105" t="s">
        <v>44</v>
      </c>
      <c r="E141" s="105" t="s">
        <v>45</v>
      </c>
      <c r="F141" s="105" t="s">
        <v>31</v>
      </c>
      <c r="G141" s="105" t="s">
        <v>91</v>
      </c>
      <c r="H141" s="105" t="s">
        <v>128</v>
      </c>
      <c r="I141" s="105" t="s">
        <v>127</v>
      </c>
      <c r="J141" s="105" t="s">
        <v>47</v>
      </c>
      <c r="K141" s="105" t="s">
        <v>51</v>
      </c>
      <c r="L141" s="1" t="s">
        <v>1</v>
      </c>
      <c r="M141" s="56"/>
      <c r="N141" s="56"/>
      <c r="O141" s="56"/>
      <c r="P141" s="24"/>
      <c r="Q141" s="35"/>
      <c r="R141" s="24"/>
    </row>
    <row r="142" spans="1:18" x14ac:dyDescent="0.25">
      <c r="B142" s="108">
        <v>1</v>
      </c>
      <c r="C142" s="109" t="s">
        <v>10</v>
      </c>
      <c r="D142" s="110">
        <f>D104+N104+D125+E125</f>
        <v>16743268645.279999</v>
      </c>
      <c r="E142" s="110">
        <f>'Recaudo ENEL'!F21</f>
        <v>16660688191</v>
      </c>
      <c r="F142" s="110">
        <f>D28+N28</f>
        <v>97091142.519999996</v>
      </c>
      <c r="G142" s="110">
        <f>D66+N66</f>
        <v>-15533961.699999999</v>
      </c>
      <c r="H142" s="110">
        <f>D85+N85</f>
        <v>973693.46</v>
      </c>
      <c r="I142" s="110">
        <f>('REPORTE RECAUDO x BANCO'!E62)</f>
        <v>0</v>
      </c>
      <c r="J142" s="110">
        <f t="shared" ref="J142:K146" si="59">G125</f>
        <v>49580</v>
      </c>
      <c r="K142" s="111">
        <f t="shared" si="59"/>
        <v>97091142.519999996</v>
      </c>
      <c r="L142" s="525">
        <f>D142-E142-F142-G142-J142-H142-I142</f>
        <v>-1.2172386050224304E-6</v>
      </c>
      <c r="M142" s="1" t="b">
        <f>INT(L142)=0</f>
        <v>0</v>
      </c>
      <c r="O142" s="55"/>
      <c r="P142" s="24"/>
      <c r="Q142" s="35"/>
      <c r="R142" s="24"/>
    </row>
    <row r="143" spans="1:18" x14ac:dyDescent="0.25">
      <c r="B143" s="16">
        <v>2</v>
      </c>
      <c r="C143" s="17" t="s">
        <v>11</v>
      </c>
      <c r="D143" s="18">
        <f>D105+N105+D126+E126</f>
        <v>19133055580.700005</v>
      </c>
      <c r="E143" s="18">
        <f>'Recaudo ENEL'!F22</f>
        <v>19090710142</v>
      </c>
      <c r="F143" s="18">
        <f>D29+N29</f>
        <v>55676152.700000003</v>
      </c>
      <c r="G143" s="18">
        <f>D67+N67</f>
        <v>-70779009</v>
      </c>
      <c r="H143" s="18">
        <f>D86+N86</f>
        <v>0</v>
      </c>
      <c r="I143" s="18">
        <f>('REPORTE RECAUDO x BANCO'!E65)</f>
        <v>1369435</v>
      </c>
      <c r="J143" s="18">
        <f t="shared" si="59"/>
        <v>56078860</v>
      </c>
      <c r="K143" s="83">
        <f t="shared" si="59"/>
        <v>55676152.700000003</v>
      </c>
      <c r="L143" s="525">
        <f>D143-E143-F143-G143-J143-H143-I143</f>
        <v>4.5746564865112305E-6</v>
      </c>
      <c r="M143" s="1" t="b">
        <f t="shared" ref="M143:M147" si="60">INT(L143)=0</f>
        <v>1</v>
      </c>
      <c r="O143" s="130"/>
      <c r="P143" s="24"/>
      <c r="Q143" s="35"/>
      <c r="R143" s="24"/>
    </row>
    <row r="144" spans="1:18" x14ac:dyDescent="0.25">
      <c r="B144" s="16">
        <v>3</v>
      </c>
      <c r="C144" s="17" t="s">
        <v>12</v>
      </c>
      <c r="D144" s="18">
        <f>D106+N106+D127+E127</f>
        <v>14033705195.870001</v>
      </c>
      <c r="E144" s="18">
        <f>'Recaudo ENEL'!F23</f>
        <v>14027201822</v>
      </c>
      <c r="F144" s="18">
        <f>D30+N30</f>
        <v>10055662.040000001</v>
      </c>
      <c r="G144" s="18">
        <f>D68+N68</f>
        <v>-32004320</v>
      </c>
      <c r="H144" s="18">
        <f>D87+N87</f>
        <v>104231.83</v>
      </c>
      <c r="I144" s="18">
        <f>('REPORTE RECAUDO x BANCO'!E67)</f>
        <v>27040120</v>
      </c>
      <c r="J144" s="18">
        <f t="shared" si="59"/>
        <v>1307680</v>
      </c>
      <c r="K144" s="83">
        <f t="shared" si="59"/>
        <v>10055662.040000001</v>
      </c>
      <c r="L144" s="525">
        <f>D144-E144-F144-G144-J144-H144-I144</f>
        <v>8.4191560745239258E-7</v>
      </c>
      <c r="M144" s="1" t="b">
        <f t="shared" si="60"/>
        <v>1</v>
      </c>
      <c r="O144" s="55"/>
      <c r="P144" s="24"/>
      <c r="Q144" s="35"/>
      <c r="R144" s="24"/>
    </row>
    <row r="145" spans="1:20" x14ac:dyDescent="0.25">
      <c r="B145" s="16">
        <v>4</v>
      </c>
      <c r="C145" s="17" t="s">
        <v>13</v>
      </c>
      <c r="D145" s="18">
        <f>D107+N107+D128+E128</f>
        <v>6687438612.2199993</v>
      </c>
      <c r="E145" s="18">
        <f>'Recaudo ENEL'!F24</f>
        <v>6640391410</v>
      </c>
      <c r="F145" s="18">
        <f>D31+N31</f>
        <v>60774931.109999992</v>
      </c>
      <c r="G145" s="18">
        <f>D69+N69</f>
        <v>-29768645.890000001</v>
      </c>
      <c r="H145" s="18">
        <f>D88+N88</f>
        <v>0</v>
      </c>
      <c r="I145" s="18">
        <f>('REPORTE RECAUDO x BANCO'!E70)</f>
        <v>12430910</v>
      </c>
      <c r="J145" s="18">
        <f t="shared" si="59"/>
        <v>3610007</v>
      </c>
      <c r="K145" s="83">
        <f t="shared" si="59"/>
        <v>60774931.109999992</v>
      </c>
      <c r="L145" s="525">
        <f>D145-E145-F145-G145-J145-H145-I145</f>
        <v>-6.7800283432006836E-7</v>
      </c>
      <c r="M145" s="1" t="b">
        <f t="shared" si="60"/>
        <v>0</v>
      </c>
      <c r="O145" s="96"/>
      <c r="P145" s="24"/>
      <c r="Q145" s="35"/>
      <c r="R145" s="24"/>
    </row>
    <row r="146" spans="1:20" ht="12" thickBot="1" x14ac:dyDescent="0.3">
      <c r="B146" s="133">
        <v>5</v>
      </c>
      <c r="C146" s="138" t="s">
        <v>14</v>
      </c>
      <c r="D146" s="134">
        <f>D108+N108+D129+E129</f>
        <v>11747511098.74</v>
      </c>
      <c r="E146" s="18">
        <f>'Recaudo ENEL'!F25</f>
        <v>11725626627</v>
      </c>
      <c r="F146" s="134">
        <f>D32+N32</f>
        <v>23423861.739999998</v>
      </c>
      <c r="G146" s="134">
        <f>D70+N70</f>
        <v>-2065600</v>
      </c>
      <c r="H146" s="134">
        <f>D89+N89</f>
        <v>0</v>
      </c>
      <c r="I146" s="134">
        <f>('REPORTE RECAUDO x BANCO'!E72)</f>
        <v>526210</v>
      </c>
      <c r="J146" s="134">
        <f t="shared" si="59"/>
        <v>0</v>
      </c>
      <c r="K146" s="136">
        <f t="shared" si="59"/>
        <v>23423861.739999998</v>
      </c>
      <c r="L146" s="525">
        <f>D146-E146-F146-G146-J146-H146-I146</f>
        <v>-2.2724270820617676E-7</v>
      </c>
      <c r="M146" s="1" t="b">
        <f t="shared" si="60"/>
        <v>0</v>
      </c>
      <c r="O146" s="55"/>
      <c r="P146" s="24"/>
      <c r="Q146" s="35"/>
      <c r="R146" s="24"/>
    </row>
    <row r="147" spans="1:20" ht="12" thickBot="1" x14ac:dyDescent="0.3">
      <c r="B147" s="21"/>
      <c r="C147" s="22" t="s">
        <v>2</v>
      </c>
      <c r="D147" s="47">
        <f>SUM(D142:D146)</f>
        <v>68344979132.810005</v>
      </c>
      <c r="E147" s="47">
        <f>SUM(E142:E146)</f>
        <v>68144618192</v>
      </c>
      <c r="F147" s="47">
        <f t="shared" ref="F147:K147" si="61">SUM(F142:F146)</f>
        <v>247021750.10999998</v>
      </c>
      <c r="G147" s="47">
        <f t="shared" si="61"/>
        <v>-150151536.59</v>
      </c>
      <c r="H147" s="47">
        <f t="shared" si="61"/>
        <v>1077925.29</v>
      </c>
      <c r="I147" s="47">
        <f t="shared" si="61"/>
        <v>41366675</v>
      </c>
      <c r="J147" s="47">
        <f t="shared" si="61"/>
        <v>61046127</v>
      </c>
      <c r="K147" s="47">
        <f t="shared" si="61"/>
        <v>247021750.10999998</v>
      </c>
      <c r="L147" s="525">
        <f>SUM(L142:L146)</f>
        <v>3.2940879464149475E-6</v>
      </c>
      <c r="M147" s="1" t="b">
        <f t="shared" si="60"/>
        <v>1</v>
      </c>
      <c r="P147" s="24"/>
      <c r="Q147" s="35"/>
      <c r="R147" s="24"/>
    </row>
    <row r="148" spans="1:20" x14ac:dyDescent="0.25">
      <c r="B148" s="2"/>
      <c r="H148" s="55"/>
      <c r="L148" s="24"/>
      <c r="M148" s="24"/>
      <c r="N148" s="24"/>
      <c r="O148" s="24"/>
      <c r="P148" s="24"/>
      <c r="Q148" s="35"/>
    </row>
    <row r="149" spans="1:20" ht="21.75" customHeight="1" x14ac:dyDescent="0.25">
      <c r="B149" s="2"/>
      <c r="C149" s="2"/>
      <c r="D149" s="24"/>
      <c r="F149" s="24"/>
      <c r="G149" s="24"/>
      <c r="H149" s="24"/>
      <c r="I149" s="24"/>
      <c r="K149" s="24"/>
      <c r="L149" s="24"/>
      <c r="M149" s="24"/>
      <c r="N149" s="24"/>
      <c r="O149" s="24"/>
      <c r="Q149" s="35"/>
    </row>
    <row r="150" spans="1:20" x14ac:dyDescent="0.25">
      <c r="B150" s="2"/>
      <c r="C150" s="2"/>
      <c r="D150" s="24"/>
      <c r="E150" s="24"/>
      <c r="F150" s="24"/>
      <c r="G150" s="24"/>
      <c r="H150" s="24"/>
      <c r="I150" s="24"/>
      <c r="J150" s="55"/>
      <c r="K150" s="24"/>
      <c r="L150" s="24"/>
      <c r="M150" s="24"/>
      <c r="N150" s="24"/>
      <c r="O150" s="24"/>
      <c r="Q150" s="35"/>
    </row>
    <row r="151" spans="1:20" x14ac:dyDescent="0.25">
      <c r="A151" s="52"/>
      <c r="B151" s="53"/>
      <c r="C151" s="53"/>
      <c r="D151" s="54"/>
      <c r="E151" s="54"/>
      <c r="F151" s="54"/>
      <c r="G151" s="54"/>
      <c r="H151" s="54"/>
      <c r="I151" s="54"/>
      <c r="J151" s="52"/>
      <c r="K151" s="54"/>
      <c r="L151" s="54"/>
      <c r="M151" s="54"/>
      <c r="N151" s="54"/>
      <c r="O151" s="54"/>
      <c r="P151" s="52"/>
      <c r="Q151" s="54"/>
      <c r="T151" s="24"/>
    </row>
    <row r="152" spans="1:20" x14ac:dyDescent="0.25">
      <c r="N152" s="24"/>
      <c r="O152" s="24"/>
      <c r="Q152" s="24"/>
      <c r="T152" s="24"/>
    </row>
    <row r="153" spans="1:20" x14ac:dyDescent="0.25">
      <c r="E153" s="660"/>
      <c r="N153" s="24"/>
      <c r="O153" s="24"/>
      <c r="Q153" s="24"/>
      <c r="T153" s="24"/>
    </row>
    <row r="154" spans="1:20" x14ac:dyDescent="0.25">
      <c r="N154" s="24"/>
      <c r="O154" s="24"/>
      <c r="Q154" s="24"/>
      <c r="T154" s="24"/>
    </row>
    <row r="155" spans="1:20" x14ac:dyDescent="0.25">
      <c r="Q155" s="24"/>
      <c r="T155" s="24"/>
    </row>
    <row r="156" spans="1:20" x14ac:dyDescent="0.25">
      <c r="Q156" s="24"/>
    </row>
  </sheetData>
  <conditionalFormatting sqref="L142:L147">
    <cfRule type="expression" dxfId="51" priority="18">
      <formula>$L$142&lt;&gt;0</formula>
    </cfRule>
  </conditionalFormatting>
  <conditionalFormatting sqref="M142:M147">
    <cfRule type="cellIs" dxfId="50" priority="1" operator="notEqual">
      <formula>TRUE</formula>
    </cfRule>
  </conditionalFormatting>
  <conditionalFormatting sqref="AH9:AH14">
    <cfRule type="cellIs" dxfId="49" priority="7" operator="notEqual">
      <formula>TRUE</formula>
    </cfRule>
  </conditionalFormatting>
  <conditionalFormatting sqref="AH28:AH33">
    <cfRule type="cellIs" dxfId="48" priority="6" operator="notEqual">
      <formula>TRUE</formula>
    </cfRule>
  </conditionalFormatting>
  <conditionalFormatting sqref="AH47:AH52">
    <cfRule type="cellIs" dxfId="47" priority="5" operator="notEqual">
      <formula>TRUE</formula>
    </cfRule>
  </conditionalFormatting>
  <conditionalFormatting sqref="AH66:AH71">
    <cfRule type="cellIs" dxfId="46" priority="4" operator="notEqual">
      <formula>TRUE</formula>
    </cfRule>
  </conditionalFormatting>
  <conditionalFormatting sqref="AH85:AH90">
    <cfRule type="cellIs" dxfId="45" priority="3" operator="notEqual">
      <formula>TRUE</formula>
    </cfRule>
  </conditionalFormatting>
  <conditionalFormatting sqref="AH104:AH109">
    <cfRule type="cellIs" dxfId="44" priority="2" operator="notEqual">
      <formula>TRUE</formula>
    </cfRule>
  </conditionalFormatting>
  <printOptions horizontalCentered="1" verticalCentered="1"/>
  <pageMargins left="0.55118110236220474" right="0.74803149606299213" top="0.98425196850393704" bottom="0.78740157480314965" header="0" footer="0"/>
  <pageSetup scale="19" orientation="landscape" r:id="rId1"/>
  <headerFooter alignWithMargins="0"/>
  <ignoredErrors>
    <ignoredError sqref="AD104:AD106 AD108:AD109" formula="1"/>
  </ignoredErrors>
  <drawing r:id="rId2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tabColor rgb="FFFF0000"/>
  </sheetPr>
  <dimension ref="B1:P16"/>
  <sheetViews>
    <sheetView zoomScale="90" zoomScaleNormal="90" workbookViewId="0">
      <selection activeCell="D9" sqref="D9"/>
    </sheetView>
  </sheetViews>
  <sheetFormatPr baseColWidth="10" defaultRowHeight="12.5" x14ac:dyDescent="0.25"/>
  <cols>
    <col min="1" max="1" width="3" customWidth="1"/>
    <col min="2" max="2" width="4.1796875" bestFit="1" customWidth="1"/>
    <col min="3" max="3" width="16.81640625" customWidth="1"/>
    <col min="4" max="4" width="14.1796875" customWidth="1"/>
    <col min="5" max="7" width="17.81640625" customWidth="1"/>
    <col min="8" max="8" width="18.1796875" customWidth="1"/>
    <col min="9" max="9" width="15.81640625" customWidth="1"/>
    <col min="10" max="10" width="16.453125" customWidth="1"/>
    <col min="11" max="11" width="15.81640625" customWidth="1"/>
    <col min="12" max="13" width="18.1796875" customWidth="1"/>
    <col min="14" max="14" width="15.81640625" customWidth="1"/>
    <col min="15" max="15" width="14.1796875" customWidth="1"/>
    <col min="16" max="16" width="14.453125" customWidth="1"/>
  </cols>
  <sheetData>
    <row r="1" spans="2:16" ht="13" thickBot="1" x14ac:dyDescent="0.3"/>
    <row r="2" spans="2:16" ht="35" thickBot="1" x14ac:dyDescent="0.3">
      <c r="B2" s="11" t="s">
        <v>3</v>
      </c>
      <c r="C2" s="28" t="s">
        <v>55</v>
      </c>
      <c r="D2" s="28" t="s">
        <v>50</v>
      </c>
      <c r="E2" s="28" t="s">
        <v>57</v>
      </c>
      <c r="F2" s="28" t="s">
        <v>129</v>
      </c>
      <c r="G2" s="28" t="s">
        <v>130</v>
      </c>
      <c r="H2" s="131" t="s">
        <v>52</v>
      </c>
      <c r="I2" s="12" t="s">
        <v>58</v>
      </c>
      <c r="J2" s="12" t="s">
        <v>59</v>
      </c>
      <c r="K2" s="12" t="s">
        <v>53</v>
      </c>
      <c r="L2" s="27" t="s">
        <v>60</v>
      </c>
      <c r="M2" s="65" t="s">
        <v>92</v>
      </c>
      <c r="N2" s="132" t="s">
        <v>54</v>
      </c>
    </row>
    <row r="3" spans="2:16" s="355" customFormat="1" x14ac:dyDescent="0.25">
      <c r="B3" s="303">
        <v>1</v>
      </c>
      <c r="C3" s="292">
        <f>'Recaudo ENEL'!F21</f>
        <v>16660688191</v>
      </c>
      <c r="D3" s="292">
        <f>REMUNERACION_ENEL!G125</f>
        <v>49580</v>
      </c>
      <c r="E3" s="292">
        <f>REMUNERACION_ENEL!D28+REMUNERACION_ENEL!N28</f>
        <v>97091142.519999996</v>
      </c>
      <c r="F3" s="292">
        <f>REMUNERACION_ENEL!I142</f>
        <v>0</v>
      </c>
      <c r="G3" s="292">
        <f>REMUNERACION_ENEL!H142</f>
        <v>973693.46</v>
      </c>
      <c r="H3" s="340">
        <f>SUM(C3:G3)</f>
        <v>16758802606.98</v>
      </c>
      <c r="I3" s="291">
        <f>REMUNERACION_ENEL!D104</f>
        <v>16643179604.779999</v>
      </c>
      <c r="J3" s="292">
        <f>REMUNERACION_ENEL!N104</f>
        <v>16516492.25</v>
      </c>
      <c r="K3" s="292">
        <f>REMUNERACION_ENEL!D125</f>
        <v>83572548.25</v>
      </c>
      <c r="L3" s="353">
        <f>REMUNERACION_ENEL!E125</f>
        <v>0</v>
      </c>
      <c r="M3" s="292">
        <f>-REMUNERACION_ENEL!D66-REMUNERACION_ENEL!N66</f>
        <v>15533961.699999999</v>
      </c>
      <c r="N3" s="288">
        <f>SUM(I3:M3)</f>
        <v>16758802606.98</v>
      </c>
      <c r="O3" s="354">
        <f t="shared" ref="O3:O8" si="0">H3-N3</f>
        <v>0</v>
      </c>
      <c r="P3" s="1" t="b">
        <f>INT(O3)=0</f>
        <v>1</v>
      </c>
    </row>
    <row r="4" spans="2:16" s="355" customFormat="1" x14ac:dyDescent="0.25">
      <c r="B4" s="314">
        <v>2</v>
      </c>
      <c r="C4" s="317">
        <f>'Recaudo ENEL'!F22</f>
        <v>19090710142</v>
      </c>
      <c r="D4" s="292">
        <f>REMUNERACION_ENEL!G126</f>
        <v>56078860</v>
      </c>
      <c r="E4" s="292">
        <f>REMUNERACION_ENEL!D29+REMUNERACION_ENEL!N29</f>
        <v>55676152.700000003</v>
      </c>
      <c r="F4" s="292">
        <f>REMUNERACION_ENEL!I143</f>
        <v>1369435</v>
      </c>
      <c r="G4" s="292">
        <f>REMUNERACION_ENEL!H143</f>
        <v>0</v>
      </c>
      <c r="H4" s="340">
        <f t="shared" ref="H4:H8" si="1">SUM(C4:G4)</f>
        <v>19203834589.700001</v>
      </c>
      <c r="I4" s="291">
        <f>REMUNERACION_ENEL!D105</f>
        <v>19064501226.810005</v>
      </c>
      <c r="J4" s="292">
        <f>REMUNERACION_ENEL!N105</f>
        <v>24273229.890000001</v>
      </c>
      <c r="K4" s="292">
        <f>REMUNERACION_ENEL!D126</f>
        <v>44281124</v>
      </c>
      <c r="L4" s="353">
        <f>REMUNERACION_ENEL!E126</f>
        <v>0</v>
      </c>
      <c r="M4" s="292">
        <f>-REMUNERACION_ENEL!D67-REMUNERACION_ENEL!N67</f>
        <v>70779009</v>
      </c>
      <c r="N4" s="318">
        <f>SUM(I4:M4)</f>
        <v>19203834589.700005</v>
      </c>
      <c r="O4" s="354">
        <f t="shared" si="0"/>
        <v>0</v>
      </c>
      <c r="P4" s="1" t="b">
        <f t="shared" ref="P4:P9" si="2">INT(O4)=0</f>
        <v>1</v>
      </c>
    </row>
    <row r="5" spans="2:16" s="355" customFormat="1" x14ac:dyDescent="0.25">
      <c r="B5" s="314">
        <v>3</v>
      </c>
      <c r="C5" s="317">
        <f>'Recaudo ENEL'!F23</f>
        <v>14027201822</v>
      </c>
      <c r="D5" s="292">
        <f>REMUNERACION_ENEL!G127</f>
        <v>1307680</v>
      </c>
      <c r="E5" s="292">
        <f>REMUNERACION_ENEL!D30+REMUNERACION_ENEL!N30</f>
        <v>10055662.040000001</v>
      </c>
      <c r="F5" s="292">
        <f>REMUNERACION_ENEL!I144</f>
        <v>27040120</v>
      </c>
      <c r="G5" s="292">
        <f>REMUNERACION_ENEL!H144</f>
        <v>104231.83</v>
      </c>
      <c r="H5" s="340">
        <f t="shared" si="1"/>
        <v>14065709515.870001</v>
      </c>
      <c r="I5" s="291">
        <f>REMUNERACION_ENEL!D106</f>
        <v>13976635090.370001</v>
      </c>
      <c r="J5" s="292">
        <f>REMUNERACION_ENEL!N106</f>
        <v>13030575.5</v>
      </c>
      <c r="K5" s="292">
        <f>REMUNERACION_ENEL!D127</f>
        <v>44039530</v>
      </c>
      <c r="L5" s="353">
        <f>REMUNERACION_ENEL!E127</f>
        <v>0</v>
      </c>
      <c r="M5" s="292">
        <f>-REMUNERACION_ENEL!D68-REMUNERACION_ENEL!N68</f>
        <v>32004320</v>
      </c>
      <c r="N5" s="318">
        <f>SUM(I5:M5)</f>
        <v>14065709515.870001</v>
      </c>
      <c r="O5" s="354">
        <f>H5-N5</f>
        <v>0</v>
      </c>
      <c r="P5" s="1" t="b">
        <f t="shared" si="2"/>
        <v>1</v>
      </c>
    </row>
    <row r="6" spans="2:16" s="355" customFormat="1" x14ac:dyDescent="0.25">
      <c r="B6" s="314">
        <v>4</v>
      </c>
      <c r="C6" s="317">
        <f>'Recaudo ENEL'!F24</f>
        <v>6640391410</v>
      </c>
      <c r="D6" s="292">
        <f>REMUNERACION_ENEL!G128</f>
        <v>3610007</v>
      </c>
      <c r="E6" s="292">
        <f>REMUNERACION_ENEL!D31+REMUNERACION_ENEL!N31</f>
        <v>60774931.109999992</v>
      </c>
      <c r="F6" s="292">
        <f>REMUNERACION_ENEL!I145</f>
        <v>12430910</v>
      </c>
      <c r="G6" s="292">
        <f>REMUNERACION_ENEL!H145</f>
        <v>0</v>
      </c>
      <c r="H6" s="340">
        <f t="shared" si="1"/>
        <v>6717207258.1099997</v>
      </c>
      <c r="I6" s="291">
        <f>REMUNERACION_ENEL!D107</f>
        <v>6619403672.6899996</v>
      </c>
      <c r="J6" s="292">
        <f>REMUNERACION_ENEL!N107</f>
        <v>19208887.530000001</v>
      </c>
      <c r="K6" s="292">
        <f>REMUNERACION_ENEL!D128</f>
        <v>48826052</v>
      </c>
      <c r="L6" s="353">
        <f>REMUNERACION_ENEL!E128</f>
        <v>0</v>
      </c>
      <c r="M6" s="292">
        <f>-REMUNERACION_ENEL!D69-REMUNERACION_ENEL!N69</f>
        <v>29768645.890000001</v>
      </c>
      <c r="N6" s="318">
        <f t="shared" ref="N6:N7" si="3">SUM(I6:M6)</f>
        <v>6717207258.1099997</v>
      </c>
      <c r="O6" s="354">
        <f t="shared" si="0"/>
        <v>0</v>
      </c>
      <c r="P6" s="1" t="b">
        <f t="shared" si="2"/>
        <v>1</v>
      </c>
    </row>
    <row r="7" spans="2:16" s="355" customFormat="1" x14ac:dyDescent="0.25">
      <c r="B7" s="314">
        <v>5</v>
      </c>
      <c r="C7" s="317">
        <f>'Recaudo ENEL'!F25</f>
        <v>11725626627</v>
      </c>
      <c r="D7" s="292">
        <f>REMUNERACION_ENEL!G129</f>
        <v>0</v>
      </c>
      <c r="E7" s="292">
        <f>REMUNERACION_ENEL!D32+REMUNERACION_ENEL!N32</f>
        <v>23423861.739999998</v>
      </c>
      <c r="F7" s="292">
        <f>REMUNERACION_ENEL!I146</f>
        <v>526210</v>
      </c>
      <c r="G7" s="292">
        <f>REMUNERACION_ENEL!H146</f>
        <v>0</v>
      </c>
      <c r="H7" s="340">
        <f t="shared" si="1"/>
        <v>11749576698.74</v>
      </c>
      <c r="I7" s="291">
        <f>REMUNERACION_ENEL!D108</f>
        <v>11722516106.639999</v>
      </c>
      <c r="J7" s="292">
        <f>REMUNERACION_ENEL!N108</f>
        <v>8997077.0999999996</v>
      </c>
      <c r="K7" s="292">
        <f>REMUNERACION_ENEL!D129</f>
        <v>15997915</v>
      </c>
      <c r="L7" s="353">
        <f>REMUNERACION_ENEL!E129</f>
        <v>0</v>
      </c>
      <c r="M7" s="292">
        <f>-REMUNERACION_ENEL!D70-REMUNERACION_ENEL!N70</f>
        <v>2065600</v>
      </c>
      <c r="N7" s="318">
        <f t="shared" si="3"/>
        <v>11749576698.74</v>
      </c>
      <c r="O7" s="354">
        <f>H7-N7</f>
        <v>0</v>
      </c>
      <c r="P7" s="1" t="b">
        <f t="shared" si="2"/>
        <v>1</v>
      </c>
    </row>
    <row r="8" spans="2:16" s="355" customFormat="1" ht="13" thickBot="1" x14ac:dyDescent="0.3">
      <c r="B8" s="341" t="s">
        <v>89</v>
      </c>
      <c r="C8" s="317">
        <f>'Recaudo ENEL'!F26</f>
        <v>0</v>
      </c>
      <c r="D8" s="356">
        <v>0</v>
      </c>
      <c r="E8" s="356">
        <v>0</v>
      </c>
      <c r="F8" s="356">
        <v>0</v>
      </c>
      <c r="G8" s="356">
        <v>0</v>
      </c>
      <c r="H8" s="340">
        <f t="shared" si="1"/>
        <v>0</v>
      </c>
      <c r="I8" s="357">
        <v>0</v>
      </c>
      <c r="J8" s="343">
        <v>0</v>
      </c>
      <c r="K8" s="343">
        <v>0</v>
      </c>
      <c r="L8" s="353">
        <f>REMUNERACION_ENEL!E130</f>
        <v>0</v>
      </c>
      <c r="M8" s="356">
        <v>0</v>
      </c>
      <c r="N8" s="358">
        <f>SUM(I8:L8)-M8</f>
        <v>0</v>
      </c>
      <c r="O8" s="354">
        <f t="shared" si="0"/>
        <v>0</v>
      </c>
      <c r="P8" s="1" t="b">
        <f t="shared" si="2"/>
        <v>1</v>
      </c>
    </row>
    <row r="9" spans="2:16" s="355" customFormat="1" ht="13" thickBot="1" x14ac:dyDescent="0.3">
      <c r="B9" s="327"/>
      <c r="C9" s="290">
        <f>SUM(C3:C8)</f>
        <v>68144618192</v>
      </c>
      <c r="D9" s="290">
        <f t="shared" ref="D9:M9" si="4">SUM(D3:D8)</f>
        <v>61046127</v>
      </c>
      <c r="E9" s="290">
        <f t="shared" si="4"/>
        <v>247021750.10999998</v>
      </c>
      <c r="F9" s="290">
        <f t="shared" si="4"/>
        <v>41366675</v>
      </c>
      <c r="G9" s="290">
        <f t="shared" si="4"/>
        <v>1077925.29</v>
      </c>
      <c r="H9" s="290">
        <f t="shared" si="4"/>
        <v>68495130669.400002</v>
      </c>
      <c r="I9" s="290">
        <f t="shared" si="4"/>
        <v>68026235701.290009</v>
      </c>
      <c r="J9" s="290">
        <f t="shared" si="4"/>
        <v>82026262.269999996</v>
      </c>
      <c r="K9" s="290">
        <f t="shared" si="4"/>
        <v>236717169.25</v>
      </c>
      <c r="L9" s="290">
        <f t="shared" si="4"/>
        <v>0</v>
      </c>
      <c r="M9" s="290">
        <f t="shared" si="4"/>
        <v>150151536.59</v>
      </c>
      <c r="N9" s="290">
        <f>SUM(N3:N8)</f>
        <v>68495130669.400009</v>
      </c>
      <c r="O9" s="359">
        <f>SUM(O3:O8)</f>
        <v>0</v>
      </c>
      <c r="P9" s="1" t="b">
        <f t="shared" si="2"/>
        <v>1</v>
      </c>
    </row>
    <row r="11" spans="2:16" ht="13" x14ac:dyDescent="0.3">
      <c r="B11" s="102" t="s">
        <v>89</v>
      </c>
      <c r="C11" s="103" t="s">
        <v>90</v>
      </c>
      <c r="M11" s="141"/>
      <c r="O11" s="137"/>
    </row>
    <row r="12" spans="2:16" x14ac:dyDescent="0.25">
      <c r="C12" s="143"/>
    </row>
    <row r="13" spans="2:16" x14ac:dyDescent="0.25">
      <c r="B13" s="142"/>
      <c r="C13" s="143" t="s">
        <v>1</v>
      </c>
    </row>
    <row r="14" spans="2:16" x14ac:dyDescent="0.25">
      <c r="C14" s="245">
        <f>'Valida - Control Recaudo'!D7</f>
        <v>68144618192</v>
      </c>
    </row>
    <row r="15" spans="2:16" x14ac:dyDescent="0.25">
      <c r="C15" s="249" t="b">
        <f>C14=C9</f>
        <v>1</v>
      </c>
    </row>
    <row r="16" spans="2:16" x14ac:dyDescent="0.25">
      <c r="C16" s="212" t="s">
        <v>1</v>
      </c>
    </row>
  </sheetData>
  <conditionalFormatting sqref="C15">
    <cfRule type="cellIs" dxfId="43" priority="4" operator="notEqual">
      <formula>TRUE</formula>
    </cfRule>
  </conditionalFormatting>
  <conditionalFormatting sqref="P3:P9">
    <cfRule type="cellIs" dxfId="42" priority="2" operator="notEqual">
      <formula>TRUE</formula>
    </cfRule>
  </conditionalFormatting>
  <pageMargins left="0.7" right="0.7" top="0.75" bottom="0.75" header="0.3" footer="0.3"/>
  <pageSetup orientation="portrait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tabColor rgb="FFFF0000"/>
    <pageSetUpPr fitToPage="1"/>
  </sheetPr>
  <dimension ref="A1:AI52"/>
  <sheetViews>
    <sheetView zoomScaleNormal="100" workbookViewId="0">
      <selection activeCell="J10" sqref="J10"/>
    </sheetView>
  </sheetViews>
  <sheetFormatPr baseColWidth="10" defaultColWidth="11.453125" defaultRowHeight="11.5" x14ac:dyDescent="0.25"/>
  <cols>
    <col min="1" max="1" width="3" style="1" customWidth="1"/>
    <col min="2" max="2" width="4.453125" style="1" bestFit="1" customWidth="1"/>
    <col min="3" max="3" width="36.81640625" style="1" customWidth="1"/>
    <col min="4" max="4" width="15.1796875" style="1" customWidth="1"/>
    <col min="5" max="5" width="16" style="1" customWidth="1"/>
    <col min="6" max="7" width="14.81640625" style="1" customWidth="1"/>
    <col min="8" max="8" width="16.1796875" style="1" customWidth="1"/>
    <col min="9" max="9" width="20.1796875" style="1" bestFit="1" customWidth="1"/>
    <col min="10" max="10" width="15.54296875" style="1" customWidth="1"/>
    <col min="11" max="11" width="17.54296875" style="1" customWidth="1"/>
    <col min="12" max="12" width="16.54296875" style="1" customWidth="1"/>
    <col min="13" max="13" width="19.81640625" style="1" customWidth="1"/>
    <col min="14" max="14" width="15.1796875" style="1" customWidth="1"/>
    <col min="15" max="15" width="16.81640625" style="1" customWidth="1"/>
    <col min="16" max="16" width="3.81640625" style="1" customWidth="1"/>
    <col min="17" max="17" width="2.81640625" style="1" customWidth="1"/>
    <col min="18" max="18" width="4.54296875" style="1" customWidth="1"/>
    <col min="19" max="19" width="11.1796875" style="1" customWidth="1"/>
    <col min="20" max="20" width="39.453125" style="1" customWidth="1"/>
    <col min="21" max="21" width="19.1796875" style="1" customWidth="1"/>
    <col min="22" max="22" width="17.81640625" style="1" customWidth="1"/>
    <col min="23" max="23" width="16.453125" style="1" customWidth="1"/>
    <col min="24" max="24" width="17.1796875" style="1" customWidth="1"/>
    <col min="25" max="25" width="15.81640625" style="1" customWidth="1"/>
    <col min="26" max="26" width="16" style="1" customWidth="1"/>
    <col min="27" max="27" width="15" style="1" customWidth="1"/>
    <col min="28" max="29" width="16.81640625" style="1" customWidth="1"/>
    <col min="30" max="31" width="15.453125" style="1" customWidth="1"/>
    <col min="32" max="32" width="16.1796875" style="1" customWidth="1"/>
    <col min="33" max="33" width="18.1796875" style="1" customWidth="1"/>
    <col min="34" max="34" width="13.81640625" style="1" customWidth="1"/>
    <col min="35" max="35" width="3.453125" style="1" customWidth="1"/>
    <col min="36" max="16384" width="11.453125" style="1"/>
  </cols>
  <sheetData>
    <row r="1" spans="2:35" ht="12" thickBot="1" x14ac:dyDescent="0.3">
      <c r="Q1" s="4"/>
      <c r="AI1" s="4"/>
    </row>
    <row r="2" spans="2:35" x14ac:dyDescent="0.25">
      <c r="B2" s="5"/>
      <c r="C2" s="3" t="s">
        <v>1</v>
      </c>
      <c r="D2" s="6" t="s">
        <v>1</v>
      </c>
      <c r="E2" s="3"/>
      <c r="F2" s="3"/>
      <c r="G2" s="3"/>
      <c r="H2" s="3" t="s">
        <v>1</v>
      </c>
      <c r="I2" s="3"/>
      <c r="J2" s="3"/>
      <c r="K2" s="3"/>
      <c r="L2" s="3"/>
      <c r="M2" s="3"/>
      <c r="N2" s="3"/>
      <c r="O2" s="7"/>
      <c r="P2" s="2"/>
      <c r="Q2" s="4"/>
      <c r="S2" s="5"/>
      <c r="T2" s="3" t="s">
        <v>1</v>
      </c>
      <c r="U2" s="6" t="s">
        <v>1</v>
      </c>
      <c r="V2" s="3"/>
      <c r="W2" s="3"/>
      <c r="X2" s="3" t="s">
        <v>1</v>
      </c>
      <c r="Y2" s="3"/>
      <c r="Z2" s="3"/>
      <c r="AA2" s="3"/>
      <c r="AB2" s="3"/>
      <c r="AC2" s="3"/>
      <c r="AD2" s="3"/>
      <c r="AE2" s="3"/>
      <c r="AF2" s="7"/>
      <c r="AG2" s="2"/>
      <c r="AI2" s="4"/>
    </row>
    <row r="3" spans="2:35" ht="14" x14ac:dyDescent="0.3">
      <c r="B3" s="8"/>
      <c r="F3" s="26" t="s">
        <v>8</v>
      </c>
      <c r="G3" s="26"/>
      <c r="I3" s="26" t="s">
        <v>16</v>
      </c>
      <c r="J3" s="25"/>
      <c r="M3" s="2" t="s">
        <v>15</v>
      </c>
      <c r="N3" s="50">
        <f>REMUNERACION_ENEL!N98</f>
        <v>2026072</v>
      </c>
      <c r="O3" s="10"/>
      <c r="P3" s="2"/>
      <c r="Q3" s="4"/>
      <c r="S3" s="8"/>
      <c r="U3" s="26" t="s">
        <v>8</v>
      </c>
      <c r="W3" s="26" t="s">
        <v>16</v>
      </c>
      <c r="X3" s="25"/>
      <c r="Y3" s="2"/>
      <c r="AA3" s="2" t="s">
        <v>15</v>
      </c>
      <c r="AD3" s="84">
        <f>N3</f>
        <v>2026072</v>
      </c>
      <c r="AE3" s="84"/>
      <c r="AF3" s="48"/>
      <c r="AG3" s="2"/>
      <c r="AI3" s="4"/>
    </row>
    <row r="4" spans="2:35" ht="15.5" x14ac:dyDescent="0.35">
      <c r="B4" s="8"/>
      <c r="F4" s="36" t="s">
        <v>29</v>
      </c>
      <c r="G4" s="36"/>
      <c r="O4" s="10"/>
      <c r="P4" s="2"/>
      <c r="Q4" s="4"/>
      <c r="S4" s="8"/>
      <c r="T4" s="26" t="s">
        <v>1</v>
      </c>
      <c r="U4" s="36" t="s">
        <v>29</v>
      </c>
      <c r="Y4" s="2" t="s">
        <v>1</v>
      </c>
      <c r="AA4" s="50" t="s">
        <v>1</v>
      </c>
      <c r="AB4" s="2"/>
      <c r="AC4" s="2"/>
      <c r="AD4" s="2"/>
      <c r="AE4" s="2"/>
      <c r="AF4" s="10" t="s">
        <v>1</v>
      </c>
      <c r="AG4" s="2"/>
      <c r="AI4" s="4"/>
    </row>
    <row r="5" spans="2:35" ht="14" x14ac:dyDescent="0.3">
      <c r="B5" s="8"/>
      <c r="F5" s="2" t="s">
        <v>30</v>
      </c>
      <c r="G5" s="2"/>
      <c r="M5" s="2" t="s">
        <v>1</v>
      </c>
      <c r="O5" s="10"/>
      <c r="P5" s="2"/>
      <c r="Q5" s="4"/>
      <c r="S5" s="8"/>
      <c r="T5" s="49" t="s">
        <v>1</v>
      </c>
      <c r="U5" s="2" t="s">
        <v>30</v>
      </c>
      <c r="AF5" s="44"/>
      <c r="AG5" s="2"/>
      <c r="AI5" s="4"/>
    </row>
    <row r="6" spans="2:35" ht="15.5" x14ac:dyDescent="0.35">
      <c r="B6" s="8"/>
      <c r="C6" s="599" t="s">
        <v>17</v>
      </c>
      <c r="D6" s="9">
        <f>REMUNERACION_ENEL!D101</f>
        <v>46238</v>
      </c>
      <c r="F6" s="58" t="str">
        <f>REMUNERACION_ENEL!F101</f>
        <v>REPORTE CONSOLIDADO TOTAL DE RECAUDO  // ENEL</v>
      </c>
      <c r="G6" s="58"/>
      <c r="H6" s="59"/>
      <c r="I6" s="60"/>
      <c r="J6" s="59"/>
      <c r="O6" s="10"/>
      <c r="P6" s="2"/>
      <c r="Q6" s="4"/>
      <c r="S6" s="8"/>
      <c r="T6" s="41" t="s">
        <v>1</v>
      </c>
      <c r="U6" s="58" t="str">
        <f>REMUNERACION_ENEL!U101</f>
        <v>REPORTE DETALLADO SUBBOLSA RBL DISCRIMINADO POR ACTIVIDADES // ENEL</v>
      </c>
      <c r="V6" s="59"/>
      <c r="W6" s="60"/>
      <c r="X6" s="59"/>
      <c r="Y6" s="2"/>
      <c r="AF6" s="48"/>
      <c r="AG6" s="2"/>
      <c r="AI6" s="4"/>
    </row>
    <row r="7" spans="2:35" ht="12" thickBot="1" x14ac:dyDescent="0.3">
      <c r="B7" s="8"/>
      <c r="C7" s="599" t="s">
        <v>0</v>
      </c>
      <c r="D7" s="241">
        <f>REMUNERACION_ENEL!D102</f>
        <v>0.58333333333333337</v>
      </c>
      <c r="F7" s="2" t="s">
        <v>27</v>
      </c>
      <c r="G7" s="9">
        <f>REMUNERACION_ENEL!G102</f>
        <v>46219</v>
      </c>
      <c r="J7" s="2" t="s">
        <v>28</v>
      </c>
      <c r="K7" s="9">
        <f>REMUNERACION_ENEL!K102</f>
        <v>46234</v>
      </c>
      <c r="O7" s="10"/>
      <c r="P7" s="2"/>
      <c r="Q7" s="4"/>
      <c r="S7" s="8"/>
      <c r="U7" s="1" t="str">
        <f>F7</f>
        <v>Fecha Desde:</v>
      </c>
      <c r="V7" s="9">
        <f>G7</f>
        <v>46219</v>
      </c>
      <c r="W7" s="1" t="s">
        <v>1</v>
      </c>
      <c r="X7" s="1" t="str">
        <f>J7</f>
        <v>Feha Hasta:</v>
      </c>
      <c r="Y7" s="9">
        <f>K7</f>
        <v>46234</v>
      </c>
      <c r="Z7" s="1" t="s">
        <v>1</v>
      </c>
      <c r="AF7" s="48"/>
      <c r="AG7" s="2"/>
      <c r="AI7" s="4"/>
    </row>
    <row r="8" spans="2:35" ht="69.5" thickBot="1" x14ac:dyDescent="0.3">
      <c r="B8" s="11" t="s">
        <v>3</v>
      </c>
      <c r="C8" s="27" t="s">
        <v>9</v>
      </c>
      <c r="D8" s="11" t="s">
        <v>4</v>
      </c>
      <c r="E8" s="12" t="s">
        <v>5</v>
      </c>
      <c r="F8" s="12" t="s">
        <v>6</v>
      </c>
      <c r="G8" s="269" t="s">
        <v>159</v>
      </c>
      <c r="H8" s="12" t="s">
        <v>18</v>
      </c>
      <c r="I8" s="12" t="s">
        <v>24</v>
      </c>
      <c r="J8" s="73" t="s">
        <v>19</v>
      </c>
      <c r="K8" s="29" t="s">
        <v>20</v>
      </c>
      <c r="L8" s="28" t="s">
        <v>21</v>
      </c>
      <c r="M8" s="39" t="s">
        <v>22</v>
      </c>
      <c r="N8" s="12" t="s">
        <v>7</v>
      </c>
      <c r="O8" s="39" t="s">
        <v>23</v>
      </c>
      <c r="P8" s="13"/>
      <c r="Q8" s="4"/>
      <c r="S8" s="11" t="s">
        <v>3</v>
      </c>
      <c r="T8" s="27" t="s">
        <v>9</v>
      </c>
      <c r="U8" s="80" t="s">
        <v>39</v>
      </c>
      <c r="V8" s="51" t="s">
        <v>40</v>
      </c>
      <c r="W8" s="51" t="s">
        <v>41</v>
      </c>
      <c r="X8" s="51" t="s">
        <v>42</v>
      </c>
      <c r="Y8" s="81" t="s">
        <v>43</v>
      </c>
      <c r="Z8" s="85" t="s">
        <v>21</v>
      </c>
      <c r="AA8" s="65" t="s">
        <v>46</v>
      </c>
      <c r="AB8" s="65" t="s">
        <v>7</v>
      </c>
      <c r="AC8" s="85" t="s">
        <v>168</v>
      </c>
      <c r="AD8" s="27" t="s">
        <v>105</v>
      </c>
      <c r="AE8" s="27" t="s">
        <v>104</v>
      </c>
      <c r="AF8" s="39" t="s">
        <v>23</v>
      </c>
      <c r="AG8" s="13"/>
      <c r="AI8" s="4"/>
    </row>
    <row r="9" spans="2:35" x14ac:dyDescent="0.25">
      <c r="B9" s="14">
        <v>1</v>
      </c>
      <c r="C9" s="61" t="s">
        <v>10</v>
      </c>
      <c r="D9" s="66">
        <f>REMUNERACION_ENEL!D104</f>
        <v>16643179604.779999</v>
      </c>
      <c r="E9" s="66">
        <f>REMUNERACION_ENEL!E104</f>
        <v>807895299.00000012</v>
      </c>
      <c r="F9" s="66">
        <f>REMUNERACION_ENEL!F104</f>
        <v>455912503.50999999</v>
      </c>
      <c r="G9" s="66">
        <f>REMUNERACION_ENEL!G104</f>
        <v>239329779.88</v>
      </c>
      <c r="H9" s="66">
        <f>REMUNERACION_ENEL!H104</f>
        <v>3761557796.75</v>
      </c>
      <c r="I9" s="66">
        <f>REMUNERACION_ENEL!I104</f>
        <v>132659753.62000002</v>
      </c>
      <c r="J9" s="66">
        <f>REMUNERACION_ENEL!J104</f>
        <v>-3589454665.5499997</v>
      </c>
      <c r="K9" s="30">
        <f>D9-E9-F9-G9-H9-I9-J9</f>
        <v>14835279137.569998</v>
      </c>
      <c r="L9" s="66">
        <f>REMUNERACION_ENEL!L104</f>
        <v>189185988</v>
      </c>
      <c r="M9" s="30">
        <f>K9-L9</f>
        <v>14646093149.569998</v>
      </c>
      <c r="N9" s="66">
        <f>REMUNERACION_ENEL!N104</f>
        <v>16516492.25</v>
      </c>
      <c r="O9" s="30">
        <f>M9+N9</f>
        <v>14662609641.819998</v>
      </c>
      <c r="Q9" s="4"/>
      <c r="S9" s="14">
        <v>1</v>
      </c>
      <c r="T9" s="61" t="s">
        <v>10</v>
      </c>
      <c r="U9" s="66">
        <f>REMUNERACION_ENEL!U104</f>
        <v>1167429697.9300001</v>
      </c>
      <c r="V9" s="66">
        <f>REMUNERACION_ENEL!V104</f>
        <v>1119851344.1899998</v>
      </c>
      <c r="W9" s="66">
        <f>REMUNERACION_ENEL!W104</f>
        <v>5299081059.21</v>
      </c>
      <c r="X9" s="66">
        <f>REMUNERACION_ENEL!X104</f>
        <v>2189246770.6300006</v>
      </c>
      <c r="Y9" s="66">
        <f>REMUNERACION_ENEL!Y104</f>
        <v>216286907.63999999</v>
      </c>
      <c r="Z9" s="66">
        <f>REMUNERACION_ENEL!Z104</f>
        <v>-189185988</v>
      </c>
      <c r="AA9" s="66">
        <f>REMUNERACION_ENEL!AA104</f>
        <v>-16656.379999999997</v>
      </c>
      <c r="AB9" s="66">
        <f>REMUNERACION_ENEL!AB104</f>
        <v>16516492.25</v>
      </c>
      <c r="AC9" s="66">
        <f>REMUNERACION_ENEL!AC104</f>
        <v>521.77</v>
      </c>
      <c r="AD9" s="66">
        <f>REMUNERACION_ENEL!AD104</f>
        <v>4843399492.5799999</v>
      </c>
      <c r="AE9" s="66">
        <f>REMUNERACION_ENEL!AE104</f>
        <v>1253944827.03</v>
      </c>
      <c r="AF9" s="69">
        <f>SUM(U9:AD9)</f>
        <v>14662609641.820002</v>
      </c>
      <c r="AG9" s="71">
        <f>AF9-O9</f>
        <v>0</v>
      </c>
      <c r="AH9" s="1" t="b">
        <f>INT(AG9)=0</f>
        <v>1</v>
      </c>
      <c r="AI9" s="4"/>
    </row>
    <row r="10" spans="2:35" x14ac:dyDescent="0.25">
      <c r="B10" s="16">
        <v>2</v>
      </c>
      <c r="C10" s="62" t="s">
        <v>11</v>
      </c>
      <c r="D10" s="66">
        <f>REMUNERACION_ENEL!D105</f>
        <v>19064501226.810005</v>
      </c>
      <c r="E10" s="66">
        <f>REMUNERACION_ENEL!E105</f>
        <v>1396129505.3300002</v>
      </c>
      <c r="F10" s="66">
        <f>REMUNERACION_ENEL!F105</f>
        <v>784878776.18999994</v>
      </c>
      <c r="G10" s="66">
        <f>REMUNERACION_ENEL!G105</f>
        <v>411247567.16000009</v>
      </c>
      <c r="H10" s="66">
        <f>REMUNERACION_ENEL!H105</f>
        <v>5582809669.8899994</v>
      </c>
      <c r="I10" s="66">
        <f>REMUNERACION_ENEL!I105</f>
        <v>216022487.64000002</v>
      </c>
      <c r="J10" s="66">
        <f>REMUNERACION_ENEL!J105</f>
        <v>-3241193714.1100001</v>
      </c>
      <c r="K10" s="31">
        <f t="shared" ref="K10:K13" si="0">D10-E10-F10-G10-H10-I10-J10</f>
        <v>13914606934.710005</v>
      </c>
      <c r="L10" s="66">
        <f>REMUNERACION_ENEL!L105</f>
        <v>266580256</v>
      </c>
      <c r="M10" s="31">
        <f>K10-L10</f>
        <v>13648026678.710005</v>
      </c>
      <c r="N10" s="66">
        <f>REMUNERACION_ENEL!N105</f>
        <v>24273229.890000001</v>
      </c>
      <c r="O10" s="31">
        <f t="shared" ref="O10:O13" si="1">M10+N10</f>
        <v>13672299908.600004</v>
      </c>
      <c r="Q10" s="4"/>
      <c r="S10" s="16">
        <v>2</v>
      </c>
      <c r="T10" s="62" t="s">
        <v>11</v>
      </c>
      <c r="U10" s="66">
        <f>REMUNERACION_ENEL!U105</f>
        <v>1893620444.5699999</v>
      </c>
      <c r="V10" s="66">
        <f>REMUNERACION_ENEL!V105</f>
        <v>1869892249.3700001</v>
      </c>
      <c r="W10" s="66">
        <f>REMUNERACION_ENEL!W105</f>
        <v>8814809316.3799992</v>
      </c>
      <c r="X10" s="66">
        <f>REMUNERACION_ENEL!X105</f>
        <v>2749999250.0999999</v>
      </c>
      <c r="Y10" s="66">
        <f>REMUNERACION_ENEL!Y105</f>
        <v>352820304.41000003</v>
      </c>
      <c r="Z10" s="66">
        <f>REMUNERACION_ENEL!Z105</f>
        <v>-266580256</v>
      </c>
      <c r="AA10" s="66">
        <f>REMUNERACION_ENEL!AA105</f>
        <v>90135.24</v>
      </c>
      <c r="AB10" s="66">
        <f>REMUNERACION_ENEL!AB105</f>
        <v>24273229.890000001</v>
      </c>
      <c r="AC10" s="66">
        <f>REMUNERACION_ENEL!AC105</f>
        <v>-109.61</v>
      </c>
      <c r="AD10" s="66">
        <f>REMUNERACION_ENEL!AD105</f>
        <v>-1766624655.7499995</v>
      </c>
      <c r="AE10" s="66">
        <f>REMUNERACION_ENEL!AE105</f>
        <v>-5007818369.8599997</v>
      </c>
      <c r="AF10" s="70">
        <f>SUM(U10:AD10)</f>
        <v>13672299908.599998</v>
      </c>
      <c r="AG10" s="72">
        <f>AF10-O10</f>
        <v>0</v>
      </c>
      <c r="AH10" s="1" t="b">
        <f t="shared" ref="AH10:AH14" si="2">INT(AG10)=0</f>
        <v>1</v>
      </c>
      <c r="AI10" s="4"/>
    </row>
    <row r="11" spans="2:35" x14ac:dyDescent="0.25">
      <c r="B11" s="16">
        <v>3</v>
      </c>
      <c r="C11" s="62" t="s">
        <v>12</v>
      </c>
      <c r="D11" s="66">
        <f>REMUNERACION_ENEL!D106</f>
        <v>13976635090.370001</v>
      </c>
      <c r="E11" s="66">
        <f>REMUNERACION_ENEL!E106</f>
        <v>985637596.05999994</v>
      </c>
      <c r="F11" s="66">
        <f>REMUNERACION_ENEL!F106</f>
        <v>555973895.94999993</v>
      </c>
      <c r="G11" s="66">
        <f>REMUNERACION_ENEL!G106</f>
        <v>292056214.65000004</v>
      </c>
      <c r="H11" s="66">
        <f>REMUNERACION_ENEL!H106</f>
        <v>3381560449.0999999</v>
      </c>
      <c r="I11" s="66">
        <f>REMUNERACION_ENEL!I106</f>
        <v>124524527.32000001</v>
      </c>
      <c r="J11" s="66">
        <f>REMUNERACION_ENEL!J106</f>
        <v>-853244564.50999999</v>
      </c>
      <c r="K11" s="31">
        <f t="shared" si="0"/>
        <v>9490126971.8000011</v>
      </c>
      <c r="L11" s="66">
        <f>REMUNERACION_ENEL!L106</f>
        <v>154788536</v>
      </c>
      <c r="M11" s="31">
        <f>K11-L11</f>
        <v>9335338435.8000011</v>
      </c>
      <c r="N11" s="66">
        <f>REMUNERACION_ENEL!N106</f>
        <v>13030575.5</v>
      </c>
      <c r="O11" s="31">
        <f t="shared" si="1"/>
        <v>9348369011.3000011</v>
      </c>
      <c r="Q11" s="4"/>
      <c r="S11" s="16">
        <v>3</v>
      </c>
      <c r="T11" s="62" t="s">
        <v>12</v>
      </c>
      <c r="U11" s="66">
        <f>REMUNERACION_ENEL!U106</f>
        <v>1092110322.45</v>
      </c>
      <c r="V11" s="66">
        <f>REMUNERACION_ENEL!V106</f>
        <v>1072670179.5</v>
      </c>
      <c r="W11" s="66">
        <f>REMUNERACION_ENEL!W106</f>
        <v>5077455755.5400009</v>
      </c>
      <c r="X11" s="66">
        <f>REMUNERACION_ENEL!X106</f>
        <v>2292038481.0500002</v>
      </c>
      <c r="Y11" s="66">
        <f>REMUNERACION_ENEL!Y106</f>
        <v>203250483.36000001</v>
      </c>
      <c r="Z11" s="66">
        <f>REMUNERACION_ENEL!Z106</f>
        <v>-154788536</v>
      </c>
      <c r="AA11" s="66">
        <f>REMUNERACION_ENEL!AA106</f>
        <v>247376.99</v>
      </c>
      <c r="AB11" s="66">
        <f>REMUNERACION_ENEL!AB106</f>
        <v>13030575.5</v>
      </c>
      <c r="AC11" s="66">
        <f>REMUNERACION_ENEL!AC106</f>
        <v>0.94</v>
      </c>
      <c r="AD11" s="66">
        <f>REMUNERACION_ENEL!AD106</f>
        <v>-247645628.02999997</v>
      </c>
      <c r="AE11" s="66">
        <f>REMUNERACION_ENEL!AE106</f>
        <v>-1100890192.54</v>
      </c>
      <c r="AF11" s="70">
        <f>SUM(U11:AD11)</f>
        <v>9348369011.3000011</v>
      </c>
      <c r="AG11" s="72">
        <f>AF11-O11</f>
        <v>0</v>
      </c>
      <c r="AH11" s="1" t="b">
        <f t="shared" si="2"/>
        <v>1</v>
      </c>
      <c r="AI11" s="4"/>
    </row>
    <row r="12" spans="2:35" x14ac:dyDescent="0.25">
      <c r="B12" s="16">
        <v>4</v>
      </c>
      <c r="C12" s="62" t="s">
        <v>13</v>
      </c>
      <c r="D12" s="66">
        <f>REMUNERACION_ENEL!D107</f>
        <v>6619403672.6899996</v>
      </c>
      <c r="E12" s="66">
        <f>REMUNERACION_ENEL!E107</f>
        <v>409065767.94999999</v>
      </c>
      <c r="F12" s="66">
        <f>REMUNERACION_ENEL!F107</f>
        <v>229023916.59999999</v>
      </c>
      <c r="G12" s="66">
        <f>REMUNERACION_ENEL!G107</f>
        <v>119897084.47999999</v>
      </c>
      <c r="H12" s="66">
        <f>REMUNERACION_ENEL!H107</f>
        <v>1538751149.1300001</v>
      </c>
      <c r="I12" s="66">
        <f>REMUNERACION_ENEL!I107</f>
        <v>60407359.210000001</v>
      </c>
      <c r="J12" s="66">
        <f>REMUNERACION_ENEL!J107</f>
        <v>-699882713.37000012</v>
      </c>
      <c r="K12" s="31">
        <f t="shared" si="0"/>
        <v>4962141108.6899996</v>
      </c>
      <c r="L12" s="66">
        <f>REMUNERACION_ENEL!L107</f>
        <v>120391083</v>
      </c>
      <c r="M12" s="31">
        <f>K12-L12</f>
        <v>4841750025.6899996</v>
      </c>
      <c r="N12" s="66">
        <f>REMUNERACION_ENEL!N107</f>
        <v>19208887.530000001</v>
      </c>
      <c r="O12" s="31">
        <f t="shared" si="1"/>
        <v>4860958913.2199993</v>
      </c>
      <c r="Q12" s="4"/>
      <c r="S12" s="16">
        <v>4</v>
      </c>
      <c r="T12" s="62" t="s">
        <v>13</v>
      </c>
      <c r="U12" s="66">
        <f>REMUNERACION_ENEL!U107</f>
        <v>528790659.44</v>
      </c>
      <c r="V12" s="66">
        <f>REMUNERACION_ENEL!V107</f>
        <v>522948481.87</v>
      </c>
      <c r="W12" s="66">
        <f>REMUNERACION_ENEL!W107</f>
        <v>2676043606.7200003</v>
      </c>
      <c r="X12" s="66">
        <f>REMUNERACION_ENEL!X107</f>
        <v>1082748026.71</v>
      </c>
      <c r="Y12" s="66">
        <f>REMUNERACION_ENEL!Y107</f>
        <v>98745519.159999996</v>
      </c>
      <c r="Z12" s="66">
        <f>REMUNERACION_ENEL!Z107</f>
        <v>-120391083</v>
      </c>
      <c r="AA12" s="66">
        <f>REMUNERACION_ENEL!AA107</f>
        <v>-16918.300000000003</v>
      </c>
      <c r="AB12" s="66">
        <f>REMUNERACION_ENEL!AB107</f>
        <v>19208887.530000001</v>
      </c>
      <c r="AC12" s="66">
        <f>REMUNERACION_ENEL!AC107</f>
        <v>-448.53000000000003</v>
      </c>
      <c r="AD12" s="66">
        <f>REMUNERACION_ENEL!AD107</f>
        <v>52882181.620000005</v>
      </c>
      <c r="AE12" s="66">
        <f>REMUNERACION_ENEL!AE107</f>
        <v>-647000531.75000012</v>
      </c>
      <c r="AF12" s="70">
        <f>SUM(U12:AD12)</f>
        <v>4860958913.2199993</v>
      </c>
      <c r="AG12" s="72">
        <f>AF12-O12</f>
        <v>0</v>
      </c>
      <c r="AH12" s="1" t="b">
        <f t="shared" si="2"/>
        <v>1</v>
      </c>
      <c r="AI12" s="4"/>
    </row>
    <row r="13" spans="2:35" ht="12" thickBot="1" x14ac:dyDescent="0.3">
      <c r="B13" s="19">
        <v>5</v>
      </c>
      <c r="C13" s="63" t="s">
        <v>14</v>
      </c>
      <c r="D13" s="66">
        <f>REMUNERACION_ENEL!D108</f>
        <v>11722516106.639999</v>
      </c>
      <c r="E13" s="66">
        <f>REMUNERACION_ENEL!E108</f>
        <v>698148323.5</v>
      </c>
      <c r="F13" s="66">
        <f>REMUNERACION_ENEL!F108</f>
        <v>393737772.47000003</v>
      </c>
      <c r="G13" s="66">
        <f>REMUNERACION_ENEL!G108</f>
        <v>206413295.53999999</v>
      </c>
      <c r="H13" s="66">
        <f>REMUNERACION_ENEL!H108</f>
        <v>2744218164.2200003</v>
      </c>
      <c r="I13" s="66">
        <f>REMUNERACION_ENEL!I108</f>
        <v>104708073.91000001</v>
      </c>
      <c r="J13" s="66">
        <f>REMUNERACION_ENEL!J108</f>
        <v>-82959023.660000086</v>
      </c>
      <c r="K13" s="31">
        <f t="shared" si="0"/>
        <v>7658249500.6599989</v>
      </c>
      <c r="L13" s="66">
        <f>REMUNERACION_ENEL!L108</f>
        <v>128990446</v>
      </c>
      <c r="M13" s="40">
        <f>K13-L13</f>
        <v>7529259054.6599989</v>
      </c>
      <c r="N13" s="66">
        <f>REMUNERACION_ENEL!N108</f>
        <v>8997077.0999999996</v>
      </c>
      <c r="O13" s="40">
        <f t="shared" si="1"/>
        <v>7538256131.7599993</v>
      </c>
      <c r="Q13" s="4"/>
      <c r="S13" s="19">
        <v>5</v>
      </c>
      <c r="T13" s="63" t="s">
        <v>14</v>
      </c>
      <c r="U13" s="66">
        <f>REMUNERACION_ENEL!U108</f>
        <v>917978792.29999995</v>
      </c>
      <c r="V13" s="66">
        <f>REMUNERACION_ENEL!V108</f>
        <v>899476756.96000004</v>
      </c>
      <c r="W13" s="66">
        <f>REMUNERACION_ENEL!W108</f>
        <v>4621907148.9099998</v>
      </c>
      <c r="X13" s="66">
        <f>REMUNERACION_ENEL!X108</f>
        <v>2074170432.3500001</v>
      </c>
      <c r="Y13" s="66">
        <f>REMUNERACION_ENEL!Y108</f>
        <v>170858536.44999999</v>
      </c>
      <c r="Z13" s="66">
        <f>REMUNERACION_ENEL!Z108</f>
        <v>-128990446</v>
      </c>
      <c r="AA13" s="66">
        <f>REMUNERACION_ENEL!AA108</f>
        <v>-147049.65</v>
      </c>
      <c r="AB13" s="66">
        <f>REMUNERACION_ENEL!AB108</f>
        <v>8997077.0999999996</v>
      </c>
      <c r="AC13" s="66">
        <f>REMUNERACION_ENEL!AC108</f>
        <v>-33.33</v>
      </c>
      <c r="AD13" s="66">
        <f>REMUNERACION_ENEL!AD108</f>
        <v>-1025995083.3299999</v>
      </c>
      <c r="AE13" s="66">
        <f>REMUNERACION_ENEL!AE108</f>
        <v>-1108954106.99</v>
      </c>
      <c r="AF13" s="70">
        <f>SUM(U13:AD13)</f>
        <v>7538256131.7600021</v>
      </c>
      <c r="AG13" s="72">
        <f>AF13-O13</f>
        <v>0</v>
      </c>
      <c r="AH13" s="1" t="b">
        <f t="shared" si="2"/>
        <v>1</v>
      </c>
      <c r="AI13" s="4"/>
    </row>
    <row r="14" spans="2:35" ht="13.5" thickBot="1" x14ac:dyDescent="0.35">
      <c r="B14" s="21"/>
      <c r="C14" s="22" t="s">
        <v>2</v>
      </c>
      <c r="D14" s="43">
        <f t="shared" ref="D14:O14" si="3">SUM(D9:D13)</f>
        <v>68026235701.290009</v>
      </c>
      <c r="E14" s="43">
        <f t="shared" si="3"/>
        <v>4296876491.8400002</v>
      </c>
      <c r="F14" s="43">
        <f t="shared" si="3"/>
        <v>2419526864.7199993</v>
      </c>
      <c r="G14" s="43">
        <f t="shared" si="3"/>
        <v>1268943941.71</v>
      </c>
      <c r="H14" s="43">
        <f t="shared" si="3"/>
        <v>17008897229.09</v>
      </c>
      <c r="I14" s="43">
        <f t="shared" si="3"/>
        <v>638322201.70000005</v>
      </c>
      <c r="J14" s="43">
        <f t="shared" si="3"/>
        <v>-8466734681.1999998</v>
      </c>
      <c r="K14" s="32">
        <f t="shared" si="3"/>
        <v>50860403653.43</v>
      </c>
      <c r="L14" s="23">
        <f t="shared" si="3"/>
        <v>859936309</v>
      </c>
      <c r="M14" s="76">
        <f t="shared" si="3"/>
        <v>50000467344.43</v>
      </c>
      <c r="N14" s="23">
        <f t="shared" si="3"/>
        <v>82026262.269999996</v>
      </c>
      <c r="O14" s="76">
        <f t="shared" si="3"/>
        <v>50082493606.700005</v>
      </c>
      <c r="P14" s="2"/>
      <c r="Q14" s="4"/>
      <c r="S14" s="21"/>
      <c r="T14" s="22" t="s">
        <v>2</v>
      </c>
      <c r="U14" s="43">
        <f>SUM(U9:U13)</f>
        <v>5599929916.6899996</v>
      </c>
      <c r="V14" s="43">
        <f t="shared" ref="V14:AG14" si="4">SUM(V9:V13)</f>
        <v>5484839011.8900003</v>
      </c>
      <c r="W14" s="43">
        <f t="shared" si="4"/>
        <v>26489296886.760002</v>
      </c>
      <c r="X14" s="43">
        <f t="shared" si="4"/>
        <v>10388202960.84</v>
      </c>
      <c r="Y14" s="43">
        <f t="shared" si="4"/>
        <v>1041961751.02</v>
      </c>
      <c r="Z14" s="43">
        <f t="shared" si="4"/>
        <v>-859936309</v>
      </c>
      <c r="AA14" s="43">
        <f t="shared" si="4"/>
        <v>156887.9</v>
      </c>
      <c r="AB14" s="43">
        <f t="shared" si="4"/>
        <v>82026262.269999996</v>
      </c>
      <c r="AC14" s="43">
        <f t="shared" si="4"/>
        <v>-68.760000000000062</v>
      </c>
      <c r="AD14" s="43">
        <f t="shared" si="4"/>
        <v>1856016307.0900002</v>
      </c>
      <c r="AE14" s="43">
        <f>SUM(AE9:AE13)</f>
        <v>-6610718374.1099997</v>
      </c>
      <c r="AF14" s="68">
        <f t="shared" si="4"/>
        <v>50082493606.700005</v>
      </c>
      <c r="AG14" s="43">
        <f t="shared" si="4"/>
        <v>0</v>
      </c>
      <c r="AH14" s="1" t="b">
        <f t="shared" si="2"/>
        <v>1</v>
      </c>
      <c r="AI14" s="4"/>
    </row>
    <row r="15" spans="2:35" ht="12" thickBot="1" x14ac:dyDescent="0.3">
      <c r="B15" s="2"/>
      <c r="C15" s="2"/>
      <c r="D15" s="24"/>
      <c r="E15" s="24"/>
      <c r="F15" s="24"/>
      <c r="G15" s="24"/>
      <c r="H15" s="24"/>
      <c r="I15" s="24"/>
      <c r="K15" s="24"/>
      <c r="L15" s="24"/>
      <c r="M15" s="24"/>
      <c r="N15" s="24"/>
      <c r="O15" s="24"/>
      <c r="Q15" s="4"/>
      <c r="S15" s="2"/>
      <c r="T15" s="2"/>
      <c r="U15" s="24"/>
      <c r="V15" s="24"/>
      <c r="W15" s="24"/>
      <c r="X15" s="24"/>
      <c r="Y15" s="24"/>
      <c r="AF15" s="24"/>
      <c r="AI15" s="4"/>
    </row>
    <row r="16" spans="2:35" ht="12" thickBot="1" x14ac:dyDescent="0.3">
      <c r="B16" s="2"/>
      <c r="C16" s="2"/>
      <c r="D16" s="24" t="s">
        <v>1</v>
      </c>
      <c r="E16" s="24"/>
      <c r="F16" s="24"/>
      <c r="G16" s="24"/>
      <c r="H16" s="24"/>
      <c r="I16" s="24"/>
      <c r="K16" s="24"/>
      <c r="L16" s="24"/>
      <c r="M16" s="24"/>
      <c r="N16" s="24"/>
      <c r="O16" s="24"/>
      <c r="Q16" s="4"/>
      <c r="Y16" s="86">
        <f>SUM(U14:Y14)</f>
        <v>49004230527.200005</v>
      </c>
      <c r="AA16" s="1" t="s">
        <v>1</v>
      </c>
      <c r="AB16" s="1" t="s">
        <v>1</v>
      </c>
      <c r="AD16" s="1" t="s">
        <v>1</v>
      </c>
      <c r="AF16" s="1" t="s">
        <v>1</v>
      </c>
      <c r="AI16" s="4"/>
    </row>
    <row r="17" spans="1:35" ht="64.5" customHeight="1" thickBot="1" x14ac:dyDescent="0.3">
      <c r="B17" s="2"/>
      <c r="C17" s="2"/>
      <c r="D17" s="24" t="s">
        <v>1</v>
      </c>
      <c r="E17" s="33"/>
      <c r="F17" s="33"/>
      <c r="G17" s="33"/>
      <c r="H17" s="33"/>
      <c r="I17" s="24"/>
      <c r="K17" s="24"/>
      <c r="L17" s="24"/>
      <c r="M17" s="24"/>
      <c r="N17" s="24"/>
      <c r="O17" s="24"/>
      <c r="Q17" s="4"/>
      <c r="U17" s="33"/>
      <c r="V17" s="33"/>
      <c r="W17" s="33"/>
      <c r="X17" s="33"/>
      <c r="AI17" s="4"/>
    </row>
    <row r="18" spans="1:35" x14ac:dyDescent="0.25">
      <c r="B18" s="2"/>
      <c r="C18" s="2"/>
      <c r="D18" s="24" t="s">
        <v>1</v>
      </c>
      <c r="E18" s="24" t="s">
        <v>1</v>
      </c>
      <c r="F18" s="24" t="s">
        <v>25</v>
      </c>
      <c r="G18" s="24"/>
      <c r="H18" s="24"/>
      <c r="I18" s="24"/>
      <c r="K18" s="24"/>
      <c r="L18" s="24"/>
      <c r="M18" s="24"/>
      <c r="N18" s="24"/>
      <c r="O18" s="24"/>
      <c r="Q18" s="4"/>
      <c r="U18" s="24" t="s">
        <v>1</v>
      </c>
      <c r="V18" s="24" t="s">
        <v>25</v>
      </c>
      <c r="W18" s="24"/>
      <c r="X18" s="24"/>
      <c r="AI18" s="4"/>
    </row>
    <row r="19" spans="1:35" x14ac:dyDescent="0.25">
      <c r="A19" s="52"/>
      <c r="B19" s="53"/>
      <c r="C19" s="53"/>
      <c r="D19" s="54"/>
      <c r="E19" s="54"/>
      <c r="F19" s="54"/>
      <c r="G19" s="54"/>
      <c r="H19" s="54"/>
      <c r="I19" s="54"/>
      <c r="J19" s="52"/>
      <c r="K19" s="54"/>
      <c r="L19" s="54"/>
      <c r="M19" s="54"/>
      <c r="N19" s="54"/>
      <c r="O19" s="54"/>
      <c r="P19" s="52"/>
      <c r="Q19" s="52"/>
      <c r="R19" s="52"/>
      <c r="S19" s="52"/>
      <c r="T19" s="52"/>
      <c r="U19" s="52"/>
      <c r="V19" s="52"/>
      <c r="W19" s="52"/>
      <c r="X19" s="52"/>
      <c r="Y19" s="52"/>
      <c r="Z19" s="52"/>
      <c r="AA19" s="52"/>
      <c r="AB19" s="52"/>
      <c r="AC19" s="52"/>
      <c r="AD19" s="52"/>
      <c r="AE19" s="52"/>
      <c r="AF19" s="52"/>
      <c r="AG19" s="52"/>
      <c r="AH19" s="52"/>
      <c r="AI19" s="52"/>
    </row>
    <row r="20" spans="1:35" ht="12" thickBot="1" x14ac:dyDescent="0.3">
      <c r="Q20" s="4"/>
    </row>
    <row r="21" spans="1:35" x14ac:dyDescent="0.25">
      <c r="B21" s="5"/>
      <c r="C21" s="3" t="s">
        <v>1</v>
      </c>
      <c r="D21" s="6" t="s">
        <v>1</v>
      </c>
      <c r="E21" s="3"/>
      <c r="F21" s="3"/>
      <c r="G21" s="3"/>
      <c r="H21" s="3" t="s">
        <v>1</v>
      </c>
      <c r="I21" s="3"/>
      <c r="J21" s="3"/>
      <c r="K21" s="3"/>
      <c r="L21" s="3"/>
      <c r="M21" s="3"/>
      <c r="N21" s="3"/>
      <c r="O21" s="7"/>
      <c r="P21" s="2"/>
      <c r="Q21" s="35"/>
    </row>
    <row r="22" spans="1:35" ht="14" x14ac:dyDescent="0.3">
      <c r="B22" s="8"/>
      <c r="C22" s="2"/>
      <c r="D22" s="9"/>
      <c r="F22" s="26" t="s">
        <v>8</v>
      </c>
      <c r="G22" s="26"/>
      <c r="I22" s="26" t="s">
        <v>16</v>
      </c>
      <c r="J22" s="25"/>
      <c r="M22" s="2" t="s">
        <v>15</v>
      </c>
      <c r="N22" s="50">
        <f>REMUNERACION_ENEL!M117</f>
        <v>2026072</v>
      </c>
      <c r="O22" s="10"/>
      <c r="P22" s="2"/>
      <c r="Q22" s="4"/>
    </row>
    <row r="23" spans="1:35" ht="15.5" x14ac:dyDescent="0.35">
      <c r="B23" s="8"/>
      <c r="C23" s="2"/>
      <c r="D23" s="57"/>
      <c r="F23" s="36" t="s">
        <v>29</v>
      </c>
      <c r="G23" s="36"/>
      <c r="O23" s="10"/>
      <c r="P23" s="2"/>
      <c r="Q23" s="4"/>
    </row>
    <row r="24" spans="1:35" x14ac:dyDescent="0.25">
      <c r="B24" s="8"/>
      <c r="F24" s="2" t="s">
        <v>30</v>
      </c>
      <c r="G24" s="2"/>
      <c r="M24" s="2" t="s">
        <v>1</v>
      </c>
      <c r="O24" s="10"/>
      <c r="P24" s="2"/>
      <c r="Q24" s="4"/>
    </row>
    <row r="25" spans="1:35" x14ac:dyDescent="0.25">
      <c r="B25" s="8"/>
      <c r="I25" s="2"/>
      <c r="J25" s="2"/>
      <c r="O25" s="10"/>
      <c r="P25" s="2"/>
      <c r="Q25" s="4"/>
    </row>
    <row r="26" spans="1:35" ht="15.5" x14ac:dyDescent="0.35">
      <c r="B26" s="8"/>
      <c r="F26" s="41" t="s">
        <v>37</v>
      </c>
      <c r="G26" s="41"/>
      <c r="H26" s="2"/>
      <c r="J26" s="2"/>
      <c r="O26" s="10"/>
      <c r="P26" s="2"/>
      <c r="Q26" s="4"/>
    </row>
    <row r="27" spans="1:35" x14ac:dyDescent="0.25">
      <c r="B27" s="8"/>
      <c r="F27" s="2" t="s">
        <v>27</v>
      </c>
      <c r="G27" s="2"/>
      <c r="H27" s="9">
        <f>REMUNERACION_ENEL!G122</f>
        <v>46219</v>
      </c>
      <c r="J27" s="2" t="s">
        <v>28</v>
      </c>
      <c r="K27" s="9">
        <f>REMUNERACION_ENEL!K122</f>
        <v>46234</v>
      </c>
      <c r="O27" s="10"/>
      <c r="P27" s="2"/>
      <c r="Q27" s="4"/>
    </row>
    <row r="28" spans="1:35" ht="12" thickBot="1" x14ac:dyDescent="0.3">
      <c r="B28" s="8"/>
      <c r="C28" s="2" t="s">
        <v>1</v>
      </c>
      <c r="D28" s="2" t="s">
        <v>1</v>
      </c>
      <c r="J28" s="1" t="s">
        <v>1</v>
      </c>
      <c r="O28" s="44"/>
      <c r="P28" s="2"/>
      <c r="Q28" s="4"/>
    </row>
    <row r="29" spans="1:35" ht="46.5" thickBot="1" x14ac:dyDescent="0.3">
      <c r="B29" s="11" t="s">
        <v>3</v>
      </c>
      <c r="C29" s="12" t="s">
        <v>9</v>
      </c>
      <c r="D29" s="12" t="s">
        <v>38</v>
      </c>
      <c r="E29" s="12" t="s">
        <v>48</v>
      </c>
      <c r="G29" s="104" t="s">
        <v>47</v>
      </c>
      <c r="H29" s="73" t="s">
        <v>56</v>
      </c>
      <c r="I29" s="73" t="s">
        <v>130</v>
      </c>
      <c r="J29" s="73" t="s">
        <v>172</v>
      </c>
      <c r="K29" s="73" t="s">
        <v>143</v>
      </c>
      <c r="L29" s="73" t="s">
        <v>144</v>
      </c>
      <c r="O29" s="44"/>
      <c r="P29" s="13"/>
      <c r="Q29" s="4"/>
    </row>
    <row r="30" spans="1:35" x14ac:dyDescent="0.25">
      <c r="B30" s="108">
        <v>1</v>
      </c>
      <c r="C30" s="109" t="s">
        <v>10</v>
      </c>
      <c r="D30" s="110">
        <f>REMUNERACION_ENEL!D125</f>
        <v>83572548.25</v>
      </c>
      <c r="E30" s="111">
        <f>REMUNERACION_ENEL!E125</f>
        <v>0</v>
      </c>
      <c r="G30" s="336">
        <f>REMUNERACION_ENEL!G125</f>
        <v>49580</v>
      </c>
      <c r="H30" s="310">
        <f>REMUNERACION_ENEL!H125</f>
        <v>97091142.519999996</v>
      </c>
      <c r="I30" s="309">
        <f>REMUNERACION_ENEL!I125</f>
        <v>973693.46</v>
      </c>
      <c r="J30" s="309">
        <f>REMUNERACION_ENEL!J125</f>
        <v>-15533961.699999999</v>
      </c>
      <c r="K30" s="309">
        <f>REMUNERACION_ENEL!K125</f>
        <v>0</v>
      </c>
      <c r="L30" s="309">
        <f>REMUNERACION_ENEL!L125</f>
        <v>16889.3</v>
      </c>
      <c r="O30" s="44"/>
      <c r="Q30" s="4"/>
    </row>
    <row r="31" spans="1:35" x14ac:dyDescent="0.25">
      <c r="B31" s="16">
        <v>2</v>
      </c>
      <c r="C31" s="17" t="s">
        <v>11</v>
      </c>
      <c r="D31" s="15">
        <f>REMUNERACION_ENEL!D126</f>
        <v>44281124</v>
      </c>
      <c r="E31" s="74">
        <f>REMUNERACION_ENEL!E126</f>
        <v>0</v>
      </c>
      <c r="G31" s="339">
        <f>REMUNERACION_ENEL!G126</f>
        <v>56078860</v>
      </c>
      <c r="H31" s="340">
        <f>REMUNERACION_ENEL!H126</f>
        <v>55676152.700000003</v>
      </c>
      <c r="I31" s="288">
        <f>REMUNERACION_ENEL!I126</f>
        <v>0</v>
      </c>
      <c r="J31" s="288">
        <f>REMUNERACION_ENEL!J126</f>
        <v>-70779009</v>
      </c>
      <c r="K31" s="288">
        <f>REMUNERACION_ENEL!K126</f>
        <v>5227240</v>
      </c>
      <c r="L31" s="288">
        <f>REMUNERACION_ENEL!L126</f>
        <v>0</v>
      </c>
      <c r="O31" s="44"/>
      <c r="Q31" s="4"/>
    </row>
    <row r="32" spans="1:35" x14ac:dyDescent="0.25">
      <c r="B32" s="16">
        <v>3</v>
      </c>
      <c r="C32" s="17" t="s">
        <v>12</v>
      </c>
      <c r="D32" s="15">
        <f>REMUNERACION_ENEL!D127</f>
        <v>44039530</v>
      </c>
      <c r="E32" s="74">
        <f>REMUNERACION_ENEL!E127</f>
        <v>0</v>
      </c>
      <c r="G32" s="339">
        <f>REMUNERACION_ENEL!G127</f>
        <v>1307680</v>
      </c>
      <c r="H32" s="340">
        <f>REMUNERACION_ENEL!H127</f>
        <v>10055662.040000001</v>
      </c>
      <c r="I32" s="288">
        <f>REMUNERACION_ENEL!I127</f>
        <v>104231.83</v>
      </c>
      <c r="J32" s="288">
        <f>REMUNERACION_ENEL!J127</f>
        <v>-32004320</v>
      </c>
      <c r="K32" s="288">
        <f>REMUNERACION_ENEL!K127</f>
        <v>0</v>
      </c>
      <c r="L32" s="288">
        <f>REMUNERACION_ENEL!L127</f>
        <v>79850</v>
      </c>
      <c r="O32" s="44"/>
      <c r="Q32" s="4"/>
    </row>
    <row r="33" spans="1:20" x14ac:dyDescent="0.25">
      <c r="B33" s="16">
        <v>4</v>
      </c>
      <c r="C33" s="17" t="s">
        <v>13</v>
      </c>
      <c r="D33" s="15">
        <f>REMUNERACION_ENEL!D128</f>
        <v>48826052</v>
      </c>
      <c r="E33" s="74">
        <f>REMUNERACION_ENEL!E128</f>
        <v>0</v>
      </c>
      <c r="G33" s="339">
        <f>REMUNERACION_ENEL!G128</f>
        <v>3610007</v>
      </c>
      <c r="H33" s="340">
        <f>REMUNERACION_ENEL!H128</f>
        <v>60774931.109999992</v>
      </c>
      <c r="I33" s="288">
        <f>REMUNERACION_ENEL!I128</f>
        <v>0</v>
      </c>
      <c r="J33" s="288">
        <f>REMUNERACION_ENEL!J128</f>
        <v>-29768645.890000001</v>
      </c>
      <c r="K33" s="288">
        <f>REMUNERACION_ENEL!K128</f>
        <v>11634964</v>
      </c>
      <c r="L33" s="288">
        <f>REMUNERACION_ENEL!L128</f>
        <v>386384.11</v>
      </c>
      <c r="O33" s="44"/>
      <c r="Q33" s="4"/>
    </row>
    <row r="34" spans="1:20" x14ac:dyDescent="0.25">
      <c r="B34" s="133">
        <v>5</v>
      </c>
      <c r="C34" s="138" t="s">
        <v>14</v>
      </c>
      <c r="D34" s="135">
        <f>REMUNERACION_ENEL!D129</f>
        <v>15997915</v>
      </c>
      <c r="E34" s="139">
        <f>REMUNERACION_ENEL!E129</f>
        <v>0</v>
      </c>
      <c r="G34" s="339">
        <f>REMUNERACION_ENEL!G129</f>
        <v>0</v>
      </c>
      <c r="H34" s="340">
        <f>REMUNERACION_ENEL!H129</f>
        <v>23423861.739999998</v>
      </c>
      <c r="I34" s="288">
        <f>REMUNERACION_ENEL!I129</f>
        <v>0</v>
      </c>
      <c r="J34" s="288">
        <f>REMUNERACION_ENEL!J129</f>
        <v>-2065600</v>
      </c>
      <c r="K34" s="288">
        <f>REMUNERACION_ENEL!K129</f>
        <v>0</v>
      </c>
      <c r="L34" s="288">
        <f>REMUNERACION_ENEL!L129</f>
        <v>49280</v>
      </c>
      <c r="O34" s="44"/>
      <c r="Q34" s="4"/>
    </row>
    <row r="35" spans="1:20" ht="12" thickBot="1" x14ac:dyDescent="0.3">
      <c r="B35" s="19" t="s">
        <v>89</v>
      </c>
      <c r="C35" s="20" t="s">
        <v>113</v>
      </c>
      <c r="D35" s="78"/>
      <c r="E35" s="79">
        <f>REMUNERACION_ENEL!E130</f>
        <v>0</v>
      </c>
      <c r="G35" s="346"/>
      <c r="H35" s="347"/>
      <c r="I35" s="289"/>
      <c r="J35" s="289"/>
      <c r="K35" s="289"/>
      <c r="L35" s="289"/>
      <c r="O35" s="44"/>
      <c r="Q35" s="4"/>
    </row>
    <row r="36" spans="1:20" ht="12" thickBot="1" x14ac:dyDescent="0.3">
      <c r="B36" s="95"/>
      <c r="C36" s="106" t="s">
        <v>2</v>
      </c>
      <c r="D36" s="107">
        <f t="shared" ref="D36" si="5">SUM(D30:D34)</f>
        <v>236717169.25</v>
      </c>
      <c r="E36" s="107">
        <f>REMUNERACION_ENEL!E131</f>
        <v>0</v>
      </c>
      <c r="F36" s="45"/>
      <c r="G36" s="350">
        <f t="shared" ref="G36:L36" si="6">SUM(G30:G34)</f>
        <v>61046127</v>
      </c>
      <c r="H36" s="350">
        <f t="shared" si="6"/>
        <v>247021750.10999998</v>
      </c>
      <c r="I36" s="350">
        <f t="shared" si="6"/>
        <v>1077925.29</v>
      </c>
      <c r="J36" s="350">
        <f t="shared" si="6"/>
        <v>-150151536.59</v>
      </c>
      <c r="K36" s="350">
        <f t="shared" si="6"/>
        <v>16862204</v>
      </c>
      <c r="L36" s="350">
        <f t="shared" si="6"/>
        <v>532403.40999999992</v>
      </c>
      <c r="M36" s="45"/>
      <c r="N36" s="45"/>
      <c r="O36" s="46"/>
      <c r="P36" s="2"/>
      <c r="Q36" s="4"/>
    </row>
    <row r="37" spans="1:20" x14ac:dyDescent="0.25">
      <c r="B37" s="2"/>
      <c r="C37" s="2"/>
      <c r="D37" s="24"/>
      <c r="Q37" s="4"/>
    </row>
    <row r="38" spans="1:20" x14ac:dyDescent="0.25">
      <c r="B38" s="2"/>
      <c r="C38" s="2"/>
      <c r="D38" s="24"/>
      <c r="L38" s="1" t="s">
        <v>1</v>
      </c>
      <c r="Q38" s="4"/>
    </row>
    <row r="39" spans="1:20" ht="64.5" customHeight="1" thickBot="1" x14ac:dyDescent="0.3">
      <c r="B39" s="2"/>
      <c r="C39" s="2"/>
      <c r="D39" s="24"/>
      <c r="E39" s="33"/>
      <c r="F39" s="33"/>
      <c r="G39" s="33"/>
      <c r="H39" s="33"/>
      <c r="I39" s="24"/>
      <c r="K39" s="24"/>
      <c r="L39" s="24" t="s">
        <v>1</v>
      </c>
      <c r="M39" s="24" t="s">
        <v>1</v>
      </c>
      <c r="N39" s="24"/>
      <c r="O39" s="24"/>
      <c r="Q39" s="4"/>
    </row>
    <row r="40" spans="1:20" x14ac:dyDescent="0.25">
      <c r="B40" s="2"/>
      <c r="C40" s="2"/>
      <c r="D40" s="24"/>
      <c r="E40" s="24" t="s">
        <v>1</v>
      </c>
      <c r="F40" s="42" t="s">
        <v>36</v>
      </c>
      <c r="G40" s="42"/>
      <c r="H40" s="42"/>
      <c r="I40" s="24"/>
      <c r="K40" s="24"/>
      <c r="L40" s="24"/>
      <c r="M40" s="24"/>
      <c r="N40" s="24"/>
      <c r="O40" s="24"/>
      <c r="Q40" s="4"/>
    </row>
    <row r="41" spans="1:20" x14ac:dyDescent="0.25">
      <c r="A41" s="52"/>
      <c r="B41" s="53"/>
      <c r="C41" s="53"/>
      <c r="D41" s="54"/>
      <c r="E41" s="54"/>
      <c r="F41" s="54"/>
      <c r="G41" s="54"/>
      <c r="H41" s="54"/>
      <c r="I41" s="54"/>
      <c r="J41" s="52"/>
      <c r="K41" s="54"/>
      <c r="L41" s="54"/>
      <c r="M41" s="54"/>
      <c r="N41" s="54"/>
      <c r="O41" s="54"/>
      <c r="P41" s="52"/>
      <c r="Q41" s="4"/>
    </row>
    <row r="42" spans="1:20" x14ac:dyDescent="0.25">
      <c r="N42" s="24"/>
      <c r="O42" s="24"/>
      <c r="Q42" s="24"/>
      <c r="T42" s="24"/>
    </row>
    <row r="43" spans="1:20" x14ac:dyDescent="0.25">
      <c r="N43" s="24"/>
      <c r="O43" s="24"/>
      <c r="Q43" s="24"/>
      <c r="T43" s="24"/>
    </row>
    <row r="44" spans="1:20" x14ac:dyDescent="0.25">
      <c r="N44" s="24"/>
      <c r="O44" s="24"/>
      <c r="Q44" s="24"/>
      <c r="T44" s="24"/>
    </row>
    <row r="45" spans="1:20" x14ac:dyDescent="0.25">
      <c r="D45" s="267" t="b">
        <f>D14=REMUNERACION_ENEL!D109</f>
        <v>1</v>
      </c>
      <c r="E45" s="267" t="b">
        <f>E14=REMUNERACION_ENEL!E109</f>
        <v>1</v>
      </c>
      <c r="F45" s="267" t="b">
        <f>F14=REMUNERACION_ENEL!F109</f>
        <v>1</v>
      </c>
      <c r="G45" s="267" t="b">
        <f>G14=REMUNERACION_ENEL!G109</f>
        <v>1</v>
      </c>
      <c r="H45" s="267" t="b">
        <f>H14=REMUNERACION_ENEL!H109</f>
        <v>1</v>
      </c>
      <c r="I45" s="267" t="b">
        <f>I14=REMUNERACION_ENEL!I109</f>
        <v>1</v>
      </c>
      <c r="J45" s="267" t="b">
        <f>J14=REMUNERACION_ENEL!J109</f>
        <v>1</v>
      </c>
      <c r="K45" s="267" t="b">
        <f>K14=REMUNERACION_ENEL!K109</f>
        <v>1</v>
      </c>
      <c r="L45" s="267" t="b">
        <f>L14=REMUNERACION_ENEL!L109</f>
        <v>1</v>
      </c>
      <c r="M45" s="267" t="b">
        <f>M14=REMUNERACION_ENEL!M109</f>
        <v>1</v>
      </c>
      <c r="N45" s="267" t="b">
        <f>N14=REMUNERACION_ENEL!N109</f>
        <v>1</v>
      </c>
      <c r="O45" s="267" t="b">
        <f>O14=REMUNERACION_ENEL!O109</f>
        <v>1</v>
      </c>
      <c r="Q45" s="24"/>
      <c r="T45" s="24"/>
    </row>
    <row r="46" spans="1:20" x14ac:dyDescent="0.25">
      <c r="D46" s="267" t="b">
        <f>D36=REMUNERACION_ENEL!D131</f>
        <v>1</v>
      </c>
      <c r="E46" s="267" t="b">
        <f>E36=REMUNERACION_ENEL!E131</f>
        <v>1</v>
      </c>
      <c r="F46" s="267" t="b">
        <f>F36=REMUNERACION_ENEL!F131</f>
        <v>1</v>
      </c>
      <c r="G46" s="267" t="b">
        <f>G36=REMUNERACION_ENEL!G131</f>
        <v>1</v>
      </c>
      <c r="H46" s="267" t="b">
        <f>H36=REMUNERACION_ENEL!H131</f>
        <v>1</v>
      </c>
      <c r="I46" s="267" t="b">
        <f>I36=REMUNERACION_ENEL!I131</f>
        <v>1</v>
      </c>
      <c r="J46" s="267" t="b">
        <f>J36=REMUNERACION_ENEL!J131</f>
        <v>1</v>
      </c>
      <c r="K46" s="267" t="b">
        <f>K36=REMUNERACION_ENEL!K131</f>
        <v>1</v>
      </c>
      <c r="L46" s="267" t="b">
        <f>L36=REMUNERACION_ENEL!L131</f>
        <v>1</v>
      </c>
      <c r="M46" s="267" t="b">
        <f>M36=REMUNERACION_ENEL!M131</f>
        <v>1</v>
      </c>
      <c r="N46" s="267" t="b">
        <f>N36=REMUNERACION_ENEL!N131</f>
        <v>1</v>
      </c>
      <c r="O46" s="267" t="b">
        <f>O36=REMUNERACION_ENEL!O131</f>
        <v>1</v>
      </c>
      <c r="Q46" s="24"/>
      <c r="T46" s="24"/>
    </row>
    <row r="47" spans="1:20" x14ac:dyDescent="0.25">
      <c r="N47" s="24"/>
      <c r="O47" s="24"/>
      <c r="Q47" s="24"/>
      <c r="T47" s="24"/>
    </row>
    <row r="48" spans="1:20" x14ac:dyDescent="0.25">
      <c r="N48" s="24"/>
      <c r="O48" s="24"/>
      <c r="Q48" s="24"/>
      <c r="T48" s="24"/>
    </row>
    <row r="49" spans="14:20" x14ac:dyDescent="0.25">
      <c r="N49" s="24"/>
      <c r="O49" s="24"/>
      <c r="Q49" s="24"/>
      <c r="T49" s="24"/>
    </row>
    <row r="50" spans="14:20" x14ac:dyDescent="0.25">
      <c r="N50" s="24"/>
      <c r="O50" s="24"/>
      <c r="Q50" s="24"/>
      <c r="T50" s="24"/>
    </row>
    <row r="51" spans="14:20" x14ac:dyDescent="0.25">
      <c r="Q51" s="24"/>
      <c r="T51" s="24"/>
    </row>
    <row r="52" spans="14:20" x14ac:dyDescent="0.25">
      <c r="Q52" s="24"/>
    </row>
  </sheetData>
  <conditionalFormatting sqref="AH9:AH14">
    <cfRule type="cellIs" dxfId="41" priority="1" operator="notEqual">
      <formula>TRUE</formula>
    </cfRule>
  </conditionalFormatting>
  <printOptions horizontalCentered="1" verticalCentered="1"/>
  <pageMargins left="0.55118110236220474" right="0.74803149606299213" top="0.59055118110236227" bottom="0.78740157480314965" header="0" footer="0"/>
  <pageSetup scale="24" orientation="landscape" r:id="rId1"/>
  <headerFooter alignWithMargins="0"/>
  <drawing r:id="rId2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936364-1631-4835-94DA-6C268605A859}">
  <sheetPr>
    <tabColor theme="8" tint="0.59999389629810485"/>
    <pageSetUpPr fitToPage="1"/>
  </sheetPr>
  <dimension ref="A1:AJ156"/>
  <sheetViews>
    <sheetView topLeftCell="A95" zoomScaleNormal="100" workbookViewId="0">
      <selection activeCell="A95" sqref="A95"/>
    </sheetView>
  </sheetViews>
  <sheetFormatPr baseColWidth="10" defaultColWidth="11.453125" defaultRowHeight="11.5" x14ac:dyDescent="0.25"/>
  <cols>
    <col min="1" max="1" width="3" style="1" customWidth="1"/>
    <col min="2" max="2" width="4.453125" style="1" bestFit="1" customWidth="1"/>
    <col min="3" max="3" width="36.81640625" style="1" customWidth="1"/>
    <col min="4" max="4" width="15.1796875" style="1" customWidth="1"/>
    <col min="5" max="5" width="16" style="1" customWidth="1"/>
    <col min="6" max="7" width="14.81640625" style="1" customWidth="1"/>
    <col min="8" max="9" width="16" style="1" customWidth="1"/>
    <col min="10" max="10" width="15.54296875" style="1" customWidth="1"/>
    <col min="11" max="11" width="17.54296875" style="1" customWidth="1"/>
    <col min="12" max="12" width="19.81640625" style="1" bestFit="1" customWidth="1"/>
    <col min="13" max="13" width="21" style="1" bestFit="1" customWidth="1"/>
    <col min="14" max="14" width="15.1796875" style="1" customWidth="1"/>
    <col min="15" max="15" width="16.81640625" style="1" customWidth="1"/>
    <col min="16" max="16" width="3.81640625" style="1" customWidth="1"/>
    <col min="17" max="17" width="2.81640625" style="1" customWidth="1"/>
    <col min="18" max="18" width="4.54296875" style="1" customWidth="1"/>
    <col min="19" max="19" width="11.1796875" style="1" customWidth="1"/>
    <col min="20" max="20" width="37.54296875" style="1" bestFit="1" customWidth="1"/>
    <col min="21" max="21" width="19.1796875" style="1" customWidth="1"/>
    <col min="22" max="22" width="17.81640625" style="1" customWidth="1"/>
    <col min="23" max="23" width="16.453125" style="1" customWidth="1"/>
    <col min="24" max="24" width="17.1796875" style="1" customWidth="1"/>
    <col min="25" max="25" width="15.81640625" style="1" customWidth="1"/>
    <col min="26" max="26" width="16" style="1" customWidth="1"/>
    <col min="27" max="27" width="15" style="1" customWidth="1"/>
    <col min="28" max="29" width="16.81640625" style="1" customWidth="1"/>
    <col min="30" max="31" width="15.453125" style="1" customWidth="1"/>
    <col min="32" max="32" width="16.1796875" style="1" customWidth="1"/>
    <col min="33" max="33" width="18.1796875" style="1" customWidth="1"/>
    <col min="34" max="34" width="13.81640625" style="1" customWidth="1"/>
    <col min="35" max="35" width="3.453125" style="1" customWidth="1"/>
    <col min="36" max="36" width="13.81640625" style="1" bestFit="1" customWidth="1"/>
    <col min="37" max="16384" width="11.453125" style="1"/>
  </cols>
  <sheetData>
    <row r="1" spans="1:35" ht="12" thickBot="1" x14ac:dyDescent="0.3">
      <c r="A1" s="241"/>
      <c r="Q1" s="4"/>
      <c r="AI1" s="4"/>
    </row>
    <row r="2" spans="1:35" x14ac:dyDescent="0.25">
      <c r="B2" s="5"/>
      <c r="C2" s="3" t="s">
        <v>1</v>
      </c>
      <c r="D2" s="6" t="s">
        <v>1</v>
      </c>
      <c r="E2" s="3"/>
      <c r="F2" s="3"/>
      <c r="G2" s="3"/>
      <c r="H2" s="3" t="s">
        <v>1</v>
      </c>
      <c r="I2" s="3"/>
      <c r="J2" s="3"/>
      <c r="K2" s="3"/>
      <c r="L2" s="3"/>
      <c r="M2" s="3"/>
      <c r="N2" s="3"/>
      <c r="O2" s="7"/>
      <c r="P2" s="2"/>
      <c r="Q2" s="4"/>
      <c r="S2" s="5"/>
      <c r="T2" s="3" t="s">
        <v>1</v>
      </c>
      <c r="U2" s="6" t="s">
        <v>1</v>
      </c>
      <c r="V2" s="3"/>
      <c r="W2" s="3"/>
      <c r="X2" s="3" t="s">
        <v>1</v>
      </c>
      <c r="Y2" s="3"/>
      <c r="Z2" s="3"/>
      <c r="AA2" s="3"/>
      <c r="AB2" s="3"/>
      <c r="AC2" s="3"/>
      <c r="AD2" s="3"/>
      <c r="AE2" s="3"/>
      <c r="AF2" s="7"/>
      <c r="AG2" s="2"/>
      <c r="AI2" s="4"/>
    </row>
    <row r="3" spans="1:35" ht="14" x14ac:dyDescent="0.3">
      <c r="B3" s="8"/>
      <c r="F3" s="26" t="s">
        <v>8</v>
      </c>
      <c r="G3" s="26"/>
      <c r="I3" s="26" t="s">
        <v>16</v>
      </c>
      <c r="J3" s="25"/>
      <c r="M3" s="2" t="s">
        <v>15</v>
      </c>
      <c r="N3" s="50">
        <f>'CONSOLIDADO_TOTAL RECAUDO'!N3</f>
        <v>2026072</v>
      </c>
      <c r="O3" s="10"/>
      <c r="P3" s="2"/>
      <c r="Q3" s="4"/>
      <c r="S3" s="8"/>
      <c r="U3" s="26" t="s">
        <v>8</v>
      </c>
      <c r="W3" s="26" t="s">
        <v>16</v>
      </c>
      <c r="X3" s="25"/>
      <c r="Y3" s="2"/>
      <c r="AA3" s="2" t="s">
        <v>15</v>
      </c>
      <c r="AD3" s="84">
        <f>N3</f>
        <v>2026072</v>
      </c>
      <c r="AE3" s="84"/>
      <c r="AF3" s="48"/>
      <c r="AG3" s="2"/>
      <c r="AI3" s="4"/>
    </row>
    <row r="4" spans="1:35" ht="15.5" x14ac:dyDescent="0.35">
      <c r="B4" s="8"/>
      <c r="F4" s="36" t="s">
        <v>29</v>
      </c>
      <c r="G4" s="36"/>
      <c r="O4" s="10"/>
      <c r="P4" s="2"/>
      <c r="Q4" s="4"/>
      <c r="S4" s="8"/>
      <c r="T4" s="26" t="s">
        <v>1</v>
      </c>
      <c r="U4" s="36" t="s">
        <v>29</v>
      </c>
      <c r="Y4" s="2" t="s">
        <v>1</v>
      </c>
      <c r="AA4" s="50" t="s">
        <v>1</v>
      </c>
      <c r="AB4" s="2"/>
      <c r="AC4" s="2"/>
      <c r="AD4" s="2"/>
      <c r="AE4" s="2"/>
      <c r="AF4" s="10" t="s">
        <v>1</v>
      </c>
      <c r="AG4" s="2"/>
      <c r="AI4" s="4"/>
    </row>
    <row r="5" spans="1:35" ht="14" x14ac:dyDescent="0.3">
      <c r="B5" s="8"/>
      <c r="F5" s="2" t="s">
        <v>30</v>
      </c>
      <c r="G5" s="2"/>
      <c r="M5" s="2" t="s">
        <v>1</v>
      </c>
      <c r="O5" s="10"/>
      <c r="P5" s="2"/>
      <c r="Q5" s="4"/>
      <c r="S5" s="8"/>
      <c r="T5" s="49" t="s">
        <v>1</v>
      </c>
      <c r="U5" s="2" t="s">
        <v>30</v>
      </c>
      <c r="AF5" s="44"/>
      <c r="AG5" s="2"/>
      <c r="AI5" s="4"/>
    </row>
    <row r="6" spans="1:35" ht="15.5" x14ac:dyDescent="0.35">
      <c r="B6" s="8"/>
      <c r="C6" s="599" t="s">
        <v>17</v>
      </c>
      <c r="D6" s="9">
        <f>'CONSOLIDADO_TOTAL RECAUDO'!D6</f>
        <v>46238</v>
      </c>
      <c r="F6" s="41" t="s">
        <v>26</v>
      </c>
      <c r="G6" s="41"/>
      <c r="H6" s="2"/>
      <c r="J6" s="2"/>
      <c r="O6" s="10"/>
      <c r="P6" s="2"/>
      <c r="Q6" s="4"/>
      <c r="S6" s="8"/>
      <c r="T6" s="41" t="s">
        <v>1</v>
      </c>
      <c r="U6" s="41" t="s">
        <v>26</v>
      </c>
      <c r="V6" s="2"/>
      <c r="X6" s="2"/>
      <c r="Y6" s="2"/>
      <c r="AF6" s="48"/>
      <c r="AG6" s="2"/>
      <c r="AI6" s="4"/>
    </row>
    <row r="7" spans="1:35" ht="12" thickBot="1" x14ac:dyDescent="0.3">
      <c r="B7" s="8"/>
      <c r="C7" s="599" t="s">
        <v>0</v>
      </c>
      <c r="D7" s="241">
        <f>'CONSOLIDADO_TOTAL RECAUDO'!D7</f>
        <v>0.58333333333333337</v>
      </c>
      <c r="F7" s="2" t="s">
        <v>27</v>
      </c>
      <c r="G7" s="9">
        <f>'CONSOLIDADO_TOTAL RECAUDO'!G7</f>
        <v>46219</v>
      </c>
      <c r="J7" s="2" t="s">
        <v>28</v>
      </c>
      <c r="K7" s="9">
        <f>'CONSOLIDADO_TOTAL RECAUDO'!K7</f>
        <v>46234</v>
      </c>
      <c r="O7" s="10"/>
      <c r="P7" s="2"/>
      <c r="Q7" s="4"/>
      <c r="S7" s="8"/>
      <c r="U7" s="1" t="str">
        <f>F7</f>
        <v>Fecha Desde:</v>
      </c>
      <c r="V7" s="9">
        <f>G7</f>
        <v>46219</v>
      </c>
      <c r="W7" s="1" t="s">
        <v>1</v>
      </c>
      <c r="X7" s="1" t="str">
        <f>J7</f>
        <v>Feha Hasta:</v>
      </c>
      <c r="Y7" s="9">
        <f>K7</f>
        <v>46234</v>
      </c>
      <c r="Z7" s="1" t="s">
        <v>1</v>
      </c>
      <c r="AF7" s="48"/>
      <c r="AG7" s="2"/>
      <c r="AI7" s="4"/>
    </row>
    <row r="8" spans="1:35" ht="72" customHeight="1" thickBot="1" x14ac:dyDescent="0.3">
      <c r="B8" s="11" t="s">
        <v>3</v>
      </c>
      <c r="C8" s="27" t="s">
        <v>9</v>
      </c>
      <c r="D8" s="11" t="s">
        <v>4</v>
      </c>
      <c r="E8" s="12" t="s">
        <v>5</v>
      </c>
      <c r="F8" s="27" t="s">
        <v>6</v>
      </c>
      <c r="G8" s="27" t="s">
        <v>159</v>
      </c>
      <c r="H8" s="27" t="s">
        <v>18</v>
      </c>
      <c r="I8" s="12" t="s">
        <v>24</v>
      </c>
      <c r="J8" s="73" t="s">
        <v>19</v>
      </c>
      <c r="K8" s="29" t="s">
        <v>20</v>
      </c>
      <c r="L8" s="28" t="s">
        <v>21</v>
      </c>
      <c r="M8" s="39" t="s">
        <v>22</v>
      </c>
      <c r="N8" s="12" t="s">
        <v>7</v>
      </c>
      <c r="O8" s="39" t="s">
        <v>23</v>
      </c>
      <c r="P8" s="13"/>
      <c r="Q8" s="4"/>
      <c r="S8" s="11" t="s">
        <v>3</v>
      </c>
      <c r="T8" s="27" t="s">
        <v>9</v>
      </c>
      <c r="U8" s="162" t="s">
        <v>39</v>
      </c>
      <c r="V8" s="163" t="s">
        <v>40</v>
      </c>
      <c r="W8" s="163" t="s">
        <v>41</v>
      </c>
      <c r="X8" s="163" t="s">
        <v>42</v>
      </c>
      <c r="Y8" s="164" t="s">
        <v>43</v>
      </c>
      <c r="Z8" s="85" t="s">
        <v>21</v>
      </c>
      <c r="AA8" s="65" t="s">
        <v>46</v>
      </c>
      <c r="AB8" s="65" t="s">
        <v>7</v>
      </c>
      <c r="AC8" s="85" t="s">
        <v>168</v>
      </c>
      <c r="AD8" s="121" t="s">
        <v>107</v>
      </c>
      <c r="AE8" s="121" t="s">
        <v>226</v>
      </c>
      <c r="AF8" s="39" t="s">
        <v>23</v>
      </c>
      <c r="AG8" s="13"/>
      <c r="AI8" s="4"/>
    </row>
    <row r="9" spans="1:35" s="305" customFormat="1" x14ac:dyDescent="0.25">
      <c r="B9" s="303">
        <v>1</v>
      </c>
      <c r="C9" s="304" t="s">
        <v>10</v>
      </c>
      <c r="D9" s="291">
        <f>'Reporte Componentes R1'!F68</f>
        <v>0</v>
      </c>
      <c r="E9" s="291">
        <f>'Reporte Componentes R1'!G68</f>
        <v>0</v>
      </c>
      <c r="F9" s="291">
        <f>'Reporte Componentes R1'!H68</f>
        <v>0</v>
      </c>
      <c r="G9" s="291">
        <f>'Reporte Componentes R1'!I68</f>
        <v>0</v>
      </c>
      <c r="H9" s="291">
        <f>'Reporte Componentes R1'!J68</f>
        <v>0</v>
      </c>
      <c r="I9" s="291">
        <f>'Reporte Componentes R1'!K68</f>
        <v>0</v>
      </c>
      <c r="J9" s="291">
        <v>0</v>
      </c>
      <c r="K9" s="293">
        <f>D9-E9-F9-G9-H9-I9-J9</f>
        <v>0</v>
      </c>
      <c r="L9" s="294">
        <v>0</v>
      </c>
      <c r="M9" s="293">
        <f>K9-L9</f>
        <v>0</v>
      </c>
      <c r="N9" s="294">
        <f>'Reporte Componentes R1'!L68</f>
        <v>0</v>
      </c>
      <c r="O9" s="293">
        <f>M9+N9</f>
        <v>0</v>
      </c>
      <c r="Q9" s="306"/>
      <c r="S9" s="303">
        <v>1</v>
      </c>
      <c r="T9" s="304" t="s">
        <v>10</v>
      </c>
      <c r="U9" s="307">
        <f>'Reporte Componentes R1'!M68</f>
        <v>0</v>
      </c>
      <c r="V9" s="307">
        <f>'Reporte Componentes R1'!N68</f>
        <v>0</v>
      </c>
      <c r="W9" s="307">
        <f>'Reporte Componentes R1'!O68</f>
        <v>0</v>
      </c>
      <c r="X9" s="307">
        <f>'Reporte Componentes R1'!P68</f>
        <v>0</v>
      </c>
      <c r="Y9" s="307">
        <f>'Reporte Componentes R1'!Q68</f>
        <v>0</v>
      </c>
      <c r="Z9" s="319">
        <f>L9*-1</f>
        <v>0</v>
      </c>
      <c r="AA9" s="320">
        <f>'Reporte Componentes R1'!R68+'Reporte Componentes R1'!V187+'Reporte Componentes R1'!U68</f>
        <v>0</v>
      </c>
      <c r="AB9" s="294">
        <f>N9</f>
        <v>0</v>
      </c>
      <c r="AC9" s="320">
        <f>'Reporte Componentes R1'!T68+'Reporte Componentes R1'!W68+'Reporte Componentes R1'!X68+'Reporte Componentes R1'!Y68+'Reporte Componentes R1'!Z68+'Reporte Componentes R1'!S68</f>
        <v>0</v>
      </c>
      <c r="AD9" s="291">
        <f>-J9+AE9</f>
        <v>0</v>
      </c>
      <c r="AE9" s="291">
        <f>'Reporte Componentes R1'!F69</f>
        <v>0</v>
      </c>
      <c r="AF9" s="313">
        <f>SUM(U9:AD9)</f>
        <v>0</v>
      </c>
      <c r="AG9" s="311">
        <f>(AF9-O9)</f>
        <v>0</v>
      </c>
      <c r="AH9" s="1" t="b">
        <f>INT(AG9)=0</f>
        <v>1</v>
      </c>
      <c r="AI9" s="306"/>
    </row>
    <row r="10" spans="1:35" s="305" customFormat="1" x14ac:dyDescent="0.25">
      <c r="B10" s="314">
        <v>2</v>
      </c>
      <c r="C10" s="315" t="s">
        <v>11</v>
      </c>
      <c r="D10" s="291">
        <f>'Reporte Componentes R1'!F221</f>
        <v>0</v>
      </c>
      <c r="E10" s="291">
        <f>'Reporte Componentes R1'!G221</f>
        <v>0</v>
      </c>
      <c r="F10" s="291">
        <f>'Reporte Componentes R1'!H221</f>
        <v>0</v>
      </c>
      <c r="G10" s="291">
        <f>'Reporte Componentes R1'!I221</f>
        <v>0</v>
      </c>
      <c r="H10" s="291">
        <f>'Reporte Componentes R1'!J221</f>
        <v>0</v>
      </c>
      <c r="I10" s="291">
        <f>'Reporte Componentes R1'!K221</f>
        <v>0</v>
      </c>
      <c r="J10" s="291">
        <v>0</v>
      </c>
      <c r="K10" s="295">
        <f t="shared" ref="K10:K13" si="0">D10-E10-F10-G10-H10-I10-J10</f>
        <v>0</v>
      </c>
      <c r="L10" s="294">
        <v>0</v>
      </c>
      <c r="M10" s="295">
        <f>K10-L10</f>
        <v>0</v>
      </c>
      <c r="N10" s="294">
        <f>'Reporte Componentes R1'!L221</f>
        <v>0</v>
      </c>
      <c r="O10" s="295">
        <f t="shared" ref="O10:O12" si="1">M10+N10</f>
        <v>0</v>
      </c>
      <c r="Q10" s="306"/>
      <c r="S10" s="314">
        <v>2</v>
      </c>
      <c r="T10" s="315" t="s">
        <v>11</v>
      </c>
      <c r="U10" s="316">
        <f>'Reporte Componentes R1'!M221</f>
        <v>0</v>
      </c>
      <c r="V10" s="316">
        <f>'Reporte Componentes R1'!N221</f>
        <v>0</v>
      </c>
      <c r="W10" s="316">
        <f>'Reporte Componentes R1'!O221</f>
        <v>0</v>
      </c>
      <c r="X10" s="316">
        <f>'Reporte Componentes R1'!P221</f>
        <v>0</v>
      </c>
      <c r="Y10" s="316">
        <f>'Reporte Componentes R1'!Q221</f>
        <v>0</v>
      </c>
      <c r="Z10" s="319">
        <f>L10*-1</f>
        <v>0</v>
      </c>
      <c r="AA10" s="320">
        <f>'Reporte Componentes R1'!R221+'Reporte Componentes R1'!V221+'Reporte Componentes R1'!U221</f>
        <v>0</v>
      </c>
      <c r="AB10" s="294">
        <f>N10</f>
        <v>0</v>
      </c>
      <c r="AC10" s="320">
        <f>'Reporte Componentes R1'!T298+'Reporte Componentes R1'!W298+'Reporte Componentes R1'!X298+'Reporte Componentes R1'!Y298+'Reporte Componentes R1'!Z298+'Reporte Componentes R1'!S298</f>
        <v>0</v>
      </c>
      <c r="AD10" s="291">
        <f t="shared" ref="AD10:AD13" si="2">-J10+AE10</f>
        <v>0</v>
      </c>
      <c r="AE10" s="291">
        <f>'Reporte Componentes R1'!F222</f>
        <v>0</v>
      </c>
      <c r="AF10" s="322">
        <f>SUM(U10:AD10)</f>
        <v>0</v>
      </c>
      <c r="AG10" s="323">
        <f>(AF10-O10)</f>
        <v>0</v>
      </c>
      <c r="AH10" s="1" t="b">
        <f t="shared" ref="AH10:AH14" si="3">INT(AG10)=0</f>
        <v>1</v>
      </c>
      <c r="AI10" s="306"/>
    </row>
    <row r="11" spans="1:35" s="305" customFormat="1" x14ac:dyDescent="0.25">
      <c r="B11" s="314">
        <v>3</v>
      </c>
      <c r="C11" s="315" t="s">
        <v>12</v>
      </c>
      <c r="D11" s="291">
        <f>'Reporte Componentes R1'!F358</f>
        <v>0</v>
      </c>
      <c r="E11" s="291">
        <f>'Reporte Componentes R1'!G358</f>
        <v>0</v>
      </c>
      <c r="F11" s="291">
        <f>'Reporte Componentes R1'!H358</f>
        <v>0</v>
      </c>
      <c r="G11" s="291">
        <f>'Reporte Componentes R1'!I358</f>
        <v>0</v>
      </c>
      <c r="H11" s="291">
        <f>'Reporte Componentes R1'!J358</f>
        <v>0</v>
      </c>
      <c r="I11" s="291">
        <f>'Reporte Componentes R1'!K358</f>
        <v>0</v>
      </c>
      <c r="J11" s="291">
        <v>0</v>
      </c>
      <c r="K11" s="295">
        <f t="shared" si="0"/>
        <v>0</v>
      </c>
      <c r="L11" s="294">
        <v>0</v>
      </c>
      <c r="M11" s="295">
        <f>K11-L11</f>
        <v>0</v>
      </c>
      <c r="N11" s="294">
        <f>'Reporte Componentes R1'!L358</f>
        <v>0</v>
      </c>
      <c r="O11" s="295">
        <f t="shared" si="1"/>
        <v>0</v>
      </c>
      <c r="Q11" s="306"/>
      <c r="S11" s="314">
        <v>3</v>
      </c>
      <c r="T11" s="315" t="s">
        <v>12</v>
      </c>
      <c r="U11" s="316">
        <f>'Reporte Componentes R1'!M358</f>
        <v>0</v>
      </c>
      <c r="V11" s="316">
        <f>'Reporte Componentes R1'!N358</f>
        <v>0</v>
      </c>
      <c r="W11" s="316">
        <f>'Reporte Componentes R1'!O358</f>
        <v>0</v>
      </c>
      <c r="X11" s="316">
        <f>'Reporte Componentes R1'!P358</f>
        <v>0</v>
      </c>
      <c r="Y11" s="316">
        <f>'Reporte Componentes R1'!Q358</f>
        <v>0</v>
      </c>
      <c r="Z11" s="319">
        <f>L11*-1</f>
        <v>0</v>
      </c>
      <c r="AA11" s="320">
        <f>'Reporte Componentes R1'!R358+'Reporte Componentes R1'!V358+'Reporte Componentes R1'!U358</f>
        <v>0</v>
      </c>
      <c r="AB11" s="294">
        <f>N11</f>
        <v>0</v>
      </c>
      <c r="AC11" s="320">
        <f>'Reporte Componentes R1'!T358+'Reporte Componentes R1'!W358+'Reporte Componentes R1'!X358+'Reporte Componentes R1'!Y358+'Reporte Componentes R1'!Z358+'Reporte Componentes R1'!S358</f>
        <v>0</v>
      </c>
      <c r="AD11" s="291">
        <f t="shared" si="2"/>
        <v>0</v>
      </c>
      <c r="AE11" s="291">
        <f>'Reporte Componentes R1'!F359</f>
        <v>0</v>
      </c>
      <c r="AF11" s="322">
        <f t="shared" ref="AF11:AF13" si="4">SUM(U11:AD11)</f>
        <v>0</v>
      </c>
      <c r="AG11" s="323">
        <f>(AF11-O11)</f>
        <v>0</v>
      </c>
      <c r="AH11" s="1" t="b">
        <f t="shared" si="3"/>
        <v>1</v>
      </c>
      <c r="AI11" s="306"/>
    </row>
    <row r="12" spans="1:35" s="305" customFormat="1" x14ac:dyDescent="0.25">
      <c r="B12" s="314">
        <v>4</v>
      </c>
      <c r="C12" s="315" t="s">
        <v>13</v>
      </c>
      <c r="D12" s="291">
        <f>'Reporte Componentes R1'!F483</f>
        <v>0</v>
      </c>
      <c r="E12" s="291">
        <f>'Reporte Componentes R1'!G483</f>
        <v>0</v>
      </c>
      <c r="F12" s="291">
        <f>'Reporte Componentes R1'!H483</f>
        <v>0</v>
      </c>
      <c r="G12" s="291">
        <f>'Reporte Componentes R1'!I483</f>
        <v>0</v>
      </c>
      <c r="H12" s="291">
        <f>'Reporte Componentes R1'!J483</f>
        <v>0</v>
      </c>
      <c r="I12" s="291">
        <f>'Reporte Componentes R1'!K483</f>
        <v>0</v>
      </c>
      <c r="J12" s="291">
        <v>0</v>
      </c>
      <c r="K12" s="295">
        <f t="shared" si="0"/>
        <v>0</v>
      </c>
      <c r="L12" s="294">
        <v>0</v>
      </c>
      <c r="M12" s="295">
        <f>K12-L12</f>
        <v>0</v>
      </c>
      <c r="N12" s="294">
        <f>'Reporte Componentes R1'!L483</f>
        <v>0</v>
      </c>
      <c r="O12" s="295">
        <f t="shared" si="1"/>
        <v>0</v>
      </c>
      <c r="Q12" s="306"/>
      <c r="S12" s="314">
        <v>4</v>
      </c>
      <c r="T12" s="315" t="s">
        <v>13</v>
      </c>
      <c r="U12" s="316">
        <f>'Reporte Componentes R1'!M483</f>
        <v>0</v>
      </c>
      <c r="V12" s="316">
        <f>'Reporte Componentes R1'!N483</f>
        <v>0</v>
      </c>
      <c r="W12" s="316">
        <f>'Reporte Componentes R1'!O483</f>
        <v>0</v>
      </c>
      <c r="X12" s="316">
        <f>'Reporte Componentes R1'!P483</f>
        <v>0</v>
      </c>
      <c r="Y12" s="316">
        <f>'Reporte Componentes R1'!Q483</f>
        <v>0</v>
      </c>
      <c r="Z12" s="319">
        <f>L12*-1</f>
        <v>0</v>
      </c>
      <c r="AA12" s="320">
        <f>'Reporte Componentes R1'!R483+'Reporte Componentes R1'!V483+'Reporte Componentes R1'!U483</f>
        <v>0</v>
      </c>
      <c r="AB12" s="294">
        <f>N12</f>
        <v>0</v>
      </c>
      <c r="AC12" s="320">
        <f>'Reporte Componentes R1'!T483+'Reporte Componentes R1'!W483+'Reporte Componentes R1'!X483+'Reporte Componentes R1'!Y483+'Reporte Componentes R1'!Z483+'Reporte Componentes R1'!S483</f>
        <v>0</v>
      </c>
      <c r="AD12" s="291">
        <f t="shared" si="2"/>
        <v>0</v>
      </c>
      <c r="AE12" s="291">
        <f>'Reporte Componentes R1'!F484</f>
        <v>0</v>
      </c>
      <c r="AF12" s="322">
        <f t="shared" si="4"/>
        <v>0</v>
      </c>
      <c r="AG12" s="323">
        <f>(AF12-O12)</f>
        <v>0</v>
      </c>
      <c r="AH12" s="1" t="b">
        <f t="shared" si="3"/>
        <v>1</v>
      </c>
      <c r="AI12" s="306"/>
    </row>
    <row r="13" spans="1:35" s="305" customFormat="1" ht="12" thickBot="1" x14ac:dyDescent="0.3">
      <c r="B13" s="324">
        <v>5</v>
      </c>
      <c r="C13" s="325" t="s">
        <v>14</v>
      </c>
      <c r="D13" s="296">
        <f>'Reporte Componentes R1'!F573</f>
        <v>26864220</v>
      </c>
      <c r="E13" s="296">
        <f>'Reporte Componentes R1'!G573</f>
        <v>1901488.25</v>
      </c>
      <c r="F13" s="296">
        <f>'Reporte Componentes R1'!H573</f>
        <v>1046824.27</v>
      </c>
      <c r="G13" s="296">
        <f>'Reporte Componentes R1'!I573</f>
        <v>567773.57999999996</v>
      </c>
      <c r="H13" s="296">
        <f>'Reporte Componentes R1'!J573</f>
        <v>6845302.7000000002</v>
      </c>
      <c r="I13" s="296">
        <f>'Reporte Componentes R1'!K573</f>
        <v>247794.92</v>
      </c>
      <c r="J13" s="296">
        <v>0</v>
      </c>
      <c r="K13" s="295">
        <f t="shared" si="0"/>
        <v>16255036.280000003</v>
      </c>
      <c r="L13" s="294">
        <v>0</v>
      </c>
      <c r="M13" s="298">
        <f>K13-L13</f>
        <v>16255036.280000003</v>
      </c>
      <c r="N13" s="299">
        <f>'Reporte Componentes R1'!L573</f>
        <v>0</v>
      </c>
      <c r="O13" s="298">
        <f>M13+N13</f>
        <v>16255036.280000003</v>
      </c>
      <c r="Q13" s="306"/>
      <c r="S13" s="324">
        <v>5</v>
      </c>
      <c r="T13" s="325" t="s">
        <v>14</v>
      </c>
      <c r="U13" s="296">
        <f>'Reporte Componentes R1'!M573</f>
        <v>2162004.0299999998</v>
      </c>
      <c r="V13" s="296">
        <f>'Reporte Componentes R1'!N573</f>
        <v>2129267.87</v>
      </c>
      <c r="W13" s="296">
        <f>'Reporte Componentes R1'!O573</f>
        <v>11087908.49</v>
      </c>
      <c r="X13" s="296">
        <f>'Reporte Componentes R1'!P573</f>
        <v>5438800.2300000004</v>
      </c>
      <c r="Y13" s="296">
        <f>'Reporte Componentes R1'!Q573</f>
        <v>407765.67</v>
      </c>
      <c r="Z13" s="319">
        <f>L13*-1</f>
        <v>0</v>
      </c>
      <c r="AA13" s="320">
        <f>'Reporte Componentes R1'!R573+'Reporte Componentes R1'!V573+'Reporte Componentes R1'!U573</f>
        <v>87.55</v>
      </c>
      <c r="AB13" s="294">
        <f>N13</f>
        <v>0</v>
      </c>
      <c r="AC13" s="320">
        <f>'Reporte Componentes R1'!T573+'Reporte Componentes R1'!W573+'Reporte Componentes R1'!X573+'Reporte Componentes R1'!Y573+'Reporte Componentes R1'!Z573+'Reporte Componentes R1'!S573</f>
        <v>0</v>
      </c>
      <c r="AD13" s="291">
        <f t="shared" si="2"/>
        <v>-4970797.5599999996</v>
      </c>
      <c r="AE13" s="291">
        <f>'Reporte Componentes R1'!F574</f>
        <v>-4970797.5599999996</v>
      </c>
      <c r="AF13" s="322">
        <f t="shared" si="4"/>
        <v>16255036.280000005</v>
      </c>
      <c r="AG13" s="326">
        <f>(AF13-O13)</f>
        <v>1.862645149230957E-9</v>
      </c>
      <c r="AH13" s="1" t="b">
        <f t="shared" si="3"/>
        <v>1</v>
      </c>
      <c r="AI13" s="306"/>
    </row>
    <row r="14" spans="1:35" s="305" customFormat="1" ht="13.5" thickBot="1" x14ac:dyDescent="0.35">
      <c r="B14" s="327"/>
      <c r="C14" s="328" t="s">
        <v>2</v>
      </c>
      <c r="D14" s="290">
        <f>SUM(D9:D13)</f>
        <v>26864220</v>
      </c>
      <c r="E14" s="290">
        <f t="shared" ref="E14:O14" si="5">SUM(E9:E13)</f>
        <v>1901488.25</v>
      </c>
      <c r="F14" s="290">
        <f t="shared" si="5"/>
        <v>1046824.27</v>
      </c>
      <c r="G14" s="290">
        <f t="shared" si="5"/>
        <v>567773.57999999996</v>
      </c>
      <c r="H14" s="290">
        <f t="shared" si="5"/>
        <v>6845302.7000000002</v>
      </c>
      <c r="I14" s="290">
        <f t="shared" si="5"/>
        <v>247794.92</v>
      </c>
      <c r="J14" s="290">
        <f t="shared" si="5"/>
        <v>0</v>
      </c>
      <c r="K14" s="300">
        <f t="shared" si="5"/>
        <v>16255036.280000003</v>
      </c>
      <c r="L14" s="301">
        <f>SUM(L9:L13)</f>
        <v>0</v>
      </c>
      <c r="M14" s="302">
        <f t="shared" si="5"/>
        <v>16255036.280000003</v>
      </c>
      <c r="N14" s="301">
        <f t="shared" si="5"/>
        <v>0</v>
      </c>
      <c r="O14" s="302">
        <f t="shared" si="5"/>
        <v>16255036.280000003</v>
      </c>
      <c r="P14" s="329"/>
      <c r="Q14" s="306"/>
      <c r="S14" s="327"/>
      <c r="T14" s="328" t="s">
        <v>2</v>
      </c>
      <c r="U14" s="330">
        <f>SUM(U9:U13)</f>
        <v>2162004.0299999998</v>
      </c>
      <c r="V14" s="330">
        <f t="shared" ref="V14:AF14" si="6">SUM(V9:V13)</f>
        <v>2129267.87</v>
      </c>
      <c r="W14" s="330">
        <f t="shared" si="6"/>
        <v>11087908.49</v>
      </c>
      <c r="X14" s="330">
        <f t="shared" si="6"/>
        <v>5438800.2300000004</v>
      </c>
      <c r="Y14" s="330">
        <f t="shared" si="6"/>
        <v>407765.67</v>
      </c>
      <c r="Z14" s="290">
        <f t="shared" si="6"/>
        <v>0</v>
      </c>
      <c r="AA14" s="290">
        <f t="shared" si="6"/>
        <v>87.55</v>
      </c>
      <c r="AB14" s="290">
        <f t="shared" si="6"/>
        <v>0</v>
      </c>
      <c r="AC14" s="290">
        <f t="shared" si="6"/>
        <v>0</v>
      </c>
      <c r="AD14" s="290">
        <f>SUM(AD9:AD13)</f>
        <v>-4970797.5599999996</v>
      </c>
      <c r="AE14" s="290">
        <f>SUM(AE9:AE13)</f>
        <v>-4970797.5599999996</v>
      </c>
      <c r="AF14" s="331">
        <f t="shared" si="6"/>
        <v>16255036.280000005</v>
      </c>
      <c r="AG14" s="332">
        <f>SUM(AG9:AG13)</f>
        <v>1.862645149230957E-9</v>
      </c>
      <c r="AH14" s="1" t="b">
        <f t="shared" si="3"/>
        <v>1</v>
      </c>
      <c r="AI14" s="306"/>
    </row>
    <row r="15" spans="1:35" ht="12" thickBot="1" x14ac:dyDescent="0.3">
      <c r="B15" s="2"/>
      <c r="C15" s="2"/>
      <c r="D15" s="24"/>
      <c r="E15" s="24"/>
      <c r="F15" s="24"/>
      <c r="G15" s="24"/>
      <c r="H15" s="24"/>
      <c r="I15" s="24"/>
      <c r="K15" s="24"/>
      <c r="L15" s="24"/>
      <c r="M15" s="24"/>
      <c r="N15" s="24"/>
      <c r="O15" s="24"/>
      <c r="Q15" s="4"/>
      <c r="S15" s="2"/>
      <c r="T15" s="2"/>
      <c r="U15" s="24"/>
      <c r="V15" s="24"/>
      <c r="W15" s="24"/>
      <c r="X15" s="24"/>
      <c r="Y15" s="24"/>
      <c r="AF15" s="24"/>
      <c r="AI15" s="4"/>
    </row>
    <row r="16" spans="1:35" ht="12" thickBot="1" x14ac:dyDescent="0.3">
      <c r="B16" s="2"/>
      <c r="C16" s="2"/>
      <c r="D16" s="24"/>
      <c r="E16" s="24" t="s">
        <v>1</v>
      </c>
      <c r="F16" s="24" t="s">
        <v>1</v>
      </c>
      <c r="G16" s="24"/>
      <c r="H16" s="24" t="s">
        <v>1</v>
      </c>
      <c r="I16" s="24" t="s">
        <v>1</v>
      </c>
      <c r="K16" s="24"/>
      <c r="L16" s="24" t="s">
        <v>1</v>
      </c>
      <c r="M16" s="24"/>
      <c r="N16" s="24"/>
      <c r="O16" s="24"/>
      <c r="Q16" s="4"/>
      <c r="Y16" s="86">
        <f>SUM(U14:Y14)</f>
        <v>21225746.290000003</v>
      </c>
      <c r="AA16" s="1" t="s">
        <v>1</v>
      </c>
      <c r="AB16" s="1" t="s">
        <v>1</v>
      </c>
      <c r="AD16" s="1" t="s">
        <v>1</v>
      </c>
      <c r="AF16" s="1" t="s">
        <v>1</v>
      </c>
      <c r="AI16" s="4"/>
    </row>
    <row r="17" spans="1:35" ht="12" thickBot="1" x14ac:dyDescent="0.3">
      <c r="B17" s="2"/>
      <c r="C17" s="2"/>
      <c r="D17" s="24" t="s">
        <v>1</v>
      </c>
      <c r="E17" s="33"/>
      <c r="F17" s="33"/>
      <c r="G17" s="33"/>
      <c r="H17" s="33"/>
      <c r="I17" s="24" t="s">
        <v>1</v>
      </c>
      <c r="K17" s="24"/>
      <c r="L17" s="24" t="s">
        <v>1</v>
      </c>
      <c r="M17" s="24"/>
      <c r="N17" s="24"/>
      <c r="O17" s="24"/>
      <c r="Q17" s="4"/>
      <c r="AI17" s="4"/>
    </row>
    <row r="18" spans="1:35" x14ac:dyDescent="0.25">
      <c r="B18" s="2"/>
      <c r="C18" s="2"/>
      <c r="D18" s="24" t="s">
        <v>1</v>
      </c>
      <c r="E18" s="24" t="s">
        <v>1</v>
      </c>
      <c r="F18" s="24" t="s">
        <v>25</v>
      </c>
      <c r="G18" s="24"/>
      <c r="H18" s="24"/>
      <c r="I18" s="241"/>
      <c r="K18" s="24"/>
      <c r="L18" s="24"/>
      <c r="M18" s="24"/>
      <c r="N18" s="24"/>
      <c r="O18" s="24"/>
      <c r="Q18" s="4"/>
      <c r="AI18" s="4"/>
    </row>
    <row r="19" spans="1:35" x14ac:dyDescent="0.25">
      <c r="A19" s="4"/>
      <c r="B19" s="34"/>
      <c r="C19" s="34"/>
      <c r="D19" s="35"/>
      <c r="E19" s="35"/>
      <c r="F19" s="35"/>
      <c r="G19" s="35"/>
      <c r="H19" s="35"/>
      <c r="I19" s="35"/>
      <c r="J19" s="4"/>
      <c r="K19" s="35"/>
      <c r="L19" s="35"/>
      <c r="M19" s="35"/>
      <c r="N19" s="35"/>
      <c r="O19" s="35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  <c r="AE19" s="4"/>
      <c r="AF19" s="4"/>
      <c r="AG19" s="4"/>
      <c r="AH19" s="4"/>
      <c r="AI19" s="4"/>
    </row>
    <row r="20" spans="1:35" ht="12" thickBot="1" x14ac:dyDescent="0.3">
      <c r="Q20" s="4"/>
      <c r="AI20" s="4"/>
    </row>
    <row r="21" spans="1:35" x14ac:dyDescent="0.25">
      <c r="B21" s="5"/>
      <c r="C21" s="3" t="s">
        <v>1</v>
      </c>
      <c r="D21" s="6" t="s">
        <v>1</v>
      </c>
      <c r="E21" s="3"/>
      <c r="F21" s="3"/>
      <c r="G21" s="3"/>
      <c r="H21" s="3" t="s">
        <v>1</v>
      </c>
      <c r="I21" s="3"/>
      <c r="J21" s="3"/>
      <c r="K21" s="3"/>
      <c r="L21" s="3"/>
      <c r="M21" s="3"/>
      <c r="N21" s="3"/>
      <c r="O21" s="7"/>
      <c r="P21" s="2"/>
      <c r="Q21" s="4"/>
      <c r="S21" s="5"/>
      <c r="T21" s="3" t="s">
        <v>1</v>
      </c>
      <c r="U21" s="6" t="s">
        <v>1</v>
      </c>
      <c r="V21" s="3"/>
      <c r="W21" s="3"/>
      <c r="X21" s="3" t="s">
        <v>1</v>
      </c>
      <c r="Y21" s="3"/>
      <c r="Z21" s="3"/>
      <c r="AA21" s="3"/>
      <c r="AB21" s="3"/>
      <c r="AC21" s="3"/>
      <c r="AD21" s="3"/>
      <c r="AE21" s="3"/>
      <c r="AF21" s="7"/>
      <c r="AG21" s="2"/>
      <c r="AI21" s="4"/>
    </row>
    <row r="22" spans="1:35" ht="14" x14ac:dyDescent="0.3">
      <c r="B22" s="8"/>
      <c r="F22" s="26" t="s">
        <v>8</v>
      </c>
      <c r="G22" s="26"/>
      <c r="I22" s="26" t="s">
        <v>16</v>
      </c>
      <c r="J22" s="25"/>
      <c r="M22" s="2" t="s">
        <v>15</v>
      </c>
      <c r="N22" s="50">
        <f>N3</f>
        <v>2026072</v>
      </c>
      <c r="O22" s="10"/>
      <c r="P22" s="2"/>
      <c r="Q22" s="4"/>
      <c r="S22" s="8"/>
      <c r="U22" s="26" t="s">
        <v>8</v>
      </c>
      <c r="W22" s="26" t="s">
        <v>16</v>
      </c>
      <c r="X22" s="25"/>
      <c r="Y22" s="2"/>
      <c r="AA22" s="2" t="s">
        <v>15</v>
      </c>
      <c r="AD22" s="84">
        <f>N22</f>
        <v>2026072</v>
      </c>
      <c r="AE22" s="84"/>
      <c r="AF22" s="48"/>
      <c r="AG22" s="2"/>
      <c r="AI22" s="4"/>
    </row>
    <row r="23" spans="1:35" ht="15.5" x14ac:dyDescent="0.35">
      <c r="B23" s="8"/>
      <c r="F23" s="36" t="s">
        <v>29</v>
      </c>
      <c r="G23" s="36"/>
      <c r="O23" s="10"/>
      <c r="P23" s="2"/>
      <c r="Q23" s="4"/>
      <c r="S23" s="8"/>
      <c r="T23" s="26" t="s">
        <v>1</v>
      </c>
      <c r="U23" s="36" t="s">
        <v>29</v>
      </c>
      <c r="Y23" s="2" t="s">
        <v>1</v>
      </c>
      <c r="AA23" s="50" t="s">
        <v>1</v>
      </c>
      <c r="AB23" s="2"/>
      <c r="AC23" s="2"/>
      <c r="AD23" s="2"/>
      <c r="AE23" s="2"/>
      <c r="AF23" s="10" t="s">
        <v>1</v>
      </c>
      <c r="AG23" s="2"/>
      <c r="AI23" s="4"/>
    </row>
    <row r="24" spans="1:35" ht="14" x14ac:dyDescent="0.3">
      <c r="B24" s="8"/>
      <c r="F24" s="2" t="s">
        <v>30</v>
      </c>
      <c r="G24" s="2"/>
      <c r="M24" s="2" t="s">
        <v>1</v>
      </c>
      <c r="O24" s="10"/>
      <c r="P24" s="2"/>
      <c r="Q24" s="4"/>
      <c r="S24" s="8"/>
      <c r="T24" s="49" t="s">
        <v>1</v>
      </c>
      <c r="U24" s="2" t="s">
        <v>30</v>
      </c>
      <c r="AF24" s="44"/>
      <c r="AG24" s="2"/>
      <c r="AI24" s="4"/>
    </row>
    <row r="25" spans="1:35" ht="15.5" x14ac:dyDescent="0.35">
      <c r="B25" s="8"/>
      <c r="C25" s="599" t="s">
        <v>17</v>
      </c>
      <c r="D25" s="9">
        <f>D6</f>
        <v>46238</v>
      </c>
      <c r="F25" s="41" t="s">
        <v>31</v>
      </c>
      <c r="G25" s="41"/>
      <c r="H25" s="2"/>
      <c r="J25" s="2"/>
      <c r="O25" s="10"/>
      <c r="P25" s="2"/>
      <c r="Q25" s="4"/>
      <c r="S25" s="8"/>
      <c r="T25" s="41" t="s">
        <v>1</v>
      </c>
      <c r="U25" s="41" t="s">
        <v>31</v>
      </c>
      <c r="V25" s="2"/>
      <c r="X25" s="2"/>
      <c r="Y25" s="2"/>
      <c r="AF25" s="48"/>
      <c r="AG25" s="2"/>
      <c r="AI25" s="4"/>
    </row>
    <row r="26" spans="1:35" ht="12" thickBot="1" x14ac:dyDescent="0.3">
      <c r="B26" s="8"/>
      <c r="C26" s="599" t="s">
        <v>0</v>
      </c>
      <c r="D26" s="241">
        <f>D7</f>
        <v>0.58333333333333337</v>
      </c>
      <c r="F26" s="2" t="s">
        <v>27</v>
      </c>
      <c r="G26" s="9">
        <f>G7</f>
        <v>46219</v>
      </c>
      <c r="J26" s="2" t="s">
        <v>28</v>
      </c>
      <c r="K26" s="9">
        <f>K7</f>
        <v>46234</v>
      </c>
      <c r="O26" s="10"/>
      <c r="P26" s="2"/>
      <c r="Q26" s="4"/>
      <c r="S26" s="8"/>
      <c r="U26" s="1" t="str">
        <f>F26</f>
        <v>Fecha Desde:</v>
      </c>
      <c r="V26" s="9">
        <f>G26</f>
        <v>46219</v>
      </c>
      <c r="W26" s="1" t="s">
        <v>1</v>
      </c>
      <c r="X26" s="1" t="str">
        <f>J26</f>
        <v>Feha Hasta:</v>
      </c>
      <c r="Y26" s="9">
        <f>K26</f>
        <v>46234</v>
      </c>
      <c r="Z26" s="1" t="s">
        <v>1</v>
      </c>
      <c r="AF26" s="48"/>
      <c r="AG26" s="2"/>
      <c r="AI26" s="4"/>
    </row>
    <row r="27" spans="1:35" ht="72" customHeight="1" thickBot="1" x14ac:dyDescent="0.3">
      <c r="B27" s="11" t="s">
        <v>3</v>
      </c>
      <c r="C27" s="27" t="s">
        <v>9</v>
      </c>
      <c r="D27" s="11" t="s">
        <v>4</v>
      </c>
      <c r="E27" s="12" t="s">
        <v>5</v>
      </c>
      <c r="F27" s="27" t="s">
        <v>6</v>
      </c>
      <c r="G27" s="27" t="s">
        <v>159</v>
      </c>
      <c r="H27" s="27" t="s">
        <v>18</v>
      </c>
      <c r="I27" s="12" t="s">
        <v>24</v>
      </c>
      <c r="J27" s="73" t="s">
        <v>19</v>
      </c>
      <c r="K27" s="29" t="s">
        <v>20</v>
      </c>
      <c r="L27" s="28" t="s">
        <v>21</v>
      </c>
      <c r="M27" s="39" t="s">
        <v>22</v>
      </c>
      <c r="N27" s="12" t="s">
        <v>7</v>
      </c>
      <c r="O27" s="39" t="s">
        <v>23</v>
      </c>
      <c r="P27" s="13"/>
      <c r="Q27" s="4"/>
      <c r="S27" s="11" t="s">
        <v>3</v>
      </c>
      <c r="T27" s="27" t="s">
        <v>9</v>
      </c>
      <c r="U27" s="162" t="s">
        <v>39</v>
      </c>
      <c r="V27" s="163" t="s">
        <v>40</v>
      </c>
      <c r="W27" s="163" t="s">
        <v>41</v>
      </c>
      <c r="X27" s="163" t="s">
        <v>42</v>
      </c>
      <c r="Y27" s="164" t="s">
        <v>43</v>
      </c>
      <c r="Z27" s="85" t="s">
        <v>21</v>
      </c>
      <c r="AA27" s="65" t="s">
        <v>46</v>
      </c>
      <c r="AB27" s="65" t="s">
        <v>7</v>
      </c>
      <c r="AC27" s="85" t="s">
        <v>168</v>
      </c>
      <c r="AD27" s="121" t="s">
        <v>107</v>
      </c>
      <c r="AE27" s="121" t="s">
        <v>226</v>
      </c>
      <c r="AF27" s="39" t="s">
        <v>23</v>
      </c>
      <c r="AG27" s="13"/>
      <c r="AI27" s="4"/>
    </row>
    <row r="28" spans="1:35" s="305" customFormat="1" x14ac:dyDescent="0.25">
      <c r="B28" s="303">
        <v>1</v>
      </c>
      <c r="C28" s="304" t="s">
        <v>10</v>
      </c>
      <c r="D28" s="291">
        <f>'Rem. Anticipos R2'!E52</f>
        <v>0</v>
      </c>
      <c r="E28" s="291">
        <f>'Rem. Anticipos R2'!F52</f>
        <v>0</v>
      </c>
      <c r="F28" s="291">
        <f>'Rem. Anticipos R2'!G52</f>
        <v>0</v>
      </c>
      <c r="G28" s="291">
        <f>'Rem. Anticipos R2'!H52</f>
        <v>0</v>
      </c>
      <c r="H28" s="291">
        <f>'Rem. Anticipos R2'!I52</f>
        <v>0</v>
      </c>
      <c r="I28" s="291">
        <f>'Rem. Anticipos R2'!J52</f>
        <v>0</v>
      </c>
      <c r="J28" s="291">
        <v>0</v>
      </c>
      <c r="K28" s="293">
        <f>D28-E28-F28-G28-H28-I28-J28</f>
        <v>0</v>
      </c>
      <c r="L28" s="294">
        <v>0</v>
      </c>
      <c r="M28" s="293">
        <f>K28-L28</f>
        <v>0</v>
      </c>
      <c r="N28" s="294">
        <f>'Rem. Anticipos R2'!K52</f>
        <v>0</v>
      </c>
      <c r="O28" s="293">
        <f>M28+N28</f>
        <v>0</v>
      </c>
      <c r="Q28" s="306"/>
      <c r="S28" s="303">
        <v>1</v>
      </c>
      <c r="T28" s="304" t="s">
        <v>10</v>
      </c>
      <c r="U28" s="307">
        <f>'Rem. Anticipos R2'!L52</f>
        <v>0</v>
      </c>
      <c r="V28" s="307">
        <f>'Rem. Anticipos R2'!M52</f>
        <v>0</v>
      </c>
      <c r="W28" s="307">
        <f>'Rem. Anticipos R2'!N52</f>
        <v>0</v>
      </c>
      <c r="X28" s="307">
        <f>'Rem. Anticipos R2'!O52</f>
        <v>0</v>
      </c>
      <c r="Y28" s="307">
        <f>'Rem. Anticipos R2'!P52</f>
        <v>0</v>
      </c>
      <c r="Z28" s="310">
        <f>L28*-1</f>
        <v>0</v>
      </c>
      <c r="AA28" s="311">
        <f>'Rem. Anticipos R2'!Q52</f>
        <v>0</v>
      </c>
      <c r="AB28" s="294">
        <f>N28</f>
        <v>0</v>
      </c>
      <c r="AC28" s="311">
        <f>'Rem. Anticipos R2'!R52</f>
        <v>0</v>
      </c>
      <c r="AD28" s="291">
        <f>-J28+AE28</f>
        <v>0</v>
      </c>
      <c r="AE28" s="291">
        <f>'Rem. Anticipos R2'!E53</f>
        <v>0</v>
      </c>
      <c r="AF28" s="313">
        <f>SUM(U28:AD28)</f>
        <v>0</v>
      </c>
      <c r="AG28" s="311">
        <f>(AF28-O28)</f>
        <v>0</v>
      </c>
      <c r="AH28" s="1" t="b">
        <f>INT(AG28)=0</f>
        <v>1</v>
      </c>
      <c r="AI28" s="306"/>
    </row>
    <row r="29" spans="1:35" s="305" customFormat="1" x14ac:dyDescent="0.25">
      <c r="B29" s="314">
        <v>2</v>
      </c>
      <c r="C29" s="315" t="s">
        <v>11</v>
      </c>
      <c r="D29" s="291">
        <f>'Rem. Anticipos R2'!E148</f>
        <v>0</v>
      </c>
      <c r="E29" s="292">
        <f>'Rem. Anticipos R2'!F148</f>
        <v>0</v>
      </c>
      <c r="F29" s="292">
        <f>'Rem. Anticipos R2'!G148</f>
        <v>0</v>
      </c>
      <c r="G29" s="292">
        <f>'Rem. Anticipos R2'!H148</f>
        <v>0</v>
      </c>
      <c r="H29" s="292">
        <f>'Rem. Anticipos R2'!I148</f>
        <v>0</v>
      </c>
      <c r="I29" s="292">
        <f>'Rem. Anticipos R2'!J148</f>
        <v>0</v>
      </c>
      <c r="J29" s="288">
        <v>0</v>
      </c>
      <c r="K29" s="295">
        <f>D29-E29-F29-G29-H29-I29-J29</f>
        <v>0</v>
      </c>
      <c r="L29" s="294">
        <v>0</v>
      </c>
      <c r="M29" s="295">
        <f>K29-L29</f>
        <v>0</v>
      </c>
      <c r="N29" s="294">
        <f>'Rem. Anticipos R2'!K148</f>
        <v>0</v>
      </c>
      <c r="O29" s="295">
        <f t="shared" ref="O29:O32" si="7">M29+N29</f>
        <v>0</v>
      </c>
      <c r="Q29" s="306"/>
      <c r="S29" s="314">
        <v>2</v>
      </c>
      <c r="T29" s="315" t="s">
        <v>11</v>
      </c>
      <c r="U29" s="316">
        <f>'Rem. Anticipos R2'!L148</f>
        <v>0</v>
      </c>
      <c r="V29" s="317">
        <f>'Rem. Anticipos R2'!M148</f>
        <v>0</v>
      </c>
      <c r="W29" s="317">
        <f>'Rem. Anticipos R2'!N148</f>
        <v>0</v>
      </c>
      <c r="X29" s="317">
        <f>'Rem. Anticipos R2'!O148</f>
        <v>0</v>
      </c>
      <c r="Y29" s="318">
        <f>'Rem. Anticipos R2'!P148</f>
        <v>0</v>
      </c>
      <c r="Z29" s="319">
        <f>L29*-1</f>
        <v>0</v>
      </c>
      <c r="AA29" s="320">
        <f>'Rem. Anticipos R2'!Q148</f>
        <v>0</v>
      </c>
      <c r="AB29" s="294">
        <f>N29</f>
        <v>0</v>
      </c>
      <c r="AC29" s="320">
        <f>'Rem. Anticipos R2'!R148</f>
        <v>0</v>
      </c>
      <c r="AD29" s="291">
        <f>-J29+AE29</f>
        <v>0</v>
      </c>
      <c r="AE29" s="291">
        <f>'Rem. Anticipos R2'!E149</f>
        <v>0</v>
      </c>
      <c r="AF29" s="322">
        <f>SUM(U29:AD29)</f>
        <v>0</v>
      </c>
      <c r="AG29" s="323">
        <f>(AF29-O29)</f>
        <v>0</v>
      </c>
      <c r="AH29" s="1" t="b">
        <f t="shared" ref="AH29:AH33" si="8">INT(AG29)=0</f>
        <v>1</v>
      </c>
      <c r="AI29" s="306"/>
    </row>
    <row r="30" spans="1:35" s="305" customFormat="1" x14ac:dyDescent="0.25">
      <c r="B30" s="314">
        <v>3</v>
      </c>
      <c r="C30" s="315" t="s">
        <v>12</v>
      </c>
      <c r="D30" s="291">
        <f>'Rem. Anticipos R2'!E265</f>
        <v>0</v>
      </c>
      <c r="E30" s="291">
        <f>'Rem. Anticipos R2'!F265</f>
        <v>0</v>
      </c>
      <c r="F30" s="291">
        <f>'Rem. Anticipos R2'!G265</f>
        <v>0</v>
      </c>
      <c r="G30" s="291">
        <f>'Rem. Anticipos R2'!H265</f>
        <v>0</v>
      </c>
      <c r="H30" s="291">
        <f>'Rem. Anticipos R2'!I265</f>
        <v>0</v>
      </c>
      <c r="I30" s="291">
        <f>'Rem. Anticipos R2'!J265</f>
        <v>0</v>
      </c>
      <c r="J30" s="288">
        <v>0</v>
      </c>
      <c r="K30" s="295">
        <f t="shared" ref="K30:K31" si="9">D30-E30-F30-G30-H30-I30-J30</f>
        <v>0</v>
      </c>
      <c r="L30" s="294">
        <v>0</v>
      </c>
      <c r="M30" s="295">
        <f>K30-L30</f>
        <v>0</v>
      </c>
      <c r="N30" s="294">
        <f>'Rem. Anticipos R2'!K265</f>
        <v>0</v>
      </c>
      <c r="O30" s="295">
        <f t="shared" si="7"/>
        <v>0</v>
      </c>
      <c r="Q30" s="306"/>
      <c r="S30" s="314">
        <v>3</v>
      </c>
      <c r="T30" s="315" t="s">
        <v>12</v>
      </c>
      <c r="U30" s="316">
        <f>'Rem. Anticipos R2'!L265</f>
        <v>0</v>
      </c>
      <c r="V30" s="316">
        <f>'Rem. Anticipos R2'!M265</f>
        <v>0</v>
      </c>
      <c r="W30" s="316">
        <f>'Rem. Anticipos R2'!N265</f>
        <v>0</v>
      </c>
      <c r="X30" s="316">
        <f>'Rem. Anticipos R2'!O265</f>
        <v>0</v>
      </c>
      <c r="Y30" s="316">
        <f>'Rem. Anticipos R2'!P265</f>
        <v>0</v>
      </c>
      <c r="Z30" s="319">
        <f>L30*-1</f>
        <v>0</v>
      </c>
      <c r="AA30" s="320">
        <f>'Rem. Anticipos R2'!Q265</f>
        <v>0</v>
      </c>
      <c r="AB30" s="294">
        <f>N30</f>
        <v>0</v>
      </c>
      <c r="AC30" s="320">
        <f>'Rem. Anticipos R2'!R265</f>
        <v>0</v>
      </c>
      <c r="AD30" s="291">
        <f t="shared" ref="AD30:AD32" si="10">-J30+AE30</f>
        <v>0</v>
      </c>
      <c r="AE30" s="291">
        <f>'Rem. Anticipos R2'!E266</f>
        <v>0</v>
      </c>
      <c r="AF30" s="322">
        <f>SUM(U30:AD30)</f>
        <v>0</v>
      </c>
      <c r="AG30" s="323">
        <f t="shared" ref="AG30:AG31" si="11">(AF30-O30)</f>
        <v>0</v>
      </c>
      <c r="AH30" s="1" t="b">
        <f t="shared" si="8"/>
        <v>1</v>
      </c>
      <c r="AI30" s="306"/>
    </row>
    <row r="31" spans="1:35" s="305" customFormat="1" x14ac:dyDescent="0.25">
      <c r="B31" s="314">
        <v>4</v>
      </c>
      <c r="C31" s="315" t="s">
        <v>13</v>
      </c>
      <c r="D31" s="291">
        <f>'Rem. Anticipos R2'!E367</f>
        <v>0</v>
      </c>
      <c r="E31" s="291">
        <f>'Rem. Anticipos R2'!F367</f>
        <v>0</v>
      </c>
      <c r="F31" s="291">
        <f>'Rem. Anticipos R2'!G367</f>
        <v>0</v>
      </c>
      <c r="G31" s="291">
        <f>'Rem. Anticipos R2'!H367</f>
        <v>0</v>
      </c>
      <c r="H31" s="291">
        <f>'Rem. Anticipos R2'!I367</f>
        <v>0</v>
      </c>
      <c r="I31" s="291">
        <f>'Rem. Anticipos R2'!J367</f>
        <v>0</v>
      </c>
      <c r="J31" s="288">
        <v>0</v>
      </c>
      <c r="K31" s="295">
        <f t="shared" si="9"/>
        <v>0</v>
      </c>
      <c r="L31" s="294">
        <v>0</v>
      </c>
      <c r="M31" s="295">
        <f>K31-L31</f>
        <v>0</v>
      </c>
      <c r="N31" s="294">
        <f>'Rem. Anticipos R2'!K367</f>
        <v>0</v>
      </c>
      <c r="O31" s="295">
        <f t="shared" si="7"/>
        <v>0</v>
      </c>
      <c r="Q31" s="306"/>
      <c r="S31" s="314">
        <v>4</v>
      </c>
      <c r="T31" s="315" t="s">
        <v>13</v>
      </c>
      <c r="U31" s="316">
        <f>'Rem. Anticipos R2'!L367</f>
        <v>0</v>
      </c>
      <c r="V31" s="316">
        <f>'Rem. Anticipos R2'!M367</f>
        <v>0</v>
      </c>
      <c r="W31" s="316">
        <f>'Rem. Anticipos R2'!N367</f>
        <v>0</v>
      </c>
      <c r="X31" s="316">
        <f>'Rem. Anticipos R2'!O367</f>
        <v>0</v>
      </c>
      <c r="Y31" s="316">
        <f>'Rem. Anticipos R2'!P367</f>
        <v>0</v>
      </c>
      <c r="Z31" s="319">
        <f>L31*-1</f>
        <v>0</v>
      </c>
      <c r="AA31" s="320">
        <f>'Rem. Anticipos R2'!Q367</f>
        <v>0</v>
      </c>
      <c r="AB31" s="294">
        <f>N31</f>
        <v>0</v>
      </c>
      <c r="AC31" s="320">
        <f>'Rem. Anticipos R2'!R367</f>
        <v>0</v>
      </c>
      <c r="AD31" s="291">
        <f t="shared" si="10"/>
        <v>0</v>
      </c>
      <c r="AE31" s="291">
        <f>'Rem. Anticipos R2'!E368</f>
        <v>0</v>
      </c>
      <c r="AF31" s="322">
        <f>SUM(U31:AD31)</f>
        <v>0</v>
      </c>
      <c r="AG31" s="323">
        <f t="shared" si="11"/>
        <v>0</v>
      </c>
      <c r="AH31" s="1" t="b">
        <f t="shared" si="8"/>
        <v>1</v>
      </c>
      <c r="AI31" s="306"/>
    </row>
    <row r="32" spans="1:35" s="305" customFormat="1" ht="12" thickBot="1" x14ac:dyDescent="0.3">
      <c r="B32" s="324">
        <v>5</v>
      </c>
      <c r="C32" s="325" t="s">
        <v>14</v>
      </c>
      <c r="D32" s="296">
        <f>'Rem. Anticipos R2'!E447</f>
        <v>6242402.4799999995</v>
      </c>
      <c r="E32" s="296">
        <f>'Rem. Anticipos R2'!F447</f>
        <v>452527.33</v>
      </c>
      <c r="F32" s="296">
        <f>'Rem. Anticipos R2'!G447</f>
        <v>258109.06</v>
      </c>
      <c r="G32" s="296">
        <f>'Rem. Anticipos R2'!H447</f>
        <v>110591.63</v>
      </c>
      <c r="H32" s="296">
        <f>'Rem. Anticipos R2'!I447</f>
        <v>1818962.03</v>
      </c>
      <c r="I32" s="296">
        <f>'Rem. Anticipos R2'!J447</f>
        <v>58814.97</v>
      </c>
      <c r="J32" s="289">
        <v>0</v>
      </c>
      <c r="K32" s="295">
        <f>D32-E32-F32-G32-H32-I32-J32</f>
        <v>3543397.4599999995</v>
      </c>
      <c r="L32" s="294">
        <v>0</v>
      </c>
      <c r="M32" s="298">
        <f>K32-L32</f>
        <v>3543397.4599999995</v>
      </c>
      <c r="N32" s="299">
        <f>'Rem. Anticipos R2'!K447</f>
        <v>0</v>
      </c>
      <c r="O32" s="298">
        <f t="shared" si="7"/>
        <v>3543397.4599999995</v>
      </c>
      <c r="Q32" s="306"/>
      <c r="S32" s="324">
        <v>5</v>
      </c>
      <c r="T32" s="325" t="s">
        <v>14</v>
      </c>
      <c r="U32" s="296">
        <f>'Rem. Anticipos R2'!L447</f>
        <v>533561.96</v>
      </c>
      <c r="V32" s="297">
        <f>'Rem. Anticipos R2'!M447</f>
        <v>533532.74</v>
      </c>
      <c r="W32" s="297">
        <f>'Rem. Anticipos R2'!N447</f>
        <v>2380320.94</v>
      </c>
      <c r="X32" s="297">
        <f>'Rem. Anticipos R2'!O447</f>
        <v>1293968.43</v>
      </c>
      <c r="Y32" s="289">
        <f>'Rem. Anticipos R2'!P447</f>
        <v>89200.76</v>
      </c>
      <c r="Z32" s="319">
        <f>L32*-1</f>
        <v>0</v>
      </c>
      <c r="AA32" s="320">
        <f>'Rem. Anticipos R2'!Q447</f>
        <v>-22.21</v>
      </c>
      <c r="AB32" s="294">
        <f>N32</f>
        <v>0</v>
      </c>
      <c r="AC32" s="320">
        <f>'Rem. Anticipos R2'!R447</f>
        <v>0</v>
      </c>
      <c r="AD32" s="291">
        <f t="shared" si="10"/>
        <v>-1287165.1599999999</v>
      </c>
      <c r="AE32" s="291">
        <f>'Rem. Anticipos R2'!E448</f>
        <v>-1287165.1599999999</v>
      </c>
      <c r="AF32" s="322">
        <f>SUM(U32:AD32)</f>
        <v>3543397.459999999</v>
      </c>
      <c r="AG32" s="326">
        <f>(AF32-O32)</f>
        <v>-4.6566128730773926E-10</v>
      </c>
      <c r="AH32" s="1" t="b">
        <f t="shared" si="8"/>
        <v>0</v>
      </c>
      <c r="AI32" s="306"/>
    </row>
    <row r="33" spans="1:35" s="305" customFormat="1" ht="13.5" thickBot="1" x14ac:dyDescent="0.35">
      <c r="B33" s="327"/>
      <c r="C33" s="328" t="s">
        <v>2</v>
      </c>
      <c r="D33" s="290">
        <f>SUM(D28:D32)</f>
        <v>6242402.4799999995</v>
      </c>
      <c r="E33" s="290">
        <f>SUM(E28:E32)</f>
        <v>452527.33</v>
      </c>
      <c r="F33" s="290">
        <f t="shared" ref="F33:O33" si="12">SUM(F28:F32)</f>
        <v>258109.06</v>
      </c>
      <c r="G33" s="290">
        <f t="shared" si="12"/>
        <v>110591.63</v>
      </c>
      <c r="H33" s="290">
        <f t="shared" si="12"/>
        <v>1818962.03</v>
      </c>
      <c r="I33" s="290">
        <f t="shared" si="12"/>
        <v>58814.97</v>
      </c>
      <c r="J33" s="290">
        <f t="shared" si="12"/>
        <v>0</v>
      </c>
      <c r="K33" s="300">
        <f t="shared" si="12"/>
        <v>3543397.4599999995</v>
      </c>
      <c r="L33" s="301">
        <f t="shared" si="12"/>
        <v>0</v>
      </c>
      <c r="M33" s="302">
        <f t="shared" si="12"/>
        <v>3543397.4599999995</v>
      </c>
      <c r="N33" s="301">
        <f t="shared" si="12"/>
        <v>0</v>
      </c>
      <c r="O33" s="302">
        <f t="shared" si="12"/>
        <v>3543397.4599999995</v>
      </c>
      <c r="P33" s="329"/>
      <c r="Q33" s="306"/>
      <c r="S33" s="327"/>
      <c r="T33" s="328" t="s">
        <v>2</v>
      </c>
      <c r="U33" s="330">
        <f>SUM(U28:U32)</f>
        <v>533561.96</v>
      </c>
      <c r="V33" s="330">
        <f t="shared" ref="V33:AG33" si="13">SUM(V28:V32)</f>
        <v>533532.74</v>
      </c>
      <c r="W33" s="330">
        <f t="shared" si="13"/>
        <v>2380320.94</v>
      </c>
      <c r="X33" s="330">
        <f t="shared" si="13"/>
        <v>1293968.43</v>
      </c>
      <c r="Y33" s="330">
        <f t="shared" si="13"/>
        <v>89200.76</v>
      </c>
      <c r="Z33" s="290">
        <f t="shared" si="13"/>
        <v>0</v>
      </c>
      <c r="AA33" s="290">
        <f t="shared" si="13"/>
        <v>-22.21</v>
      </c>
      <c r="AB33" s="290">
        <f t="shared" si="13"/>
        <v>0</v>
      </c>
      <c r="AC33" s="290">
        <f t="shared" si="13"/>
        <v>0</v>
      </c>
      <c r="AD33" s="290">
        <f>SUM(AD28:AD32)</f>
        <v>-1287165.1599999999</v>
      </c>
      <c r="AE33" s="290">
        <f>SUM(AE28:AE32)</f>
        <v>-1287165.1599999999</v>
      </c>
      <c r="AF33" s="331">
        <f t="shared" si="13"/>
        <v>3543397.459999999</v>
      </c>
      <c r="AG33" s="332">
        <f t="shared" si="13"/>
        <v>-4.6566128730773926E-10</v>
      </c>
      <c r="AH33" s="1" t="b">
        <f t="shared" si="8"/>
        <v>0</v>
      </c>
      <c r="AI33" s="306"/>
    </row>
    <row r="34" spans="1:35" ht="12" thickBot="1" x14ac:dyDescent="0.3">
      <c r="B34" s="2"/>
      <c r="C34" s="2"/>
      <c r="D34" s="24"/>
      <c r="E34" s="24"/>
      <c r="F34" s="24"/>
      <c r="G34" s="24"/>
      <c r="H34" s="24"/>
      <c r="I34" s="24"/>
      <c r="K34" s="24"/>
      <c r="L34" s="24"/>
      <c r="M34" s="24"/>
      <c r="N34" s="24"/>
      <c r="O34" s="24"/>
      <c r="Q34" s="4"/>
      <c r="S34" s="2"/>
      <c r="T34" s="2"/>
      <c r="U34" s="24"/>
      <c r="V34" s="24"/>
      <c r="W34" s="24"/>
      <c r="X34" s="24"/>
      <c r="Y34" s="24"/>
      <c r="AF34" s="24"/>
      <c r="AI34" s="4"/>
    </row>
    <row r="35" spans="1:35" ht="12" thickBot="1" x14ac:dyDescent="0.3">
      <c r="B35" s="2"/>
      <c r="C35" s="2"/>
      <c r="D35" s="24" t="s">
        <v>1</v>
      </c>
      <c r="E35" s="24"/>
      <c r="F35" s="24"/>
      <c r="G35" s="24"/>
      <c r="H35" s="24"/>
      <c r="I35" s="24"/>
      <c r="K35" s="24"/>
      <c r="L35" s="24"/>
      <c r="M35" s="24"/>
      <c r="N35" s="24"/>
      <c r="O35" s="24"/>
      <c r="Q35" s="4"/>
      <c r="Y35" s="86">
        <f>SUM(U33:Y33)</f>
        <v>4830584.8299999991</v>
      </c>
      <c r="AD35" s="1" t="s">
        <v>1</v>
      </c>
      <c r="AF35" s="1" t="s">
        <v>1</v>
      </c>
      <c r="AI35" s="4"/>
    </row>
    <row r="36" spans="1:35" ht="12" thickBot="1" x14ac:dyDescent="0.3">
      <c r="B36" s="2"/>
      <c r="C36" s="2"/>
      <c r="D36" s="24" t="s">
        <v>1</v>
      </c>
      <c r="E36" s="33"/>
      <c r="F36" s="33"/>
      <c r="G36" s="33"/>
      <c r="H36" s="33"/>
      <c r="I36" s="24"/>
      <c r="K36" s="24"/>
      <c r="L36" s="24"/>
      <c r="M36" s="24"/>
      <c r="N36" s="24"/>
      <c r="O36" s="24"/>
      <c r="Q36" s="4"/>
      <c r="AI36" s="4"/>
    </row>
    <row r="37" spans="1:35" x14ac:dyDescent="0.25">
      <c r="B37" s="2"/>
      <c r="C37" s="2"/>
      <c r="D37" s="24" t="s">
        <v>1</v>
      </c>
      <c r="E37" s="24" t="s">
        <v>1</v>
      </c>
      <c r="F37" s="24" t="s">
        <v>25</v>
      </c>
      <c r="G37" s="24"/>
      <c r="H37" s="24"/>
      <c r="I37" s="24"/>
      <c r="K37" s="24"/>
      <c r="L37" s="24"/>
      <c r="M37" s="24"/>
      <c r="N37" s="24"/>
      <c r="O37" s="24"/>
      <c r="Q37" s="4"/>
      <c r="AI37" s="4"/>
    </row>
    <row r="38" spans="1:35" x14ac:dyDescent="0.25">
      <c r="A38" s="4"/>
      <c r="B38" s="34"/>
      <c r="C38" s="34"/>
      <c r="D38" s="35"/>
      <c r="E38" s="35"/>
      <c r="F38" s="35"/>
      <c r="G38" s="35"/>
      <c r="H38" s="35"/>
      <c r="I38" s="35"/>
      <c r="J38" s="4"/>
      <c r="K38" s="35"/>
      <c r="L38" s="35"/>
      <c r="M38" s="35"/>
      <c r="N38" s="35"/>
      <c r="O38" s="35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  <c r="AE38" s="4"/>
      <c r="AF38" s="4"/>
      <c r="AG38" s="4"/>
      <c r="AH38" s="4"/>
      <c r="AI38" s="4"/>
    </row>
    <row r="39" spans="1:35" ht="12" thickBot="1" x14ac:dyDescent="0.3">
      <c r="Q39" s="4"/>
      <c r="AI39" s="4"/>
    </row>
    <row r="40" spans="1:35" x14ac:dyDescent="0.25">
      <c r="B40" s="5"/>
      <c r="C40" s="3" t="s">
        <v>1</v>
      </c>
      <c r="D40" s="6" t="s">
        <v>1</v>
      </c>
      <c r="E40" s="3"/>
      <c r="F40" s="3"/>
      <c r="G40" s="3"/>
      <c r="H40" s="3" t="s">
        <v>1</v>
      </c>
      <c r="I40" s="3"/>
      <c r="J40" s="3"/>
      <c r="K40" s="3"/>
      <c r="L40" s="3"/>
      <c r="M40" s="3"/>
      <c r="N40" s="3"/>
      <c r="O40" s="7"/>
      <c r="P40" s="2"/>
      <c r="Q40" s="4"/>
      <c r="S40" s="5"/>
      <c r="T40" s="3" t="s">
        <v>1</v>
      </c>
      <c r="U40" s="6" t="s">
        <v>1</v>
      </c>
      <c r="V40" s="3"/>
      <c r="W40" s="3"/>
      <c r="X40" s="3" t="s">
        <v>1</v>
      </c>
      <c r="Y40" s="3"/>
      <c r="Z40" s="3"/>
      <c r="AA40" s="3"/>
      <c r="AB40" s="3"/>
      <c r="AC40" s="3"/>
      <c r="AD40" s="3"/>
      <c r="AE40" s="3"/>
      <c r="AF40" s="7"/>
      <c r="AG40" s="2"/>
      <c r="AI40" s="4"/>
    </row>
    <row r="41" spans="1:35" ht="14" x14ac:dyDescent="0.3">
      <c r="B41" s="8"/>
      <c r="F41" s="26" t="s">
        <v>8</v>
      </c>
      <c r="G41" s="26"/>
      <c r="I41" s="26" t="s">
        <v>16</v>
      </c>
      <c r="J41" s="25"/>
      <c r="M41" s="2" t="s">
        <v>15</v>
      </c>
      <c r="N41" s="50">
        <f>N3</f>
        <v>2026072</v>
      </c>
      <c r="O41" s="10"/>
      <c r="P41" s="2"/>
      <c r="Q41" s="4"/>
      <c r="S41" s="8"/>
      <c r="U41" s="26" t="s">
        <v>8</v>
      </c>
      <c r="W41" s="26" t="s">
        <v>16</v>
      </c>
      <c r="X41" s="25"/>
      <c r="Y41" s="2"/>
      <c r="AA41" s="2" t="s">
        <v>15</v>
      </c>
      <c r="AD41" s="84">
        <f>N41</f>
        <v>2026072</v>
      </c>
      <c r="AE41" s="84"/>
      <c r="AF41" s="48"/>
      <c r="AG41" s="2"/>
      <c r="AI41" s="4"/>
    </row>
    <row r="42" spans="1:35" ht="15.5" x14ac:dyDescent="0.35">
      <c r="B42" s="8"/>
      <c r="F42" s="36" t="s">
        <v>29</v>
      </c>
      <c r="G42" s="36"/>
      <c r="O42" s="10"/>
      <c r="P42" s="2"/>
      <c r="Q42" s="4"/>
      <c r="S42" s="8"/>
      <c r="T42" s="26" t="s">
        <v>1</v>
      </c>
      <c r="U42" s="36" t="s">
        <v>29</v>
      </c>
      <c r="Y42" s="2" t="s">
        <v>1</v>
      </c>
      <c r="AA42" s="50" t="s">
        <v>1</v>
      </c>
      <c r="AB42" s="2"/>
      <c r="AC42" s="2"/>
      <c r="AD42" s="2"/>
      <c r="AE42" s="2"/>
      <c r="AF42" s="10" t="s">
        <v>1</v>
      </c>
      <c r="AG42" s="2"/>
      <c r="AI42" s="4"/>
    </row>
    <row r="43" spans="1:35" ht="14" x14ac:dyDescent="0.3">
      <c r="B43" s="8"/>
      <c r="F43" s="2" t="s">
        <v>30</v>
      </c>
      <c r="G43" s="2"/>
      <c r="M43" s="2" t="s">
        <v>1</v>
      </c>
      <c r="O43" s="10"/>
      <c r="P43" s="2"/>
      <c r="Q43" s="4"/>
      <c r="S43" s="8"/>
      <c r="T43" s="49" t="s">
        <v>1</v>
      </c>
      <c r="U43" s="2" t="s">
        <v>30</v>
      </c>
      <c r="AF43" s="44"/>
      <c r="AG43" s="2"/>
      <c r="AI43" s="4"/>
    </row>
    <row r="44" spans="1:35" ht="15.5" x14ac:dyDescent="0.35">
      <c r="B44" s="8"/>
      <c r="C44" s="599" t="s">
        <v>17</v>
      </c>
      <c r="D44" s="9">
        <f>D6</f>
        <v>46238</v>
      </c>
      <c r="F44" s="41" t="s">
        <v>32</v>
      </c>
      <c r="G44" s="41"/>
      <c r="H44" s="2"/>
      <c r="J44" s="2"/>
      <c r="O44" s="10"/>
      <c r="P44" s="2"/>
      <c r="Q44" s="4"/>
      <c r="S44" s="8"/>
      <c r="T44" s="41" t="s">
        <v>1</v>
      </c>
      <c r="U44" s="41" t="s">
        <v>32</v>
      </c>
      <c r="V44" s="2"/>
      <c r="X44" s="2"/>
      <c r="Y44" s="2"/>
      <c r="AF44" s="48"/>
      <c r="AG44" s="2"/>
      <c r="AI44" s="4"/>
    </row>
    <row r="45" spans="1:35" ht="12" thickBot="1" x14ac:dyDescent="0.3">
      <c r="B45" s="8"/>
      <c r="C45" s="599" t="s">
        <v>0</v>
      </c>
      <c r="D45" s="241">
        <f>D7</f>
        <v>0.58333333333333337</v>
      </c>
      <c r="F45" s="2" t="s">
        <v>27</v>
      </c>
      <c r="G45" s="9">
        <f>G7</f>
        <v>46219</v>
      </c>
      <c r="J45" s="2" t="s">
        <v>28</v>
      </c>
      <c r="K45" s="9">
        <f>K7</f>
        <v>46234</v>
      </c>
      <c r="O45" s="10"/>
      <c r="P45" s="2"/>
      <c r="Q45" s="4"/>
      <c r="S45" s="8"/>
      <c r="U45" s="1" t="str">
        <f>F45</f>
        <v>Fecha Desde:</v>
      </c>
      <c r="V45" s="9">
        <f>G45</f>
        <v>46219</v>
      </c>
      <c r="W45" s="1" t="s">
        <v>1</v>
      </c>
      <c r="X45" s="1" t="str">
        <f>J45</f>
        <v>Feha Hasta:</v>
      </c>
      <c r="Y45" s="9">
        <f>K45</f>
        <v>46234</v>
      </c>
      <c r="Z45" s="1" t="s">
        <v>1</v>
      </c>
      <c r="AF45" s="48"/>
      <c r="AG45" s="2"/>
      <c r="AI45" s="4"/>
    </row>
    <row r="46" spans="1:35" ht="72" customHeight="1" thickBot="1" x14ac:dyDescent="0.3">
      <c r="B46" s="11" t="s">
        <v>3</v>
      </c>
      <c r="C46" s="27" t="s">
        <v>9</v>
      </c>
      <c r="D46" s="11" t="s">
        <v>4</v>
      </c>
      <c r="E46" s="12" t="s">
        <v>5</v>
      </c>
      <c r="F46" s="27" t="s">
        <v>6</v>
      </c>
      <c r="G46" s="27" t="s">
        <v>159</v>
      </c>
      <c r="H46" s="27" t="s">
        <v>18</v>
      </c>
      <c r="I46" s="12" t="s">
        <v>24</v>
      </c>
      <c r="J46" s="73" t="s">
        <v>19</v>
      </c>
      <c r="K46" s="29" t="s">
        <v>20</v>
      </c>
      <c r="L46" s="28" t="s">
        <v>21</v>
      </c>
      <c r="M46" s="39" t="s">
        <v>22</v>
      </c>
      <c r="N46" s="12" t="s">
        <v>7</v>
      </c>
      <c r="O46" s="39" t="s">
        <v>23</v>
      </c>
      <c r="P46" s="13"/>
      <c r="Q46" s="4"/>
      <c r="S46" s="11" t="s">
        <v>3</v>
      </c>
      <c r="T46" s="27" t="s">
        <v>9</v>
      </c>
      <c r="U46" s="162" t="s">
        <v>39</v>
      </c>
      <c r="V46" s="163" t="s">
        <v>40</v>
      </c>
      <c r="W46" s="163" t="s">
        <v>41</v>
      </c>
      <c r="X46" s="163" t="s">
        <v>42</v>
      </c>
      <c r="Y46" s="164" t="s">
        <v>43</v>
      </c>
      <c r="Z46" s="85" t="s">
        <v>21</v>
      </c>
      <c r="AA46" s="65" t="s">
        <v>46</v>
      </c>
      <c r="AB46" s="65" t="s">
        <v>7</v>
      </c>
      <c r="AC46" s="85" t="s">
        <v>168</v>
      </c>
      <c r="AD46" s="121" t="s">
        <v>107</v>
      </c>
      <c r="AE46" s="121" t="s">
        <v>226</v>
      </c>
      <c r="AF46" s="39" t="s">
        <v>23</v>
      </c>
      <c r="AG46" s="13"/>
      <c r="AI46" s="4"/>
    </row>
    <row r="47" spans="1:35" s="305" customFormat="1" x14ac:dyDescent="0.25">
      <c r="B47" s="303">
        <v>1</v>
      </c>
      <c r="C47" s="304" t="s">
        <v>10</v>
      </c>
      <c r="D47" s="291">
        <f>'Reporte Componentes R1'!F70</f>
        <v>0</v>
      </c>
      <c r="E47" s="291">
        <f>'Reporte Componentes R1'!G70</f>
        <v>0</v>
      </c>
      <c r="F47" s="291">
        <f>'Reporte Componentes R1'!H70</f>
        <v>0</v>
      </c>
      <c r="G47" s="291">
        <f>'Reporte Componentes R1'!I70</f>
        <v>0</v>
      </c>
      <c r="H47" s="291">
        <f>'Reporte Componentes R1'!J70</f>
        <v>0</v>
      </c>
      <c r="I47" s="291">
        <f>'Reporte Componentes R1'!K70</f>
        <v>0</v>
      </c>
      <c r="J47" s="291">
        <v>0</v>
      </c>
      <c r="K47" s="293">
        <f>D47-E47-F47-G47-H47-I47-J47</f>
        <v>0</v>
      </c>
      <c r="L47" s="294">
        <v>0</v>
      </c>
      <c r="M47" s="293">
        <f>K47-L47</f>
        <v>0</v>
      </c>
      <c r="N47" s="294">
        <f>'Reporte Componentes R1'!L70</f>
        <v>0</v>
      </c>
      <c r="O47" s="293">
        <f>M47+N47</f>
        <v>0</v>
      </c>
      <c r="Q47" s="306"/>
      <c r="S47" s="303">
        <v>1</v>
      </c>
      <c r="T47" s="304" t="s">
        <v>10</v>
      </c>
      <c r="U47" s="307">
        <f>'Reporte Componentes R1'!M70</f>
        <v>0</v>
      </c>
      <c r="V47" s="307">
        <f>'Reporte Componentes R1'!N70</f>
        <v>0</v>
      </c>
      <c r="W47" s="307">
        <f>'Reporte Componentes R1'!O70</f>
        <v>0</v>
      </c>
      <c r="X47" s="307">
        <f>'Reporte Componentes R1'!P70</f>
        <v>0</v>
      </c>
      <c r="Y47" s="307">
        <f>'Reporte Componentes R1'!Q70</f>
        <v>0</v>
      </c>
      <c r="Z47" s="310">
        <f>-L47</f>
        <v>0</v>
      </c>
      <c r="AA47" s="320">
        <f>'Reporte Componentes R1'!R70+'Reporte Componentes R1'!V70+'Reporte Componentes R1'!U70</f>
        <v>0</v>
      </c>
      <c r="AB47" s="294">
        <f>N47</f>
        <v>0</v>
      </c>
      <c r="AC47" s="311">
        <f>'Reporte Componentes R1'!T70+'Reporte Componentes R1'!W70+'Reporte Componentes R1'!X70+'Reporte Componentes R1'!Y70+'Reporte Componentes R1'!Z70+'Reporte Componentes R1'!S70</f>
        <v>0</v>
      </c>
      <c r="AD47" s="291">
        <f>-J47+AE47</f>
        <v>0</v>
      </c>
      <c r="AE47" s="291">
        <f>'Reporte Componentes R1'!F71</f>
        <v>0</v>
      </c>
      <c r="AF47" s="313">
        <f>SUM(U47:AD47)</f>
        <v>0</v>
      </c>
      <c r="AG47" s="311">
        <f>(AF47-O47)</f>
        <v>0</v>
      </c>
      <c r="AH47" s="1" t="b">
        <f>INT(AG47)=0</f>
        <v>1</v>
      </c>
      <c r="AI47" s="306"/>
    </row>
    <row r="48" spans="1:35" s="305" customFormat="1" x14ac:dyDescent="0.25">
      <c r="B48" s="314">
        <v>2</v>
      </c>
      <c r="C48" s="315" t="s">
        <v>11</v>
      </c>
      <c r="D48" s="291">
        <f>'Reporte Componentes R1'!F223</f>
        <v>0</v>
      </c>
      <c r="E48" s="291">
        <f>'Reporte Componentes R1'!G223</f>
        <v>0</v>
      </c>
      <c r="F48" s="291">
        <f>'Reporte Componentes R1'!H223</f>
        <v>0</v>
      </c>
      <c r="G48" s="291">
        <f>'Reporte Componentes R1'!I223</f>
        <v>0</v>
      </c>
      <c r="H48" s="291">
        <f>'Reporte Componentes R1'!J223</f>
        <v>0</v>
      </c>
      <c r="I48" s="291">
        <f>'Reporte Componentes R1'!K223</f>
        <v>0</v>
      </c>
      <c r="J48" s="288">
        <v>0</v>
      </c>
      <c r="K48" s="295">
        <f t="shared" ref="K48:K51" si="14">D48-E48-F48-G48-H48-I48-J48</f>
        <v>0</v>
      </c>
      <c r="L48" s="294">
        <v>0</v>
      </c>
      <c r="M48" s="295">
        <f>K48-L48</f>
        <v>0</v>
      </c>
      <c r="N48" s="294">
        <f>'Reporte Componentes R1'!L223</f>
        <v>0</v>
      </c>
      <c r="O48" s="295">
        <f t="shared" ref="O48:O51" si="15">M48+N48</f>
        <v>0</v>
      </c>
      <c r="Q48" s="306"/>
      <c r="S48" s="314">
        <v>2</v>
      </c>
      <c r="T48" s="315" t="s">
        <v>11</v>
      </c>
      <c r="U48" s="316">
        <f>'Reporte Componentes R1'!M223</f>
        <v>0</v>
      </c>
      <c r="V48" s="316">
        <f>'Reporte Componentes R1'!N223</f>
        <v>0</v>
      </c>
      <c r="W48" s="316">
        <f>'Reporte Componentes R1'!O223</f>
        <v>0</v>
      </c>
      <c r="X48" s="316">
        <f>'Reporte Componentes R1'!P223</f>
        <v>0</v>
      </c>
      <c r="Y48" s="316">
        <f>'Reporte Componentes R1'!Q223</f>
        <v>0</v>
      </c>
      <c r="Z48" s="319">
        <f>-L48</f>
        <v>0</v>
      </c>
      <c r="AA48" s="320">
        <f>'Reporte Componentes R1'!R223+'Reporte Componentes R1'!V223+'Reporte Componentes R1'!U223</f>
        <v>0</v>
      </c>
      <c r="AB48" s="294">
        <f>N48</f>
        <v>0</v>
      </c>
      <c r="AC48" s="320">
        <f>'Reporte Componentes R1'!T223+'Reporte Componentes R1'!W223+'Reporte Componentes R1'!X223+'Reporte Componentes R1'!Y223+'Reporte Componentes R1'!Z223+'Reporte Componentes R1'!S223</f>
        <v>0</v>
      </c>
      <c r="AD48" s="291">
        <f t="shared" ref="AD48:AD51" si="16">-J48+AE48</f>
        <v>0</v>
      </c>
      <c r="AE48" s="291">
        <f>'Reporte Componentes R1'!F224</f>
        <v>0</v>
      </c>
      <c r="AF48" s="322">
        <f>SUM(U48:AD48)</f>
        <v>0</v>
      </c>
      <c r="AG48" s="323">
        <f>(AF48-O48)</f>
        <v>0</v>
      </c>
      <c r="AH48" s="1" t="b">
        <f t="shared" ref="AH48:AH52" si="17">INT(AG48)=0</f>
        <v>1</v>
      </c>
      <c r="AI48" s="306"/>
    </row>
    <row r="49" spans="1:35" s="305" customFormat="1" x14ac:dyDescent="0.25">
      <c r="B49" s="314">
        <v>3</v>
      </c>
      <c r="C49" s="315" t="s">
        <v>12</v>
      </c>
      <c r="D49" s="291">
        <f>'Reporte Componentes R1'!F360</f>
        <v>0</v>
      </c>
      <c r="E49" s="291">
        <f>'Reporte Componentes R1'!G360</f>
        <v>0</v>
      </c>
      <c r="F49" s="291">
        <f>'Reporte Componentes R1'!H360</f>
        <v>0</v>
      </c>
      <c r="G49" s="291">
        <f>'Reporte Componentes R1'!I360</f>
        <v>0</v>
      </c>
      <c r="H49" s="291">
        <f>'Reporte Componentes R1'!J360</f>
        <v>0</v>
      </c>
      <c r="I49" s="291">
        <f>'Reporte Componentes R1'!K360</f>
        <v>0</v>
      </c>
      <c r="J49" s="291">
        <v>0</v>
      </c>
      <c r="K49" s="295">
        <f t="shared" si="14"/>
        <v>0</v>
      </c>
      <c r="L49" s="294">
        <v>0</v>
      </c>
      <c r="M49" s="295">
        <f>K49-L49</f>
        <v>0</v>
      </c>
      <c r="N49" s="294">
        <f>'Reporte Componentes R1'!L360</f>
        <v>0</v>
      </c>
      <c r="O49" s="295">
        <f t="shared" si="15"/>
        <v>0</v>
      </c>
      <c r="Q49" s="306"/>
      <c r="S49" s="314">
        <v>3</v>
      </c>
      <c r="T49" s="315" t="s">
        <v>12</v>
      </c>
      <c r="U49" s="316">
        <f>'Reporte Componentes R1'!M360</f>
        <v>0</v>
      </c>
      <c r="V49" s="316">
        <f>'Reporte Componentes R1'!N360</f>
        <v>0</v>
      </c>
      <c r="W49" s="316">
        <f>'Reporte Componentes R1'!O360</f>
        <v>0</v>
      </c>
      <c r="X49" s="316">
        <f>'Reporte Componentes R1'!P360</f>
        <v>0</v>
      </c>
      <c r="Y49" s="316">
        <f>'Reporte Componentes R1'!Q360</f>
        <v>0</v>
      </c>
      <c r="Z49" s="319">
        <f>-L49</f>
        <v>0</v>
      </c>
      <c r="AA49" s="320">
        <f>'Reporte Componentes R1'!R360+'Reporte Componentes R1'!V360+'Reporte Componentes R1'!U360</f>
        <v>0</v>
      </c>
      <c r="AB49" s="294">
        <f>N49</f>
        <v>0</v>
      </c>
      <c r="AC49" s="320">
        <f>'Reporte Componentes R1'!T360+'Reporte Componentes R1'!W360+'Reporte Componentes R1'!X360+'Reporte Componentes R1'!Y360+'Reporte Componentes R1'!Z360+'Reporte Componentes R1'!S360</f>
        <v>0</v>
      </c>
      <c r="AD49" s="291">
        <f t="shared" si="16"/>
        <v>0</v>
      </c>
      <c r="AE49" s="291">
        <f>'Reporte Componentes R1'!F361</f>
        <v>0</v>
      </c>
      <c r="AF49" s="322">
        <f t="shared" ref="AF49:AF51" si="18">SUM(U49:AD49)</f>
        <v>0</v>
      </c>
      <c r="AG49" s="323">
        <f t="shared" ref="AG49:AG51" si="19">(AF49-O49)</f>
        <v>0</v>
      </c>
      <c r="AH49" s="1" t="b">
        <f t="shared" si="17"/>
        <v>1</v>
      </c>
      <c r="AI49" s="306"/>
    </row>
    <row r="50" spans="1:35" s="305" customFormat="1" x14ac:dyDescent="0.25">
      <c r="B50" s="314">
        <v>4</v>
      </c>
      <c r="C50" s="315" t="s">
        <v>13</v>
      </c>
      <c r="D50" s="291">
        <f>'Reporte Componentes R1'!F485</f>
        <v>0</v>
      </c>
      <c r="E50" s="291">
        <f>'Reporte Componentes R1'!G485</f>
        <v>0</v>
      </c>
      <c r="F50" s="291">
        <f>'Reporte Componentes R1'!H485</f>
        <v>0</v>
      </c>
      <c r="G50" s="291">
        <f>'Reporte Componentes R1'!I485</f>
        <v>0</v>
      </c>
      <c r="H50" s="291">
        <f>'Reporte Componentes R1'!J485</f>
        <v>0</v>
      </c>
      <c r="I50" s="291">
        <f>'Reporte Componentes R1'!K485</f>
        <v>0</v>
      </c>
      <c r="J50" s="288">
        <v>0</v>
      </c>
      <c r="K50" s="295">
        <f t="shared" si="14"/>
        <v>0</v>
      </c>
      <c r="L50" s="294">
        <v>0</v>
      </c>
      <c r="M50" s="295">
        <f>K50-L50</f>
        <v>0</v>
      </c>
      <c r="N50" s="294">
        <f>'Reporte Componentes R1'!L485</f>
        <v>0</v>
      </c>
      <c r="O50" s="295">
        <f t="shared" si="15"/>
        <v>0</v>
      </c>
      <c r="Q50" s="306"/>
      <c r="S50" s="314">
        <v>4</v>
      </c>
      <c r="T50" s="315" t="s">
        <v>13</v>
      </c>
      <c r="U50" s="316">
        <f>'Reporte Componentes R1'!M485</f>
        <v>0</v>
      </c>
      <c r="V50" s="316">
        <f>'Reporte Componentes R1'!N485</f>
        <v>0</v>
      </c>
      <c r="W50" s="316">
        <f>'Reporte Componentes R1'!O485</f>
        <v>0</v>
      </c>
      <c r="X50" s="316">
        <f>'Reporte Componentes R1'!P485</f>
        <v>0</v>
      </c>
      <c r="Y50" s="316">
        <f>'Reporte Componentes R1'!Q485</f>
        <v>0</v>
      </c>
      <c r="Z50" s="319">
        <f>-L50</f>
        <v>0</v>
      </c>
      <c r="AA50" s="320">
        <f>'Reporte Componentes R1'!R485+'Reporte Componentes R1'!V485+'Reporte Componentes R1'!U485</f>
        <v>0</v>
      </c>
      <c r="AB50" s="294">
        <f>N50</f>
        <v>0</v>
      </c>
      <c r="AC50" s="320">
        <f>'Reporte Componentes R1'!T485+'Reporte Componentes R1'!W485+'Reporte Componentes R1'!X485+'Reporte Componentes R1'!Y485+'Reporte Componentes R1'!Z485+'Reporte Componentes R1'!S485</f>
        <v>0</v>
      </c>
      <c r="AD50" s="291">
        <f t="shared" si="16"/>
        <v>0</v>
      </c>
      <c r="AE50" s="291">
        <f>'Reporte Componentes R1'!F486</f>
        <v>0</v>
      </c>
      <c r="AF50" s="322">
        <f t="shared" si="18"/>
        <v>0</v>
      </c>
      <c r="AG50" s="323">
        <f t="shared" si="19"/>
        <v>0</v>
      </c>
      <c r="AH50" s="1" t="b">
        <f t="shared" si="17"/>
        <v>1</v>
      </c>
      <c r="AI50" s="306"/>
    </row>
    <row r="51" spans="1:35" s="305" customFormat="1" ht="12" thickBot="1" x14ac:dyDescent="0.3">
      <c r="B51" s="324">
        <v>5</v>
      </c>
      <c r="C51" s="325" t="s">
        <v>14</v>
      </c>
      <c r="D51" s="296">
        <f>'Reporte Componentes R1'!F575</f>
        <v>0</v>
      </c>
      <c r="E51" s="296">
        <f>'Reporte Componentes R1'!G575</f>
        <v>0</v>
      </c>
      <c r="F51" s="296">
        <f>'Reporte Componentes R1'!H575</f>
        <v>0</v>
      </c>
      <c r="G51" s="296">
        <f>'Reporte Componentes R1'!I575</f>
        <v>0</v>
      </c>
      <c r="H51" s="296">
        <f>'Reporte Componentes R1'!J575</f>
        <v>0</v>
      </c>
      <c r="I51" s="296">
        <f>'Reporte Componentes R1'!K575</f>
        <v>0</v>
      </c>
      <c r="J51" s="289">
        <v>0</v>
      </c>
      <c r="K51" s="295">
        <f t="shared" si="14"/>
        <v>0</v>
      </c>
      <c r="L51" s="294">
        <v>0</v>
      </c>
      <c r="M51" s="298">
        <f>K51-L51</f>
        <v>0</v>
      </c>
      <c r="N51" s="299">
        <f>'Reporte Componentes R1'!L575</f>
        <v>0</v>
      </c>
      <c r="O51" s="298">
        <f t="shared" si="15"/>
        <v>0</v>
      </c>
      <c r="Q51" s="306"/>
      <c r="S51" s="324">
        <v>5</v>
      </c>
      <c r="T51" s="325" t="s">
        <v>14</v>
      </c>
      <c r="U51" s="296">
        <f>'Reporte Componentes R1'!M575</f>
        <v>0</v>
      </c>
      <c r="V51" s="296">
        <f>'Reporte Componentes R1'!N575</f>
        <v>0</v>
      </c>
      <c r="W51" s="296">
        <f>'Reporte Componentes R1'!O575</f>
        <v>0</v>
      </c>
      <c r="X51" s="296">
        <f>'Reporte Componentes R1'!P575</f>
        <v>0</v>
      </c>
      <c r="Y51" s="289">
        <f>'Reporte Componentes R1'!Q575</f>
        <v>0</v>
      </c>
      <c r="Z51" s="319">
        <f>-L51</f>
        <v>0</v>
      </c>
      <c r="AA51" s="320">
        <f>'Reporte Componentes R1'!R575+'Reporte Componentes R1'!V575+'Reporte Componentes R1'!U575</f>
        <v>0</v>
      </c>
      <c r="AB51" s="294">
        <f>N51</f>
        <v>0</v>
      </c>
      <c r="AC51" s="320">
        <f>'Reporte Componentes R1'!T575+'Reporte Componentes R1'!W575+'Reporte Componentes R1'!X575+'Reporte Componentes R1'!Y575+'Reporte Componentes R1'!Z575+'Reporte Componentes R1'!S575</f>
        <v>0</v>
      </c>
      <c r="AD51" s="291">
        <f t="shared" si="16"/>
        <v>0</v>
      </c>
      <c r="AE51" s="291">
        <f>'Reporte Componentes R1'!F576</f>
        <v>0</v>
      </c>
      <c r="AF51" s="322">
        <f t="shared" si="18"/>
        <v>0</v>
      </c>
      <c r="AG51" s="326">
        <f t="shared" si="19"/>
        <v>0</v>
      </c>
      <c r="AH51" s="1" t="b">
        <f t="shared" si="17"/>
        <v>1</v>
      </c>
      <c r="AI51" s="306"/>
    </row>
    <row r="52" spans="1:35" s="305" customFormat="1" ht="13.5" thickBot="1" x14ac:dyDescent="0.35">
      <c r="B52" s="327"/>
      <c r="C52" s="328" t="s">
        <v>2</v>
      </c>
      <c r="D52" s="290">
        <f t="shared" ref="D52:O52" si="20">SUM(D47:D51)</f>
        <v>0</v>
      </c>
      <c r="E52" s="290">
        <f t="shared" si="20"/>
        <v>0</v>
      </c>
      <c r="F52" s="290">
        <f t="shared" si="20"/>
        <v>0</v>
      </c>
      <c r="G52" s="290">
        <f t="shared" ref="G52" si="21">SUM(G47:G51)</f>
        <v>0</v>
      </c>
      <c r="H52" s="290">
        <f t="shared" si="20"/>
        <v>0</v>
      </c>
      <c r="I52" s="290">
        <f t="shared" si="20"/>
        <v>0</v>
      </c>
      <c r="J52" s="290">
        <f t="shared" si="20"/>
        <v>0</v>
      </c>
      <c r="K52" s="300">
        <f t="shared" si="20"/>
        <v>0</v>
      </c>
      <c r="L52" s="301">
        <f t="shared" si="20"/>
        <v>0</v>
      </c>
      <c r="M52" s="302">
        <f t="shared" si="20"/>
        <v>0</v>
      </c>
      <c r="N52" s="301">
        <f t="shared" si="20"/>
        <v>0</v>
      </c>
      <c r="O52" s="302">
        <f t="shared" si="20"/>
        <v>0</v>
      </c>
      <c r="P52" s="329"/>
      <c r="Q52" s="306"/>
      <c r="S52" s="327"/>
      <c r="T52" s="328" t="s">
        <v>2</v>
      </c>
      <c r="U52" s="330">
        <f>SUM(U47:U51)</f>
        <v>0</v>
      </c>
      <c r="V52" s="330">
        <f t="shared" ref="V52:AG52" si="22">SUM(V47:V51)</f>
        <v>0</v>
      </c>
      <c r="W52" s="330">
        <f t="shared" si="22"/>
        <v>0</v>
      </c>
      <c r="X52" s="330">
        <f t="shared" si="22"/>
        <v>0</v>
      </c>
      <c r="Y52" s="330">
        <f t="shared" si="22"/>
        <v>0</v>
      </c>
      <c r="Z52" s="290">
        <f t="shared" si="22"/>
        <v>0</v>
      </c>
      <c r="AA52" s="290">
        <f t="shared" si="22"/>
        <v>0</v>
      </c>
      <c r="AB52" s="290">
        <f t="shared" si="22"/>
        <v>0</v>
      </c>
      <c r="AC52" s="290">
        <f t="shared" si="22"/>
        <v>0</v>
      </c>
      <c r="AD52" s="290">
        <f>SUM(AD47:AD51)</f>
        <v>0</v>
      </c>
      <c r="AE52" s="290">
        <f>SUM(AE47:AE51)</f>
        <v>0</v>
      </c>
      <c r="AF52" s="331">
        <f t="shared" si="22"/>
        <v>0</v>
      </c>
      <c r="AG52" s="332">
        <f t="shared" si="22"/>
        <v>0</v>
      </c>
      <c r="AH52" s="1" t="b">
        <f t="shared" si="17"/>
        <v>1</v>
      </c>
      <c r="AI52" s="306"/>
    </row>
    <row r="53" spans="1:35" ht="12" thickBot="1" x14ac:dyDescent="0.3">
      <c r="B53" s="2"/>
      <c r="C53" s="2"/>
      <c r="D53" s="24"/>
      <c r="E53" s="24"/>
      <c r="F53" s="24"/>
      <c r="G53" s="24"/>
      <c r="H53" s="24"/>
      <c r="I53" s="24"/>
      <c r="K53" s="24"/>
      <c r="L53" s="24"/>
      <c r="M53" s="24"/>
      <c r="N53" s="24"/>
      <c r="O53" s="24"/>
      <c r="Q53" s="4"/>
      <c r="S53" s="2"/>
      <c r="T53" s="2"/>
      <c r="U53" s="24"/>
      <c r="V53" s="24"/>
      <c r="W53" s="24"/>
      <c r="X53" s="24"/>
      <c r="Y53" s="24"/>
      <c r="AF53" s="24"/>
      <c r="AI53" s="4"/>
    </row>
    <row r="54" spans="1:35" ht="12" thickBot="1" x14ac:dyDescent="0.3">
      <c r="B54" s="2"/>
      <c r="C54" s="2"/>
      <c r="D54" s="24" t="s">
        <v>1</v>
      </c>
      <c r="E54" s="24"/>
      <c r="F54" s="24"/>
      <c r="G54" s="24"/>
      <c r="H54" s="24"/>
      <c r="I54" s="24"/>
      <c r="K54" s="24"/>
      <c r="L54" s="24"/>
      <c r="M54" s="24"/>
      <c r="N54" s="24"/>
      <c r="O54" s="24"/>
      <c r="Q54" s="4"/>
      <c r="Y54" s="86">
        <f>SUM(U52:Y52)</f>
        <v>0</v>
      </c>
      <c r="AA54" s="1" t="s">
        <v>1</v>
      </c>
      <c r="AB54" s="1" t="s">
        <v>1</v>
      </c>
      <c r="AD54" s="1" t="s">
        <v>1</v>
      </c>
      <c r="AF54" s="1" t="s">
        <v>1</v>
      </c>
      <c r="AI54" s="4"/>
    </row>
    <row r="55" spans="1:35" ht="12" thickBot="1" x14ac:dyDescent="0.3">
      <c r="B55" s="2"/>
      <c r="C55" s="2"/>
      <c r="D55" s="24" t="s">
        <v>1</v>
      </c>
      <c r="E55" s="33"/>
      <c r="F55" s="33"/>
      <c r="G55" s="33"/>
      <c r="H55" s="33"/>
      <c r="I55" s="24"/>
      <c r="K55" s="24"/>
      <c r="L55" s="24"/>
      <c r="M55" s="24"/>
      <c r="N55" s="24"/>
      <c r="O55" s="24"/>
      <c r="Q55" s="4"/>
      <c r="AI55" s="4"/>
    </row>
    <row r="56" spans="1:35" x14ac:dyDescent="0.25">
      <c r="B56" s="2"/>
      <c r="C56" s="2"/>
      <c r="D56" s="24" t="s">
        <v>1</v>
      </c>
      <c r="E56" s="24" t="s">
        <v>1</v>
      </c>
      <c r="F56" s="24" t="s">
        <v>25</v>
      </c>
      <c r="G56" s="24"/>
      <c r="H56" s="24"/>
      <c r="I56" s="24"/>
      <c r="K56" s="24"/>
      <c r="L56" s="24"/>
      <c r="M56" s="24"/>
      <c r="N56" s="24"/>
      <c r="O56" s="24"/>
      <c r="Q56" s="4"/>
      <c r="AI56" s="4"/>
    </row>
    <row r="57" spans="1:35" x14ac:dyDescent="0.25">
      <c r="A57" s="4"/>
      <c r="B57" s="34"/>
      <c r="C57" s="34"/>
      <c r="D57" s="35"/>
      <c r="E57" s="35"/>
      <c r="F57" s="35"/>
      <c r="G57" s="35"/>
      <c r="H57" s="35"/>
      <c r="I57" s="35"/>
      <c r="J57" s="4"/>
      <c r="K57" s="35"/>
      <c r="L57" s="35"/>
      <c r="M57" s="35"/>
      <c r="N57" s="35"/>
      <c r="O57" s="35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  <c r="AE57" s="4"/>
      <c r="AF57" s="4"/>
      <c r="AG57" s="4"/>
      <c r="AH57" s="4"/>
      <c r="AI57" s="4"/>
    </row>
    <row r="58" spans="1:35" ht="12" thickBot="1" x14ac:dyDescent="0.3">
      <c r="Q58" s="4"/>
      <c r="AI58" s="4"/>
    </row>
    <row r="59" spans="1:35" x14ac:dyDescent="0.25">
      <c r="B59" s="5"/>
      <c r="C59" s="3" t="s">
        <v>1</v>
      </c>
      <c r="D59" s="6" t="s">
        <v>1</v>
      </c>
      <c r="E59" s="3"/>
      <c r="F59" s="3"/>
      <c r="G59" s="3"/>
      <c r="H59" s="3" t="s">
        <v>1</v>
      </c>
      <c r="I59" s="3"/>
      <c r="J59" s="3"/>
      <c r="K59" s="3"/>
      <c r="L59" s="3"/>
      <c r="M59" s="3"/>
      <c r="N59" s="3"/>
      <c r="O59" s="7"/>
      <c r="P59" s="2"/>
      <c r="Q59" s="4"/>
      <c r="S59" s="5"/>
      <c r="T59" s="3" t="s">
        <v>1</v>
      </c>
      <c r="U59" s="6" t="s">
        <v>1</v>
      </c>
      <c r="V59" s="3"/>
      <c r="W59" s="3"/>
      <c r="X59" s="3" t="s">
        <v>1</v>
      </c>
      <c r="Y59" s="3"/>
      <c r="Z59" s="3"/>
      <c r="AA59" s="3"/>
      <c r="AB59" s="3"/>
      <c r="AC59" s="3"/>
      <c r="AD59" s="3"/>
      <c r="AE59" s="3"/>
      <c r="AF59" s="7"/>
      <c r="AG59" s="2"/>
      <c r="AI59" s="4"/>
    </row>
    <row r="60" spans="1:35" ht="14" x14ac:dyDescent="0.3">
      <c r="B60" s="8"/>
      <c r="F60" s="26" t="s">
        <v>8</v>
      </c>
      <c r="G60" s="26"/>
      <c r="I60" s="26" t="s">
        <v>16</v>
      </c>
      <c r="J60" s="25"/>
      <c r="M60" s="2" t="s">
        <v>15</v>
      </c>
      <c r="N60" s="50">
        <f>N3</f>
        <v>2026072</v>
      </c>
      <c r="O60" s="10"/>
      <c r="P60" s="2"/>
      <c r="Q60" s="4"/>
      <c r="S60" s="8"/>
      <c r="U60" s="26" t="s">
        <v>8</v>
      </c>
      <c r="W60" s="26" t="s">
        <v>16</v>
      </c>
      <c r="X60" s="25"/>
      <c r="Y60" s="2"/>
      <c r="AA60" s="2" t="s">
        <v>15</v>
      </c>
      <c r="AD60" s="84">
        <f>N60</f>
        <v>2026072</v>
      </c>
      <c r="AE60" s="84"/>
      <c r="AF60" s="48"/>
      <c r="AG60" s="2"/>
      <c r="AI60" s="4"/>
    </row>
    <row r="61" spans="1:35" ht="15.5" x14ac:dyDescent="0.35">
      <c r="B61" s="8"/>
      <c r="F61" s="36" t="s">
        <v>29</v>
      </c>
      <c r="G61" s="36"/>
      <c r="O61" s="10"/>
      <c r="P61" s="2"/>
      <c r="Q61" s="4"/>
      <c r="S61" s="8"/>
      <c r="T61" s="26" t="s">
        <v>1</v>
      </c>
      <c r="U61" s="36" t="s">
        <v>29</v>
      </c>
      <c r="Y61" s="2" t="s">
        <v>1</v>
      </c>
      <c r="AA61" s="50" t="s">
        <v>1</v>
      </c>
      <c r="AB61" s="2"/>
      <c r="AC61" s="2"/>
      <c r="AD61" s="2"/>
      <c r="AE61" s="2"/>
      <c r="AF61" s="10" t="s">
        <v>1</v>
      </c>
      <c r="AG61" s="2"/>
      <c r="AI61" s="4"/>
    </row>
    <row r="62" spans="1:35" ht="14" x14ac:dyDescent="0.3">
      <c r="B62" s="8"/>
      <c r="F62" s="2" t="s">
        <v>30</v>
      </c>
      <c r="G62" s="2"/>
      <c r="M62" s="2" t="s">
        <v>1</v>
      </c>
      <c r="O62" s="10"/>
      <c r="P62" s="2"/>
      <c r="Q62" s="4"/>
      <c r="S62" s="8"/>
      <c r="T62" s="49" t="s">
        <v>1</v>
      </c>
      <c r="U62" s="2" t="s">
        <v>30</v>
      </c>
      <c r="AF62" s="44"/>
      <c r="AG62" s="2"/>
      <c r="AI62" s="4"/>
    </row>
    <row r="63" spans="1:35" ht="15.5" x14ac:dyDescent="0.35">
      <c r="B63" s="8"/>
      <c r="C63" s="599" t="s">
        <v>17</v>
      </c>
      <c r="D63" s="9">
        <f>D6</f>
        <v>46238</v>
      </c>
      <c r="F63" s="41" t="s">
        <v>33</v>
      </c>
      <c r="G63" s="41"/>
      <c r="H63" s="2"/>
      <c r="J63" s="2"/>
      <c r="O63" s="10"/>
      <c r="P63" s="2"/>
      <c r="Q63" s="4"/>
      <c r="S63" s="8"/>
      <c r="T63" s="41" t="s">
        <v>1</v>
      </c>
      <c r="U63" s="41" t="s">
        <v>33</v>
      </c>
      <c r="V63" s="2"/>
      <c r="X63" s="2"/>
      <c r="Y63" s="2"/>
      <c r="AF63" s="48"/>
      <c r="AG63" s="2"/>
      <c r="AI63" s="4"/>
    </row>
    <row r="64" spans="1:35" ht="12" thickBot="1" x14ac:dyDescent="0.3">
      <c r="B64" s="8"/>
      <c r="C64" s="599" t="s">
        <v>0</v>
      </c>
      <c r="D64" s="241">
        <f>D7</f>
        <v>0.58333333333333337</v>
      </c>
      <c r="F64" s="2" t="s">
        <v>27</v>
      </c>
      <c r="G64" s="9">
        <f>G7</f>
        <v>46219</v>
      </c>
      <c r="J64" s="2" t="s">
        <v>28</v>
      </c>
      <c r="K64" s="9">
        <f>K7</f>
        <v>46234</v>
      </c>
      <c r="O64" s="10"/>
      <c r="P64" s="2"/>
      <c r="Q64" s="4"/>
      <c r="S64" s="8"/>
      <c r="U64" s="1" t="str">
        <f>F64</f>
        <v>Fecha Desde:</v>
      </c>
      <c r="V64" s="9">
        <f>G64</f>
        <v>46219</v>
      </c>
      <c r="W64" s="1" t="s">
        <v>1</v>
      </c>
      <c r="X64" s="1" t="str">
        <f>J64</f>
        <v>Feha Hasta:</v>
      </c>
      <c r="Y64" s="9">
        <f>K64</f>
        <v>46234</v>
      </c>
      <c r="Z64" s="1" t="s">
        <v>1</v>
      </c>
      <c r="AF64" s="48"/>
      <c r="AG64" s="2"/>
      <c r="AI64" s="4"/>
    </row>
    <row r="65" spans="1:35" ht="72" customHeight="1" thickBot="1" x14ac:dyDescent="0.3">
      <c r="B65" s="11" t="s">
        <v>3</v>
      </c>
      <c r="C65" s="27" t="s">
        <v>9</v>
      </c>
      <c r="D65" s="11" t="s">
        <v>4</v>
      </c>
      <c r="E65" s="12" t="s">
        <v>5</v>
      </c>
      <c r="F65" s="27" t="s">
        <v>6</v>
      </c>
      <c r="G65" s="27" t="s">
        <v>159</v>
      </c>
      <c r="H65" s="27" t="s">
        <v>18</v>
      </c>
      <c r="I65" s="12" t="s">
        <v>24</v>
      </c>
      <c r="J65" s="73" t="s">
        <v>19</v>
      </c>
      <c r="K65" s="29" t="s">
        <v>20</v>
      </c>
      <c r="L65" s="28" t="s">
        <v>21</v>
      </c>
      <c r="M65" s="39" t="s">
        <v>22</v>
      </c>
      <c r="N65" s="12" t="s">
        <v>7</v>
      </c>
      <c r="O65" s="39" t="s">
        <v>23</v>
      </c>
      <c r="P65" s="13"/>
      <c r="Q65" s="4"/>
      <c r="S65" s="11" t="s">
        <v>3</v>
      </c>
      <c r="T65" s="27" t="s">
        <v>9</v>
      </c>
      <c r="U65" s="162" t="s">
        <v>39</v>
      </c>
      <c r="V65" s="163" t="s">
        <v>40</v>
      </c>
      <c r="W65" s="163" t="s">
        <v>41</v>
      </c>
      <c r="X65" s="163" t="s">
        <v>42</v>
      </c>
      <c r="Y65" s="164" t="s">
        <v>43</v>
      </c>
      <c r="Z65" s="85" t="s">
        <v>21</v>
      </c>
      <c r="AA65" s="65" t="s">
        <v>46</v>
      </c>
      <c r="AB65" s="65" t="s">
        <v>7</v>
      </c>
      <c r="AC65" s="85" t="s">
        <v>168</v>
      </c>
      <c r="AD65" s="121" t="s">
        <v>107</v>
      </c>
      <c r="AE65" s="121" t="s">
        <v>226</v>
      </c>
      <c r="AF65" s="39" t="s">
        <v>23</v>
      </c>
      <c r="AG65" s="13"/>
      <c r="AI65" s="4"/>
    </row>
    <row r="66" spans="1:35" s="305" customFormat="1" x14ac:dyDescent="0.25">
      <c r="B66" s="303">
        <v>1</v>
      </c>
      <c r="C66" s="304" t="s">
        <v>10</v>
      </c>
      <c r="D66" s="291">
        <f>'Reversion Pagos R4'!D82</f>
        <v>0</v>
      </c>
      <c r="E66" s="291">
        <f>'Reversion Pagos R4'!E82</f>
        <v>0</v>
      </c>
      <c r="F66" s="291">
        <f>'Reversion Pagos R4'!F82</f>
        <v>0</v>
      </c>
      <c r="G66" s="291">
        <f>'Reversion Pagos R4'!G82</f>
        <v>0</v>
      </c>
      <c r="H66" s="291">
        <f>'Reversion Pagos R4'!H82</f>
        <v>0</v>
      </c>
      <c r="I66" s="291">
        <f>'Reversion Pagos R4'!I82</f>
        <v>0</v>
      </c>
      <c r="J66" s="309">
        <v>0</v>
      </c>
      <c r="K66" s="293">
        <f>D66-E66-F66-G66-H66-I66-J66</f>
        <v>0</v>
      </c>
      <c r="L66" s="294">
        <v>0</v>
      </c>
      <c r="M66" s="293">
        <f>K66-L66</f>
        <v>0</v>
      </c>
      <c r="N66" s="294">
        <f>'Reversion Pagos R4'!P82</f>
        <v>0</v>
      </c>
      <c r="O66" s="293">
        <f>M66+N66</f>
        <v>0</v>
      </c>
      <c r="Q66" s="306"/>
      <c r="S66" s="303">
        <v>1</v>
      </c>
      <c r="T66" s="304" t="s">
        <v>10</v>
      </c>
      <c r="U66" s="307">
        <f>'Reversion Pagos R4'!J82</f>
        <v>0</v>
      </c>
      <c r="V66" s="307">
        <f>'Reversion Pagos R4'!K82</f>
        <v>0</v>
      </c>
      <c r="W66" s="307">
        <f>'Reversion Pagos R4'!L82</f>
        <v>0</v>
      </c>
      <c r="X66" s="307">
        <f>'Reversion Pagos R4'!M82</f>
        <v>0</v>
      </c>
      <c r="Y66" s="307">
        <f>'Reversion Pagos R4'!N82</f>
        <v>0</v>
      </c>
      <c r="Z66" s="310">
        <f>-L66</f>
        <v>0</v>
      </c>
      <c r="AA66" s="311">
        <f>+'Reversion Pagos R4'!O82</f>
        <v>0</v>
      </c>
      <c r="AB66" s="294">
        <f>N66</f>
        <v>0</v>
      </c>
      <c r="AC66" s="311">
        <f>+'Reversion Pagos R4'!Q82+'Reversion Pagos R4'!R82</f>
        <v>0</v>
      </c>
      <c r="AD66" s="291">
        <f>-J66+AE66</f>
        <v>0</v>
      </c>
      <c r="AE66" s="291">
        <f>'Reversion Pagos R4'!D83</f>
        <v>0</v>
      </c>
      <c r="AF66" s="313">
        <f>SUM(U66:AD66)</f>
        <v>0</v>
      </c>
      <c r="AG66" s="311">
        <f>(AF66-O66)</f>
        <v>0</v>
      </c>
      <c r="AH66" s="1" t="b">
        <f>INT(AG66)=0</f>
        <v>1</v>
      </c>
      <c r="AI66" s="306"/>
    </row>
    <row r="67" spans="1:35" s="305" customFormat="1" x14ac:dyDescent="0.25">
      <c r="B67" s="314">
        <v>2</v>
      </c>
      <c r="C67" s="315" t="s">
        <v>11</v>
      </c>
      <c r="D67" s="291">
        <f>'Reversion Pagos R4'!D177</f>
        <v>0</v>
      </c>
      <c r="E67" s="291">
        <f>'Reversion Pagos R4'!E177</f>
        <v>0</v>
      </c>
      <c r="F67" s="291">
        <f>'Reversion Pagos R4'!F177</f>
        <v>0</v>
      </c>
      <c r="G67" s="291">
        <f>'Reversion Pagos R4'!G177</f>
        <v>0</v>
      </c>
      <c r="H67" s="291">
        <f>'Reversion Pagos R4'!H177</f>
        <v>0</v>
      </c>
      <c r="I67" s="291">
        <f>'Reversion Pagos R4'!I177</f>
        <v>0</v>
      </c>
      <c r="J67" s="288">
        <v>0</v>
      </c>
      <c r="K67" s="295">
        <f t="shared" ref="K67:K70" si="23">D67-E67-F67-G67-H67-I67-J67</f>
        <v>0</v>
      </c>
      <c r="L67" s="294">
        <v>0</v>
      </c>
      <c r="M67" s="295">
        <f>K67-L67</f>
        <v>0</v>
      </c>
      <c r="N67" s="294">
        <f>'Reversion Pagos R4'!P177</f>
        <v>0</v>
      </c>
      <c r="O67" s="295">
        <f t="shared" ref="O67:O70" si="24">M67+N67</f>
        <v>0</v>
      </c>
      <c r="Q67" s="306"/>
      <c r="S67" s="314">
        <v>2</v>
      </c>
      <c r="T67" s="315" t="s">
        <v>11</v>
      </c>
      <c r="U67" s="316">
        <f>'Reversion Pagos R4'!J177</f>
        <v>0</v>
      </c>
      <c r="V67" s="316">
        <f>'Reversion Pagos R4'!K177</f>
        <v>0</v>
      </c>
      <c r="W67" s="316">
        <f>'Reversion Pagos R4'!L177</f>
        <v>0</v>
      </c>
      <c r="X67" s="316">
        <f>'Reversion Pagos R4'!M177</f>
        <v>0</v>
      </c>
      <c r="Y67" s="316">
        <f>'Reversion Pagos R4'!N177</f>
        <v>0</v>
      </c>
      <c r="Z67" s="319">
        <f t="shared" ref="Z67:Z70" si="25">-L67</f>
        <v>0</v>
      </c>
      <c r="AA67" s="320">
        <f>'Reversion Pagos R4'!O177</f>
        <v>0</v>
      </c>
      <c r="AB67" s="294">
        <f t="shared" ref="AB67:AB70" si="26">N67</f>
        <v>0</v>
      </c>
      <c r="AC67" s="320">
        <f>'Reversion Pagos R4'!Q177+'Reversion Pagos R4'!R177</f>
        <v>0</v>
      </c>
      <c r="AD67" s="291">
        <f t="shared" ref="AD67:AD70" si="27">-J67+AE67</f>
        <v>0</v>
      </c>
      <c r="AE67" s="291">
        <f>'Reversion Pagos R4'!D178</f>
        <v>0</v>
      </c>
      <c r="AF67" s="322">
        <f>SUM(U67:AD67)</f>
        <v>0</v>
      </c>
      <c r="AG67" s="323">
        <f>(AF67-O67)</f>
        <v>0</v>
      </c>
      <c r="AH67" s="1" t="b">
        <f t="shared" ref="AH67:AH71" si="28">INT(AG67)=0</f>
        <v>1</v>
      </c>
      <c r="AI67" s="306"/>
    </row>
    <row r="68" spans="1:35" s="305" customFormat="1" x14ac:dyDescent="0.25">
      <c r="B68" s="314">
        <v>3</v>
      </c>
      <c r="C68" s="315" t="s">
        <v>12</v>
      </c>
      <c r="D68" s="291">
        <f>'Reversion Pagos R4'!D214</f>
        <v>0</v>
      </c>
      <c r="E68" s="291">
        <f>'Reversion Pagos R4'!E214</f>
        <v>0</v>
      </c>
      <c r="F68" s="291">
        <f>'Reversion Pagos R4'!F214</f>
        <v>0</v>
      </c>
      <c r="G68" s="291">
        <f>'Reversion Pagos R4'!G214</f>
        <v>0</v>
      </c>
      <c r="H68" s="291">
        <f>'Reversion Pagos R4'!H214</f>
        <v>0</v>
      </c>
      <c r="I68" s="291">
        <f>'Reversion Pagos R4'!I214</f>
        <v>0</v>
      </c>
      <c r="J68" s="288">
        <v>0</v>
      </c>
      <c r="K68" s="295">
        <f t="shared" si="23"/>
        <v>0</v>
      </c>
      <c r="L68" s="294">
        <v>0</v>
      </c>
      <c r="M68" s="295">
        <f>K68-L68</f>
        <v>0</v>
      </c>
      <c r="N68" s="294">
        <f>'Reversion Pagos R4'!P214</f>
        <v>0</v>
      </c>
      <c r="O68" s="295">
        <f t="shared" si="24"/>
        <v>0</v>
      </c>
      <c r="Q68" s="306"/>
      <c r="S68" s="314">
        <v>3</v>
      </c>
      <c r="T68" s="315" t="s">
        <v>12</v>
      </c>
      <c r="U68" s="316">
        <f>'Reversion Pagos R4'!J214</f>
        <v>0</v>
      </c>
      <c r="V68" s="316">
        <f>'Reversion Pagos R4'!K214</f>
        <v>0</v>
      </c>
      <c r="W68" s="316">
        <f>'Reversion Pagos R4'!L214</f>
        <v>0</v>
      </c>
      <c r="X68" s="316">
        <f>'Reversion Pagos R4'!M214</f>
        <v>0</v>
      </c>
      <c r="Y68" s="316">
        <f>'Reversion Pagos R4'!N214</f>
        <v>0</v>
      </c>
      <c r="Z68" s="319">
        <f t="shared" si="25"/>
        <v>0</v>
      </c>
      <c r="AA68" s="320">
        <f>'Reversion Pagos R4'!O214</f>
        <v>0</v>
      </c>
      <c r="AB68" s="294">
        <f t="shared" si="26"/>
        <v>0</v>
      </c>
      <c r="AC68" s="320">
        <f>'Reversion Pagos R4'!Q214+'Reversion Pagos R4'!R214</f>
        <v>0</v>
      </c>
      <c r="AD68" s="291">
        <f t="shared" si="27"/>
        <v>0</v>
      </c>
      <c r="AE68" s="291">
        <f>'Reversion Pagos R4'!D215</f>
        <v>0</v>
      </c>
      <c r="AF68" s="322">
        <f t="shared" ref="AF68:AF70" si="29">SUM(U68:AD68)</f>
        <v>0</v>
      </c>
      <c r="AG68" s="323">
        <f t="shared" ref="AG68:AG70" si="30">(AF68-O68)</f>
        <v>0</v>
      </c>
      <c r="AH68" s="1" t="b">
        <f t="shared" si="28"/>
        <v>1</v>
      </c>
      <c r="AI68" s="306"/>
    </row>
    <row r="69" spans="1:35" s="305" customFormat="1" x14ac:dyDescent="0.25">
      <c r="B69" s="314">
        <v>4</v>
      </c>
      <c r="C69" s="315" t="s">
        <v>13</v>
      </c>
      <c r="D69" s="291">
        <f>'Reversion Pagos R4'!D329</f>
        <v>0</v>
      </c>
      <c r="E69" s="291">
        <f>'Reversion Pagos R4'!E329</f>
        <v>0</v>
      </c>
      <c r="F69" s="291">
        <f>'Reversion Pagos R4'!F329</f>
        <v>0</v>
      </c>
      <c r="G69" s="291">
        <f>'Reversion Pagos R4'!G329</f>
        <v>0</v>
      </c>
      <c r="H69" s="291">
        <f>'Reversion Pagos R4'!H329</f>
        <v>0</v>
      </c>
      <c r="I69" s="291">
        <f>'Reversion Pagos R4'!I329</f>
        <v>0</v>
      </c>
      <c r="J69" s="288">
        <v>0</v>
      </c>
      <c r="K69" s="295">
        <f t="shared" si="23"/>
        <v>0</v>
      </c>
      <c r="L69" s="294">
        <v>0</v>
      </c>
      <c r="M69" s="295">
        <f>K69-L69</f>
        <v>0</v>
      </c>
      <c r="N69" s="294">
        <f>'Reversion Pagos R4'!P329</f>
        <v>0</v>
      </c>
      <c r="O69" s="295">
        <f t="shared" si="24"/>
        <v>0</v>
      </c>
      <c r="Q69" s="306"/>
      <c r="S69" s="314">
        <v>4</v>
      </c>
      <c r="T69" s="315" t="s">
        <v>13</v>
      </c>
      <c r="U69" s="316">
        <f>'Reversion Pagos R4'!J329</f>
        <v>0</v>
      </c>
      <c r="V69" s="316">
        <f>'Reversion Pagos R4'!K329</f>
        <v>0</v>
      </c>
      <c r="W69" s="316">
        <f>'Reversion Pagos R4'!L329</f>
        <v>0</v>
      </c>
      <c r="X69" s="316">
        <f>'Reversion Pagos R4'!M329</f>
        <v>0</v>
      </c>
      <c r="Y69" s="316">
        <f>'Reversion Pagos R4'!N329</f>
        <v>0</v>
      </c>
      <c r="Z69" s="319">
        <f t="shared" si="25"/>
        <v>0</v>
      </c>
      <c r="AA69" s="320">
        <f>'Reversion Pagos R4'!O329</f>
        <v>0</v>
      </c>
      <c r="AB69" s="294">
        <f t="shared" si="26"/>
        <v>0</v>
      </c>
      <c r="AC69" s="320">
        <f>'Reversion Pagos R4'!Q329+'Reversion Pagos R4'!R329</f>
        <v>0</v>
      </c>
      <c r="AD69" s="291">
        <f t="shared" si="27"/>
        <v>0</v>
      </c>
      <c r="AE69" s="291">
        <f>'Reversion Pagos R4'!D330</f>
        <v>0</v>
      </c>
      <c r="AF69" s="322">
        <f>SUM(U69:AD69)</f>
        <v>0</v>
      </c>
      <c r="AG69" s="323">
        <f>(AF69-O69)</f>
        <v>0</v>
      </c>
      <c r="AH69" s="1" t="b">
        <f t="shared" si="28"/>
        <v>1</v>
      </c>
      <c r="AI69" s="306"/>
    </row>
    <row r="70" spans="1:35" s="305" customFormat="1" ht="12" thickBot="1" x14ac:dyDescent="0.3">
      <c r="B70" s="324">
        <v>5</v>
      </c>
      <c r="C70" s="325" t="s">
        <v>14</v>
      </c>
      <c r="D70" s="296">
        <f>'Reversion Pagos R4'!D364</f>
        <v>0</v>
      </c>
      <c r="E70" s="296">
        <f>'Reversion Pagos R4'!E364</f>
        <v>0</v>
      </c>
      <c r="F70" s="296">
        <f>'Reversion Pagos R4'!F364</f>
        <v>0</v>
      </c>
      <c r="G70" s="296">
        <f>'Reversion Pagos R4'!G364</f>
        <v>0</v>
      </c>
      <c r="H70" s="296">
        <f>'Reversion Pagos R4'!H364</f>
        <v>0</v>
      </c>
      <c r="I70" s="296">
        <f>'Reversion Pagos R4'!I364</f>
        <v>0</v>
      </c>
      <c r="J70" s="289">
        <v>0</v>
      </c>
      <c r="K70" s="295">
        <f t="shared" si="23"/>
        <v>0</v>
      </c>
      <c r="L70" s="294">
        <v>0</v>
      </c>
      <c r="M70" s="298">
        <f>K70-L70</f>
        <v>0</v>
      </c>
      <c r="N70" s="294">
        <f>'Reversion Pagos R4'!P364</f>
        <v>0</v>
      </c>
      <c r="O70" s="298">
        <f t="shared" si="24"/>
        <v>0</v>
      </c>
      <c r="Q70" s="306"/>
      <c r="S70" s="324">
        <v>5</v>
      </c>
      <c r="T70" s="325" t="s">
        <v>14</v>
      </c>
      <c r="U70" s="296">
        <f>'Reversion Pagos R4'!J364</f>
        <v>0</v>
      </c>
      <c r="V70" s="296">
        <f>'Reversion Pagos R4'!K364</f>
        <v>0</v>
      </c>
      <c r="W70" s="296">
        <f>'Reversion Pagos R4'!L364</f>
        <v>0</v>
      </c>
      <c r="X70" s="296">
        <f>'Reversion Pagos R4'!M364</f>
        <v>0</v>
      </c>
      <c r="Y70" s="296">
        <f>'Reversion Pagos R4'!N364</f>
        <v>0</v>
      </c>
      <c r="Z70" s="319">
        <f t="shared" si="25"/>
        <v>0</v>
      </c>
      <c r="AA70" s="320">
        <f>'Reversion Pagos R4'!O364</f>
        <v>0</v>
      </c>
      <c r="AB70" s="294">
        <f t="shared" si="26"/>
        <v>0</v>
      </c>
      <c r="AC70" s="320">
        <f>'Reversion Pagos R4'!Q364+'Reversion Pagos R4'!R364</f>
        <v>0</v>
      </c>
      <c r="AD70" s="291">
        <f t="shared" si="27"/>
        <v>0</v>
      </c>
      <c r="AE70" s="291">
        <f>'Reversion Pagos R4'!D365</f>
        <v>0</v>
      </c>
      <c r="AF70" s="322">
        <f t="shared" si="29"/>
        <v>0</v>
      </c>
      <c r="AG70" s="326">
        <f t="shared" si="30"/>
        <v>0</v>
      </c>
      <c r="AH70" s="1" t="b">
        <f t="shared" si="28"/>
        <v>1</v>
      </c>
      <c r="AI70" s="306"/>
    </row>
    <row r="71" spans="1:35" s="305" customFormat="1" ht="13.5" thickBot="1" x14ac:dyDescent="0.35">
      <c r="B71" s="327"/>
      <c r="C71" s="328" t="s">
        <v>2</v>
      </c>
      <c r="D71" s="290">
        <f t="shared" ref="D71:O71" si="31">SUM(D66:D70)</f>
        <v>0</v>
      </c>
      <c r="E71" s="290">
        <f t="shared" si="31"/>
        <v>0</v>
      </c>
      <c r="F71" s="290">
        <f t="shared" si="31"/>
        <v>0</v>
      </c>
      <c r="G71" s="290">
        <f t="shared" si="31"/>
        <v>0</v>
      </c>
      <c r="H71" s="290">
        <f t="shared" si="31"/>
        <v>0</v>
      </c>
      <c r="I71" s="290">
        <f t="shared" si="31"/>
        <v>0</v>
      </c>
      <c r="J71" s="290">
        <f t="shared" si="31"/>
        <v>0</v>
      </c>
      <c r="K71" s="300">
        <f t="shared" si="31"/>
        <v>0</v>
      </c>
      <c r="L71" s="301">
        <f t="shared" si="31"/>
        <v>0</v>
      </c>
      <c r="M71" s="302">
        <f t="shared" si="31"/>
        <v>0</v>
      </c>
      <c r="N71" s="301">
        <f t="shared" si="31"/>
        <v>0</v>
      </c>
      <c r="O71" s="302">
        <f t="shared" si="31"/>
        <v>0</v>
      </c>
      <c r="P71" s="329"/>
      <c r="Q71" s="306"/>
      <c r="S71" s="327"/>
      <c r="T71" s="328" t="s">
        <v>2</v>
      </c>
      <c r="U71" s="330">
        <f>SUM(U66:U70)</f>
        <v>0</v>
      </c>
      <c r="V71" s="330">
        <f t="shared" ref="V71:AG71" si="32">SUM(V66:V70)</f>
        <v>0</v>
      </c>
      <c r="W71" s="330">
        <f t="shared" si="32"/>
        <v>0</v>
      </c>
      <c r="X71" s="330">
        <f t="shared" si="32"/>
        <v>0</v>
      </c>
      <c r="Y71" s="330">
        <f t="shared" si="32"/>
        <v>0</v>
      </c>
      <c r="Z71" s="290">
        <f t="shared" si="32"/>
        <v>0</v>
      </c>
      <c r="AA71" s="290">
        <f>SUM(AA66:AA70)</f>
        <v>0</v>
      </c>
      <c r="AB71" s="290">
        <f t="shared" si="32"/>
        <v>0</v>
      </c>
      <c r="AC71" s="290">
        <f t="shared" si="32"/>
        <v>0</v>
      </c>
      <c r="AD71" s="290">
        <f>SUM(AD66:AD70)</f>
        <v>0</v>
      </c>
      <c r="AE71" s="290">
        <f>SUM(AE66:AE70)</f>
        <v>0</v>
      </c>
      <c r="AF71" s="331">
        <f t="shared" si="32"/>
        <v>0</v>
      </c>
      <c r="AG71" s="332">
        <f t="shared" si="32"/>
        <v>0</v>
      </c>
      <c r="AH71" s="1" t="b">
        <f t="shared" si="28"/>
        <v>1</v>
      </c>
      <c r="AI71" s="306"/>
    </row>
    <row r="72" spans="1:35" ht="12" thickBot="1" x14ac:dyDescent="0.3">
      <c r="B72" s="2"/>
      <c r="C72" s="2"/>
      <c r="D72" s="24"/>
      <c r="E72" s="24"/>
      <c r="F72" s="24"/>
      <c r="G72" s="24"/>
      <c r="H72" s="24"/>
      <c r="I72" s="24"/>
      <c r="K72" s="24"/>
      <c r="L72" s="24"/>
      <c r="M72" s="24"/>
      <c r="N72" s="24"/>
      <c r="O72" s="24"/>
      <c r="Q72" s="4"/>
      <c r="S72" s="2"/>
      <c r="T72" s="2"/>
      <c r="U72" s="24"/>
      <c r="V72" s="24"/>
      <c r="W72" s="24"/>
      <c r="X72" s="24"/>
      <c r="Y72" s="24"/>
      <c r="AF72" s="24"/>
      <c r="AI72" s="4"/>
    </row>
    <row r="73" spans="1:35" ht="12" thickBot="1" x14ac:dyDescent="0.3">
      <c r="B73" s="2"/>
      <c r="C73" s="2"/>
      <c r="D73" s="24" t="s">
        <v>1</v>
      </c>
      <c r="E73" s="24"/>
      <c r="F73" s="24"/>
      <c r="G73" s="24"/>
      <c r="H73" s="24"/>
      <c r="I73" s="24"/>
      <c r="K73" s="24"/>
      <c r="L73" s="24"/>
      <c r="M73" s="24"/>
      <c r="N73" s="24"/>
      <c r="O73" s="24"/>
      <c r="Q73" s="4"/>
      <c r="Y73" s="86">
        <f>SUM(U71:Y71)</f>
        <v>0</v>
      </c>
      <c r="AA73" s="1" t="s">
        <v>1</v>
      </c>
      <c r="AB73" s="1" t="s">
        <v>1</v>
      </c>
      <c r="AD73" s="1" t="s">
        <v>1</v>
      </c>
      <c r="AF73" s="1" t="s">
        <v>1</v>
      </c>
      <c r="AI73" s="4"/>
    </row>
    <row r="74" spans="1:35" ht="12" thickBot="1" x14ac:dyDescent="0.3">
      <c r="B74" s="2"/>
      <c r="C74" s="2"/>
      <c r="D74" s="24" t="s">
        <v>1</v>
      </c>
      <c r="E74" s="33"/>
      <c r="F74" s="33"/>
      <c r="G74" s="33"/>
      <c r="H74" s="33"/>
      <c r="I74" s="24"/>
      <c r="K74" s="24"/>
      <c r="L74" s="24"/>
      <c r="M74" s="24"/>
      <c r="N74" s="24"/>
      <c r="O74" s="24"/>
      <c r="Q74" s="4"/>
      <c r="AI74" s="4"/>
    </row>
    <row r="75" spans="1:35" x14ac:dyDescent="0.25">
      <c r="B75" s="2"/>
      <c r="C75" s="2"/>
      <c r="D75" s="24" t="s">
        <v>1</v>
      </c>
      <c r="E75" s="24" t="s">
        <v>1</v>
      </c>
      <c r="F75" s="24" t="s">
        <v>25</v>
      </c>
      <c r="G75" s="24"/>
      <c r="H75" s="24"/>
      <c r="I75" s="24"/>
      <c r="K75" s="24"/>
      <c r="L75" s="24"/>
      <c r="M75" s="24"/>
      <c r="N75" s="24"/>
      <c r="O75" s="24"/>
      <c r="Q75" s="4"/>
      <c r="AI75" s="4"/>
    </row>
    <row r="76" spans="1:35" x14ac:dyDescent="0.25">
      <c r="A76" s="4"/>
      <c r="B76" s="34"/>
      <c r="C76" s="34"/>
      <c r="D76" s="35"/>
      <c r="E76" s="35"/>
      <c r="F76" s="35"/>
      <c r="G76" s="35"/>
      <c r="H76" s="35"/>
      <c r="I76" s="35"/>
      <c r="J76" s="4"/>
      <c r="K76" s="35"/>
      <c r="L76" s="35"/>
      <c r="M76" s="35"/>
      <c r="N76" s="35"/>
      <c r="O76" s="35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  <c r="AE76" s="4"/>
      <c r="AF76" s="4"/>
      <c r="AG76" s="4"/>
      <c r="AH76" s="4"/>
      <c r="AI76" s="4"/>
    </row>
    <row r="77" spans="1:35" ht="12" thickBot="1" x14ac:dyDescent="0.3">
      <c r="Q77" s="4"/>
      <c r="AI77" s="4"/>
    </row>
    <row r="78" spans="1:35" x14ac:dyDescent="0.25">
      <c r="B78" s="5"/>
      <c r="C78" s="3" t="s">
        <v>1</v>
      </c>
      <c r="D78" s="6" t="s">
        <v>1</v>
      </c>
      <c r="E78" s="3"/>
      <c r="F78" s="3"/>
      <c r="G78" s="3"/>
      <c r="H78" s="3" t="s">
        <v>1</v>
      </c>
      <c r="I78" s="3"/>
      <c r="J78" s="3"/>
      <c r="K78" s="3"/>
      <c r="L78" s="3"/>
      <c r="M78" s="3"/>
      <c r="N78" s="3"/>
      <c r="O78" s="7"/>
      <c r="P78" s="2"/>
      <c r="Q78" s="4"/>
      <c r="S78" s="5"/>
      <c r="T78" s="3" t="s">
        <v>1</v>
      </c>
      <c r="U78" s="6" t="s">
        <v>1</v>
      </c>
      <c r="V78" s="3"/>
      <c r="W78" s="3"/>
      <c r="X78" s="3" t="s">
        <v>1</v>
      </c>
      <c r="Y78" s="3"/>
      <c r="Z78" s="3"/>
      <c r="AA78" s="3"/>
      <c r="AB78" s="3"/>
      <c r="AC78" s="3"/>
      <c r="AD78" s="3"/>
      <c r="AE78" s="3"/>
      <c r="AF78" s="7"/>
      <c r="AG78" s="2"/>
      <c r="AI78" s="4"/>
    </row>
    <row r="79" spans="1:35" ht="14" x14ac:dyDescent="0.3">
      <c r="B79" s="8"/>
      <c r="F79" s="26" t="s">
        <v>8</v>
      </c>
      <c r="G79" s="26"/>
      <c r="I79" s="26" t="s">
        <v>16</v>
      </c>
      <c r="J79" s="25"/>
      <c r="M79" s="2" t="s">
        <v>15</v>
      </c>
      <c r="N79" s="50">
        <f>N3</f>
        <v>2026072</v>
      </c>
      <c r="O79" s="10"/>
      <c r="P79" s="2"/>
      <c r="Q79" s="4"/>
      <c r="S79" s="8"/>
      <c r="U79" s="26" t="s">
        <v>8</v>
      </c>
      <c r="W79" s="26" t="s">
        <v>16</v>
      </c>
      <c r="X79" s="25"/>
      <c r="Y79" s="2"/>
      <c r="AA79" s="2" t="s">
        <v>15</v>
      </c>
      <c r="AD79" s="84">
        <f>N79</f>
        <v>2026072</v>
      </c>
      <c r="AE79" s="84"/>
      <c r="AF79" s="48"/>
      <c r="AG79" s="2"/>
      <c r="AI79" s="4"/>
    </row>
    <row r="80" spans="1:35" ht="15.5" x14ac:dyDescent="0.35">
      <c r="B80" s="8"/>
      <c r="F80" s="36" t="s">
        <v>29</v>
      </c>
      <c r="G80" s="36"/>
      <c r="O80" s="10"/>
      <c r="P80" s="2"/>
      <c r="Q80" s="4"/>
      <c r="S80" s="8"/>
      <c r="T80" s="26" t="s">
        <v>1</v>
      </c>
      <c r="U80" s="36" t="s">
        <v>29</v>
      </c>
      <c r="Y80" s="2" t="s">
        <v>1</v>
      </c>
      <c r="AA80" s="50" t="s">
        <v>1</v>
      </c>
      <c r="AB80" s="2"/>
      <c r="AC80" s="2"/>
      <c r="AD80" s="2"/>
      <c r="AE80" s="2"/>
      <c r="AF80" s="10" t="s">
        <v>1</v>
      </c>
      <c r="AG80" s="2"/>
      <c r="AI80" s="4"/>
    </row>
    <row r="81" spans="1:35" ht="14" x14ac:dyDescent="0.3">
      <c r="B81" s="8"/>
      <c r="F81" s="2" t="s">
        <v>30</v>
      </c>
      <c r="G81" s="2"/>
      <c r="M81" s="2" t="s">
        <v>1</v>
      </c>
      <c r="O81" s="10"/>
      <c r="P81" s="2"/>
      <c r="Q81" s="4"/>
      <c r="S81" s="8"/>
      <c r="T81" s="49" t="s">
        <v>1</v>
      </c>
      <c r="U81" s="2" t="s">
        <v>30</v>
      </c>
      <c r="AF81" s="44"/>
      <c r="AG81" s="2"/>
      <c r="AI81" s="4"/>
    </row>
    <row r="82" spans="1:35" ht="15.5" x14ac:dyDescent="0.35">
      <c r="B82" s="8"/>
      <c r="C82" s="599" t="s">
        <v>17</v>
      </c>
      <c r="D82" s="9">
        <f>D6</f>
        <v>46238</v>
      </c>
      <c r="F82" s="41" t="s">
        <v>126</v>
      </c>
      <c r="G82" s="41"/>
      <c r="H82" s="2"/>
      <c r="J82" s="2"/>
      <c r="O82" s="10"/>
      <c r="P82" s="2"/>
      <c r="Q82" s="4"/>
      <c r="S82" s="8"/>
      <c r="T82" s="41" t="s">
        <v>1</v>
      </c>
      <c r="U82" s="41" t="s">
        <v>34</v>
      </c>
      <c r="V82" s="2"/>
      <c r="X82" s="2"/>
      <c r="Y82" s="2"/>
      <c r="AF82" s="48"/>
      <c r="AG82" s="2"/>
      <c r="AI82" s="4"/>
    </row>
    <row r="83" spans="1:35" ht="12" thickBot="1" x14ac:dyDescent="0.3">
      <c r="B83" s="8"/>
      <c r="C83" s="599" t="s">
        <v>0</v>
      </c>
      <c r="D83" s="241">
        <f>D7</f>
        <v>0.58333333333333337</v>
      </c>
      <c r="F83" s="2" t="s">
        <v>27</v>
      </c>
      <c r="G83" s="9">
        <f>G7</f>
        <v>46219</v>
      </c>
      <c r="J83" s="2" t="s">
        <v>28</v>
      </c>
      <c r="K83" s="9">
        <f>K7</f>
        <v>46234</v>
      </c>
      <c r="O83" s="10"/>
      <c r="P83" s="2"/>
      <c r="Q83" s="4"/>
      <c r="S83" s="8"/>
      <c r="U83" s="1" t="str">
        <f>F83</f>
        <v>Fecha Desde:</v>
      </c>
      <c r="V83" s="9">
        <f>G83</f>
        <v>46219</v>
      </c>
      <c r="W83" s="1" t="s">
        <v>1</v>
      </c>
      <c r="X83" s="1" t="str">
        <f>J83</f>
        <v>Feha Hasta:</v>
      </c>
      <c r="Y83" s="9">
        <f>K83</f>
        <v>46234</v>
      </c>
      <c r="Z83" s="1" t="s">
        <v>1</v>
      </c>
      <c r="AF83" s="48"/>
      <c r="AG83" s="2"/>
      <c r="AI83" s="4"/>
    </row>
    <row r="84" spans="1:35" ht="72" customHeight="1" thickBot="1" x14ac:dyDescent="0.3">
      <c r="B84" s="11" t="s">
        <v>3</v>
      </c>
      <c r="C84" s="27" t="s">
        <v>9</v>
      </c>
      <c r="D84" s="11" t="s">
        <v>4</v>
      </c>
      <c r="E84" s="12" t="s">
        <v>5</v>
      </c>
      <c r="F84" s="27" t="s">
        <v>6</v>
      </c>
      <c r="G84" s="27" t="s">
        <v>159</v>
      </c>
      <c r="H84" s="27" t="s">
        <v>18</v>
      </c>
      <c r="I84" s="12" t="s">
        <v>24</v>
      </c>
      <c r="J84" s="73" t="s">
        <v>19</v>
      </c>
      <c r="K84" s="29" t="s">
        <v>20</v>
      </c>
      <c r="L84" s="85" t="s">
        <v>21</v>
      </c>
      <c r="M84" s="29" t="s">
        <v>22</v>
      </c>
      <c r="N84" s="65" t="s">
        <v>7</v>
      </c>
      <c r="O84" s="29" t="s">
        <v>23</v>
      </c>
      <c r="P84" s="13"/>
      <c r="Q84" s="4"/>
      <c r="S84" s="11" t="s">
        <v>3</v>
      </c>
      <c r="T84" s="27" t="s">
        <v>9</v>
      </c>
      <c r="U84" s="39" t="s">
        <v>39</v>
      </c>
      <c r="V84" s="39" t="s">
        <v>40</v>
      </c>
      <c r="W84" s="39" t="s">
        <v>41</v>
      </c>
      <c r="X84" s="39" t="s">
        <v>42</v>
      </c>
      <c r="Y84" s="39" t="s">
        <v>43</v>
      </c>
      <c r="Z84" s="65" t="s">
        <v>21</v>
      </c>
      <c r="AA84" s="85" t="s">
        <v>46</v>
      </c>
      <c r="AB84" s="65" t="s">
        <v>7</v>
      </c>
      <c r="AC84" s="85" t="s">
        <v>168</v>
      </c>
      <c r="AD84" s="574" t="s">
        <v>105</v>
      </c>
      <c r="AE84" s="573" t="s">
        <v>104</v>
      </c>
      <c r="AF84" s="39" t="s">
        <v>23</v>
      </c>
      <c r="AG84" s="13"/>
      <c r="AI84" s="4"/>
    </row>
    <row r="85" spans="1:35" s="305" customFormat="1" x14ac:dyDescent="0.25">
      <c r="B85" s="303">
        <v>1</v>
      </c>
      <c r="C85" s="304" t="s">
        <v>10</v>
      </c>
      <c r="D85" s="291">
        <v>0</v>
      </c>
      <c r="E85" s="292">
        <v>0</v>
      </c>
      <c r="F85" s="292">
        <v>0</v>
      </c>
      <c r="G85" s="292">
        <v>0</v>
      </c>
      <c r="H85" s="292">
        <v>0</v>
      </c>
      <c r="I85" s="292">
        <v>0</v>
      </c>
      <c r="J85" s="292">
        <f>'AJUSTES - SF-T'!J47</f>
        <v>0</v>
      </c>
      <c r="K85" s="292">
        <f>D85-E85-F85-G85-H85-I85-J85</f>
        <v>0</v>
      </c>
      <c r="L85" s="294">
        <v>0</v>
      </c>
      <c r="M85" s="321">
        <f>K85-L85</f>
        <v>0</v>
      </c>
      <c r="N85" s="321">
        <f>'AJUSTES - SF-T'!N47</f>
        <v>0</v>
      </c>
      <c r="O85" s="321">
        <f>M85+N85</f>
        <v>0</v>
      </c>
      <c r="Q85" s="306"/>
      <c r="S85" s="303">
        <v>1</v>
      </c>
      <c r="T85" s="304" t="s">
        <v>10</v>
      </c>
      <c r="U85" s="312">
        <v>0</v>
      </c>
      <c r="V85" s="312">
        <v>0</v>
      </c>
      <c r="W85" s="312">
        <v>0</v>
      </c>
      <c r="X85" s="312">
        <v>0</v>
      </c>
      <c r="Y85" s="312">
        <v>0</v>
      </c>
      <c r="Z85" s="312">
        <f>'AJUSTES - SF-T'!Z47</f>
        <v>0</v>
      </c>
      <c r="AA85" s="311">
        <v>0</v>
      </c>
      <c r="AB85" s="312">
        <f>'AJUSTES - SF-T'!AB47</f>
        <v>0</v>
      </c>
      <c r="AC85" s="571">
        <v>0</v>
      </c>
      <c r="AD85" s="321">
        <v>0</v>
      </c>
      <c r="AE85" s="294">
        <v>0</v>
      </c>
      <c r="AF85" s="363">
        <f>SUM(U85:AD85)</f>
        <v>0</v>
      </c>
      <c r="AG85" s="569">
        <f>AF85-O85</f>
        <v>0</v>
      </c>
      <c r="AH85" s="1" t="b">
        <f>INT(AG85)=0</f>
        <v>1</v>
      </c>
      <c r="AI85" s="306"/>
    </row>
    <row r="86" spans="1:35" s="305" customFormat="1" x14ac:dyDescent="0.25">
      <c r="B86" s="314">
        <v>2</v>
      </c>
      <c r="C86" s="315" t="s">
        <v>11</v>
      </c>
      <c r="D86" s="291">
        <v>0</v>
      </c>
      <c r="E86" s="292">
        <v>0</v>
      </c>
      <c r="F86" s="292">
        <v>0</v>
      </c>
      <c r="G86" s="292">
        <v>0</v>
      </c>
      <c r="H86" s="292">
        <v>0</v>
      </c>
      <c r="I86" s="292">
        <v>0</v>
      </c>
      <c r="J86" s="292">
        <v>0</v>
      </c>
      <c r="K86" s="292">
        <f t="shared" ref="K86:K89" si="33">D86-E86-F86-G86-H86-I86-J86</f>
        <v>0</v>
      </c>
      <c r="L86" s="294">
        <v>0</v>
      </c>
      <c r="M86" s="321">
        <f>K86-L86</f>
        <v>0</v>
      </c>
      <c r="N86" s="321">
        <v>0</v>
      </c>
      <c r="O86" s="321">
        <f t="shared" ref="O86:O89" si="34">M86+N86</f>
        <v>0</v>
      </c>
      <c r="Q86" s="306"/>
      <c r="S86" s="314">
        <v>2</v>
      </c>
      <c r="T86" s="315" t="s">
        <v>11</v>
      </c>
      <c r="U86" s="320">
        <v>0</v>
      </c>
      <c r="V86" s="320">
        <v>0</v>
      </c>
      <c r="W86" s="320">
        <v>0</v>
      </c>
      <c r="X86" s="320">
        <v>0</v>
      </c>
      <c r="Y86" s="320">
        <v>0</v>
      </c>
      <c r="Z86" s="320">
        <f>-L86</f>
        <v>0</v>
      </c>
      <c r="AA86" s="320">
        <v>0</v>
      </c>
      <c r="AB86" s="320">
        <f>N86</f>
        <v>0</v>
      </c>
      <c r="AC86" s="299">
        <v>0</v>
      </c>
      <c r="AD86" s="320">
        <f t="shared" ref="AD86:AD88" si="35">-J86+AE86</f>
        <v>0</v>
      </c>
      <c r="AE86" s="299">
        <v>0</v>
      </c>
      <c r="AF86" s="365">
        <f>SUM(U86:AD86)</f>
        <v>0</v>
      </c>
      <c r="AG86" s="570">
        <f>AF86-O86</f>
        <v>0</v>
      </c>
      <c r="AH86" s="1" t="b">
        <f t="shared" ref="AH86:AH90" si="36">INT(AG86)=0</f>
        <v>1</v>
      </c>
      <c r="AI86" s="306"/>
    </row>
    <row r="87" spans="1:35" s="305" customFormat="1" x14ac:dyDescent="0.25">
      <c r="B87" s="314">
        <v>3</v>
      </c>
      <c r="C87" s="315" t="s">
        <v>12</v>
      </c>
      <c r="D87" s="291">
        <v>0</v>
      </c>
      <c r="E87" s="292">
        <v>0</v>
      </c>
      <c r="F87" s="292">
        <v>0</v>
      </c>
      <c r="G87" s="292">
        <v>0</v>
      </c>
      <c r="H87" s="292">
        <v>0</v>
      </c>
      <c r="I87" s="292">
        <v>0</v>
      </c>
      <c r="J87" s="292">
        <f>'AJUSTES - SF-T'!J49</f>
        <v>0</v>
      </c>
      <c r="K87" s="292">
        <f>D87-E87-F87-G87-H87-I87-J87</f>
        <v>0</v>
      </c>
      <c r="L87" s="294">
        <v>0</v>
      </c>
      <c r="M87" s="321">
        <f>K87-L87</f>
        <v>0</v>
      </c>
      <c r="N87" s="321">
        <f>'AJUSTES - SF-T'!N49</f>
        <v>0</v>
      </c>
      <c r="O87" s="321">
        <f>M87+N87</f>
        <v>0</v>
      </c>
      <c r="Q87" s="306"/>
      <c r="S87" s="314">
        <v>3</v>
      </c>
      <c r="T87" s="315" t="s">
        <v>12</v>
      </c>
      <c r="U87" s="320">
        <v>0</v>
      </c>
      <c r="V87" s="320">
        <v>0</v>
      </c>
      <c r="W87" s="320">
        <v>0</v>
      </c>
      <c r="X87" s="320">
        <v>0</v>
      </c>
      <c r="Y87" s="320">
        <v>0</v>
      </c>
      <c r="Z87" s="320">
        <f>'AJUSTES - SF-T'!Z49</f>
        <v>0</v>
      </c>
      <c r="AA87" s="320">
        <f>'AJUSTES - SF-T'!AA49</f>
        <v>0</v>
      </c>
      <c r="AB87" s="320">
        <f>'AJUSTES - SF-T'!AB49</f>
        <v>0</v>
      </c>
      <c r="AC87" s="299">
        <v>0</v>
      </c>
      <c r="AD87" s="320">
        <v>0</v>
      </c>
      <c r="AE87" s="299">
        <v>0</v>
      </c>
      <c r="AF87" s="365">
        <f>SUM(U87:AD87)</f>
        <v>0</v>
      </c>
      <c r="AG87" s="570">
        <f>AF87-O87</f>
        <v>0</v>
      </c>
      <c r="AH87" s="1" t="b">
        <f t="shared" si="36"/>
        <v>1</v>
      </c>
      <c r="AI87" s="306"/>
    </row>
    <row r="88" spans="1:35" s="305" customFormat="1" x14ac:dyDescent="0.25">
      <c r="B88" s="314">
        <v>4</v>
      </c>
      <c r="C88" s="315" t="s">
        <v>13</v>
      </c>
      <c r="D88" s="291">
        <v>0</v>
      </c>
      <c r="E88" s="292">
        <v>0</v>
      </c>
      <c r="F88" s="292">
        <v>0</v>
      </c>
      <c r="G88" s="292">
        <v>0</v>
      </c>
      <c r="H88" s="292">
        <v>0</v>
      </c>
      <c r="I88" s="292">
        <v>0</v>
      </c>
      <c r="J88" s="292">
        <v>0</v>
      </c>
      <c r="K88" s="292">
        <f t="shared" si="33"/>
        <v>0</v>
      </c>
      <c r="L88" s="294">
        <v>0</v>
      </c>
      <c r="M88" s="321">
        <f>K88-L88</f>
        <v>0</v>
      </c>
      <c r="N88" s="321">
        <v>0</v>
      </c>
      <c r="O88" s="321">
        <f t="shared" si="34"/>
        <v>0</v>
      </c>
      <c r="Q88" s="306"/>
      <c r="S88" s="314">
        <v>4</v>
      </c>
      <c r="T88" s="315" t="s">
        <v>13</v>
      </c>
      <c r="U88" s="320">
        <v>0</v>
      </c>
      <c r="V88" s="320">
        <v>0</v>
      </c>
      <c r="W88" s="320">
        <v>0</v>
      </c>
      <c r="X88" s="320">
        <v>0</v>
      </c>
      <c r="Y88" s="320">
        <v>0</v>
      </c>
      <c r="Z88" s="320">
        <f>-L88</f>
        <v>0</v>
      </c>
      <c r="AA88" s="320">
        <v>0</v>
      </c>
      <c r="AB88" s="320">
        <f>N88</f>
        <v>0</v>
      </c>
      <c r="AC88" s="299">
        <v>0</v>
      </c>
      <c r="AD88" s="320">
        <f t="shared" si="35"/>
        <v>0</v>
      </c>
      <c r="AE88" s="299">
        <v>0</v>
      </c>
      <c r="AF88" s="365">
        <f t="shared" ref="AF88:AF89" si="37">SUM(U88:AD88)</f>
        <v>0</v>
      </c>
      <c r="AG88" s="570">
        <f>AF88-O88</f>
        <v>0</v>
      </c>
      <c r="AH88" s="1" t="b">
        <f t="shared" si="36"/>
        <v>1</v>
      </c>
      <c r="AI88" s="306"/>
    </row>
    <row r="89" spans="1:35" s="305" customFormat="1" ht="12" thickBot="1" x14ac:dyDescent="0.3">
      <c r="B89" s="324">
        <v>5</v>
      </c>
      <c r="C89" s="325" t="s">
        <v>14</v>
      </c>
      <c r="D89" s="296">
        <f>'AJUSTES - SF-T'!D51</f>
        <v>0</v>
      </c>
      <c r="E89" s="297">
        <f>'AJUSTES - SF-T'!E51</f>
        <v>0</v>
      </c>
      <c r="F89" s="297">
        <f>'AJUSTES - SF-T'!F51</f>
        <v>0</v>
      </c>
      <c r="G89" s="297">
        <f>'AJUSTES - SF-T'!G51</f>
        <v>0</v>
      </c>
      <c r="H89" s="297">
        <f>'AJUSTES - SF-T'!H51</f>
        <v>0</v>
      </c>
      <c r="I89" s="297">
        <f>'AJUSTES - SF-T'!I51</f>
        <v>0</v>
      </c>
      <c r="J89" s="297">
        <f>'AJUSTES - SF-T'!J51</f>
        <v>0</v>
      </c>
      <c r="K89" s="297">
        <f t="shared" si="33"/>
        <v>0</v>
      </c>
      <c r="L89" s="294">
        <v>0</v>
      </c>
      <c r="M89" s="346">
        <f>K89-L89</f>
        <v>0</v>
      </c>
      <c r="N89" s="346">
        <f>'AJUSTES - SF-T'!N51</f>
        <v>0</v>
      </c>
      <c r="O89" s="346">
        <f t="shared" si="34"/>
        <v>0</v>
      </c>
      <c r="Q89" s="306"/>
      <c r="S89" s="324">
        <v>5</v>
      </c>
      <c r="T89" s="325" t="s">
        <v>14</v>
      </c>
      <c r="U89" s="346">
        <f>'AJUSTES - SF-T'!U51</f>
        <v>0</v>
      </c>
      <c r="V89" s="346">
        <f>'AJUSTES - SF-T'!V51</f>
        <v>0</v>
      </c>
      <c r="W89" s="346">
        <f>'AJUSTES - SF-T'!W51</f>
        <v>0</v>
      </c>
      <c r="X89" s="346">
        <f>'AJUSTES - SF-T'!X51</f>
        <v>0</v>
      </c>
      <c r="Y89" s="346">
        <f>'AJUSTES - SF-T'!Y51</f>
        <v>0</v>
      </c>
      <c r="Z89" s="346">
        <f>'AJUSTES - SF-T'!Z51</f>
        <v>0</v>
      </c>
      <c r="AA89" s="320">
        <f>'AJUSTES - SF-T'!AA51</f>
        <v>0</v>
      </c>
      <c r="AB89" s="572">
        <f>'AJUSTES - SF-T'!AB51</f>
        <v>0</v>
      </c>
      <c r="AC89" s="609">
        <v>0</v>
      </c>
      <c r="AD89" s="572">
        <f>'AJUSTES - SF-T'!AC51</f>
        <v>0</v>
      </c>
      <c r="AE89" s="294">
        <f>'AJUSTES - SF-T'!AD51</f>
        <v>0</v>
      </c>
      <c r="AF89" s="576">
        <f t="shared" si="37"/>
        <v>0</v>
      </c>
      <c r="AG89" s="575">
        <f>AF89-O89</f>
        <v>0</v>
      </c>
      <c r="AH89" s="1" t="b">
        <f t="shared" si="36"/>
        <v>1</v>
      </c>
      <c r="AI89" s="306"/>
    </row>
    <row r="90" spans="1:35" s="305" customFormat="1" ht="13.5" thickBot="1" x14ac:dyDescent="0.35">
      <c r="B90" s="327"/>
      <c r="C90" s="328" t="s">
        <v>2</v>
      </c>
      <c r="D90" s="290">
        <f t="shared" ref="D90:O90" si="38">SUM(D85:D89)</f>
        <v>0</v>
      </c>
      <c r="E90" s="290">
        <f t="shared" si="38"/>
        <v>0</v>
      </c>
      <c r="F90" s="290">
        <f t="shared" si="38"/>
        <v>0</v>
      </c>
      <c r="G90" s="290">
        <f t="shared" si="38"/>
        <v>0</v>
      </c>
      <c r="H90" s="290">
        <f t="shared" si="38"/>
        <v>0</v>
      </c>
      <c r="I90" s="290">
        <f t="shared" si="38"/>
        <v>0</v>
      </c>
      <c r="J90" s="290">
        <f t="shared" si="38"/>
        <v>0</v>
      </c>
      <c r="K90" s="300">
        <f t="shared" si="38"/>
        <v>0</v>
      </c>
      <c r="L90" s="301">
        <f t="shared" si="38"/>
        <v>0</v>
      </c>
      <c r="M90" s="302">
        <f t="shared" si="38"/>
        <v>0</v>
      </c>
      <c r="N90" s="301">
        <f t="shared" si="38"/>
        <v>0</v>
      </c>
      <c r="O90" s="302">
        <f t="shared" si="38"/>
        <v>0</v>
      </c>
      <c r="P90" s="329"/>
      <c r="Q90" s="306"/>
      <c r="S90" s="327"/>
      <c r="T90" s="567" t="s">
        <v>2</v>
      </c>
      <c r="U90" s="330">
        <f>SUM(U85:U89)</f>
        <v>0</v>
      </c>
      <c r="V90" s="330">
        <f t="shared" ref="V90:AG90" si="39">SUM(V85:V89)</f>
        <v>0</v>
      </c>
      <c r="W90" s="568">
        <f t="shared" si="39"/>
        <v>0</v>
      </c>
      <c r="X90" s="330">
        <f t="shared" si="39"/>
        <v>0</v>
      </c>
      <c r="Y90" s="330">
        <f t="shared" si="39"/>
        <v>0</v>
      </c>
      <c r="Z90" s="290">
        <f t="shared" si="39"/>
        <v>0</v>
      </c>
      <c r="AA90" s="290">
        <f t="shared" si="39"/>
        <v>0</v>
      </c>
      <c r="AB90" s="290">
        <f t="shared" si="39"/>
        <v>0</v>
      </c>
      <c r="AC90" s="290">
        <f t="shared" si="39"/>
        <v>0</v>
      </c>
      <c r="AD90" s="290">
        <f t="shared" si="39"/>
        <v>0</v>
      </c>
      <c r="AE90" s="290">
        <f t="shared" si="39"/>
        <v>0</v>
      </c>
      <c r="AF90" s="331">
        <f t="shared" si="39"/>
        <v>0</v>
      </c>
      <c r="AG90" s="332">
        <f t="shared" si="39"/>
        <v>0</v>
      </c>
      <c r="AH90" s="1" t="b">
        <f t="shared" si="36"/>
        <v>1</v>
      </c>
      <c r="AI90" s="306"/>
    </row>
    <row r="91" spans="1:35" ht="12" thickBot="1" x14ac:dyDescent="0.3">
      <c r="B91" s="2"/>
      <c r="C91" s="2"/>
      <c r="D91" s="24"/>
      <c r="E91" s="24"/>
      <c r="F91" s="24"/>
      <c r="G91" s="24"/>
      <c r="H91" s="24"/>
      <c r="I91" s="24"/>
      <c r="K91" s="24"/>
      <c r="L91" s="24"/>
      <c r="M91" s="24"/>
      <c r="N91" s="24"/>
      <c r="O91" s="24"/>
      <c r="Q91" s="4"/>
      <c r="S91" s="2"/>
      <c r="T91" s="2"/>
      <c r="U91" s="24"/>
      <c r="V91" s="24"/>
      <c r="W91" s="24"/>
      <c r="X91" s="24"/>
      <c r="Y91" s="24"/>
      <c r="AF91" s="24"/>
      <c r="AI91" s="4"/>
    </row>
    <row r="92" spans="1:35" ht="12" thickBot="1" x14ac:dyDescent="0.3">
      <c r="B92" s="2"/>
      <c r="C92" s="2"/>
      <c r="D92" s="24" t="s">
        <v>1</v>
      </c>
      <c r="E92" s="24"/>
      <c r="F92" s="24"/>
      <c r="G92" s="24"/>
      <c r="H92" s="24"/>
      <c r="I92" s="24"/>
      <c r="K92" s="24"/>
      <c r="L92" s="24"/>
      <c r="M92" s="24"/>
      <c r="N92" s="24"/>
      <c r="O92" s="24"/>
      <c r="Q92" s="4"/>
      <c r="Y92" s="86">
        <f>SUM(U90:Y90)</f>
        <v>0</v>
      </c>
      <c r="AA92" s="1" t="s">
        <v>1</v>
      </c>
      <c r="AB92" s="1" t="s">
        <v>1</v>
      </c>
      <c r="AD92" s="1" t="s">
        <v>1</v>
      </c>
      <c r="AF92" s="1" t="s">
        <v>1</v>
      </c>
      <c r="AI92" s="4"/>
    </row>
    <row r="93" spans="1:35" ht="12" thickBot="1" x14ac:dyDescent="0.3">
      <c r="B93" s="2"/>
      <c r="C93" s="2"/>
      <c r="D93" s="24" t="s">
        <v>1</v>
      </c>
      <c r="E93" s="33"/>
      <c r="F93" s="33"/>
      <c r="G93" s="33"/>
      <c r="H93" s="33"/>
      <c r="I93" s="24"/>
      <c r="K93" s="24"/>
      <c r="L93" s="24"/>
      <c r="M93" s="24"/>
      <c r="N93" s="24"/>
      <c r="O93" s="24"/>
      <c r="Q93" s="4"/>
      <c r="AI93" s="4"/>
    </row>
    <row r="94" spans="1:35" x14ac:dyDescent="0.25">
      <c r="B94" s="2"/>
      <c r="C94" s="2"/>
      <c r="D94" s="24" t="s">
        <v>1</v>
      </c>
      <c r="E94" s="24" t="s">
        <v>1</v>
      </c>
      <c r="F94" s="24" t="s">
        <v>25</v>
      </c>
      <c r="G94" s="24"/>
      <c r="H94" s="24"/>
      <c r="I94" s="24"/>
      <c r="K94" s="24"/>
      <c r="L94" s="24"/>
      <c r="M94" s="24"/>
      <c r="N94" s="24"/>
      <c r="O94" s="24"/>
      <c r="Q94" s="4"/>
      <c r="AI94" s="4"/>
    </row>
    <row r="95" spans="1:35" x14ac:dyDescent="0.25">
      <c r="A95" s="4"/>
      <c r="B95" s="34"/>
      <c r="C95" s="34"/>
      <c r="D95" s="35"/>
      <c r="E95" s="35"/>
      <c r="F95" s="35"/>
      <c r="G95" s="35"/>
      <c r="H95" s="35"/>
      <c r="I95" s="35"/>
      <c r="J95" s="4"/>
      <c r="K95" s="35"/>
      <c r="L95" s="35"/>
      <c r="M95" s="35"/>
      <c r="N95" s="35"/>
      <c r="O95" s="35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  <c r="AE95" s="4"/>
      <c r="AF95" s="4"/>
      <c r="AG95" s="4"/>
      <c r="AH95" s="4"/>
      <c r="AI95" s="4"/>
    </row>
    <row r="96" spans="1:35" ht="12" thickBot="1" x14ac:dyDescent="0.3">
      <c r="Q96" s="4"/>
      <c r="AI96" s="4"/>
    </row>
    <row r="97" spans="2:36" x14ac:dyDescent="0.25">
      <c r="B97" s="5"/>
      <c r="C97" s="3" t="s">
        <v>1</v>
      </c>
      <c r="D97" s="6" t="s">
        <v>1</v>
      </c>
      <c r="E97" s="3"/>
      <c r="F97" s="3"/>
      <c r="G97" s="3"/>
      <c r="H97" s="3" t="s">
        <v>1</v>
      </c>
      <c r="I97" s="3"/>
      <c r="J97" s="3"/>
      <c r="K97" s="3"/>
      <c r="L97" s="3"/>
      <c r="M97" s="3"/>
      <c r="N97" s="3"/>
      <c r="O97" s="7"/>
      <c r="P97" s="2"/>
      <c r="Q97" s="4"/>
      <c r="S97" s="5"/>
      <c r="T97" s="3" t="s">
        <v>1</v>
      </c>
      <c r="U97" s="6" t="s">
        <v>1</v>
      </c>
      <c r="V97" s="3"/>
      <c r="W97" s="3"/>
      <c r="X97" s="3" t="s">
        <v>1</v>
      </c>
      <c r="Y97" s="3"/>
      <c r="Z97" s="3"/>
      <c r="AA97" s="3"/>
      <c r="AB97" s="3"/>
      <c r="AC97" s="3"/>
      <c r="AD97" s="3"/>
      <c r="AE97" s="3"/>
      <c r="AF97" s="7"/>
      <c r="AG97" s="2"/>
      <c r="AI97" s="4"/>
    </row>
    <row r="98" spans="2:36" ht="14" x14ac:dyDescent="0.3">
      <c r="B98" s="8"/>
      <c r="F98" s="26" t="s">
        <v>8</v>
      </c>
      <c r="G98" s="26"/>
      <c r="I98" s="26" t="s">
        <v>16</v>
      </c>
      <c r="J98" s="25"/>
      <c r="M98" s="2" t="s">
        <v>15</v>
      </c>
      <c r="N98" s="50">
        <f>N3</f>
        <v>2026072</v>
      </c>
      <c r="O98" s="10"/>
      <c r="P98" s="2"/>
      <c r="Q98" s="4"/>
      <c r="S98" s="8"/>
      <c r="U98" s="26" t="s">
        <v>8</v>
      </c>
      <c r="W98" s="26" t="s">
        <v>16</v>
      </c>
      <c r="X98" s="25"/>
      <c r="Y98" s="2"/>
      <c r="AA98" s="2" t="s">
        <v>15</v>
      </c>
      <c r="AD98" s="84">
        <f>N98</f>
        <v>2026072</v>
      </c>
      <c r="AE98" s="84"/>
      <c r="AF98" s="48"/>
      <c r="AG98" s="2"/>
      <c r="AI98" s="4"/>
    </row>
    <row r="99" spans="2:36" ht="15.5" x14ac:dyDescent="0.35">
      <c r="B99" s="8"/>
      <c r="F99" s="36" t="s">
        <v>29</v>
      </c>
      <c r="G99" s="36"/>
      <c r="O99" s="10"/>
      <c r="P99" s="2"/>
      <c r="Q99" s="4"/>
      <c r="S99" s="8"/>
      <c r="T99" s="26" t="s">
        <v>1</v>
      </c>
      <c r="U99" s="36" t="s">
        <v>29</v>
      </c>
      <c r="Y99" s="2" t="s">
        <v>1</v>
      </c>
      <c r="AA99" s="50" t="s">
        <v>1</v>
      </c>
      <c r="AB99" s="2"/>
      <c r="AC99" s="2"/>
      <c r="AD99" s="2"/>
      <c r="AE99" s="2"/>
      <c r="AF99" s="10" t="s">
        <v>1</v>
      </c>
      <c r="AG99" s="2"/>
      <c r="AI99" s="4"/>
    </row>
    <row r="100" spans="2:36" ht="14" x14ac:dyDescent="0.3">
      <c r="B100" s="8"/>
      <c r="F100" s="2" t="s">
        <v>30</v>
      </c>
      <c r="G100" s="2"/>
      <c r="L100" s="91"/>
      <c r="M100" s="2" t="s">
        <v>1</v>
      </c>
      <c r="O100" s="10"/>
      <c r="P100" s="2"/>
      <c r="Q100" s="4"/>
      <c r="S100" s="8"/>
      <c r="T100" s="49" t="s">
        <v>1</v>
      </c>
      <c r="U100" s="2" t="s">
        <v>30</v>
      </c>
      <c r="AF100" s="44"/>
      <c r="AG100" s="2"/>
      <c r="AI100" s="4"/>
    </row>
    <row r="101" spans="2:36" ht="15.5" x14ac:dyDescent="0.35">
      <c r="B101" s="8"/>
      <c r="C101" s="599" t="s">
        <v>17</v>
      </c>
      <c r="D101" s="9">
        <f>D6</f>
        <v>46238</v>
      </c>
      <c r="F101" s="58" t="s">
        <v>330</v>
      </c>
      <c r="G101" s="58"/>
      <c r="H101" s="59"/>
      <c r="I101" s="60"/>
      <c r="J101" s="59"/>
      <c r="L101" s="91"/>
      <c r="O101" s="10"/>
      <c r="P101" s="2"/>
      <c r="Q101" s="4"/>
      <c r="S101" s="8"/>
      <c r="T101" s="41" t="s">
        <v>1</v>
      </c>
      <c r="U101" s="58" t="s">
        <v>218</v>
      </c>
      <c r="V101" s="59"/>
      <c r="W101" s="60"/>
      <c r="X101" s="59"/>
      <c r="Y101" s="2"/>
      <c r="AF101" s="48"/>
      <c r="AG101" s="2"/>
      <c r="AI101" s="4"/>
    </row>
    <row r="102" spans="2:36" ht="18" thickBot="1" x14ac:dyDescent="0.5">
      <c r="B102" s="8"/>
      <c r="C102" s="599" t="s">
        <v>0</v>
      </c>
      <c r="D102" s="241">
        <f>D7</f>
        <v>0.58333333333333337</v>
      </c>
      <c r="F102" s="2" t="s">
        <v>27</v>
      </c>
      <c r="G102" s="9">
        <f>G7</f>
        <v>46219</v>
      </c>
      <c r="J102" s="2" t="s">
        <v>28</v>
      </c>
      <c r="K102" s="9">
        <f>K7</f>
        <v>46234</v>
      </c>
      <c r="L102" s="92"/>
      <c r="O102" s="10"/>
      <c r="P102" s="2"/>
      <c r="Q102" s="4"/>
      <c r="S102" s="8"/>
      <c r="U102" s="1" t="str">
        <f>F102</f>
        <v>Fecha Desde:</v>
      </c>
      <c r="V102" s="9">
        <f>G102</f>
        <v>46219</v>
      </c>
      <c r="W102" s="1" t="s">
        <v>1</v>
      </c>
      <c r="X102" s="1" t="str">
        <f>J102</f>
        <v>Feha Hasta:</v>
      </c>
      <c r="Y102" s="9">
        <f>K102</f>
        <v>46234</v>
      </c>
      <c r="Z102" s="1" t="s">
        <v>1</v>
      </c>
      <c r="AF102" s="48"/>
      <c r="AG102" s="2"/>
      <c r="AI102" s="4"/>
      <c r="AJ102" s="112" t="s">
        <v>1</v>
      </c>
    </row>
    <row r="103" spans="2:36" ht="72" customHeight="1" thickBot="1" x14ac:dyDescent="0.3">
      <c r="B103" s="11" t="s">
        <v>3</v>
      </c>
      <c r="C103" s="27" t="s">
        <v>9</v>
      </c>
      <c r="D103" s="11" t="s">
        <v>4</v>
      </c>
      <c r="E103" s="12" t="s">
        <v>5</v>
      </c>
      <c r="F103" s="27" t="s">
        <v>6</v>
      </c>
      <c r="G103" s="27" t="s">
        <v>159</v>
      </c>
      <c r="H103" s="27" t="s">
        <v>18</v>
      </c>
      <c r="I103" s="12" t="s">
        <v>24</v>
      </c>
      <c r="J103" s="73" t="s">
        <v>19</v>
      </c>
      <c r="K103" s="29" t="s">
        <v>20</v>
      </c>
      <c r="L103" s="28" t="s">
        <v>21</v>
      </c>
      <c r="M103" s="39" t="s">
        <v>22</v>
      </c>
      <c r="N103" s="12" t="s">
        <v>7</v>
      </c>
      <c r="O103" s="39" t="s">
        <v>23</v>
      </c>
      <c r="P103" s="13"/>
      <c r="Q103" s="4"/>
      <c r="S103" s="11" t="s">
        <v>3</v>
      </c>
      <c r="T103" s="27" t="s">
        <v>9</v>
      </c>
      <c r="U103" s="162" t="s">
        <v>39</v>
      </c>
      <c r="V103" s="163" t="s">
        <v>40</v>
      </c>
      <c r="W103" s="163" t="s">
        <v>41</v>
      </c>
      <c r="X103" s="163" t="s">
        <v>42</v>
      </c>
      <c r="Y103" s="164" t="s">
        <v>43</v>
      </c>
      <c r="Z103" s="85" t="s">
        <v>21</v>
      </c>
      <c r="AA103" s="65" t="s">
        <v>46</v>
      </c>
      <c r="AB103" s="65" t="s">
        <v>7</v>
      </c>
      <c r="AC103" s="85" t="s">
        <v>168</v>
      </c>
      <c r="AD103" s="121" t="s">
        <v>105</v>
      </c>
      <c r="AE103" s="121" t="s">
        <v>104</v>
      </c>
      <c r="AF103" s="39" t="s">
        <v>23</v>
      </c>
      <c r="AG103" s="13"/>
      <c r="AI103" s="4"/>
    </row>
    <row r="104" spans="2:36" s="305" customFormat="1" x14ac:dyDescent="0.25">
      <c r="B104" s="303">
        <v>1</v>
      </c>
      <c r="C104" s="304" t="s">
        <v>10</v>
      </c>
      <c r="D104" s="291">
        <f t="shared" ref="D104:J108" si="40">D9+D28+D47+D66+D85</f>
        <v>0</v>
      </c>
      <c r="E104" s="292">
        <f t="shared" si="40"/>
        <v>0</v>
      </c>
      <c r="F104" s="292">
        <f t="shared" si="40"/>
        <v>0</v>
      </c>
      <c r="G104" s="292">
        <f t="shared" si="40"/>
        <v>0</v>
      </c>
      <c r="H104" s="292">
        <f t="shared" si="40"/>
        <v>0</v>
      </c>
      <c r="I104" s="292">
        <f t="shared" si="40"/>
        <v>0</v>
      </c>
      <c r="J104" s="292">
        <f t="shared" si="40"/>
        <v>0</v>
      </c>
      <c r="K104" s="293">
        <f>D104-E104-F104-G104-H104-I104-J104</f>
        <v>0</v>
      </c>
      <c r="L104" s="294">
        <f>L9+L28+L47+L66+L85</f>
        <v>0</v>
      </c>
      <c r="M104" s="293">
        <f>K104-L104</f>
        <v>0</v>
      </c>
      <c r="N104" s="294">
        <f>N9+N28+N47+N66+N85</f>
        <v>0</v>
      </c>
      <c r="O104" s="293">
        <f>M104+N104</f>
        <v>0</v>
      </c>
      <c r="Q104" s="306"/>
      <c r="S104" s="303">
        <v>1</v>
      </c>
      <c r="T104" s="304" t="s">
        <v>10</v>
      </c>
      <c r="U104" s="307">
        <f t="shared" ref="U104:AC108" si="41">U9+U28+U47+U66+U85</f>
        <v>0</v>
      </c>
      <c r="V104" s="308">
        <f t="shared" si="41"/>
        <v>0</v>
      </c>
      <c r="W104" s="308">
        <f t="shared" si="41"/>
        <v>0</v>
      </c>
      <c r="X104" s="308">
        <f t="shared" si="41"/>
        <v>0</v>
      </c>
      <c r="Y104" s="309">
        <f t="shared" si="41"/>
        <v>0</v>
      </c>
      <c r="Z104" s="310">
        <f t="shared" si="41"/>
        <v>0</v>
      </c>
      <c r="AA104" s="311">
        <f>AA9+AA28+AA47+AA66+AA85</f>
        <v>0</v>
      </c>
      <c r="AB104" s="294">
        <f>AB9+AB28+AB47+AB66+AB85</f>
        <v>0</v>
      </c>
      <c r="AC104" s="311">
        <f>AC9+AC28+AC47+AC66+AC85</f>
        <v>0</v>
      </c>
      <c r="AD104" s="291">
        <f>-J104+AE104</f>
        <v>0</v>
      </c>
      <c r="AE104" s="291">
        <f>AE9+AE28+AE47+AE66+AE85</f>
        <v>0</v>
      </c>
      <c r="AF104" s="313">
        <f>SUM(U104:AD104)</f>
        <v>0</v>
      </c>
      <c r="AG104" s="311">
        <f>AF104-O104</f>
        <v>0</v>
      </c>
      <c r="AH104" s="1" t="b">
        <f>INT(AG104)=0</f>
        <v>1</v>
      </c>
      <c r="AI104" s="306"/>
    </row>
    <row r="105" spans="2:36" s="305" customFormat="1" x14ac:dyDescent="0.25">
      <c r="B105" s="314">
        <v>2</v>
      </c>
      <c r="C105" s="315" t="s">
        <v>11</v>
      </c>
      <c r="D105" s="291">
        <f t="shared" si="40"/>
        <v>0</v>
      </c>
      <c r="E105" s="292">
        <f t="shared" si="40"/>
        <v>0</v>
      </c>
      <c r="F105" s="292">
        <f t="shared" si="40"/>
        <v>0</v>
      </c>
      <c r="G105" s="292">
        <f t="shared" si="40"/>
        <v>0</v>
      </c>
      <c r="H105" s="292">
        <f t="shared" si="40"/>
        <v>0</v>
      </c>
      <c r="I105" s="292">
        <f t="shared" si="40"/>
        <v>0</v>
      </c>
      <c r="J105" s="292">
        <f t="shared" si="40"/>
        <v>0</v>
      </c>
      <c r="K105" s="295">
        <f t="shared" ref="K105:K108" si="42">D105-E105-F105-G105-H105-I105-J105</f>
        <v>0</v>
      </c>
      <c r="L105" s="294">
        <f>L10+L29+L48+L67+L86</f>
        <v>0</v>
      </c>
      <c r="M105" s="295">
        <f>K105-L105</f>
        <v>0</v>
      </c>
      <c r="N105" s="294">
        <f>N10+N29+N48+N67+N86</f>
        <v>0</v>
      </c>
      <c r="O105" s="295">
        <f t="shared" ref="O105:O108" si="43">M105+N105</f>
        <v>0</v>
      </c>
      <c r="Q105" s="306"/>
      <c r="S105" s="314">
        <v>2</v>
      </c>
      <c r="T105" s="315" t="s">
        <v>11</v>
      </c>
      <c r="U105" s="316">
        <f t="shared" si="41"/>
        <v>0</v>
      </c>
      <c r="V105" s="317">
        <f t="shared" si="41"/>
        <v>0</v>
      </c>
      <c r="W105" s="317">
        <f t="shared" si="41"/>
        <v>0</v>
      </c>
      <c r="X105" s="317">
        <f t="shared" si="41"/>
        <v>0</v>
      </c>
      <c r="Y105" s="318">
        <f t="shared" si="41"/>
        <v>0</v>
      </c>
      <c r="Z105" s="319">
        <f t="shared" si="41"/>
        <v>0</v>
      </c>
      <c r="AA105" s="320">
        <f t="shared" si="41"/>
        <v>0</v>
      </c>
      <c r="AB105" s="294">
        <f t="shared" si="41"/>
        <v>0</v>
      </c>
      <c r="AC105" s="320">
        <f t="shared" si="41"/>
        <v>0</v>
      </c>
      <c r="AD105" s="291">
        <f t="shared" ref="AD105:AD106" si="44">-J105+AE105</f>
        <v>0</v>
      </c>
      <c r="AE105" s="291">
        <f>AE10+AE29+AE48+AE67+AE86</f>
        <v>0</v>
      </c>
      <c r="AF105" s="322">
        <f>SUM(U105:AD105)</f>
        <v>0</v>
      </c>
      <c r="AG105" s="323">
        <f>AF105-O105</f>
        <v>0</v>
      </c>
      <c r="AH105" s="1" t="b">
        <f t="shared" ref="AH105:AH109" si="45">INT(AG105)=0</f>
        <v>1</v>
      </c>
      <c r="AI105" s="306"/>
    </row>
    <row r="106" spans="2:36" s="305" customFormat="1" x14ac:dyDescent="0.25">
      <c r="B106" s="314">
        <v>3</v>
      </c>
      <c r="C106" s="315" t="s">
        <v>12</v>
      </c>
      <c r="D106" s="291">
        <f t="shared" si="40"/>
        <v>0</v>
      </c>
      <c r="E106" s="292">
        <f t="shared" si="40"/>
        <v>0</v>
      </c>
      <c r="F106" s="292">
        <f t="shared" si="40"/>
        <v>0</v>
      </c>
      <c r="G106" s="292">
        <f t="shared" si="40"/>
        <v>0</v>
      </c>
      <c r="H106" s="292">
        <f t="shared" si="40"/>
        <v>0</v>
      </c>
      <c r="I106" s="292">
        <f t="shared" si="40"/>
        <v>0</v>
      </c>
      <c r="J106" s="292">
        <f t="shared" si="40"/>
        <v>0</v>
      </c>
      <c r="K106" s="295">
        <f t="shared" si="42"/>
        <v>0</v>
      </c>
      <c r="L106" s="294">
        <f>L11+L30+L49+L68+L87</f>
        <v>0</v>
      </c>
      <c r="M106" s="295">
        <f>K106-L106</f>
        <v>0</v>
      </c>
      <c r="N106" s="294">
        <f>N11+N30+N49+N68+N87</f>
        <v>0</v>
      </c>
      <c r="O106" s="295">
        <f t="shared" si="43"/>
        <v>0</v>
      </c>
      <c r="Q106" s="306"/>
      <c r="S106" s="314">
        <v>3</v>
      </c>
      <c r="T106" s="315" t="s">
        <v>12</v>
      </c>
      <c r="U106" s="316">
        <f t="shared" si="41"/>
        <v>0</v>
      </c>
      <c r="V106" s="317">
        <f t="shared" si="41"/>
        <v>0</v>
      </c>
      <c r="W106" s="317">
        <f t="shared" si="41"/>
        <v>0</v>
      </c>
      <c r="X106" s="317">
        <f t="shared" si="41"/>
        <v>0</v>
      </c>
      <c r="Y106" s="318">
        <f t="shared" si="41"/>
        <v>0</v>
      </c>
      <c r="Z106" s="319">
        <f t="shared" si="41"/>
        <v>0</v>
      </c>
      <c r="AA106" s="320">
        <f t="shared" si="41"/>
        <v>0</v>
      </c>
      <c r="AB106" s="294">
        <f t="shared" si="41"/>
        <v>0</v>
      </c>
      <c r="AC106" s="320">
        <f>AC11+AC30+AC49+AC68+AC87</f>
        <v>0</v>
      </c>
      <c r="AD106" s="291">
        <f t="shared" si="44"/>
        <v>0</v>
      </c>
      <c r="AE106" s="291">
        <f>AE11+AE30+AE49+AE68+AE87</f>
        <v>0</v>
      </c>
      <c r="AF106" s="322">
        <f>SUM(U106:AD106)</f>
        <v>0</v>
      </c>
      <c r="AG106" s="323">
        <f>AF106-O106</f>
        <v>0</v>
      </c>
      <c r="AH106" s="1" t="b">
        <f t="shared" si="45"/>
        <v>1</v>
      </c>
      <c r="AI106" s="306"/>
    </row>
    <row r="107" spans="2:36" s="305" customFormat="1" x14ac:dyDescent="0.25">
      <c r="B107" s="314">
        <v>4</v>
      </c>
      <c r="C107" s="315" t="s">
        <v>13</v>
      </c>
      <c r="D107" s="291">
        <f t="shared" si="40"/>
        <v>0</v>
      </c>
      <c r="E107" s="292">
        <f t="shared" si="40"/>
        <v>0</v>
      </c>
      <c r="F107" s="292">
        <f t="shared" si="40"/>
        <v>0</v>
      </c>
      <c r="G107" s="292">
        <f t="shared" si="40"/>
        <v>0</v>
      </c>
      <c r="H107" s="292">
        <f t="shared" si="40"/>
        <v>0</v>
      </c>
      <c r="I107" s="292">
        <f t="shared" si="40"/>
        <v>0</v>
      </c>
      <c r="J107" s="292">
        <f t="shared" si="40"/>
        <v>0</v>
      </c>
      <c r="K107" s="295">
        <f t="shared" si="42"/>
        <v>0</v>
      </c>
      <c r="L107" s="294">
        <f>L12+L31+L50+L69+L88</f>
        <v>0</v>
      </c>
      <c r="M107" s="295">
        <f>K107-L107</f>
        <v>0</v>
      </c>
      <c r="N107" s="294">
        <f>N12+N31+N50+N69+N88</f>
        <v>0</v>
      </c>
      <c r="O107" s="295">
        <f>M107+N107</f>
        <v>0</v>
      </c>
      <c r="Q107" s="306"/>
      <c r="S107" s="314">
        <v>4</v>
      </c>
      <c r="T107" s="315" t="s">
        <v>13</v>
      </c>
      <c r="U107" s="316">
        <f t="shared" si="41"/>
        <v>0</v>
      </c>
      <c r="V107" s="317">
        <f t="shared" si="41"/>
        <v>0</v>
      </c>
      <c r="W107" s="317">
        <f t="shared" si="41"/>
        <v>0</v>
      </c>
      <c r="X107" s="317">
        <f t="shared" si="41"/>
        <v>0</v>
      </c>
      <c r="Y107" s="318">
        <f t="shared" si="41"/>
        <v>0</v>
      </c>
      <c r="Z107" s="319">
        <f t="shared" si="41"/>
        <v>0</v>
      </c>
      <c r="AA107" s="320">
        <f t="shared" si="41"/>
        <v>0</v>
      </c>
      <c r="AB107" s="294">
        <f t="shared" si="41"/>
        <v>0</v>
      </c>
      <c r="AC107" s="320">
        <f t="shared" si="41"/>
        <v>0</v>
      </c>
      <c r="AD107" s="291">
        <f>-J117+AE117</f>
        <v>0</v>
      </c>
      <c r="AE107" s="291">
        <f>AE12+AE31+AE50+AE69+AE88</f>
        <v>0</v>
      </c>
      <c r="AF107" s="322">
        <f>SUM(U117:AD117)</f>
        <v>0</v>
      </c>
      <c r="AG107" s="323">
        <f>AF117-O117</f>
        <v>0</v>
      </c>
      <c r="AH107" s="1" t="b">
        <f t="shared" si="45"/>
        <v>1</v>
      </c>
      <c r="AI107" s="306"/>
    </row>
    <row r="108" spans="2:36" s="305" customFormat="1" ht="12" thickBot="1" x14ac:dyDescent="0.3">
      <c r="B108" s="324">
        <v>5</v>
      </c>
      <c r="C108" s="325" t="s">
        <v>14</v>
      </c>
      <c r="D108" s="296">
        <f>D13+D32+D51+D70+D89</f>
        <v>33106622.48</v>
      </c>
      <c r="E108" s="297">
        <f t="shared" si="40"/>
        <v>2354015.58</v>
      </c>
      <c r="F108" s="297">
        <f t="shared" si="40"/>
        <v>1304933.33</v>
      </c>
      <c r="G108" s="297">
        <f t="shared" si="40"/>
        <v>678365.21</v>
      </c>
      <c r="H108" s="297">
        <f t="shared" si="40"/>
        <v>8664264.7300000004</v>
      </c>
      <c r="I108" s="297">
        <f t="shared" si="40"/>
        <v>306609.89</v>
      </c>
      <c r="J108" s="297">
        <f t="shared" si="40"/>
        <v>0</v>
      </c>
      <c r="K108" s="295">
        <f t="shared" si="42"/>
        <v>19798433.739999998</v>
      </c>
      <c r="L108" s="294">
        <f>L13+L32+L51+L70+L89</f>
        <v>0</v>
      </c>
      <c r="M108" s="298">
        <f>K108-L108</f>
        <v>19798433.739999998</v>
      </c>
      <c r="N108" s="299">
        <f>N13+N32+N51+N70+N89</f>
        <v>0</v>
      </c>
      <c r="O108" s="298">
        <f t="shared" si="43"/>
        <v>19798433.739999998</v>
      </c>
      <c r="Q108" s="306"/>
      <c r="S108" s="324">
        <v>5</v>
      </c>
      <c r="T108" s="325" t="s">
        <v>14</v>
      </c>
      <c r="U108" s="296">
        <f t="shared" si="41"/>
        <v>2695565.9899999998</v>
      </c>
      <c r="V108" s="297">
        <f t="shared" si="41"/>
        <v>2662800.6100000003</v>
      </c>
      <c r="W108" s="297">
        <f t="shared" si="41"/>
        <v>13468229.43</v>
      </c>
      <c r="X108" s="297">
        <f t="shared" si="41"/>
        <v>6732768.6600000001</v>
      </c>
      <c r="Y108" s="289">
        <f t="shared" si="41"/>
        <v>496966.43</v>
      </c>
      <c r="Z108" s="319">
        <f t="shared" si="41"/>
        <v>0</v>
      </c>
      <c r="AA108" s="320">
        <f t="shared" si="41"/>
        <v>65.34</v>
      </c>
      <c r="AB108" s="294">
        <f t="shared" si="41"/>
        <v>0</v>
      </c>
      <c r="AC108" s="320">
        <f t="shared" si="41"/>
        <v>0</v>
      </c>
      <c r="AD108" s="291">
        <f>-J108+AE108</f>
        <v>-6257962.7199999997</v>
      </c>
      <c r="AE108" s="291">
        <f>AE13+AE32+AE51+AE70+AE89</f>
        <v>-6257962.7199999997</v>
      </c>
      <c r="AF108" s="322">
        <f>SUM(U108:AD108)</f>
        <v>19798433.740000002</v>
      </c>
      <c r="AG108" s="326">
        <f>AF108-O108</f>
        <v>0</v>
      </c>
      <c r="AH108" s="1" t="b">
        <f t="shared" si="45"/>
        <v>1</v>
      </c>
      <c r="AI108" s="306"/>
    </row>
    <row r="109" spans="2:36" s="305" customFormat="1" ht="13.5" thickBot="1" x14ac:dyDescent="0.35">
      <c r="B109" s="327"/>
      <c r="C109" s="328" t="s">
        <v>2</v>
      </c>
      <c r="D109" s="290">
        <f t="shared" ref="D109:O109" si="46">SUM(D104:D108)</f>
        <v>33106622.48</v>
      </c>
      <c r="E109" s="290">
        <f t="shared" si="46"/>
        <v>2354015.58</v>
      </c>
      <c r="F109" s="290">
        <f t="shared" si="46"/>
        <v>1304933.33</v>
      </c>
      <c r="G109" s="290">
        <f t="shared" si="46"/>
        <v>678365.21</v>
      </c>
      <c r="H109" s="290">
        <f t="shared" si="46"/>
        <v>8664264.7300000004</v>
      </c>
      <c r="I109" s="290">
        <f t="shared" si="46"/>
        <v>306609.89</v>
      </c>
      <c r="J109" s="290">
        <f t="shared" si="46"/>
        <v>0</v>
      </c>
      <c r="K109" s="300">
        <f t="shared" si="46"/>
        <v>19798433.739999998</v>
      </c>
      <c r="L109" s="301">
        <f t="shared" si="46"/>
        <v>0</v>
      </c>
      <c r="M109" s="302">
        <f t="shared" si="46"/>
        <v>19798433.739999998</v>
      </c>
      <c r="N109" s="301">
        <f t="shared" si="46"/>
        <v>0</v>
      </c>
      <c r="O109" s="302">
        <f t="shared" si="46"/>
        <v>19798433.739999998</v>
      </c>
      <c r="P109" s="329"/>
      <c r="Q109" s="306"/>
      <c r="S109" s="327"/>
      <c r="T109" s="328" t="s">
        <v>2</v>
      </c>
      <c r="U109" s="330">
        <f>SUM(U104:U108)</f>
        <v>2695565.9899999998</v>
      </c>
      <c r="V109" s="330">
        <f t="shared" ref="V109:AF109" si="47">SUM(V104:V108)</f>
        <v>2662800.6100000003</v>
      </c>
      <c r="W109" s="330">
        <f t="shared" si="47"/>
        <v>13468229.43</v>
      </c>
      <c r="X109" s="330">
        <f t="shared" si="47"/>
        <v>6732768.6600000001</v>
      </c>
      <c r="Y109" s="330">
        <f t="shared" si="47"/>
        <v>496966.43</v>
      </c>
      <c r="Z109" s="290">
        <f t="shared" si="47"/>
        <v>0</v>
      </c>
      <c r="AA109" s="290">
        <f t="shared" si="47"/>
        <v>65.34</v>
      </c>
      <c r="AB109" s="290">
        <f t="shared" si="47"/>
        <v>0</v>
      </c>
      <c r="AC109" s="290">
        <f t="shared" si="47"/>
        <v>0</v>
      </c>
      <c r="AD109" s="290">
        <f t="shared" si="47"/>
        <v>-6257962.7199999997</v>
      </c>
      <c r="AE109" s="290">
        <f>SUM(AE104:AE108)</f>
        <v>-6257962.7199999997</v>
      </c>
      <c r="AF109" s="331">
        <f t="shared" si="47"/>
        <v>19798433.740000002</v>
      </c>
      <c r="AG109" s="332">
        <f>SUM(AG104:AG108)</f>
        <v>0</v>
      </c>
      <c r="AH109" s="1" t="b">
        <f t="shared" si="45"/>
        <v>1</v>
      </c>
      <c r="AI109" s="306"/>
    </row>
    <row r="110" spans="2:36" ht="12" thickBot="1" x14ac:dyDescent="0.3">
      <c r="B110" s="2"/>
      <c r="C110" s="2"/>
      <c r="D110" s="165"/>
      <c r="E110" s="24"/>
      <c r="F110" s="24"/>
      <c r="G110" s="24"/>
      <c r="H110" s="24"/>
      <c r="I110" s="24"/>
      <c r="J110" s="165"/>
      <c r="K110" s="24"/>
      <c r="L110" s="24"/>
      <c r="M110" s="24"/>
      <c r="N110" s="24"/>
      <c r="O110" s="24"/>
      <c r="Q110" s="4"/>
      <c r="S110" s="2"/>
      <c r="T110" s="2"/>
      <c r="U110" s="24"/>
      <c r="V110" s="24"/>
      <c r="W110" s="24"/>
      <c r="X110" s="24"/>
      <c r="Y110" s="24"/>
      <c r="AF110" s="24"/>
      <c r="AI110" s="4"/>
    </row>
    <row r="111" spans="2:36" ht="12" thickBot="1" x14ac:dyDescent="0.3">
      <c r="B111" s="2"/>
      <c r="C111" s="2"/>
      <c r="D111" s="24"/>
      <c r="E111" s="24"/>
      <c r="F111" s="24"/>
      <c r="G111" s="24"/>
      <c r="H111" s="24"/>
      <c r="I111" s="24"/>
      <c r="J111" s="24"/>
      <c r="K111" s="24"/>
      <c r="L111" s="24"/>
      <c r="M111" s="24"/>
      <c r="N111" s="24"/>
      <c r="O111" s="24"/>
      <c r="Q111" s="4"/>
      <c r="Y111" s="86">
        <f>SUM(U109:Y109)</f>
        <v>26056331.120000001</v>
      </c>
      <c r="AD111" s="1" t="s">
        <v>1</v>
      </c>
      <c r="AF111" s="1" t="s">
        <v>1</v>
      </c>
      <c r="AI111" s="4"/>
    </row>
    <row r="112" spans="2:36" ht="12" thickBot="1" x14ac:dyDescent="0.3">
      <c r="B112" s="2"/>
      <c r="C112" s="2"/>
      <c r="D112" s="24" t="s">
        <v>1</v>
      </c>
      <c r="E112" s="33"/>
      <c r="F112" s="33"/>
      <c r="G112" s="33"/>
      <c r="H112" s="33"/>
      <c r="I112" s="24"/>
      <c r="K112" s="24"/>
      <c r="L112" s="24"/>
      <c r="M112" s="24"/>
      <c r="N112" s="24"/>
      <c r="O112" s="24"/>
      <c r="Q112" s="4"/>
      <c r="U112" s="33"/>
      <c r="V112" s="33"/>
      <c r="W112" s="33"/>
      <c r="X112" s="33"/>
      <c r="AA112" s="305"/>
      <c r="AB112" s="305"/>
      <c r="AC112" s="305"/>
      <c r="AI112" s="4"/>
    </row>
    <row r="113" spans="1:35" x14ac:dyDescent="0.25">
      <c r="B113" s="2"/>
      <c r="C113" s="2"/>
      <c r="D113" s="24" t="s">
        <v>1</v>
      </c>
      <c r="E113" s="24" t="s">
        <v>1</v>
      </c>
      <c r="F113" s="24" t="s">
        <v>25</v>
      </c>
      <c r="G113" s="24"/>
      <c r="H113" s="24"/>
      <c r="I113" s="24"/>
      <c r="K113" s="24"/>
      <c r="L113" s="24"/>
      <c r="M113" s="24"/>
      <c r="N113" s="24"/>
      <c r="O113" s="24"/>
      <c r="Q113" s="4"/>
      <c r="U113" s="24" t="s">
        <v>1</v>
      </c>
      <c r="V113" s="24" t="s">
        <v>25</v>
      </c>
      <c r="W113" s="24"/>
      <c r="X113" s="24"/>
      <c r="AI113" s="4"/>
    </row>
    <row r="114" spans="1:35" x14ac:dyDescent="0.25">
      <c r="A114" s="52"/>
      <c r="B114" s="53"/>
      <c r="C114" s="53"/>
      <c r="D114" s="54"/>
      <c r="E114" s="54"/>
      <c r="F114" s="54"/>
      <c r="G114" s="54"/>
      <c r="H114" s="54"/>
      <c r="I114" s="54"/>
      <c r="J114" s="52"/>
      <c r="K114" s="54"/>
      <c r="L114" s="54"/>
      <c r="M114" s="54"/>
      <c r="N114" s="54"/>
      <c r="O114" s="54"/>
      <c r="P114" s="52"/>
      <c r="Q114" s="52"/>
      <c r="R114" s="52"/>
      <c r="S114" s="52"/>
      <c r="T114" s="52"/>
      <c r="U114" s="52"/>
      <c r="V114" s="52"/>
      <c r="W114" s="52"/>
      <c r="X114" s="52"/>
      <c r="Y114" s="52"/>
      <c r="Z114" s="52"/>
      <c r="AA114" s="52"/>
      <c r="AB114" s="52"/>
      <c r="AC114" s="52"/>
      <c r="AD114" s="52"/>
      <c r="AE114" s="52"/>
      <c r="AF114" s="52"/>
      <c r="AG114" s="52"/>
      <c r="AH114" s="52"/>
      <c r="AI114" s="52"/>
    </row>
    <row r="115" spans="1:35" ht="12" thickBot="1" x14ac:dyDescent="0.3">
      <c r="Q115" s="4"/>
    </row>
    <row r="116" spans="1:35" x14ac:dyDescent="0.25">
      <c r="B116" s="5"/>
      <c r="C116" s="3" t="s">
        <v>1</v>
      </c>
      <c r="D116" s="6" t="s">
        <v>1</v>
      </c>
      <c r="E116" s="3"/>
      <c r="F116" s="3"/>
      <c r="G116" s="3"/>
      <c r="H116" s="3" t="s">
        <v>1</v>
      </c>
      <c r="I116" s="3"/>
      <c r="J116" s="3"/>
      <c r="K116" s="3"/>
      <c r="L116" s="3"/>
      <c r="M116" s="3"/>
      <c r="N116" s="3"/>
      <c r="O116" s="7"/>
      <c r="P116" s="2"/>
      <c r="Q116" s="35"/>
    </row>
    <row r="117" spans="1:35" ht="14" x14ac:dyDescent="0.3">
      <c r="B117" s="8"/>
      <c r="C117" s="2"/>
      <c r="D117" s="9"/>
      <c r="F117" s="26" t="s">
        <v>8</v>
      </c>
      <c r="G117" s="26"/>
      <c r="I117" s="26" t="s">
        <v>16</v>
      </c>
      <c r="J117" s="25"/>
      <c r="L117" s="2" t="s">
        <v>15</v>
      </c>
      <c r="M117" s="50">
        <f>N3</f>
        <v>2026072</v>
      </c>
      <c r="O117" s="10"/>
      <c r="P117" s="2"/>
      <c r="Q117" s="4"/>
    </row>
    <row r="118" spans="1:35" ht="15.5" x14ac:dyDescent="0.35">
      <c r="B118" s="8"/>
      <c r="C118" s="2"/>
      <c r="D118" s="57"/>
      <c r="F118" s="36" t="s">
        <v>29</v>
      </c>
      <c r="G118" s="36"/>
      <c r="O118" s="10"/>
      <c r="P118" s="2"/>
      <c r="Q118" s="4"/>
    </row>
    <row r="119" spans="1:35" x14ac:dyDescent="0.25">
      <c r="B119" s="8"/>
      <c r="F119" s="2" t="s">
        <v>30</v>
      </c>
      <c r="G119" s="2"/>
      <c r="M119" s="2" t="s">
        <v>1</v>
      </c>
      <c r="O119" s="10"/>
      <c r="P119" s="2"/>
      <c r="Q119" s="4"/>
    </row>
    <row r="120" spans="1:35" x14ac:dyDescent="0.25">
      <c r="B120" s="8"/>
      <c r="I120" s="2"/>
      <c r="J120" s="2"/>
      <c r="O120" s="10"/>
      <c r="P120" s="2"/>
      <c r="Q120" s="4"/>
    </row>
    <row r="121" spans="1:35" ht="15.5" x14ac:dyDescent="0.35">
      <c r="B121" s="8"/>
      <c r="F121" s="41" t="s">
        <v>37</v>
      </c>
      <c r="G121" s="41"/>
      <c r="H121" s="2"/>
      <c r="J121" s="2"/>
      <c r="O121" s="10"/>
      <c r="P121" s="2"/>
      <c r="Q121" s="4"/>
    </row>
    <row r="122" spans="1:35" x14ac:dyDescent="0.25">
      <c r="B122" s="8"/>
      <c r="F122" s="2" t="s">
        <v>27</v>
      </c>
      <c r="G122" s="9">
        <f>G7</f>
        <v>46219</v>
      </c>
      <c r="J122" s="2" t="s">
        <v>28</v>
      </c>
      <c r="K122" s="9">
        <f>K7</f>
        <v>46234</v>
      </c>
      <c r="O122" s="10"/>
      <c r="P122" s="2"/>
      <c r="Q122" s="4"/>
    </row>
    <row r="123" spans="1:35" ht="12" thickBot="1" x14ac:dyDescent="0.3">
      <c r="B123" s="8"/>
      <c r="C123" s="2" t="s">
        <v>1</v>
      </c>
      <c r="D123" s="2" t="s">
        <v>1</v>
      </c>
      <c r="J123" s="1" t="s">
        <v>1</v>
      </c>
      <c r="O123" s="44"/>
      <c r="P123" s="2"/>
      <c r="Q123" s="4"/>
    </row>
    <row r="124" spans="1:35" ht="46.5" thickBot="1" x14ac:dyDescent="0.3">
      <c r="B124" s="11" t="s">
        <v>3</v>
      </c>
      <c r="C124" s="12" t="s">
        <v>9</v>
      </c>
      <c r="D124" s="12" t="s">
        <v>38</v>
      </c>
      <c r="E124" s="73" t="s">
        <v>48</v>
      </c>
      <c r="G124" s="104" t="s">
        <v>47</v>
      </c>
      <c r="H124" s="73" t="s">
        <v>56</v>
      </c>
      <c r="I124" s="73" t="s">
        <v>130</v>
      </c>
      <c r="J124" s="73" t="s">
        <v>172</v>
      </c>
      <c r="K124" s="73" t="s">
        <v>143</v>
      </c>
      <c r="L124" s="73" t="s">
        <v>144</v>
      </c>
      <c r="O124" s="44"/>
      <c r="P124" s="13"/>
      <c r="Q124" s="4"/>
    </row>
    <row r="125" spans="1:35" x14ac:dyDescent="0.25">
      <c r="B125" s="108">
        <v>1</v>
      </c>
      <c r="C125" s="109" t="s">
        <v>10</v>
      </c>
      <c r="D125" s="110">
        <f>'ANTICIPOS USUARIOS'!L3</f>
        <v>0</v>
      </c>
      <c r="E125" s="111">
        <v>0</v>
      </c>
      <c r="G125" s="336">
        <f>D47+N47</f>
        <v>0</v>
      </c>
      <c r="H125" s="310">
        <f>D28+N28</f>
        <v>0</v>
      </c>
      <c r="I125" s="309">
        <f>D85+N85</f>
        <v>0</v>
      </c>
      <c r="J125" s="309">
        <f>D66+N66</f>
        <v>0</v>
      </c>
      <c r="K125" s="309">
        <f>'ANTICIPOS USUARIOS'!L12</f>
        <v>0</v>
      </c>
      <c r="L125" s="309">
        <f>-'ANTICIPOS USUARIOS'!L21</f>
        <v>0</v>
      </c>
      <c r="O125" s="44"/>
      <c r="Q125" s="4"/>
    </row>
    <row r="126" spans="1:35" x14ac:dyDescent="0.25">
      <c r="B126" s="16">
        <v>2</v>
      </c>
      <c r="C126" s="17" t="s">
        <v>11</v>
      </c>
      <c r="D126" s="15">
        <f>'ANTICIPOS USUARIOS'!L4</f>
        <v>0</v>
      </c>
      <c r="E126" s="74">
        <v>0</v>
      </c>
      <c r="G126" s="339">
        <f>D48+N48</f>
        <v>0</v>
      </c>
      <c r="H126" s="340">
        <f>D29+N29</f>
        <v>0</v>
      </c>
      <c r="I126" s="288">
        <f>D86+N86</f>
        <v>0</v>
      </c>
      <c r="J126" s="288">
        <f t="shared" ref="J126:J129" si="48">D67+N67</f>
        <v>0</v>
      </c>
      <c r="K126" s="288">
        <f>'ANTICIPOS USUARIOS'!L13</f>
        <v>0</v>
      </c>
      <c r="L126" s="288">
        <f>-'ANTICIPOS USUARIOS'!L22</f>
        <v>0</v>
      </c>
      <c r="O126" s="44"/>
      <c r="Q126" s="4"/>
    </row>
    <row r="127" spans="1:35" x14ac:dyDescent="0.25">
      <c r="B127" s="16">
        <v>3</v>
      </c>
      <c r="C127" s="17" t="s">
        <v>12</v>
      </c>
      <c r="D127" s="15">
        <f>'ANTICIPOS USUARIOS'!L5</f>
        <v>0</v>
      </c>
      <c r="E127" s="74">
        <v>0</v>
      </c>
      <c r="G127" s="339">
        <f>D49+N49</f>
        <v>0</v>
      </c>
      <c r="H127" s="340">
        <f>D30+N30</f>
        <v>0</v>
      </c>
      <c r="I127" s="288">
        <f>D87+N87</f>
        <v>0</v>
      </c>
      <c r="J127" s="288">
        <f t="shared" si="48"/>
        <v>0</v>
      </c>
      <c r="K127" s="288">
        <f>'ANTICIPOS USUARIOS'!L14</f>
        <v>0</v>
      </c>
      <c r="L127" s="288">
        <f>-'ANTICIPOS USUARIOS'!L23</f>
        <v>0</v>
      </c>
      <c r="O127" s="44"/>
      <c r="Q127" s="4"/>
    </row>
    <row r="128" spans="1:35" x14ac:dyDescent="0.25">
      <c r="B128" s="16">
        <v>4</v>
      </c>
      <c r="C128" s="17" t="s">
        <v>13</v>
      </c>
      <c r="D128" s="15">
        <f>'ANTICIPOS USUARIOS'!L6</f>
        <v>0</v>
      </c>
      <c r="E128" s="74">
        <v>0</v>
      </c>
      <c r="G128" s="339">
        <f>D50+N50</f>
        <v>0</v>
      </c>
      <c r="H128" s="340">
        <f>D31+N31</f>
        <v>0</v>
      </c>
      <c r="I128" s="288">
        <f>D88+N88</f>
        <v>0</v>
      </c>
      <c r="J128" s="288">
        <f t="shared" si="48"/>
        <v>0</v>
      </c>
      <c r="K128" s="288">
        <f>'ANTICIPOS USUARIOS'!L15</f>
        <v>0</v>
      </c>
      <c r="L128" s="288">
        <f>-'ANTICIPOS USUARIOS'!L24</f>
        <v>0</v>
      </c>
      <c r="O128" s="44"/>
      <c r="Q128" s="4"/>
    </row>
    <row r="129" spans="1:18" x14ac:dyDescent="0.25">
      <c r="B129" s="133">
        <v>5</v>
      </c>
      <c r="C129" s="138" t="s">
        <v>14</v>
      </c>
      <c r="D129" s="15">
        <f>'ANTICIPOS USUARIOS'!L7</f>
        <v>1781103</v>
      </c>
      <c r="E129" s="139">
        <v>0</v>
      </c>
      <c r="G129" s="339">
        <f>D51+N51</f>
        <v>0</v>
      </c>
      <c r="H129" s="340">
        <f>D32+N32</f>
        <v>6242402.4799999995</v>
      </c>
      <c r="I129" s="288">
        <f>D89+N89</f>
        <v>0</v>
      </c>
      <c r="J129" s="288">
        <f t="shared" si="48"/>
        <v>0</v>
      </c>
      <c r="K129" s="288">
        <f>'ANTICIPOS USUARIOS'!L16</f>
        <v>0</v>
      </c>
      <c r="L129" s="288">
        <f>-'ANTICIPOS USUARIOS'!L25</f>
        <v>0</v>
      </c>
      <c r="O129" s="44"/>
      <c r="Q129" s="4"/>
    </row>
    <row r="130" spans="1:18" ht="12" thickBot="1" x14ac:dyDescent="0.3">
      <c r="B130" s="19" t="s">
        <v>89</v>
      </c>
      <c r="C130" s="20" t="s">
        <v>113</v>
      </c>
      <c r="D130" s="78"/>
      <c r="E130" s="79">
        <f>'Recaudo ENEL'!D26</f>
        <v>0</v>
      </c>
      <c r="G130" s="346"/>
      <c r="H130" s="347"/>
      <c r="I130" s="289"/>
      <c r="J130" s="289"/>
      <c r="K130" s="289"/>
      <c r="L130" s="289"/>
      <c r="O130" s="44"/>
      <c r="Q130" s="4"/>
    </row>
    <row r="131" spans="1:18" ht="12" thickBot="1" x14ac:dyDescent="0.3">
      <c r="B131" s="95"/>
      <c r="C131" s="106" t="s">
        <v>2</v>
      </c>
      <c r="D131" s="107">
        <f>SUM(D125:D130)</f>
        <v>1781103</v>
      </c>
      <c r="E131" s="107">
        <f>SUM(E125:E130)</f>
        <v>0</v>
      </c>
      <c r="F131" s="45"/>
      <c r="G131" s="350">
        <f t="shared" ref="G131" si="49">SUM(G125:G129)</f>
        <v>0</v>
      </c>
      <c r="H131" s="350">
        <f>SUM(H125:H130)</f>
        <v>6242402.4799999995</v>
      </c>
      <c r="I131" s="350">
        <f>SUM(I125:I130)</f>
        <v>0</v>
      </c>
      <c r="J131" s="350">
        <f>SUM(J125:J130)</f>
        <v>0</v>
      </c>
      <c r="K131" s="350">
        <f>SUM(K125:K130)</f>
        <v>0</v>
      </c>
      <c r="L131" s="350">
        <f>SUM(L125:L130)</f>
        <v>0</v>
      </c>
      <c r="M131" s="45"/>
      <c r="N131" s="45"/>
      <c r="O131" s="46"/>
      <c r="P131" s="2"/>
      <c r="Q131" s="4"/>
    </row>
    <row r="132" spans="1:18" x14ac:dyDescent="0.25">
      <c r="B132" s="2"/>
      <c r="C132" s="2"/>
      <c r="D132" s="24"/>
      <c r="Q132" s="4"/>
    </row>
    <row r="133" spans="1:18" x14ac:dyDescent="0.25">
      <c r="B133" s="2"/>
      <c r="C133" s="2"/>
      <c r="D133" s="24"/>
      <c r="L133" s="1" t="s">
        <v>1</v>
      </c>
      <c r="Q133" s="4"/>
    </row>
    <row r="134" spans="1:18" ht="12" thickBot="1" x14ac:dyDescent="0.3">
      <c r="B134" s="2"/>
      <c r="C134" s="2"/>
      <c r="D134" s="24"/>
      <c r="E134" s="33"/>
      <c r="F134" s="33"/>
      <c r="G134" s="33"/>
      <c r="H134" s="33"/>
      <c r="I134" s="24"/>
      <c r="K134" s="24"/>
      <c r="L134" s="24" t="s">
        <v>1</v>
      </c>
      <c r="M134" s="24" t="s">
        <v>1</v>
      </c>
      <c r="N134" s="24"/>
      <c r="O134" s="24"/>
      <c r="Q134" s="4"/>
    </row>
    <row r="135" spans="1:18" x14ac:dyDescent="0.25">
      <c r="B135" s="2"/>
      <c r="C135" s="2"/>
      <c r="D135" s="24"/>
      <c r="E135" s="24" t="s">
        <v>1</v>
      </c>
      <c r="F135" s="42" t="s">
        <v>36</v>
      </c>
      <c r="G135" s="42"/>
      <c r="H135" s="42"/>
      <c r="I135" s="24"/>
      <c r="K135" s="24"/>
      <c r="L135" s="24"/>
      <c r="M135" s="24"/>
      <c r="N135" s="24"/>
      <c r="O135" s="24"/>
      <c r="Q135" s="4"/>
    </row>
    <row r="136" spans="1:18" x14ac:dyDescent="0.25">
      <c r="A136" s="52"/>
      <c r="B136" s="53"/>
      <c r="C136" s="53"/>
      <c r="D136" s="54"/>
      <c r="E136" s="54"/>
      <c r="F136" s="54"/>
      <c r="G136" s="54"/>
      <c r="H136" s="54"/>
      <c r="I136" s="54"/>
      <c r="J136" s="52"/>
      <c r="K136" s="54"/>
      <c r="L136" s="54"/>
      <c r="M136" s="54"/>
      <c r="N136" s="54"/>
      <c r="O136" s="54"/>
      <c r="P136" s="52"/>
      <c r="Q136" s="4"/>
    </row>
    <row r="137" spans="1:18" x14ac:dyDescent="0.25">
      <c r="B137" s="2"/>
      <c r="C137" s="2"/>
      <c r="D137" s="24"/>
      <c r="E137" s="24"/>
      <c r="F137" s="24"/>
      <c r="G137" s="24"/>
      <c r="H137" s="24"/>
      <c r="I137" s="24"/>
      <c r="K137" s="24"/>
      <c r="L137" s="24"/>
      <c r="M137" s="24"/>
      <c r="N137" s="24"/>
      <c r="O137" s="24"/>
      <c r="Q137" s="4"/>
    </row>
    <row r="138" spans="1:18" x14ac:dyDescent="0.25">
      <c r="B138" s="2"/>
      <c r="C138" s="59" t="s">
        <v>49</v>
      </c>
      <c r="D138" s="64"/>
      <c r="E138" s="24"/>
      <c r="F138" s="24"/>
      <c r="G138" s="24"/>
      <c r="H138" s="24"/>
      <c r="I138" s="24"/>
      <c r="K138" s="24"/>
      <c r="L138" s="24"/>
      <c r="M138" s="24"/>
      <c r="N138" s="24"/>
      <c r="O138" s="24"/>
      <c r="Q138" s="35"/>
    </row>
    <row r="139" spans="1:18" x14ac:dyDescent="0.25">
      <c r="B139" s="2"/>
      <c r="C139" s="2"/>
      <c r="D139" s="24"/>
      <c r="E139" s="24"/>
      <c r="F139" s="24"/>
      <c r="G139" s="24"/>
      <c r="H139" s="24"/>
      <c r="I139" s="24"/>
      <c r="K139" s="24"/>
      <c r="L139" s="24"/>
      <c r="M139" s="24"/>
      <c r="N139" s="24"/>
      <c r="O139" s="24"/>
      <c r="Q139" s="35"/>
    </row>
    <row r="140" spans="1:18" ht="18.75" customHeight="1" thickBot="1" x14ac:dyDescent="0.3">
      <c r="B140" s="2"/>
      <c r="C140" s="2"/>
      <c r="D140" s="24"/>
      <c r="E140" s="24"/>
      <c r="F140" s="24"/>
      <c r="G140" s="24"/>
      <c r="H140" s="24"/>
      <c r="J140" s="24"/>
      <c r="K140" s="24"/>
      <c r="M140" s="24"/>
      <c r="N140" s="24"/>
      <c r="O140" s="24"/>
      <c r="P140" s="24"/>
      <c r="Q140" s="35"/>
    </row>
    <row r="141" spans="1:18" ht="46.5" thickBot="1" x14ac:dyDescent="0.3">
      <c r="B141" s="104" t="s">
        <v>3</v>
      </c>
      <c r="C141" s="105" t="s">
        <v>9</v>
      </c>
      <c r="D141" s="105" t="s">
        <v>44</v>
      </c>
      <c r="E141" s="105" t="s">
        <v>45</v>
      </c>
      <c r="F141" s="105" t="s">
        <v>31</v>
      </c>
      <c r="G141" s="105" t="s">
        <v>91</v>
      </c>
      <c r="H141" s="105" t="s">
        <v>128</v>
      </c>
      <c r="I141" s="105" t="s">
        <v>127</v>
      </c>
      <c r="J141" s="105" t="s">
        <v>47</v>
      </c>
      <c r="K141" s="105" t="s">
        <v>51</v>
      </c>
      <c r="L141" s="1" t="s">
        <v>1</v>
      </c>
      <c r="M141" s="56"/>
      <c r="N141" s="56"/>
      <c r="O141" s="56"/>
      <c r="P141" s="24"/>
      <c r="Q141" s="35"/>
      <c r="R141" s="24"/>
    </row>
    <row r="142" spans="1:18" x14ac:dyDescent="0.25">
      <c r="B142" s="108">
        <v>1</v>
      </c>
      <c r="C142" s="109" t="s">
        <v>10</v>
      </c>
      <c r="D142" s="110">
        <f>D104+N104+D125+E125</f>
        <v>0</v>
      </c>
      <c r="E142" s="110">
        <f>'Recaudo ENERBIT'!D21</f>
        <v>0</v>
      </c>
      <c r="F142" s="110">
        <f>D28+N28</f>
        <v>0</v>
      </c>
      <c r="G142" s="110">
        <f>D66+N66</f>
        <v>0</v>
      </c>
      <c r="H142" s="110">
        <f>D85+N85</f>
        <v>0</v>
      </c>
      <c r="I142" s="110">
        <f>('REPORTE RECAUDO x BANCO'!E63)</f>
        <v>0</v>
      </c>
      <c r="J142" s="110">
        <f t="shared" ref="J142:K146" si="50">G125</f>
        <v>0</v>
      </c>
      <c r="K142" s="111">
        <f t="shared" si="50"/>
        <v>0</v>
      </c>
      <c r="L142" s="525">
        <f>D142-E142-F142-G142-J142-H142-I142</f>
        <v>0</v>
      </c>
      <c r="M142" s="1" t="b">
        <f>INT(L142)=0</f>
        <v>1</v>
      </c>
      <c r="O142" s="55"/>
      <c r="P142" s="24"/>
      <c r="Q142" s="35"/>
      <c r="R142" s="24"/>
    </row>
    <row r="143" spans="1:18" x14ac:dyDescent="0.25">
      <c r="B143" s="16">
        <v>2</v>
      </c>
      <c r="C143" s="17" t="s">
        <v>11</v>
      </c>
      <c r="D143" s="18">
        <f>D105+N105+D126+E126</f>
        <v>0</v>
      </c>
      <c r="E143" s="18">
        <f>'Recaudo ENERBIT'!D22</f>
        <v>0</v>
      </c>
      <c r="F143" s="18">
        <f>D29+N29</f>
        <v>0</v>
      </c>
      <c r="G143" s="18">
        <f>D67+N67</f>
        <v>0</v>
      </c>
      <c r="H143" s="18">
        <f>D86+N86</f>
        <v>0</v>
      </c>
      <c r="I143" s="18">
        <f>('REPORTE RECAUDO x BANCO'!E66)</f>
        <v>0</v>
      </c>
      <c r="J143" s="18">
        <f t="shared" si="50"/>
        <v>0</v>
      </c>
      <c r="K143" s="83">
        <f t="shared" si="50"/>
        <v>0</v>
      </c>
      <c r="L143" s="525">
        <f>D143-E143-F143-G143-J143-H143-I143</f>
        <v>0</v>
      </c>
      <c r="M143" s="1" t="b">
        <f t="shared" ref="M143:M147" si="51">INT(L143)=0</f>
        <v>1</v>
      </c>
      <c r="O143" s="130"/>
      <c r="P143" s="24"/>
      <c r="Q143" s="35"/>
      <c r="R143" s="24"/>
    </row>
    <row r="144" spans="1:18" x14ac:dyDescent="0.25">
      <c r="B144" s="16">
        <v>3</v>
      </c>
      <c r="C144" s="17" t="s">
        <v>12</v>
      </c>
      <c r="D144" s="18">
        <f>D106+N106+D127+E127</f>
        <v>0</v>
      </c>
      <c r="E144" s="18">
        <f>'Recaudo ENERBIT'!D23</f>
        <v>0</v>
      </c>
      <c r="F144" s="18">
        <f>D30+N30</f>
        <v>0</v>
      </c>
      <c r="G144" s="18">
        <f>D68+N68</f>
        <v>0</v>
      </c>
      <c r="H144" s="18">
        <f>D87+N87</f>
        <v>0</v>
      </c>
      <c r="I144" s="18">
        <f>('REPORTE RECAUDO x BANCO'!E68)</f>
        <v>0</v>
      </c>
      <c r="J144" s="18">
        <f t="shared" si="50"/>
        <v>0</v>
      </c>
      <c r="K144" s="83">
        <f t="shared" si="50"/>
        <v>0</v>
      </c>
      <c r="L144" s="525">
        <f>D144-E144-F144-G144-J144-H144-I144</f>
        <v>0</v>
      </c>
      <c r="M144" s="1" t="b">
        <f t="shared" si="51"/>
        <v>1</v>
      </c>
      <c r="O144" s="55"/>
      <c r="P144" s="24"/>
      <c r="Q144" s="35"/>
      <c r="R144" s="24"/>
    </row>
    <row r="145" spans="1:20" x14ac:dyDescent="0.25">
      <c r="B145" s="16">
        <v>4</v>
      </c>
      <c r="C145" s="17" t="s">
        <v>13</v>
      </c>
      <c r="D145" s="18">
        <f>D117+N117+D128+E128</f>
        <v>0</v>
      </c>
      <c r="E145" s="18">
        <f>'Recaudo ENERBIT'!D24</f>
        <v>0</v>
      </c>
      <c r="F145" s="18">
        <f>D31+N31</f>
        <v>0</v>
      </c>
      <c r="G145" s="18">
        <f>D69+N69</f>
        <v>0</v>
      </c>
      <c r="H145" s="18">
        <f>D88+N88</f>
        <v>0</v>
      </c>
      <c r="I145" s="18">
        <f>('REPORTE RECAUDO x BANCO'!E71)</f>
        <v>0</v>
      </c>
      <c r="J145" s="18">
        <f t="shared" si="50"/>
        <v>0</v>
      </c>
      <c r="K145" s="83">
        <f t="shared" si="50"/>
        <v>0</v>
      </c>
      <c r="L145" s="525">
        <f>D145-E145-F145-G145-J145-H145-I145</f>
        <v>0</v>
      </c>
      <c r="M145" s="1" t="b">
        <f t="shared" si="51"/>
        <v>1</v>
      </c>
      <c r="O145" s="96"/>
      <c r="P145" s="24"/>
      <c r="Q145" s="35"/>
      <c r="R145" s="24"/>
    </row>
    <row r="146" spans="1:20" ht="12" thickBot="1" x14ac:dyDescent="0.3">
      <c r="B146" s="133">
        <v>5</v>
      </c>
      <c r="C146" s="138" t="s">
        <v>14</v>
      </c>
      <c r="D146" s="134">
        <f>D108+N108+D129+E129</f>
        <v>34887725.480000004</v>
      </c>
      <c r="E146" s="18">
        <f>'Recaudo ENERBIT'!F25</f>
        <v>28645323</v>
      </c>
      <c r="F146" s="134">
        <f>D32+N32</f>
        <v>6242402.4799999995</v>
      </c>
      <c r="G146" s="134">
        <f>D70+N70</f>
        <v>0</v>
      </c>
      <c r="H146" s="134">
        <f>D89+N89</f>
        <v>0</v>
      </c>
      <c r="I146" s="134">
        <f>('REPORTE RECAUDO x BANCO'!E73)</f>
        <v>0</v>
      </c>
      <c r="J146" s="134">
        <f t="shared" si="50"/>
        <v>0</v>
      </c>
      <c r="K146" s="136">
        <f t="shared" si="50"/>
        <v>6242402.4799999995</v>
      </c>
      <c r="L146" s="525">
        <f>D146-E146-F146-G146-J146-H146-I146</f>
        <v>4.6566128730773926E-9</v>
      </c>
      <c r="M146" s="1" t="b">
        <f t="shared" si="51"/>
        <v>1</v>
      </c>
      <c r="O146" s="55"/>
      <c r="P146" s="24"/>
      <c r="Q146" s="35"/>
      <c r="R146" s="24"/>
    </row>
    <row r="147" spans="1:20" ht="12" thickBot="1" x14ac:dyDescent="0.3">
      <c r="B147" s="21"/>
      <c r="C147" s="22" t="s">
        <v>2</v>
      </c>
      <c r="D147" s="47">
        <f>SUM(D142:D146)</f>
        <v>34887725.480000004</v>
      </c>
      <c r="E147" s="47">
        <f>SUM(E142:E146)</f>
        <v>28645323</v>
      </c>
      <c r="F147" s="47">
        <f t="shared" ref="F147:K147" si="52">SUM(F142:F146)</f>
        <v>6242402.4799999995</v>
      </c>
      <c r="G147" s="47">
        <f t="shared" si="52"/>
        <v>0</v>
      </c>
      <c r="H147" s="47">
        <f t="shared" si="52"/>
        <v>0</v>
      </c>
      <c r="I147" s="47">
        <f t="shared" si="52"/>
        <v>0</v>
      </c>
      <c r="J147" s="47">
        <f t="shared" si="52"/>
        <v>0</v>
      </c>
      <c r="K147" s="47">
        <f t="shared" si="52"/>
        <v>6242402.4799999995</v>
      </c>
      <c r="L147" s="525">
        <f>SUM(L142:L146)</f>
        <v>4.6566128730773926E-9</v>
      </c>
      <c r="M147" s="1" t="b">
        <f t="shared" si="51"/>
        <v>1</v>
      </c>
      <c r="P147" s="24"/>
      <c r="Q147" s="35"/>
      <c r="R147" s="24"/>
    </row>
    <row r="148" spans="1:20" x14ac:dyDescent="0.25">
      <c r="B148" s="2"/>
      <c r="H148" s="55"/>
      <c r="L148" s="24"/>
      <c r="M148" s="24"/>
      <c r="N148" s="24"/>
      <c r="O148" s="24"/>
      <c r="P148" s="24"/>
      <c r="Q148" s="35"/>
    </row>
    <row r="149" spans="1:20" ht="21.75" customHeight="1" x14ac:dyDescent="0.25">
      <c r="B149" s="2"/>
      <c r="C149" s="2"/>
      <c r="D149" s="24"/>
      <c r="F149" s="24"/>
      <c r="G149" s="24"/>
      <c r="H149" s="24"/>
      <c r="I149" s="24"/>
      <c r="K149" s="24"/>
      <c r="L149" s="24"/>
      <c r="M149" s="24"/>
      <c r="N149" s="24"/>
      <c r="O149" s="24"/>
      <c r="Q149" s="35"/>
    </row>
    <row r="150" spans="1:20" x14ac:dyDescent="0.25">
      <c r="B150" s="2"/>
      <c r="C150" s="2"/>
      <c r="D150" s="24"/>
      <c r="E150" s="24"/>
      <c r="F150" s="24"/>
      <c r="G150" s="24"/>
      <c r="H150" s="24"/>
      <c r="I150" s="24"/>
      <c r="J150" s="55"/>
      <c r="K150" s="24"/>
      <c r="L150" s="24"/>
      <c r="M150" s="24"/>
      <c r="N150" s="24"/>
      <c r="O150" s="24"/>
      <c r="Q150" s="35"/>
    </row>
    <row r="151" spans="1:20" x14ac:dyDescent="0.25">
      <c r="A151" s="52"/>
      <c r="B151" s="53"/>
      <c r="C151" s="53"/>
      <c r="D151" s="54"/>
      <c r="E151" s="54"/>
      <c r="F151" s="54"/>
      <c r="G151" s="54"/>
      <c r="H151" s="54"/>
      <c r="I151" s="54"/>
      <c r="J151" s="52"/>
      <c r="K151" s="54"/>
      <c r="L151" s="54"/>
      <c r="M151" s="54"/>
      <c r="N151" s="54"/>
      <c r="O151" s="54"/>
      <c r="P151" s="52"/>
      <c r="Q151" s="54"/>
      <c r="T151" s="24"/>
    </row>
    <row r="152" spans="1:20" x14ac:dyDescent="0.25">
      <c r="N152" s="24"/>
      <c r="O152" s="24"/>
      <c r="Q152" s="24"/>
      <c r="T152" s="24"/>
    </row>
    <row r="153" spans="1:20" x14ac:dyDescent="0.25">
      <c r="E153" s="660"/>
      <c r="N153" s="24"/>
      <c r="O153" s="24"/>
      <c r="Q153" s="24"/>
      <c r="T153" s="24"/>
    </row>
    <row r="154" spans="1:20" x14ac:dyDescent="0.25">
      <c r="N154" s="24"/>
      <c r="O154" s="24"/>
      <c r="Q154" s="24"/>
      <c r="T154" s="24"/>
    </row>
    <row r="155" spans="1:20" x14ac:dyDescent="0.25">
      <c r="Q155" s="24"/>
      <c r="T155" s="24"/>
    </row>
    <row r="156" spans="1:20" x14ac:dyDescent="0.25">
      <c r="Q156" s="24"/>
    </row>
  </sheetData>
  <conditionalFormatting sqref="L142:L147">
    <cfRule type="expression" dxfId="40" priority="8">
      <formula>$L$142&lt;&gt;0</formula>
    </cfRule>
  </conditionalFormatting>
  <conditionalFormatting sqref="M142:M147">
    <cfRule type="cellIs" dxfId="39" priority="1" operator="notEqual">
      <formula>TRUE</formula>
    </cfRule>
  </conditionalFormatting>
  <conditionalFormatting sqref="AH9:AH14">
    <cfRule type="cellIs" dxfId="38" priority="7" operator="notEqual">
      <formula>TRUE</formula>
    </cfRule>
  </conditionalFormatting>
  <conditionalFormatting sqref="AH28:AH33">
    <cfRule type="cellIs" dxfId="37" priority="6" operator="notEqual">
      <formula>TRUE</formula>
    </cfRule>
  </conditionalFormatting>
  <conditionalFormatting sqref="AH47:AH52">
    <cfRule type="cellIs" dxfId="36" priority="5" operator="notEqual">
      <formula>TRUE</formula>
    </cfRule>
  </conditionalFormatting>
  <conditionalFormatting sqref="AH66:AH71">
    <cfRule type="cellIs" dxfId="35" priority="4" operator="notEqual">
      <formula>TRUE</formula>
    </cfRule>
  </conditionalFormatting>
  <conditionalFormatting sqref="AH85:AH90">
    <cfRule type="cellIs" dxfId="34" priority="3" operator="notEqual">
      <formula>TRUE</formula>
    </cfRule>
  </conditionalFormatting>
  <conditionalFormatting sqref="AH104:AH109">
    <cfRule type="cellIs" dxfId="33" priority="2" operator="notEqual">
      <formula>TRUE</formula>
    </cfRule>
  </conditionalFormatting>
  <printOptions horizontalCentered="1" verticalCentered="1"/>
  <pageMargins left="0.55118110236220474" right="0.74803149606299213" top="0.98425196850393704" bottom="0.78740157480314965" header="0" footer="0"/>
  <pageSetup scale="19" orientation="landscape" r:id="rId1"/>
  <headerFooter alignWithMargins="0"/>
  <drawing r:id="rId2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2EA0E2-369B-404A-A9AB-28C96A710C7E}">
  <sheetPr>
    <tabColor theme="8" tint="0.59999389629810485"/>
  </sheetPr>
  <dimension ref="B1:P16"/>
  <sheetViews>
    <sheetView zoomScale="90" zoomScaleNormal="90" workbookViewId="0">
      <selection activeCell="C7" sqref="C7"/>
    </sheetView>
  </sheetViews>
  <sheetFormatPr baseColWidth="10" defaultRowHeight="12.5" x14ac:dyDescent="0.25"/>
  <cols>
    <col min="1" max="1" width="3" customWidth="1"/>
    <col min="2" max="2" width="4.1796875" bestFit="1" customWidth="1"/>
    <col min="3" max="3" width="16.81640625" customWidth="1"/>
    <col min="4" max="4" width="14.1796875" customWidth="1"/>
    <col min="5" max="7" width="17.81640625" customWidth="1"/>
    <col min="8" max="8" width="18.1796875" customWidth="1"/>
    <col min="9" max="9" width="15.81640625" customWidth="1"/>
    <col min="10" max="10" width="16.453125" customWidth="1"/>
    <col min="11" max="11" width="15.81640625" customWidth="1"/>
    <col min="12" max="13" width="18.1796875" customWidth="1"/>
    <col min="14" max="14" width="15.81640625" customWidth="1"/>
    <col min="15" max="15" width="14.1796875" customWidth="1"/>
    <col min="16" max="16" width="14.453125" customWidth="1"/>
  </cols>
  <sheetData>
    <row r="1" spans="2:16" ht="13" thickBot="1" x14ac:dyDescent="0.3"/>
    <row r="2" spans="2:16" ht="35" thickBot="1" x14ac:dyDescent="0.3">
      <c r="B2" s="11" t="s">
        <v>3</v>
      </c>
      <c r="C2" s="28" t="s">
        <v>55</v>
      </c>
      <c r="D2" s="28" t="s">
        <v>50</v>
      </c>
      <c r="E2" s="28" t="s">
        <v>57</v>
      </c>
      <c r="F2" s="28" t="s">
        <v>129</v>
      </c>
      <c r="G2" s="28" t="s">
        <v>130</v>
      </c>
      <c r="H2" s="131" t="s">
        <v>52</v>
      </c>
      <c r="I2" s="12" t="s">
        <v>58</v>
      </c>
      <c r="J2" s="12" t="s">
        <v>59</v>
      </c>
      <c r="K2" s="12" t="s">
        <v>53</v>
      </c>
      <c r="L2" s="27" t="s">
        <v>60</v>
      </c>
      <c r="M2" s="65" t="s">
        <v>92</v>
      </c>
      <c r="N2" s="132" t="s">
        <v>54</v>
      </c>
    </row>
    <row r="3" spans="2:16" s="355" customFormat="1" x14ac:dyDescent="0.25">
      <c r="B3" s="303">
        <v>1</v>
      </c>
      <c r="C3" s="292">
        <f>'Recaudo ENERBIT'!D21</f>
        <v>0</v>
      </c>
      <c r="D3" s="292">
        <f>REMUNERACION_ENERBIT!G125</f>
        <v>0</v>
      </c>
      <c r="E3" s="292">
        <f>REMUNERACION_ENERBIT!D28+REMUNERACION_ENERBIT!N28</f>
        <v>0</v>
      </c>
      <c r="F3" s="292">
        <f>REMUNERACION_ENERBIT!I142</f>
        <v>0</v>
      </c>
      <c r="G3" s="292">
        <f>REMUNERACION_ENERBIT!H142</f>
        <v>0</v>
      </c>
      <c r="H3" s="340">
        <f>SUM(C3:G3)</f>
        <v>0</v>
      </c>
      <c r="I3" s="291">
        <f>REMUNERACION_ENERBIT!D104</f>
        <v>0</v>
      </c>
      <c r="J3" s="292">
        <f>REMUNERACION_ENERBIT!N104</f>
        <v>0</v>
      </c>
      <c r="K3" s="292">
        <f>REMUNERACION_ENERBIT!D125</f>
        <v>0</v>
      </c>
      <c r="L3" s="353">
        <f>REMUNERACION_ENERBIT!E125</f>
        <v>0</v>
      </c>
      <c r="M3" s="292">
        <f>-REMUNERACION_ENERBIT!D66-REMUNERACION_ENERBIT!N66</f>
        <v>0</v>
      </c>
      <c r="N3" s="288">
        <f>SUM(I3:M3)</f>
        <v>0</v>
      </c>
      <c r="O3" s="354">
        <f t="shared" ref="O3:O8" si="0">H3-N3</f>
        <v>0</v>
      </c>
      <c r="P3" s="1" t="b">
        <f>INT(O3)=0</f>
        <v>1</v>
      </c>
    </row>
    <row r="4" spans="2:16" s="355" customFormat="1" x14ac:dyDescent="0.25">
      <c r="B4" s="314">
        <v>2</v>
      </c>
      <c r="C4" s="317">
        <f>'Recaudo ENERBIT'!D22</f>
        <v>0</v>
      </c>
      <c r="D4" s="292">
        <f>REMUNERACION_ENERBIT!G126</f>
        <v>0</v>
      </c>
      <c r="E4" s="292">
        <f>REMUNERACION_ENERBIT!D29+REMUNERACION_ENERBIT!N29</f>
        <v>0</v>
      </c>
      <c r="F4" s="292">
        <f>REMUNERACION_ENERBIT!I143</f>
        <v>0</v>
      </c>
      <c r="G4" s="292">
        <f>REMUNERACION_ENERBIT!H143</f>
        <v>0</v>
      </c>
      <c r="H4" s="340">
        <f t="shared" ref="H4:H8" si="1">SUM(C4:G4)</f>
        <v>0</v>
      </c>
      <c r="I4" s="291">
        <f>REMUNERACION_ENERBIT!D105</f>
        <v>0</v>
      </c>
      <c r="J4" s="292">
        <f>REMUNERACION_ENERBIT!N105</f>
        <v>0</v>
      </c>
      <c r="K4" s="292">
        <f>REMUNERACION_ENERBIT!D126</f>
        <v>0</v>
      </c>
      <c r="L4" s="353">
        <f>REMUNERACION_ENERBIT!E126</f>
        <v>0</v>
      </c>
      <c r="M4" s="292">
        <f>-REMUNERACION_ENERBIT!D67-REMUNERACION_ENERBIT!N67</f>
        <v>0</v>
      </c>
      <c r="N4" s="318">
        <f>SUM(I4:M4)</f>
        <v>0</v>
      </c>
      <c r="O4" s="354">
        <f t="shared" si="0"/>
        <v>0</v>
      </c>
      <c r="P4" s="1" t="b">
        <f t="shared" ref="P4:P9" si="2">INT(O4)=0</f>
        <v>1</v>
      </c>
    </row>
    <row r="5" spans="2:16" s="355" customFormat="1" x14ac:dyDescent="0.25">
      <c r="B5" s="314">
        <v>3</v>
      </c>
      <c r="C5" s="317">
        <f>'Recaudo ENERBIT'!D23</f>
        <v>0</v>
      </c>
      <c r="D5" s="292">
        <f>REMUNERACION_ENERBIT!G127</f>
        <v>0</v>
      </c>
      <c r="E5" s="292">
        <f>REMUNERACION_ENERBIT!D30+REMUNERACION_ENERBIT!N30</f>
        <v>0</v>
      </c>
      <c r="F5" s="292">
        <f>REMUNERACION_ENERBIT!I144</f>
        <v>0</v>
      </c>
      <c r="G5" s="292">
        <f>REMUNERACION_ENERBIT!H144</f>
        <v>0</v>
      </c>
      <c r="H5" s="340">
        <f t="shared" si="1"/>
        <v>0</v>
      </c>
      <c r="I5" s="291">
        <f>REMUNERACION_ENERBIT!D106</f>
        <v>0</v>
      </c>
      <c r="J5" s="292">
        <f>REMUNERACION_ENERBIT!N106</f>
        <v>0</v>
      </c>
      <c r="K5" s="292">
        <f>REMUNERACION_ENERBIT!D127</f>
        <v>0</v>
      </c>
      <c r="L5" s="353">
        <f>REMUNERACION_ENERBIT!E127</f>
        <v>0</v>
      </c>
      <c r="M5" s="292">
        <f>-REMUNERACION_ENERBIT!D68-REMUNERACION_ENERBIT!N68</f>
        <v>0</v>
      </c>
      <c r="N5" s="318">
        <f>SUM(I5:M5)</f>
        <v>0</v>
      </c>
      <c r="O5" s="354">
        <f>H5-N5</f>
        <v>0</v>
      </c>
      <c r="P5" s="1" t="b">
        <f t="shared" si="2"/>
        <v>1</v>
      </c>
    </row>
    <row r="6" spans="2:16" s="355" customFormat="1" x14ac:dyDescent="0.25">
      <c r="B6" s="314">
        <v>4</v>
      </c>
      <c r="C6" s="317">
        <f>'Recaudo ENERBIT'!D24</f>
        <v>0</v>
      </c>
      <c r="D6" s="292">
        <f>REMUNERACION_ENERBIT!G128</f>
        <v>0</v>
      </c>
      <c r="E6" s="292">
        <f>REMUNERACION_ENERBIT!D31+REMUNERACION_ENERBIT!N31</f>
        <v>0</v>
      </c>
      <c r="F6" s="292">
        <f>REMUNERACION_ENERBIT!I145</f>
        <v>0</v>
      </c>
      <c r="G6" s="292">
        <f>REMUNERACION_ENERBIT!H145</f>
        <v>0</v>
      </c>
      <c r="H6" s="340">
        <f t="shared" si="1"/>
        <v>0</v>
      </c>
      <c r="I6" s="291">
        <f>REMUNERACION_ENERBIT!D107</f>
        <v>0</v>
      </c>
      <c r="J6" s="292">
        <f>REMUNERACION_ENERBIT!N107</f>
        <v>0</v>
      </c>
      <c r="K6" s="292">
        <f>REMUNERACION_ENERBIT!D128</f>
        <v>0</v>
      </c>
      <c r="L6" s="353">
        <f>REMUNERACION_ENERBIT!E128</f>
        <v>0</v>
      </c>
      <c r="M6" s="292">
        <f>-REMUNERACION_ENERBIT!D69-REMUNERACION_ENERBIT!N69</f>
        <v>0</v>
      </c>
      <c r="N6" s="318">
        <f t="shared" ref="N6:N7" si="3">SUM(I6:M6)</f>
        <v>0</v>
      </c>
      <c r="O6" s="354">
        <f t="shared" si="0"/>
        <v>0</v>
      </c>
      <c r="P6" s="1" t="b">
        <f t="shared" si="2"/>
        <v>1</v>
      </c>
    </row>
    <row r="7" spans="2:16" s="355" customFormat="1" x14ac:dyDescent="0.25">
      <c r="B7" s="314">
        <v>5</v>
      </c>
      <c r="C7" s="317">
        <f>'Recaudo ENERBIT'!F25</f>
        <v>28645323</v>
      </c>
      <c r="D7" s="292">
        <f>REMUNERACION_ENERBIT!G129</f>
        <v>0</v>
      </c>
      <c r="E7" s="292">
        <f>REMUNERACION_ENERBIT!D32+REMUNERACION_ENERBIT!N32</f>
        <v>6242402.4799999995</v>
      </c>
      <c r="F7" s="292">
        <f>REMUNERACION_ENERBIT!I146</f>
        <v>0</v>
      </c>
      <c r="G7" s="292">
        <f>REMUNERACION_ENERBIT!H146</f>
        <v>0</v>
      </c>
      <c r="H7" s="340">
        <f t="shared" si="1"/>
        <v>34887725.479999997</v>
      </c>
      <c r="I7" s="291">
        <f>REMUNERACION_ENERBIT!D108</f>
        <v>33106622.48</v>
      </c>
      <c r="J7" s="292">
        <f>REMUNERACION_ENERBIT!N108</f>
        <v>0</v>
      </c>
      <c r="K7" s="292">
        <f>REMUNERACION_ENERBIT!D129</f>
        <v>1781103</v>
      </c>
      <c r="L7" s="353">
        <f>REMUNERACION_ENERBIT!E129</f>
        <v>0</v>
      </c>
      <c r="M7" s="292">
        <f>-REMUNERACION_ENERBIT!D70-REMUNERACION_ENERBIT!N70</f>
        <v>0</v>
      </c>
      <c r="N7" s="318">
        <f t="shared" si="3"/>
        <v>34887725.480000004</v>
      </c>
      <c r="O7" s="354">
        <f>H7-N7</f>
        <v>0</v>
      </c>
      <c r="P7" s="1" t="b">
        <f t="shared" si="2"/>
        <v>1</v>
      </c>
    </row>
    <row r="8" spans="2:16" s="355" customFormat="1" ht="13" thickBot="1" x14ac:dyDescent="0.3">
      <c r="B8" s="341" t="s">
        <v>89</v>
      </c>
      <c r="C8" s="317">
        <f>'Recaudo ENERBIT'!F26</f>
        <v>0</v>
      </c>
      <c r="D8" s="356">
        <v>0</v>
      </c>
      <c r="E8" s="356">
        <v>0</v>
      </c>
      <c r="F8" s="356">
        <v>0</v>
      </c>
      <c r="G8" s="356">
        <v>0</v>
      </c>
      <c r="H8" s="340">
        <f t="shared" si="1"/>
        <v>0</v>
      </c>
      <c r="I8" s="357">
        <v>0</v>
      </c>
      <c r="J8" s="343">
        <v>0</v>
      </c>
      <c r="K8" s="343">
        <v>0</v>
      </c>
      <c r="L8" s="353">
        <f>REMUNERACION_ENERBIT!E130</f>
        <v>0</v>
      </c>
      <c r="M8" s="356">
        <v>0</v>
      </c>
      <c r="N8" s="358">
        <f>SUM(I8:L8)-M8</f>
        <v>0</v>
      </c>
      <c r="O8" s="354">
        <f t="shared" si="0"/>
        <v>0</v>
      </c>
      <c r="P8" s="1" t="b">
        <f t="shared" si="2"/>
        <v>1</v>
      </c>
    </row>
    <row r="9" spans="2:16" s="355" customFormat="1" ht="13" thickBot="1" x14ac:dyDescent="0.3">
      <c r="B9" s="327"/>
      <c r="C9" s="290">
        <f>SUM(C3:C8)</f>
        <v>28645323</v>
      </c>
      <c r="D9" s="290">
        <f t="shared" ref="D9:M9" si="4">SUM(D3:D8)</f>
        <v>0</v>
      </c>
      <c r="E9" s="290">
        <f t="shared" si="4"/>
        <v>6242402.4799999995</v>
      </c>
      <c r="F9" s="290">
        <f t="shared" si="4"/>
        <v>0</v>
      </c>
      <c r="G9" s="290">
        <f t="shared" si="4"/>
        <v>0</v>
      </c>
      <c r="H9" s="290">
        <f t="shared" si="4"/>
        <v>34887725.479999997</v>
      </c>
      <c r="I9" s="290">
        <f t="shared" si="4"/>
        <v>33106622.48</v>
      </c>
      <c r="J9" s="290">
        <f t="shared" si="4"/>
        <v>0</v>
      </c>
      <c r="K9" s="290">
        <f t="shared" si="4"/>
        <v>1781103</v>
      </c>
      <c r="L9" s="290">
        <f t="shared" si="4"/>
        <v>0</v>
      </c>
      <c r="M9" s="290">
        <f t="shared" si="4"/>
        <v>0</v>
      </c>
      <c r="N9" s="290">
        <f>SUM(N3:N8)</f>
        <v>34887725.480000004</v>
      </c>
      <c r="O9" s="359">
        <f>SUM(O3:O8)</f>
        <v>0</v>
      </c>
      <c r="P9" s="1" t="b">
        <f t="shared" si="2"/>
        <v>1</v>
      </c>
    </row>
    <row r="11" spans="2:16" ht="13" x14ac:dyDescent="0.3">
      <c r="B11" s="102" t="s">
        <v>89</v>
      </c>
      <c r="C11" s="103" t="s">
        <v>90</v>
      </c>
      <c r="M11" s="141"/>
      <c r="O11" s="137"/>
    </row>
    <row r="12" spans="2:16" x14ac:dyDescent="0.25">
      <c r="C12" s="143"/>
    </row>
    <row r="13" spans="2:16" x14ac:dyDescent="0.25">
      <c r="B13" s="142"/>
      <c r="C13" s="143" t="s">
        <v>1</v>
      </c>
    </row>
    <row r="14" spans="2:16" x14ac:dyDescent="0.25">
      <c r="C14" s="245">
        <f>'Valida - Control Recaudo'!D8</f>
        <v>28645323</v>
      </c>
    </row>
    <row r="15" spans="2:16" x14ac:dyDescent="0.25">
      <c r="C15" s="249" t="b">
        <f>C14=C9</f>
        <v>1</v>
      </c>
    </row>
    <row r="16" spans="2:16" x14ac:dyDescent="0.25">
      <c r="C16" s="212" t="s">
        <v>1</v>
      </c>
    </row>
  </sheetData>
  <conditionalFormatting sqref="C15">
    <cfRule type="cellIs" dxfId="32" priority="2" operator="notEqual">
      <formula>TRUE</formula>
    </cfRule>
  </conditionalFormatting>
  <conditionalFormatting sqref="P3:P9">
    <cfRule type="cellIs" dxfId="31" priority="1" operator="notEqual">
      <formula>TRUE</formula>
    </cfRule>
  </conditionalFormatting>
  <pageMargins left="0.7" right="0.7" top="0.75" bottom="0.75" header="0.3" footer="0.3"/>
  <pageSetup orientation="portrait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04A5BB-8B3C-4DEF-8A18-5CD5E9E134B7}">
  <sheetPr>
    <tabColor theme="8" tint="0.59999389629810485"/>
    <pageSetUpPr fitToPage="1"/>
  </sheetPr>
  <dimension ref="A1:AI52"/>
  <sheetViews>
    <sheetView zoomScaleNormal="100" workbookViewId="0">
      <selection activeCell="A11" sqref="A11"/>
    </sheetView>
  </sheetViews>
  <sheetFormatPr baseColWidth="10" defaultColWidth="11.453125" defaultRowHeight="11.5" x14ac:dyDescent="0.25"/>
  <cols>
    <col min="1" max="1" width="3" style="1" customWidth="1"/>
    <col min="2" max="2" width="4.453125" style="1" bestFit="1" customWidth="1"/>
    <col min="3" max="3" width="36.81640625" style="1" customWidth="1"/>
    <col min="4" max="4" width="15.1796875" style="1" customWidth="1"/>
    <col min="5" max="5" width="16" style="1" customWidth="1"/>
    <col min="6" max="7" width="14.81640625" style="1" customWidth="1"/>
    <col min="8" max="8" width="16.1796875" style="1" customWidth="1"/>
    <col min="9" max="9" width="20.1796875" style="1" bestFit="1" customWidth="1"/>
    <col min="10" max="10" width="15.54296875" style="1" customWidth="1"/>
    <col min="11" max="11" width="17.54296875" style="1" customWidth="1"/>
    <col min="12" max="12" width="16.54296875" style="1" customWidth="1"/>
    <col min="13" max="13" width="19.81640625" style="1" customWidth="1"/>
    <col min="14" max="14" width="15.1796875" style="1" customWidth="1"/>
    <col min="15" max="15" width="16.81640625" style="1" customWidth="1"/>
    <col min="16" max="16" width="3.81640625" style="1" customWidth="1"/>
    <col min="17" max="17" width="2.81640625" style="1" customWidth="1"/>
    <col min="18" max="18" width="4.54296875" style="1" customWidth="1"/>
    <col min="19" max="19" width="11.1796875" style="1" customWidth="1"/>
    <col min="20" max="20" width="39.453125" style="1" customWidth="1"/>
    <col min="21" max="21" width="19.1796875" style="1" customWidth="1"/>
    <col min="22" max="22" width="17.81640625" style="1" customWidth="1"/>
    <col min="23" max="23" width="16.453125" style="1" customWidth="1"/>
    <col min="24" max="24" width="17.1796875" style="1" customWidth="1"/>
    <col min="25" max="25" width="15.81640625" style="1" customWidth="1"/>
    <col min="26" max="26" width="16" style="1" customWidth="1"/>
    <col min="27" max="27" width="15" style="1" customWidth="1"/>
    <col min="28" max="29" width="16.81640625" style="1" customWidth="1"/>
    <col min="30" max="31" width="15.453125" style="1" customWidth="1"/>
    <col min="32" max="32" width="16.1796875" style="1" customWidth="1"/>
    <col min="33" max="33" width="18.1796875" style="1" customWidth="1"/>
    <col min="34" max="34" width="13.81640625" style="1" customWidth="1"/>
    <col min="35" max="35" width="3.453125" style="1" customWidth="1"/>
    <col min="36" max="16384" width="11.453125" style="1"/>
  </cols>
  <sheetData>
    <row r="1" spans="2:35" ht="12" thickBot="1" x14ac:dyDescent="0.3">
      <c r="Q1" s="4"/>
      <c r="AI1" s="4"/>
    </row>
    <row r="2" spans="2:35" x14ac:dyDescent="0.25">
      <c r="B2" s="5"/>
      <c r="C2" s="3" t="s">
        <v>1</v>
      </c>
      <c r="D2" s="6" t="s">
        <v>1</v>
      </c>
      <c r="E2" s="3"/>
      <c r="F2" s="3"/>
      <c r="G2" s="3"/>
      <c r="H2" s="3" t="s">
        <v>1</v>
      </c>
      <c r="I2" s="3"/>
      <c r="J2" s="3"/>
      <c r="K2" s="3"/>
      <c r="L2" s="3"/>
      <c r="M2" s="3"/>
      <c r="N2" s="3"/>
      <c r="O2" s="7"/>
      <c r="P2" s="2"/>
      <c r="Q2" s="4"/>
      <c r="S2" s="5"/>
      <c r="T2" s="3" t="s">
        <v>1</v>
      </c>
      <c r="U2" s="6" t="s">
        <v>1</v>
      </c>
      <c r="V2" s="3"/>
      <c r="W2" s="3"/>
      <c r="X2" s="3" t="s">
        <v>1</v>
      </c>
      <c r="Y2" s="3"/>
      <c r="Z2" s="3"/>
      <c r="AA2" s="3"/>
      <c r="AB2" s="3"/>
      <c r="AC2" s="3"/>
      <c r="AD2" s="3"/>
      <c r="AE2" s="3"/>
      <c r="AF2" s="7"/>
      <c r="AG2" s="2"/>
      <c r="AI2" s="4"/>
    </row>
    <row r="3" spans="2:35" ht="14" x14ac:dyDescent="0.3">
      <c r="B3" s="8"/>
      <c r="F3" s="26" t="s">
        <v>8</v>
      </c>
      <c r="G3" s="26"/>
      <c r="I3" s="26" t="s">
        <v>16</v>
      </c>
      <c r="J3" s="25"/>
      <c r="M3" s="2" t="s">
        <v>15</v>
      </c>
      <c r="N3" s="50">
        <f>REMUNERACION_ENERBIT!N98</f>
        <v>2026072</v>
      </c>
      <c r="O3" s="10"/>
      <c r="P3" s="2"/>
      <c r="Q3" s="4"/>
      <c r="S3" s="8"/>
      <c r="U3" s="26" t="s">
        <v>8</v>
      </c>
      <c r="W3" s="26" t="s">
        <v>16</v>
      </c>
      <c r="X3" s="25"/>
      <c r="Y3" s="2"/>
      <c r="AA3" s="2" t="s">
        <v>15</v>
      </c>
      <c r="AD3" s="84">
        <f>N3</f>
        <v>2026072</v>
      </c>
      <c r="AE3" s="84"/>
      <c r="AF3" s="48"/>
      <c r="AG3" s="2"/>
      <c r="AI3" s="4"/>
    </row>
    <row r="4" spans="2:35" ht="15.5" x14ac:dyDescent="0.35">
      <c r="B4" s="8"/>
      <c r="F4" s="36" t="s">
        <v>29</v>
      </c>
      <c r="G4" s="36"/>
      <c r="O4" s="10"/>
      <c r="P4" s="2"/>
      <c r="Q4" s="4"/>
      <c r="S4" s="8"/>
      <c r="T4" s="26" t="s">
        <v>1</v>
      </c>
      <c r="U4" s="36" t="s">
        <v>29</v>
      </c>
      <c r="Y4" s="2" t="s">
        <v>1</v>
      </c>
      <c r="AA4" s="50" t="s">
        <v>1</v>
      </c>
      <c r="AB4" s="2"/>
      <c r="AC4" s="2"/>
      <c r="AD4" s="2"/>
      <c r="AE4" s="2"/>
      <c r="AF4" s="10" t="s">
        <v>1</v>
      </c>
      <c r="AG4" s="2"/>
      <c r="AI4" s="4"/>
    </row>
    <row r="5" spans="2:35" ht="14" x14ac:dyDescent="0.3">
      <c r="B5" s="8"/>
      <c r="F5" s="2" t="s">
        <v>30</v>
      </c>
      <c r="G5" s="2"/>
      <c r="M5" s="2" t="s">
        <v>1</v>
      </c>
      <c r="O5" s="10"/>
      <c r="P5" s="2"/>
      <c r="Q5" s="4"/>
      <c r="S5" s="8"/>
      <c r="T5" s="49" t="s">
        <v>1</v>
      </c>
      <c r="U5" s="2" t="s">
        <v>30</v>
      </c>
      <c r="AF5" s="44"/>
      <c r="AG5" s="2"/>
      <c r="AI5" s="4"/>
    </row>
    <row r="6" spans="2:35" ht="15.5" x14ac:dyDescent="0.35">
      <c r="B6" s="8"/>
      <c r="C6" s="599" t="s">
        <v>17</v>
      </c>
      <c r="D6" s="9">
        <f>REMUNERACION_ENERBIT!D101</f>
        <v>46238</v>
      </c>
      <c r="F6" s="58" t="str">
        <f>REMUNERACION_ENERBIT!F101</f>
        <v>REPORTE CONSOLIDADO TOTAL DE RECAUDO  // ENERBIT</v>
      </c>
      <c r="G6" s="58"/>
      <c r="H6" s="59"/>
      <c r="I6" s="60"/>
      <c r="J6" s="59"/>
      <c r="O6" s="10"/>
      <c r="P6" s="2"/>
      <c r="Q6" s="4"/>
      <c r="S6" s="8"/>
      <c r="T6" s="41" t="s">
        <v>1</v>
      </c>
      <c r="U6" s="58" t="str">
        <f>REMUNERACION_ENERBIT!U101</f>
        <v>REPORTE DETALLADO SUBBOLSA RBL DISCRIMINADO POR ACTIVIDADES // ENEL</v>
      </c>
      <c r="V6" s="59"/>
      <c r="W6" s="60"/>
      <c r="X6" s="59"/>
      <c r="Y6" s="2"/>
      <c r="AF6" s="48"/>
      <c r="AG6" s="2"/>
      <c r="AI6" s="4"/>
    </row>
    <row r="7" spans="2:35" ht="12" thickBot="1" x14ac:dyDescent="0.3">
      <c r="B7" s="8"/>
      <c r="C7" s="599" t="s">
        <v>0</v>
      </c>
      <c r="D7" s="241">
        <f>REMUNERACION_ENERBIT!D102</f>
        <v>0.58333333333333337</v>
      </c>
      <c r="F7" s="2" t="s">
        <v>27</v>
      </c>
      <c r="G7" s="9">
        <f>REMUNERACION_ENERBIT!G102</f>
        <v>46219</v>
      </c>
      <c r="J7" s="2" t="s">
        <v>28</v>
      </c>
      <c r="K7" s="9">
        <f>REMUNERACION_ENERBIT!K102</f>
        <v>46234</v>
      </c>
      <c r="O7" s="10"/>
      <c r="P7" s="2"/>
      <c r="Q7" s="4"/>
      <c r="S7" s="8"/>
      <c r="U7" s="1" t="str">
        <f>F7</f>
        <v>Fecha Desde:</v>
      </c>
      <c r="V7" s="9">
        <f>G7</f>
        <v>46219</v>
      </c>
      <c r="W7" s="1" t="s">
        <v>1</v>
      </c>
      <c r="X7" s="1" t="str">
        <f>J7</f>
        <v>Feha Hasta:</v>
      </c>
      <c r="Y7" s="9">
        <f>K7</f>
        <v>46234</v>
      </c>
      <c r="Z7" s="1" t="s">
        <v>1</v>
      </c>
      <c r="AF7" s="48"/>
      <c r="AG7" s="2"/>
      <c r="AI7" s="4"/>
    </row>
    <row r="8" spans="2:35" ht="69.5" thickBot="1" x14ac:dyDescent="0.3">
      <c r="B8" s="11" t="s">
        <v>3</v>
      </c>
      <c r="C8" s="27" t="s">
        <v>9</v>
      </c>
      <c r="D8" s="11" t="s">
        <v>4</v>
      </c>
      <c r="E8" s="12" t="s">
        <v>5</v>
      </c>
      <c r="F8" s="12" t="s">
        <v>6</v>
      </c>
      <c r="G8" s="269" t="s">
        <v>159</v>
      </c>
      <c r="H8" s="12" t="s">
        <v>18</v>
      </c>
      <c r="I8" s="12" t="s">
        <v>24</v>
      </c>
      <c r="J8" s="73" t="s">
        <v>19</v>
      </c>
      <c r="K8" s="29" t="s">
        <v>20</v>
      </c>
      <c r="L8" s="28" t="s">
        <v>21</v>
      </c>
      <c r="M8" s="39" t="s">
        <v>22</v>
      </c>
      <c r="N8" s="12" t="s">
        <v>7</v>
      </c>
      <c r="O8" s="39" t="s">
        <v>23</v>
      </c>
      <c r="P8" s="13"/>
      <c r="Q8" s="4"/>
      <c r="S8" s="11" t="s">
        <v>3</v>
      </c>
      <c r="T8" s="27" t="s">
        <v>9</v>
      </c>
      <c r="U8" s="80" t="s">
        <v>39</v>
      </c>
      <c r="V8" s="51" t="s">
        <v>40</v>
      </c>
      <c r="W8" s="51" t="s">
        <v>41</v>
      </c>
      <c r="X8" s="51" t="s">
        <v>42</v>
      </c>
      <c r="Y8" s="81" t="s">
        <v>43</v>
      </c>
      <c r="Z8" s="85" t="s">
        <v>21</v>
      </c>
      <c r="AA8" s="65" t="s">
        <v>46</v>
      </c>
      <c r="AB8" s="65" t="s">
        <v>7</v>
      </c>
      <c r="AC8" s="85" t="s">
        <v>168</v>
      </c>
      <c r="AD8" s="27" t="s">
        <v>105</v>
      </c>
      <c r="AE8" s="27" t="s">
        <v>104</v>
      </c>
      <c r="AF8" s="39" t="s">
        <v>23</v>
      </c>
      <c r="AG8" s="13"/>
      <c r="AI8" s="4"/>
    </row>
    <row r="9" spans="2:35" x14ac:dyDescent="0.25">
      <c r="B9" s="14">
        <v>1</v>
      </c>
      <c r="C9" s="61" t="s">
        <v>10</v>
      </c>
      <c r="D9" s="66">
        <f>REMUNERACION_ENERBIT!D104</f>
        <v>0</v>
      </c>
      <c r="E9" s="66">
        <f>REMUNERACION_ENERBIT!E104</f>
        <v>0</v>
      </c>
      <c r="F9" s="66">
        <f>REMUNERACION_ENERBIT!F104</f>
        <v>0</v>
      </c>
      <c r="G9" s="66">
        <f>REMUNERACION_ENERBIT!G104</f>
        <v>0</v>
      </c>
      <c r="H9" s="66">
        <f>REMUNERACION_ENERBIT!H104</f>
        <v>0</v>
      </c>
      <c r="I9" s="66">
        <f>REMUNERACION_ENERBIT!I104</f>
        <v>0</v>
      </c>
      <c r="J9" s="66">
        <f>REMUNERACION_ENERBIT!J104</f>
        <v>0</v>
      </c>
      <c r="K9" s="30">
        <f>D9-E9-F9-G9-H9-I9-J9</f>
        <v>0</v>
      </c>
      <c r="L9" s="66">
        <f>REMUNERACION_ENERBIT!L104</f>
        <v>0</v>
      </c>
      <c r="M9" s="30">
        <f>K9-L9</f>
        <v>0</v>
      </c>
      <c r="N9" s="66">
        <f>REMUNERACION_ENERBIT!N104</f>
        <v>0</v>
      </c>
      <c r="O9" s="30">
        <f>M9+N9</f>
        <v>0</v>
      </c>
      <c r="Q9" s="4"/>
      <c r="S9" s="14">
        <v>1</v>
      </c>
      <c r="T9" s="61" t="s">
        <v>10</v>
      </c>
      <c r="U9" s="66">
        <f>REMUNERACION_ENERBIT!U104</f>
        <v>0</v>
      </c>
      <c r="V9" s="66">
        <f>REMUNERACION_ENERBIT!V104</f>
        <v>0</v>
      </c>
      <c r="W9" s="66">
        <f>REMUNERACION_ENERBIT!W104</f>
        <v>0</v>
      </c>
      <c r="X9" s="66">
        <f>REMUNERACION_ENERBIT!X104</f>
        <v>0</v>
      </c>
      <c r="Y9" s="66">
        <f>REMUNERACION_ENERBIT!Y104</f>
        <v>0</v>
      </c>
      <c r="Z9" s="66">
        <f>REMUNERACION_ENERBIT!Z104</f>
        <v>0</v>
      </c>
      <c r="AA9" s="66">
        <f>REMUNERACION_ENERBIT!AA104</f>
        <v>0</v>
      </c>
      <c r="AB9" s="66">
        <f>REMUNERACION_ENERBIT!AB104</f>
        <v>0</v>
      </c>
      <c r="AC9" s="66">
        <f>REMUNERACION_ENERBIT!AC104</f>
        <v>0</v>
      </c>
      <c r="AD9" s="66">
        <f>REMUNERACION_ENERBIT!AD104</f>
        <v>0</v>
      </c>
      <c r="AE9" s="66">
        <f>REMUNERACION_ENERBIT!AE104</f>
        <v>0</v>
      </c>
      <c r="AF9" s="69">
        <f>SUM(U9:AD9)</f>
        <v>0</v>
      </c>
      <c r="AG9" s="71">
        <f>AF9-O9</f>
        <v>0</v>
      </c>
      <c r="AH9" s="1" t="b">
        <f>INT(AG9)=0</f>
        <v>1</v>
      </c>
      <c r="AI9" s="4"/>
    </row>
    <row r="10" spans="2:35" x14ac:dyDescent="0.25">
      <c r="B10" s="16">
        <v>2</v>
      </c>
      <c r="C10" s="62" t="s">
        <v>11</v>
      </c>
      <c r="D10" s="66">
        <f>REMUNERACION_ENERBIT!D105</f>
        <v>0</v>
      </c>
      <c r="E10" s="66">
        <f>REMUNERACION_ENERBIT!E105</f>
        <v>0</v>
      </c>
      <c r="F10" s="66">
        <f>REMUNERACION_ENERBIT!F105</f>
        <v>0</v>
      </c>
      <c r="G10" s="66">
        <f>REMUNERACION_ENERBIT!G105</f>
        <v>0</v>
      </c>
      <c r="H10" s="66">
        <f>REMUNERACION_ENERBIT!H105</f>
        <v>0</v>
      </c>
      <c r="I10" s="66">
        <f>REMUNERACION_ENERBIT!I105</f>
        <v>0</v>
      </c>
      <c r="J10" s="66">
        <f>REMUNERACION_ENERBIT!J105</f>
        <v>0</v>
      </c>
      <c r="K10" s="31">
        <f t="shared" ref="K10:K13" si="0">D10-E10-F10-G10-H10-I10-J10</f>
        <v>0</v>
      </c>
      <c r="L10" s="66">
        <f>REMUNERACION_ENERBIT!L105</f>
        <v>0</v>
      </c>
      <c r="M10" s="31">
        <f>K10-L10</f>
        <v>0</v>
      </c>
      <c r="N10" s="66">
        <f>REMUNERACION_ENERBIT!N105</f>
        <v>0</v>
      </c>
      <c r="O10" s="31">
        <f t="shared" ref="O10:O13" si="1">M10+N10</f>
        <v>0</v>
      </c>
      <c r="Q10" s="4"/>
      <c r="S10" s="16">
        <v>2</v>
      </c>
      <c r="T10" s="62" t="s">
        <v>11</v>
      </c>
      <c r="U10" s="66">
        <f>REMUNERACION_ENERBIT!U105</f>
        <v>0</v>
      </c>
      <c r="V10" s="66">
        <f>REMUNERACION_ENERBIT!V105</f>
        <v>0</v>
      </c>
      <c r="W10" s="66">
        <f>REMUNERACION_ENERBIT!W105</f>
        <v>0</v>
      </c>
      <c r="X10" s="66">
        <f>REMUNERACION_ENERBIT!X105</f>
        <v>0</v>
      </c>
      <c r="Y10" s="66">
        <f>REMUNERACION_ENERBIT!Y105</f>
        <v>0</v>
      </c>
      <c r="Z10" s="66">
        <f>REMUNERACION_ENERBIT!Z105</f>
        <v>0</v>
      </c>
      <c r="AA10" s="66">
        <f>REMUNERACION_ENERBIT!AA105</f>
        <v>0</v>
      </c>
      <c r="AB10" s="66">
        <f>REMUNERACION_ENERBIT!AB105</f>
        <v>0</v>
      </c>
      <c r="AC10" s="66">
        <f>REMUNERACION_ENERBIT!AC105</f>
        <v>0</v>
      </c>
      <c r="AD10" s="66">
        <f>REMUNERACION_ENERBIT!AD105</f>
        <v>0</v>
      </c>
      <c r="AE10" s="66">
        <f>REMUNERACION_ENERBIT!AE105</f>
        <v>0</v>
      </c>
      <c r="AF10" s="70">
        <f>SUM(U10:AD10)</f>
        <v>0</v>
      </c>
      <c r="AG10" s="72">
        <f>AF10-O10</f>
        <v>0</v>
      </c>
      <c r="AH10" s="1" t="b">
        <f t="shared" ref="AH10:AH14" si="2">INT(AG10)=0</f>
        <v>1</v>
      </c>
      <c r="AI10" s="4"/>
    </row>
    <row r="11" spans="2:35" x14ac:dyDescent="0.25">
      <c r="B11" s="16">
        <v>3</v>
      </c>
      <c r="C11" s="62" t="s">
        <v>12</v>
      </c>
      <c r="D11" s="726">
        <f>REMUNERACION_ENERBIT!D106</f>
        <v>0</v>
      </c>
      <c r="E11" s="726">
        <f>REMUNERACION_ENERBIT!E106</f>
        <v>0</v>
      </c>
      <c r="F11" s="726">
        <f>REMUNERACION_ENERBIT!F106</f>
        <v>0</v>
      </c>
      <c r="G11" s="726">
        <f>REMUNERACION_ENERBIT!G106</f>
        <v>0</v>
      </c>
      <c r="H11" s="726">
        <f>REMUNERACION_ENERBIT!H106</f>
        <v>0</v>
      </c>
      <c r="I11" s="726">
        <f>REMUNERACION_ENERBIT!I106</f>
        <v>0</v>
      </c>
      <c r="J11" s="726">
        <f>REMUNERACION_ENERBIT!J106</f>
        <v>0</v>
      </c>
      <c r="K11" s="727">
        <f t="shared" si="0"/>
        <v>0</v>
      </c>
      <c r="L11" s="726">
        <f>REMUNERACION_ENERBIT!L106</f>
        <v>0</v>
      </c>
      <c r="M11" s="727">
        <f>K11-L11</f>
        <v>0</v>
      </c>
      <c r="N11" s="726">
        <f>REMUNERACION_ENERBIT!N106</f>
        <v>0</v>
      </c>
      <c r="O11" s="727">
        <f t="shared" si="1"/>
        <v>0</v>
      </c>
      <c r="Q11" s="4"/>
      <c r="S11" s="16">
        <v>3</v>
      </c>
      <c r="T11" s="62" t="s">
        <v>12</v>
      </c>
      <c r="U11" s="726">
        <f>REMUNERACION_ENERBIT!U106</f>
        <v>0</v>
      </c>
      <c r="V11" s="726">
        <f>REMUNERACION_ENERBIT!V106</f>
        <v>0</v>
      </c>
      <c r="W11" s="726">
        <f>REMUNERACION_ENERBIT!W106</f>
        <v>0</v>
      </c>
      <c r="X11" s="726">
        <f>REMUNERACION_ENERBIT!X106</f>
        <v>0</v>
      </c>
      <c r="Y11" s="726">
        <f>REMUNERACION_ENERBIT!Y106</f>
        <v>0</v>
      </c>
      <c r="Z11" s="726">
        <f>REMUNERACION_ENERBIT!Z106</f>
        <v>0</v>
      </c>
      <c r="AA11" s="726">
        <f>REMUNERACION_ENERBIT!AA106</f>
        <v>0</v>
      </c>
      <c r="AB11" s="726">
        <f>REMUNERACION_ENERBIT!AB106</f>
        <v>0</v>
      </c>
      <c r="AC11" s="726">
        <f>REMUNERACION_ENERBIT!AC106</f>
        <v>0</v>
      </c>
      <c r="AD11" s="726">
        <f>REMUNERACION_ENERBIT!AD106</f>
        <v>0</v>
      </c>
      <c r="AE11" s="726">
        <f>REMUNERACION_ENERBIT!AE106</f>
        <v>0</v>
      </c>
      <c r="AF11" s="725">
        <f>SUM(U11:AD11)</f>
        <v>0</v>
      </c>
      <c r="AG11" s="72">
        <f>AF11-O11</f>
        <v>0</v>
      </c>
      <c r="AH11" s="1" t="b">
        <f t="shared" si="2"/>
        <v>1</v>
      </c>
      <c r="AI11" s="4"/>
    </row>
    <row r="12" spans="2:35" x14ac:dyDescent="0.25">
      <c r="B12" s="16">
        <v>4</v>
      </c>
      <c r="C12" s="62" t="s">
        <v>13</v>
      </c>
      <c r="D12" s="66">
        <f>REMUNERACION_ENERBIT!D107</f>
        <v>0</v>
      </c>
      <c r="E12" s="66">
        <f>REMUNERACION_ENERBIT!E107</f>
        <v>0</v>
      </c>
      <c r="F12" s="66">
        <f>REMUNERACION_ENERBIT!F107</f>
        <v>0</v>
      </c>
      <c r="G12" s="66">
        <f>REMUNERACION_ENERBIT!G107</f>
        <v>0</v>
      </c>
      <c r="H12" s="66">
        <f>REMUNERACION_ENERBIT!H107</f>
        <v>0</v>
      </c>
      <c r="I12" s="66">
        <f>REMUNERACION_ENERBIT!I107</f>
        <v>0</v>
      </c>
      <c r="J12" s="66">
        <f>REMUNERACION_ENERBIT!J107</f>
        <v>0</v>
      </c>
      <c r="K12" s="31">
        <f t="shared" si="0"/>
        <v>0</v>
      </c>
      <c r="L12" s="66">
        <f>REMUNERACION_ENERBIT!L107</f>
        <v>0</v>
      </c>
      <c r="M12" s="31">
        <f>K12-L12</f>
        <v>0</v>
      </c>
      <c r="N12" s="66">
        <f>REMUNERACION_ENERBIT!N107</f>
        <v>0</v>
      </c>
      <c r="O12" s="31">
        <f t="shared" si="1"/>
        <v>0</v>
      </c>
      <c r="Q12" s="4"/>
      <c r="S12" s="16">
        <v>4</v>
      </c>
      <c r="T12" s="62" t="s">
        <v>13</v>
      </c>
      <c r="U12" s="66">
        <f>REMUNERACION_ENERBIT!U107</f>
        <v>0</v>
      </c>
      <c r="V12" s="66">
        <f>REMUNERACION_ENERBIT!V107</f>
        <v>0</v>
      </c>
      <c r="W12" s="66">
        <f>REMUNERACION_ENERBIT!W107</f>
        <v>0</v>
      </c>
      <c r="X12" s="66">
        <f>REMUNERACION_ENERBIT!X107</f>
        <v>0</v>
      </c>
      <c r="Y12" s="66">
        <f>REMUNERACION_ENERBIT!Y107</f>
        <v>0</v>
      </c>
      <c r="Z12" s="66">
        <f>REMUNERACION_ENERBIT!Z107</f>
        <v>0</v>
      </c>
      <c r="AA12" s="66">
        <f>REMUNERACION_ENERBIT!AA107</f>
        <v>0</v>
      </c>
      <c r="AB12" s="66">
        <f>REMUNERACION_ENERBIT!AB107</f>
        <v>0</v>
      </c>
      <c r="AC12" s="66">
        <f>REMUNERACION_ENERBIT!AC107</f>
        <v>0</v>
      </c>
      <c r="AD12" s="66">
        <f>REMUNERACION_ENERBIT!AD107</f>
        <v>0</v>
      </c>
      <c r="AE12" s="66">
        <f>REMUNERACION_ENERBIT!AE107</f>
        <v>0</v>
      </c>
      <c r="AF12" s="70">
        <f>SUM(U12:AD12)</f>
        <v>0</v>
      </c>
      <c r="AG12" s="72">
        <f>AF12-O12</f>
        <v>0</v>
      </c>
      <c r="AH12" s="1" t="b">
        <f t="shared" si="2"/>
        <v>1</v>
      </c>
      <c r="AI12" s="4"/>
    </row>
    <row r="13" spans="2:35" ht="12" thickBot="1" x14ac:dyDescent="0.3">
      <c r="B13" s="19">
        <v>5</v>
      </c>
      <c r="C13" s="63" t="s">
        <v>14</v>
      </c>
      <c r="D13" s="66">
        <f>REMUNERACION_ENERBIT!D108</f>
        <v>33106622.48</v>
      </c>
      <c r="E13" s="66">
        <f>REMUNERACION_ENERBIT!E108</f>
        <v>2354015.58</v>
      </c>
      <c r="F13" s="66">
        <f>REMUNERACION_ENERBIT!F108</f>
        <v>1304933.33</v>
      </c>
      <c r="G13" s="66">
        <f>REMUNERACION_ENERBIT!G108</f>
        <v>678365.21</v>
      </c>
      <c r="H13" s="66">
        <f>REMUNERACION_ENERBIT!H108</f>
        <v>8664264.7300000004</v>
      </c>
      <c r="I13" s="66">
        <f>REMUNERACION_ENERBIT!I108</f>
        <v>306609.89</v>
      </c>
      <c r="J13" s="66">
        <f>REMUNERACION_ENERBIT!J108</f>
        <v>0</v>
      </c>
      <c r="K13" s="31">
        <f t="shared" si="0"/>
        <v>19798433.739999998</v>
      </c>
      <c r="L13" s="66">
        <f>REMUNERACION_ENERBIT!L108</f>
        <v>0</v>
      </c>
      <c r="M13" s="40">
        <f>K13-L13</f>
        <v>19798433.739999998</v>
      </c>
      <c r="N13" s="66">
        <f>REMUNERACION_ENERBIT!N108</f>
        <v>0</v>
      </c>
      <c r="O13" s="40">
        <f t="shared" si="1"/>
        <v>19798433.739999998</v>
      </c>
      <c r="Q13" s="4"/>
      <c r="S13" s="19">
        <v>5</v>
      </c>
      <c r="T13" s="63" t="s">
        <v>14</v>
      </c>
      <c r="U13" s="66">
        <f>REMUNERACION_ENERBIT!U108</f>
        <v>2695565.9899999998</v>
      </c>
      <c r="V13" s="66">
        <f>REMUNERACION_ENERBIT!V108</f>
        <v>2662800.6100000003</v>
      </c>
      <c r="W13" s="66">
        <f>REMUNERACION_ENERBIT!W108</f>
        <v>13468229.43</v>
      </c>
      <c r="X13" s="66">
        <f>REMUNERACION_ENERBIT!X108</f>
        <v>6732768.6600000001</v>
      </c>
      <c r="Y13" s="66">
        <f>REMUNERACION_ENERBIT!Y108</f>
        <v>496966.43</v>
      </c>
      <c r="Z13" s="66">
        <f>REMUNERACION_ENERBIT!Z108</f>
        <v>0</v>
      </c>
      <c r="AA13" s="66">
        <f>REMUNERACION_ENERBIT!AA108</f>
        <v>65.34</v>
      </c>
      <c r="AB13" s="66">
        <f>REMUNERACION_ENERBIT!AB108</f>
        <v>0</v>
      </c>
      <c r="AC13" s="66">
        <f>REMUNERACION_ENERBIT!AC108</f>
        <v>0</v>
      </c>
      <c r="AD13" s="66">
        <f>REMUNERACION_ENERBIT!AD108</f>
        <v>-6257962.7199999997</v>
      </c>
      <c r="AE13" s="66">
        <f>REMUNERACION_ENERBIT!AE108</f>
        <v>-6257962.7199999997</v>
      </c>
      <c r="AF13" s="70">
        <f>SUM(U13:AD13)</f>
        <v>19798433.740000002</v>
      </c>
      <c r="AG13" s="72">
        <f>AF13-O13</f>
        <v>0</v>
      </c>
      <c r="AH13" s="1" t="b">
        <f t="shared" si="2"/>
        <v>1</v>
      </c>
      <c r="AI13" s="4"/>
    </row>
    <row r="14" spans="2:35" ht="13.5" thickBot="1" x14ac:dyDescent="0.35">
      <c r="B14" s="21"/>
      <c r="C14" s="22" t="s">
        <v>2</v>
      </c>
      <c r="D14" s="43">
        <f t="shared" ref="D14:O14" si="3">SUM(D9:D13)</f>
        <v>33106622.48</v>
      </c>
      <c r="E14" s="43">
        <f t="shared" si="3"/>
        <v>2354015.58</v>
      </c>
      <c r="F14" s="43">
        <f t="shared" si="3"/>
        <v>1304933.33</v>
      </c>
      <c r="G14" s="43">
        <f t="shared" si="3"/>
        <v>678365.21</v>
      </c>
      <c r="H14" s="43">
        <f t="shared" si="3"/>
        <v>8664264.7300000004</v>
      </c>
      <c r="I14" s="43">
        <f t="shared" si="3"/>
        <v>306609.89</v>
      </c>
      <c r="J14" s="43">
        <f t="shared" si="3"/>
        <v>0</v>
      </c>
      <c r="K14" s="32">
        <f t="shared" si="3"/>
        <v>19798433.739999998</v>
      </c>
      <c r="L14" s="23">
        <f t="shared" si="3"/>
        <v>0</v>
      </c>
      <c r="M14" s="76">
        <f t="shared" si="3"/>
        <v>19798433.739999998</v>
      </c>
      <c r="N14" s="23">
        <f t="shared" si="3"/>
        <v>0</v>
      </c>
      <c r="O14" s="76">
        <f t="shared" si="3"/>
        <v>19798433.739999998</v>
      </c>
      <c r="P14" s="2"/>
      <c r="Q14" s="4"/>
      <c r="S14" s="21"/>
      <c r="T14" s="22" t="s">
        <v>2</v>
      </c>
      <c r="U14" s="43">
        <f>SUM(U9:U13)</f>
        <v>2695565.9899999998</v>
      </c>
      <c r="V14" s="43">
        <f t="shared" ref="V14:AG14" si="4">SUM(V9:V13)</f>
        <v>2662800.6100000003</v>
      </c>
      <c r="W14" s="43">
        <f t="shared" si="4"/>
        <v>13468229.43</v>
      </c>
      <c r="X14" s="43">
        <f t="shared" si="4"/>
        <v>6732768.6600000001</v>
      </c>
      <c r="Y14" s="43">
        <f t="shared" si="4"/>
        <v>496966.43</v>
      </c>
      <c r="Z14" s="43">
        <f t="shared" si="4"/>
        <v>0</v>
      </c>
      <c r="AA14" s="43">
        <f t="shared" si="4"/>
        <v>65.34</v>
      </c>
      <c r="AB14" s="43">
        <f t="shared" si="4"/>
        <v>0</v>
      </c>
      <c r="AC14" s="43">
        <f t="shared" si="4"/>
        <v>0</v>
      </c>
      <c r="AD14" s="43">
        <f t="shared" si="4"/>
        <v>-6257962.7199999997</v>
      </c>
      <c r="AE14" s="43">
        <f>SUM(AE9:AE13)</f>
        <v>-6257962.7199999997</v>
      </c>
      <c r="AF14" s="68">
        <f t="shared" si="4"/>
        <v>19798433.740000002</v>
      </c>
      <c r="AG14" s="43">
        <f t="shared" si="4"/>
        <v>0</v>
      </c>
      <c r="AH14" s="1" t="b">
        <f t="shared" si="2"/>
        <v>1</v>
      </c>
      <c r="AI14" s="4"/>
    </row>
    <row r="15" spans="2:35" ht="12" thickBot="1" x14ac:dyDescent="0.3">
      <c r="B15" s="2"/>
      <c r="C15" s="2"/>
      <c r="D15" s="24"/>
      <c r="E15" s="24"/>
      <c r="F15" s="24"/>
      <c r="G15" s="24"/>
      <c r="H15" s="24"/>
      <c r="I15" s="24"/>
      <c r="K15" s="24"/>
      <c r="L15" s="24"/>
      <c r="M15" s="24"/>
      <c r="N15" s="24"/>
      <c r="O15" s="24"/>
      <c r="Q15" s="4"/>
      <c r="S15" s="2"/>
      <c r="T15" s="2"/>
      <c r="U15" s="24"/>
      <c r="V15" s="24"/>
      <c r="W15" s="24"/>
      <c r="X15" s="24"/>
      <c r="Y15" s="24"/>
      <c r="AF15" s="24"/>
      <c r="AI15" s="4"/>
    </row>
    <row r="16" spans="2:35" ht="12" thickBot="1" x14ac:dyDescent="0.3">
      <c r="B16" s="2"/>
      <c r="C16" s="2"/>
      <c r="D16" s="24" t="s">
        <v>1</v>
      </c>
      <c r="E16" s="24"/>
      <c r="F16" s="24"/>
      <c r="G16" s="24"/>
      <c r="H16" s="24"/>
      <c r="I16" s="24"/>
      <c r="K16" s="24"/>
      <c r="L16" s="24"/>
      <c r="M16" s="24"/>
      <c r="N16" s="24"/>
      <c r="O16" s="24"/>
      <c r="Q16" s="4"/>
      <c r="Y16" s="86">
        <f>SUM(U14:Y14)</f>
        <v>26056331.120000001</v>
      </c>
      <c r="AA16" s="1" t="s">
        <v>1</v>
      </c>
      <c r="AB16" s="1" t="s">
        <v>1</v>
      </c>
      <c r="AD16" s="1" t="s">
        <v>1</v>
      </c>
      <c r="AF16" s="1" t="s">
        <v>1</v>
      </c>
      <c r="AI16" s="4"/>
    </row>
    <row r="17" spans="1:35" ht="64.5" customHeight="1" thickBot="1" x14ac:dyDescent="0.3">
      <c r="B17" s="2"/>
      <c r="C17" s="2"/>
      <c r="D17" s="24" t="s">
        <v>1</v>
      </c>
      <c r="E17" s="33"/>
      <c r="F17" s="33"/>
      <c r="G17" s="33"/>
      <c r="H17" s="33"/>
      <c r="I17" s="24"/>
      <c r="K17" s="24"/>
      <c r="L17" s="24"/>
      <c r="M17" s="24"/>
      <c r="N17" s="24"/>
      <c r="O17" s="24"/>
      <c r="Q17" s="4"/>
      <c r="U17" s="33"/>
      <c r="V17" s="33"/>
      <c r="W17" s="33"/>
      <c r="X17" s="33"/>
      <c r="AI17" s="4"/>
    </row>
    <row r="18" spans="1:35" x14ac:dyDescent="0.25">
      <c r="B18" s="2"/>
      <c r="C18" s="2"/>
      <c r="D18" s="24" t="s">
        <v>1</v>
      </c>
      <c r="E18" s="24" t="s">
        <v>1</v>
      </c>
      <c r="F18" s="24" t="s">
        <v>25</v>
      </c>
      <c r="G18" s="24"/>
      <c r="H18" s="24"/>
      <c r="I18" s="24"/>
      <c r="K18" s="24"/>
      <c r="L18" s="24"/>
      <c r="M18" s="24"/>
      <c r="N18" s="24"/>
      <c r="O18" s="24"/>
      <c r="Q18" s="4"/>
      <c r="U18" s="24" t="s">
        <v>1</v>
      </c>
      <c r="V18" s="24" t="s">
        <v>25</v>
      </c>
      <c r="W18" s="24"/>
      <c r="X18" s="24"/>
      <c r="AI18" s="4"/>
    </row>
    <row r="19" spans="1:35" x14ac:dyDescent="0.25">
      <c r="A19" s="52"/>
      <c r="B19" s="53"/>
      <c r="C19" s="53"/>
      <c r="D19" s="54"/>
      <c r="E19" s="54"/>
      <c r="F19" s="54"/>
      <c r="G19" s="54"/>
      <c r="H19" s="54"/>
      <c r="I19" s="54"/>
      <c r="J19" s="52"/>
      <c r="K19" s="54"/>
      <c r="L19" s="54"/>
      <c r="M19" s="54"/>
      <c r="N19" s="54"/>
      <c r="O19" s="54"/>
      <c r="P19" s="52"/>
      <c r="Q19" s="52"/>
      <c r="R19" s="52"/>
      <c r="S19" s="52"/>
      <c r="T19" s="52"/>
      <c r="U19" s="52"/>
      <c r="V19" s="52"/>
      <c r="W19" s="52"/>
      <c r="X19" s="52"/>
      <c r="Y19" s="52"/>
      <c r="Z19" s="52"/>
      <c r="AA19" s="52"/>
      <c r="AB19" s="52"/>
      <c r="AC19" s="52"/>
      <c r="AD19" s="52"/>
      <c r="AE19" s="52"/>
      <c r="AF19" s="52"/>
      <c r="AG19" s="52"/>
      <c r="AH19" s="52"/>
      <c r="AI19" s="52"/>
    </row>
    <row r="20" spans="1:35" ht="12" thickBot="1" x14ac:dyDescent="0.3">
      <c r="Q20" s="4"/>
    </row>
    <row r="21" spans="1:35" x14ac:dyDescent="0.25">
      <c r="B21" s="5"/>
      <c r="C21" s="3" t="s">
        <v>1</v>
      </c>
      <c r="D21" s="6" t="s">
        <v>1</v>
      </c>
      <c r="E21" s="3"/>
      <c r="F21" s="3"/>
      <c r="G21" s="3"/>
      <c r="H21" s="3" t="s">
        <v>1</v>
      </c>
      <c r="I21" s="3"/>
      <c r="J21" s="3"/>
      <c r="K21" s="3"/>
      <c r="L21" s="3"/>
      <c r="M21" s="3"/>
      <c r="N21" s="3"/>
      <c r="O21" s="7"/>
      <c r="P21" s="2"/>
      <c r="Q21" s="35"/>
    </row>
    <row r="22" spans="1:35" ht="14" x14ac:dyDescent="0.3">
      <c r="B22" s="8"/>
      <c r="C22" s="2"/>
      <c r="D22" s="9"/>
      <c r="F22" s="26" t="s">
        <v>8</v>
      </c>
      <c r="G22" s="26"/>
      <c r="I22" s="26" t="s">
        <v>16</v>
      </c>
      <c r="J22" s="25"/>
      <c r="M22" s="2" t="s">
        <v>15</v>
      </c>
      <c r="N22" s="50">
        <f>REMUNERACION_ENERBIT!M117</f>
        <v>2026072</v>
      </c>
      <c r="O22" s="10"/>
      <c r="P22" s="2"/>
      <c r="Q22" s="4"/>
    </row>
    <row r="23" spans="1:35" ht="15.5" x14ac:dyDescent="0.35">
      <c r="B23" s="8"/>
      <c r="C23" s="2"/>
      <c r="D23" s="57"/>
      <c r="F23" s="36" t="s">
        <v>29</v>
      </c>
      <c r="G23" s="36"/>
      <c r="O23" s="10"/>
      <c r="P23" s="2"/>
      <c r="Q23" s="4"/>
    </row>
    <row r="24" spans="1:35" x14ac:dyDescent="0.25">
      <c r="B24" s="8"/>
      <c r="F24" s="2" t="s">
        <v>30</v>
      </c>
      <c r="G24" s="2"/>
      <c r="M24" s="2" t="s">
        <v>1</v>
      </c>
      <c r="O24" s="10"/>
      <c r="P24" s="2"/>
      <c r="Q24" s="4"/>
    </row>
    <row r="25" spans="1:35" x14ac:dyDescent="0.25">
      <c r="B25" s="8"/>
      <c r="I25" s="2"/>
      <c r="J25" s="2"/>
      <c r="O25" s="10"/>
      <c r="P25" s="2"/>
      <c r="Q25" s="4"/>
    </row>
    <row r="26" spans="1:35" ht="15.5" x14ac:dyDescent="0.35">
      <c r="B26" s="8"/>
      <c r="F26" s="41" t="s">
        <v>37</v>
      </c>
      <c r="G26" s="41"/>
      <c r="H26" s="2"/>
      <c r="J26" s="2"/>
      <c r="O26" s="10"/>
      <c r="P26" s="2"/>
      <c r="Q26" s="4"/>
    </row>
    <row r="27" spans="1:35" x14ac:dyDescent="0.25">
      <c r="B27" s="8"/>
      <c r="F27" s="2" t="s">
        <v>27</v>
      </c>
      <c r="G27" s="2"/>
      <c r="H27" s="9">
        <f>REMUNERACION_ENERBIT!G122</f>
        <v>46219</v>
      </c>
      <c r="J27" s="2" t="s">
        <v>28</v>
      </c>
      <c r="K27" s="9">
        <f>REMUNERACION_ENERBIT!K122</f>
        <v>46234</v>
      </c>
      <c r="O27" s="10"/>
      <c r="P27" s="2"/>
      <c r="Q27" s="4"/>
    </row>
    <row r="28" spans="1:35" ht="12" thickBot="1" x14ac:dyDescent="0.3">
      <c r="B28" s="8"/>
      <c r="C28" s="2" t="s">
        <v>1</v>
      </c>
      <c r="D28" s="2" t="s">
        <v>1</v>
      </c>
      <c r="J28" s="1" t="s">
        <v>1</v>
      </c>
      <c r="O28" s="44"/>
      <c r="P28" s="2"/>
      <c r="Q28" s="4"/>
    </row>
    <row r="29" spans="1:35" ht="46.5" thickBot="1" x14ac:dyDescent="0.3">
      <c r="B29" s="11" t="s">
        <v>3</v>
      </c>
      <c r="C29" s="12" t="s">
        <v>9</v>
      </c>
      <c r="D29" s="12" t="s">
        <v>38</v>
      </c>
      <c r="E29" s="12" t="s">
        <v>48</v>
      </c>
      <c r="G29" s="104" t="s">
        <v>47</v>
      </c>
      <c r="H29" s="73" t="s">
        <v>56</v>
      </c>
      <c r="I29" s="73" t="s">
        <v>130</v>
      </c>
      <c r="J29" s="73" t="s">
        <v>172</v>
      </c>
      <c r="K29" s="73" t="s">
        <v>143</v>
      </c>
      <c r="L29" s="73" t="s">
        <v>144</v>
      </c>
      <c r="O29" s="44"/>
      <c r="P29" s="13"/>
      <c r="Q29" s="4"/>
    </row>
    <row r="30" spans="1:35" x14ac:dyDescent="0.25">
      <c r="B30" s="108">
        <v>1</v>
      </c>
      <c r="C30" s="109" t="s">
        <v>10</v>
      </c>
      <c r="D30" s="110">
        <f>REMUNERACION_ENERBIT!D125</f>
        <v>0</v>
      </c>
      <c r="E30" s="111">
        <f>REMUNERACION_ENERBIT!E125</f>
        <v>0</v>
      </c>
      <c r="G30" s="336">
        <f>REMUNERACION_ENERBIT!G125</f>
        <v>0</v>
      </c>
      <c r="H30" s="310">
        <f>REMUNERACION_ENERBIT!H125</f>
        <v>0</v>
      </c>
      <c r="I30" s="309">
        <f>REMUNERACION_ENERBIT!I125</f>
        <v>0</v>
      </c>
      <c r="J30" s="309">
        <f>REMUNERACION_ENERBIT!J125</f>
        <v>0</v>
      </c>
      <c r="K30" s="309">
        <f>REMUNERACION_ENERBIT!K125</f>
        <v>0</v>
      </c>
      <c r="L30" s="309">
        <f>REMUNERACION_ENERBIT!L125</f>
        <v>0</v>
      </c>
      <c r="O30" s="44"/>
      <c r="Q30" s="4"/>
    </row>
    <row r="31" spans="1:35" x14ac:dyDescent="0.25">
      <c r="B31" s="16">
        <v>2</v>
      </c>
      <c r="C31" s="17" t="s">
        <v>11</v>
      </c>
      <c r="D31" s="15">
        <f>REMUNERACION_ENERBIT!D126</f>
        <v>0</v>
      </c>
      <c r="E31" s="74">
        <f>REMUNERACION_ENERBIT!E126</f>
        <v>0</v>
      </c>
      <c r="G31" s="339">
        <f>REMUNERACION_ENERBIT!G126</f>
        <v>0</v>
      </c>
      <c r="H31" s="340">
        <f>REMUNERACION_ENERBIT!H126</f>
        <v>0</v>
      </c>
      <c r="I31" s="288">
        <f>REMUNERACION_ENERBIT!I126</f>
        <v>0</v>
      </c>
      <c r="J31" s="288">
        <f>REMUNERACION_ENERBIT!J126</f>
        <v>0</v>
      </c>
      <c r="K31" s="288">
        <f>REMUNERACION_ENERBIT!K126</f>
        <v>0</v>
      </c>
      <c r="L31" s="288">
        <f>REMUNERACION_ENERBIT!L126</f>
        <v>0</v>
      </c>
      <c r="O31" s="44"/>
      <c r="Q31" s="4"/>
    </row>
    <row r="32" spans="1:35" x14ac:dyDescent="0.25">
      <c r="B32" s="16">
        <v>3</v>
      </c>
      <c r="C32" s="17" t="s">
        <v>12</v>
      </c>
      <c r="D32" s="15">
        <f>REMUNERACION_ENERBIT!D127</f>
        <v>0</v>
      </c>
      <c r="E32" s="74">
        <f>REMUNERACION_ENERBIT!E127</f>
        <v>0</v>
      </c>
      <c r="G32" s="339">
        <f>REMUNERACION_ENERBIT!G127</f>
        <v>0</v>
      </c>
      <c r="H32" s="340">
        <f>REMUNERACION_ENERBIT!H127</f>
        <v>0</v>
      </c>
      <c r="I32" s="288">
        <f>REMUNERACION_ENERBIT!I127</f>
        <v>0</v>
      </c>
      <c r="J32" s="288">
        <f>REMUNERACION_ENERBIT!J127</f>
        <v>0</v>
      </c>
      <c r="K32" s="288">
        <f>REMUNERACION_ENERBIT!K127</f>
        <v>0</v>
      </c>
      <c r="L32" s="288">
        <f>REMUNERACION_ENERBIT!L127</f>
        <v>0</v>
      </c>
      <c r="O32" s="44"/>
      <c r="Q32" s="4"/>
    </row>
    <row r="33" spans="1:20" x14ac:dyDescent="0.25">
      <c r="B33" s="16">
        <v>4</v>
      </c>
      <c r="C33" s="17" t="s">
        <v>13</v>
      </c>
      <c r="D33" s="15">
        <f>REMUNERACION_ENERBIT!D128</f>
        <v>0</v>
      </c>
      <c r="E33" s="74">
        <f>REMUNERACION_ENERBIT!E128</f>
        <v>0</v>
      </c>
      <c r="G33" s="339">
        <f>REMUNERACION_ENERBIT!G128</f>
        <v>0</v>
      </c>
      <c r="H33" s="340">
        <f>REMUNERACION_ENERBIT!H128</f>
        <v>0</v>
      </c>
      <c r="I33" s="288">
        <f>REMUNERACION_ENERBIT!I128</f>
        <v>0</v>
      </c>
      <c r="J33" s="288">
        <f>REMUNERACION_ENERBIT!J128</f>
        <v>0</v>
      </c>
      <c r="K33" s="288">
        <f>REMUNERACION_ENERBIT!K128</f>
        <v>0</v>
      </c>
      <c r="L33" s="288">
        <f>REMUNERACION_ENERBIT!L128</f>
        <v>0</v>
      </c>
      <c r="O33" s="44"/>
      <c r="Q33" s="4"/>
    </row>
    <row r="34" spans="1:20" x14ac:dyDescent="0.25">
      <c r="B34" s="133">
        <v>5</v>
      </c>
      <c r="C34" s="138" t="s">
        <v>14</v>
      </c>
      <c r="D34" s="135">
        <f>REMUNERACION_ENERBIT!D129</f>
        <v>1781103</v>
      </c>
      <c r="E34" s="139">
        <f>REMUNERACION_ENERBIT!E129</f>
        <v>0</v>
      </c>
      <c r="G34" s="339">
        <f>REMUNERACION_ENERBIT!G129</f>
        <v>0</v>
      </c>
      <c r="H34" s="340">
        <f>REMUNERACION_ENERBIT!H129</f>
        <v>6242402.4799999995</v>
      </c>
      <c r="I34" s="288">
        <f>REMUNERACION_ENERBIT!I129</f>
        <v>0</v>
      </c>
      <c r="J34" s="288">
        <f>REMUNERACION_ENERBIT!J129</f>
        <v>0</v>
      </c>
      <c r="K34" s="288">
        <f>REMUNERACION_ENERBIT!K129</f>
        <v>0</v>
      </c>
      <c r="L34" s="288">
        <f>REMUNERACION_ENERBIT!L129</f>
        <v>0</v>
      </c>
      <c r="O34" s="44"/>
      <c r="Q34" s="4"/>
    </row>
    <row r="35" spans="1:20" ht="12" thickBot="1" x14ac:dyDescent="0.3">
      <c r="B35" s="19" t="s">
        <v>89</v>
      </c>
      <c r="C35" s="20" t="s">
        <v>113</v>
      </c>
      <c r="D35" s="78"/>
      <c r="E35" s="79">
        <f>REMUNERACION_ENERBIT!E130</f>
        <v>0</v>
      </c>
      <c r="G35" s="346"/>
      <c r="H35" s="347"/>
      <c r="I35" s="289"/>
      <c r="J35" s="289"/>
      <c r="K35" s="289"/>
      <c r="L35" s="289"/>
      <c r="O35" s="44"/>
      <c r="Q35" s="4"/>
    </row>
    <row r="36" spans="1:20" ht="12" thickBot="1" x14ac:dyDescent="0.3">
      <c r="B36" s="95"/>
      <c r="C36" s="106" t="s">
        <v>2</v>
      </c>
      <c r="D36" s="107">
        <f t="shared" ref="D36" si="5">SUM(D30:D34)</f>
        <v>1781103</v>
      </c>
      <c r="E36" s="107">
        <f>REMUNERACION_ENERBIT!E131</f>
        <v>0</v>
      </c>
      <c r="F36" s="45"/>
      <c r="G36" s="350">
        <f t="shared" ref="G36:L36" si="6">SUM(G30:G34)</f>
        <v>0</v>
      </c>
      <c r="H36" s="350">
        <f t="shared" si="6"/>
        <v>6242402.4799999995</v>
      </c>
      <c r="I36" s="350">
        <f t="shared" si="6"/>
        <v>0</v>
      </c>
      <c r="J36" s="350">
        <f t="shared" si="6"/>
        <v>0</v>
      </c>
      <c r="K36" s="350">
        <f t="shared" si="6"/>
        <v>0</v>
      </c>
      <c r="L36" s="350">
        <f t="shared" si="6"/>
        <v>0</v>
      </c>
      <c r="M36" s="45"/>
      <c r="N36" s="45"/>
      <c r="O36" s="46"/>
      <c r="P36" s="2"/>
      <c r="Q36" s="4"/>
    </row>
    <row r="37" spans="1:20" x14ac:dyDescent="0.25">
      <c r="B37" s="2"/>
      <c r="C37" s="2"/>
      <c r="D37" s="24"/>
      <c r="Q37" s="4"/>
    </row>
    <row r="38" spans="1:20" x14ac:dyDescent="0.25">
      <c r="B38" s="2"/>
      <c r="C38" s="2"/>
      <c r="D38" s="24"/>
      <c r="L38" s="1" t="s">
        <v>1</v>
      </c>
      <c r="Q38" s="4"/>
    </row>
    <row r="39" spans="1:20" ht="64.5" customHeight="1" thickBot="1" x14ac:dyDescent="0.3">
      <c r="B39" s="2"/>
      <c r="C39" s="2"/>
      <c r="D39" s="24"/>
      <c r="E39" s="33"/>
      <c r="F39" s="33"/>
      <c r="G39" s="33"/>
      <c r="H39" s="33"/>
      <c r="I39" s="24"/>
      <c r="K39" s="24"/>
      <c r="L39" s="24" t="s">
        <v>1</v>
      </c>
      <c r="M39" s="24" t="s">
        <v>1</v>
      </c>
      <c r="N39" s="24"/>
      <c r="O39" s="24"/>
      <c r="Q39" s="4"/>
    </row>
    <row r="40" spans="1:20" x14ac:dyDescent="0.25">
      <c r="B40" s="2"/>
      <c r="C40" s="2"/>
      <c r="D40" s="24"/>
      <c r="E40" s="24" t="s">
        <v>1</v>
      </c>
      <c r="F40" s="42" t="s">
        <v>36</v>
      </c>
      <c r="G40" s="42"/>
      <c r="H40" s="42"/>
      <c r="I40" s="24"/>
      <c r="K40" s="24"/>
      <c r="L40" s="24"/>
      <c r="M40" s="24"/>
      <c r="N40" s="24"/>
      <c r="O40" s="24"/>
      <c r="Q40" s="4"/>
    </row>
    <row r="41" spans="1:20" x14ac:dyDescent="0.25">
      <c r="A41" s="52"/>
      <c r="B41" s="53"/>
      <c r="C41" s="53"/>
      <c r="D41" s="54"/>
      <c r="E41" s="54"/>
      <c r="F41" s="54"/>
      <c r="G41" s="54"/>
      <c r="H41" s="54"/>
      <c r="I41" s="54"/>
      <c r="J41" s="52"/>
      <c r="K41" s="54"/>
      <c r="L41" s="54"/>
      <c r="M41" s="54"/>
      <c r="N41" s="54"/>
      <c r="O41" s="54"/>
      <c r="P41" s="52"/>
      <c r="Q41" s="4"/>
    </row>
    <row r="42" spans="1:20" x14ac:dyDescent="0.25">
      <c r="N42" s="24"/>
      <c r="O42" s="24"/>
      <c r="Q42" s="24"/>
      <c r="T42" s="24"/>
    </row>
    <row r="43" spans="1:20" x14ac:dyDescent="0.25">
      <c r="N43" s="24"/>
      <c r="O43" s="24"/>
      <c r="Q43" s="24"/>
      <c r="T43" s="24"/>
    </row>
    <row r="44" spans="1:20" x14ac:dyDescent="0.25">
      <c r="N44" s="24"/>
      <c r="O44" s="24"/>
      <c r="Q44" s="24"/>
      <c r="T44" s="24"/>
    </row>
    <row r="45" spans="1:20" x14ac:dyDescent="0.25">
      <c r="D45" s="267" t="b">
        <f>D14=REMUNERACION_ENERBIT!D109</f>
        <v>1</v>
      </c>
      <c r="E45" s="267" t="b">
        <f>E14=REMUNERACION_ENERBIT!E109</f>
        <v>1</v>
      </c>
      <c r="F45" s="267" t="b">
        <f>F14=REMUNERACION_ENERBIT!F109</f>
        <v>1</v>
      </c>
      <c r="G45" s="267" t="b">
        <f>G14=REMUNERACION_ENERBIT!G109</f>
        <v>1</v>
      </c>
      <c r="H45" s="267" t="b">
        <f>H14=REMUNERACION_ENERBIT!H109</f>
        <v>1</v>
      </c>
      <c r="I45" s="267" t="b">
        <f>I14=REMUNERACION_ENERBIT!I109</f>
        <v>1</v>
      </c>
      <c r="J45" s="267" t="b">
        <f>J14=REMUNERACION_ENERBIT!J109</f>
        <v>1</v>
      </c>
      <c r="K45" s="267" t="b">
        <f>K14=REMUNERACION_ENERBIT!K109</f>
        <v>1</v>
      </c>
      <c r="L45" s="267" t="b">
        <f>L14=REMUNERACION_ENERBIT!L109</f>
        <v>1</v>
      </c>
      <c r="M45" s="267" t="b">
        <f>M14=REMUNERACION_ENERBIT!M109</f>
        <v>1</v>
      </c>
      <c r="N45" s="267" t="b">
        <f>N14=REMUNERACION_ENERBIT!N109</f>
        <v>1</v>
      </c>
      <c r="O45" s="267" t="b">
        <f>O14=REMUNERACION_ENERBIT!O109</f>
        <v>1</v>
      </c>
      <c r="Q45" s="24"/>
      <c r="T45" s="24"/>
    </row>
    <row r="46" spans="1:20" x14ac:dyDescent="0.25">
      <c r="D46" s="267" t="b">
        <f>D36=REMUNERACION_ENERBIT!D131</f>
        <v>1</v>
      </c>
      <c r="E46" s="267" t="b">
        <f>E36=REMUNERACION_ENERBIT!E131</f>
        <v>1</v>
      </c>
      <c r="F46" s="267" t="b">
        <f>F36=REMUNERACION_ENERBIT!F131</f>
        <v>1</v>
      </c>
      <c r="G46" s="267" t="b">
        <f>G36=REMUNERACION_ENERBIT!G131</f>
        <v>1</v>
      </c>
      <c r="H46" s="267" t="b">
        <f>H36=REMUNERACION_ENERBIT!H131</f>
        <v>1</v>
      </c>
      <c r="I46" s="267" t="b">
        <f>I36=REMUNERACION_ENERBIT!I131</f>
        <v>1</v>
      </c>
      <c r="J46" s="267" t="b">
        <f>J36=REMUNERACION_ENERBIT!J131</f>
        <v>1</v>
      </c>
      <c r="K46" s="267" t="b">
        <f>K36=REMUNERACION_ENERBIT!K131</f>
        <v>1</v>
      </c>
      <c r="L46" s="267" t="b">
        <f>L36=REMUNERACION_ENERBIT!L131</f>
        <v>1</v>
      </c>
      <c r="M46" s="267" t="b">
        <f>M36=REMUNERACION_ENERBIT!M131</f>
        <v>1</v>
      </c>
      <c r="N46" s="267" t="b">
        <f>N36=REMUNERACION_ENERBIT!N131</f>
        <v>1</v>
      </c>
      <c r="O46" s="267" t="b">
        <f>O36=REMUNERACION_ENERBIT!O131</f>
        <v>1</v>
      </c>
      <c r="Q46" s="24"/>
      <c r="T46" s="24"/>
    </row>
    <row r="47" spans="1:20" x14ac:dyDescent="0.25">
      <c r="N47" s="24"/>
      <c r="O47" s="24"/>
      <c r="Q47" s="24"/>
      <c r="T47" s="24"/>
    </row>
    <row r="48" spans="1:20" x14ac:dyDescent="0.25">
      <c r="N48" s="24"/>
      <c r="O48" s="24"/>
      <c r="Q48" s="24"/>
      <c r="T48" s="24"/>
    </row>
    <row r="49" spans="14:20" x14ac:dyDescent="0.25">
      <c r="N49" s="24"/>
      <c r="O49" s="24"/>
      <c r="Q49" s="24"/>
      <c r="T49" s="24"/>
    </row>
    <row r="50" spans="14:20" x14ac:dyDescent="0.25">
      <c r="N50" s="24"/>
      <c r="O50" s="24"/>
      <c r="Q50" s="24"/>
      <c r="T50" s="24"/>
    </row>
    <row r="51" spans="14:20" x14ac:dyDescent="0.25">
      <c r="Q51" s="24"/>
      <c r="T51" s="24"/>
    </row>
    <row r="52" spans="14:20" x14ac:dyDescent="0.25">
      <c r="Q52" s="24"/>
    </row>
  </sheetData>
  <conditionalFormatting sqref="AH9:AH14">
    <cfRule type="cellIs" dxfId="30" priority="1" operator="notEqual">
      <formula>TRUE</formula>
    </cfRule>
  </conditionalFormatting>
  <printOptions horizontalCentered="1" verticalCentered="1"/>
  <pageMargins left="0.55118110236220474" right="0.74803149606299213" top="0.59055118110236227" bottom="0.78740157480314965" header="0" footer="0"/>
  <pageSetup scale="24" orientation="landscape" r:id="rId1"/>
  <headerFooter alignWithMargins="0"/>
  <drawing r:id="rId2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tabColor rgb="FF7030A0"/>
    <pageSetUpPr fitToPage="1"/>
  </sheetPr>
  <dimension ref="A1:AJ165"/>
  <sheetViews>
    <sheetView topLeftCell="A95" zoomScaleNormal="100" workbookViewId="0">
      <selection activeCell="A95" sqref="A95"/>
    </sheetView>
  </sheetViews>
  <sheetFormatPr baseColWidth="10" defaultColWidth="11.453125" defaultRowHeight="11.5" x14ac:dyDescent="0.25"/>
  <cols>
    <col min="1" max="1" width="3" style="1" customWidth="1"/>
    <col min="2" max="2" width="4.453125" style="1" bestFit="1" customWidth="1"/>
    <col min="3" max="3" width="36.81640625" style="1" customWidth="1"/>
    <col min="4" max="4" width="15.1796875" style="1" customWidth="1"/>
    <col min="5" max="5" width="16" style="1" customWidth="1"/>
    <col min="6" max="7" width="14.81640625" style="1" customWidth="1"/>
    <col min="8" max="9" width="16" style="1" customWidth="1"/>
    <col min="10" max="10" width="15.54296875" style="1" customWidth="1"/>
    <col min="11" max="11" width="17.54296875" style="1" customWidth="1"/>
    <col min="12" max="12" width="20" style="1" bestFit="1" customWidth="1"/>
    <col min="13" max="13" width="21" style="1" bestFit="1" customWidth="1"/>
    <col min="14" max="14" width="15.1796875" style="1" customWidth="1"/>
    <col min="15" max="15" width="16.81640625" style="1" customWidth="1"/>
    <col min="16" max="16" width="3.81640625" style="1" customWidth="1"/>
    <col min="17" max="17" width="2.81640625" style="1" customWidth="1"/>
    <col min="18" max="18" width="4.54296875" style="1" customWidth="1"/>
    <col min="19" max="19" width="11.1796875" style="1" customWidth="1"/>
    <col min="20" max="20" width="37.54296875" style="1" bestFit="1" customWidth="1"/>
    <col min="21" max="21" width="19.1796875" style="1" customWidth="1"/>
    <col min="22" max="22" width="17.81640625" style="1" customWidth="1"/>
    <col min="23" max="23" width="16.453125" style="1" customWidth="1"/>
    <col min="24" max="24" width="17.1796875" style="1" customWidth="1"/>
    <col min="25" max="25" width="15.81640625" style="1" customWidth="1"/>
    <col min="26" max="26" width="16" style="1" customWidth="1"/>
    <col min="27" max="27" width="15" style="1" customWidth="1"/>
    <col min="28" max="29" width="16.81640625" style="1" customWidth="1"/>
    <col min="30" max="31" width="15.453125" style="1" customWidth="1"/>
    <col min="32" max="32" width="16.1796875" style="1" customWidth="1"/>
    <col min="33" max="33" width="18.1796875" style="1" customWidth="1"/>
    <col min="34" max="34" width="13.81640625" style="1" customWidth="1"/>
    <col min="35" max="35" width="3.453125" style="1" customWidth="1"/>
    <col min="36" max="36" width="13.81640625" style="1" bestFit="1" customWidth="1"/>
    <col min="37" max="16384" width="11.453125" style="1"/>
  </cols>
  <sheetData>
    <row r="1" spans="2:35" ht="12" thickBot="1" x14ac:dyDescent="0.3">
      <c r="Q1" s="4"/>
      <c r="AI1" s="4"/>
    </row>
    <row r="2" spans="2:35" x14ac:dyDescent="0.25">
      <c r="B2" s="5"/>
      <c r="C2" s="3" t="s">
        <v>1</v>
      </c>
      <c r="D2" s="6" t="s">
        <v>1</v>
      </c>
      <c r="E2" s="3"/>
      <c r="F2" s="3"/>
      <c r="G2" s="3"/>
      <c r="H2" s="3" t="s">
        <v>1</v>
      </c>
      <c r="I2" s="3"/>
      <c r="J2" s="3"/>
      <c r="K2" s="3"/>
      <c r="L2" s="3"/>
      <c r="M2" s="3"/>
      <c r="N2" s="3"/>
      <c r="O2" s="7"/>
      <c r="P2" s="2"/>
      <c r="Q2" s="4"/>
      <c r="S2" s="5"/>
      <c r="T2" s="3" t="s">
        <v>1</v>
      </c>
      <c r="U2" s="6" t="s">
        <v>1</v>
      </c>
      <c r="V2" s="3"/>
      <c r="W2" s="3"/>
      <c r="X2" s="3" t="s">
        <v>1</v>
      </c>
      <c r="Y2" s="3"/>
      <c r="Z2" s="3"/>
      <c r="AA2" s="3"/>
      <c r="AB2" s="3"/>
      <c r="AC2" s="3"/>
      <c r="AD2" s="3"/>
      <c r="AE2" s="3"/>
      <c r="AF2" s="7"/>
      <c r="AG2" s="2"/>
      <c r="AI2" s="4"/>
    </row>
    <row r="3" spans="2:35" ht="14" x14ac:dyDescent="0.3">
      <c r="B3" s="8"/>
      <c r="F3" s="26" t="s">
        <v>8</v>
      </c>
      <c r="G3" s="26"/>
      <c r="I3" s="26" t="s">
        <v>16</v>
      </c>
      <c r="J3" s="25"/>
      <c r="M3" s="2" t="s">
        <v>15</v>
      </c>
      <c r="N3" s="50">
        <f>'CONSOLIDADO_TOTAL RECAUDO'!N3</f>
        <v>2026072</v>
      </c>
      <c r="O3" s="10"/>
      <c r="P3" s="2"/>
      <c r="Q3" s="4"/>
      <c r="S3" s="8"/>
      <c r="U3" s="26" t="s">
        <v>8</v>
      </c>
      <c r="W3" s="26" t="s">
        <v>16</v>
      </c>
      <c r="X3" s="25"/>
      <c r="Y3" s="2"/>
      <c r="AA3" s="2" t="s">
        <v>15</v>
      </c>
      <c r="AD3" s="84">
        <f>N3</f>
        <v>2026072</v>
      </c>
      <c r="AE3" s="84"/>
      <c r="AF3" s="48"/>
      <c r="AG3" s="2"/>
      <c r="AI3" s="4"/>
    </row>
    <row r="4" spans="2:35" ht="15.5" x14ac:dyDescent="0.35">
      <c r="B4" s="8"/>
      <c r="F4" s="36" t="s">
        <v>29</v>
      </c>
      <c r="G4" s="36"/>
      <c r="O4" s="10"/>
      <c r="P4" s="2"/>
      <c r="Q4" s="4"/>
      <c r="S4" s="8"/>
      <c r="T4" s="26" t="s">
        <v>1</v>
      </c>
      <c r="U4" s="36" t="s">
        <v>29</v>
      </c>
      <c r="Y4" s="2" t="s">
        <v>1</v>
      </c>
      <c r="AA4" s="50" t="s">
        <v>1</v>
      </c>
      <c r="AB4" s="2"/>
      <c r="AC4" s="2"/>
      <c r="AD4" s="2"/>
      <c r="AE4" s="2"/>
      <c r="AF4" s="10" t="s">
        <v>1</v>
      </c>
      <c r="AG4" s="2"/>
      <c r="AI4" s="4"/>
    </row>
    <row r="5" spans="2:35" ht="14" x14ac:dyDescent="0.3">
      <c r="B5" s="8"/>
      <c r="F5" s="2" t="s">
        <v>30</v>
      </c>
      <c r="G5" s="2"/>
      <c r="M5" s="2" t="s">
        <v>1</v>
      </c>
      <c r="O5" s="10"/>
      <c r="P5" s="2"/>
      <c r="Q5" s="4"/>
      <c r="S5" s="8"/>
      <c r="T5" s="49" t="s">
        <v>1</v>
      </c>
      <c r="U5" s="2" t="s">
        <v>30</v>
      </c>
      <c r="AF5" s="44"/>
      <c r="AG5" s="2"/>
      <c r="AI5" s="4"/>
    </row>
    <row r="6" spans="2:35" ht="15.5" x14ac:dyDescent="0.35">
      <c r="B6" s="8"/>
      <c r="C6" s="599" t="s">
        <v>17</v>
      </c>
      <c r="D6" s="9">
        <f>'CONSOLIDADO_TOTAL RECAUDO'!D6</f>
        <v>46238</v>
      </c>
      <c r="F6" s="41" t="s">
        <v>26</v>
      </c>
      <c r="G6" s="41"/>
      <c r="H6" s="2"/>
      <c r="J6" s="2"/>
      <c r="O6" s="10"/>
      <c r="P6" s="2"/>
      <c r="Q6" s="4"/>
      <c r="S6" s="8"/>
      <c r="T6" s="41" t="s">
        <v>1</v>
      </c>
      <c r="U6" s="41" t="s">
        <v>26</v>
      </c>
      <c r="V6" s="2"/>
      <c r="X6" s="2"/>
      <c r="Y6" s="2"/>
      <c r="AF6" s="48"/>
      <c r="AG6" s="2"/>
      <c r="AI6" s="4"/>
    </row>
    <row r="7" spans="2:35" ht="12" thickBot="1" x14ac:dyDescent="0.3">
      <c r="B7" s="8"/>
      <c r="C7" s="599" t="s">
        <v>0</v>
      </c>
      <c r="D7" s="241">
        <f>'CONSOLIDADO_TOTAL RECAUDO'!D7</f>
        <v>0.58333333333333337</v>
      </c>
      <c r="F7" s="2" t="s">
        <v>27</v>
      </c>
      <c r="G7" s="9">
        <f>'CONSOLIDADO_TOTAL RECAUDO'!G7</f>
        <v>46219</v>
      </c>
      <c r="J7" s="2" t="s">
        <v>28</v>
      </c>
      <c r="K7" s="9">
        <f>'CONSOLIDADO_TOTAL RECAUDO'!K7</f>
        <v>46234</v>
      </c>
      <c r="O7" s="10"/>
      <c r="P7" s="2"/>
      <c r="Q7" s="4"/>
      <c r="S7" s="8"/>
      <c r="U7" s="1" t="str">
        <f>F7</f>
        <v>Fecha Desde:</v>
      </c>
      <c r="V7" s="9">
        <f>G7</f>
        <v>46219</v>
      </c>
      <c r="W7" s="1" t="s">
        <v>1</v>
      </c>
      <c r="X7" s="1" t="str">
        <f>J7</f>
        <v>Feha Hasta:</v>
      </c>
      <c r="Y7" s="9">
        <f>K7</f>
        <v>46234</v>
      </c>
      <c r="Z7" s="1" t="s">
        <v>1</v>
      </c>
      <c r="AF7" s="48"/>
      <c r="AG7" s="2"/>
      <c r="AI7" s="4"/>
    </row>
    <row r="8" spans="2:35" ht="72" customHeight="1" thickBot="1" x14ac:dyDescent="0.3">
      <c r="B8" s="11" t="s">
        <v>3</v>
      </c>
      <c r="C8" s="27" t="s">
        <v>9</v>
      </c>
      <c r="D8" s="11" t="s">
        <v>4</v>
      </c>
      <c r="E8" s="12" t="s">
        <v>5</v>
      </c>
      <c r="F8" s="27" t="s">
        <v>6</v>
      </c>
      <c r="G8" s="27" t="s">
        <v>159</v>
      </c>
      <c r="H8" s="27" t="s">
        <v>18</v>
      </c>
      <c r="I8" s="12" t="s">
        <v>24</v>
      </c>
      <c r="J8" s="73" t="s">
        <v>19</v>
      </c>
      <c r="K8" s="29" t="s">
        <v>20</v>
      </c>
      <c r="L8" s="28" t="s">
        <v>21</v>
      </c>
      <c r="M8" s="39" t="s">
        <v>22</v>
      </c>
      <c r="N8" s="12" t="s">
        <v>7</v>
      </c>
      <c r="O8" s="39" t="s">
        <v>23</v>
      </c>
      <c r="P8" s="13"/>
      <c r="Q8" s="4"/>
      <c r="S8" s="11" t="s">
        <v>3</v>
      </c>
      <c r="T8" s="27" t="s">
        <v>9</v>
      </c>
      <c r="U8" s="162" t="s">
        <v>39</v>
      </c>
      <c r="V8" s="163" t="s">
        <v>40</v>
      </c>
      <c r="W8" s="163" t="s">
        <v>41</v>
      </c>
      <c r="X8" s="163" t="s">
        <v>42</v>
      </c>
      <c r="Y8" s="164" t="s">
        <v>43</v>
      </c>
      <c r="Z8" s="85" t="s">
        <v>21</v>
      </c>
      <c r="AA8" s="65" t="s">
        <v>46</v>
      </c>
      <c r="AB8" s="65" t="s">
        <v>7</v>
      </c>
      <c r="AC8" s="85" t="s">
        <v>168</v>
      </c>
      <c r="AD8" s="121" t="s">
        <v>107</v>
      </c>
      <c r="AE8" s="121" t="s">
        <v>226</v>
      </c>
      <c r="AF8" s="39" t="s">
        <v>23</v>
      </c>
      <c r="AG8" s="13"/>
      <c r="AI8" s="4"/>
    </row>
    <row r="9" spans="2:35" s="305" customFormat="1" x14ac:dyDescent="0.25">
      <c r="B9" s="303">
        <v>1</v>
      </c>
      <c r="C9" s="304" t="s">
        <v>10</v>
      </c>
      <c r="D9" s="291">
        <f>'Reporte Componentes R1'!F73</f>
        <v>779194409.36000013</v>
      </c>
      <c r="E9" s="292">
        <f>'Reporte Componentes R1'!G73</f>
        <v>96578112.579999998</v>
      </c>
      <c r="F9" s="292">
        <f>'Reporte Componentes R1'!H73</f>
        <v>54231897.5</v>
      </c>
      <c r="G9" s="292">
        <f>'Reporte Componentes R1'!I73</f>
        <v>28481235.82</v>
      </c>
      <c r="H9" s="292">
        <f>'Reporte Componentes R1'!J73</f>
        <v>51159574.100000001</v>
      </c>
      <c r="I9" s="292">
        <f>'Reporte Componentes R1'!K73</f>
        <v>1633496.93</v>
      </c>
      <c r="J9" s="288">
        <v>0</v>
      </c>
      <c r="K9" s="293">
        <f>D9-E9-F9-G9-H9-I9-J9</f>
        <v>547110092.43000007</v>
      </c>
      <c r="L9" s="294">
        <v>0</v>
      </c>
      <c r="M9" s="293">
        <f>K9-L9</f>
        <v>547110092.43000007</v>
      </c>
      <c r="N9" s="294">
        <f>'Reporte Componentes R1'!L73</f>
        <v>8760824.0099999998</v>
      </c>
      <c r="O9" s="293">
        <f>M9+N9</f>
        <v>555870916.44000006</v>
      </c>
      <c r="Q9" s="306"/>
      <c r="S9" s="303">
        <v>1</v>
      </c>
      <c r="T9" s="304" t="s">
        <v>10</v>
      </c>
      <c r="U9" s="307">
        <f>'Reporte Componentes R1'!M73</f>
        <v>14374091.91</v>
      </c>
      <c r="V9" s="308">
        <f>'Reporte Componentes R1'!N73</f>
        <v>17418029.010000002</v>
      </c>
      <c r="W9" s="308">
        <f>'Reporte Componentes R1'!O73</f>
        <v>81009034.189999998</v>
      </c>
      <c r="X9" s="308">
        <f>'Reporte Componentes R1'!P73</f>
        <v>263621283.74000001</v>
      </c>
      <c r="Y9" s="309">
        <f>'Reporte Componentes R1'!Q73</f>
        <v>2666149.21</v>
      </c>
      <c r="Z9" s="310">
        <f>L9*-1</f>
        <v>0</v>
      </c>
      <c r="AA9" s="311">
        <f>'Reporte Componentes R1'!R73+'Reporte Componentes R1'!V73+'Reporte Componentes R1'!U73</f>
        <v>-780.94</v>
      </c>
      <c r="AB9" s="294">
        <f>N9</f>
        <v>8760824.0099999998</v>
      </c>
      <c r="AC9" s="311">
        <f>'Reporte Componentes R1'!T73+'Reporte Componentes R1'!W73+'Reporte Componentes R1'!X73+'Reporte Componentes R1'!Y73+'Reporte Componentes R1'!Z73+'Reporte Componentes R1'!S73</f>
        <v>-2114.38</v>
      </c>
      <c r="AD9" s="291">
        <f>-J9+AE9</f>
        <v>168024399.69</v>
      </c>
      <c r="AE9" s="291">
        <f>'Reporte Componentes R1'!F74</f>
        <v>168024399.69</v>
      </c>
      <c r="AF9" s="313">
        <f>SUM(U9:AD9)</f>
        <v>555870916.44000006</v>
      </c>
      <c r="AG9" s="311">
        <f>(AF9-O9)</f>
        <v>0</v>
      </c>
      <c r="AH9" s="1" t="b">
        <f>INT(AG9)=0</f>
        <v>1</v>
      </c>
      <c r="AI9" s="306"/>
    </row>
    <row r="10" spans="2:35" s="305" customFormat="1" x14ac:dyDescent="0.25">
      <c r="B10" s="314">
        <v>2</v>
      </c>
      <c r="C10" s="315" t="s">
        <v>11</v>
      </c>
      <c r="D10" s="291">
        <f>'Reporte Componentes R1'!F226</f>
        <v>1317332077.6099999</v>
      </c>
      <c r="E10" s="292">
        <f>'Reporte Componentes R1'!G226</f>
        <v>174138863.09</v>
      </c>
      <c r="F10" s="292">
        <f>'Reporte Componentes R1'!H226</f>
        <v>97452521.459999993</v>
      </c>
      <c r="G10" s="292">
        <f>'Reporte Componentes R1'!I226</f>
        <v>51434122.149999999</v>
      </c>
      <c r="H10" s="292">
        <f>'Reporte Componentes R1'!J226</f>
        <v>200102039.23000002</v>
      </c>
      <c r="I10" s="292">
        <f>'Reporte Componentes R1'!K226</f>
        <v>5459981.3300000001</v>
      </c>
      <c r="J10" s="288">
        <v>0</v>
      </c>
      <c r="K10" s="295">
        <f t="shared" ref="K10:K13" si="0">D10-E10-F10-G10-H10-I10-J10</f>
        <v>788744550.3499999</v>
      </c>
      <c r="L10" s="294">
        <v>0</v>
      </c>
      <c r="M10" s="295">
        <f>K10-L10</f>
        <v>788744550.3499999</v>
      </c>
      <c r="N10" s="294">
        <f>'Reporte Componentes R1'!L226</f>
        <v>29180991.390000001</v>
      </c>
      <c r="O10" s="295">
        <f t="shared" ref="O10:O12" si="1">M10+N10</f>
        <v>817925541.73999989</v>
      </c>
      <c r="Q10" s="306"/>
      <c r="S10" s="314">
        <v>2</v>
      </c>
      <c r="T10" s="315" t="s">
        <v>11</v>
      </c>
      <c r="U10" s="316">
        <f>'Reporte Componentes R1'!M226</f>
        <v>47842952.129999995</v>
      </c>
      <c r="V10" s="317">
        <f>'Reporte Componentes R1'!N226</f>
        <v>66078855.299999997</v>
      </c>
      <c r="W10" s="317">
        <f>'Reporte Componentes R1'!O226</f>
        <v>304314267.79000002</v>
      </c>
      <c r="X10" s="317">
        <f>'Reporte Componentes R1'!P226</f>
        <v>346567700.09999996</v>
      </c>
      <c r="Y10" s="318">
        <f>'Reporte Componentes R1'!Q226</f>
        <v>8939603.1600000001</v>
      </c>
      <c r="Z10" s="319">
        <f>L10*-1</f>
        <v>0</v>
      </c>
      <c r="AA10" s="320">
        <f>'Reporte Componentes R1'!R226+'Reporte Componentes R1'!V226+'Reporte Componentes R1'!U226</f>
        <v>-3345.45</v>
      </c>
      <c r="AB10" s="294">
        <f>N10</f>
        <v>29180991.390000001</v>
      </c>
      <c r="AC10" s="320">
        <f>'Reporte Componentes R1'!T226+'Reporte Componentes R1'!W226+'Reporte Componentes R1'!X226+'Reporte Componentes R1'!Y226+'Reporte Componentes R1'!Z226+'Reporte Componentes R1'!S226</f>
        <v>-13.53</v>
      </c>
      <c r="AD10" s="291">
        <f t="shared" ref="AD10:AD13" si="2">-J10+AE10</f>
        <v>15004530.85</v>
      </c>
      <c r="AE10" s="291">
        <f>'Reporte Componentes R1'!F227</f>
        <v>15004530.85</v>
      </c>
      <c r="AF10" s="322">
        <f>SUM(U10:AD10)</f>
        <v>817925541.73999989</v>
      </c>
      <c r="AG10" s="323">
        <f>(AF10-O10)</f>
        <v>0</v>
      </c>
      <c r="AH10" s="1" t="b">
        <f t="shared" ref="AH10:AH14" si="3">INT(AG10)=0</f>
        <v>1</v>
      </c>
      <c r="AI10" s="306"/>
    </row>
    <row r="11" spans="2:35" s="305" customFormat="1" x14ac:dyDescent="0.25">
      <c r="B11" s="314">
        <v>3</v>
      </c>
      <c r="C11" s="315" t="s">
        <v>12</v>
      </c>
      <c r="D11" s="291">
        <f>'Reporte Componentes R1'!F363</f>
        <v>1229014628.26</v>
      </c>
      <c r="E11" s="292">
        <f>'Reporte Componentes R1'!G363</f>
        <v>167230330.67000002</v>
      </c>
      <c r="F11" s="292">
        <f>'Reporte Componentes R1'!H363</f>
        <v>93972472.179999992</v>
      </c>
      <c r="G11" s="292">
        <f>'Reporte Componentes R1'!I363</f>
        <v>49551756.759999998</v>
      </c>
      <c r="H11" s="292">
        <f>'Reporte Componentes R1'!J363</f>
        <v>36451248.549999997</v>
      </c>
      <c r="I11" s="292">
        <f>'Reporte Componentes R1'!K363</f>
        <v>1126893.08</v>
      </c>
      <c r="J11" s="288">
        <v>0</v>
      </c>
      <c r="K11" s="295">
        <f t="shared" si="0"/>
        <v>880681927.01999998</v>
      </c>
      <c r="L11" s="294">
        <v>0</v>
      </c>
      <c r="M11" s="295">
        <f>K11-L11</f>
        <v>880681927.01999998</v>
      </c>
      <c r="N11" s="294">
        <f>'Reporte Componentes R1'!L363</f>
        <v>1311387.82</v>
      </c>
      <c r="O11" s="295">
        <f t="shared" si="1"/>
        <v>881993314.84000003</v>
      </c>
      <c r="Q11" s="306"/>
      <c r="S11" s="314">
        <v>3</v>
      </c>
      <c r="T11" s="315" t="s">
        <v>12</v>
      </c>
      <c r="U11" s="316">
        <f>'Reporte Componentes R1'!M363</f>
        <v>9857217.8900000006</v>
      </c>
      <c r="V11" s="317">
        <f>'Reporte Componentes R1'!N363</f>
        <v>13264002.32</v>
      </c>
      <c r="W11" s="317">
        <f>'Reporte Componentes R1'!O363</f>
        <v>61942084.880000003</v>
      </c>
      <c r="X11" s="317">
        <f>'Reporte Componentes R1'!P363</f>
        <v>389042295.69999999</v>
      </c>
      <c r="Y11" s="318">
        <f>'Reporte Componentes R1'!Q363</f>
        <v>1840458.24</v>
      </c>
      <c r="Z11" s="319">
        <f>L11*-1</f>
        <v>0</v>
      </c>
      <c r="AA11" s="320">
        <f>'Reporte Componentes R1'!R363+'Reporte Componentes R1'!V363+'Reporte Componentes R1'!U363</f>
        <v>-1003.46</v>
      </c>
      <c r="AB11" s="294">
        <f>N11</f>
        <v>1311387.82</v>
      </c>
      <c r="AC11" s="320">
        <f>'Reporte Componentes R1'!T363+'Reporte Componentes R1'!W363+'Reporte Componentes R1'!X363+'Reporte Componentes R1'!Y363+'Reporte Componentes R1'!Z363+'Reporte Componentes R1'!S363</f>
        <v>-11886.56</v>
      </c>
      <c r="AD11" s="291">
        <f t="shared" si="2"/>
        <v>404748758.00999999</v>
      </c>
      <c r="AE11" s="291">
        <f>'Reporte Componentes R1'!F364</f>
        <v>404748758.00999999</v>
      </c>
      <c r="AF11" s="322">
        <f t="shared" ref="AF11:AF13" si="4">SUM(U11:AD11)</f>
        <v>881993314.83999991</v>
      </c>
      <c r="AG11" s="323">
        <f>(AF11-O11)</f>
        <v>-1.1920928955078125E-7</v>
      </c>
      <c r="AH11" s="1" t="b">
        <f t="shared" si="3"/>
        <v>0</v>
      </c>
      <c r="AI11" s="306"/>
    </row>
    <row r="12" spans="2:35" s="305" customFormat="1" x14ac:dyDescent="0.25">
      <c r="B12" s="314">
        <v>4</v>
      </c>
      <c r="C12" s="315" t="s">
        <v>13</v>
      </c>
      <c r="D12" s="291">
        <f>'Reporte Componentes R1'!F488</f>
        <v>457088264.26000005</v>
      </c>
      <c r="E12" s="292">
        <f>'Reporte Componentes R1'!G488</f>
        <v>51981760.799999997</v>
      </c>
      <c r="F12" s="292">
        <f>'Reporte Componentes R1'!H488</f>
        <v>28598318.150000002</v>
      </c>
      <c r="G12" s="292">
        <f>'Reporte Componentes R1'!I488</f>
        <v>14625062.6</v>
      </c>
      <c r="H12" s="292">
        <f>'Reporte Componentes R1'!J488</f>
        <v>53207476.460000001</v>
      </c>
      <c r="I12" s="292">
        <f>'Reporte Componentes R1'!K488</f>
        <v>1736150.0799999998</v>
      </c>
      <c r="J12" s="288">
        <v>0</v>
      </c>
      <c r="K12" s="295">
        <f t="shared" si="0"/>
        <v>306939496.17000008</v>
      </c>
      <c r="L12" s="294">
        <v>0</v>
      </c>
      <c r="M12" s="295">
        <f>K12-L12</f>
        <v>306939496.17000008</v>
      </c>
      <c r="N12" s="294">
        <f>'Reporte Componentes R1'!L488</f>
        <v>14919457.4</v>
      </c>
      <c r="O12" s="295">
        <f t="shared" si="1"/>
        <v>321858953.57000005</v>
      </c>
      <c r="Q12" s="306"/>
      <c r="S12" s="314">
        <v>4</v>
      </c>
      <c r="T12" s="315" t="s">
        <v>13</v>
      </c>
      <c r="U12" s="316">
        <f>'Reporte Componentes R1'!M488</f>
        <v>16813135.419999998</v>
      </c>
      <c r="V12" s="317">
        <f>'Reporte Componentes R1'!N488</f>
        <v>20989387.699999999</v>
      </c>
      <c r="W12" s="317">
        <f>'Reporte Componentes R1'!O488</f>
        <v>102824114.90000001</v>
      </c>
      <c r="X12" s="317">
        <f>'Reporte Componentes R1'!P488</f>
        <v>137777185.92000002</v>
      </c>
      <c r="Y12" s="318">
        <f>'Reporte Componentes R1'!Q488</f>
        <v>2838005.5900000003</v>
      </c>
      <c r="Z12" s="319">
        <f>L12*-1</f>
        <v>0</v>
      </c>
      <c r="AA12" s="320">
        <f>'Reporte Componentes R1'!R488+'Reporte Componentes R1'!V488+'Reporte Componentes R1'!U488</f>
        <v>576.65</v>
      </c>
      <c r="AB12" s="294">
        <f>N12</f>
        <v>14919457.4</v>
      </c>
      <c r="AC12" s="320">
        <f>'Reporte Componentes R1'!T488+'Reporte Componentes R1'!W488+'Reporte Componentes R1'!X488+'Reporte Componentes R1'!Y488+'Reporte Componentes R1'!Z488+'Reporte Componentes R1'!S488</f>
        <v>-80.570000000000007</v>
      </c>
      <c r="AD12" s="291">
        <f t="shared" si="2"/>
        <v>25697170.559999999</v>
      </c>
      <c r="AE12" s="291">
        <f>'Reporte Componentes R1'!F489</f>
        <v>25697170.559999999</v>
      </c>
      <c r="AF12" s="322">
        <f t="shared" si="4"/>
        <v>321858953.56999999</v>
      </c>
      <c r="AG12" s="323">
        <f>(AF12-O12)</f>
        <v>-5.9604644775390625E-8</v>
      </c>
      <c r="AH12" s="1" t="b">
        <f t="shared" si="3"/>
        <v>0</v>
      </c>
      <c r="AI12" s="306"/>
    </row>
    <row r="13" spans="2:35" s="305" customFormat="1" ht="12" thickBot="1" x14ac:dyDescent="0.3">
      <c r="B13" s="324">
        <v>5</v>
      </c>
      <c r="C13" s="325" t="s">
        <v>14</v>
      </c>
      <c r="D13" s="296">
        <f>'Reporte Componentes R1'!F578</f>
        <v>304989620.81</v>
      </c>
      <c r="E13" s="297">
        <f>'Reporte Componentes R1'!G578</f>
        <v>30071357.300000001</v>
      </c>
      <c r="F13" s="297">
        <f>'Reporte Componentes R1'!H578</f>
        <v>16806729.760000002</v>
      </c>
      <c r="G13" s="297">
        <f>'Reporte Componentes R1'!I578</f>
        <v>8826816.3499999996</v>
      </c>
      <c r="H13" s="297">
        <f>'Reporte Componentes R1'!J578</f>
        <v>17081891.02</v>
      </c>
      <c r="I13" s="297">
        <f>'Reporte Componentes R1'!K578</f>
        <v>809348.07</v>
      </c>
      <c r="J13" s="289">
        <v>0</v>
      </c>
      <c r="K13" s="295">
        <f t="shared" si="0"/>
        <v>231393478.31</v>
      </c>
      <c r="L13" s="294">
        <v>0</v>
      </c>
      <c r="M13" s="298">
        <f>K13-L13</f>
        <v>231393478.31</v>
      </c>
      <c r="N13" s="299">
        <f>'Reporte Componentes R1'!L578</f>
        <v>5904652.2300000004</v>
      </c>
      <c r="O13" s="298">
        <f>M13+N13</f>
        <v>237298130.53999999</v>
      </c>
      <c r="Q13" s="306"/>
      <c r="S13" s="324">
        <v>5</v>
      </c>
      <c r="T13" s="325" t="s">
        <v>14</v>
      </c>
      <c r="U13" s="296">
        <f>'Reporte Componentes R1'!M578</f>
        <v>7092178.5</v>
      </c>
      <c r="V13" s="297">
        <f>'Reporte Componentes R1'!N578</f>
        <v>8479028.6799999997</v>
      </c>
      <c r="W13" s="297">
        <f>'Reporte Componentes R1'!O578</f>
        <v>43405202.43</v>
      </c>
      <c r="X13" s="297">
        <f>'Reporte Componentes R1'!P578</f>
        <v>89395442.060000002</v>
      </c>
      <c r="Y13" s="289">
        <f>'Reporte Componentes R1'!Q578</f>
        <v>1330478.28</v>
      </c>
      <c r="Z13" s="319">
        <f>L13*-1</f>
        <v>0</v>
      </c>
      <c r="AA13" s="320">
        <f>'Reporte Componentes R1'!R578+'Reporte Componentes R1'!V578+'Reporte Componentes R1'!U578</f>
        <v>-673.41</v>
      </c>
      <c r="AB13" s="294">
        <f>N13</f>
        <v>5904652.2300000004</v>
      </c>
      <c r="AC13" s="320">
        <f>'Reporte Componentes R1'!T578+'Reporte Componentes R1'!W578+'Reporte Componentes R1'!X578+'Reporte Componentes R1'!Y578+'Reporte Componentes R1'!Z578+'Reporte Componentes R1'!S578</f>
        <v>0.35000000000000003</v>
      </c>
      <c r="AD13" s="291">
        <f t="shared" si="2"/>
        <v>81691821.420000002</v>
      </c>
      <c r="AE13" s="291">
        <f>'Reporte Componentes R1'!F579</f>
        <v>81691821.420000002</v>
      </c>
      <c r="AF13" s="322">
        <f t="shared" si="4"/>
        <v>237298130.54000002</v>
      </c>
      <c r="AG13" s="326">
        <f>(AF13-O13)</f>
        <v>2.9802322387695313E-8</v>
      </c>
      <c r="AH13" s="1" t="b">
        <f t="shared" si="3"/>
        <v>1</v>
      </c>
      <c r="AI13" s="306"/>
    </row>
    <row r="14" spans="2:35" s="305" customFormat="1" ht="13.5" thickBot="1" x14ac:dyDescent="0.35">
      <c r="B14" s="327"/>
      <c r="C14" s="328" t="s">
        <v>2</v>
      </c>
      <c r="D14" s="290">
        <f>SUM(D9:D13)</f>
        <v>4087619000.3000002</v>
      </c>
      <c r="E14" s="290">
        <f t="shared" ref="E14:O14" si="5">SUM(E9:E13)</f>
        <v>520000424.44000006</v>
      </c>
      <c r="F14" s="290">
        <f t="shared" si="5"/>
        <v>291061939.04999995</v>
      </c>
      <c r="G14" s="290">
        <f t="shared" si="5"/>
        <v>152918993.67999998</v>
      </c>
      <c r="H14" s="290">
        <f t="shared" si="5"/>
        <v>358002229.35999995</v>
      </c>
      <c r="I14" s="290">
        <f t="shared" si="5"/>
        <v>10765869.49</v>
      </c>
      <c r="J14" s="290">
        <f t="shared" si="5"/>
        <v>0</v>
      </c>
      <c r="K14" s="300">
        <f t="shared" si="5"/>
        <v>2754869544.2800002</v>
      </c>
      <c r="L14" s="301">
        <f>SUM(L9:L13)</f>
        <v>0</v>
      </c>
      <c r="M14" s="302">
        <f t="shared" si="5"/>
        <v>2754869544.2800002</v>
      </c>
      <c r="N14" s="301">
        <f t="shared" si="5"/>
        <v>60077312.849999994</v>
      </c>
      <c r="O14" s="302">
        <f t="shared" si="5"/>
        <v>2814946857.1300001</v>
      </c>
      <c r="P14" s="329"/>
      <c r="Q14" s="306"/>
      <c r="S14" s="327"/>
      <c r="T14" s="328" t="s">
        <v>2</v>
      </c>
      <c r="U14" s="330">
        <f>SUM(U9:U13)</f>
        <v>95979575.849999994</v>
      </c>
      <c r="V14" s="330">
        <f t="shared" ref="V14:AF14" si="6">SUM(V9:V13)</f>
        <v>126229303.00999999</v>
      </c>
      <c r="W14" s="330">
        <f t="shared" si="6"/>
        <v>593494704.18999994</v>
      </c>
      <c r="X14" s="330">
        <f t="shared" si="6"/>
        <v>1226403907.52</v>
      </c>
      <c r="Y14" s="330">
        <f t="shared" si="6"/>
        <v>17614694.48</v>
      </c>
      <c r="Z14" s="290">
        <f t="shared" si="6"/>
        <v>0</v>
      </c>
      <c r="AA14" s="290">
        <f t="shared" si="6"/>
        <v>-5226.6099999999997</v>
      </c>
      <c r="AB14" s="290">
        <f t="shared" si="6"/>
        <v>60077312.849999994</v>
      </c>
      <c r="AC14" s="290">
        <f t="shared" si="6"/>
        <v>-14094.689999999999</v>
      </c>
      <c r="AD14" s="290">
        <f>SUM(AD9:AD13)</f>
        <v>695166680.52999985</v>
      </c>
      <c r="AE14" s="290">
        <f>SUM(AE9:AE13)</f>
        <v>695166680.52999985</v>
      </c>
      <c r="AF14" s="331">
        <f t="shared" si="6"/>
        <v>2814946857.1299996</v>
      </c>
      <c r="AG14" s="332">
        <f>SUM(AG9:AG13)</f>
        <v>-1.4901161193847656E-7</v>
      </c>
      <c r="AH14" s="1" t="b">
        <f t="shared" si="3"/>
        <v>0</v>
      </c>
      <c r="AI14" s="306"/>
    </row>
    <row r="15" spans="2:35" ht="12" thickBot="1" x14ac:dyDescent="0.3">
      <c r="B15" s="2"/>
      <c r="C15" s="2"/>
      <c r="D15" s="24"/>
      <c r="E15" s="24"/>
      <c r="F15" s="24"/>
      <c r="G15" s="24"/>
      <c r="H15" s="24"/>
      <c r="I15" s="24"/>
      <c r="K15" s="24"/>
      <c r="L15" s="24"/>
      <c r="M15" s="24"/>
      <c r="N15" s="24"/>
      <c r="O15" s="24"/>
      <c r="Q15" s="4"/>
      <c r="S15" s="2"/>
      <c r="T15" s="2"/>
      <c r="U15" s="24"/>
      <c r="V15" s="24"/>
      <c r="W15" s="24"/>
      <c r="X15" s="24"/>
      <c r="Y15" s="24"/>
      <c r="AF15" s="24"/>
      <c r="AI15" s="4"/>
    </row>
    <row r="16" spans="2:35" ht="12" thickBot="1" x14ac:dyDescent="0.3">
      <c r="B16" s="2"/>
      <c r="C16" s="2"/>
      <c r="D16" s="24"/>
      <c r="E16" s="24" t="s">
        <v>1</v>
      </c>
      <c r="F16" s="24" t="s">
        <v>1</v>
      </c>
      <c r="G16" s="24"/>
      <c r="H16" s="24" t="s">
        <v>1</v>
      </c>
      <c r="I16" s="24" t="s">
        <v>1</v>
      </c>
      <c r="K16" s="24"/>
      <c r="L16" s="24" t="s">
        <v>1</v>
      </c>
      <c r="M16" s="24"/>
      <c r="N16" s="24"/>
      <c r="O16" s="24"/>
      <c r="Q16" s="4"/>
      <c r="Y16" s="86">
        <f>SUM(U14:Y14)</f>
        <v>2059722185.05</v>
      </c>
      <c r="AA16" s="1" t="s">
        <v>1</v>
      </c>
      <c r="AB16" s="1" t="s">
        <v>1</v>
      </c>
      <c r="AD16" s="1" t="s">
        <v>1</v>
      </c>
      <c r="AF16" s="1" t="s">
        <v>1</v>
      </c>
      <c r="AI16" s="4"/>
    </row>
    <row r="17" spans="1:35" ht="12" thickBot="1" x14ac:dyDescent="0.3">
      <c r="B17" s="2"/>
      <c r="C17" s="2"/>
      <c r="D17" s="24" t="s">
        <v>1</v>
      </c>
      <c r="E17" s="33"/>
      <c r="F17" s="33"/>
      <c r="G17" s="33"/>
      <c r="H17" s="33"/>
      <c r="I17" s="24" t="s">
        <v>1</v>
      </c>
      <c r="K17" s="24"/>
      <c r="L17" s="24" t="s">
        <v>1</v>
      </c>
      <c r="M17" s="24"/>
      <c r="N17" s="24"/>
      <c r="O17" s="24"/>
      <c r="Q17" s="4"/>
      <c r="AI17" s="4"/>
    </row>
    <row r="18" spans="1:35" x14ac:dyDescent="0.25">
      <c r="B18" s="2"/>
      <c r="C18" s="2"/>
      <c r="D18" s="24" t="s">
        <v>1</v>
      </c>
      <c r="E18" s="24" t="s">
        <v>1</v>
      </c>
      <c r="F18" s="24" t="s">
        <v>25</v>
      </c>
      <c r="G18" s="24"/>
      <c r="H18" s="24"/>
      <c r="I18" s="24"/>
      <c r="K18" s="24"/>
      <c r="L18" s="24"/>
      <c r="M18" s="24"/>
      <c r="N18" s="24"/>
      <c r="O18" s="24"/>
      <c r="Q18" s="4"/>
      <c r="AI18" s="4"/>
    </row>
    <row r="19" spans="1:35" x14ac:dyDescent="0.25">
      <c r="A19" s="4"/>
      <c r="B19" s="34"/>
      <c r="C19" s="34"/>
      <c r="D19" s="35"/>
      <c r="E19" s="35"/>
      <c r="F19" s="35"/>
      <c r="G19" s="35"/>
      <c r="H19" s="35"/>
      <c r="I19" s="35"/>
      <c r="J19" s="4"/>
      <c r="K19" s="35"/>
      <c r="L19" s="35"/>
      <c r="M19" s="35"/>
      <c r="N19" s="35"/>
      <c r="O19" s="35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  <c r="AE19" s="4"/>
      <c r="AF19" s="4"/>
      <c r="AG19" s="4"/>
      <c r="AH19" s="4"/>
      <c r="AI19" s="4"/>
    </row>
    <row r="20" spans="1:35" ht="12" thickBot="1" x14ac:dyDescent="0.3">
      <c r="Q20" s="4"/>
      <c r="AI20" s="4"/>
    </row>
    <row r="21" spans="1:35" x14ac:dyDescent="0.25">
      <c r="B21" s="5"/>
      <c r="C21" s="3" t="s">
        <v>1</v>
      </c>
      <c r="D21" s="6" t="s">
        <v>1</v>
      </c>
      <c r="E21" s="3"/>
      <c r="F21" s="3"/>
      <c r="G21" s="3"/>
      <c r="H21" s="3" t="s">
        <v>1</v>
      </c>
      <c r="I21" s="3"/>
      <c r="J21" s="3"/>
      <c r="K21" s="3"/>
      <c r="L21" s="3"/>
      <c r="M21" s="3"/>
      <c r="N21" s="3"/>
      <c r="O21" s="7"/>
      <c r="P21" s="2"/>
      <c r="Q21" s="4"/>
      <c r="S21" s="5"/>
      <c r="T21" s="3" t="s">
        <v>1</v>
      </c>
      <c r="U21" s="6" t="s">
        <v>1</v>
      </c>
      <c r="V21" s="3"/>
      <c r="W21" s="3"/>
      <c r="X21" s="3" t="s">
        <v>1</v>
      </c>
      <c r="Y21" s="3"/>
      <c r="Z21" s="3"/>
      <c r="AA21" s="3"/>
      <c r="AB21" s="3"/>
      <c r="AC21" s="3"/>
      <c r="AD21" s="3"/>
      <c r="AE21" s="3"/>
      <c r="AF21" s="7"/>
      <c r="AG21" s="2"/>
      <c r="AI21" s="4"/>
    </row>
    <row r="22" spans="1:35" ht="14" x14ac:dyDescent="0.3">
      <c r="B22" s="8"/>
      <c r="F22" s="26" t="s">
        <v>8</v>
      </c>
      <c r="G22" s="26"/>
      <c r="I22" s="26" t="s">
        <v>16</v>
      </c>
      <c r="J22" s="25"/>
      <c r="M22" s="2" t="s">
        <v>15</v>
      </c>
      <c r="N22" s="50">
        <f>N3</f>
        <v>2026072</v>
      </c>
      <c r="O22" s="10"/>
      <c r="P22" s="2"/>
      <c r="Q22" s="4"/>
      <c r="S22" s="8"/>
      <c r="U22" s="26" t="s">
        <v>8</v>
      </c>
      <c r="W22" s="26" t="s">
        <v>16</v>
      </c>
      <c r="X22" s="25"/>
      <c r="Y22" s="2"/>
      <c r="AA22" s="2" t="s">
        <v>15</v>
      </c>
      <c r="AD22" s="84">
        <f>N22</f>
        <v>2026072</v>
      </c>
      <c r="AE22" s="84"/>
      <c r="AF22" s="48"/>
      <c r="AG22" s="2"/>
      <c r="AI22" s="4"/>
    </row>
    <row r="23" spans="1:35" ht="15.5" x14ac:dyDescent="0.35">
      <c r="B23" s="8"/>
      <c r="F23" s="36" t="s">
        <v>29</v>
      </c>
      <c r="G23" s="36"/>
      <c r="O23" s="10"/>
      <c r="P23" s="2"/>
      <c r="Q23" s="4"/>
      <c r="S23" s="8"/>
      <c r="T23" s="26" t="s">
        <v>1</v>
      </c>
      <c r="U23" s="36" t="s">
        <v>29</v>
      </c>
      <c r="Y23" s="2" t="s">
        <v>1</v>
      </c>
      <c r="AA23" s="50" t="s">
        <v>1</v>
      </c>
      <c r="AB23" s="2"/>
      <c r="AC23" s="2"/>
      <c r="AD23" s="2"/>
      <c r="AE23" s="2"/>
      <c r="AF23" s="10" t="s">
        <v>1</v>
      </c>
      <c r="AG23" s="2"/>
      <c r="AI23" s="4"/>
    </row>
    <row r="24" spans="1:35" ht="14" x14ac:dyDescent="0.3">
      <c r="B24" s="8"/>
      <c r="F24" s="2" t="s">
        <v>30</v>
      </c>
      <c r="G24" s="2"/>
      <c r="M24" s="2" t="s">
        <v>1</v>
      </c>
      <c r="O24" s="10"/>
      <c r="P24" s="2"/>
      <c r="Q24" s="4"/>
      <c r="S24" s="8"/>
      <c r="T24" s="49" t="s">
        <v>1</v>
      </c>
      <c r="U24" s="2" t="s">
        <v>30</v>
      </c>
      <c r="AF24" s="44"/>
      <c r="AG24" s="2"/>
      <c r="AI24" s="4"/>
    </row>
    <row r="25" spans="1:35" ht="15.5" x14ac:dyDescent="0.35">
      <c r="B25" s="8"/>
      <c r="C25" s="599" t="s">
        <v>17</v>
      </c>
      <c r="D25" s="9">
        <f>D6</f>
        <v>46238</v>
      </c>
      <c r="F25" s="41" t="s">
        <v>31</v>
      </c>
      <c r="G25" s="41"/>
      <c r="H25" s="2"/>
      <c r="J25" s="2"/>
      <c r="O25" s="10"/>
      <c r="P25" s="2"/>
      <c r="Q25" s="4"/>
      <c r="S25" s="8"/>
      <c r="T25" s="41" t="s">
        <v>1</v>
      </c>
      <c r="U25" s="41" t="s">
        <v>31</v>
      </c>
      <c r="V25" s="2"/>
      <c r="X25" s="2"/>
      <c r="Y25" s="2"/>
      <c r="AF25" s="48"/>
      <c r="AG25" s="2"/>
      <c r="AI25" s="4"/>
    </row>
    <row r="26" spans="1:35" ht="12" thickBot="1" x14ac:dyDescent="0.3">
      <c r="B26" s="8"/>
      <c r="C26" s="599" t="s">
        <v>0</v>
      </c>
      <c r="D26" s="241">
        <f>D7</f>
        <v>0.58333333333333337</v>
      </c>
      <c r="F26" s="2" t="s">
        <v>27</v>
      </c>
      <c r="G26" s="9">
        <f>G7</f>
        <v>46219</v>
      </c>
      <c r="J26" s="2" t="s">
        <v>28</v>
      </c>
      <c r="K26" s="9">
        <f>K7</f>
        <v>46234</v>
      </c>
      <c r="O26" s="10"/>
      <c r="P26" s="2"/>
      <c r="Q26" s="4"/>
      <c r="S26" s="8"/>
      <c r="U26" s="1" t="str">
        <f>F26</f>
        <v>Fecha Desde:</v>
      </c>
      <c r="V26" s="9">
        <f>G26</f>
        <v>46219</v>
      </c>
      <c r="W26" s="1" t="s">
        <v>1</v>
      </c>
      <c r="X26" s="1" t="str">
        <f>J26</f>
        <v>Feha Hasta:</v>
      </c>
      <c r="Y26" s="9">
        <f>K26</f>
        <v>46234</v>
      </c>
      <c r="Z26" s="1" t="s">
        <v>1</v>
      </c>
      <c r="AF26" s="48"/>
      <c r="AG26" s="2"/>
      <c r="AI26" s="4"/>
    </row>
    <row r="27" spans="1:35" ht="72" customHeight="1" thickBot="1" x14ac:dyDescent="0.3">
      <c r="B27" s="11" t="s">
        <v>3</v>
      </c>
      <c r="C27" s="27" t="s">
        <v>9</v>
      </c>
      <c r="D27" s="11" t="s">
        <v>4</v>
      </c>
      <c r="E27" s="12" t="s">
        <v>5</v>
      </c>
      <c r="F27" s="27" t="s">
        <v>6</v>
      </c>
      <c r="G27" s="27" t="s">
        <v>159</v>
      </c>
      <c r="H27" s="27" t="s">
        <v>18</v>
      </c>
      <c r="I27" s="12" t="s">
        <v>24</v>
      </c>
      <c r="J27" s="73" t="s">
        <v>19</v>
      </c>
      <c r="K27" s="29" t="s">
        <v>20</v>
      </c>
      <c r="L27" s="28" t="s">
        <v>21</v>
      </c>
      <c r="M27" s="39" t="s">
        <v>22</v>
      </c>
      <c r="N27" s="12" t="s">
        <v>7</v>
      </c>
      <c r="O27" s="39" t="s">
        <v>23</v>
      </c>
      <c r="P27" s="13"/>
      <c r="Q27" s="4"/>
      <c r="S27" s="11" t="s">
        <v>3</v>
      </c>
      <c r="T27" s="27" t="s">
        <v>9</v>
      </c>
      <c r="U27" s="162" t="s">
        <v>39</v>
      </c>
      <c r="V27" s="163" t="s">
        <v>40</v>
      </c>
      <c r="W27" s="163" t="s">
        <v>41</v>
      </c>
      <c r="X27" s="163" t="s">
        <v>42</v>
      </c>
      <c r="Y27" s="164" t="s">
        <v>43</v>
      </c>
      <c r="Z27" s="85" t="s">
        <v>21</v>
      </c>
      <c r="AA27" s="65" t="s">
        <v>46</v>
      </c>
      <c r="AB27" s="65" t="s">
        <v>7</v>
      </c>
      <c r="AC27" s="85" t="s">
        <v>168</v>
      </c>
      <c r="AD27" s="121" t="s">
        <v>107</v>
      </c>
      <c r="AE27" s="121" t="s">
        <v>226</v>
      </c>
      <c r="AF27" s="39" t="s">
        <v>23</v>
      </c>
      <c r="AG27" s="13"/>
      <c r="AI27" s="4"/>
    </row>
    <row r="28" spans="1:35" s="305" customFormat="1" x14ac:dyDescent="0.25">
      <c r="B28" s="303">
        <v>1</v>
      </c>
      <c r="C28" s="304" t="s">
        <v>10</v>
      </c>
      <c r="D28" s="291">
        <f>'Rem. Anticipos R2'!E55</f>
        <v>28857410.600000001</v>
      </c>
      <c r="E28" s="292">
        <f>'Rem. Anticipos R2'!F55</f>
        <v>2663940.84</v>
      </c>
      <c r="F28" s="292">
        <f>'Rem. Anticipos R2'!G55</f>
        <v>1501142.3</v>
      </c>
      <c r="G28" s="292">
        <f>'Rem. Anticipos R2'!H55</f>
        <v>893398.02</v>
      </c>
      <c r="H28" s="292">
        <f>'Rem. Anticipos R2'!I55</f>
        <v>2727207.12</v>
      </c>
      <c r="I28" s="292">
        <f>'Rem. Anticipos R2'!J55</f>
        <v>79662.820000000007</v>
      </c>
      <c r="J28" s="288">
        <v>0</v>
      </c>
      <c r="K28" s="293">
        <f>D28-E28-F28-G28-H28-I28-J28</f>
        <v>20992059.5</v>
      </c>
      <c r="L28" s="294">
        <v>0</v>
      </c>
      <c r="M28" s="293">
        <f>K28-L28</f>
        <v>20992059.5</v>
      </c>
      <c r="N28" s="294">
        <f>'Rem. Anticipos R2'!K55</f>
        <v>0</v>
      </c>
      <c r="O28" s="293">
        <f>M28+N28</f>
        <v>20992059.5</v>
      </c>
      <c r="Q28" s="306"/>
      <c r="S28" s="303">
        <v>1</v>
      </c>
      <c r="T28" s="304" t="s">
        <v>10</v>
      </c>
      <c r="U28" s="307">
        <f>'Rem. Anticipos R2'!L55</f>
        <v>757202.08</v>
      </c>
      <c r="V28" s="308">
        <f>'Rem. Anticipos R2'!M55</f>
        <v>985669.78</v>
      </c>
      <c r="W28" s="308">
        <f>'Rem. Anticipos R2'!N55</f>
        <v>4395697.5</v>
      </c>
      <c r="X28" s="308">
        <f>'Rem. Anticipos R2'!O55</f>
        <v>7892918.9900000002</v>
      </c>
      <c r="Y28" s="308">
        <f>'Rem. Anticipos R2'!P55</f>
        <v>124774.46</v>
      </c>
      <c r="Z28" s="310">
        <f>L28*-1</f>
        <v>0</v>
      </c>
      <c r="AA28" s="311">
        <f>'Rem. Anticipos R2'!Q55</f>
        <v>-73.2</v>
      </c>
      <c r="AB28" s="294">
        <f>N28</f>
        <v>0</v>
      </c>
      <c r="AC28" s="311">
        <f>'Rem. Anticipos R2'!R55</f>
        <v>0</v>
      </c>
      <c r="AD28" s="291">
        <f>-J28+AE28</f>
        <v>6835869.8899999997</v>
      </c>
      <c r="AE28" s="291">
        <f>'Rem. Anticipos R2'!E56</f>
        <v>6835869.8899999997</v>
      </c>
      <c r="AF28" s="313">
        <f>SUM(U28:AD28)</f>
        <v>20992059.5</v>
      </c>
      <c r="AG28" s="311">
        <f>(AF28-O28)</f>
        <v>0</v>
      </c>
      <c r="AH28" s="1" t="b">
        <f>INT(AG28)=0</f>
        <v>1</v>
      </c>
      <c r="AI28" s="306"/>
    </row>
    <row r="29" spans="1:35" s="305" customFormat="1" x14ac:dyDescent="0.25">
      <c r="B29" s="314">
        <v>2</v>
      </c>
      <c r="C29" s="315" t="s">
        <v>11</v>
      </c>
      <c r="D29" s="291">
        <f>'Rem. Anticipos R2'!E151</f>
        <v>87448610.169999987</v>
      </c>
      <c r="E29" s="292">
        <f>'Rem. Anticipos R2'!F151</f>
        <v>9848126.5199999996</v>
      </c>
      <c r="F29" s="292">
        <f>'Rem. Anticipos R2'!G151</f>
        <v>5509676.3200000003</v>
      </c>
      <c r="G29" s="292">
        <f>'Rem. Anticipos R2'!H151</f>
        <v>2910689.54</v>
      </c>
      <c r="H29" s="292">
        <f>'Rem. Anticipos R2'!I151</f>
        <v>13922812.67</v>
      </c>
      <c r="I29" s="292">
        <f>'Rem. Anticipos R2'!J151</f>
        <v>411257.4</v>
      </c>
      <c r="J29" s="288">
        <v>0</v>
      </c>
      <c r="K29" s="295">
        <f t="shared" ref="K29:K31" si="7">D29-E29-F29-G29-H29-I29-J29</f>
        <v>54846047.719999976</v>
      </c>
      <c r="L29" s="294">
        <v>0</v>
      </c>
      <c r="M29" s="295">
        <f>K29-L29</f>
        <v>54846047.719999976</v>
      </c>
      <c r="N29" s="294">
        <f>'Rem. Anticipos R2'!K151</f>
        <v>0</v>
      </c>
      <c r="O29" s="295">
        <f t="shared" ref="O29:O32" si="8">M29+N29</f>
        <v>54846047.719999976</v>
      </c>
      <c r="Q29" s="306"/>
      <c r="S29" s="314">
        <v>2</v>
      </c>
      <c r="T29" s="315" t="s">
        <v>11</v>
      </c>
      <c r="U29" s="316">
        <f>'Rem. Anticipos R2'!L151</f>
        <v>3594860.85</v>
      </c>
      <c r="V29" s="317">
        <f>'Rem. Anticipos R2'!M151</f>
        <v>4259384.97</v>
      </c>
      <c r="W29" s="317">
        <f>'Rem. Anticipos R2'!N151</f>
        <v>16704666.720000001</v>
      </c>
      <c r="X29" s="317">
        <f>'Rem. Anticipos R2'!O151</f>
        <v>34691802.689999998</v>
      </c>
      <c r="Y29" s="318">
        <f>'Rem. Anticipos R2'!P151</f>
        <v>531755.86</v>
      </c>
      <c r="Z29" s="319">
        <f>L29*-1</f>
        <v>0</v>
      </c>
      <c r="AA29" s="320">
        <f>'Rem. Anticipos R2'!Q151</f>
        <v>66.31</v>
      </c>
      <c r="AB29" s="294">
        <f>N29</f>
        <v>0</v>
      </c>
      <c r="AC29" s="320">
        <f>'Rem. Anticipos R2'!R151</f>
        <v>0</v>
      </c>
      <c r="AD29" s="291">
        <f>-J29+AE29</f>
        <v>-4936489.68</v>
      </c>
      <c r="AE29" s="291">
        <f>'Rem. Anticipos R2'!E152</f>
        <v>-4936489.68</v>
      </c>
      <c r="AF29" s="322">
        <f>SUM(U29:AD29)</f>
        <v>54846047.719999999</v>
      </c>
      <c r="AG29" s="323">
        <f>(AF29-O29)</f>
        <v>2.2351741790771484E-8</v>
      </c>
      <c r="AH29" s="1" t="b">
        <f t="shared" ref="AH29:AH33" si="9">INT(AG29)=0</f>
        <v>1</v>
      </c>
      <c r="AI29" s="306"/>
    </row>
    <row r="30" spans="1:35" s="305" customFormat="1" x14ac:dyDescent="0.25">
      <c r="B30" s="314">
        <v>3</v>
      </c>
      <c r="C30" s="315" t="s">
        <v>12</v>
      </c>
      <c r="D30" s="291">
        <f>'Rem. Anticipos R2'!E268</f>
        <v>16553408.619999999</v>
      </c>
      <c r="E30" s="292">
        <f>'Rem. Anticipos R2'!F268</f>
        <v>1967684.86</v>
      </c>
      <c r="F30" s="292">
        <f>'Rem. Anticipos R2'!G268</f>
        <v>712268.5</v>
      </c>
      <c r="G30" s="292">
        <f>'Rem. Anticipos R2'!H268</f>
        <v>565645.02</v>
      </c>
      <c r="H30" s="292">
        <f>'Rem. Anticipos R2'!I268</f>
        <v>1569507.5</v>
      </c>
      <c r="I30" s="292">
        <f>'Rem. Anticipos R2'!J268</f>
        <v>42227.16</v>
      </c>
      <c r="J30" s="288">
        <v>0</v>
      </c>
      <c r="K30" s="295">
        <f t="shared" si="7"/>
        <v>11696075.58</v>
      </c>
      <c r="L30" s="294">
        <v>0</v>
      </c>
      <c r="M30" s="295">
        <f>K30-L30</f>
        <v>11696075.58</v>
      </c>
      <c r="N30" s="294">
        <f>'Rem. Anticipos R2'!K268</f>
        <v>0</v>
      </c>
      <c r="O30" s="295">
        <f t="shared" si="8"/>
        <v>11696075.58</v>
      </c>
      <c r="Q30" s="306"/>
      <c r="S30" s="314">
        <v>3</v>
      </c>
      <c r="T30" s="315" t="s">
        <v>12</v>
      </c>
      <c r="U30" s="316">
        <f>'Rem. Anticipos R2'!L268</f>
        <v>397564.25</v>
      </c>
      <c r="V30" s="317">
        <f>'Rem. Anticipos R2'!M268</f>
        <v>563201.06000000006</v>
      </c>
      <c r="W30" s="317">
        <f>'Rem. Anticipos R2'!N268</f>
        <v>2702825.49</v>
      </c>
      <c r="X30" s="317">
        <f>'Rem. Anticipos R2'!O268</f>
        <v>4820348.95</v>
      </c>
      <c r="Y30" s="318">
        <f>'Rem. Anticipos R2'!P268</f>
        <v>74361.179999999993</v>
      </c>
      <c r="Z30" s="319">
        <f>L30*-1</f>
        <v>0</v>
      </c>
      <c r="AA30" s="320">
        <f>'Rem. Anticipos R2'!Q268</f>
        <v>31.65</v>
      </c>
      <c r="AB30" s="294">
        <f>N30</f>
        <v>0</v>
      </c>
      <c r="AC30" s="320">
        <f>'Rem. Anticipos R2'!R268</f>
        <v>0</v>
      </c>
      <c r="AD30" s="291">
        <f t="shared" ref="AD30:AD32" si="10">-J30+AE30</f>
        <v>3137743</v>
      </c>
      <c r="AE30" s="291">
        <f>'Rem. Anticipos R2'!E269</f>
        <v>3137743</v>
      </c>
      <c r="AF30" s="322">
        <f>SUM(U30:AD30)</f>
        <v>11696075.58</v>
      </c>
      <c r="AG30" s="323">
        <f t="shared" ref="AG30:AG31" si="11">(AF30-O30)</f>
        <v>0</v>
      </c>
      <c r="AH30" s="1" t="b">
        <f t="shared" si="9"/>
        <v>1</v>
      </c>
      <c r="AI30" s="306"/>
    </row>
    <row r="31" spans="1:35" s="305" customFormat="1" x14ac:dyDescent="0.25">
      <c r="B31" s="314">
        <v>4</v>
      </c>
      <c r="C31" s="315" t="s">
        <v>13</v>
      </c>
      <c r="D31" s="291">
        <f>'Rem. Anticipos R2'!E370</f>
        <v>34178649.799999997</v>
      </c>
      <c r="E31" s="292">
        <f>'Rem. Anticipos R2'!F370</f>
        <v>3414288.34</v>
      </c>
      <c r="F31" s="292">
        <f>'Rem. Anticipos R2'!G370</f>
        <v>1854126.13</v>
      </c>
      <c r="G31" s="292">
        <f>'Rem. Anticipos R2'!H370</f>
        <v>919021.33</v>
      </c>
      <c r="H31" s="292">
        <f>'Rem. Anticipos R2'!I370</f>
        <v>5255584.72</v>
      </c>
      <c r="I31" s="292">
        <f>'Rem. Anticipos R2'!J370</f>
        <v>198283.64</v>
      </c>
      <c r="J31" s="288">
        <v>0</v>
      </c>
      <c r="K31" s="295">
        <f t="shared" si="7"/>
        <v>22537345.640000001</v>
      </c>
      <c r="L31" s="294">
        <v>0</v>
      </c>
      <c r="M31" s="295">
        <f>K31-L31</f>
        <v>22537345.640000001</v>
      </c>
      <c r="N31" s="294">
        <f>'Rem. Anticipos R2'!K370</f>
        <v>0</v>
      </c>
      <c r="O31" s="295">
        <f t="shared" si="8"/>
        <v>22537345.640000001</v>
      </c>
      <c r="Q31" s="306"/>
      <c r="S31" s="314">
        <v>4</v>
      </c>
      <c r="T31" s="315" t="s">
        <v>13</v>
      </c>
      <c r="U31" s="316">
        <f>'Rem. Anticipos R2'!L370</f>
        <v>1581078.48</v>
      </c>
      <c r="V31" s="317">
        <f>'Rem. Anticipos R2'!M370</f>
        <v>1755343.15</v>
      </c>
      <c r="W31" s="317">
        <f>'Rem. Anticipos R2'!N370</f>
        <v>9281802.4800000004</v>
      </c>
      <c r="X31" s="317">
        <f>'Rem. Anticipos R2'!O370</f>
        <v>9224428.8599999994</v>
      </c>
      <c r="Y31" s="318">
        <f>'Rem. Anticipos R2'!P370</f>
        <v>314744.57</v>
      </c>
      <c r="Z31" s="319">
        <f>L31*-1</f>
        <v>0</v>
      </c>
      <c r="AA31" s="320">
        <f>'Rem. Anticipos R2'!Q370</f>
        <v>5.27</v>
      </c>
      <c r="AB31" s="294">
        <f>N31</f>
        <v>0</v>
      </c>
      <c r="AC31" s="320">
        <f>'Rem. Anticipos R2'!R370</f>
        <v>0</v>
      </c>
      <c r="AD31" s="291">
        <f t="shared" si="10"/>
        <v>379942.83</v>
      </c>
      <c r="AE31" s="291">
        <f>'Rem. Anticipos R2'!E371</f>
        <v>379942.83</v>
      </c>
      <c r="AF31" s="322">
        <f>SUM(U31:AD31)</f>
        <v>22537345.639999997</v>
      </c>
      <c r="AG31" s="323">
        <f t="shared" si="11"/>
        <v>-3.7252902984619141E-9</v>
      </c>
      <c r="AH31" s="1" t="b">
        <f t="shared" si="9"/>
        <v>0</v>
      </c>
      <c r="AI31" s="306"/>
    </row>
    <row r="32" spans="1:35" s="305" customFormat="1" ht="12" thickBot="1" x14ac:dyDescent="0.3">
      <c r="B32" s="324">
        <v>5</v>
      </c>
      <c r="C32" s="325" t="s">
        <v>14</v>
      </c>
      <c r="D32" s="296">
        <f>'Rem. Anticipos R2'!E450</f>
        <v>13317238.189999999</v>
      </c>
      <c r="E32" s="297">
        <f>'Rem. Anticipos R2'!F450</f>
        <v>1159470.44</v>
      </c>
      <c r="F32" s="297">
        <f>'Rem. Anticipos R2'!G450</f>
        <v>657305.62</v>
      </c>
      <c r="G32" s="297">
        <f>'Rem. Anticipos R2'!H450</f>
        <v>315836.09999999998</v>
      </c>
      <c r="H32" s="297">
        <f>'Rem. Anticipos R2'!I450</f>
        <v>1350476.33</v>
      </c>
      <c r="I32" s="297">
        <f>'Rem. Anticipos R2'!J450</f>
        <v>40561.129999999997</v>
      </c>
      <c r="J32" s="289">
        <v>0</v>
      </c>
      <c r="K32" s="295">
        <f>D32-E32-F32-G32-H32-I32-J32</f>
        <v>9793588.5700000003</v>
      </c>
      <c r="L32" s="294">
        <v>0</v>
      </c>
      <c r="M32" s="298">
        <f>K32-L32</f>
        <v>9793588.5700000003</v>
      </c>
      <c r="N32" s="299">
        <f>'Rem. Anticipos R2'!K450</f>
        <v>990006.55</v>
      </c>
      <c r="O32" s="298">
        <f t="shared" si="8"/>
        <v>10783595.120000001</v>
      </c>
      <c r="Q32" s="306"/>
      <c r="S32" s="324">
        <v>5</v>
      </c>
      <c r="T32" s="325" t="s">
        <v>14</v>
      </c>
      <c r="U32" s="296">
        <f>'Rem. Anticipos R2'!L450</f>
        <v>476777.82</v>
      </c>
      <c r="V32" s="297">
        <f>'Rem. Anticipos R2'!M450</f>
        <v>602817.05000000005</v>
      </c>
      <c r="W32" s="297">
        <f>'Rem. Anticipos R2'!N450</f>
        <v>2563786.98</v>
      </c>
      <c r="X32" s="297">
        <f>'Rem. Anticipos R2'!O450</f>
        <v>3693019.78</v>
      </c>
      <c r="Y32" s="289">
        <f>'Rem. Anticipos R2'!P450</f>
        <v>51007.22</v>
      </c>
      <c r="Z32" s="319">
        <f>L32*-1</f>
        <v>0</v>
      </c>
      <c r="AA32" s="320">
        <f>'Rem. Anticipos R2'!Q450</f>
        <v>-78.19</v>
      </c>
      <c r="AB32" s="294">
        <f>N32</f>
        <v>990006.55</v>
      </c>
      <c r="AC32" s="320">
        <f>'Rem. Anticipos R2'!R450</f>
        <v>0</v>
      </c>
      <c r="AD32" s="291">
        <f t="shared" si="10"/>
        <v>2406257.91</v>
      </c>
      <c r="AE32" s="291">
        <f>'Rem. Anticipos R2'!E451</f>
        <v>2406257.91</v>
      </c>
      <c r="AF32" s="322">
        <f>SUM(U32:AD32)</f>
        <v>10783595.119999999</v>
      </c>
      <c r="AG32" s="326">
        <f>(AF32-O32)</f>
        <v>-1.862645149230957E-9</v>
      </c>
      <c r="AH32" s="1" t="b">
        <f t="shared" si="9"/>
        <v>0</v>
      </c>
      <c r="AI32" s="306"/>
    </row>
    <row r="33" spans="1:35" s="305" customFormat="1" ht="13.5" thickBot="1" x14ac:dyDescent="0.35">
      <c r="B33" s="327"/>
      <c r="C33" s="328" t="s">
        <v>2</v>
      </c>
      <c r="D33" s="290">
        <f>SUM(D28:D32)</f>
        <v>180355317.38</v>
      </c>
      <c r="E33" s="290">
        <f>SUM(E28:E32)</f>
        <v>19053511</v>
      </c>
      <c r="F33" s="290">
        <f t="shared" ref="F33:O33" si="12">SUM(F28:F32)</f>
        <v>10234518.869999999</v>
      </c>
      <c r="G33" s="290">
        <f t="shared" si="12"/>
        <v>5604590.0099999998</v>
      </c>
      <c r="H33" s="290">
        <f t="shared" si="12"/>
        <v>24825588.339999996</v>
      </c>
      <c r="I33" s="290">
        <f t="shared" si="12"/>
        <v>771992.15</v>
      </c>
      <c r="J33" s="290">
        <f t="shared" si="12"/>
        <v>0</v>
      </c>
      <c r="K33" s="300">
        <f t="shared" si="12"/>
        <v>119865117.00999996</v>
      </c>
      <c r="L33" s="301">
        <f t="shared" si="12"/>
        <v>0</v>
      </c>
      <c r="M33" s="302">
        <f t="shared" si="12"/>
        <v>119865117.00999996</v>
      </c>
      <c r="N33" s="301">
        <f t="shared" si="12"/>
        <v>990006.55</v>
      </c>
      <c r="O33" s="302">
        <f t="shared" si="12"/>
        <v>120855123.55999997</v>
      </c>
      <c r="P33" s="329"/>
      <c r="Q33" s="306"/>
      <c r="S33" s="327"/>
      <c r="T33" s="328" t="s">
        <v>2</v>
      </c>
      <c r="U33" s="330">
        <f>SUM(U28:U32)</f>
        <v>6807483.4800000004</v>
      </c>
      <c r="V33" s="330">
        <f t="shared" ref="V33:AG33" si="13">SUM(V28:V32)</f>
        <v>8166416.0100000007</v>
      </c>
      <c r="W33" s="330">
        <f t="shared" si="13"/>
        <v>35648779.170000002</v>
      </c>
      <c r="X33" s="330">
        <f t="shared" si="13"/>
        <v>60322519.270000003</v>
      </c>
      <c r="Y33" s="330">
        <f t="shared" si="13"/>
        <v>1096643.29</v>
      </c>
      <c r="Z33" s="290">
        <f t="shared" si="13"/>
        <v>0</v>
      </c>
      <c r="AA33" s="290">
        <f t="shared" si="13"/>
        <v>-48.16</v>
      </c>
      <c r="AB33" s="290">
        <f t="shared" si="13"/>
        <v>990006.55</v>
      </c>
      <c r="AC33" s="290">
        <f t="shared" si="13"/>
        <v>0</v>
      </c>
      <c r="AD33" s="290">
        <f>SUM(AD28:AD32)</f>
        <v>7823323.9500000002</v>
      </c>
      <c r="AE33" s="290">
        <f>SUM(AE28:AE32)</f>
        <v>7823323.9500000002</v>
      </c>
      <c r="AF33" s="331">
        <f t="shared" si="13"/>
        <v>120855123.56</v>
      </c>
      <c r="AG33" s="332">
        <f t="shared" si="13"/>
        <v>1.6763806343078613E-8</v>
      </c>
      <c r="AH33" s="1" t="b">
        <f t="shared" si="9"/>
        <v>1</v>
      </c>
      <c r="AI33" s="306"/>
    </row>
    <row r="34" spans="1:35" ht="12" thickBot="1" x14ac:dyDescent="0.3">
      <c r="B34" s="2"/>
      <c r="C34" s="2"/>
      <c r="D34" s="24"/>
      <c r="E34" s="24"/>
      <c r="F34" s="24"/>
      <c r="G34" s="24"/>
      <c r="H34" s="24"/>
      <c r="I34" s="24"/>
      <c r="K34" s="24"/>
      <c r="L34" s="24"/>
      <c r="M34" s="24"/>
      <c r="N34" s="24"/>
      <c r="O34" s="24"/>
      <c r="Q34" s="4"/>
      <c r="S34" s="2"/>
      <c r="T34" s="2"/>
      <c r="U34" s="24"/>
      <c r="V34" s="24"/>
      <c r="W34" s="24"/>
      <c r="X34" s="24"/>
      <c r="Y34" s="24"/>
      <c r="AF34" s="24"/>
      <c r="AI34" s="4"/>
    </row>
    <row r="35" spans="1:35" ht="12" thickBot="1" x14ac:dyDescent="0.3">
      <c r="B35" s="2"/>
      <c r="C35" s="2"/>
      <c r="D35" s="24" t="s">
        <v>1</v>
      </c>
      <c r="E35" s="24"/>
      <c r="F35" s="24"/>
      <c r="G35" s="24"/>
      <c r="H35" s="24"/>
      <c r="I35" s="24"/>
      <c r="K35" s="24"/>
      <c r="L35" s="24"/>
      <c r="M35" s="24"/>
      <c r="N35" s="24"/>
      <c r="O35" s="24"/>
      <c r="Q35" s="4"/>
      <c r="Y35" s="86">
        <f>SUM(U33:Y33)</f>
        <v>112041841.22000001</v>
      </c>
      <c r="AA35" s="1" t="s">
        <v>1</v>
      </c>
      <c r="AB35" s="1" t="s">
        <v>1</v>
      </c>
      <c r="AD35" s="1" t="s">
        <v>1</v>
      </c>
      <c r="AF35" s="1" t="s">
        <v>1</v>
      </c>
      <c r="AI35" s="4"/>
    </row>
    <row r="36" spans="1:35" ht="12" thickBot="1" x14ac:dyDescent="0.3">
      <c r="B36" s="2"/>
      <c r="C36" s="2"/>
      <c r="D36" s="24" t="s">
        <v>1</v>
      </c>
      <c r="E36" s="33"/>
      <c r="F36" s="33"/>
      <c r="G36" s="33"/>
      <c r="H36" s="33"/>
      <c r="I36" s="24"/>
      <c r="K36" s="24"/>
      <c r="L36" s="24"/>
      <c r="M36" s="24"/>
      <c r="N36" s="24"/>
      <c r="O36" s="24"/>
      <c r="Q36" s="4"/>
      <c r="AI36" s="4"/>
    </row>
    <row r="37" spans="1:35" x14ac:dyDescent="0.25">
      <c r="B37" s="2"/>
      <c r="C37" s="2"/>
      <c r="D37" s="24" t="s">
        <v>1</v>
      </c>
      <c r="E37" s="24" t="s">
        <v>1</v>
      </c>
      <c r="F37" s="24" t="s">
        <v>25</v>
      </c>
      <c r="G37" s="24"/>
      <c r="H37" s="24"/>
      <c r="I37" s="24"/>
      <c r="K37" s="24"/>
      <c r="L37" s="24"/>
      <c r="M37" s="24"/>
      <c r="N37" s="24"/>
      <c r="O37" s="24"/>
      <c r="Q37" s="4"/>
      <c r="AI37" s="4"/>
    </row>
    <row r="38" spans="1:35" x14ac:dyDescent="0.25">
      <c r="A38" s="4"/>
      <c r="B38" s="34"/>
      <c r="C38" s="34"/>
      <c r="D38" s="35"/>
      <c r="E38" s="35"/>
      <c r="F38" s="35"/>
      <c r="G38" s="35"/>
      <c r="H38" s="35"/>
      <c r="I38" s="35"/>
      <c r="J38" s="4"/>
      <c r="K38" s="35"/>
      <c r="L38" s="35"/>
      <c r="M38" s="35"/>
      <c r="N38" s="35"/>
      <c r="O38" s="35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  <c r="AE38" s="4"/>
      <c r="AF38" s="4"/>
      <c r="AG38" s="4"/>
      <c r="AH38" s="4"/>
      <c r="AI38" s="4"/>
    </row>
    <row r="39" spans="1:35" ht="12" thickBot="1" x14ac:dyDescent="0.3">
      <c r="Q39" s="4"/>
      <c r="AI39" s="4"/>
    </row>
    <row r="40" spans="1:35" x14ac:dyDescent="0.25">
      <c r="B40" s="5"/>
      <c r="C40" s="3" t="s">
        <v>1</v>
      </c>
      <c r="D40" s="6" t="s">
        <v>1</v>
      </c>
      <c r="E40" s="3"/>
      <c r="F40" s="3"/>
      <c r="G40" s="3"/>
      <c r="H40" s="3" t="s">
        <v>1</v>
      </c>
      <c r="I40" s="3"/>
      <c r="J40" s="3"/>
      <c r="K40" s="3"/>
      <c r="L40" s="3"/>
      <c r="M40" s="3"/>
      <c r="N40" s="3"/>
      <c r="O40" s="7"/>
      <c r="P40" s="2"/>
      <c r="Q40" s="4"/>
      <c r="S40" s="5"/>
      <c r="T40" s="3" t="s">
        <v>1</v>
      </c>
      <c r="U40" s="6" t="s">
        <v>1</v>
      </c>
      <c r="V40" s="3"/>
      <c r="W40" s="3"/>
      <c r="X40" s="3" t="s">
        <v>1</v>
      </c>
      <c r="Y40" s="3"/>
      <c r="Z40" s="3"/>
      <c r="AA40" s="3"/>
      <c r="AB40" s="3"/>
      <c r="AC40" s="3"/>
      <c r="AD40" s="3"/>
      <c r="AE40" s="3"/>
      <c r="AF40" s="7"/>
      <c r="AG40" s="2"/>
      <c r="AI40" s="4"/>
    </row>
    <row r="41" spans="1:35" ht="14" x14ac:dyDescent="0.3">
      <c r="B41" s="8"/>
      <c r="F41" s="26" t="s">
        <v>8</v>
      </c>
      <c r="G41" s="26"/>
      <c r="I41" s="26" t="s">
        <v>16</v>
      </c>
      <c r="J41" s="25"/>
      <c r="M41" s="2" t="s">
        <v>15</v>
      </c>
      <c r="N41" s="50">
        <f>N3</f>
        <v>2026072</v>
      </c>
      <c r="O41" s="10"/>
      <c r="P41" s="2"/>
      <c r="Q41" s="4"/>
      <c r="S41" s="8"/>
      <c r="U41" s="26" t="s">
        <v>8</v>
      </c>
      <c r="W41" s="26" t="s">
        <v>16</v>
      </c>
      <c r="X41" s="25"/>
      <c r="Y41" s="2"/>
      <c r="AA41" s="2" t="s">
        <v>15</v>
      </c>
      <c r="AD41" s="84">
        <f>N41</f>
        <v>2026072</v>
      </c>
      <c r="AE41" s="84"/>
      <c r="AF41" s="48"/>
      <c r="AG41" s="2"/>
      <c r="AI41" s="4"/>
    </row>
    <row r="42" spans="1:35" ht="15.5" x14ac:dyDescent="0.35">
      <c r="B42" s="8"/>
      <c r="F42" s="36" t="s">
        <v>29</v>
      </c>
      <c r="G42" s="36"/>
      <c r="O42" s="10"/>
      <c r="P42" s="2"/>
      <c r="Q42" s="4"/>
      <c r="S42" s="8"/>
      <c r="T42" s="26" t="s">
        <v>1</v>
      </c>
      <c r="U42" s="36" t="s">
        <v>29</v>
      </c>
      <c r="Y42" s="2" t="s">
        <v>1</v>
      </c>
      <c r="AA42" s="50" t="s">
        <v>1</v>
      </c>
      <c r="AB42" s="2"/>
      <c r="AC42" s="2"/>
      <c r="AD42" s="2"/>
      <c r="AE42" s="2"/>
      <c r="AF42" s="10" t="s">
        <v>1</v>
      </c>
      <c r="AG42" s="2"/>
      <c r="AI42" s="4"/>
    </row>
    <row r="43" spans="1:35" ht="14" x14ac:dyDescent="0.3">
      <c r="B43" s="8"/>
      <c r="F43" s="2" t="s">
        <v>30</v>
      </c>
      <c r="G43" s="2"/>
      <c r="M43" s="2" t="s">
        <v>1</v>
      </c>
      <c r="O43" s="10"/>
      <c r="P43" s="2"/>
      <c r="Q43" s="4"/>
      <c r="S43" s="8"/>
      <c r="T43" s="49" t="s">
        <v>1</v>
      </c>
      <c r="U43" s="2" t="s">
        <v>30</v>
      </c>
      <c r="AF43" s="44"/>
      <c r="AG43" s="2"/>
      <c r="AI43" s="4"/>
    </row>
    <row r="44" spans="1:35" ht="15.5" x14ac:dyDescent="0.35">
      <c r="B44" s="8"/>
      <c r="C44" s="599" t="s">
        <v>17</v>
      </c>
      <c r="D44" s="9">
        <f>D6</f>
        <v>46238</v>
      </c>
      <c r="F44" s="41" t="s">
        <v>32</v>
      </c>
      <c r="G44" s="41"/>
      <c r="H44" s="2"/>
      <c r="J44" s="2"/>
      <c r="O44" s="10"/>
      <c r="P44" s="2"/>
      <c r="Q44" s="4"/>
      <c r="S44" s="8"/>
      <c r="T44" s="41" t="s">
        <v>1</v>
      </c>
      <c r="U44" s="41" t="s">
        <v>32</v>
      </c>
      <c r="V44" s="2"/>
      <c r="X44" s="2"/>
      <c r="Y44" s="2"/>
      <c r="AF44" s="48"/>
      <c r="AG44" s="2"/>
      <c r="AI44" s="4"/>
    </row>
    <row r="45" spans="1:35" ht="12" thickBot="1" x14ac:dyDescent="0.3">
      <c r="B45" s="8"/>
      <c r="C45" s="599" t="s">
        <v>0</v>
      </c>
      <c r="D45" s="241">
        <f>D7</f>
        <v>0.58333333333333337</v>
      </c>
      <c r="F45" s="2" t="s">
        <v>27</v>
      </c>
      <c r="G45" s="9">
        <f>G7</f>
        <v>46219</v>
      </c>
      <c r="J45" s="2" t="s">
        <v>28</v>
      </c>
      <c r="K45" s="9">
        <f>K7</f>
        <v>46234</v>
      </c>
      <c r="O45" s="10"/>
      <c r="P45" s="2"/>
      <c r="Q45" s="4"/>
      <c r="S45" s="8"/>
      <c r="U45" s="1" t="str">
        <f>F45</f>
        <v>Fecha Desde:</v>
      </c>
      <c r="V45" s="9">
        <f>G45</f>
        <v>46219</v>
      </c>
      <c r="W45" s="1" t="s">
        <v>1</v>
      </c>
      <c r="X45" s="1" t="str">
        <f>J45</f>
        <v>Feha Hasta:</v>
      </c>
      <c r="Y45" s="9">
        <f>K45</f>
        <v>46234</v>
      </c>
      <c r="Z45" s="1" t="s">
        <v>1</v>
      </c>
      <c r="AF45" s="48"/>
      <c r="AG45" s="2"/>
      <c r="AI45" s="4"/>
    </row>
    <row r="46" spans="1:35" ht="72" customHeight="1" thickBot="1" x14ac:dyDescent="0.3">
      <c r="B46" s="11" t="s">
        <v>3</v>
      </c>
      <c r="C46" s="27" t="s">
        <v>9</v>
      </c>
      <c r="D46" s="11" t="s">
        <v>4</v>
      </c>
      <c r="E46" s="12" t="s">
        <v>5</v>
      </c>
      <c r="F46" s="27" t="s">
        <v>6</v>
      </c>
      <c r="G46" s="27" t="s">
        <v>159</v>
      </c>
      <c r="H46" s="27" t="s">
        <v>18</v>
      </c>
      <c r="I46" s="12" t="s">
        <v>24</v>
      </c>
      <c r="J46" s="73" t="s">
        <v>19</v>
      </c>
      <c r="K46" s="29" t="s">
        <v>20</v>
      </c>
      <c r="L46" s="28" t="s">
        <v>21</v>
      </c>
      <c r="M46" s="39" t="s">
        <v>22</v>
      </c>
      <c r="N46" s="12" t="s">
        <v>7</v>
      </c>
      <c r="O46" s="39" t="s">
        <v>23</v>
      </c>
      <c r="P46" s="13"/>
      <c r="Q46" s="4"/>
      <c r="S46" s="11" t="s">
        <v>3</v>
      </c>
      <c r="T46" s="27" t="s">
        <v>9</v>
      </c>
      <c r="U46" s="162" t="s">
        <v>39</v>
      </c>
      <c r="V46" s="163" t="s">
        <v>40</v>
      </c>
      <c r="W46" s="163" t="s">
        <v>41</v>
      </c>
      <c r="X46" s="163" t="s">
        <v>42</v>
      </c>
      <c r="Y46" s="164" t="s">
        <v>43</v>
      </c>
      <c r="Z46" s="85" t="s">
        <v>21</v>
      </c>
      <c r="AA46" s="65" t="s">
        <v>46</v>
      </c>
      <c r="AB46" s="65" t="s">
        <v>7</v>
      </c>
      <c r="AC46" s="85" t="s">
        <v>168</v>
      </c>
      <c r="AD46" s="121" t="s">
        <v>107</v>
      </c>
      <c r="AE46" s="121" t="s">
        <v>226</v>
      </c>
      <c r="AF46" s="39" t="s">
        <v>23</v>
      </c>
      <c r="AG46" s="13"/>
      <c r="AI46" s="4"/>
    </row>
    <row r="47" spans="1:35" s="305" customFormat="1" x14ac:dyDescent="0.25">
      <c r="B47" s="303">
        <v>1</v>
      </c>
      <c r="C47" s="304" t="s">
        <v>10</v>
      </c>
      <c r="D47" s="291">
        <f>'Reporte Componentes R1'!F75</f>
        <v>0</v>
      </c>
      <c r="E47" s="292">
        <f>'Reporte Componentes R1'!G75</f>
        <v>0</v>
      </c>
      <c r="F47" s="292">
        <f>'Reporte Componentes R1'!H75</f>
        <v>0</v>
      </c>
      <c r="G47" s="292">
        <f>'Reporte Componentes R1'!I75</f>
        <v>0</v>
      </c>
      <c r="H47" s="292">
        <f>'Reporte Componentes R1'!J75</f>
        <v>0</v>
      </c>
      <c r="I47" s="292">
        <f>'Reporte Componentes R1'!K75</f>
        <v>0</v>
      </c>
      <c r="J47" s="288">
        <v>0</v>
      </c>
      <c r="K47" s="293">
        <f>D47-E47-F47-G47-H47-I47-J47</f>
        <v>0</v>
      </c>
      <c r="L47" s="294">
        <v>0</v>
      </c>
      <c r="M47" s="293">
        <f>K47-L47</f>
        <v>0</v>
      </c>
      <c r="N47" s="294">
        <f>'Reporte Componentes R1'!L75</f>
        <v>0</v>
      </c>
      <c r="O47" s="293">
        <f>M47+N47</f>
        <v>0</v>
      </c>
      <c r="Q47" s="306"/>
      <c r="S47" s="303">
        <v>1</v>
      </c>
      <c r="T47" s="304" t="s">
        <v>10</v>
      </c>
      <c r="U47" s="307">
        <f>'Reporte Componentes R1'!M75</f>
        <v>0</v>
      </c>
      <c r="V47" s="308">
        <f>'Reporte Componentes R1'!N75</f>
        <v>0</v>
      </c>
      <c r="W47" s="308">
        <f>'Reporte Componentes R1'!O75</f>
        <v>0</v>
      </c>
      <c r="X47" s="308">
        <f>'Reporte Componentes R1'!P75</f>
        <v>0</v>
      </c>
      <c r="Y47" s="309">
        <f>'Reporte Componentes R1'!Q75</f>
        <v>0</v>
      </c>
      <c r="Z47" s="310">
        <f>-L47</f>
        <v>0</v>
      </c>
      <c r="AA47" s="311">
        <f>'Reporte Componentes R1'!R75+'Reporte Componentes R1'!V75+'Reporte Componentes R1'!U75</f>
        <v>0</v>
      </c>
      <c r="AB47" s="294">
        <f>N47</f>
        <v>0</v>
      </c>
      <c r="AC47" s="311">
        <f>'Reporte Componentes R1'!T75+'Reporte Componentes R1'!S75+'Reporte Componentes R1'!W75+'Reporte Componentes R1'!X75+'Reporte Componentes R1'!Y75+'Reporte Componentes R1'!Z75</f>
        <v>0</v>
      </c>
      <c r="AD47" s="291">
        <f>-J47+AE47</f>
        <v>0</v>
      </c>
      <c r="AE47" s="291">
        <f>'Reporte Componentes R1'!F76</f>
        <v>0</v>
      </c>
      <c r="AF47" s="313">
        <f>SUM(U47:AD47)</f>
        <v>0</v>
      </c>
      <c r="AG47" s="311">
        <f>(AF47-O47)</f>
        <v>0</v>
      </c>
      <c r="AH47" s="1" t="b">
        <f>INT(AG47)=0</f>
        <v>1</v>
      </c>
      <c r="AI47" s="306"/>
    </row>
    <row r="48" spans="1:35" s="305" customFormat="1" x14ac:dyDescent="0.25">
      <c r="B48" s="314">
        <v>2</v>
      </c>
      <c r="C48" s="315" t="s">
        <v>11</v>
      </c>
      <c r="D48" s="291">
        <f>'Reporte Componentes R1'!F228</f>
        <v>111210</v>
      </c>
      <c r="E48" s="292">
        <f>'Reporte Componentes R1'!G228</f>
        <v>11965.66</v>
      </c>
      <c r="F48" s="292">
        <f>'Reporte Componentes R1'!H228</f>
        <v>6772.46</v>
      </c>
      <c r="G48" s="292">
        <f>'Reporte Componentes R1'!I228</f>
        <v>3619.41</v>
      </c>
      <c r="H48" s="292">
        <f>'Reporte Componentes R1'!J228</f>
        <v>66663.69</v>
      </c>
      <c r="I48" s="292">
        <f>'Reporte Componentes R1'!K228</f>
        <v>1934.64</v>
      </c>
      <c r="J48" s="288">
        <v>0</v>
      </c>
      <c r="K48" s="295">
        <f t="shared" ref="K48:K51" si="14">D48-E48-F48-G48-H48-I48-J48</f>
        <v>20254.139999999985</v>
      </c>
      <c r="L48" s="294">
        <v>0</v>
      </c>
      <c r="M48" s="295">
        <f>K48-L48</f>
        <v>20254.139999999985</v>
      </c>
      <c r="N48" s="294">
        <f>'Reporte Componentes R1'!L228</f>
        <v>0</v>
      </c>
      <c r="O48" s="295">
        <f t="shared" ref="O48:O51" si="15">M48+N48</f>
        <v>20254.139999999985</v>
      </c>
      <c r="Q48" s="306"/>
      <c r="S48" s="314">
        <v>2</v>
      </c>
      <c r="T48" s="315" t="s">
        <v>11</v>
      </c>
      <c r="U48" s="316">
        <f>'Reporte Componentes R1'!M228</f>
        <v>16970.45</v>
      </c>
      <c r="V48" s="317">
        <f>'Reporte Componentes R1'!N228</f>
        <v>20142.73</v>
      </c>
      <c r="W48" s="317">
        <f>'Reporte Componentes R1'!O228</f>
        <v>93838.89</v>
      </c>
      <c r="X48" s="317">
        <f>'Reporte Componentes R1'!P228</f>
        <v>24111.07</v>
      </c>
      <c r="Y48" s="318">
        <f>'Reporte Componentes R1'!Q228</f>
        <v>3156.5</v>
      </c>
      <c r="Z48" s="319">
        <f>-L48</f>
        <v>0</v>
      </c>
      <c r="AA48" s="320">
        <f>'Reporte Componentes R1'!R228+'Reporte Componentes R1'!V228+'Reporte Componentes R1'!U228</f>
        <v>-3.24</v>
      </c>
      <c r="AB48" s="294">
        <f>N48</f>
        <v>0</v>
      </c>
      <c r="AC48" s="320">
        <f>'Reporte Componentes R1'!T228+'Reporte Componentes R1'!S228+'Reporte Componentes R1'!W228+'Reporte Componentes R1'!X228+'Reporte Componentes R1'!Y228+'Reporte Componentes R1'!Z228</f>
        <v>0</v>
      </c>
      <c r="AD48" s="291">
        <f t="shared" ref="AD48:AD51" si="16">-J48+AE48</f>
        <v>-137962.26</v>
      </c>
      <c r="AE48" s="291">
        <f>'Reporte Componentes R1'!F229</f>
        <v>-137962.26</v>
      </c>
      <c r="AF48" s="322">
        <f>SUM(U48:AD48)</f>
        <v>20254.140000000014</v>
      </c>
      <c r="AG48" s="323">
        <f>(AF48-O48)</f>
        <v>2.9103830456733704E-11</v>
      </c>
      <c r="AH48" s="1" t="b">
        <f t="shared" ref="AH48:AH52" si="17">INT(AG48)=0</f>
        <v>1</v>
      </c>
      <c r="AI48" s="306"/>
    </row>
    <row r="49" spans="1:35" s="305" customFormat="1" x14ac:dyDescent="0.25">
      <c r="B49" s="314">
        <v>3</v>
      </c>
      <c r="C49" s="315" t="s">
        <v>12</v>
      </c>
      <c r="D49" s="291">
        <f>'Reporte Componentes R1'!F365</f>
        <v>0</v>
      </c>
      <c r="E49" s="292">
        <f>'Reporte Componentes R1'!G365</f>
        <v>0</v>
      </c>
      <c r="F49" s="292">
        <f>'Reporte Componentes R1'!H365</f>
        <v>0</v>
      </c>
      <c r="G49" s="292">
        <f>'Reporte Componentes R1'!I365</f>
        <v>0</v>
      </c>
      <c r="H49" s="292">
        <f>'Reporte Componentes R1'!J365</f>
        <v>0</v>
      </c>
      <c r="I49" s="292">
        <f>'Reporte Componentes R1'!K365</f>
        <v>0</v>
      </c>
      <c r="J49" s="288">
        <v>0</v>
      </c>
      <c r="K49" s="295">
        <f t="shared" si="14"/>
        <v>0</v>
      </c>
      <c r="L49" s="294">
        <v>0</v>
      </c>
      <c r="M49" s="295">
        <f>K49-L49</f>
        <v>0</v>
      </c>
      <c r="N49" s="294">
        <f>'Reporte Componentes R1'!L365</f>
        <v>0</v>
      </c>
      <c r="O49" s="295">
        <f t="shared" si="15"/>
        <v>0</v>
      </c>
      <c r="Q49" s="306"/>
      <c r="S49" s="314">
        <v>3</v>
      </c>
      <c r="T49" s="315" t="s">
        <v>12</v>
      </c>
      <c r="U49" s="316">
        <f>'Reporte Componentes R1'!M365</f>
        <v>0</v>
      </c>
      <c r="V49" s="317">
        <f>'Reporte Componentes R1'!N365</f>
        <v>0</v>
      </c>
      <c r="W49" s="317">
        <f>'Reporte Componentes R1'!O365</f>
        <v>0</v>
      </c>
      <c r="X49" s="317">
        <f>'Reporte Componentes R1'!P365</f>
        <v>0</v>
      </c>
      <c r="Y49" s="318">
        <f>'Reporte Componentes R1'!Q365</f>
        <v>0</v>
      </c>
      <c r="Z49" s="319">
        <f>-L49</f>
        <v>0</v>
      </c>
      <c r="AA49" s="320">
        <f>'Reporte Componentes R1'!R365+'Reporte Componentes R1'!V365+'Reporte Componentes R1'!U365</f>
        <v>0</v>
      </c>
      <c r="AB49" s="294">
        <f>N49</f>
        <v>0</v>
      </c>
      <c r="AC49" s="320">
        <f>'Reporte Componentes R1'!T365+'Reporte Componentes R1'!S365+'Reporte Componentes R1'!W365+'Reporte Componentes R1'!X365+'Reporte Componentes R1'!Y365+'Reporte Componentes R1'!Z365</f>
        <v>0</v>
      </c>
      <c r="AD49" s="291">
        <f t="shared" si="16"/>
        <v>0</v>
      </c>
      <c r="AE49" s="291">
        <f>'Reporte Componentes R1'!F366</f>
        <v>0</v>
      </c>
      <c r="AF49" s="322">
        <f t="shared" ref="AF49:AF51" si="18">SUM(U49:AD49)</f>
        <v>0</v>
      </c>
      <c r="AG49" s="323">
        <f t="shared" ref="AG49:AG51" si="19">(AF49-O49)</f>
        <v>0</v>
      </c>
      <c r="AH49" s="1" t="b">
        <f t="shared" si="17"/>
        <v>1</v>
      </c>
      <c r="AI49" s="306"/>
    </row>
    <row r="50" spans="1:35" s="305" customFormat="1" x14ac:dyDescent="0.25">
      <c r="B50" s="314">
        <v>4</v>
      </c>
      <c r="C50" s="315" t="s">
        <v>13</v>
      </c>
      <c r="D50" s="291">
        <f>'Reporte Componentes R1'!F490</f>
        <v>691194</v>
      </c>
      <c r="E50" s="292">
        <f>'Reporte Componentes R1'!G490</f>
        <v>51581.84</v>
      </c>
      <c r="F50" s="292">
        <f>'Reporte Componentes R1'!H490</f>
        <v>29163.39</v>
      </c>
      <c r="G50" s="292">
        <f>'Reporte Componentes R1'!I490</f>
        <v>15465.48</v>
      </c>
      <c r="H50" s="292">
        <f>'Reporte Componentes R1'!J490</f>
        <v>165858.38</v>
      </c>
      <c r="I50" s="292">
        <f>'Reporte Componentes R1'!K490</f>
        <v>4892.05</v>
      </c>
      <c r="J50" s="288">
        <v>0</v>
      </c>
      <c r="K50" s="295">
        <f t="shared" si="14"/>
        <v>424232.86000000004</v>
      </c>
      <c r="L50" s="294">
        <v>0</v>
      </c>
      <c r="M50" s="295">
        <f>K50-L50</f>
        <v>424232.86000000004</v>
      </c>
      <c r="N50" s="294">
        <f>'Reporte Componentes R1'!L490</f>
        <v>0</v>
      </c>
      <c r="O50" s="295">
        <f t="shared" si="15"/>
        <v>424232.86000000004</v>
      </c>
      <c r="Q50" s="306"/>
      <c r="S50" s="314">
        <v>4</v>
      </c>
      <c r="T50" s="315" t="s">
        <v>13</v>
      </c>
      <c r="U50" s="316">
        <f>'Reporte Componentes R1'!M490</f>
        <v>46424.71</v>
      </c>
      <c r="V50" s="317">
        <f>'Reporte Componentes R1'!N490</f>
        <v>49446.239999999998</v>
      </c>
      <c r="W50" s="317">
        <f>'Reporte Componentes R1'!O490</f>
        <v>210914.4</v>
      </c>
      <c r="X50" s="317">
        <f>'Reporte Componentes R1'!P490</f>
        <v>140655.57</v>
      </c>
      <c r="Y50" s="318">
        <f>'Reporte Componentes R1'!Q490</f>
        <v>7981.76</v>
      </c>
      <c r="Z50" s="319">
        <f>-L50</f>
        <v>0</v>
      </c>
      <c r="AA50" s="320">
        <f>'Reporte Componentes R1'!R490+'Reporte Componentes R1'!V490+'Reporte Componentes R1'!U490</f>
        <v>6.27</v>
      </c>
      <c r="AB50" s="294">
        <f>N50</f>
        <v>0</v>
      </c>
      <c r="AC50" s="320">
        <f>'Reporte Componentes R1'!T490+'Reporte Componentes R1'!S490+'Reporte Componentes R1'!W490+'Reporte Componentes R1'!X490+'Reporte Componentes R1'!Y490+'Reporte Componentes R1'!Z490</f>
        <v>0</v>
      </c>
      <c r="AD50" s="291">
        <f t="shared" si="16"/>
        <v>-31196.09</v>
      </c>
      <c r="AE50" s="291">
        <f>'Reporte Componentes R1'!F491</f>
        <v>-31196.09</v>
      </c>
      <c r="AF50" s="322">
        <f t="shared" si="18"/>
        <v>424232.86</v>
      </c>
      <c r="AG50" s="323">
        <f t="shared" si="19"/>
        <v>-5.8207660913467407E-11</v>
      </c>
      <c r="AH50" s="1" t="b">
        <f t="shared" si="17"/>
        <v>0</v>
      </c>
      <c r="AI50" s="306"/>
    </row>
    <row r="51" spans="1:35" s="305" customFormat="1" ht="12" thickBot="1" x14ac:dyDescent="0.3">
      <c r="B51" s="324">
        <v>5</v>
      </c>
      <c r="C51" s="325" t="s">
        <v>14</v>
      </c>
      <c r="D51" s="296">
        <f>'Reporte Componentes R1'!F580</f>
        <v>441849</v>
      </c>
      <c r="E51" s="297">
        <f>'Reporte Componentes R1'!G580</f>
        <v>26657.43</v>
      </c>
      <c r="F51" s="297">
        <f>'Reporte Componentes R1'!H580</f>
        <v>14138.02</v>
      </c>
      <c r="G51" s="297">
        <f>'Reporte Componentes R1'!I580</f>
        <v>7723.27</v>
      </c>
      <c r="H51" s="297">
        <f>'Reporte Componentes R1'!J580</f>
        <v>93911.73</v>
      </c>
      <c r="I51" s="297">
        <f>'Reporte Componentes R1'!K580</f>
        <v>2290.29</v>
      </c>
      <c r="J51" s="289">
        <v>0</v>
      </c>
      <c r="K51" s="295">
        <f t="shared" si="14"/>
        <v>297128.26</v>
      </c>
      <c r="L51" s="294">
        <v>0</v>
      </c>
      <c r="M51" s="298">
        <f>K51-L51</f>
        <v>297128.26</v>
      </c>
      <c r="N51" s="299">
        <f>'Reporte Componentes R1'!L580</f>
        <v>0</v>
      </c>
      <c r="O51" s="298">
        <f t="shared" si="15"/>
        <v>297128.26</v>
      </c>
      <c r="Q51" s="306"/>
      <c r="S51" s="324">
        <v>5</v>
      </c>
      <c r="T51" s="325" t="s">
        <v>14</v>
      </c>
      <c r="U51" s="296">
        <f>'Reporte Componentes R1'!M580</f>
        <v>20089.34</v>
      </c>
      <c r="V51" s="297">
        <f>'Reporte Componentes R1'!N580</f>
        <v>28092.36</v>
      </c>
      <c r="W51" s="297">
        <f>'Reporte Componentes R1'!O580</f>
        <v>141333</v>
      </c>
      <c r="X51" s="297">
        <f>'Reporte Componentes R1'!P580</f>
        <v>79544.789999999994</v>
      </c>
      <c r="Y51" s="289">
        <f>'Reporte Componentes R1'!Q580</f>
        <v>3736.7</v>
      </c>
      <c r="Z51" s="319">
        <f>-L51</f>
        <v>0</v>
      </c>
      <c r="AA51" s="320">
        <f>'Reporte Componentes R1'!R580+'Reporte Componentes R1'!V580+'Reporte Componentes R1'!U580</f>
        <v>2.69</v>
      </c>
      <c r="AB51" s="294">
        <f>N51</f>
        <v>0</v>
      </c>
      <c r="AC51" s="320">
        <f>'Reporte Componentes R1'!T580+'Reporte Componentes R1'!S580+'Reporte Componentes R1'!W580+'Reporte Componentes R1'!X580+'Reporte Componentes R1'!Y580+'Reporte Componentes R1'!Z580</f>
        <v>0</v>
      </c>
      <c r="AD51" s="291">
        <f t="shared" si="16"/>
        <v>24329.38</v>
      </c>
      <c r="AE51" s="291">
        <f>'Reporte Componentes R1'!F581</f>
        <v>24329.38</v>
      </c>
      <c r="AF51" s="322">
        <f t="shared" si="18"/>
        <v>297128.26</v>
      </c>
      <c r="AG51" s="326">
        <f t="shared" si="19"/>
        <v>0</v>
      </c>
      <c r="AH51" s="1" t="b">
        <f t="shared" si="17"/>
        <v>1</v>
      </c>
      <c r="AI51" s="306"/>
    </row>
    <row r="52" spans="1:35" s="305" customFormat="1" ht="13.5" thickBot="1" x14ac:dyDescent="0.35">
      <c r="B52" s="327"/>
      <c r="C52" s="328" t="s">
        <v>2</v>
      </c>
      <c r="D52" s="290">
        <f t="shared" ref="D52:O52" si="20">SUM(D47:D51)</f>
        <v>1244253</v>
      </c>
      <c r="E52" s="290">
        <f t="shared" si="20"/>
        <v>90204.93</v>
      </c>
      <c r="F52" s="290">
        <f t="shared" si="20"/>
        <v>50073.869999999995</v>
      </c>
      <c r="G52" s="290">
        <f t="shared" ref="G52" si="21">SUM(G47:G51)</f>
        <v>26808.16</v>
      </c>
      <c r="H52" s="290">
        <f t="shared" si="20"/>
        <v>326433.8</v>
      </c>
      <c r="I52" s="290">
        <f t="shared" si="20"/>
        <v>9116.98</v>
      </c>
      <c r="J52" s="290">
        <f t="shared" si="20"/>
        <v>0</v>
      </c>
      <c r="K52" s="300">
        <f t="shared" si="20"/>
        <v>741615.26</v>
      </c>
      <c r="L52" s="301">
        <f t="shared" si="20"/>
        <v>0</v>
      </c>
      <c r="M52" s="302">
        <f t="shared" si="20"/>
        <v>741615.26</v>
      </c>
      <c r="N52" s="301">
        <f t="shared" si="20"/>
        <v>0</v>
      </c>
      <c r="O52" s="302">
        <f t="shared" si="20"/>
        <v>741615.26</v>
      </c>
      <c r="P52" s="329"/>
      <c r="Q52" s="306"/>
      <c r="S52" s="327"/>
      <c r="T52" s="328" t="s">
        <v>2</v>
      </c>
      <c r="U52" s="330">
        <f>SUM(U47:U51)</f>
        <v>83484.5</v>
      </c>
      <c r="V52" s="330">
        <f t="shared" ref="V52:AG52" si="22">SUM(V47:V51)</f>
        <v>97681.33</v>
      </c>
      <c r="W52" s="330">
        <f t="shared" si="22"/>
        <v>446086.29</v>
      </c>
      <c r="X52" s="330">
        <f t="shared" si="22"/>
        <v>244311.43</v>
      </c>
      <c r="Y52" s="330">
        <f t="shared" si="22"/>
        <v>14874.96</v>
      </c>
      <c r="Z52" s="290">
        <f t="shared" si="22"/>
        <v>0</v>
      </c>
      <c r="AA52" s="290">
        <f t="shared" si="22"/>
        <v>5.7199999999999989</v>
      </c>
      <c r="AB52" s="290">
        <f t="shared" si="22"/>
        <v>0</v>
      </c>
      <c r="AC52" s="290">
        <f t="shared" ref="AC52" si="23">SUM(AC47:AC51)</f>
        <v>0</v>
      </c>
      <c r="AD52" s="290">
        <f>SUM(AD47:AD51)</f>
        <v>-144828.97</v>
      </c>
      <c r="AE52" s="290">
        <f>SUM(AE47:AE51)</f>
        <v>-144828.97</v>
      </c>
      <c r="AF52" s="331">
        <f t="shared" si="22"/>
        <v>741615.26</v>
      </c>
      <c r="AG52" s="332">
        <f t="shared" si="22"/>
        <v>-2.9103830456733704E-11</v>
      </c>
      <c r="AH52" s="1" t="b">
        <f t="shared" si="17"/>
        <v>0</v>
      </c>
      <c r="AI52" s="306"/>
    </row>
    <row r="53" spans="1:35" ht="12" thickBot="1" x14ac:dyDescent="0.3">
      <c r="B53" s="2"/>
      <c r="C53" s="2"/>
      <c r="D53" s="24"/>
      <c r="E53" s="24"/>
      <c r="F53" s="24"/>
      <c r="G53" s="24"/>
      <c r="H53" s="24"/>
      <c r="I53" s="24"/>
      <c r="K53" s="24"/>
      <c r="L53" s="24"/>
      <c r="M53" s="24"/>
      <c r="N53" s="24"/>
      <c r="O53" s="24"/>
      <c r="Q53" s="4"/>
      <c r="S53" s="2"/>
      <c r="T53" s="2"/>
      <c r="U53" s="24"/>
      <c r="V53" s="24"/>
      <c r="W53" s="24"/>
      <c r="X53" s="24"/>
      <c r="Y53" s="24"/>
      <c r="AF53" s="24"/>
      <c r="AI53" s="4"/>
    </row>
    <row r="54" spans="1:35" ht="12" thickBot="1" x14ac:dyDescent="0.3">
      <c r="B54" s="2"/>
      <c r="C54" s="2"/>
      <c r="D54" s="24" t="s">
        <v>1</v>
      </c>
      <c r="E54" s="24"/>
      <c r="F54" s="24"/>
      <c r="G54" s="24"/>
      <c r="H54" s="24"/>
      <c r="I54" s="24"/>
      <c r="K54" s="24"/>
      <c r="L54" s="24"/>
      <c r="M54" s="24"/>
      <c r="N54" s="24"/>
      <c r="O54" s="24"/>
      <c r="Q54" s="4"/>
      <c r="Y54" s="86">
        <f>SUM(U52:Y52)</f>
        <v>886438.51</v>
      </c>
      <c r="AA54" s="1" t="s">
        <v>1</v>
      </c>
      <c r="AB54" s="1" t="s">
        <v>1</v>
      </c>
      <c r="AD54" s="1" t="s">
        <v>1</v>
      </c>
      <c r="AF54" s="1" t="s">
        <v>1</v>
      </c>
      <c r="AI54" s="4"/>
    </row>
    <row r="55" spans="1:35" ht="12" thickBot="1" x14ac:dyDescent="0.3">
      <c r="B55" s="2"/>
      <c r="C55" s="2"/>
      <c r="D55" s="24" t="s">
        <v>1</v>
      </c>
      <c r="E55" s="33"/>
      <c r="F55" s="33"/>
      <c r="G55" s="33"/>
      <c r="H55" s="33"/>
      <c r="I55" s="24"/>
      <c r="K55" s="24"/>
      <c r="L55" s="24"/>
      <c r="M55" s="24"/>
      <c r="N55" s="24"/>
      <c r="O55" s="24"/>
      <c r="Q55" s="4"/>
      <c r="AI55" s="4"/>
    </row>
    <row r="56" spans="1:35" x14ac:dyDescent="0.25">
      <c r="B56" s="2"/>
      <c r="C56" s="2"/>
      <c r="D56" s="24" t="s">
        <v>1</v>
      </c>
      <c r="E56" s="24" t="s">
        <v>1</v>
      </c>
      <c r="F56" s="24" t="s">
        <v>25</v>
      </c>
      <c r="G56" s="24"/>
      <c r="H56" s="24"/>
      <c r="I56" s="24"/>
      <c r="K56" s="24"/>
      <c r="L56" s="24"/>
      <c r="M56" s="24"/>
      <c r="N56" s="24"/>
      <c r="O56" s="24"/>
      <c r="Q56" s="4"/>
      <c r="AI56" s="4"/>
    </row>
    <row r="57" spans="1:35" x14ac:dyDescent="0.25">
      <c r="A57" s="4"/>
      <c r="B57" s="34"/>
      <c r="C57" s="34"/>
      <c r="D57" s="35"/>
      <c r="E57" s="35"/>
      <c r="F57" s="35"/>
      <c r="G57" s="35"/>
      <c r="H57" s="35"/>
      <c r="I57" s="35"/>
      <c r="J57" s="4"/>
      <c r="K57" s="35"/>
      <c r="L57" s="35"/>
      <c r="M57" s="35"/>
      <c r="N57" s="35"/>
      <c r="O57" s="35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  <c r="AE57" s="4"/>
      <c r="AF57" s="4"/>
      <c r="AG57" s="4"/>
      <c r="AH57" s="4"/>
      <c r="AI57" s="4"/>
    </row>
    <row r="58" spans="1:35" ht="12" thickBot="1" x14ac:dyDescent="0.3">
      <c r="Q58" s="4"/>
      <c r="AI58" s="4"/>
    </row>
    <row r="59" spans="1:35" x14ac:dyDescent="0.25">
      <c r="B59" s="5"/>
      <c r="C59" s="3" t="s">
        <v>1</v>
      </c>
      <c r="D59" s="6" t="s">
        <v>1</v>
      </c>
      <c r="E59" s="3"/>
      <c r="F59" s="3"/>
      <c r="G59" s="3"/>
      <c r="H59" s="3" t="s">
        <v>1</v>
      </c>
      <c r="I59" s="3"/>
      <c r="J59" s="3"/>
      <c r="K59" s="3"/>
      <c r="L59" s="3"/>
      <c r="M59" s="3"/>
      <c r="N59" s="3"/>
      <c r="O59" s="7"/>
      <c r="P59" s="2"/>
      <c r="Q59" s="4"/>
      <c r="S59" s="5"/>
      <c r="T59" s="3" t="s">
        <v>1</v>
      </c>
      <c r="U59" s="6" t="s">
        <v>1</v>
      </c>
      <c r="V59" s="3"/>
      <c r="W59" s="3"/>
      <c r="X59" s="3" t="s">
        <v>1</v>
      </c>
      <c r="Y59" s="3"/>
      <c r="Z59" s="3"/>
      <c r="AA59" s="3"/>
      <c r="AB59" s="3"/>
      <c r="AC59" s="3"/>
      <c r="AD59" s="3"/>
      <c r="AE59" s="3"/>
      <c r="AF59" s="7"/>
      <c r="AG59" s="2"/>
      <c r="AI59" s="4"/>
    </row>
    <row r="60" spans="1:35" ht="14" x14ac:dyDescent="0.3">
      <c r="B60" s="8"/>
      <c r="F60" s="26" t="s">
        <v>8</v>
      </c>
      <c r="G60" s="26"/>
      <c r="I60" s="26" t="s">
        <v>16</v>
      </c>
      <c r="J60" s="25"/>
      <c r="M60" s="2" t="s">
        <v>15</v>
      </c>
      <c r="N60" s="50">
        <f>N3</f>
        <v>2026072</v>
      </c>
      <c r="O60" s="10"/>
      <c r="P60" s="2"/>
      <c r="Q60" s="4"/>
      <c r="S60" s="8"/>
      <c r="U60" s="26" t="s">
        <v>8</v>
      </c>
      <c r="W60" s="26" t="s">
        <v>16</v>
      </c>
      <c r="X60" s="25"/>
      <c r="Y60" s="2"/>
      <c r="AA60" s="2" t="s">
        <v>15</v>
      </c>
      <c r="AD60" s="84">
        <f>N60</f>
        <v>2026072</v>
      </c>
      <c r="AE60" s="84"/>
      <c r="AF60" s="48"/>
      <c r="AG60" s="2"/>
      <c r="AI60" s="4"/>
    </row>
    <row r="61" spans="1:35" ht="15.5" x14ac:dyDescent="0.35">
      <c r="B61" s="8"/>
      <c r="F61" s="36" t="s">
        <v>29</v>
      </c>
      <c r="G61" s="36"/>
      <c r="O61" s="10"/>
      <c r="P61" s="2"/>
      <c r="Q61" s="4"/>
      <c r="S61" s="8"/>
      <c r="T61" s="26" t="s">
        <v>1</v>
      </c>
      <c r="U61" s="36" t="s">
        <v>29</v>
      </c>
      <c r="Y61" s="2" t="s">
        <v>1</v>
      </c>
      <c r="AA61" s="50" t="s">
        <v>1</v>
      </c>
      <c r="AB61" s="2"/>
      <c r="AC61" s="2"/>
      <c r="AD61" s="2"/>
      <c r="AE61" s="2"/>
      <c r="AF61" s="10" t="s">
        <v>1</v>
      </c>
      <c r="AG61" s="2"/>
      <c r="AI61" s="4"/>
    </row>
    <row r="62" spans="1:35" ht="14" x14ac:dyDescent="0.3">
      <c r="B62" s="8"/>
      <c r="F62" s="2" t="s">
        <v>30</v>
      </c>
      <c r="G62" s="2"/>
      <c r="M62" s="2" t="s">
        <v>1</v>
      </c>
      <c r="O62" s="10"/>
      <c r="P62" s="2"/>
      <c r="Q62" s="4"/>
      <c r="S62" s="8"/>
      <c r="T62" s="49" t="s">
        <v>1</v>
      </c>
      <c r="U62" s="2" t="s">
        <v>30</v>
      </c>
      <c r="AF62" s="44"/>
      <c r="AG62" s="2"/>
      <c r="AI62" s="4"/>
    </row>
    <row r="63" spans="1:35" ht="15.5" x14ac:dyDescent="0.35">
      <c r="B63" s="8"/>
      <c r="C63" s="599" t="s">
        <v>17</v>
      </c>
      <c r="D63" s="9">
        <f>D6</f>
        <v>46238</v>
      </c>
      <c r="F63" s="41" t="s">
        <v>33</v>
      </c>
      <c r="G63" s="41"/>
      <c r="H63" s="2"/>
      <c r="J63" s="2"/>
      <c r="O63" s="10"/>
      <c r="P63" s="2"/>
      <c r="Q63" s="4"/>
      <c r="S63" s="8"/>
      <c r="T63" s="41" t="s">
        <v>1</v>
      </c>
      <c r="U63" s="41" t="s">
        <v>33</v>
      </c>
      <c r="V63" s="2"/>
      <c r="X63" s="2"/>
      <c r="Y63" s="2"/>
      <c r="AF63" s="48"/>
      <c r="AG63" s="2"/>
      <c r="AI63" s="4"/>
    </row>
    <row r="64" spans="1:35" ht="12" thickBot="1" x14ac:dyDescent="0.3">
      <c r="B64" s="8"/>
      <c r="C64" s="599" t="s">
        <v>0</v>
      </c>
      <c r="D64" s="241">
        <f>D7</f>
        <v>0.58333333333333337</v>
      </c>
      <c r="F64" s="2" t="s">
        <v>27</v>
      </c>
      <c r="G64" s="9">
        <f>G7</f>
        <v>46219</v>
      </c>
      <c r="J64" s="2" t="s">
        <v>28</v>
      </c>
      <c r="K64" s="9">
        <f>K7</f>
        <v>46234</v>
      </c>
      <c r="O64" s="10"/>
      <c r="P64" s="2"/>
      <c r="Q64" s="4"/>
      <c r="S64" s="8"/>
      <c r="U64" s="1" t="str">
        <f>F64</f>
        <v>Fecha Desde:</v>
      </c>
      <c r="V64" s="9">
        <f>G64</f>
        <v>46219</v>
      </c>
      <c r="W64" s="1" t="s">
        <v>1</v>
      </c>
      <c r="X64" s="1" t="str">
        <f>J64</f>
        <v>Feha Hasta:</v>
      </c>
      <c r="Y64" s="9">
        <f>K64</f>
        <v>46234</v>
      </c>
      <c r="Z64" s="1" t="s">
        <v>1</v>
      </c>
      <c r="AF64" s="48"/>
      <c r="AG64" s="2"/>
      <c r="AI64" s="4"/>
    </row>
    <row r="65" spans="1:35" ht="72" customHeight="1" thickBot="1" x14ac:dyDescent="0.3">
      <c r="B65" s="11" t="s">
        <v>3</v>
      </c>
      <c r="C65" s="27" t="s">
        <v>9</v>
      </c>
      <c r="D65" s="11" t="s">
        <v>4</v>
      </c>
      <c r="E65" s="12" t="s">
        <v>5</v>
      </c>
      <c r="F65" s="27" t="s">
        <v>6</v>
      </c>
      <c r="G65" s="27" t="s">
        <v>159</v>
      </c>
      <c r="H65" s="27" t="s">
        <v>18</v>
      </c>
      <c r="I65" s="12" t="s">
        <v>24</v>
      </c>
      <c r="J65" s="73" t="s">
        <v>19</v>
      </c>
      <c r="K65" s="29" t="s">
        <v>20</v>
      </c>
      <c r="L65" s="28" t="s">
        <v>21</v>
      </c>
      <c r="M65" s="39" t="s">
        <v>22</v>
      </c>
      <c r="N65" s="12" t="s">
        <v>7</v>
      </c>
      <c r="O65" s="39" t="s">
        <v>23</v>
      </c>
      <c r="P65" s="13"/>
      <c r="Q65" s="4"/>
      <c r="S65" s="11" t="s">
        <v>3</v>
      </c>
      <c r="T65" s="27" t="s">
        <v>9</v>
      </c>
      <c r="U65" s="162" t="s">
        <v>39</v>
      </c>
      <c r="V65" s="163" t="s">
        <v>40</v>
      </c>
      <c r="W65" s="163" t="s">
        <v>41</v>
      </c>
      <c r="X65" s="163" t="s">
        <v>42</v>
      </c>
      <c r="Y65" s="164" t="s">
        <v>43</v>
      </c>
      <c r="Z65" s="85" t="s">
        <v>21</v>
      </c>
      <c r="AA65" s="65" t="s">
        <v>46</v>
      </c>
      <c r="AB65" s="65" t="s">
        <v>7</v>
      </c>
      <c r="AC65" s="85" t="s">
        <v>168</v>
      </c>
      <c r="AD65" s="121" t="s">
        <v>107</v>
      </c>
      <c r="AE65" s="121" t="s">
        <v>226</v>
      </c>
      <c r="AF65" s="39" t="s">
        <v>23</v>
      </c>
      <c r="AG65" s="13"/>
      <c r="AI65" s="4"/>
    </row>
    <row r="66" spans="1:35" s="305" customFormat="1" x14ac:dyDescent="0.25">
      <c r="B66" s="303">
        <v>1</v>
      </c>
      <c r="C66" s="304" t="s">
        <v>10</v>
      </c>
      <c r="D66" s="291">
        <f>'Reversion Pagos R4'!D85</f>
        <v>-1002751.39</v>
      </c>
      <c r="E66" s="292">
        <f>'Reversion Pagos R4'!E85</f>
        <v>-48320.26</v>
      </c>
      <c r="F66" s="292">
        <f>'Reversion Pagos R4'!F85</f>
        <v>-26461.59</v>
      </c>
      <c r="G66" s="292">
        <f>'Reversion Pagos R4'!G85</f>
        <v>-13894.78</v>
      </c>
      <c r="H66" s="292">
        <f>'Reversion Pagos R4'!H85</f>
        <v>-192321.07</v>
      </c>
      <c r="I66" s="292">
        <f>'Reversion Pagos R4'!I85</f>
        <v>-4769.8999999999996</v>
      </c>
      <c r="J66" s="288">
        <v>0</v>
      </c>
      <c r="K66" s="293">
        <f>D66-E66-F66-G66-H66-I66-J66</f>
        <v>-716983.78999999992</v>
      </c>
      <c r="L66" s="294">
        <v>0</v>
      </c>
      <c r="M66" s="293">
        <f>K66-L66</f>
        <v>-716983.78999999992</v>
      </c>
      <c r="N66" s="294">
        <f>'Reversion Pagos R4'!P85</f>
        <v>0</v>
      </c>
      <c r="O66" s="293">
        <f>M66+N66</f>
        <v>-716983.78999999992</v>
      </c>
      <c r="Q66" s="306"/>
      <c r="S66" s="303">
        <v>1</v>
      </c>
      <c r="T66" s="304" t="s">
        <v>10</v>
      </c>
      <c r="U66" s="307">
        <f>'Reversion Pagos R4'!J85</f>
        <v>-58128.54</v>
      </c>
      <c r="V66" s="308">
        <f>'Reversion Pagos R4'!K85</f>
        <v>-51931.95</v>
      </c>
      <c r="W66" s="308">
        <f>'Reversion Pagos R4'!L85</f>
        <v>-246615.55</v>
      </c>
      <c r="X66" s="308">
        <f>'Reversion Pagos R4'!M85</f>
        <v>-112108.07</v>
      </c>
      <c r="Y66" s="308">
        <f>'Reversion Pagos R4'!N85</f>
        <v>-7782.32</v>
      </c>
      <c r="Z66" s="310">
        <f>-L66</f>
        <v>0</v>
      </c>
      <c r="AA66" s="320">
        <f>'Reversion Pagos R4'!O85</f>
        <v>-10.3</v>
      </c>
      <c r="AB66" s="294">
        <f>N66</f>
        <v>0</v>
      </c>
      <c r="AC66" s="320">
        <f>+'Reversion Pagos R4'!Q85+'Reversion Pagos R4'!R85</f>
        <v>0</v>
      </c>
      <c r="AD66" s="291">
        <f>-J66+AE66</f>
        <v>-240407.06</v>
      </c>
      <c r="AE66" s="291">
        <f>'Reversion Pagos R4'!D86</f>
        <v>-240407.06</v>
      </c>
      <c r="AF66" s="313">
        <f>SUM(U66:AD66)</f>
        <v>-716983.79</v>
      </c>
      <c r="AG66" s="311">
        <f>(AF66-O66)</f>
        <v>-1.1641532182693481E-10</v>
      </c>
      <c r="AH66" s="1" t="b">
        <f>INT(AG66)=0</f>
        <v>0</v>
      </c>
      <c r="AI66" s="306"/>
    </row>
    <row r="67" spans="1:35" s="305" customFormat="1" x14ac:dyDescent="0.25">
      <c r="B67" s="314">
        <v>2</v>
      </c>
      <c r="C67" s="315" t="s">
        <v>11</v>
      </c>
      <c r="D67" s="291">
        <f>'Reversion Pagos R4'!D180</f>
        <v>-290750</v>
      </c>
      <c r="E67" s="292">
        <f>'Reversion Pagos R4'!E180</f>
        <v>-43743.29</v>
      </c>
      <c r="F67" s="292">
        <f>'Reversion Pagos R4'!F180</f>
        <v>-24370.81</v>
      </c>
      <c r="G67" s="292">
        <f>'Reversion Pagos R4'!G180</f>
        <v>-13155.43</v>
      </c>
      <c r="H67" s="292">
        <f>'Reversion Pagos R4'!H180</f>
        <v>-79698.95</v>
      </c>
      <c r="I67" s="292">
        <f>'Reversion Pagos R4'!I180</f>
        <v>-2346.52</v>
      </c>
      <c r="J67" s="288">
        <v>0</v>
      </c>
      <c r="K67" s="295">
        <f t="shared" ref="K67:K70" si="24">D67-E67-F67-G67-H67-I67-J67</f>
        <v>-127435</v>
      </c>
      <c r="L67" s="294">
        <v>0</v>
      </c>
      <c r="M67" s="295">
        <f>K67-L67</f>
        <v>-127435</v>
      </c>
      <c r="N67" s="294">
        <f>'Reversion Pagos R4'!P180</f>
        <v>0</v>
      </c>
      <c r="O67" s="295">
        <f t="shared" ref="O67:O70" si="25">M67+N67</f>
        <v>-127435</v>
      </c>
      <c r="Q67" s="306"/>
      <c r="S67" s="314">
        <v>2</v>
      </c>
      <c r="T67" s="315" t="s">
        <v>11</v>
      </c>
      <c r="U67" s="316">
        <f>'Reversion Pagos R4'!J180</f>
        <v>-20583.689999999999</v>
      </c>
      <c r="V67" s="317">
        <f>'Reversion Pagos R4'!K180</f>
        <v>-20985.200000000001</v>
      </c>
      <c r="W67" s="317">
        <f>'Reversion Pagos R4'!L180</f>
        <v>-90885.63</v>
      </c>
      <c r="X67" s="317">
        <f>'Reversion Pagos R4'!M180</f>
        <v>-87049.75</v>
      </c>
      <c r="Y67" s="318">
        <f>'Reversion Pagos R4'!N180</f>
        <v>-3406.74</v>
      </c>
      <c r="Z67" s="319">
        <f t="shared" ref="Z67:Z70" si="26">-L67</f>
        <v>0</v>
      </c>
      <c r="AA67" s="320">
        <f>'Reversion Pagos R4'!O180</f>
        <v>4.55</v>
      </c>
      <c r="AB67" s="294">
        <f t="shared" ref="AB67:AB70" si="27">N67</f>
        <v>0</v>
      </c>
      <c r="AC67" s="320">
        <f>+'Reversion Pagos R4'!Q180+'Reversion Pagos R4'!R180</f>
        <v>0</v>
      </c>
      <c r="AD67" s="291">
        <f t="shared" ref="AD67:AD70" si="28">-J67+AE67</f>
        <v>95471.46</v>
      </c>
      <c r="AE67" s="291">
        <f>'Reversion Pagos R4'!D181</f>
        <v>95471.46</v>
      </c>
      <c r="AF67" s="322">
        <f>SUM(U67:AD67)</f>
        <v>-127435.00000000001</v>
      </c>
      <c r="AG67" s="323">
        <f>(AF67-O67)</f>
        <v>-1.4551915228366852E-11</v>
      </c>
      <c r="AH67" s="1" t="b">
        <f t="shared" ref="AH67:AH71" si="29">INT(AG67)=0</f>
        <v>0</v>
      </c>
      <c r="AI67" s="306"/>
    </row>
    <row r="68" spans="1:35" s="305" customFormat="1" x14ac:dyDescent="0.25">
      <c r="B68" s="314">
        <v>3</v>
      </c>
      <c r="C68" s="315" t="s">
        <v>12</v>
      </c>
      <c r="D68" s="291">
        <f>'Reversion Pagos R4'!D217</f>
        <v>-306659.8</v>
      </c>
      <c r="E68" s="292">
        <f>'Reversion Pagos R4'!E217</f>
        <v>-18693.55</v>
      </c>
      <c r="F68" s="292">
        <f>'Reversion Pagos R4'!F217</f>
        <v>-10379.85</v>
      </c>
      <c r="G68" s="292">
        <f>'Reversion Pagos R4'!G217</f>
        <v>-4689.01</v>
      </c>
      <c r="H68" s="292">
        <f>'Reversion Pagos R4'!H217</f>
        <v>-109918.57</v>
      </c>
      <c r="I68" s="292">
        <f>'Reversion Pagos R4'!I217</f>
        <v>-3364.6</v>
      </c>
      <c r="J68" s="288">
        <v>0</v>
      </c>
      <c r="K68" s="295">
        <f t="shared" si="24"/>
        <v>-159614.22</v>
      </c>
      <c r="L68" s="294">
        <v>0</v>
      </c>
      <c r="M68" s="295">
        <f>K68-L68</f>
        <v>-159614.22</v>
      </c>
      <c r="N68" s="294">
        <f>'Reversion Pagos R4'!P217</f>
        <v>0</v>
      </c>
      <c r="O68" s="295">
        <f t="shared" si="25"/>
        <v>-159614.22</v>
      </c>
      <c r="Q68" s="306"/>
      <c r="S68" s="314">
        <v>3</v>
      </c>
      <c r="T68" s="315" t="s">
        <v>12</v>
      </c>
      <c r="U68" s="316">
        <f>'Reversion Pagos R4'!J217</f>
        <v>-29514.26</v>
      </c>
      <c r="V68" s="317">
        <f>'Reversion Pagos R4'!K217</f>
        <v>-33174.65</v>
      </c>
      <c r="W68" s="317">
        <f>'Reversion Pagos R4'!L217</f>
        <v>-139418.01</v>
      </c>
      <c r="X68" s="317">
        <f>'Reversion Pagos R4'!M217</f>
        <v>-43609.04</v>
      </c>
      <c r="Y68" s="318">
        <f>'Reversion Pagos R4'!N217</f>
        <v>-5073.46</v>
      </c>
      <c r="Z68" s="319">
        <f t="shared" si="26"/>
        <v>0</v>
      </c>
      <c r="AA68" s="320">
        <f>'Reversion Pagos R4'!O217</f>
        <v>-0.6</v>
      </c>
      <c r="AB68" s="294">
        <f t="shared" si="27"/>
        <v>0</v>
      </c>
      <c r="AC68" s="320">
        <f>+'Reversion Pagos R4'!Q217+'Reversion Pagos R4'!R217</f>
        <v>0</v>
      </c>
      <c r="AD68" s="291">
        <f t="shared" si="28"/>
        <v>91175.8</v>
      </c>
      <c r="AE68" s="291">
        <f>'Reversion Pagos R4'!D218</f>
        <v>91175.8</v>
      </c>
      <c r="AF68" s="322">
        <f t="shared" ref="AF68:AF70" si="30">SUM(U68:AD68)</f>
        <v>-159614.22000000003</v>
      </c>
      <c r="AG68" s="323">
        <f t="shared" ref="AG68:AG70" si="31">(AF68-O68)</f>
        <v>-2.9103830456733704E-11</v>
      </c>
      <c r="AH68" s="1" t="b">
        <f t="shared" si="29"/>
        <v>0</v>
      </c>
      <c r="AI68" s="306"/>
    </row>
    <row r="69" spans="1:35" s="305" customFormat="1" x14ac:dyDescent="0.25">
      <c r="B69" s="314">
        <v>4</v>
      </c>
      <c r="C69" s="315" t="s">
        <v>13</v>
      </c>
      <c r="D69" s="291">
        <f>'Reversion Pagos R4'!D332</f>
        <v>-3233428.34</v>
      </c>
      <c r="E69" s="292">
        <f>'Reversion Pagos R4'!E332</f>
        <v>-244475.28</v>
      </c>
      <c r="F69" s="292">
        <f>'Reversion Pagos R4'!F332</f>
        <v>-136481.51999999999</v>
      </c>
      <c r="G69" s="292">
        <f>'Reversion Pagos R4'!G332</f>
        <v>-70069.759999999995</v>
      </c>
      <c r="H69" s="292">
        <f>'Reversion Pagos R4'!H332</f>
        <v>-874916.54</v>
      </c>
      <c r="I69" s="292">
        <f>'Reversion Pagos R4'!I332</f>
        <v>-29547.52</v>
      </c>
      <c r="J69" s="288">
        <v>0</v>
      </c>
      <c r="K69" s="295">
        <f t="shared" si="24"/>
        <v>-1877937.7200000002</v>
      </c>
      <c r="L69" s="294">
        <v>0</v>
      </c>
      <c r="M69" s="295">
        <f>K69-L69</f>
        <v>-1877937.7200000002</v>
      </c>
      <c r="N69" s="294">
        <f>'Reversion Pagos R4'!P332</f>
        <v>0</v>
      </c>
      <c r="O69" s="295">
        <f t="shared" si="25"/>
        <v>-1877937.7200000002</v>
      </c>
      <c r="Q69" s="306"/>
      <c r="S69" s="314">
        <v>4</v>
      </c>
      <c r="T69" s="315" t="s">
        <v>13</v>
      </c>
      <c r="U69" s="316">
        <f>'Reversion Pagos R4'!J332</f>
        <v>-287002.90999999997</v>
      </c>
      <c r="V69" s="317">
        <f>'Reversion Pagos R4'!K332</f>
        <v>-286014.33</v>
      </c>
      <c r="W69" s="317">
        <f>'Reversion Pagos R4'!L332</f>
        <v>-1382695.11</v>
      </c>
      <c r="X69" s="317">
        <f>'Reversion Pagos R4'!M332</f>
        <v>-664042.92000000004</v>
      </c>
      <c r="Y69" s="318">
        <f>'Reversion Pagos R4'!N332</f>
        <v>-49987.93</v>
      </c>
      <c r="Z69" s="319">
        <f t="shared" si="26"/>
        <v>0</v>
      </c>
      <c r="AA69" s="320">
        <f>'Reversion Pagos R4'!O332</f>
        <v>14.81</v>
      </c>
      <c r="AB69" s="294">
        <f t="shared" si="27"/>
        <v>0</v>
      </c>
      <c r="AC69" s="320">
        <f>+'Reversion Pagos R4'!Q332+'Reversion Pagos R4'!R332</f>
        <v>0</v>
      </c>
      <c r="AD69" s="291">
        <f t="shared" si="28"/>
        <v>791790.67</v>
      </c>
      <c r="AE69" s="291">
        <f>'Reversion Pagos R4'!D333</f>
        <v>791790.67</v>
      </c>
      <c r="AF69" s="322">
        <f>SUM(U69:AD69)</f>
        <v>-1877937.7200000002</v>
      </c>
      <c r="AG69" s="323">
        <f>(AF69-O69)</f>
        <v>0</v>
      </c>
      <c r="AH69" s="1" t="b">
        <f t="shared" si="29"/>
        <v>1</v>
      </c>
      <c r="AI69" s="306"/>
    </row>
    <row r="70" spans="1:35" s="305" customFormat="1" ht="12" thickBot="1" x14ac:dyDescent="0.3">
      <c r="B70" s="324">
        <v>5</v>
      </c>
      <c r="C70" s="325" t="s">
        <v>14</v>
      </c>
      <c r="D70" s="296">
        <f>'Reversion Pagos R4'!D367</f>
        <v>-1026775.53</v>
      </c>
      <c r="E70" s="297">
        <f>'Reversion Pagos R4'!E367</f>
        <v>-73382.63</v>
      </c>
      <c r="F70" s="297">
        <f>'Reversion Pagos R4'!F367</f>
        <v>-40062.910000000003</v>
      </c>
      <c r="G70" s="297">
        <f>'Reversion Pagos R4'!G367</f>
        <v>-21037.22</v>
      </c>
      <c r="H70" s="297">
        <f>'Reversion Pagos R4'!H367</f>
        <v>-237911.25</v>
      </c>
      <c r="I70" s="297">
        <f>'Reversion Pagos R4'!I367</f>
        <v>-6630.82</v>
      </c>
      <c r="J70" s="289">
        <v>0</v>
      </c>
      <c r="K70" s="295">
        <f t="shared" si="24"/>
        <v>-647750.70000000007</v>
      </c>
      <c r="L70" s="294">
        <v>0</v>
      </c>
      <c r="M70" s="298">
        <f>K70-L70</f>
        <v>-647750.70000000007</v>
      </c>
      <c r="N70" s="294">
        <f>'Reversion Pagos R4'!P367</f>
        <v>0</v>
      </c>
      <c r="O70" s="298">
        <f t="shared" si="25"/>
        <v>-647750.70000000007</v>
      </c>
      <c r="Q70" s="306"/>
      <c r="S70" s="324">
        <v>5</v>
      </c>
      <c r="T70" s="325" t="s">
        <v>14</v>
      </c>
      <c r="U70" s="296">
        <f>'Reversion Pagos R4'!J367</f>
        <v>-58163.8</v>
      </c>
      <c r="V70" s="297">
        <f>'Reversion Pagos R4'!K367</f>
        <v>-68993.55</v>
      </c>
      <c r="W70" s="297">
        <f>'Reversion Pagos R4'!L367</f>
        <v>-354139.53</v>
      </c>
      <c r="X70" s="297">
        <f>'Reversion Pagos R4'!M367</f>
        <v>-219912.31</v>
      </c>
      <c r="Y70" s="289">
        <f>'Reversion Pagos R4'!N367</f>
        <v>-10818.54</v>
      </c>
      <c r="Z70" s="319">
        <f t="shared" si="26"/>
        <v>0</v>
      </c>
      <c r="AA70" s="320">
        <f>'Reversion Pagos R4'!O367</f>
        <v>-11.35</v>
      </c>
      <c r="AB70" s="294">
        <f t="shared" si="27"/>
        <v>0</v>
      </c>
      <c r="AC70" s="320">
        <f>+'Reversion Pagos R4'!Q367+'Reversion Pagos R4'!R367</f>
        <v>0</v>
      </c>
      <c r="AD70" s="291">
        <f t="shared" si="28"/>
        <v>64288.38</v>
      </c>
      <c r="AE70" s="291">
        <f>'Reversion Pagos R4'!D368</f>
        <v>64288.38</v>
      </c>
      <c r="AF70" s="322">
        <f t="shared" si="30"/>
        <v>-647750.69999999995</v>
      </c>
      <c r="AG70" s="326">
        <f t="shared" si="31"/>
        <v>1.1641532182693481E-10</v>
      </c>
      <c r="AH70" s="1" t="b">
        <f t="shared" si="29"/>
        <v>1</v>
      </c>
      <c r="AI70" s="306"/>
    </row>
    <row r="71" spans="1:35" s="305" customFormat="1" ht="13.5" thickBot="1" x14ac:dyDescent="0.35">
      <c r="B71" s="327"/>
      <c r="C71" s="328" t="s">
        <v>2</v>
      </c>
      <c r="D71" s="290">
        <f t="shared" ref="D71:O71" si="32">SUM(D66:D70)</f>
        <v>-5860365.0600000005</v>
      </c>
      <c r="E71" s="290">
        <f t="shared" si="32"/>
        <v>-428615.01</v>
      </c>
      <c r="F71" s="290">
        <f t="shared" si="32"/>
        <v>-237756.68</v>
      </c>
      <c r="G71" s="290">
        <f t="shared" si="32"/>
        <v>-122846.2</v>
      </c>
      <c r="H71" s="290">
        <f t="shared" si="32"/>
        <v>-1494766.3800000001</v>
      </c>
      <c r="I71" s="290">
        <f t="shared" si="32"/>
        <v>-46659.360000000001</v>
      </c>
      <c r="J71" s="290">
        <f t="shared" si="32"/>
        <v>0</v>
      </c>
      <c r="K71" s="300">
        <f t="shared" si="32"/>
        <v>-3529721.43</v>
      </c>
      <c r="L71" s="301">
        <f t="shared" si="32"/>
        <v>0</v>
      </c>
      <c r="M71" s="302">
        <f t="shared" si="32"/>
        <v>-3529721.43</v>
      </c>
      <c r="N71" s="301">
        <f t="shared" si="32"/>
        <v>0</v>
      </c>
      <c r="O71" s="302">
        <f t="shared" si="32"/>
        <v>-3529721.43</v>
      </c>
      <c r="P71" s="329"/>
      <c r="Q71" s="306"/>
      <c r="S71" s="327"/>
      <c r="T71" s="328" t="s">
        <v>2</v>
      </c>
      <c r="U71" s="330">
        <f>SUM(U66:U70)</f>
        <v>-453393.19999999995</v>
      </c>
      <c r="V71" s="330">
        <f t="shared" ref="V71:AG71" si="33">SUM(V66:V70)</f>
        <v>-461099.68</v>
      </c>
      <c r="W71" s="330">
        <f t="shared" si="33"/>
        <v>-2213753.83</v>
      </c>
      <c r="X71" s="330">
        <f t="shared" si="33"/>
        <v>-1126722.0900000001</v>
      </c>
      <c r="Y71" s="330">
        <f t="shared" si="33"/>
        <v>-77068.989999999991</v>
      </c>
      <c r="Z71" s="290">
        <f t="shared" si="33"/>
        <v>0</v>
      </c>
      <c r="AA71" s="290">
        <f>SUM(AA66:AA70)</f>
        <v>-2.8899999999999988</v>
      </c>
      <c r="AB71" s="290">
        <f t="shared" si="33"/>
        <v>0</v>
      </c>
      <c r="AC71" s="290">
        <f t="shared" si="33"/>
        <v>0</v>
      </c>
      <c r="AD71" s="290">
        <f>SUM(AD66:AD70)</f>
        <v>802319.25000000012</v>
      </c>
      <c r="AE71" s="290">
        <f>SUM(AE66:AE70)</f>
        <v>802319.25000000012</v>
      </c>
      <c r="AF71" s="331">
        <f t="shared" si="33"/>
        <v>-3529721.4300000006</v>
      </c>
      <c r="AG71" s="332">
        <f t="shared" si="33"/>
        <v>-4.3655745685100555E-11</v>
      </c>
      <c r="AH71" s="1" t="b">
        <f t="shared" si="29"/>
        <v>0</v>
      </c>
      <c r="AI71" s="306"/>
    </row>
    <row r="72" spans="1:35" ht="12" thickBot="1" x14ac:dyDescent="0.3">
      <c r="B72" s="2"/>
      <c r="C72" s="2"/>
      <c r="D72" s="24"/>
      <c r="E72" s="24"/>
      <c r="F72" s="24"/>
      <c r="G72" s="24"/>
      <c r="H72" s="24"/>
      <c r="I72" s="24"/>
      <c r="K72" s="24"/>
      <c r="L72" s="24"/>
      <c r="M72" s="24"/>
      <c r="N72" s="24"/>
      <c r="O72" s="24"/>
      <c r="Q72" s="4"/>
      <c r="S72" s="2"/>
      <c r="T72" s="2"/>
      <c r="U72" s="24"/>
      <c r="V72" s="24"/>
      <c r="W72" s="24"/>
      <c r="X72" s="24"/>
      <c r="Y72" s="24"/>
      <c r="AF72" s="24"/>
      <c r="AI72" s="4"/>
    </row>
    <row r="73" spans="1:35" ht="12" thickBot="1" x14ac:dyDescent="0.3">
      <c r="B73" s="2"/>
      <c r="C73" s="2"/>
      <c r="D73" s="24" t="s">
        <v>1</v>
      </c>
      <c r="E73" s="24"/>
      <c r="F73" s="24"/>
      <c r="G73" s="24"/>
      <c r="H73" s="24"/>
      <c r="I73" s="24"/>
      <c r="K73" s="24"/>
      <c r="L73" s="24"/>
      <c r="M73" s="24"/>
      <c r="N73" s="24"/>
      <c r="O73" s="24"/>
      <c r="Q73" s="4"/>
      <c r="Y73" s="86">
        <f>SUM(U71:Y71)</f>
        <v>-4332037.79</v>
      </c>
      <c r="AF73" s="1" t="s">
        <v>1</v>
      </c>
      <c r="AI73" s="4"/>
    </row>
    <row r="74" spans="1:35" ht="12" thickBot="1" x14ac:dyDescent="0.3">
      <c r="B74" s="2"/>
      <c r="C74" s="2"/>
      <c r="D74" s="24" t="s">
        <v>1</v>
      </c>
      <c r="E74" s="33"/>
      <c r="F74" s="33"/>
      <c r="G74" s="33"/>
      <c r="H74" s="33"/>
      <c r="I74" s="24"/>
      <c r="K74" s="24"/>
      <c r="L74" s="24"/>
      <c r="M74" s="24"/>
      <c r="N74" s="24"/>
      <c r="O74" s="24"/>
      <c r="Q74" s="4"/>
      <c r="AI74" s="4"/>
    </row>
    <row r="75" spans="1:35" x14ac:dyDescent="0.25">
      <c r="B75" s="2"/>
      <c r="C75" s="2"/>
      <c r="D75" s="24" t="s">
        <v>1</v>
      </c>
      <c r="E75" s="24" t="s">
        <v>1</v>
      </c>
      <c r="F75" s="24" t="s">
        <v>25</v>
      </c>
      <c r="G75" s="24"/>
      <c r="H75" s="24"/>
      <c r="I75" s="24"/>
      <c r="K75" s="24"/>
      <c r="L75" s="24"/>
      <c r="M75" s="24"/>
      <c r="N75" s="24"/>
      <c r="O75" s="24"/>
      <c r="Q75" s="4"/>
      <c r="AI75" s="4"/>
    </row>
    <row r="76" spans="1:35" x14ac:dyDescent="0.25">
      <c r="A76" s="4"/>
      <c r="B76" s="34"/>
      <c r="C76" s="34"/>
      <c r="D76" s="35"/>
      <c r="E76" s="35"/>
      <c r="F76" s="35"/>
      <c r="G76" s="35"/>
      <c r="H76" s="35"/>
      <c r="I76" s="35"/>
      <c r="J76" s="4"/>
      <c r="K76" s="35"/>
      <c r="L76" s="35"/>
      <c r="M76" s="35"/>
      <c r="N76" s="35"/>
      <c r="O76" s="35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  <c r="AE76" s="4"/>
      <c r="AF76" s="4"/>
      <c r="AG76" s="4"/>
      <c r="AH76" s="4"/>
      <c r="AI76" s="4"/>
    </row>
    <row r="77" spans="1:35" ht="12" thickBot="1" x14ac:dyDescent="0.3">
      <c r="Q77" s="4"/>
      <c r="AI77" s="4"/>
    </row>
    <row r="78" spans="1:35" x14ac:dyDescent="0.25">
      <c r="B78" s="5"/>
      <c r="C78" s="3" t="s">
        <v>1</v>
      </c>
      <c r="D78" s="6" t="s">
        <v>1</v>
      </c>
      <c r="E78" s="3"/>
      <c r="F78" s="3"/>
      <c r="G78" s="3"/>
      <c r="H78" s="3" t="s">
        <v>1</v>
      </c>
      <c r="I78" s="3"/>
      <c r="J78" s="3"/>
      <c r="K78" s="3"/>
      <c r="L78" s="3"/>
      <c r="M78" s="3"/>
      <c r="N78" s="3"/>
      <c r="O78" s="7"/>
      <c r="P78" s="2"/>
      <c r="Q78" s="4"/>
      <c r="S78" s="5"/>
      <c r="T78" s="3" t="s">
        <v>1</v>
      </c>
      <c r="U78" s="6" t="s">
        <v>1</v>
      </c>
      <c r="V78" s="3"/>
      <c r="W78" s="3"/>
      <c r="X78" s="3" t="s">
        <v>1</v>
      </c>
      <c r="Y78" s="3"/>
      <c r="Z78" s="3"/>
      <c r="AA78" s="3"/>
      <c r="AB78" s="3"/>
      <c r="AC78" s="3"/>
      <c r="AD78" s="3"/>
      <c r="AE78" s="3"/>
      <c r="AF78" s="7"/>
      <c r="AG78" s="2"/>
      <c r="AI78" s="4"/>
    </row>
    <row r="79" spans="1:35" ht="14" x14ac:dyDescent="0.3">
      <c r="B79" s="8"/>
      <c r="F79" s="26" t="s">
        <v>8</v>
      </c>
      <c r="G79" s="26"/>
      <c r="I79" s="26" t="s">
        <v>16</v>
      </c>
      <c r="J79" s="25"/>
      <c r="M79" s="2" t="s">
        <v>15</v>
      </c>
      <c r="N79" s="50">
        <f>N3</f>
        <v>2026072</v>
      </c>
      <c r="O79" s="10"/>
      <c r="P79" s="2"/>
      <c r="Q79" s="4"/>
      <c r="S79" s="8"/>
      <c r="U79" s="26" t="s">
        <v>8</v>
      </c>
      <c r="W79" s="26" t="s">
        <v>16</v>
      </c>
      <c r="X79" s="25"/>
      <c r="Y79" s="2"/>
      <c r="AA79" s="2" t="s">
        <v>15</v>
      </c>
      <c r="AD79" s="84">
        <f>N79</f>
        <v>2026072</v>
      </c>
      <c r="AE79" s="84"/>
      <c r="AF79" s="48"/>
      <c r="AG79" s="2"/>
      <c r="AI79" s="4"/>
    </row>
    <row r="80" spans="1:35" ht="15.5" x14ac:dyDescent="0.35">
      <c r="B80" s="8"/>
      <c r="F80" s="36" t="s">
        <v>29</v>
      </c>
      <c r="G80" s="36"/>
      <c r="O80" s="10"/>
      <c r="P80" s="2"/>
      <c r="Q80" s="4"/>
      <c r="S80" s="8"/>
      <c r="T80" s="26" t="s">
        <v>1</v>
      </c>
      <c r="U80" s="36" t="s">
        <v>29</v>
      </c>
      <c r="Y80" s="2" t="s">
        <v>1</v>
      </c>
      <c r="AA80" s="50" t="s">
        <v>1</v>
      </c>
      <c r="AB80" s="2"/>
      <c r="AC80" s="2"/>
      <c r="AD80" s="2"/>
      <c r="AE80" s="2"/>
      <c r="AF80" s="10" t="s">
        <v>1</v>
      </c>
      <c r="AG80" s="2"/>
      <c r="AI80" s="4"/>
    </row>
    <row r="81" spans="1:35" ht="14" x14ac:dyDescent="0.3">
      <c r="B81" s="8"/>
      <c r="F81" s="2" t="s">
        <v>30</v>
      </c>
      <c r="G81" s="2"/>
      <c r="M81" s="2" t="s">
        <v>1</v>
      </c>
      <c r="O81" s="10"/>
      <c r="P81" s="2"/>
      <c r="Q81" s="4"/>
      <c r="S81" s="8"/>
      <c r="T81" s="49" t="s">
        <v>1</v>
      </c>
      <c r="U81" s="2" t="s">
        <v>30</v>
      </c>
      <c r="AF81" s="44"/>
      <c r="AG81" s="2"/>
      <c r="AI81" s="4"/>
    </row>
    <row r="82" spans="1:35" ht="15.5" x14ac:dyDescent="0.35">
      <c r="B82" s="8"/>
      <c r="C82" s="599" t="s">
        <v>17</v>
      </c>
      <c r="D82" s="9">
        <f>D6</f>
        <v>46238</v>
      </c>
      <c r="F82" s="41" t="s">
        <v>126</v>
      </c>
      <c r="G82" s="41"/>
      <c r="H82" s="2"/>
      <c r="J82" s="2"/>
      <c r="O82" s="10"/>
      <c r="P82" s="2"/>
      <c r="Q82" s="4"/>
      <c r="S82" s="8"/>
      <c r="T82" s="41" t="s">
        <v>1</v>
      </c>
      <c r="U82" s="41" t="s">
        <v>34</v>
      </c>
      <c r="V82" s="2"/>
      <c r="X82" s="2"/>
      <c r="Y82" s="2"/>
      <c r="AF82" s="48"/>
      <c r="AG82" s="2"/>
      <c r="AI82" s="4"/>
    </row>
    <row r="83" spans="1:35" ht="12" thickBot="1" x14ac:dyDescent="0.3">
      <c r="B83" s="8"/>
      <c r="C83" s="599" t="s">
        <v>0</v>
      </c>
      <c r="D83" s="241">
        <f>D7</f>
        <v>0.58333333333333337</v>
      </c>
      <c r="F83" s="2" t="s">
        <v>27</v>
      </c>
      <c r="G83" s="9">
        <f>G7</f>
        <v>46219</v>
      </c>
      <c r="J83" s="2" t="s">
        <v>28</v>
      </c>
      <c r="K83" s="9">
        <f>K7</f>
        <v>46234</v>
      </c>
      <c r="O83" s="10"/>
      <c r="P83" s="2"/>
      <c r="Q83" s="4"/>
      <c r="S83" s="8"/>
      <c r="U83" s="1" t="str">
        <f>F83</f>
        <v>Fecha Desde:</v>
      </c>
      <c r="V83" s="9">
        <f>G83</f>
        <v>46219</v>
      </c>
      <c r="W83" s="1" t="s">
        <v>1</v>
      </c>
      <c r="X83" s="1" t="str">
        <f>J83</f>
        <v>Feha Hasta:</v>
      </c>
      <c r="Y83" s="9">
        <f>K83</f>
        <v>46234</v>
      </c>
      <c r="Z83" s="1" t="s">
        <v>1</v>
      </c>
      <c r="AF83" s="48"/>
      <c r="AG83" s="2"/>
      <c r="AI83" s="4"/>
    </row>
    <row r="84" spans="1:35" ht="72" customHeight="1" thickBot="1" x14ac:dyDescent="0.3">
      <c r="B84" s="11" t="s">
        <v>3</v>
      </c>
      <c r="C84" s="27" t="s">
        <v>9</v>
      </c>
      <c r="D84" s="11" t="s">
        <v>4</v>
      </c>
      <c r="E84" s="12" t="s">
        <v>5</v>
      </c>
      <c r="F84" s="27" t="s">
        <v>6</v>
      </c>
      <c r="G84" s="27" t="s">
        <v>159</v>
      </c>
      <c r="H84" s="27" t="s">
        <v>18</v>
      </c>
      <c r="I84" s="12" t="s">
        <v>24</v>
      </c>
      <c r="J84" s="73" t="s">
        <v>19</v>
      </c>
      <c r="K84" s="29" t="s">
        <v>20</v>
      </c>
      <c r="L84" s="28" t="s">
        <v>21</v>
      </c>
      <c r="M84" s="39" t="s">
        <v>22</v>
      </c>
      <c r="N84" s="12" t="s">
        <v>7</v>
      </c>
      <c r="O84" s="39" t="s">
        <v>23</v>
      </c>
      <c r="P84" s="13"/>
      <c r="Q84" s="4"/>
      <c r="S84" s="11" t="s">
        <v>3</v>
      </c>
      <c r="T84" s="27" t="s">
        <v>9</v>
      </c>
      <c r="U84" s="162" t="s">
        <v>39</v>
      </c>
      <c r="V84" s="163" t="s">
        <v>40</v>
      </c>
      <c r="W84" s="163" t="s">
        <v>41</v>
      </c>
      <c r="X84" s="163" t="s">
        <v>42</v>
      </c>
      <c r="Y84" s="164" t="s">
        <v>43</v>
      </c>
      <c r="Z84" s="85" t="s">
        <v>21</v>
      </c>
      <c r="AA84" s="65" t="s">
        <v>46</v>
      </c>
      <c r="AB84" s="65" t="s">
        <v>7</v>
      </c>
      <c r="AC84" s="85" t="s">
        <v>168</v>
      </c>
      <c r="AD84" s="121" t="s">
        <v>105</v>
      </c>
      <c r="AE84" s="121" t="s">
        <v>104</v>
      </c>
      <c r="AF84" s="39" t="s">
        <v>23</v>
      </c>
      <c r="AG84" s="13"/>
      <c r="AI84" s="4"/>
    </row>
    <row r="85" spans="1:35" s="305" customFormat="1" x14ac:dyDescent="0.25">
      <c r="B85" s="303">
        <v>1</v>
      </c>
      <c r="C85" s="304" t="s">
        <v>10</v>
      </c>
      <c r="D85" s="291">
        <v>0</v>
      </c>
      <c r="E85" s="292">
        <v>0</v>
      </c>
      <c r="F85" s="292">
        <v>0</v>
      </c>
      <c r="G85" s="292">
        <v>0</v>
      </c>
      <c r="H85" s="292">
        <v>0</v>
      </c>
      <c r="I85" s="292">
        <v>0</v>
      </c>
      <c r="J85" s="288">
        <v>0</v>
      </c>
      <c r="K85" s="293">
        <f>D85-E85-F85-G85-H85-I85-J85</f>
        <v>0</v>
      </c>
      <c r="L85" s="294">
        <v>0</v>
      </c>
      <c r="M85" s="293">
        <f>K85-L85</f>
        <v>0</v>
      </c>
      <c r="N85" s="294">
        <v>0</v>
      </c>
      <c r="O85" s="293">
        <f>M85+N85</f>
        <v>0</v>
      </c>
      <c r="Q85" s="306"/>
      <c r="S85" s="303">
        <v>1</v>
      </c>
      <c r="T85" s="304" t="s">
        <v>10</v>
      </c>
      <c r="U85" s="307">
        <v>0</v>
      </c>
      <c r="V85" s="308">
        <v>0</v>
      </c>
      <c r="W85" s="308">
        <v>0</v>
      </c>
      <c r="X85" s="308">
        <v>0</v>
      </c>
      <c r="Y85" s="309">
        <v>0</v>
      </c>
      <c r="Z85" s="310">
        <v>0</v>
      </c>
      <c r="AA85" s="310">
        <v>0</v>
      </c>
      <c r="AB85" s="310">
        <v>0</v>
      </c>
      <c r="AC85" s="311">
        <v>0</v>
      </c>
      <c r="AD85" s="310">
        <v>0</v>
      </c>
      <c r="AE85" s="310">
        <v>0</v>
      </c>
      <c r="AF85" s="313">
        <f>SUM(U85:AD85)</f>
        <v>0</v>
      </c>
      <c r="AG85" s="311">
        <f>AF85-O85</f>
        <v>0</v>
      </c>
      <c r="AH85" s="1" t="b">
        <f>INT(AG85)=0</f>
        <v>1</v>
      </c>
      <c r="AI85" s="306"/>
    </row>
    <row r="86" spans="1:35" s="305" customFormat="1" x14ac:dyDescent="0.25">
      <c r="B86" s="314">
        <v>2</v>
      </c>
      <c r="C86" s="315" t="s">
        <v>11</v>
      </c>
      <c r="D86" s="291">
        <v>0</v>
      </c>
      <c r="E86" s="292">
        <v>0</v>
      </c>
      <c r="F86" s="292">
        <v>0</v>
      </c>
      <c r="G86" s="292">
        <v>0</v>
      </c>
      <c r="H86" s="292">
        <v>0</v>
      </c>
      <c r="I86" s="292">
        <v>0</v>
      </c>
      <c r="J86" s="288">
        <v>0</v>
      </c>
      <c r="K86" s="295">
        <f t="shared" ref="K86:K89" si="34">D86-E86-F86-G86-H86-I86-J86</f>
        <v>0</v>
      </c>
      <c r="L86" s="294">
        <v>0</v>
      </c>
      <c r="M86" s="295">
        <f>K86-L86</f>
        <v>0</v>
      </c>
      <c r="N86" s="294">
        <v>0</v>
      </c>
      <c r="O86" s="295">
        <f t="shared" ref="O86:O89" si="35">M86+N86</f>
        <v>0</v>
      </c>
      <c r="Q86" s="306"/>
      <c r="S86" s="314">
        <v>2</v>
      </c>
      <c r="T86" s="315" t="s">
        <v>11</v>
      </c>
      <c r="U86" s="316">
        <v>0</v>
      </c>
      <c r="V86" s="317">
        <v>0</v>
      </c>
      <c r="W86" s="317">
        <v>0</v>
      </c>
      <c r="X86" s="317">
        <v>0</v>
      </c>
      <c r="Y86" s="318">
        <v>0</v>
      </c>
      <c r="Z86" s="319">
        <v>0</v>
      </c>
      <c r="AA86" s="319">
        <v>0</v>
      </c>
      <c r="AB86" s="319">
        <v>0</v>
      </c>
      <c r="AC86" s="320">
        <v>0</v>
      </c>
      <c r="AD86" s="319">
        <v>0</v>
      </c>
      <c r="AE86" s="319">
        <v>0</v>
      </c>
      <c r="AF86" s="322">
        <f>SUM(U86:AD86)</f>
        <v>0</v>
      </c>
      <c r="AG86" s="323">
        <f>AF86-O86</f>
        <v>0</v>
      </c>
      <c r="AH86" s="1" t="b">
        <f t="shared" ref="AH86:AH90" si="36">INT(AG86)=0</f>
        <v>1</v>
      </c>
      <c r="AI86" s="306"/>
    </row>
    <row r="87" spans="1:35" s="305" customFormat="1" x14ac:dyDescent="0.25">
      <c r="B87" s="314">
        <v>3</v>
      </c>
      <c r="C87" s="315" t="s">
        <v>12</v>
      </c>
      <c r="D87" s="291">
        <v>0</v>
      </c>
      <c r="E87" s="292">
        <v>0</v>
      </c>
      <c r="F87" s="292">
        <v>0</v>
      </c>
      <c r="G87" s="292">
        <v>0</v>
      </c>
      <c r="H87" s="292">
        <v>0</v>
      </c>
      <c r="I87" s="292">
        <v>0</v>
      </c>
      <c r="J87" s="288">
        <v>0</v>
      </c>
      <c r="K87" s="295">
        <f t="shared" si="34"/>
        <v>0</v>
      </c>
      <c r="L87" s="294">
        <v>0</v>
      </c>
      <c r="M87" s="295">
        <f>K87-L87</f>
        <v>0</v>
      </c>
      <c r="N87" s="294">
        <v>0</v>
      </c>
      <c r="O87" s="295">
        <f t="shared" si="35"/>
        <v>0</v>
      </c>
      <c r="Q87" s="306"/>
      <c r="S87" s="314">
        <v>3</v>
      </c>
      <c r="T87" s="315" t="s">
        <v>12</v>
      </c>
      <c r="U87" s="316">
        <v>0</v>
      </c>
      <c r="V87" s="317">
        <v>0</v>
      </c>
      <c r="W87" s="317">
        <v>0</v>
      </c>
      <c r="X87" s="317">
        <v>0</v>
      </c>
      <c r="Y87" s="318">
        <v>0</v>
      </c>
      <c r="Z87" s="319">
        <v>0</v>
      </c>
      <c r="AA87" s="319">
        <v>0</v>
      </c>
      <c r="AB87" s="319">
        <v>0</v>
      </c>
      <c r="AC87" s="320">
        <v>0</v>
      </c>
      <c r="AD87" s="319">
        <v>0</v>
      </c>
      <c r="AE87" s="319">
        <v>0</v>
      </c>
      <c r="AF87" s="322">
        <f t="shared" ref="AF87:AF89" si="37">SUM(U87:AD87)</f>
        <v>0</v>
      </c>
      <c r="AG87" s="323">
        <f>AF87-O87</f>
        <v>0</v>
      </c>
      <c r="AH87" s="1" t="b">
        <f t="shared" si="36"/>
        <v>1</v>
      </c>
      <c r="AI87" s="306"/>
    </row>
    <row r="88" spans="1:35" s="305" customFormat="1" x14ac:dyDescent="0.25">
      <c r="B88" s="314">
        <v>4</v>
      </c>
      <c r="C88" s="315" t="s">
        <v>13</v>
      </c>
      <c r="D88" s="291">
        <v>0</v>
      </c>
      <c r="E88" s="292">
        <v>0</v>
      </c>
      <c r="F88" s="292">
        <v>0</v>
      </c>
      <c r="G88" s="292">
        <v>0</v>
      </c>
      <c r="H88" s="292">
        <v>0</v>
      </c>
      <c r="I88" s="292">
        <v>0</v>
      </c>
      <c r="J88" s="288">
        <v>0</v>
      </c>
      <c r="K88" s="295">
        <f t="shared" si="34"/>
        <v>0</v>
      </c>
      <c r="L88" s="294">
        <v>0</v>
      </c>
      <c r="M88" s="295">
        <f>K88-L88</f>
        <v>0</v>
      </c>
      <c r="N88" s="294">
        <v>0</v>
      </c>
      <c r="O88" s="295">
        <f t="shared" si="35"/>
        <v>0</v>
      </c>
      <c r="Q88" s="306"/>
      <c r="S88" s="314">
        <v>4</v>
      </c>
      <c r="T88" s="315" t="s">
        <v>13</v>
      </c>
      <c r="U88" s="316">
        <v>0</v>
      </c>
      <c r="V88" s="317">
        <v>0</v>
      </c>
      <c r="W88" s="317">
        <v>0</v>
      </c>
      <c r="X88" s="317">
        <v>0</v>
      </c>
      <c r="Y88" s="318">
        <v>0</v>
      </c>
      <c r="Z88" s="319">
        <v>0</v>
      </c>
      <c r="AA88" s="319">
        <v>0</v>
      </c>
      <c r="AB88" s="319">
        <v>0</v>
      </c>
      <c r="AC88" s="320">
        <v>0</v>
      </c>
      <c r="AD88" s="319">
        <v>0</v>
      </c>
      <c r="AE88" s="319">
        <v>0</v>
      </c>
      <c r="AF88" s="322">
        <f t="shared" si="37"/>
        <v>0</v>
      </c>
      <c r="AG88" s="323">
        <f>AF88-O88</f>
        <v>0</v>
      </c>
      <c r="AH88" s="1" t="b">
        <f t="shared" si="36"/>
        <v>1</v>
      </c>
      <c r="AI88" s="306"/>
    </row>
    <row r="89" spans="1:35" s="305" customFormat="1" ht="12" thickBot="1" x14ac:dyDescent="0.3">
      <c r="B89" s="324">
        <v>5</v>
      </c>
      <c r="C89" s="325" t="s">
        <v>14</v>
      </c>
      <c r="D89" s="296">
        <v>0</v>
      </c>
      <c r="E89" s="297">
        <v>0</v>
      </c>
      <c r="F89" s="297">
        <v>0</v>
      </c>
      <c r="G89" s="297">
        <v>0</v>
      </c>
      <c r="H89" s="297">
        <v>0</v>
      </c>
      <c r="I89" s="297">
        <v>0</v>
      </c>
      <c r="J89" s="289">
        <v>0</v>
      </c>
      <c r="K89" s="295">
        <f t="shared" si="34"/>
        <v>0</v>
      </c>
      <c r="L89" s="294">
        <v>0</v>
      </c>
      <c r="M89" s="298">
        <f>K89-L89</f>
        <v>0</v>
      </c>
      <c r="N89" s="299">
        <v>0</v>
      </c>
      <c r="O89" s="298">
        <f t="shared" si="35"/>
        <v>0</v>
      </c>
      <c r="Q89" s="306"/>
      <c r="S89" s="324">
        <v>5</v>
      </c>
      <c r="T89" s="325" t="s">
        <v>14</v>
      </c>
      <c r="U89" s="296">
        <v>0</v>
      </c>
      <c r="V89" s="297">
        <v>0</v>
      </c>
      <c r="W89" s="297">
        <v>0</v>
      </c>
      <c r="X89" s="297">
        <v>0</v>
      </c>
      <c r="Y89" s="289">
        <v>0</v>
      </c>
      <c r="Z89" s="319">
        <v>0</v>
      </c>
      <c r="AA89" s="319">
        <v>0</v>
      </c>
      <c r="AB89" s="319">
        <v>0</v>
      </c>
      <c r="AC89" s="320">
        <v>0</v>
      </c>
      <c r="AD89" s="319">
        <v>0</v>
      </c>
      <c r="AE89" s="319">
        <v>0</v>
      </c>
      <c r="AF89" s="322">
        <f t="shared" si="37"/>
        <v>0</v>
      </c>
      <c r="AG89" s="326">
        <f>AF89-O89</f>
        <v>0</v>
      </c>
      <c r="AH89" s="1" t="b">
        <f t="shared" si="36"/>
        <v>1</v>
      </c>
      <c r="AI89" s="306"/>
    </row>
    <row r="90" spans="1:35" s="305" customFormat="1" ht="13.5" thickBot="1" x14ac:dyDescent="0.35">
      <c r="B90" s="327"/>
      <c r="C90" s="328" t="s">
        <v>2</v>
      </c>
      <c r="D90" s="290">
        <f t="shared" ref="D90:O90" si="38">SUM(D85:D89)</f>
        <v>0</v>
      </c>
      <c r="E90" s="290">
        <f t="shared" si="38"/>
        <v>0</v>
      </c>
      <c r="F90" s="290">
        <f t="shared" si="38"/>
        <v>0</v>
      </c>
      <c r="G90" s="290">
        <f t="shared" si="38"/>
        <v>0</v>
      </c>
      <c r="H90" s="290">
        <f t="shared" si="38"/>
        <v>0</v>
      </c>
      <c r="I90" s="290">
        <f t="shared" si="38"/>
        <v>0</v>
      </c>
      <c r="J90" s="290">
        <f t="shared" si="38"/>
        <v>0</v>
      </c>
      <c r="K90" s="300">
        <f t="shared" si="38"/>
        <v>0</v>
      </c>
      <c r="L90" s="301">
        <f t="shared" si="38"/>
        <v>0</v>
      </c>
      <c r="M90" s="302">
        <f t="shared" si="38"/>
        <v>0</v>
      </c>
      <c r="N90" s="301">
        <f t="shared" si="38"/>
        <v>0</v>
      </c>
      <c r="O90" s="302">
        <f t="shared" si="38"/>
        <v>0</v>
      </c>
      <c r="P90" s="329"/>
      <c r="Q90" s="306"/>
      <c r="S90" s="327"/>
      <c r="T90" s="328" t="s">
        <v>2</v>
      </c>
      <c r="U90" s="330">
        <f>SUM(U85:U89)</f>
        <v>0</v>
      </c>
      <c r="V90" s="330">
        <f t="shared" ref="V90:AG90" si="39">SUM(V85:V89)</f>
        <v>0</v>
      </c>
      <c r="W90" s="330">
        <f t="shared" si="39"/>
        <v>0</v>
      </c>
      <c r="X90" s="330">
        <f t="shared" si="39"/>
        <v>0</v>
      </c>
      <c r="Y90" s="330">
        <f t="shared" si="39"/>
        <v>0</v>
      </c>
      <c r="Z90" s="290">
        <f t="shared" si="39"/>
        <v>0</v>
      </c>
      <c r="AA90" s="290">
        <f t="shared" si="39"/>
        <v>0</v>
      </c>
      <c r="AB90" s="290">
        <f t="shared" si="39"/>
        <v>0</v>
      </c>
      <c r="AC90" s="290">
        <f t="shared" si="39"/>
        <v>0</v>
      </c>
      <c r="AD90" s="290">
        <f t="shared" si="39"/>
        <v>0</v>
      </c>
      <c r="AE90" s="290">
        <f t="shared" si="39"/>
        <v>0</v>
      </c>
      <c r="AF90" s="331">
        <f t="shared" si="39"/>
        <v>0</v>
      </c>
      <c r="AG90" s="332">
        <f t="shared" si="39"/>
        <v>0</v>
      </c>
      <c r="AH90" s="1" t="b">
        <f t="shared" si="36"/>
        <v>1</v>
      </c>
      <c r="AI90" s="306"/>
    </row>
    <row r="91" spans="1:35" ht="12" thickBot="1" x14ac:dyDescent="0.3">
      <c r="B91" s="2"/>
      <c r="C91" s="2"/>
      <c r="D91" s="24"/>
      <c r="E91" s="24"/>
      <c r="F91" s="24"/>
      <c r="G91" s="24"/>
      <c r="H91" s="24"/>
      <c r="I91" s="24"/>
      <c r="K91" s="24"/>
      <c r="L91" s="24"/>
      <c r="M91" s="24"/>
      <c r="N91" s="24"/>
      <c r="O91" s="24"/>
      <c r="Q91" s="4"/>
      <c r="S91" s="2"/>
      <c r="T91" s="2"/>
      <c r="U91" s="24"/>
      <c r="V91" s="24"/>
      <c r="W91" s="24"/>
      <c r="X91" s="24"/>
      <c r="Y91" s="24"/>
      <c r="AF91" s="24"/>
      <c r="AI91" s="4"/>
    </row>
    <row r="92" spans="1:35" ht="12" thickBot="1" x14ac:dyDescent="0.3">
      <c r="B92" s="2"/>
      <c r="C92" s="2"/>
      <c r="D92" s="24" t="s">
        <v>1</v>
      </c>
      <c r="E92" s="24"/>
      <c r="F92" s="24"/>
      <c r="G92" s="24"/>
      <c r="H92" s="24"/>
      <c r="I92" s="24"/>
      <c r="K92" s="24"/>
      <c r="L92" s="24"/>
      <c r="M92" s="24"/>
      <c r="N92" s="24"/>
      <c r="O92" s="24"/>
      <c r="Q92" s="4"/>
      <c r="Y92" s="86">
        <f>SUM(U90:Y90)</f>
        <v>0</v>
      </c>
      <c r="AA92" s="1" t="s">
        <v>1</v>
      </c>
      <c r="AB92" s="1" t="s">
        <v>1</v>
      </c>
      <c r="AD92" s="1" t="s">
        <v>1</v>
      </c>
      <c r="AF92" s="1" t="s">
        <v>1</v>
      </c>
      <c r="AI92" s="4"/>
    </row>
    <row r="93" spans="1:35" ht="12" thickBot="1" x14ac:dyDescent="0.3">
      <c r="B93" s="2"/>
      <c r="C93" s="2"/>
      <c r="D93" s="24" t="s">
        <v>1</v>
      </c>
      <c r="E93" s="33"/>
      <c r="F93" s="33"/>
      <c r="G93" s="33"/>
      <c r="H93" s="33"/>
      <c r="I93" s="24"/>
      <c r="K93" s="24"/>
      <c r="L93" s="24"/>
      <c r="M93" s="24"/>
      <c r="N93" s="24"/>
      <c r="O93" s="24"/>
      <c r="Q93" s="4"/>
      <c r="AI93" s="4"/>
    </row>
    <row r="94" spans="1:35" x14ac:dyDescent="0.25">
      <c r="B94" s="2"/>
      <c r="C94" s="2"/>
      <c r="D94" s="24" t="s">
        <v>1</v>
      </c>
      <c r="E94" s="24" t="s">
        <v>1</v>
      </c>
      <c r="F94" s="24" t="s">
        <v>25</v>
      </c>
      <c r="G94" s="24"/>
      <c r="H94" s="24"/>
      <c r="I94" s="24"/>
      <c r="K94" s="24"/>
      <c r="L94" s="24"/>
      <c r="M94" s="24"/>
      <c r="N94" s="24"/>
      <c r="O94" s="24"/>
      <c r="Q94" s="4"/>
      <c r="AI94" s="4"/>
    </row>
    <row r="95" spans="1:35" x14ac:dyDescent="0.25">
      <c r="A95" s="4"/>
      <c r="B95" s="34"/>
      <c r="C95" s="34"/>
      <c r="D95" s="35"/>
      <c r="E95" s="35"/>
      <c r="F95" s="35"/>
      <c r="G95" s="35"/>
      <c r="H95" s="35"/>
      <c r="I95" s="35"/>
      <c r="J95" s="4"/>
      <c r="K95" s="35"/>
      <c r="L95" s="35"/>
      <c r="M95" s="35"/>
      <c r="N95" s="35"/>
      <c r="O95" s="35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  <c r="AE95" s="4"/>
      <c r="AF95" s="4"/>
      <c r="AG95" s="4"/>
      <c r="AH95" s="4"/>
      <c r="AI95" s="4"/>
    </row>
    <row r="96" spans="1:35" ht="12" thickBot="1" x14ac:dyDescent="0.3">
      <c r="Q96" s="4"/>
      <c r="AI96" s="4"/>
    </row>
    <row r="97" spans="2:36" x14ac:dyDescent="0.25">
      <c r="B97" s="5"/>
      <c r="C97" s="3" t="s">
        <v>1</v>
      </c>
      <c r="D97" s="6" t="s">
        <v>1</v>
      </c>
      <c r="E97" s="3"/>
      <c r="F97" s="3"/>
      <c r="G97" s="3"/>
      <c r="H97" s="3" t="s">
        <v>1</v>
      </c>
      <c r="I97" s="3"/>
      <c r="J97" s="3"/>
      <c r="K97" s="3"/>
      <c r="L97" s="3"/>
      <c r="M97" s="3"/>
      <c r="N97" s="3"/>
      <c r="O97" s="7"/>
      <c r="P97" s="2"/>
      <c r="Q97" s="4"/>
      <c r="S97" s="5"/>
      <c r="T97" s="3" t="s">
        <v>1</v>
      </c>
      <c r="U97" s="6" t="s">
        <v>1</v>
      </c>
      <c r="V97" s="3"/>
      <c r="W97" s="3"/>
      <c r="X97" s="3" t="s">
        <v>1</v>
      </c>
      <c r="Y97" s="3"/>
      <c r="Z97" s="3"/>
      <c r="AA97" s="3"/>
      <c r="AB97" s="3"/>
      <c r="AC97" s="3"/>
      <c r="AD97" s="3"/>
      <c r="AE97" s="3"/>
      <c r="AF97" s="7"/>
      <c r="AG97" s="2"/>
      <c r="AI97" s="4"/>
    </row>
    <row r="98" spans="2:36" ht="14" x14ac:dyDescent="0.3">
      <c r="B98" s="8"/>
      <c r="F98" s="26" t="s">
        <v>8</v>
      </c>
      <c r="G98" s="26"/>
      <c r="I98" s="26" t="s">
        <v>16</v>
      </c>
      <c r="J98" s="25"/>
      <c r="M98" s="2" t="s">
        <v>15</v>
      </c>
      <c r="N98" s="50">
        <f>N3</f>
        <v>2026072</v>
      </c>
      <c r="O98" s="10"/>
      <c r="P98" s="2"/>
      <c r="Q98" s="4"/>
      <c r="S98" s="8"/>
      <c r="U98" s="26" t="s">
        <v>8</v>
      </c>
      <c r="W98" s="26" t="s">
        <v>16</v>
      </c>
      <c r="X98" s="25"/>
      <c r="Y98" s="2"/>
      <c r="AA98" s="2" t="s">
        <v>15</v>
      </c>
      <c r="AD98" s="84">
        <f>N98</f>
        <v>2026072</v>
      </c>
      <c r="AE98" s="84"/>
      <c r="AF98" s="48"/>
      <c r="AG98" s="2"/>
      <c r="AI98" s="4"/>
    </row>
    <row r="99" spans="2:36" ht="15.5" x14ac:dyDescent="0.35">
      <c r="B99" s="8"/>
      <c r="F99" s="36" t="s">
        <v>29</v>
      </c>
      <c r="G99" s="36"/>
      <c r="O99" s="10"/>
      <c r="P99" s="2"/>
      <c r="Q99" s="4"/>
      <c r="S99" s="8"/>
      <c r="T99" s="26" t="s">
        <v>1</v>
      </c>
      <c r="U99" s="36" t="s">
        <v>29</v>
      </c>
      <c r="Y99" s="2" t="s">
        <v>1</v>
      </c>
      <c r="AA99" s="50" t="s">
        <v>1</v>
      </c>
      <c r="AB99" s="2"/>
      <c r="AC99" s="2"/>
      <c r="AD99" s="2"/>
      <c r="AE99" s="2"/>
      <c r="AF99" s="10" t="s">
        <v>1</v>
      </c>
      <c r="AG99" s="2"/>
      <c r="AI99" s="4"/>
    </row>
    <row r="100" spans="2:36" ht="14" x14ac:dyDescent="0.3">
      <c r="B100" s="8"/>
      <c r="F100" s="2" t="s">
        <v>30</v>
      </c>
      <c r="G100" s="2"/>
      <c r="L100" s="91"/>
      <c r="M100" s="2" t="s">
        <v>1</v>
      </c>
      <c r="O100" s="10"/>
      <c r="P100" s="2"/>
      <c r="Q100" s="4"/>
      <c r="S100" s="8"/>
      <c r="T100" s="49" t="s">
        <v>1</v>
      </c>
      <c r="U100" s="2" t="s">
        <v>30</v>
      </c>
      <c r="AF100" s="44"/>
      <c r="AG100" s="2"/>
      <c r="AI100" s="4"/>
    </row>
    <row r="101" spans="2:36" ht="15.5" x14ac:dyDescent="0.35">
      <c r="B101" s="8"/>
      <c r="C101" s="599" t="s">
        <v>17</v>
      </c>
      <c r="D101" s="9">
        <f>D6</f>
        <v>46238</v>
      </c>
      <c r="F101" s="58" t="s">
        <v>220</v>
      </c>
      <c r="G101" s="58"/>
      <c r="H101" s="59"/>
      <c r="I101" s="60"/>
      <c r="J101" s="59"/>
      <c r="K101" s="60"/>
      <c r="L101" s="469"/>
      <c r="O101" s="10"/>
      <c r="P101" s="2"/>
      <c r="Q101" s="4"/>
      <c r="S101" s="8"/>
      <c r="T101" s="41" t="s">
        <v>1</v>
      </c>
      <c r="U101" s="58" t="s">
        <v>219</v>
      </c>
      <c r="V101" s="59"/>
      <c r="W101" s="60"/>
      <c r="X101" s="59"/>
      <c r="Y101" s="2"/>
      <c r="AF101" s="48"/>
      <c r="AG101" s="2"/>
      <c r="AI101" s="4"/>
    </row>
    <row r="102" spans="2:36" ht="18" thickBot="1" x14ac:dyDescent="0.5">
      <c r="B102" s="8"/>
      <c r="C102" s="599" t="s">
        <v>0</v>
      </c>
      <c r="D102" s="241">
        <f>D7</f>
        <v>0.58333333333333337</v>
      </c>
      <c r="F102" s="2" t="s">
        <v>27</v>
      </c>
      <c r="G102" s="9">
        <f>G7</f>
        <v>46219</v>
      </c>
      <c r="J102" s="2" t="s">
        <v>28</v>
      </c>
      <c r="K102" s="9">
        <f>K7</f>
        <v>46234</v>
      </c>
      <c r="L102" s="92"/>
      <c r="O102" s="10"/>
      <c r="P102" s="2"/>
      <c r="Q102" s="4"/>
      <c r="S102" s="8"/>
      <c r="U102" s="1" t="str">
        <f>F102</f>
        <v>Fecha Desde:</v>
      </c>
      <c r="V102" s="9">
        <f>G102</f>
        <v>46219</v>
      </c>
      <c r="W102" s="1" t="s">
        <v>1</v>
      </c>
      <c r="X102" s="1" t="str">
        <f>J102</f>
        <v>Feha Hasta:</v>
      </c>
      <c r="Y102" s="9">
        <f>K102</f>
        <v>46234</v>
      </c>
      <c r="Z102" s="1" t="s">
        <v>1</v>
      </c>
      <c r="AF102" s="48"/>
      <c r="AG102" s="2"/>
      <c r="AI102" s="4"/>
      <c r="AJ102" s="112" t="s">
        <v>1</v>
      </c>
    </row>
    <row r="103" spans="2:36" ht="72" customHeight="1" thickBot="1" x14ac:dyDescent="0.3">
      <c r="B103" s="11" t="s">
        <v>3</v>
      </c>
      <c r="C103" s="27" t="s">
        <v>9</v>
      </c>
      <c r="D103" s="11" t="s">
        <v>4</v>
      </c>
      <c r="E103" s="12" t="s">
        <v>5</v>
      </c>
      <c r="F103" s="27" t="s">
        <v>6</v>
      </c>
      <c r="G103" s="27" t="s">
        <v>159</v>
      </c>
      <c r="H103" s="27" t="s">
        <v>18</v>
      </c>
      <c r="I103" s="12" t="s">
        <v>24</v>
      </c>
      <c r="J103" s="73" t="s">
        <v>19</v>
      </c>
      <c r="K103" s="29" t="s">
        <v>20</v>
      </c>
      <c r="L103" s="28" t="s">
        <v>21</v>
      </c>
      <c r="M103" s="39" t="s">
        <v>22</v>
      </c>
      <c r="N103" s="12" t="s">
        <v>7</v>
      </c>
      <c r="O103" s="39" t="s">
        <v>23</v>
      </c>
      <c r="P103" s="13"/>
      <c r="Q103" s="4"/>
      <c r="S103" s="11" t="s">
        <v>3</v>
      </c>
      <c r="T103" s="27" t="s">
        <v>9</v>
      </c>
      <c r="U103" s="162" t="s">
        <v>39</v>
      </c>
      <c r="V103" s="163" t="s">
        <v>40</v>
      </c>
      <c r="W103" s="163" t="s">
        <v>41</v>
      </c>
      <c r="X103" s="163" t="s">
        <v>42</v>
      </c>
      <c r="Y103" s="164" t="s">
        <v>43</v>
      </c>
      <c r="Z103" s="85" t="s">
        <v>21</v>
      </c>
      <c r="AA103" s="65" t="s">
        <v>46</v>
      </c>
      <c r="AB103" s="65" t="s">
        <v>7</v>
      </c>
      <c r="AC103" s="85" t="s">
        <v>168</v>
      </c>
      <c r="AD103" s="121" t="s">
        <v>105</v>
      </c>
      <c r="AE103" s="121" t="s">
        <v>104</v>
      </c>
      <c r="AF103" s="39" t="s">
        <v>23</v>
      </c>
      <c r="AG103" s="13"/>
      <c r="AI103" s="4"/>
    </row>
    <row r="104" spans="2:36" s="305" customFormat="1" x14ac:dyDescent="0.25">
      <c r="B104" s="303">
        <v>1</v>
      </c>
      <c r="C104" s="304" t="s">
        <v>10</v>
      </c>
      <c r="D104" s="291">
        <f t="shared" ref="D104:J108" si="40">D9+D28+D47+D66+D85</f>
        <v>807049068.57000017</v>
      </c>
      <c r="E104" s="292">
        <f t="shared" si="40"/>
        <v>99193733.159999996</v>
      </c>
      <c r="F104" s="292">
        <f t="shared" si="40"/>
        <v>55706578.209999993</v>
      </c>
      <c r="G104" s="292">
        <f t="shared" si="40"/>
        <v>29360739.059999999</v>
      </c>
      <c r="H104" s="292">
        <f t="shared" si="40"/>
        <v>53694460.149999999</v>
      </c>
      <c r="I104" s="292">
        <f t="shared" si="40"/>
        <v>1708389.85</v>
      </c>
      <c r="J104" s="288">
        <f t="shared" si="40"/>
        <v>0</v>
      </c>
      <c r="K104" s="293">
        <f>D104-E104-F104-G104-H104-I104-J104</f>
        <v>567385168.14000022</v>
      </c>
      <c r="L104" s="294">
        <f>L9+L28+L47+L66+L85</f>
        <v>0</v>
      </c>
      <c r="M104" s="293">
        <f>K104-L104</f>
        <v>567385168.14000022</v>
      </c>
      <c r="N104" s="294">
        <f>N9+N28+N47+N66+N85</f>
        <v>8760824.0099999998</v>
      </c>
      <c r="O104" s="293">
        <f>M104+N104</f>
        <v>576145992.15000021</v>
      </c>
      <c r="Q104" s="306"/>
      <c r="S104" s="303">
        <v>1</v>
      </c>
      <c r="T104" s="304" t="s">
        <v>10</v>
      </c>
      <c r="U104" s="307">
        <f t="shared" ref="U104:AB108" si="41">U9+U28+U47+U66+U85</f>
        <v>15073165.450000001</v>
      </c>
      <c r="V104" s="308">
        <f t="shared" si="41"/>
        <v>18351766.840000004</v>
      </c>
      <c r="W104" s="308">
        <f t="shared" si="41"/>
        <v>85158116.140000001</v>
      </c>
      <c r="X104" s="308">
        <f t="shared" si="41"/>
        <v>271402094.66000003</v>
      </c>
      <c r="Y104" s="309">
        <f t="shared" si="41"/>
        <v>2783141.35</v>
      </c>
      <c r="Z104" s="310">
        <f t="shared" si="41"/>
        <v>0</v>
      </c>
      <c r="AA104" s="311">
        <f t="shared" si="41"/>
        <v>-864.44</v>
      </c>
      <c r="AB104" s="294">
        <f t="shared" si="41"/>
        <v>8760824.0099999998</v>
      </c>
      <c r="AC104" s="312">
        <f t="shared" ref="AC104" si="42">AC9+AC28+AC47+AC66+AC85</f>
        <v>-2114.38</v>
      </c>
      <c r="AD104" s="291">
        <f>-J104+AE104</f>
        <v>174619862.51999998</v>
      </c>
      <c r="AE104" s="291">
        <f>AE9+AE28+AE47+AE66+AE85</f>
        <v>174619862.51999998</v>
      </c>
      <c r="AF104" s="313">
        <f>SUM(U104:AD104)</f>
        <v>576145992.1500001</v>
      </c>
      <c r="AG104" s="311">
        <f>AF104-O104</f>
        <v>0</v>
      </c>
      <c r="AH104" s="1" t="b">
        <f>INT(AG104)=0</f>
        <v>1</v>
      </c>
      <c r="AI104" s="306"/>
    </row>
    <row r="105" spans="2:36" s="305" customFormat="1" x14ac:dyDescent="0.25">
      <c r="B105" s="314">
        <v>2</v>
      </c>
      <c r="C105" s="315" t="s">
        <v>11</v>
      </c>
      <c r="D105" s="291">
        <f t="shared" si="40"/>
        <v>1404601147.78</v>
      </c>
      <c r="E105" s="292">
        <f t="shared" si="40"/>
        <v>183955211.98000002</v>
      </c>
      <c r="F105" s="292">
        <f t="shared" si="40"/>
        <v>102944599.42999999</v>
      </c>
      <c r="G105" s="292">
        <f t="shared" si="40"/>
        <v>54335275.669999994</v>
      </c>
      <c r="H105" s="292">
        <f t="shared" si="40"/>
        <v>214011816.64000002</v>
      </c>
      <c r="I105" s="292">
        <f t="shared" si="40"/>
        <v>5870826.8500000006</v>
      </c>
      <c r="J105" s="288">
        <f t="shared" si="40"/>
        <v>0</v>
      </c>
      <c r="K105" s="295">
        <f t="shared" ref="K105:K108" si="43">D105-E105-F105-G105-H105-I105-J105</f>
        <v>843483417.20999992</v>
      </c>
      <c r="L105" s="294">
        <f>L10+L29+L48+L67+L86</f>
        <v>0</v>
      </c>
      <c r="M105" s="295">
        <f>K105-L105</f>
        <v>843483417.20999992</v>
      </c>
      <c r="N105" s="294">
        <f>N10+N29+N48+N67+N86</f>
        <v>29180991.390000001</v>
      </c>
      <c r="O105" s="295">
        <f t="shared" ref="O105:O108" si="44">M105+N105</f>
        <v>872664408.5999999</v>
      </c>
      <c r="Q105" s="306"/>
      <c r="S105" s="314">
        <v>2</v>
      </c>
      <c r="T105" s="315" t="s">
        <v>11</v>
      </c>
      <c r="U105" s="316">
        <f t="shared" si="41"/>
        <v>51434199.740000002</v>
      </c>
      <c r="V105" s="317">
        <f t="shared" si="41"/>
        <v>70337397.799999997</v>
      </c>
      <c r="W105" s="317">
        <f t="shared" si="41"/>
        <v>321021887.77000004</v>
      </c>
      <c r="X105" s="317">
        <f t="shared" si="41"/>
        <v>381196564.10999995</v>
      </c>
      <c r="Y105" s="318">
        <f t="shared" si="41"/>
        <v>9471108.7799999993</v>
      </c>
      <c r="Z105" s="319">
        <f t="shared" si="41"/>
        <v>0</v>
      </c>
      <c r="AA105" s="320">
        <f t="shared" si="41"/>
        <v>-3277.8299999999995</v>
      </c>
      <c r="AB105" s="294">
        <f t="shared" si="41"/>
        <v>29180991.390000001</v>
      </c>
      <c r="AC105" s="321">
        <f t="shared" ref="AC105" si="45">AC10+AC29+AC48+AC67+AC86</f>
        <v>-13.53</v>
      </c>
      <c r="AD105" s="291">
        <f t="shared" ref="AD105:AD107" si="46">-J105+AE105</f>
        <v>10025550.370000001</v>
      </c>
      <c r="AE105" s="291">
        <f>AE10+AE29+AE48+AE67+AE86</f>
        <v>10025550.370000001</v>
      </c>
      <c r="AF105" s="322">
        <f>SUM(U105:AD105)</f>
        <v>872664408.60000002</v>
      </c>
      <c r="AG105" s="323">
        <f>AF105-O105</f>
        <v>0</v>
      </c>
      <c r="AH105" s="1" t="b">
        <f t="shared" ref="AH105:AH109" si="47">INT(AG105)=0</f>
        <v>1</v>
      </c>
      <c r="AI105" s="306"/>
    </row>
    <row r="106" spans="2:36" s="305" customFormat="1" x14ac:dyDescent="0.25">
      <c r="B106" s="314">
        <v>3</v>
      </c>
      <c r="C106" s="315" t="s">
        <v>12</v>
      </c>
      <c r="D106" s="291">
        <f t="shared" si="40"/>
        <v>1245261377.0799999</v>
      </c>
      <c r="E106" s="292">
        <f t="shared" si="40"/>
        <v>169179321.98000002</v>
      </c>
      <c r="F106" s="292">
        <f t="shared" si="40"/>
        <v>94674360.829999998</v>
      </c>
      <c r="G106" s="292">
        <f t="shared" si="40"/>
        <v>50112712.770000003</v>
      </c>
      <c r="H106" s="292">
        <f t="shared" si="40"/>
        <v>37910837.479999997</v>
      </c>
      <c r="I106" s="292">
        <f t="shared" si="40"/>
        <v>1165755.6399999999</v>
      </c>
      <c r="J106" s="288">
        <f t="shared" si="40"/>
        <v>0</v>
      </c>
      <c r="K106" s="295">
        <f t="shared" si="43"/>
        <v>892218388.37999988</v>
      </c>
      <c r="L106" s="294">
        <f>L11+L30+L49+L68+L87</f>
        <v>0</v>
      </c>
      <c r="M106" s="295">
        <f>K106-L106</f>
        <v>892218388.37999988</v>
      </c>
      <c r="N106" s="294">
        <f>N11+N30+N49+N68+N87</f>
        <v>1311387.82</v>
      </c>
      <c r="O106" s="295">
        <f t="shared" si="44"/>
        <v>893529776.19999993</v>
      </c>
      <c r="Q106" s="306"/>
      <c r="S106" s="314">
        <v>3</v>
      </c>
      <c r="T106" s="315" t="s">
        <v>12</v>
      </c>
      <c r="U106" s="316">
        <f t="shared" si="41"/>
        <v>10225267.880000001</v>
      </c>
      <c r="V106" s="317">
        <f t="shared" si="41"/>
        <v>13794028.73</v>
      </c>
      <c r="W106" s="317">
        <f t="shared" si="41"/>
        <v>64505492.360000007</v>
      </c>
      <c r="X106" s="317">
        <f t="shared" si="41"/>
        <v>393819035.60999995</v>
      </c>
      <c r="Y106" s="318">
        <f t="shared" si="41"/>
        <v>1909745.96</v>
      </c>
      <c r="Z106" s="319">
        <f t="shared" si="41"/>
        <v>0</v>
      </c>
      <c r="AA106" s="320">
        <f t="shared" si="41"/>
        <v>-972.41000000000008</v>
      </c>
      <c r="AB106" s="294">
        <f t="shared" si="41"/>
        <v>1311387.82</v>
      </c>
      <c r="AC106" s="321">
        <f t="shared" ref="AC106" si="48">AC11+AC30+AC49+AC68+AC87</f>
        <v>-11886.56</v>
      </c>
      <c r="AD106" s="291">
        <f t="shared" si="46"/>
        <v>407977676.81</v>
      </c>
      <c r="AE106" s="291">
        <f>AE11+AE30+AE49+AE68+AE87</f>
        <v>407977676.81</v>
      </c>
      <c r="AF106" s="322">
        <f>SUM(U106:AD106)</f>
        <v>893529776.19999981</v>
      </c>
      <c r="AG106" s="323">
        <f>AF106-O106</f>
        <v>0</v>
      </c>
      <c r="AH106" s="1" t="b">
        <f t="shared" si="47"/>
        <v>1</v>
      </c>
      <c r="AI106" s="306"/>
    </row>
    <row r="107" spans="2:36" s="305" customFormat="1" x14ac:dyDescent="0.25">
      <c r="B107" s="314">
        <v>4</v>
      </c>
      <c r="C107" s="315" t="s">
        <v>13</v>
      </c>
      <c r="D107" s="291">
        <f t="shared" si="40"/>
        <v>488724679.72000009</v>
      </c>
      <c r="E107" s="292">
        <f t="shared" si="40"/>
        <v>55203155.700000003</v>
      </c>
      <c r="F107" s="292">
        <f t="shared" si="40"/>
        <v>30345126.150000002</v>
      </c>
      <c r="G107" s="292">
        <f t="shared" si="40"/>
        <v>15489479.65</v>
      </c>
      <c r="H107" s="292">
        <f t="shared" si="40"/>
        <v>57754003.020000003</v>
      </c>
      <c r="I107" s="292">
        <f t="shared" si="40"/>
        <v>1909778.2499999998</v>
      </c>
      <c r="J107" s="288">
        <f t="shared" si="40"/>
        <v>0</v>
      </c>
      <c r="K107" s="295">
        <f t="shared" si="43"/>
        <v>328023136.95000017</v>
      </c>
      <c r="L107" s="294">
        <f>L12+L31+L50+L69+L88</f>
        <v>0</v>
      </c>
      <c r="M107" s="295">
        <f>K107-L107</f>
        <v>328023136.95000017</v>
      </c>
      <c r="N107" s="294">
        <f>N12+N31+N50+N69+N88</f>
        <v>14919457.4</v>
      </c>
      <c r="O107" s="295">
        <f t="shared" si="44"/>
        <v>342942594.35000014</v>
      </c>
      <c r="Q107" s="306"/>
      <c r="S107" s="314">
        <v>4</v>
      </c>
      <c r="T107" s="315" t="s">
        <v>13</v>
      </c>
      <c r="U107" s="316">
        <f t="shared" si="41"/>
        <v>18153635.699999999</v>
      </c>
      <c r="V107" s="317">
        <f t="shared" si="41"/>
        <v>22508162.759999998</v>
      </c>
      <c r="W107" s="317">
        <f t="shared" si="41"/>
        <v>110934136.67000002</v>
      </c>
      <c r="X107" s="317">
        <f t="shared" si="41"/>
        <v>146478227.43000004</v>
      </c>
      <c r="Y107" s="318">
        <f t="shared" si="41"/>
        <v>3110743.9899999998</v>
      </c>
      <c r="Z107" s="319">
        <f t="shared" si="41"/>
        <v>0</v>
      </c>
      <c r="AA107" s="320">
        <f t="shared" si="41"/>
        <v>602.99999999999989</v>
      </c>
      <c r="AB107" s="294">
        <f t="shared" si="41"/>
        <v>14919457.4</v>
      </c>
      <c r="AC107" s="321">
        <f t="shared" ref="AC107" si="49">AC12+AC31+AC50+AC69+AC88</f>
        <v>-80.570000000000007</v>
      </c>
      <c r="AD107" s="291">
        <f t="shared" si="46"/>
        <v>26837707.969999999</v>
      </c>
      <c r="AE107" s="291">
        <f>AE12+AE31+AE50+AE69+AE88</f>
        <v>26837707.969999999</v>
      </c>
      <c r="AF107" s="322">
        <f>SUM(U107:AD107)</f>
        <v>342942594.35000002</v>
      </c>
      <c r="AG107" s="323">
        <f>AF107-O107</f>
        <v>0</v>
      </c>
      <c r="AH107" s="1" t="b">
        <f t="shared" si="47"/>
        <v>1</v>
      </c>
      <c r="AI107" s="306"/>
    </row>
    <row r="108" spans="2:36" s="305" customFormat="1" ht="12" thickBot="1" x14ac:dyDescent="0.3">
      <c r="B108" s="324">
        <v>5</v>
      </c>
      <c r="C108" s="325" t="s">
        <v>14</v>
      </c>
      <c r="D108" s="296">
        <f>D13+D32+D51+D70+D89</f>
        <v>317721932.47000003</v>
      </c>
      <c r="E108" s="297">
        <f t="shared" si="40"/>
        <v>31184102.540000003</v>
      </c>
      <c r="F108" s="297">
        <f t="shared" si="40"/>
        <v>17438110.490000002</v>
      </c>
      <c r="G108" s="297">
        <f t="shared" si="40"/>
        <v>9129338.4999999981</v>
      </c>
      <c r="H108" s="297">
        <f t="shared" si="40"/>
        <v>18288367.830000002</v>
      </c>
      <c r="I108" s="297">
        <f t="shared" si="40"/>
        <v>845568.67</v>
      </c>
      <c r="J108" s="289">
        <f t="shared" si="40"/>
        <v>0</v>
      </c>
      <c r="K108" s="295">
        <f t="shared" si="43"/>
        <v>240836444.44</v>
      </c>
      <c r="L108" s="294">
        <f>L13+L32+L51+L70+L89</f>
        <v>0</v>
      </c>
      <c r="M108" s="298">
        <f>K108-L108</f>
        <v>240836444.44</v>
      </c>
      <c r="N108" s="299">
        <f>N13+N32+N51+N70+N89</f>
        <v>6894658.7800000003</v>
      </c>
      <c r="O108" s="298">
        <f t="shared" si="44"/>
        <v>247731103.22</v>
      </c>
      <c r="Q108" s="306"/>
      <c r="S108" s="324">
        <v>5</v>
      </c>
      <c r="T108" s="325" t="s">
        <v>14</v>
      </c>
      <c r="U108" s="296">
        <f t="shared" si="41"/>
        <v>7530881.8600000003</v>
      </c>
      <c r="V108" s="297">
        <f t="shared" si="41"/>
        <v>9040944.5399999991</v>
      </c>
      <c r="W108" s="297">
        <f t="shared" si="41"/>
        <v>45756182.879999995</v>
      </c>
      <c r="X108" s="297">
        <f t="shared" si="41"/>
        <v>92948094.320000008</v>
      </c>
      <c r="Y108" s="289">
        <f t="shared" si="41"/>
        <v>1374403.66</v>
      </c>
      <c r="Z108" s="319">
        <f t="shared" si="41"/>
        <v>0</v>
      </c>
      <c r="AA108" s="320">
        <f t="shared" si="41"/>
        <v>-760.25999999999988</v>
      </c>
      <c r="AB108" s="294">
        <f t="shared" si="41"/>
        <v>6894658.7800000003</v>
      </c>
      <c r="AC108" s="321">
        <f t="shared" ref="AC108" si="50">AC13+AC32+AC51+AC70+AC89</f>
        <v>0.35000000000000003</v>
      </c>
      <c r="AD108" s="291">
        <f>-J108+AE108</f>
        <v>84186697.089999989</v>
      </c>
      <c r="AE108" s="291">
        <f>AE13+AE32+AE51+AE70+AE89</f>
        <v>84186697.089999989</v>
      </c>
      <c r="AF108" s="322">
        <f>SUM(U108:AD108)</f>
        <v>247731103.21999997</v>
      </c>
      <c r="AG108" s="326">
        <f>AF108-O108</f>
        <v>0</v>
      </c>
      <c r="AH108" s="1" t="b">
        <f t="shared" si="47"/>
        <v>1</v>
      </c>
      <c r="AI108" s="306"/>
    </row>
    <row r="109" spans="2:36" s="305" customFormat="1" ht="13.5" thickBot="1" x14ac:dyDescent="0.35">
      <c r="B109" s="327"/>
      <c r="C109" s="328" t="s">
        <v>2</v>
      </c>
      <c r="D109" s="290">
        <f t="shared" ref="D109:O109" si="51">SUM(D104:D108)</f>
        <v>4263358205.6200008</v>
      </c>
      <c r="E109" s="290">
        <f t="shared" si="51"/>
        <v>538715525.36000001</v>
      </c>
      <c r="F109" s="290">
        <f t="shared" si="51"/>
        <v>301108775.10999995</v>
      </c>
      <c r="G109" s="290">
        <f t="shared" si="51"/>
        <v>158427545.65000001</v>
      </c>
      <c r="H109" s="290">
        <f t="shared" si="51"/>
        <v>381659485.12</v>
      </c>
      <c r="I109" s="290">
        <f t="shared" si="51"/>
        <v>11500319.260000002</v>
      </c>
      <c r="J109" s="290">
        <f t="shared" si="51"/>
        <v>0</v>
      </c>
      <c r="K109" s="300">
        <f t="shared" si="51"/>
        <v>2871946555.1200004</v>
      </c>
      <c r="L109" s="301">
        <f t="shared" si="51"/>
        <v>0</v>
      </c>
      <c r="M109" s="302">
        <f t="shared" si="51"/>
        <v>2871946555.1200004</v>
      </c>
      <c r="N109" s="301">
        <f t="shared" si="51"/>
        <v>61067319.399999999</v>
      </c>
      <c r="O109" s="302">
        <f t="shared" si="51"/>
        <v>2933013874.52</v>
      </c>
      <c r="P109" s="329"/>
      <c r="Q109" s="306"/>
      <c r="S109" s="327"/>
      <c r="T109" s="328" t="s">
        <v>2</v>
      </c>
      <c r="U109" s="330">
        <f>SUM(U104:U108)</f>
        <v>102417150.63000001</v>
      </c>
      <c r="V109" s="330">
        <f t="shared" ref="V109:AF109" si="52">SUM(V104:V108)</f>
        <v>134032300.66999999</v>
      </c>
      <c r="W109" s="330">
        <f t="shared" si="52"/>
        <v>627375815.82000005</v>
      </c>
      <c r="X109" s="330">
        <f t="shared" si="52"/>
        <v>1285844016.1299999</v>
      </c>
      <c r="Y109" s="330">
        <f t="shared" si="52"/>
        <v>18649143.739999998</v>
      </c>
      <c r="Z109" s="290">
        <f t="shared" si="52"/>
        <v>0</v>
      </c>
      <c r="AA109" s="290">
        <f t="shared" si="52"/>
        <v>-5271.94</v>
      </c>
      <c r="AB109" s="470">
        <f t="shared" si="52"/>
        <v>61067319.399999999</v>
      </c>
      <c r="AC109" s="290">
        <f t="shared" ref="AC109" si="53">SUM(AC104:AC108)</f>
        <v>-14094.689999999999</v>
      </c>
      <c r="AD109" s="290">
        <f t="shared" si="52"/>
        <v>703647494.76000011</v>
      </c>
      <c r="AE109" s="290">
        <f>SUM(AE104:AE108)</f>
        <v>703647494.76000011</v>
      </c>
      <c r="AF109" s="331">
        <f t="shared" si="52"/>
        <v>2933013874.5199995</v>
      </c>
      <c r="AG109" s="332">
        <f>SUM(AG104:AG108)</f>
        <v>0</v>
      </c>
      <c r="AH109" s="1" t="b">
        <f t="shared" si="47"/>
        <v>1</v>
      </c>
      <c r="AI109" s="306"/>
    </row>
    <row r="110" spans="2:36" ht="12" thickBot="1" x14ac:dyDescent="0.3">
      <c r="B110" s="2"/>
      <c r="C110" s="2"/>
      <c r="D110" s="165"/>
      <c r="E110" s="24"/>
      <c r="F110" s="24"/>
      <c r="G110" s="24"/>
      <c r="H110" s="24"/>
      <c r="I110" s="24"/>
      <c r="J110" s="165"/>
      <c r="K110" s="24"/>
      <c r="L110" s="24"/>
      <c r="M110" s="24"/>
      <c r="N110" s="24"/>
      <c r="O110" s="24"/>
      <c r="Q110" s="4"/>
      <c r="S110" s="2"/>
      <c r="T110" s="2"/>
      <c r="U110" s="24"/>
      <c r="V110" s="24"/>
      <c r="W110" s="24"/>
      <c r="X110" s="24"/>
      <c r="Y110" s="24"/>
      <c r="AF110" s="24"/>
      <c r="AI110" s="4"/>
    </row>
    <row r="111" spans="2:36" ht="12" thickBot="1" x14ac:dyDescent="0.3">
      <c r="B111" s="2"/>
      <c r="C111" s="2"/>
      <c r="D111" s="24"/>
      <c r="E111" s="24"/>
      <c r="F111" s="24"/>
      <c r="G111" s="24"/>
      <c r="H111" s="24"/>
      <c r="I111" s="24"/>
      <c r="J111" s="24"/>
      <c r="K111" s="24"/>
      <c r="L111" s="24"/>
      <c r="M111" s="24"/>
      <c r="N111" s="24"/>
      <c r="O111" s="24"/>
      <c r="Q111" s="4"/>
      <c r="Y111" s="86">
        <f>SUM(U109:Y109)</f>
        <v>2168318426.9899998</v>
      </c>
      <c r="AA111" s="1" t="s">
        <v>1</v>
      </c>
      <c r="AB111" s="1" t="s">
        <v>1</v>
      </c>
      <c r="AD111" s="1" t="s">
        <v>1</v>
      </c>
      <c r="AF111" s="1" t="s">
        <v>1</v>
      </c>
      <c r="AI111" s="4"/>
    </row>
    <row r="112" spans="2:36" ht="12" thickBot="1" x14ac:dyDescent="0.3">
      <c r="B112" s="2"/>
      <c r="C112" s="2"/>
      <c r="D112" s="24" t="s">
        <v>1</v>
      </c>
      <c r="E112" s="33"/>
      <c r="F112" s="33"/>
      <c r="G112" s="33"/>
      <c r="H112" s="33"/>
      <c r="I112" s="24"/>
      <c r="K112" s="24"/>
      <c r="L112" s="24"/>
      <c r="M112" s="24"/>
      <c r="N112" s="24"/>
      <c r="O112" s="24"/>
      <c r="Q112" s="4"/>
      <c r="U112" s="33"/>
      <c r="V112" s="33"/>
      <c r="W112" s="33"/>
      <c r="X112" s="33"/>
      <c r="AI112" s="4"/>
    </row>
    <row r="113" spans="1:35" x14ac:dyDescent="0.25">
      <c r="B113" s="2"/>
      <c r="C113" s="2"/>
      <c r="D113" s="24" t="s">
        <v>1</v>
      </c>
      <c r="E113" s="24" t="s">
        <v>1</v>
      </c>
      <c r="F113" s="24" t="s">
        <v>25</v>
      </c>
      <c r="G113" s="24"/>
      <c r="H113" s="24"/>
      <c r="I113" s="24"/>
      <c r="K113" s="24"/>
      <c r="L113" s="24"/>
      <c r="M113" s="24"/>
      <c r="N113" s="24"/>
      <c r="O113" s="24"/>
      <c r="Q113" s="4"/>
      <c r="U113" s="24" t="s">
        <v>1</v>
      </c>
      <c r="V113" s="24" t="s">
        <v>25</v>
      </c>
      <c r="W113" s="24"/>
      <c r="X113" s="24"/>
      <c r="AI113" s="4"/>
    </row>
    <row r="114" spans="1:35" x14ac:dyDescent="0.25">
      <c r="A114" s="52"/>
      <c r="B114" s="53"/>
      <c r="C114" s="53"/>
      <c r="D114" s="54"/>
      <c r="E114" s="54"/>
      <c r="F114" s="54"/>
      <c r="G114" s="54"/>
      <c r="H114" s="54"/>
      <c r="I114" s="54"/>
      <c r="J114" s="52"/>
      <c r="K114" s="54"/>
      <c r="L114" s="54"/>
      <c r="M114" s="54"/>
      <c r="N114" s="54"/>
      <c r="O114" s="54"/>
      <c r="P114" s="52"/>
      <c r="Q114" s="52"/>
      <c r="R114" s="52"/>
      <c r="S114" s="52"/>
      <c r="T114" s="52"/>
      <c r="U114" s="52"/>
      <c r="V114" s="52"/>
      <c r="W114" s="52"/>
      <c r="X114" s="52"/>
      <c r="Y114" s="52"/>
      <c r="Z114" s="52"/>
      <c r="AA114" s="52"/>
      <c r="AB114" s="52"/>
      <c r="AC114" s="52"/>
      <c r="AD114" s="52"/>
      <c r="AE114" s="52"/>
      <c r="AF114" s="52"/>
      <c r="AG114" s="52"/>
      <c r="AH114" s="52"/>
      <c r="AI114" s="52"/>
    </row>
    <row r="115" spans="1:35" ht="12" thickBot="1" x14ac:dyDescent="0.3">
      <c r="Q115" s="4"/>
    </row>
    <row r="116" spans="1:35" x14ac:dyDescent="0.25">
      <c r="B116" s="5"/>
      <c r="C116" s="3" t="s">
        <v>1</v>
      </c>
      <c r="D116" s="6" t="s">
        <v>1</v>
      </c>
      <c r="E116" s="3"/>
      <c r="F116" s="3"/>
      <c r="G116" s="3"/>
      <c r="H116" s="3" t="s">
        <v>1</v>
      </c>
      <c r="I116" s="3"/>
      <c r="J116" s="3"/>
      <c r="K116" s="3"/>
      <c r="L116" s="3"/>
      <c r="M116" s="3"/>
      <c r="N116" s="3"/>
      <c r="O116" s="7"/>
      <c r="P116" s="2"/>
      <c r="Q116" s="35"/>
    </row>
    <row r="117" spans="1:35" ht="14" x14ac:dyDescent="0.3">
      <c r="B117" s="8"/>
      <c r="C117" s="2"/>
      <c r="D117" s="9"/>
      <c r="F117" s="26" t="s">
        <v>8</v>
      </c>
      <c r="G117" s="26"/>
      <c r="I117" s="26" t="s">
        <v>16</v>
      </c>
      <c r="J117" s="25"/>
      <c r="L117" s="2" t="s">
        <v>15</v>
      </c>
      <c r="M117" s="50">
        <f>N3</f>
        <v>2026072</v>
      </c>
      <c r="O117" s="10"/>
      <c r="P117" s="2"/>
      <c r="Q117" s="4"/>
    </row>
    <row r="118" spans="1:35" ht="15.5" x14ac:dyDescent="0.35">
      <c r="B118" s="8"/>
      <c r="C118" s="2"/>
      <c r="D118" s="57"/>
      <c r="F118" s="36" t="s">
        <v>29</v>
      </c>
      <c r="G118" s="36"/>
      <c r="O118" s="10"/>
      <c r="P118" s="2"/>
      <c r="Q118" s="4"/>
    </row>
    <row r="119" spans="1:35" x14ac:dyDescent="0.25">
      <c r="B119" s="8"/>
      <c r="F119" s="2" t="s">
        <v>30</v>
      </c>
      <c r="G119" s="2"/>
      <c r="M119" s="2" t="s">
        <v>1</v>
      </c>
      <c r="O119" s="10"/>
      <c r="P119" s="2"/>
      <c r="Q119" s="4"/>
    </row>
    <row r="120" spans="1:35" x14ac:dyDescent="0.25">
      <c r="B120" s="8"/>
      <c r="I120" s="2"/>
      <c r="J120" s="2"/>
      <c r="O120" s="10"/>
      <c r="P120" s="2"/>
      <c r="Q120" s="4"/>
    </row>
    <row r="121" spans="1:35" ht="15.5" x14ac:dyDescent="0.35">
      <c r="B121" s="8"/>
      <c r="F121" s="41" t="s">
        <v>37</v>
      </c>
      <c r="G121" s="41"/>
      <c r="H121" s="2"/>
      <c r="J121" s="2"/>
      <c r="O121" s="10"/>
      <c r="P121" s="2"/>
      <c r="Q121" s="4"/>
    </row>
    <row r="122" spans="1:35" x14ac:dyDescent="0.25">
      <c r="B122" s="8"/>
      <c r="F122" s="2" t="s">
        <v>27</v>
      </c>
      <c r="G122" s="9">
        <f>G7</f>
        <v>46219</v>
      </c>
      <c r="J122" s="2" t="s">
        <v>28</v>
      </c>
      <c r="K122" s="9">
        <f>K7</f>
        <v>46234</v>
      </c>
      <c r="O122" s="10"/>
      <c r="P122" s="2"/>
      <c r="Q122" s="4"/>
    </row>
    <row r="123" spans="1:35" ht="12" thickBot="1" x14ac:dyDescent="0.3">
      <c r="B123" s="8"/>
      <c r="C123" s="2" t="s">
        <v>1</v>
      </c>
      <c r="D123" s="2" t="s">
        <v>1</v>
      </c>
      <c r="J123" s="1" t="s">
        <v>1</v>
      </c>
      <c r="O123" s="44"/>
      <c r="P123" s="2"/>
      <c r="Q123" s="4"/>
    </row>
    <row r="124" spans="1:35" ht="46.5" thickBot="1" x14ac:dyDescent="0.3">
      <c r="B124" s="11" t="s">
        <v>3</v>
      </c>
      <c r="C124" s="12" t="s">
        <v>9</v>
      </c>
      <c r="D124" s="12" t="s">
        <v>38</v>
      </c>
      <c r="E124" s="73" t="s">
        <v>48</v>
      </c>
      <c r="G124" s="104" t="s">
        <v>47</v>
      </c>
      <c r="H124" s="73" t="s">
        <v>56</v>
      </c>
      <c r="I124" s="73" t="s">
        <v>130</v>
      </c>
      <c r="J124" s="73" t="s">
        <v>172</v>
      </c>
      <c r="K124" s="73" t="s">
        <v>143</v>
      </c>
      <c r="L124" s="73" t="s">
        <v>144</v>
      </c>
      <c r="O124" s="44"/>
      <c r="P124" s="13"/>
      <c r="Q124" s="4"/>
    </row>
    <row r="125" spans="1:35" s="305" customFormat="1" x14ac:dyDescent="0.25">
      <c r="B125" s="334">
        <v>1</v>
      </c>
      <c r="C125" s="335" t="s">
        <v>10</v>
      </c>
      <c r="D125" s="308">
        <f>'ANTICIPOS USUARIOS'!O3</f>
        <v>17358483.629999999</v>
      </c>
      <c r="E125" s="309">
        <v>0</v>
      </c>
      <c r="G125" s="336">
        <f>D47+N47</f>
        <v>0</v>
      </c>
      <c r="H125" s="310">
        <f>D28+N28</f>
        <v>28857410.600000001</v>
      </c>
      <c r="I125" s="309">
        <f>D85+N85</f>
        <v>0</v>
      </c>
      <c r="J125" s="309">
        <f>D66+N66</f>
        <v>-1002751.39</v>
      </c>
      <c r="K125" s="309">
        <f>'ANTICIPOS USUARIOS'!O12</f>
        <v>82340</v>
      </c>
      <c r="L125" s="309">
        <f>-'ANTICIPOS USUARIOS'!O21</f>
        <v>165648.60999999999</v>
      </c>
      <c r="O125" s="337"/>
      <c r="Q125" s="306"/>
    </row>
    <row r="126" spans="1:35" s="305" customFormat="1" x14ac:dyDescent="0.25">
      <c r="B126" s="314">
        <v>2</v>
      </c>
      <c r="C126" s="338" t="s">
        <v>11</v>
      </c>
      <c r="D126" s="292">
        <f>'ANTICIPOS USUARIOS'!O4</f>
        <v>79433109</v>
      </c>
      <c r="E126" s="288">
        <v>0</v>
      </c>
      <c r="G126" s="339">
        <f>D48+N48</f>
        <v>111210</v>
      </c>
      <c r="H126" s="340">
        <f>D29+N29</f>
        <v>87448610.169999987</v>
      </c>
      <c r="I126" s="288">
        <f>D86+N86</f>
        <v>0</v>
      </c>
      <c r="J126" s="288">
        <f t="shared" ref="J126:J129" si="54">D67+N67</f>
        <v>-290750</v>
      </c>
      <c r="K126" s="288">
        <f>'ANTICIPOS USUARIOS'!O13</f>
        <v>1370</v>
      </c>
      <c r="L126" s="288">
        <f>-'ANTICIPOS USUARIOS'!O22</f>
        <v>0</v>
      </c>
      <c r="O126" s="337"/>
      <c r="Q126" s="306"/>
    </row>
    <row r="127" spans="1:35" s="305" customFormat="1" x14ac:dyDescent="0.25">
      <c r="B127" s="314">
        <v>3</v>
      </c>
      <c r="C127" s="338" t="s">
        <v>12</v>
      </c>
      <c r="D127" s="292">
        <f>'ANTICIPOS USUARIOS'!O5</f>
        <v>14844502.92</v>
      </c>
      <c r="E127" s="288">
        <v>0</v>
      </c>
      <c r="G127" s="339">
        <f>D49+N49</f>
        <v>0</v>
      </c>
      <c r="H127" s="340">
        <f>D30+N30</f>
        <v>16553408.619999999</v>
      </c>
      <c r="I127" s="288">
        <f>D87+N87</f>
        <v>0</v>
      </c>
      <c r="J127" s="288">
        <f t="shared" si="54"/>
        <v>-306659.8</v>
      </c>
      <c r="K127" s="288">
        <f>'ANTICIPOS USUARIOS'!O14</f>
        <v>0</v>
      </c>
      <c r="L127" s="288">
        <f>-'ANTICIPOS USUARIOS'!O23</f>
        <v>2343750.2000000002</v>
      </c>
      <c r="O127" s="337"/>
      <c r="Q127" s="306"/>
    </row>
    <row r="128" spans="1:35" s="305" customFormat="1" x14ac:dyDescent="0.25">
      <c r="B128" s="314">
        <v>4</v>
      </c>
      <c r="C128" s="338" t="s">
        <v>13</v>
      </c>
      <c r="D128" s="292">
        <f>'ANTICIPOS USUARIOS'!O6</f>
        <v>14631795.34</v>
      </c>
      <c r="E128" s="288">
        <v>0</v>
      </c>
      <c r="G128" s="339">
        <f>D50+N50</f>
        <v>691194</v>
      </c>
      <c r="H128" s="340">
        <f>D31+N31</f>
        <v>34178649.799999997</v>
      </c>
      <c r="I128" s="288">
        <f>D88+N88</f>
        <v>0</v>
      </c>
      <c r="J128" s="288">
        <f t="shared" si="54"/>
        <v>-3233428.34</v>
      </c>
      <c r="K128" s="288">
        <f>'ANTICIPOS USUARIOS'!O15</f>
        <v>2209000</v>
      </c>
      <c r="L128" s="288">
        <f>-'ANTICIPOS USUARIOS'!O24</f>
        <v>14593375.66</v>
      </c>
      <c r="O128" s="337"/>
      <c r="Q128" s="306"/>
    </row>
    <row r="129" spans="1:18" s="305" customFormat="1" x14ac:dyDescent="0.25">
      <c r="B129" s="341">
        <v>5</v>
      </c>
      <c r="C129" s="342" t="s">
        <v>14</v>
      </c>
      <c r="D129" s="292">
        <f>'ANTICIPOS USUARIOS'!O7</f>
        <v>10604847.960000001</v>
      </c>
      <c r="E129" s="344">
        <v>0</v>
      </c>
      <c r="G129" s="339">
        <f>D51+N51</f>
        <v>441849</v>
      </c>
      <c r="H129" s="340">
        <f>D32+N32</f>
        <v>14307244.74</v>
      </c>
      <c r="I129" s="288">
        <f>D89+N89</f>
        <v>0</v>
      </c>
      <c r="J129" s="288">
        <f t="shared" si="54"/>
        <v>-1026775.53</v>
      </c>
      <c r="K129" s="288">
        <f>'ANTICIPOS USUARIOS'!O16</f>
        <v>87550</v>
      </c>
      <c r="L129" s="288">
        <f>-'ANTICIPOS USUARIOS'!O25</f>
        <v>165773.47</v>
      </c>
      <c r="O129" s="337"/>
      <c r="Q129" s="306"/>
    </row>
    <row r="130" spans="1:18" s="305" customFormat="1" ht="12" thickBot="1" x14ac:dyDescent="0.3">
      <c r="B130" s="324" t="s">
        <v>89</v>
      </c>
      <c r="C130" s="345" t="s">
        <v>113</v>
      </c>
      <c r="D130" s="297"/>
      <c r="E130" s="289">
        <f>'Recaudo Directa Occidente'!F26</f>
        <v>0</v>
      </c>
      <c r="G130" s="346"/>
      <c r="H130" s="347"/>
      <c r="I130" s="289"/>
      <c r="J130" s="289"/>
      <c r="K130" s="289"/>
      <c r="L130" s="289"/>
      <c r="O130" s="337"/>
      <c r="Q130" s="306"/>
    </row>
    <row r="131" spans="1:18" s="305" customFormat="1" ht="12" thickBot="1" x14ac:dyDescent="0.3">
      <c r="B131" s="348"/>
      <c r="C131" s="349" t="s">
        <v>2</v>
      </c>
      <c r="D131" s="350">
        <f>SUM(D125:D130)</f>
        <v>136872738.84999999</v>
      </c>
      <c r="E131" s="350">
        <f>SUM(E125:E130)</f>
        <v>0</v>
      </c>
      <c r="F131" s="351"/>
      <c r="G131" s="350">
        <f t="shared" ref="G131" si="55">SUM(G125:G129)</f>
        <v>1244253</v>
      </c>
      <c r="H131" s="350">
        <f>SUM(H125:H130)</f>
        <v>181345323.93000001</v>
      </c>
      <c r="I131" s="350">
        <f>SUM(I125:I130)</f>
        <v>0</v>
      </c>
      <c r="J131" s="350">
        <f>SUM(J125:J130)</f>
        <v>-5860365.0600000005</v>
      </c>
      <c r="K131" s="350">
        <f>SUM(K125:K130)</f>
        <v>2380260</v>
      </c>
      <c r="L131" s="350">
        <f>SUM(L125:L130)</f>
        <v>17268547.939999998</v>
      </c>
      <c r="M131" s="351"/>
      <c r="N131" s="351"/>
      <c r="O131" s="352"/>
      <c r="P131" s="329"/>
      <c r="Q131" s="306"/>
    </row>
    <row r="132" spans="1:18" x14ac:dyDescent="0.25">
      <c r="B132" s="2"/>
      <c r="C132" s="2"/>
      <c r="D132" s="24"/>
      <c r="Q132" s="4"/>
    </row>
    <row r="133" spans="1:18" x14ac:dyDescent="0.25">
      <c r="B133" s="2"/>
      <c r="C133" s="2"/>
      <c r="D133" s="24"/>
      <c r="L133" s="1" t="s">
        <v>1</v>
      </c>
      <c r="Q133" s="4"/>
    </row>
    <row r="134" spans="1:18" ht="12" thickBot="1" x14ac:dyDescent="0.3">
      <c r="B134" s="2"/>
      <c r="C134" s="2"/>
      <c r="D134" s="24"/>
      <c r="E134" s="33"/>
      <c r="F134" s="33"/>
      <c r="G134" s="33"/>
      <c r="H134" s="33"/>
      <c r="I134" s="24"/>
      <c r="K134" s="24"/>
      <c r="L134" s="24" t="s">
        <v>1</v>
      </c>
      <c r="M134" s="24" t="s">
        <v>1</v>
      </c>
      <c r="N134" s="24"/>
      <c r="O134" s="24"/>
      <c r="Q134" s="4"/>
    </row>
    <row r="135" spans="1:18" x14ac:dyDescent="0.25">
      <c r="B135" s="2"/>
      <c r="C135" s="2"/>
      <c r="D135" s="24"/>
      <c r="E135" s="24" t="s">
        <v>1</v>
      </c>
      <c r="F135" s="42" t="s">
        <v>36</v>
      </c>
      <c r="G135" s="42"/>
      <c r="H135" s="42"/>
      <c r="I135" s="24"/>
      <c r="K135" s="24"/>
      <c r="L135" s="24"/>
      <c r="M135" s="24"/>
      <c r="N135" s="24"/>
      <c r="O135" s="24"/>
      <c r="Q135" s="4"/>
    </row>
    <row r="136" spans="1:18" x14ac:dyDescent="0.25">
      <c r="A136" s="52"/>
      <c r="B136" s="53"/>
      <c r="C136" s="53"/>
      <c r="D136" s="54"/>
      <c r="E136" s="54"/>
      <c r="F136" s="54"/>
      <c r="G136" s="54"/>
      <c r="H136" s="54"/>
      <c r="I136" s="54"/>
      <c r="J136" s="52"/>
      <c r="K136" s="54"/>
      <c r="L136" s="54"/>
      <c r="M136" s="54"/>
      <c r="N136" s="54"/>
      <c r="O136" s="54"/>
      <c r="P136" s="52"/>
      <c r="Q136" s="4"/>
    </row>
    <row r="137" spans="1:18" x14ac:dyDescent="0.25">
      <c r="B137" s="2"/>
      <c r="C137" s="2"/>
      <c r="D137" s="24"/>
      <c r="E137" s="24"/>
      <c r="F137" s="24"/>
      <c r="G137" s="24"/>
      <c r="H137" s="24"/>
      <c r="I137" s="24"/>
      <c r="K137" s="24"/>
      <c r="L137" s="24"/>
      <c r="M137" s="24"/>
      <c r="N137" s="24"/>
      <c r="O137" s="24"/>
      <c r="Q137" s="4"/>
    </row>
    <row r="138" spans="1:18" x14ac:dyDescent="0.25">
      <c r="B138" s="2"/>
      <c r="C138" s="59" t="s">
        <v>49</v>
      </c>
      <c r="D138" s="64"/>
      <c r="E138" s="24"/>
      <c r="F138" s="24"/>
      <c r="G138" s="24"/>
      <c r="H138" s="24"/>
      <c r="I138" s="24"/>
      <c r="K138" s="24"/>
      <c r="L138" s="24"/>
      <c r="M138" s="24"/>
      <c r="N138" s="24"/>
      <c r="O138" s="24"/>
      <c r="Q138" s="35"/>
    </row>
    <row r="139" spans="1:18" x14ac:dyDescent="0.25">
      <c r="B139" s="2"/>
      <c r="C139" s="2"/>
      <c r="D139" s="24"/>
      <c r="E139" s="24"/>
      <c r="F139" s="24"/>
      <c r="G139" s="24"/>
      <c r="H139" s="24"/>
      <c r="I139" s="24"/>
      <c r="K139" s="24"/>
      <c r="L139" s="24"/>
      <c r="M139" s="24"/>
      <c r="N139" s="24"/>
      <c r="O139" s="24"/>
      <c r="Q139" s="35"/>
    </row>
    <row r="140" spans="1:18" ht="18.75" customHeight="1" thickBot="1" x14ac:dyDescent="0.3">
      <c r="B140" s="2"/>
      <c r="C140" s="2"/>
      <c r="D140" s="24"/>
      <c r="E140" s="24"/>
      <c r="F140" s="24"/>
      <c r="G140" s="24"/>
      <c r="H140" s="24"/>
      <c r="J140" s="24"/>
      <c r="K140" s="24"/>
      <c r="M140" s="24"/>
      <c r="N140" s="24"/>
      <c r="O140" s="24"/>
      <c r="P140" s="24"/>
      <c r="Q140" s="35"/>
    </row>
    <row r="141" spans="1:18" ht="46.5" thickBot="1" x14ac:dyDescent="0.3">
      <c r="B141" s="104" t="s">
        <v>3</v>
      </c>
      <c r="C141" s="105" t="s">
        <v>9</v>
      </c>
      <c r="D141" s="105" t="s">
        <v>44</v>
      </c>
      <c r="E141" s="105" t="s">
        <v>45</v>
      </c>
      <c r="F141" s="105" t="s">
        <v>31</v>
      </c>
      <c r="G141" s="105" t="s">
        <v>91</v>
      </c>
      <c r="H141" s="105" t="s">
        <v>128</v>
      </c>
      <c r="I141" s="105" t="s">
        <v>127</v>
      </c>
      <c r="J141" s="105" t="s">
        <v>47</v>
      </c>
      <c r="K141" s="105" t="s">
        <v>51</v>
      </c>
      <c r="L141" s="1" t="s">
        <v>1</v>
      </c>
      <c r="M141" s="56"/>
      <c r="N141" s="56"/>
      <c r="O141" s="56"/>
      <c r="P141" s="24"/>
      <c r="Q141" s="35"/>
      <c r="R141" s="24"/>
    </row>
    <row r="142" spans="1:18" x14ac:dyDescent="0.25">
      <c r="B142" s="108">
        <v>1</v>
      </c>
      <c r="C142" s="109" t="s">
        <v>10</v>
      </c>
      <c r="D142" s="110">
        <f>D104+N104+D125+E125</f>
        <v>833168376.21000016</v>
      </c>
      <c r="E142" s="110">
        <f>'Recaudo Directa Occidente'!F21</f>
        <v>805313717</v>
      </c>
      <c r="F142" s="110">
        <f>D28+N28</f>
        <v>28857410.600000001</v>
      </c>
      <c r="G142" s="110">
        <f>D66+N66</f>
        <v>-1002751.39</v>
      </c>
      <c r="H142" s="110">
        <f>D85+N85</f>
        <v>0</v>
      </c>
      <c r="I142" s="110">
        <f>('REPORTE RECAUDO x BANCO'!E75)</f>
        <v>0</v>
      </c>
      <c r="J142" s="110">
        <f t="shared" ref="J142:K146" si="56">G125</f>
        <v>0</v>
      </c>
      <c r="K142" s="111">
        <f t="shared" si="56"/>
        <v>28857410.600000001</v>
      </c>
      <c r="L142" s="525">
        <f>D142-E142-F142-G142-J142-H142-I142</f>
        <v>1.5588011592626572E-7</v>
      </c>
      <c r="M142" s="1" t="b">
        <f>INT(L142)=0</f>
        <v>1</v>
      </c>
      <c r="O142" s="55"/>
      <c r="P142" s="24"/>
      <c r="Q142" s="35"/>
      <c r="R142" s="24"/>
    </row>
    <row r="143" spans="1:18" x14ac:dyDescent="0.25">
      <c r="B143" s="16">
        <v>2</v>
      </c>
      <c r="C143" s="17" t="s">
        <v>11</v>
      </c>
      <c r="D143" s="18">
        <f>D105+N105+D126+E126</f>
        <v>1513215248.1700001</v>
      </c>
      <c r="E143" s="18">
        <f>'Recaudo Directa Occidente'!F22</f>
        <v>1425946178</v>
      </c>
      <c r="F143" s="18">
        <f>D29+N29</f>
        <v>87448610.169999987</v>
      </c>
      <c r="G143" s="18">
        <f>D67+N67</f>
        <v>-290750</v>
      </c>
      <c r="H143" s="18">
        <f>D86+N86</f>
        <v>0</v>
      </c>
      <c r="I143" s="18">
        <f>('REPORTE RECAUDO x BANCO'!E76)</f>
        <v>0</v>
      </c>
      <c r="J143" s="18">
        <f t="shared" si="56"/>
        <v>111210</v>
      </c>
      <c r="K143" s="83">
        <f t="shared" si="56"/>
        <v>87448610.169999987</v>
      </c>
      <c r="L143" s="525">
        <f>D143-E143-F143-G143-J143-H143-I143</f>
        <v>8.9406967163085938E-8</v>
      </c>
      <c r="M143" s="1" t="b">
        <f t="shared" ref="M143:M147" si="57">INT(L143)=0</f>
        <v>1</v>
      </c>
      <c r="O143" s="130"/>
      <c r="P143" s="24"/>
      <c r="Q143" s="35"/>
      <c r="R143" s="24"/>
    </row>
    <row r="144" spans="1:18" x14ac:dyDescent="0.25">
      <c r="B144" s="16">
        <v>3</v>
      </c>
      <c r="C144" s="17" t="s">
        <v>12</v>
      </c>
      <c r="D144" s="18">
        <f>D106+N106+D127+E127</f>
        <v>1261417267.8199999</v>
      </c>
      <c r="E144" s="18">
        <f>'Recaudo Directa Occidente'!F23</f>
        <v>1245170519</v>
      </c>
      <c r="F144" s="18">
        <f>D30+N30</f>
        <v>16553408.619999999</v>
      </c>
      <c r="G144" s="18">
        <f>D68+N68</f>
        <v>-306659.8</v>
      </c>
      <c r="H144" s="18">
        <f>D87+N87</f>
        <v>0</v>
      </c>
      <c r="I144" s="18">
        <f>('REPORTE RECAUDO x BANCO'!E77)</f>
        <v>0</v>
      </c>
      <c r="J144" s="18">
        <f t="shared" si="56"/>
        <v>0</v>
      </c>
      <c r="K144" s="83">
        <f t="shared" si="56"/>
        <v>16553408.619999999</v>
      </c>
      <c r="L144" s="525">
        <f>D144-E144-F144-G144-J144-H144-I144</f>
        <v>-6.5949279814958572E-8</v>
      </c>
      <c r="M144" s="1" t="b">
        <f t="shared" si="57"/>
        <v>0</v>
      </c>
      <c r="O144" s="55"/>
      <c r="P144" s="24"/>
      <c r="Q144" s="35"/>
      <c r="R144" s="24"/>
    </row>
    <row r="145" spans="1:20" x14ac:dyDescent="0.25">
      <c r="B145" s="16">
        <v>4</v>
      </c>
      <c r="C145" s="17" t="s">
        <v>13</v>
      </c>
      <c r="D145" s="18">
        <f>D107+N107+D128+E128</f>
        <v>518275932.46000004</v>
      </c>
      <c r="E145" s="18">
        <f>'Recaudo Directa Occidente'!F24</f>
        <v>486639517</v>
      </c>
      <c r="F145" s="18">
        <f>D31+N31</f>
        <v>34178649.799999997</v>
      </c>
      <c r="G145" s="18">
        <f>D69+N69</f>
        <v>-3233428.34</v>
      </c>
      <c r="H145" s="18">
        <f>D88+N88</f>
        <v>0</v>
      </c>
      <c r="I145" s="18">
        <f>('REPORTE RECAUDO x BANCO'!E78)</f>
        <v>0</v>
      </c>
      <c r="J145" s="18">
        <f t="shared" si="56"/>
        <v>691194</v>
      </c>
      <c r="K145" s="83">
        <f t="shared" si="56"/>
        <v>34178649.799999997</v>
      </c>
      <c r="L145" s="525">
        <f>D145-E145-F145-G145-J145-H145-I145</f>
        <v>4.0978193283081055E-8</v>
      </c>
      <c r="M145" s="1" t="b">
        <f t="shared" si="57"/>
        <v>1</v>
      </c>
      <c r="O145" s="96"/>
      <c r="P145" s="24"/>
      <c r="Q145" s="35"/>
      <c r="R145" s="24"/>
    </row>
    <row r="146" spans="1:20" ht="12" thickBot="1" x14ac:dyDescent="0.3">
      <c r="B146" s="133">
        <v>5</v>
      </c>
      <c r="C146" s="138" t="s">
        <v>14</v>
      </c>
      <c r="D146" s="134">
        <f>D108+N108+D129+E129</f>
        <v>335221439.20999998</v>
      </c>
      <c r="E146" s="18">
        <f>'Recaudo Directa Occidente'!F25</f>
        <v>321499121</v>
      </c>
      <c r="F146" s="134">
        <f>D32+N32</f>
        <v>14307244.74</v>
      </c>
      <c r="G146" s="134">
        <f>D70+N70</f>
        <v>-1026775.53</v>
      </c>
      <c r="H146" s="134">
        <f>D89+N89</f>
        <v>0</v>
      </c>
      <c r="I146" s="134">
        <f>('REPORTE RECAUDO x BANCO'!E79)</f>
        <v>0</v>
      </c>
      <c r="J146" s="134">
        <f t="shared" si="56"/>
        <v>441849</v>
      </c>
      <c r="K146" s="136">
        <f t="shared" si="56"/>
        <v>14307244.74</v>
      </c>
      <c r="L146" s="525">
        <f>D146-E146-F146-G146-J146-H146-I146</f>
        <v>-2.1653249859809875E-8</v>
      </c>
      <c r="M146" s="1" t="b">
        <f t="shared" si="57"/>
        <v>0</v>
      </c>
      <c r="O146" s="55"/>
      <c r="P146" s="24"/>
      <c r="Q146" s="35"/>
      <c r="R146" s="24"/>
    </row>
    <row r="147" spans="1:20" ht="12" thickBot="1" x14ac:dyDescent="0.3">
      <c r="B147" s="21"/>
      <c r="C147" s="22" t="s">
        <v>2</v>
      </c>
      <c r="D147" s="47">
        <f>SUM(D142:D146)</f>
        <v>4461298263.8699999</v>
      </c>
      <c r="E147" s="47">
        <f>SUM(E142:E146)</f>
        <v>4284569052</v>
      </c>
      <c r="F147" s="47">
        <f t="shared" ref="F147:K147" si="58">SUM(F142:F146)</f>
        <v>181345323.93000001</v>
      </c>
      <c r="G147" s="47">
        <f t="shared" si="58"/>
        <v>-5860365.0600000005</v>
      </c>
      <c r="H147" s="47">
        <f t="shared" si="58"/>
        <v>0</v>
      </c>
      <c r="I147" s="47">
        <f t="shared" si="58"/>
        <v>0</v>
      </c>
      <c r="J147" s="47">
        <f t="shared" si="58"/>
        <v>1244253</v>
      </c>
      <c r="K147" s="47">
        <f t="shared" si="58"/>
        <v>181345323.93000001</v>
      </c>
      <c r="L147" s="525">
        <f>SUM(L142:L146)</f>
        <v>1.9866274669766426E-7</v>
      </c>
      <c r="M147" s="1" t="b">
        <f t="shared" si="57"/>
        <v>1</v>
      </c>
      <c r="P147" s="24"/>
      <c r="Q147" s="35"/>
      <c r="R147" s="24"/>
    </row>
    <row r="148" spans="1:20" x14ac:dyDescent="0.25">
      <c r="B148" s="2"/>
      <c r="H148" s="55"/>
      <c r="L148" s="24"/>
      <c r="M148" s="24"/>
      <c r="N148" s="24"/>
      <c r="O148" s="24"/>
      <c r="P148" s="24"/>
      <c r="Q148" s="35"/>
    </row>
    <row r="149" spans="1:20" ht="21.75" customHeight="1" x14ac:dyDescent="0.25">
      <c r="B149" s="2"/>
      <c r="C149" s="2"/>
      <c r="D149" s="24"/>
      <c r="F149" s="24"/>
      <c r="G149" s="24"/>
      <c r="H149" s="24"/>
      <c r="I149" s="24"/>
      <c r="K149" s="24"/>
      <c r="L149" s="24"/>
      <c r="M149" s="24"/>
      <c r="N149" s="24"/>
      <c r="O149" s="24"/>
      <c r="Q149" s="35"/>
    </row>
    <row r="150" spans="1:20" x14ac:dyDescent="0.25">
      <c r="B150" s="2"/>
      <c r="C150" s="2"/>
      <c r="D150" s="24"/>
      <c r="E150" s="24"/>
      <c r="F150" s="24"/>
      <c r="G150" s="24"/>
      <c r="H150" s="24"/>
      <c r="I150" s="24"/>
      <c r="J150" s="55"/>
      <c r="K150" s="24"/>
      <c r="L150" s="24"/>
      <c r="M150" s="24"/>
      <c r="N150" s="24"/>
      <c r="O150" s="24"/>
      <c r="Q150" s="35"/>
      <c r="T150" s="24"/>
    </row>
    <row r="151" spans="1:20" x14ac:dyDescent="0.25">
      <c r="A151" s="52"/>
      <c r="B151" s="53"/>
      <c r="C151" s="53"/>
      <c r="D151" s="54"/>
      <c r="E151" s="54"/>
      <c r="F151" s="54"/>
      <c r="G151" s="54"/>
      <c r="H151" s="54"/>
      <c r="I151" s="54"/>
      <c r="J151" s="52"/>
      <c r="K151" s="54"/>
      <c r="L151" s="54"/>
      <c r="M151" s="54"/>
      <c r="N151" s="54"/>
      <c r="O151" s="54"/>
      <c r="P151" s="52"/>
      <c r="Q151" s="54"/>
      <c r="T151" s="24"/>
    </row>
    <row r="152" spans="1:20" x14ac:dyDescent="0.25">
      <c r="N152" s="24"/>
      <c r="O152" s="24"/>
      <c r="Q152" s="24"/>
      <c r="T152" s="24"/>
    </row>
    <row r="153" spans="1:20" x14ac:dyDescent="0.25">
      <c r="N153" s="24"/>
      <c r="O153" s="24"/>
      <c r="Q153" s="24"/>
      <c r="T153" s="24"/>
    </row>
    <row r="154" spans="1:20" x14ac:dyDescent="0.25">
      <c r="E154" s="305"/>
      <c r="N154" s="24"/>
      <c r="O154" s="24"/>
      <c r="Q154" s="24"/>
      <c r="T154" s="24"/>
    </row>
    <row r="155" spans="1:20" x14ac:dyDescent="0.25">
      <c r="E155" s="305"/>
      <c r="N155" s="24"/>
      <c r="O155" s="24"/>
      <c r="Q155" s="24"/>
      <c r="T155" s="24"/>
    </row>
    <row r="156" spans="1:20" x14ac:dyDescent="0.25">
      <c r="E156" s="305"/>
      <c r="N156" s="24"/>
      <c r="O156" s="24"/>
      <c r="Q156" s="24"/>
      <c r="T156" s="24"/>
    </row>
    <row r="157" spans="1:20" x14ac:dyDescent="0.25">
      <c r="E157" s="55"/>
      <c r="N157" s="24"/>
      <c r="O157" s="24"/>
      <c r="Q157" s="24"/>
      <c r="T157" s="24"/>
    </row>
    <row r="158" spans="1:20" x14ac:dyDescent="0.25">
      <c r="N158" s="24"/>
      <c r="O158" s="24"/>
      <c r="Q158" s="24"/>
      <c r="T158" s="24"/>
    </row>
    <row r="159" spans="1:20" x14ac:dyDescent="0.25">
      <c r="N159" s="24"/>
      <c r="O159" s="24"/>
      <c r="Q159" s="24"/>
      <c r="T159" s="24"/>
    </row>
    <row r="160" spans="1:20" x14ac:dyDescent="0.25">
      <c r="N160" s="24"/>
      <c r="O160" s="24"/>
      <c r="Q160" s="24"/>
      <c r="T160" s="24"/>
    </row>
    <row r="161" spans="14:20" x14ac:dyDescent="0.25">
      <c r="N161" s="24"/>
      <c r="O161" s="24"/>
      <c r="Q161" s="24"/>
      <c r="T161" s="24"/>
    </row>
    <row r="162" spans="14:20" x14ac:dyDescent="0.25">
      <c r="N162" s="24"/>
      <c r="O162" s="24"/>
      <c r="Q162" s="24"/>
      <c r="T162" s="24"/>
    </row>
    <row r="163" spans="14:20" x14ac:dyDescent="0.25">
      <c r="N163" s="24"/>
      <c r="O163" s="24"/>
      <c r="Q163" s="24"/>
      <c r="T163" s="24"/>
    </row>
    <row r="164" spans="14:20" x14ac:dyDescent="0.25">
      <c r="Q164" s="24"/>
      <c r="T164" s="24"/>
    </row>
    <row r="165" spans="14:20" x14ac:dyDescent="0.25">
      <c r="Q165" s="24"/>
    </row>
  </sheetData>
  <conditionalFormatting sqref="L142:L147">
    <cfRule type="expression" dxfId="29" priority="20">
      <formula>$L$142&lt;&gt;0</formula>
    </cfRule>
  </conditionalFormatting>
  <conditionalFormatting sqref="M142:M147">
    <cfRule type="cellIs" dxfId="28" priority="7" operator="notEqual">
      <formula>TRUE</formula>
    </cfRule>
  </conditionalFormatting>
  <conditionalFormatting sqref="AH9:AH14">
    <cfRule type="cellIs" dxfId="27" priority="1" operator="notEqual">
      <formula>TRUE</formula>
    </cfRule>
  </conditionalFormatting>
  <conditionalFormatting sqref="AH28:AH33">
    <cfRule type="cellIs" dxfId="26" priority="2" operator="notEqual">
      <formula>TRUE</formula>
    </cfRule>
  </conditionalFormatting>
  <conditionalFormatting sqref="AH47:AH52">
    <cfRule type="cellIs" dxfId="25" priority="3" operator="notEqual">
      <formula>TRUE</formula>
    </cfRule>
  </conditionalFormatting>
  <conditionalFormatting sqref="AH66:AH71">
    <cfRule type="cellIs" dxfId="24" priority="4" operator="notEqual">
      <formula>TRUE</formula>
    </cfRule>
  </conditionalFormatting>
  <conditionalFormatting sqref="AH85:AH90">
    <cfRule type="cellIs" dxfId="23" priority="5" operator="notEqual">
      <formula>TRUE</formula>
    </cfRule>
  </conditionalFormatting>
  <conditionalFormatting sqref="AH104:AH109">
    <cfRule type="cellIs" dxfId="22" priority="6" operator="notEqual">
      <formula>TRUE</formula>
    </cfRule>
  </conditionalFormatting>
  <printOptions horizontalCentered="1" verticalCentered="1"/>
  <pageMargins left="0.55118110236220474" right="0.74803149606299213" top="0.98425196850393704" bottom="0.78740157480314965" header="0" footer="0"/>
  <pageSetup scale="19" orientation="landscape" r:id="rId1"/>
  <headerFooter alignWithMargins="0"/>
  <ignoredErrors>
    <ignoredError sqref="K104:K109 M104:M109" formula="1"/>
  </ignoredErrors>
  <drawing r:id="rId2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tabColor rgb="FF7030A0"/>
  </sheetPr>
  <dimension ref="B1:P16"/>
  <sheetViews>
    <sheetView zoomScale="90" zoomScaleNormal="90" workbookViewId="0">
      <selection activeCell="D8" sqref="D8"/>
    </sheetView>
  </sheetViews>
  <sheetFormatPr baseColWidth="10" defaultRowHeight="12.5" x14ac:dyDescent="0.25"/>
  <cols>
    <col min="1" max="1" width="3" customWidth="1"/>
    <col min="2" max="2" width="4.1796875" bestFit="1" customWidth="1"/>
    <col min="3" max="3" width="16.81640625" customWidth="1"/>
    <col min="4" max="4" width="14.1796875" customWidth="1"/>
    <col min="5" max="7" width="17.81640625" customWidth="1"/>
    <col min="8" max="8" width="18.1796875" customWidth="1"/>
    <col min="9" max="9" width="15.81640625" customWidth="1"/>
    <col min="10" max="10" width="16.453125" customWidth="1"/>
    <col min="11" max="11" width="15.81640625" customWidth="1"/>
    <col min="12" max="13" width="18.1796875" customWidth="1"/>
    <col min="14" max="14" width="15.81640625" customWidth="1"/>
    <col min="15" max="15" width="14.1796875" customWidth="1"/>
    <col min="16" max="16" width="14.453125" customWidth="1"/>
  </cols>
  <sheetData>
    <row r="1" spans="2:16" ht="13" thickBot="1" x14ac:dyDescent="0.3"/>
    <row r="2" spans="2:16" ht="35" thickBot="1" x14ac:dyDescent="0.3">
      <c r="B2" s="11" t="s">
        <v>3</v>
      </c>
      <c r="C2" s="28" t="s">
        <v>55</v>
      </c>
      <c r="D2" s="28" t="s">
        <v>50</v>
      </c>
      <c r="E2" s="28" t="s">
        <v>57</v>
      </c>
      <c r="F2" s="28" t="s">
        <v>129</v>
      </c>
      <c r="G2" s="28" t="s">
        <v>130</v>
      </c>
      <c r="H2" s="131" t="s">
        <v>52</v>
      </c>
      <c r="I2" s="12" t="s">
        <v>58</v>
      </c>
      <c r="J2" s="12" t="s">
        <v>59</v>
      </c>
      <c r="K2" s="12" t="s">
        <v>53</v>
      </c>
      <c r="L2" s="27" t="s">
        <v>60</v>
      </c>
      <c r="M2" s="65" t="s">
        <v>92</v>
      </c>
      <c r="N2" s="132" t="s">
        <v>54</v>
      </c>
    </row>
    <row r="3" spans="2:16" s="355" customFormat="1" x14ac:dyDescent="0.25">
      <c r="B3" s="303">
        <v>1</v>
      </c>
      <c r="C3" s="292">
        <f>'Recaudo Directa Occidente'!F21</f>
        <v>805313717</v>
      </c>
      <c r="D3" s="292">
        <f>'REMUNERACION_OCCIDENTE_ Directa'!G125</f>
        <v>0</v>
      </c>
      <c r="E3" s="292">
        <f>'REMUNERACION_OCCIDENTE_ Directa'!D28+'REMUNERACION_OCCIDENTE_ Directa'!N28</f>
        <v>28857410.600000001</v>
      </c>
      <c r="F3" s="292">
        <f>'REMUNERACION_OCCIDENTE_ Directa'!I142</f>
        <v>0</v>
      </c>
      <c r="G3" s="292">
        <f>'REMUNERACION_OCCIDENTE_ Directa'!H142</f>
        <v>0</v>
      </c>
      <c r="H3" s="340">
        <f>SUM(C3:G3)</f>
        <v>834171127.60000002</v>
      </c>
      <c r="I3" s="291">
        <f>'REMUNERACION_OCCIDENTE_ Directa'!D104</f>
        <v>807049068.57000017</v>
      </c>
      <c r="J3" s="292">
        <f>'REMUNERACION_OCCIDENTE_ Directa'!N104</f>
        <v>8760824.0099999998</v>
      </c>
      <c r="K3" s="292">
        <f>'REMUNERACION_OCCIDENTE_ Directa'!D125</f>
        <v>17358483.629999999</v>
      </c>
      <c r="L3" s="353">
        <f>'REMUNERACION_OCCIDENTE_ Directa'!E125</f>
        <v>0</v>
      </c>
      <c r="M3" s="292">
        <f>-'REMUNERACION_OCCIDENTE_ Directa'!D66-'REMUNERACION_OCCIDENTE_ Directa'!N66</f>
        <v>1002751.39</v>
      </c>
      <c r="N3" s="288">
        <f>SUM(I3:M3)</f>
        <v>834171127.60000014</v>
      </c>
      <c r="O3" s="354">
        <f t="shared" ref="O3:O8" si="0">H3-N3</f>
        <v>0</v>
      </c>
      <c r="P3" s="1" t="b">
        <f>INT(O3)=0</f>
        <v>1</v>
      </c>
    </row>
    <row r="4" spans="2:16" s="355" customFormat="1" x14ac:dyDescent="0.25">
      <c r="B4" s="314">
        <v>2</v>
      </c>
      <c r="C4" s="317">
        <f>'Recaudo Directa Occidente'!F22</f>
        <v>1425946178</v>
      </c>
      <c r="D4" s="292">
        <f>'REMUNERACION_OCCIDENTE_ Directa'!G126</f>
        <v>111210</v>
      </c>
      <c r="E4" s="292">
        <f>'REMUNERACION_OCCIDENTE_ Directa'!D29+'REMUNERACION_OCCIDENTE_ Directa'!N29</f>
        <v>87448610.169999987</v>
      </c>
      <c r="F4" s="292">
        <f>'REMUNERACION_OCCIDENTE_ Directa'!I143</f>
        <v>0</v>
      </c>
      <c r="G4" s="292">
        <f>'REMUNERACION_OCCIDENTE_ Directa'!H143</f>
        <v>0</v>
      </c>
      <c r="H4" s="340">
        <f t="shared" ref="H4:H8" si="1">SUM(C4:G4)</f>
        <v>1513505998.1700001</v>
      </c>
      <c r="I4" s="291">
        <f>'REMUNERACION_OCCIDENTE_ Directa'!D105</f>
        <v>1404601147.78</v>
      </c>
      <c r="J4" s="292">
        <f>'REMUNERACION_OCCIDENTE_ Directa'!N105</f>
        <v>29180991.390000001</v>
      </c>
      <c r="K4" s="292">
        <f>'REMUNERACION_OCCIDENTE_ Directa'!D126</f>
        <v>79433109</v>
      </c>
      <c r="L4" s="353">
        <f>'REMUNERACION_OCCIDENTE_ Directa'!E126</f>
        <v>0</v>
      </c>
      <c r="M4" s="292">
        <f>-'REMUNERACION_OCCIDENTE_ Directa'!D67-'REMUNERACION_OCCIDENTE_ Directa'!N67</f>
        <v>290750</v>
      </c>
      <c r="N4" s="318">
        <f>SUM(I4:M4)</f>
        <v>1513505998.1700001</v>
      </c>
      <c r="O4" s="354">
        <f t="shared" si="0"/>
        <v>0</v>
      </c>
      <c r="P4" s="1" t="b">
        <f t="shared" ref="P4:P9" si="2">INT(O4)=0</f>
        <v>1</v>
      </c>
    </row>
    <row r="5" spans="2:16" s="355" customFormat="1" x14ac:dyDescent="0.25">
      <c r="B5" s="314">
        <v>3</v>
      </c>
      <c r="C5" s="317">
        <f>'Recaudo Directa Occidente'!F23</f>
        <v>1245170519</v>
      </c>
      <c r="D5" s="292">
        <f>'REMUNERACION_OCCIDENTE_ Directa'!G127</f>
        <v>0</v>
      </c>
      <c r="E5" s="292">
        <f>'REMUNERACION_OCCIDENTE_ Directa'!D30+'REMUNERACION_OCCIDENTE_ Directa'!N30</f>
        <v>16553408.619999999</v>
      </c>
      <c r="F5" s="292">
        <f>'REMUNERACION_OCCIDENTE_ Directa'!I144</f>
        <v>0</v>
      </c>
      <c r="G5" s="292">
        <f>'REMUNERACION_OCCIDENTE_ Directa'!H144</f>
        <v>0</v>
      </c>
      <c r="H5" s="340">
        <f t="shared" si="1"/>
        <v>1261723927.6199999</v>
      </c>
      <c r="I5" s="291">
        <f>'REMUNERACION_OCCIDENTE_ Directa'!D106</f>
        <v>1245261377.0799999</v>
      </c>
      <c r="J5" s="292">
        <f>'REMUNERACION_OCCIDENTE_ Directa'!N106</f>
        <v>1311387.82</v>
      </c>
      <c r="K5" s="292">
        <f>'REMUNERACION_OCCIDENTE_ Directa'!D127</f>
        <v>14844502.92</v>
      </c>
      <c r="L5" s="353">
        <f>'REMUNERACION_OCCIDENTE_ Directa'!E127</f>
        <v>0</v>
      </c>
      <c r="M5" s="292">
        <f>-'REMUNERACION_OCCIDENTE_ Directa'!D68-'REMUNERACION_OCCIDENTE_ Directa'!N68</f>
        <v>306659.8</v>
      </c>
      <c r="N5" s="318">
        <f>SUM(I5:M5)</f>
        <v>1261723927.6199999</v>
      </c>
      <c r="O5" s="354">
        <f>H5-N5</f>
        <v>0</v>
      </c>
      <c r="P5" s="1" t="b">
        <f t="shared" si="2"/>
        <v>1</v>
      </c>
    </row>
    <row r="6" spans="2:16" s="355" customFormat="1" x14ac:dyDescent="0.25">
      <c r="B6" s="314">
        <v>4</v>
      </c>
      <c r="C6" s="317">
        <f>'Recaudo Directa Occidente'!F24</f>
        <v>486639517</v>
      </c>
      <c r="D6" s="292">
        <f>'REMUNERACION_OCCIDENTE_ Directa'!G128</f>
        <v>691194</v>
      </c>
      <c r="E6" s="292">
        <f>'REMUNERACION_OCCIDENTE_ Directa'!D31+'REMUNERACION_OCCIDENTE_ Directa'!N31</f>
        <v>34178649.799999997</v>
      </c>
      <c r="F6" s="292">
        <f>'REMUNERACION_OCCIDENTE_ Directa'!I145</f>
        <v>0</v>
      </c>
      <c r="G6" s="292">
        <f>'REMUNERACION_OCCIDENTE_ Directa'!H145</f>
        <v>0</v>
      </c>
      <c r="H6" s="340">
        <f t="shared" si="1"/>
        <v>521509360.80000001</v>
      </c>
      <c r="I6" s="291">
        <f>'REMUNERACION_OCCIDENTE_ Directa'!D107</f>
        <v>488724679.72000009</v>
      </c>
      <c r="J6" s="292">
        <f>'REMUNERACION_OCCIDENTE_ Directa'!N107</f>
        <v>14919457.4</v>
      </c>
      <c r="K6" s="292">
        <f>'REMUNERACION_OCCIDENTE_ Directa'!D128</f>
        <v>14631795.34</v>
      </c>
      <c r="L6" s="353">
        <f>'REMUNERACION_OCCIDENTE_ Directa'!E128</f>
        <v>0</v>
      </c>
      <c r="M6" s="292">
        <f>-'REMUNERACION_OCCIDENTE_ Directa'!D69-'REMUNERACION_OCCIDENTE_ Directa'!N69</f>
        <v>3233428.34</v>
      </c>
      <c r="N6" s="318">
        <f t="shared" ref="N6:N7" si="3">SUM(I6:M6)</f>
        <v>521509360.80000001</v>
      </c>
      <c r="O6" s="354">
        <f t="shared" si="0"/>
        <v>0</v>
      </c>
      <c r="P6" s="1" t="b">
        <f t="shared" si="2"/>
        <v>1</v>
      </c>
    </row>
    <row r="7" spans="2:16" s="355" customFormat="1" x14ac:dyDescent="0.25">
      <c r="B7" s="314">
        <v>5</v>
      </c>
      <c r="C7" s="317">
        <f>'Recaudo Directa Occidente'!F25</f>
        <v>321499121</v>
      </c>
      <c r="D7" s="292">
        <f>'REMUNERACION_OCCIDENTE_ Directa'!G129</f>
        <v>441849</v>
      </c>
      <c r="E7" s="292">
        <f>'REMUNERACION_OCCIDENTE_ Directa'!D32+'REMUNERACION_OCCIDENTE_ Directa'!N32</f>
        <v>14307244.74</v>
      </c>
      <c r="F7" s="292">
        <f>'REMUNERACION_OCCIDENTE_ Directa'!I146</f>
        <v>0</v>
      </c>
      <c r="G7" s="292">
        <f>'REMUNERACION_OCCIDENTE_ Directa'!H146</f>
        <v>0</v>
      </c>
      <c r="H7" s="340">
        <f t="shared" si="1"/>
        <v>336248214.74000001</v>
      </c>
      <c r="I7" s="291">
        <f>'REMUNERACION_OCCIDENTE_ Directa'!D108</f>
        <v>317721932.47000003</v>
      </c>
      <c r="J7" s="292">
        <f>'REMUNERACION_OCCIDENTE_ Directa'!N108</f>
        <v>6894658.7800000003</v>
      </c>
      <c r="K7" s="292">
        <f>'REMUNERACION_OCCIDENTE_ Directa'!D129</f>
        <v>10604847.960000001</v>
      </c>
      <c r="L7" s="353">
        <f>'REMUNERACION_OCCIDENTE_ Directa'!E129</f>
        <v>0</v>
      </c>
      <c r="M7" s="292">
        <f>-'REMUNERACION_OCCIDENTE_ Directa'!D70-'REMUNERACION_OCCIDENTE_ Directa'!N70</f>
        <v>1026775.53</v>
      </c>
      <c r="N7" s="318">
        <f t="shared" si="3"/>
        <v>336248214.73999995</v>
      </c>
      <c r="O7" s="354">
        <f>H7-N7</f>
        <v>0</v>
      </c>
      <c r="P7" s="1" t="b">
        <f t="shared" si="2"/>
        <v>1</v>
      </c>
    </row>
    <row r="8" spans="2:16" s="355" customFormat="1" ht="13" thickBot="1" x14ac:dyDescent="0.3">
      <c r="B8" s="341" t="s">
        <v>89</v>
      </c>
      <c r="C8" s="317">
        <f>'Recaudo Directa Occidente'!F26</f>
        <v>0</v>
      </c>
      <c r="D8" s="356">
        <v>0</v>
      </c>
      <c r="E8" s="356">
        <v>0</v>
      </c>
      <c r="F8" s="292"/>
      <c r="G8" s="356">
        <v>0</v>
      </c>
      <c r="H8" s="340">
        <f t="shared" si="1"/>
        <v>0</v>
      </c>
      <c r="I8" s="357">
        <v>0</v>
      </c>
      <c r="J8" s="343">
        <v>0</v>
      </c>
      <c r="K8" s="343">
        <v>0</v>
      </c>
      <c r="L8" s="353">
        <f>'REMUNERACION_OCCIDENTE_ Directa'!E130</f>
        <v>0</v>
      </c>
      <c r="M8" s="356">
        <v>0</v>
      </c>
      <c r="N8" s="358">
        <f>SUM(I8:L8)-M8</f>
        <v>0</v>
      </c>
      <c r="O8" s="354">
        <f t="shared" si="0"/>
        <v>0</v>
      </c>
      <c r="P8" s="1" t="b">
        <f t="shared" si="2"/>
        <v>1</v>
      </c>
    </row>
    <row r="9" spans="2:16" s="355" customFormat="1" ht="13" thickBot="1" x14ac:dyDescent="0.3">
      <c r="B9" s="327"/>
      <c r="C9" s="290">
        <f>SUM(C3:C8)</f>
        <v>4284569052</v>
      </c>
      <c r="D9" s="290">
        <f t="shared" ref="D9:M9" si="4">SUM(D3:D8)</f>
        <v>1244253</v>
      </c>
      <c r="E9" s="290">
        <f>SUM(E3:E8)</f>
        <v>181345323.93000001</v>
      </c>
      <c r="F9" s="290">
        <f t="shared" si="4"/>
        <v>0</v>
      </c>
      <c r="G9" s="290">
        <f t="shared" si="4"/>
        <v>0</v>
      </c>
      <c r="H9" s="290">
        <f t="shared" si="4"/>
        <v>4467158628.9300003</v>
      </c>
      <c r="I9" s="290">
        <f t="shared" si="4"/>
        <v>4263358205.6200008</v>
      </c>
      <c r="J9" s="290">
        <f t="shared" si="4"/>
        <v>61067319.399999999</v>
      </c>
      <c r="K9" s="290">
        <f t="shared" si="4"/>
        <v>136872738.84999999</v>
      </c>
      <c r="L9" s="290">
        <f t="shared" si="4"/>
        <v>0</v>
      </c>
      <c r="M9" s="290">
        <f t="shared" si="4"/>
        <v>5860365.0600000005</v>
      </c>
      <c r="N9" s="290">
        <f>SUM(N3:N8)</f>
        <v>4467158628.9300003</v>
      </c>
      <c r="O9" s="359">
        <f>SUM(O3:O8)</f>
        <v>0</v>
      </c>
      <c r="P9" s="1" t="b">
        <f t="shared" si="2"/>
        <v>1</v>
      </c>
    </row>
    <row r="11" spans="2:16" ht="13" x14ac:dyDescent="0.3">
      <c r="B11" s="102" t="s">
        <v>89</v>
      </c>
      <c r="C11" s="103" t="s">
        <v>90</v>
      </c>
      <c r="M11" s="141"/>
      <c r="O11" s="137"/>
    </row>
    <row r="12" spans="2:16" x14ac:dyDescent="0.25">
      <c r="C12" s="143"/>
    </row>
    <row r="13" spans="2:16" x14ac:dyDescent="0.25">
      <c r="B13" s="142"/>
      <c r="C13" s="143" t="s">
        <v>1</v>
      </c>
    </row>
    <row r="14" spans="2:16" x14ac:dyDescent="0.25">
      <c r="C14" s="245">
        <f>'Valida - Control Recaudo'!D10</f>
        <v>4284569052</v>
      </c>
    </row>
    <row r="15" spans="2:16" x14ac:dyDescent="0.25">
      <c r="C15" s="249" t="b">
        <f>C14=C9</f>
        <v>1</v>
      </c>
    </row>
    <row r="16" spans="2:16" x14ac:dyDescent="0.25">
      <c r="C16" s="212" t="s">
        <v>1</v>
      </c>
    </row>
  </sheetData>
  <conditionalFormatting sqref="C15">
    <cfRule type="cellIs" dxfId="21" priority="4" operator="notEqual">
      <formula>TRUE</formula>
    </cfRule>
  </conditionalFormatting>
  <conditionalFormatting sqref="P3:P9">
    <cfRule type="cellIs" dxfId="20" priority="2" operator="notEqual">
      <formula>TRUE</formula>
    </cfRule>
  </conditionalFormatting>
  <pageMargins left="0.7" right="0.7" top="0.75" bottom="0.75" header="0.3" footer="0.3"/>
  <pageSetup orientation="portrait"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>
    <tabColor rgb="FF7030A0"/>
    <pageSetUpPr fitToPage="1"/>
  </sheetPr>
  <dimension ref="A1:AI52"/>
  <sheetViews>
    <sheetView topLeftCell="A3" zoomScaleNormal="100" workbookViewId="0"/>
  </sheetViews>
  <sheetFormatPr baseColWidth="10" defaultColWidth="11.453125" defaultRowHeight="11.5" x14ac:dyDescent="0.25"/>
  <cols>
    <col min="1" max="1" width="3" style="1" customWidth="1"/>
    <col min="2" max="2" width="4.453125" style="1" bestFit="1" customWidth="1"/>
    <col min="3" max="3" width="36.81640625" style="1" customWidth="1"/>
    <col min="4" max="4" width="15.1796875" style="1" customWidth="1"/>
    <col min="5" max="5" width="16" style="1" customWidth="1"/>
    <col min="6" max="7" width="14.81640625" style="1" customWidth="1"/>
    <col min="8" max="8" width="16.1796875" style="1" customWidth="1"/>
    <col min="9" max="9" width="20.1796875" style="1" bestFit="1" customWidth="1"/>
    <col min="10" max="10" width="15.54296875" style="1" customWidth="1"/>
    <col min="11" max="11" width="17.54296875" style="1" customWidth="1"/>
    <col min="12" max="12" width="16.54296875" style="1" customWidth="1"/>
    <col min="13" max="13" width="19.81640625" style="1" customWidth="1"/>
    <col min="14" max="14" width="15.1796875" style="1" customWidth="1"/>
    <col min="15" max="15" width="16.81640625" style="1" customWidth="1"/>
    <col min="16" max="16" width="3.81640625" style="1" customWidth="1"/>
    <col min="17" max="17" width="2.81640625" style="1" customWidth="1"/>
    <col min="18" max="18" width="4.54296875" style="1" customWidth="1"/>
    <col min="19" max="19" width="11.1796875" style="1" customWidth="1"/>
    <col min="20" max="20" width="39.453125" style="1" customWidth="1"/>
    <col min="21" max="21" width="19.1796875" style="1" customWidth="1"/>
    <col min="22" max="22" width="17.81640625" style="1" customWidth="1"/>
    <col min="23" max="23" width="16.453125" style="1" customWidth="1"/>
    <col min="24" max="24" width="17.1796875" style="1" customWidth="1"/>
    <col min="25" max="25" width="15.81640625" style="1" customWidth="1"/>
    <col min="26" max="26" width="16" style="1" customWidth="1"/>
    <col min="27" max="27" width="15" style="1" customWidth="1"/>
    <col min="28" max="29" width="16.81640625" style="1" customWidth="1"/>
    <col min="30" max="31" width="15.453125" style="1" customWidth="1"/>
    <col min="32" max="32" width="16.1796875" style="1" customWidth="1"/>
    <col min="33" max="33" width="18.1796875" style="1" customWidth="1"/>
    <col min="34" max="34" width="13.81640625" style="1" customWidth="1"/>
    <col min="35" max="35" width="3.453125" style="1" customWidth="1"/>
    <col min="36" max="16384" width="11.453125" style="1"/>
  </cols>
  <sheetData>
    <row r="1" spans="2:35" ht="12" thickBot="1" x14ac:dyDescent="0.3">
      <c r="Q1" s="4"/>
      <c r="AI1" s="4"/>
    </row>
    <row r="2" spans="2:35" x14ac:dyDescent="0.25">
      <c r="B2" s="5"/>
      <c r="C2" s="3" t="s">
        <v>1</v>
      </c>
      <c r="D2" s="6" t="s">
        <v>1</v>
      </c>
      <c r="E2" s="3"/>
      <c r="F2" s="3"/>
      <c r="G2" s="3"/>
      <c r="H2" s="3" t="s">
        <v>1</v>
      </c>
      <c r="I2" s="3"/>
      <c r="J2" s="3"/>
      <c r="K2" s="3"/>
      <c r="L2" s="3"/>
      <c r="M2" s="3"/>
      <c r="N2" s="3"/>
      <c r="O2" s="7"/>
      <c r="P2" s="2"/>
      <c r="Q2" s="4"/>
      <c r="S2" s="5"/>
      <c r="T2" s="3" t="s">
        <v>1</v>
      </c>
      <c r="U2" s="6" t="s">
        <v>1</v>
      </c>
      <c r="V2" s="3"/>
      <c r="W2" s="3"/>
      <c r="X2" s="3" t="s">
        <v>1</v>
      </c>
      <c r="Y2" s="3"/>
      <c r="Z2" s="3"/>
      <c r="AA2" s="3"/>
      <c r="AB2" s="3"/>
      <c r="AC2" s="3"/>
      <c r="AD2" s="3"/>
      <c r="AE2" s="3"/>
      <c r="AF2" s="7"/>
      <c r="AG2" s="2"/>
      <c r="AI2" s="4"/>
    </row>
    <row r="3" spans="2:35" ht="14" x14ac:dyDescent="0.3">
      <c r="B3" s="8"/>
      <c r="F3" s="26" t="s">
        <v>8</v>
      </c>
      <c r="G3" s="26"/>
      <c r="I3" s="26" t="s">
        <v>16</v>
      </c>
      <c r="J3" s="25"/>
      <c r="M3" s="2" t="s">
        <v>15</v>
      </c>
      <c r="N3" s="50">
        <f>'REMUNERACION_OCCIDENTE_ Directa'!N98</f>
        <v>2026072</v>
      </c>
      <c r="O3" s="10"/>
      <c r="P3" s="2"/>
      <c r="Q3" s="4"/>
      <c r="S3" s="8"/>
      <c r="U3" s="26" t="s">
        <v>8</v>
      </c>
      <c r="W3" s="26" t="s">
        <v>16</v>
      </c>
      <c r="X3" s="25"/>
      <c r="Y3" s="2"/>
      <c r="AA3" s="2" t="s">
        <v>15</v>
      </c>
      <c r="AD3" s="84">
        <f>N3</f>
        <v>2026072</v>
      </c>
      <c r="AE3" s="84"/>
      <c r="AF3" s="48"/>
      <c r="AG3" s="2"/>
      <c r="AI3" s="4"/>
    </row>
    <row r="4" spans="2:35" ht="15.5" x14ac:dyDescent="0.35">
      <c r="B4" s="8"/>
      <c r="F4" s="36" t="s">
        <v>29</v>
      </c>
      <c r="G4" s="36"/>
      <c r="O4" s="10"/>
      <c r="P4" s="2"/>
      <c r="Q4" s="4"/>
      <c r="S4" s="8"/>
      <c r="T4" s="26" t="s">
        <v>1</v>
      </c>
      <c r="U4" s="36" t="s">
        <v>29</v>
      </c>
      <c r="Y4" s="2" t="s">
        <v>1</v>
      </c>
      <c r="AA4" s="50" t="s">
        <v>1</v>
      </c>
      <c r="AB4" s="2"/>
      <c r="AC4" s="2"/>
      <c r="AD4" s="2"/>
      <c r="AE4" s="2"/>
      <c r="AF4" s="10" t="s">
        <v>1</v>
      </c>
      <c r="AG4" s="2"/>
      <c r="AI4" s="4"/>
    </row>
    <row r="5" spans="2:35" ht="14" x14ac:dyDescent="0.3">
      <c r="B5" s="8"/>
      <c r="F5" s="2" t="s">
        <v>30</v>
      </c>
      <c r="G5" s="2"/>
      <c r="M5" s="2" t="s">
        <v>1</v>
      </c>
      <c r="O5" s="10"/>
      <c r="P5" s="2"/>
      <c r="Q5" s="4"/>
      <c r="S5" s="8"/>
      <c r="T5" s="49" t="s">
        <v>1</v>
      </c>
      <c r="U5" s="2" t="s">
        <v>30</v>
      </c>
      <c r="AF5" s="44"/>
      <c r="AG5" s="2"/>
      <c r="AI5" s="4"/>
    </row>
    <row r="6" spans="2:35" ht="15.5" x14ac:dyDescent="0.35">
      <c r="B6" s="8"/>
      <c r="C6" s="599" t="s">
        <v>17</v>
      </c>
      <c r="D6" s="9">
        <f>'REMUNERACION_OCCIDENTE_ Directa'!D101</f>
        <v>46238</v>
      </c>
      <c r="F6" s="58" t="str">
        <f>'REMUNERACION_OCCIDENTE_ Directa'!F101</f>
        <v>REPORTE CONSOLIDADO TOTAL DE RECAUDO // OCCIDENTE - Recaudo Facturación Directa</v>
      </c>
      <c r="G6" s="58"/>
      <c r="H6" s="59"/>
      <c r="I6" s="60"/>
      <c r="J6" s="59"/>
      <c r="K6" s="60"/>
      <c r="L6" s="60"/>
      <c r="O6" s="10"/>
      <c r="P6" s="2"/>
      <c r="Q6" s="4"/>
      <c r="S6" s="8"/>
      <c r="T6" s="41" t="s">
        <v>1</v>
      </c>
      <c r="U6" s="58" t="str">
        <f>'REMUNERACION_OCCIDENTE_ Directa'!U101</f>
        <v>REPORTE DETALLADO SUBBOLSA RBL DISCRIMINADO POR ACTIVIDADES // OCCIDENTE - Recaudo Facturación Directa</v>
      </c>
      <c r="V6" s="59"/>
      <c r="W6" s="60"/>
      <c r="X6" s="59"/>
      <c r="Y6" s="2"/>
      <c r="AF6" s="48"/>
      <c r="AG6" s="2"/>
      <c r="AI6" s="4"/>
    </row>
    <row r="7" spans="2:35" ht="12" thickBot="1" x14ac:dyDescent="0.3">
      <c r="B7" s="8"/>
      <c r="C7" s="599" t="s">
        <v>0</v>
      </c>
      <c r="D7" s="287">
        <f>'REMUNERACION_OCCIDENTE_ Directa'!D102</f>
        <v>0.58333333333333337</v>
      </c>
      <c r="F7" s="2" t="s">
        <v>27</v>
      </c>
      <c r="G7" s="9">
        <f>'REMUNERACION_OCCIDENTE_ Directa'!G102</f>
        <v>46219</v>
      </c>
      <c r="J7" s="2" t="s">
        <v>28</v>
      </c>
      <c r="K7" s="9">
        <f>'REMUNERACION_OCCIDENTE_ Directa'!K102</f>
        <v>46234</v>
      </c>
      <c r="O7" s="10"/>
      <c r="P7" s="2"/>
      <c r="Q7" s="4"/>
      <c r="S7" s="8"/>
      <c r="U7" s="1" t="str">
        <f>F7</f>
        <v>Fecha Desde:</v>
      </c>
      <c r="V7" s="9">
        <f>G7</f>
        <v>46219</v>
      </c>
      <c r="W7" s="1" t="s">
        <v>1</v>
      </c>
      <c r="X7" s="1" t="str">
        <f>J7</f>
        <v>Feha Hasta:</v>
      </c>
      <c r="Y7" s="9">
        <f>K7</f>
        <v>46234</v>
      </c>
      <c r="Z7" s="1" t="s">
        <v>1</v>
      </c>
      <c r="AF7" s="48"/>
      <c r="AG7" s="2"/>
      <c r="AI7" s="4"/>
    </row>
    <row r="8" spans="2:35" ht="69.5" thickBot="1" x14ac:dyDescent="0.3">
      <c r="B8" s="11" t="s">
        <v>3</v>
      </c>
      <c r="C8" s="27" t="s">
        <v>9</v>
      </c>
      <c r="D8" s="11" t="s">
        <v>163</v>
      </c>
      <c r="E8" s="12" t="s">
        <v>5</v>
      </c>
      <c r="F8" s="12" t="s">
        <v>6</v>
      </c>
      <c r="G8" s="27" t="s">
        <v>159</v>
      </c>
      <c r="H8" s="12" t="s">
        <v>18</v>
      </c>
      <c r="I8" s="12" t="s">
        <v>24</v>
      </c>
      <c r="J8" s="73" t="s">
        <v>19</v>
      </c>
      <c r="K8" s="29" t="s">
        <v>20</v>
      </c>
      <c r="L8" s="28" t="s">
        <v>21</v>
      </c>
      <c r="M8" s="39" t="s">
        <v>22</v>
      </c>
      <c r="N8" s="12" t="s">
        <v>7</v>
      </c>
      <c r="O8" s="39" t="s">
        <v>23</v>
      </c>
      <c r="P8" s="13"/>
      <c r="Q8" s="4"/>
      <c r="S8" s="11" t="s">
        <v>3</v>
      </c>
      <c r="T8" s="27" t="s">
        <v>9</v>
      </c>
      <c r="U8" s="80" t="s">
        <v>39</v>
      </c>
      <c r="V8" s="51" t="s">
        <v>40</v>
      </c>
      <c r="W8" s="51" t="s">
        <v>41</v>
      </c>
      <c r="X8" s="51" t="s">
        <v>42</v>
      </c>
      <c r="Y8" s="81" t="s">
        <v>43</v>
      </c>
      <c r="Z8" s="85" t="s">
        <v>21</v>
      </c>
      <c r="AA8" s="65" t="s">
        <v>46</v>
      </c>
      <c r="AB8" s="65" t="s">
        <v>7</v>
      </c>
      <c r="AC8" s="85" t="s">
        <v>168</v>
      </c>
      <c r="AD8" s="27" t="s">
        <v>105</v>
      </c>
      <c r="AE8" s="27" t="s">
        <v>104</v>
      </c>
      <c r="AF8" s="39" t="s">
        <v>23</v>
      </c>
      <c r="AG8" s="13"/>
      <c r="AI8" s="4"/>
    </row>
    <row r="9" spans="2:35" x14ac:dyDescent="0.25">
      <c r="B9" s="14">
        <v>1</v>
      </c>
      <c r="C9" s="61" t="s">
        <v>10</v>
      </c>
      <c r="D9" s="66">
        <f>'REMUNERACION_OCCIDENTE_ Directa'!D104</f>
        <v>807049068.57000017</v>
      </c>
      <c r="E9" s="66">
        <f>'REMUNERACION_OCCIDENTE_ Directa'!E104</f>
        <v>99193733.159999996</v>
      </c>
      <c r="F9" s="66">
        <f>'REMUNERACION_OCCIDENTE_ Directa'!F104</f>
        <v>55706578.209999993</v>
      </c>
      <c r="G9" s="66">
        <f>'REMUNERACION_OCCIDENTE_ Directa'!G104</f>
        <v>29360739.059999999</v>
      </c>
      <c r="H9" s="66">
        <f>'REMUNERACION_OCCIDENTE_ Directa'!H104</f>
        <v>53694460.149999999</v>
      </c>
      <c r="I9" s="66">
        <f>'REMUNERACION_OCCIDENTE_ Directa'!I104</f>
        <v>1708389.85</v>
      </c>
      <c r="J9" s="66">
        <f>'REMUNERACION_OCCIDENTE_ Directa'!J104</f>
        <v>0</v>
      </c>
      <c r="K9" s="30">
        <f>D9-E9-F9-G9-H9-I9-J9</f>
        <v>567385168.14000022</v>
      </c>
      <c r="L9" s="66">
        <f>'REMUNERACION_OCCIDENTE_ Directa'!L104</f>
        <v>0</v>
      </c>
      <c r="M9" s="30">
        <f>K9-L9</f>
        <v>567385168.14000022</v>
      </c>
      <c r="N9" s="66">
        <f>'REMUNERACION_OCCIDENTE_ Directa'!N104</f>
        <v>8760824.0099999998</v>
      </c>
      <c r="O9" s="30">
        <f>M9+N9</f>
        <v>576145992.15000021</v>
      </c>
      <c r="Q9" s="4"/>
      <c r="S9" s="14">
        <v>1</v>
      </c>
      <c r="T9" s="61" t="s">
        <v>10</v>
      </c>
      <c r="U9" s="66">
        <f>'REMUNERACION_OCCIDENTE_ Directa'!U104</f>
        <v>15073165.450000001</v>
      </c>
      <c r="V9" s="66">
        <f>'REMUNERACION_OCCIDENTE_ Directa'!V104</f>
        <v>18351766.840000004</v>
      </c>
      <c r="W9" s="66">
        <f>'REMUNERACION_OCCIDENTE_ Directa'!W104</f>
        <v>85158116.140000001</v>
      </c>
      <c r="X9" s="66">
        <f>'REMUNERACION_OCCIDENTE_ Directa'!X104</f>
        <v>271402094.66000003</v>
      </c>
      <c r="Y9" s="66">
        <f>'REMUNERACION_OCCIDENTE_ Directa'!Y104</f>
        <v>2783141.35</v>
      </c>
      <c r="Z9" s="66">
        <f>'REMUNERACION_OCCIDENTE_ Directa'!Z104</f>
        <v>0</v>
      </c>
      <c r="AA9" s="66">
        <f>'REMUNERACION_OCCIDENTE_ Directa'!AA104</f>
        <v>-864.44</v>
      </c>
      <c r="AB9" s="66">
        <f>'REMUNERACION_OCCIDENTE_ Directa'!AB104</f>
        <v>8760824.0099999998</v>
      </c>
      <c r="AC9" s="66">
        <f>'REMUNERACION_OCCIDENTE_ Directa'!AC104</f>
        <v>-2114.38</v>
      </c>
      <c r="AD9" s="66">
        <f>'REMUNERACION_OCCIDENTE_ Directa'!AD104</f>
        <v>174619862.51999998</v>
      </c>
      <c r="AE9" s="66">
        <f>'REMUNERACION_OCCIDENTE_ Directa'!AE104</f>
        <v>174619862.51999998</v>
      </c>
      <c r="AF9" s="69">
        <f>SUM(U9:AD9)</f>
        <v>576145992.1500001</v>
      </c>
      <c r="AG9" s="71">
        <f>AF9-O9</f>
        <v>0</v>
      </c>
      <c r="AH9" s="1" t="b">
        <f>INT(AG9)=0</f>
        <v>1</v>
      </c>
      <c r="AI9" s="4"/>
    </row>
    <row r="10" spans="2:35" x14ac:dyDescent="0.25">
      <c r="B10" s="16">
        <v>2</v>
      </c>
      <c r="C10" s="62" t="s">
        <v>11</v>
      </c>
      <c r="D10" s="66">
        <f>'REMUNERACION_OCCIDENTE_ Directa'!D105</f>
        <v>1404601147.78</v>
      </c>
      <c r="E10" s="66">
        <f>'REMUNERACION_OCCIDENTE_ Directa'!E105</f>
        <v>183955211.98000002</v>
      </c>
      <c r="F10" s="66">
        <f>'REMUNERACION_OCCIDENTE_ Directa'!F105</f>
        <v>102944599.42999999</v>
      </c>
      <c r="G10" s="66">
        <f>'REMUNERACION_OCCIDENTE_ Directa'!G105</f>
        <v>54335275.669999994</v>
      </c>
      <c r="H10" s="66">
        <f>'REMUNERACION_OCCIDENTE_ Directa'!H105</f>
        <v>214011816.64000002</v>
      </c>
      <c r="I10" s="66">
        <f>'REMUNERACION_OCCIDENTE_ Directa'!I105</f>
        <v>5870826.8500000006</v>
      </c>
      <c r="J10" s="66">
        <f>'REMUNERACION_OCCIDENTE_ Directa'!J105</f>
        <v>0</v>
      </c>
      <c r="K10" s="31">
        <f t="shared" ref="K10:K13" si="0">D10-E10-F10-G10-H10-I10-J10</f>
        <v>843483417.20999992</v>
      </c>
      <c r="L10" s="66">
        <f>'REMUNERACION_OCCIDENTE_ Directa'!L105</f>
        <v>0</v>
      </c>
      <c r="M10" s="31">
        <f>K10-L10</f>
        <v>843483417.20999992</v>
      </c>
      <c r="N10" s="66">
        <f>'REMUNERACION_OCCIDENTE_ Directa'!N105</f>
        <v>29180991.390000001</v>
      </c>
      <c r="O10" s="31">
        <f t="shared" ref="O10:O13" si="1">M10+N10</f>
        <v>872664408.5999999</v>
      </c>
      <c r="Q10" s="4"/>
      <c r="S10" s="16">
        <v>2</v>
      </c>
      <c r="T10" s="62" t="s">
        <v>11</v>
      </c>
      <c r="U10" s="66">
        <f>'REMUNERACION_OCCIDENTE_ Directa'!U105</f>
        <v>51434199.740000002</v>
      </c>
      <c r="V10" s="66">
        <f>'REMUNERACION_OCCIDENTE_ Directa'!V105</f>
        <v>70337397.799999997</v>
      </c>
      <c r="W10" s="66">
        <f>'REMUNERACION_OCCIDENTE_ Directa'!W105</f>
        <v>321021887.77000004</v>
      </c>
      <c r="X10" s="66">
        <f>'REMUNERACION_OCCIDENTE_ Directa'!X105</f>
        <v>381196564.10999995</v>
      </c>
      <c r="Y10" s="66">
        <f>'REMUNERACION_OCCIDENTE_ Directa'!Y105</f>
        <v>9471108.7799999993</v>
      </c>
      <c r="Z10" s="66">
        <f>'REMUNERACION_OCCIDENTE_ Directa'!Z105</f>
        <v>0</v>
      </c>
      <c r="AA10" s="66">
        <f>'REMUNERACION_OCCIDENTE_ Directa'!AA105</f>
        <v>-3277.8299999999995</v>
      </c>
      <c r="AB10" s="66">
        <f>'REMUNERACION_OCCIDENTE_ Directa'!AB105</f>
        <v>29180991.390000001</v>
      </c>
      <c r="AC10" s="66">
        <f>'REMUNERACION_OCCIDENTE_ Directa'!AC105</f>
        <v>-13.53</v>
      </c>
      <c r="AD10" s="66">
        <f>'REMUNERACION_OCCIDENTE_ Directa'!AD105</f>
        <v>10025550.370000001</v>
      </c>
      <c r="AE10" s="66">
        <f>'REMUNERACION_OCCIDENTE_ Directa'!AE105</f>
        <v>10025550.370000001</v>
      </c>
      <c r="AF10" s="70">
        <f>SUM(U10:AD10)</f>
        <v>872664408.60000002</v>
      </c>
      <c r="AG10" s="72">
        <f>AF10-O10</f>
        <v>0</v>
      </c>
      <c r="AH10" s="1" t="b">
        <f t="shared" ref="AH10:AH14" si="2">INT(AG10)=0</f>
        <v>1</v>
      </c>
      <c r="AI10" s="4"/>
    </row>
    <row r="11" spans="2:35" x14ac:dyDescent="0.25">
      <c r="B11" s="16">
        <v>3</v>
      </c>
      <c r="C11" s="62" t="s">
        <v>12</v>
      </c>
      <c r="D11" s="66">
        <f>'REMUNERACION_OCCIDENTE_ Directa'!D106</f>
        <v>1245261377.0799999</v>
      </c>
      <c r="E11" s="66">
        <f>'REMUNERACION_OCCIDENTE_ Directa'!E106</f>
        <v>169179321.98000002</v>
      </c>
      <c r="F11" s="66">
        <f>'REMUNERACION_OCCIDENTE_ Directa'!F106</f>
        <v>94674360.829999998</v>
      </c>
      <c r="G11" s="66">
        <f>'REMUNERACION_OCCIDENTE_ Directa'!G106</f>
        <v>50112712.770000003</v>
      </c>
      <c r="H11" s="66">
        <f>'REMUNERACION_OCCIDENTE_ Directa'!H106</f>
        <v>37910837.479999997</v>
      </c>
      <c r="I11" s="66">
        <f>'REMUNERACION_OCCIDENTE_ Directa'!I106</f>
        <v>1165755.6399999999</v>
      </c>
      <c r="J11" s="66">
        <f>'REMUNERACION_OCCIDENTE_ Directa'!J106</f>
        <v>0</v>
      </c>
      <c r="K11" s="31">
        <f t="shared" si="0"/>
        <v>892218388.37999988</v>
      </c>
      <c r="L11" s="66">
        <f>'REMUNERACION_OCCIDENTE_ Directa'!L106</f>
        <v>0</v>
      </c>
      <c r="M11" s="31">
        <f>K11-L11</f>
        <v>892218388.37999988</v>
      </c>
      <c r="N11" s="66">
        <f>'REMUNERACION_OCCIDENTE_ Directa'!N106</f>
        <v>1311387.82</v>
      </c>
      <c r="O11" s="31">
        <f t="shared" si="1"/>
        <v>893529776.19999993</v>
      </c>
      <c r="Q11" s="4"/>
      <c r="S11" s="16">
        <v>3</v>
      </c>
      <c r="T11" s="62" t="s">
        <v>12</v>
      </c>
      <c r="U11" s="66">
        <f>'REMUNERACION_OCCIDENTE_ Directa'!U106</f>
        <v>10225267.880000001</v>
      </c>
      <c r="V11" s="66">
        <f>'REMUNERACION_OCCIDENTE_ Directa'!V106</f>
        <v>13794028.73</v>
      </c>
      <c r="W11" s="66">
        <f>'REMUNERACION_OCCIDENTE_ Directa'!W106</f>
        <v>64505492.360000007</v>
      </c>
      <c r="X11" s="66">
        <f>'REMUNERACION_OCCIDENTE_ Directa'!X106</f>
        <v>393819035.60999995</v>
      </c>
      <c r="Y11" s="66">
        <f>'REMUNERACION_OCCIDENTE_ Directa'!Y106</f>
        <v>1909745.96</v>
      </c>
      <c r="Z11" s="66">
        <f>'REMUNERACION_OCCIDENTE_ Directa'!Z106</f>
        <v>0</v>
      </c>
      <c r="AA11" s="66">
        <f>'REMUNERACION_OCCIDENTE_ Directa'!AA106</f>
        <v>-972.41000000000008</v>
      </c>
      <c r="AB11" s="66">
        <f>'REMUNERACION_OCCIDENTE_ Directa'!AB106</f>
        <v>1311387.82</v>
      </c>
      <c r="AC11" s="66">
        <f>'REMUNERACION_OCCIDENTE_ Directa'!AC106</f>
        <v>-11886.56</v>
      </c>
      <c r="AD11" s="66">
        <f>'REMUNERACION_OCCIDENTE_ Directa'!AD106</f>
        <v>407977676.81</v>
      </c>
      <c r="AE11" s="66">
        <f>'REMUNERACION_OCCIDENTE_ Directa'!AE106</f>
        <v>407977676.81</v>
      </c>
      <c r="AF11" s="70">
        <f>SUM(U11:AD11)</f>
        <v>893529776.19999981</v>
      </c>
      <c r="AG11" s="72">
        <f>AF11-O11</f>
        <v>0</v>
      </c>
      <c r="AH11" s="1" t="b">
        <f t="shared" si="2"/>
        <v>1</v>
      </c>
      <c r="AI11" s="4"/>
    </row>
    <row r="12" spans="2:35" x14ac:dyDescent="0.25">
      <c r="B12" s="16">
        <v>4</v>
      </c>
      <c r="C12" s="62" t="s">
        <v>13</v>
      </c>
      <c r="D12" s="66">
        <f>'REMUNERACION_OCCIDENTE_ Directa'!D107</f>
        <v>488724679.72000009</v>
      </c>
      <c r="E12" s="66">
        <f>'REMUNERACION_OCCIDENTE_ Directa'!E107</f>
        <v>55203155.700000003</v>
      </c>
      <c r="F12" s="66">
        <f>'REMUNERACION_OCCIDENTE_ Directa'!F107</f>
        <v>30345126.150000002</v>
      </c>
      <c r="G12" s="66">
        <f>'REMUNERACION_OCCIDENTE_ Directa'!G107</f>
        <v>15489479.65</v>
      </c>
      <c r="H12" s="66">
        <f>'REMUNERACION_OCCIDENTE_ Directa'!H107</f>
        <v>57754003.020000003</v>
      </c>
      <c r="I12" s="66">
        <f>'REMUNERACION_OCCIDENTE_ Directa'!I107</f>
        <v>1909778.2499999998</v>
      </c>
      <c r="J12" s="66">
        <f>'REMUNERACION_OCCIDENTE_ Directa'!J107</f>
        <v>0</v>
      </c>
      <c r="K12" s="31">
        <f t="shared" si="0"/>
        <v>328023136.95000017</v>
      </c>
      <c r="L12" s="66">
        <f>'REMUNERACION_OCCIDENTE_ Directa'!L107</f>
        <v>0</v>
      </c>
      <c r="M12" s="31">
        <f>K12-L12</f>
        <v>328023136.95000017</v>
      </c>
      <c r="N12" s="66">
        <f>'REMUNERACION_OCCIDENTE_ Directa'!N107</f>
        <v>14919457.4</v>
      </c>
      <c r="O12" s="31">
        <f t="shared" si="1"/>
        <v>342942594.35000014</v>
      </c>
      <c r="Q12" s="4"/>
      <c r="S12" s="16">
        <v>4</v>
      </c>
      <c r="T12" s="62" t="s">
        <v>13</v>
      </c>
      <c r="U12" s="66">
        <f>'REMUNERACION_OCCIDENTE_ Directa'!U107</f>
        <v>18153635.699999999</v>
      </c>
      <c r="V12" s="66">
        <f>'REMUNERACION_OCCIDENTE_ Directa'!V107</f>
        <v>22508162.759999998</v>
      </c>
      <c r="W12" s="66">
        <f>'REMUNERACION_OCCIDENTE_ Directa'!W107</f>
        <v>110934136.67000002</v>
      </c>
      <c r="X12" s="66">
        <f>'REMUNERACION_OCCIDENTE_ Directa'!X107</f>
        <v>146478227.43000004</v>
      </c>
      <c r="Y12" s="66">
        <f>'REMUNERACION_OCCIDENTE_ Directa'!Y107</f>
        <v>3110743.9899999998</v>
      </c>
      <c r="Z12" s="66">
        <f>'REMUNERACION_OCCIDENTE_ Directa'!Z107</f>
        <v>0</v>
      </c>
      <c r="AA12" s="66">
        <f>'REMUNERACION_OCCIDENTE_ Directa'!AA107</f>
        <v>602.99999999999989</v>
      </c>
      <c r="AB12" s="66">
        <f>'REMUNERACION_OCCIDENTE_ Directa'!AB107</f>
        <v>14919457.4</v>
      </c>
      <c r="AC12" s="66">
        <f>'REMUNERACION_OCCIDENTE_ Directa'!AC107</f>
        <v>-80.570000000000007</v>
      </c>
      <c r="AD12" s="66">
        <f>'REMUNERACION_OCCIDENTE_ Directa'!AD107</f>
        <v>26837707.969999999</v>
      </c>
      <c r="AE12" s="66">
        <f>'REMUNERACION_OCCIDENTE_ Directa'!AE107</f>
        <v>26837707.969999999</v>
      </c>
      <c r="AF12" s="70">
        <f>SUM(U12:AD12)</f>
        <v>342942594.35000002</v>
      </c>
      <c r="AG12" s="72">
        <f>AF12-O12</f>
        <v>0</v>
      </c>
      <c r="AH12" s="1" t="b">
        <f t="shared" si="2"/>
        <v>1</v>
      </c>
      <c r="AI12" s="4"/>
    </row>
    <row r="13" spans="2:35" ht="12" thickBot="1" x14ac:dyDescent="0.3">
      <c r="B13" s="19">
        <v>5</v>
      </c>
      <c r="C13" s="63" t="s">
        <v>14</v>
      </c>
      <c r="D13" s="66">
        <f>'REMUNERACION_OCCIDENTE_ Directa'!D108</f>
        <v>317721932.47000003</v>
      </c>
      <c r="E13" s="66">
        <f>'REMUNERACION_OCCIDENTE_ Directa'!E108</f>
        <v>31184102.540000003</v>
      </c>
      <c r="F13" s="66">
        <f>'REMUNERACION_OCCIDENTE_ Directa'!F108</f>
        <v>17438110.490000002</v>
      </c>
      <c r="G13" s="66">
        <f>'REMUNERACION_OCCIDENTE_ Directa'!G108</f>
        <v>9129338.4999999981</v>
      </c>
      <c r="H13" s="66">
        <f>'REMUNERACION_OCCIDENTE_ Directa'!H108</f>
        <v>18288367.830000002</v>
      </c>
      <c r="I13" s="66">
        <f>'REMUNERACION_OCCIDENTE_ Directa'!I108</f>
        <v>845568.67</v>
      </c>
      <c r="J13" s="66">
        <f>'REMUNERACION_OCCIDENTE_ Directa'!J108</f>
        <v>0</v>
      </c>
      <c r="K13" s="31">
        <f t="shared" si="0"/>
        <v>240836444.44</v>
      </c>
      <c r="L13" s="66">
        <f>'REMUNERACION_OCCIDENTE_ Directa'!L108</f>
        <v>0</v>
      </c>
      <c r="M13" s="40">
        <f>K13-L13</f>
        <v>240836444.44</v>
      </c>
      <c r="N13" s="66">
        <f>'REMUNERACION_OCCIDENTE_ Directa'!N108</f>
        <v>6894658.7800000003</v>
      </c>
      <c r="O13" s="40">
        <f t="shared" si="1"/>
        <v>247731103.22</v>
      </c>
      <c r="Q13" s="4"/>
      <c r="S13" s="19">
        <v>5</v>
      </c>
      <c r="T13" s="63" t="s">
        <v>14</v>
      </c>
      <c r="U13" s="66">
        <f>'REMUNERACION_OCCIDENTE_ Directa'!U108</f>
        <v>7530881.8600000003</v>
      </c>
      <c r="V13" s="66">
        <f>'REMUNERACION_OCCIDENTE_ Directa'!V108</f>
        <v>9040944.5399999991</v>
      </c>
      <c r="W13" s="66">
        <f>'REMUNERACION_OCCIDENTE_ Directa'!W108</f>
        <v>45756182.879999995</v>
      </c>
      <c r="X13" s="66">
        <f>'REMUNERACION_OCCIDENTE_ Directa'!X108</f>
        <v>92948094.320000008</v>
      </c>
      <c r="Y13" s="66">
        <f>'REMUNERACION_OCCIDENTE_ Directa'!Y108</f>
        <v>1374403.66</v>
      </c>
      <c r="Z13" s="66">
        <f>'REMUNERACION_OCCIDENTE_ Directa'!Z108</f>
        <v>0</v>
      </c>
      <c r="AA13" s="66">
        <f>'REMUNERACION_OCCIDENTE_ Directa'!AA108</f>
        <v>-760.25999999999988</v>
      </c>
      <c r="AB13" s="66">
        <f>'REMUNERACION_OCCIDENTE_ Directa'!AB108</f>
        <v>6894658.7800000003</v>
      </c>
      <c r="AC13" s="66">
        <f>'REMUNERACION_OCCIDENTE_ Directa'!AC108</f>
        <v>0.35000000000000003</v>
      </c>
      <c r="AD13" s="66">
        <f>'REMUNERACION_OCCIDENTE_ Directa'!AD108</f>
        <v>84186697.089999989</v>
      </c>
      <c r="AE13" s="66">
        <f>'REMUNERACION_OCCIDENTE_ Directa'!AE108</f>
        <v>84186697.089999989</v>
      </c>
      <c r="AF13" s="70">
        <f>SUM(U13:AD13)</f>
        <v>247731103.21999997</v>
      </c>
      <c r="AG13" s="369">
        <f>AF13-O13</f>
        <v>0</v>
      </c>
      <c r="AH13" s="1" t="b">
        <f t="shared" si="2"/>
        <v>1</v>
      </c>
      <c r="AI13" s="4"/>
    </row>
    <row r="14" spans="2:35" ht="13.5" thickBot="1" x14ac:dyDescent="0.35">
      <c r="B14" s="21"/>
      <c r="C14" s="22" t="s">
        <v>119</v>
      </c>
      <c r="D14" s="43">
        <f t="shared" ref="D14:O14" si="3">SUM(D9:D13)</f>
        <v>4263358205.6200008</v>
      </c>
      <c r="E14" s="43">
        <f t="shared" si="3"/>
        <v>538715525.36000001</v>
      </c>
      <c r="F14" s="43">
        <f t="shared" si="3"/>
        <v>301108775.10999995</v>
      </c>
      <c r="G14" s="43">
        <f t="shared" si="3"/>
        <v>158427545.65000001</v>
      </c>
      <c r="H14" s="43">
        <f t="shared" si="3"/>
        <v>381659485.12</v>
      </c>
      <c r="I14" s="43">
        <f t="shared" si="3"/>
        <v>11500319.260000002</v>
      </c>
      <c r="J14" s="43">
        <f t="shared" si="3"/>
        <v>0</v>
      </c>
      <c r="K14" s="32">
        <f t="shared" si="3"/>
        <v>2871946555.1200004</v>
      </c>
      <c r="L14" s="23">
        <f t="shared" si="3"/>
        <v>0</v>
      </c>
      <c r="M14" s="76">
        <f t="shared" si="3"/>
        <v>2871946555.1200004</v>
      </c>
      <c r="N14" s="23">
        <f t="shared" si="3"/>
        <v>61067319.399999999</v>
      </c>
      <c r="O14" s="76">
        <f t="shared" si="3"/>
        <v>2933013874.52</v>
      </c>
      <c r="P14" s="2"/>
      <c r="Q14" s="4"/>
      <c r="S14" s="21"/>
      <c r="T14" s="22" t="s">
        <v>119</v>
      </c>
      <c r="U14" s="43">
        <f>SUM(U9:U13)</f>
        <v>102417150.63000001</v>
      </c>
      <c r="V14" s="43">
        <f t="shared" ref="V14:AG14" si="4">SUM(V9:V13)</f>
        <v>134032300.66999999</v>
      </c>
      <c r="W14" s="43">
        <f t="shared" si="4"/>
        <v>627375815.82000005</v>
      </c>
      <c r="X14" s="43">
        <f t="shared" si="4"/>
        <v>1285844016.1299999</v>
      </c>
      <c r="Y14" s="43">
        <f t="shared" si="4"/>
        <v>18649143.739999998</v>
      </c>
      <c r="Z14" s="43">
        <f t="shared" si="4"/>
        <v>0</v>
      </c>
      <c r="AA14" s="43">
        <f t="shared" si="4"/>
        <v>-5271.94</v>
      </c>
      <c r="AB14" s="43">
        <f t="shared" si="4"/>
        <v>61067319.399999999</v>
      </c>
      <c r="AC14" s="43">
        <f t="shared" si="4"/>
        <v>-14094.689999999999</v>
      </c>
      <c r="AD14" s="43">
        <f t="shared" si="4"/>
        <v>703647494.76000011</v>
      </c>
      <c r="AE14" s="43">
        <f>SUM(AE9:AE13)</f>
        <v>703647494.76000011</v>
      </c>
      <c r="AF14" s="68">
        <f t="shared" si="4"/>
        <v>2933013874.5199995</v>
      </c>
      <c r="AG14" s="43">
        <f t="shared" si="4"/>
        <v>0</v>
      </c>
      <c r="AH14" s="1" t="b">
        <f t="shared" si="2"/>
        <v>1</v>
      </c>
      <c r="AI14" s="4"/>
    </row>
    <row r="15" spans="2:35" ht="12" thickBot="1" x14ac:dyDescent="0.3">
      <c r="B15" s="2"/>
      <c r="C15" s="2"/>
      <c r="D15" s="24"/>
      <c r="E15" s="24"/>
      <c r="F15" s="24"/>
      <c r="G15" s="24"/>
      <c r="H15" s="24"/>
      <c r="I15" s="24"/>
      <c r="K15" s="24"/>
      <c r="L15" s="24"/>
      <c r="M15" s="24"/>
      <c r="N15" s="24"/>
      <c r="O15" s="24"/>
      <c r="Q15" s="4"/>
      <c r="S15" s="2"/>
      <c r="T15" s="2"/>
      <c r="U15" s="24"/>
      <c r="V15" s="24"/>
      <c r="W15" s="24"/>
      <c r="X15" s="24"/>
      <c r="Y15" s="24"/>
      <c r="AF15" s="24"/>
      <c r="AI15" s="4"/>
    </row>
    <row r="16" spans="2:35" ht="12" thickBot="1" x14ac:dyDescent="0.3">
      <c r="B16" s="2"/>
      <c r="C16" s="2"/>
      <c r="D16" s="24" t="s">
        <v>1</v>
      </c>
      <c r="E16" s="24"/>
      <c r="F16" s="24"/>
      <c r="G16" s="24"/>
      <c r="H16" s="24"/>
      <c r="I16" s="24"/>
      <c r="K16" s="24"/>
      <c r="L16" s="24"/>
      <c r="M16" s="24"/>
      <c r="N16" s="24"/>
      <c r="O16" s="24"/>
      <c r="Q16" s="4"/>
      <c r="Y16" s="86">
        <f>SUM(U14:Y14)</f>
        <v>2168318426.9899998</v>
      </c>
      <c r="AA16" s="1" t="s">
        <v>1</v>
      </c>
      <c r="AB16" s="1" t="s">
        <v>1</v>
      </c>
      <c r="AD16" s="1" t="s">
        <v>1</v>
      </c>
      <c r="AF16" s="1" t="s">
        <v>1</v>
      </c>
      <c r="AI16" s="4"/>
    </row>
    <row r="17" spans="1:35" ht="64.5" customHeight="1" thickBot="1" x14ac:dyDescent="0.3">
      <c r="B17" s="2"/>
      <c r="C17" s="2"/>
      <c r="D17" s="24" t="s">
        <v>1</v>
      </c>
      <c r="E17" s="33"/>
      <c r="F17" s="33"/>
      <c r="G17" s="33"/>
      <c r="H17" s="33"/>
      <c r="I17" s="24"/>
      <c r="K17" s="24"/>
      <c r="L17" s="24"/>
      <c r="M17" s="24"/>
      <c r="N17" s="24"/>
      <c r="O17" s="24"/>
      <c r="Q17" s="4"/>
      <c r="U17" s="33"/>
      <c r="V17" s="33"/>
      <c r="W17" s="33"/>
      <c r="X17" s="33"/>
      <c r="AI17" s="4"/>
    </row>
    <row r="18" spans="1:35" x14ac:dyDescent="0.25">
      <c r="B18" s="2"/>
      <c r="C18" s="2"/>
      <c r="D18" s="24" t="s">
        <v>1</v>
      </c>
      <c r="E18" s="24" t="s">
        <v>1</v>
      </c>
      <c r="F18" s="24" t="s">
        <v>25</v>
      </c>
      <c r="G18" s="24"/>
      <c r="H18" s="24"/>
      <c r="I18" s="24"/>
      <c r="K18" s="24"/>
      <c r="L18" s="24"/>
      <c r="M18" s="24"/>
      <c r="N18" s="24"/>
      <c r="O18" s="24"/>
      <c r="Q18" s="4"/>
      <c r="U18" s="24" t="s">
        <v>1</v>
      </c>
      <c r="V18" s="24" t="s">
        <v>25</v>
      </c>
      <c r="W18" s="24"/>
      <c r="X18" s="24"/>
      <c r="AI18" s="4"/>
    </row>
    <row r="19" spans="1:35" x14ac:dyDescent="0.25">
      <c r="A19" s="52"/>
      <c r="B19" s="53"/>
      <c r="C19" s="53"/>
      <c r="D19" s="54"/>
      <c r="E19" s="54"/>
      <c r="F19" s="54"/>
      <c r="G19" s="54"/>
      <c r="H19" s="54"/>
      <c r="I19" s="54"/>
      <c r="J19" s="52"/>
      <c r="K19" s="54"/>
      <c r="L19" s="54"/>
      <c r="M19" s="54"/>
      <c r="N19" s="54"/>
      <c r="O19" s="54"/>
      <c r="P19" s="52"/>
      <c r="Q19" s="52"/>
      <c r="R19" s="52"/>
      <c r="S19" s="52"/>
      <c r="T19" s="52"/>
      <c r="U19" s="52"/>
      <c r="V19" s="52"/>
      <c r="W19" s="52"/>
      <c r="X19" s="52"/>
      <c r="Y19" s="52"/>
      <c r="Z19" s="52"/>
      <c r="AA19" s="52"/>
      <c r="AB19" s="52"/>
      <c r="AC19" s="52"/>
      <c r="AD19" s="52"/>
      <c r="AE19" s="52"/>
      <c r="AF19" s="52"/>
      <c r="AG19" s="52"/>
      <c r="AH19" s="52"/>
      <c r="AI19" s="52"/>
    </row>
    <row r="20" spans="1:35" ht="12" thickBot="1" x14ac:dyDescent="0.3">
      <c r="Q20" s="4"/>
    </row>
    <row r="21" spans="1:35" x14ac:dyDescent="0.25">
      <c r="B21" s="5"/>
      <c r="C21" s="3" t="s">
        <v>1</v>
      </c>
      <c r="D21" s="6" t="s">
        <v>1</v>
      </c>
      <c r="E21" s="3"/>
      <c r="F21" s="3"/>
      <c r="G21" s="3"/>
      <c r="H21" s="3" t="s">
        <v>1</v>
      </c>
      <c r="I21" s="3"/>
      <c r="J21" s="3"/>
      <c r="K21" s="3"/>
      <c r="L21" s="3"/>
      <c r="M21" s="3"/>
      <c r="N21" s="3"/>
      <c r="O21" s="7"/>
      <c r="P21" s="2"/>
      <c r="Q21" s="35"/>
    </row>
    <row r="22" spans="1:35" ht="14" x14ac:dyDescent="0.3">
      <c r="B22" s="8"/>
      <c r="C22" s="2"/>
      <c r="D22" s="9"/>
      <c r="F22" s="26" t="s">
        <v>8</v>
      </c>
      <c r="G22" s="26"/>
      <c r="I22" s="26" t="s">
        <v>16</v>
      </c>
      <c r="J22" s="25"/>
      <c r="M22" s="2" t="s">
        <v>15</v>
      </c>
      <c r="N22" s="50">
        <f>'REMUNERACION_OCCIDENTE_ Directa'!M117</f>
        <v>2026072</v>
      </c>
      <c r="O22" s="10"/>
      <c r="P22" s="2"/>
      <c r="Q22" s="4"/>
    </row>
    <row r="23" spans="1:35" ht="15.5" x14ac:dyDescent="0.35">
      <c r="B23" s="8"/>
      <c r="C23" s="2"/>
      <c r="D23" s="57"/>
      <c r="F23" s="36" t="s">
        <v>29</v>
      </c>
      <c r="G23" s="36"/>
      <c r="O23" s="10"/>
      <c r="P23" s="2"/>
      <c r="Q23" s="4"/>
    </row>
    <row r="24" spans="1:35" x14ac:dyDescent="0.25">
      <c r="B24" s="8"/>
      <c r="F24" s="2" t="s">
        <v>30</v>
      </c>
      <c r="G24" s="2"/>
      <c r="M24" s="2" t="s">
        <v>1</v>
      </c>
      <c r="O24" s="10"/>
      <c r="P24" s="2"/>
      <c r="Q24" s="4"/>
    </row>
    <row r="25" spans="1:35" x14ac:dyDescent="0.25">
      <c r="B25" s="8"/>
      <c r="I25" s="2"/>
      <c r="J25" s="2"/>
      <c r="O25" s="10"/>
      <c r="P25" s="2"/>
      <c r="Q25" s="4"/>
    </row>
    <row r="26" spans="1:35" ht="15.5" x14ac:dyDescent="0.35">
      <c r="B26" s="8"/>
      <c r="F26" s="41" t="s">
        <v>37</v>
      </c>
      <c r="G26" s="41"/>
      <c r="H26" s="2"/>
      <c r="J26" s="2"/>
      <c r="O26" s="10"/>
      <c r="P26" s="2"/>
      <c r="Q26" s="4"/>
    </row>
    <row r="27" spans="1:35" x14ac:dyDescent="0.25">
      <c r="B27" s="8"/>
      <c r="F27" s="2" t="s">
        <v>27</v>
      </c>
      <c r="G27" s="2"/>
      <c r="H27" s="9">
        <f>'REMUNERACION_OCCIDENTE_ Directa'!G122</f>
        <v>46219</v>
      </c>
      <c r="J27" s="2" t="s">
        <v>28</v>
      </c>
      <c r="K27" s="9">
        <f>'REMUNERACION_OCCIDENTE_ Directa'!K122</f>
        <v>46234</v>
      </c>
      <c r="O27" s="10"/>
      <c r="P27" s="2"/>
      <c r="Q27" s="4"/>
    </row>
    <row r="28" spans="1:35" ht="12" thickBot="1" x14ac:dyDescent="0.3">
      <c r="B28" s="8"/>
      <c r="C28" s="2" t="s">
        <v>1</v>
      </c>
      <c r="D28" s="2" t="s">
        <v>1</v>
      </c>
      <c r="J28" s="1" t="s">
        <v>1</v>
      </c>
      <c r="O28" s="44"/>
      <c r="P28" s="2"/>
      <c r="Q28" s="4"/>
    </row>
    <row r="29" spans="1:35" ht="46.5" thickBot="1" x14ac:dyDescent="0.3">
      <c r="B29" s="11" t="s">
        <v>3</v>
      </c>
      <c r="C29" s="12" t="s">
        <v>9</v>
      </c>
      <c r="D29" s="12" t="s">
        <v>38</v>
      </c>
      <c r="E29" s="12" t="s">
        <v>48</v>
      </c>
      <c r="G29" s="104" t="s">
        <v>47</v>
      </c>
      <c r="H29" s="73" t="s">
        <v>56</v>
      </c>
      <c r="I29" s="73" t="s">
        <v>130</v>
      </c>
      <c r="J29" s="73" t="s">
        <v>172</v>
      </c>
      <c r="K29" s="73" t="s">
        <v>143</v>
      </c>
      <c r="L29" s="73" t="s">
        <v>144</v>
      </c>
      <c r="O29" s="44"/>
      <c r="P29" s="13"/>
      <c r="Q29" s="4"/>
    </row>
    <row r="30" spans="1:35" x14ac:dyDescent="0.25">
      <c r="B30" s="108">
        <v>1</v>
      </c>
      <c r="C30" s="109" t="s">
        <v>10</v>
      </c>
      <c r="D30" s="110">
        <f>'REMUNERACION_OCCIDENTE_ Directa'!D125</f>
        <v>17358483.629999999</v>
      </c>
      <c r="E30" s="111">
        <f>'REMUNERACION_OCCIDENTE_ Directa'!E125</f>
        <v>0</v>
      </c>
      <c r="G30" s="336">
        <f>'REMUNERACION_OCCIDENTE_ Directa'!G125</f>
        <v>0</v>
      </c>
      <c r="H30" s="310">
        <f>'REMUNERACION_OCCIDENTE_ Directa'!H125</f>
        <v>28857410.600000001</v>
      </c>
      <c r="I30" s="309">
        <f>'REMUNERACION_OCCIDENTE_ Directa'!I125</f>
        <v>0</v>
      </c>
      <c r="J30" s="309">
        <f>'REMUNERACION_OCCIDENTE_ Directa'!J125</f>
        <v>-1002751.39</v>
      </c>
      <c r="K30" s="309">
        <f>'REMUNERACION_OCCIDENTE_ Directa'!K125</f>
        <v>82340</v>
      </c>
      <c r="L30" s="309">
        <f>'REMUNERACION_OCCIDENTE_ Directa'!L125</f>
        <v>165648.60999999999</v>
      </c>
      <c r="O30" s="44"/>
      <c r="Q30" s="4"/>
    </row>
    <row r="31" spans="1:35" x14ac:dyDescent="0.25">
      <c r="B31" s="16">
        <v>2</v>
      </c>
      <c r="C31" s="17" t="s">
        <v>11</v>
      </c>
      <c r="D31" s="15">
        <f>'REMUNERACION_OCCIDENTE_ Directa'!D126</f>
        <v>79433109</v>
      </c>
      <c r="E31" s="74">
        <f>'REMUNERACION_OCCIDENTE_ Directa'!E126</f>
        <v>0</v>
      </c>
      <c r="G31" s="339">
        <f>'REMUNERACION_OCCIDENTE_ Directa'!G126</f>
        <v>111210</v>
      </c>
      <c r="H31" s="340">
        <f>'REMUNERACION_OCCIDENTE_ Directa'!H126</f>
        <v>87448610.169999987</v>
      </c>
      <c r="I31" s="288">
        <f>'REMUNERACION_OCCIDENTE_ Directa'!I126</f>
        <v>0</v>
      </c>
      <c r="J31" s="288">
        <f>'REMUNERACION_OCCIDENTE_ Directa'!J126</f>
        <v>-290750</v>
      </c>
      <c r="K31" s="288">
        <f>'REMUNERACION_OCCIDENTE_ Directa'!K126</f>
        <v>1370</v>
      </c>
      <c r="L31" s="288">
        <f>'REMUNERACION_OCCIDENTE_ Directa'!L126</f>
        <v>0</v>
      </c>
      <c r="O31" s="44"/>
      <c r="Q31" s="4"/>
    </row>
    <row r="32" spans="1:35" x14ac:dyDescent="0.25">
      <c r="B32" s="16">
        <v>3</v>
      </c>
      <c r="C32" s="17" t="s">
        <v>12</v>
      </c>
      <c r="D32" s="15">
        <f>'REMUNERACION_OCCIDENTE_ Directa'!D127</f>
        <v>14844502.92</v>
      </c>
      <c r="E32" s="74">
        <f>'REMUNERACION_OCCIDENTE_ Directa'!E127</f>
        <v>0</v>
      </c>
      <c r="G32" s="339">
        <f>'REMUNERACION_OCCIDENTE_ Directa'!G127</f>
        <v>0</v>
      </c>
      <c r="H32" s="340">
        <f>'REMUNERACION_OCCIDENTE_ Directa'!H127</f>
        <v>16553408.619999999</v>
      </c>
      <c r="I32" s="288">
        <f>'REMUNERACION_OCCIDENTE_ Directa'!I127</f>
        <v>0</v>
      </c>
      <c r="J32" s="288">
        <f>'REMUNERACION_OCCIDENTE_ Directa'!J127</f>
        <v>-306659.8</v>
      </c>
      <c r="K32" s="288">
        <f>'REMUNERACION_OCCIDENTE_ Directa'!K127</f>
        <v>0</v>
      </c>
      <c r="L32" s="288">
        <f>'REMUNERACION_OCCIDENTE_ Directa'!L127</f>
        <v>2343750.2000000002</v>
      </c>
      <c r="O32" s="44"/>
      <c r="Q32" s="4"/>
    </row>
    <row r="33" spans="1:20" x14ac:dyDescent="0.25">
      <c r="B33" s="16">
        <v>4</v>
      </c>
      <c r="C33" s="17" t="s">
        <v>13</v>
      </c>
      <c r="D33" s="15">
        <f>'REMUNERACION_OCCIDENTE_ Directa'!D128</f>
        <v>14631795.34</v>
      </c>
      <c r="E33" s="74">
        <f>'REMUNERACION_OCCIDENTE_ Directa'!E128</f>
        <v>0</v>
      </c>
      <c r="G33" s="339">
        <f>'REMUNERACION_OCCIDENTE_ Directa'!G128</f>
        <v>691194</v>
      </c>
      <c r="H33" s="340">
        <f>'REMUNERACION_OCCIDENTE_ Directa'!H128</f>
        <v>34178649.799999997</v>
      </c>
      <c r="I33" s="288">
        <f>'REMUNERACION_OCCIDENTE_ Directa'!I128</f>
        <v>0</v>
      </c>
      <c r="J33" s="288">
        <f>'REMUNERACION_OCCIDENTE_ Directa'!J128</f>
        <v>-3233428.34</v>
      </c>
      <c r="K33" s="288">
        <f>'REMUNERACION_OCCIDENTE_ Directa'!K128</f>
        <v>2209000</v>
      </c>
      <c r="L33" s="288">
        <f>'REMUNERACION_OCCIDENTE_ Directa'!L128</f>
        <v>14593375.66</v>
      </c>
      <c r="O33" s="44"/>
      <c r="Q33" s="4"/>
    </row>
    <row r="34" spans="1:20" x14ac:dyDescent="0.25">
      <c r="B34" s="133">
        <v>5</v>
      </c>
      <c r="C34" s="138" t="s">
        <v>14</v>
      </c>
      <c r="D34" s="135">
        <f>'REMUNERACION_OCCIDENTE_ Directa'!D129</f>
        <v>10604847.960000001</v>
      </c>
      <c r="E34" s="139">
        <f>'REMUNERACION_OCCIDENTE_ Directa'!E129</f>
        <v>0</v>
      </c>
      <c r="G34" s="339">
        <f>'REMUNERACION_OCCIDENTE_ Directa'!G129</f>
        <v>441849</v>
      </c>
      <c r="H34" s="340">
        <f>'REMUNERACION_OCCIDENTE_ Directa'!H129</f>
        <v>14307244.74</v>
      </c>
      <c r="I34" s="288">
        <f>'REMUNERACION_OCCIDENTE_ Directa'!I129</f>
        <v>0</v>
      </c>
      <c r="J34" s="288">
        <f>'REMUNERACION_OCCIDENTE_ Directa'!J129</f>
        <v>-1026775.53</v>
      </c>
      <c r="K34" s="288">
        <f>'REMUNERACION_OCCIDENTE_ Directa'!K129</f>
        <v>87550</v>
      </c>
      <c r="L34" s="288">
        <f>'REMUNERACION_OCCIDENTE_ Directa'!L129</f>
        <v>165773.47</v>
      </c>
      <c r="O34" s="44"/>
      <c r="Q34" s="4"/>
    </row>
    <row r="35" spans="1:20" ht="12" thickBot="1" x14ac:dyDescent="0.3">
      <c r="B35" s="19" t="s">
        <v>89</v>
      </c>
      <c r="C35" s="20" t="s">
        <v>113</v>
      </c>
      <c r="D35" s="78"/>
      <c r="E35" s="79">
        <f>'REMUNERACION_OCCIDENTE_ Directa'!E130</f>
        <v>0</v>
      </c>
      <c r="G35" s="346"/>
      <c r="H35" s="347"/>
      <c r="I35" s="289"/>
      <c r="J35" s="289"/>
      <c r="K35" s="289"/>
      <c r="L35" s="289"/>
      <c r="O35" s="44"/>
      <c r="Q35" s="4"/>
    </row>
    <row r="36" spans="1:20" ht="12" thickBot="1" x14ac:dyDescent="0.3">
      <c r="B36" s="95"/>
      <c r="C36" s="106" t="s">
        <v>119</v>
      </c>
      <c r="D36" s="107">
        <f t="shared" ref="D36" si="5">SUM(D30:D34)</f>
        <v>136872738.84999999</v>
      </c>
      <c r="E36" s="107">
        <f>'REMUNERACION_OCCIDENTE_ Directa'!E131</f>
        <v>0</v>
      </c>
      <c r="F36" s="45"/>
      <c r="G36" s="350">
        <f t="shared" ref="G36:L36" si="6">SUM(G30:G34)</f>
        <v>1244253</v>
      </c>
      <c r="H36" s="350">
        <f t="shared" si="6"/>
        <v>181345323.93000001</v>
      </c>
      <c r="I36" s="350">
        <f t="shared" si="6"/>
        <v>0</v>
      </c>
      <c r="J36" s="350">
        <f t="shared" si="6"/>
        <v>-5860365.0600000005</v>
      </c>
      <c r="K36" s="350">
        <f t="shared" si="6"/>
        <v>2380260</v>
      </c>
      <c r="L36" s="350">
        <f t="shared" si="6"/>
        <v>17268547.939999998</v>
      </c>
      <c r="M36" s="45"/>
      <c r="N36" s="45"/>
      <c r="O36" s="46"/>
      <c r="P36" s="2"/>
      <c r="Q36" s="4"/>
    </row>
    <row r="37" spans="1:20" x14ac:dyDescent="0.25">
      <c r="B37" s="2"/>
      <c r="C37" s="2"/>
      <c r="D37" s="24"/>
      <c r="Q37" s="4"/>
    </row>
    <row r="38" spans="1:20" x14ac:dyDescent="0.25">
      <c r="B38" s="2"/>
      <c r="C38" s="2"/>
      <c r="D38" s="24"/>
      <c r="L38" s="1" t="s">
        <v>1</v>
      </c>
      <c r="Q38" s="4"/>
    </row>
    <row r="39" spans="1:20" ht="64.5" customHeight="1" thickBot="1" x14ac:dyDescent="0.3">
      <c r="B39" s="2"/>
      <c r="C39" s="2"/>
      <c r="D39" s="24"/>
      <c r="E39" s="33"/>
      <c r="F39" s="33"/>
      <c r="G39" s="33"/>
      <c r="H39" s="33"/>
      <c r="I39" s="24"/>
      <c r="K39" s="24"/>
      <c r="L39" s="24" t="s">
        <v>1</v>
      </c>
      <c r="M39" s="24" t="s">
        <v>1</v>
      </c>
      <c r="N39" s="24"/>
      <c r="O39" s="24"/>
      <c r="Q39" s="4"/>
    </row>
    <row r="40" spans="1:20" x14ac:dyDescent="0.25">
      <c r="B40" s="2"/>
      <c r="C40" s="2"/>
      <c r="D40" s="24"/>
      <c r="E40" s="24" t="s">
        <v>1</v>
      </c>
      <c r="F40" s="42" t="s">
        <v>36</v>
      </c>
      <c r="G40" s="42"/>
      <c r="H40" s="42"/>
      <c r="I40" s="24"/>
      <c r="K40" s="24"/>
      <c r="L40" s="24"/>
      <c r="M40" s="24"/>
      <c r="N40" s="24"/>
      <c r="O40" s="24"/>
      <c r="Q40" s="4"/>
    </row>
    <row r="41" spans="1:20" x14ac:dyDescent="0.25">
      <c r="A41" s="52"/>
      <c r="B41" s="53"/>
      <c r="C41" s="53"/>
      <c r="D41" s="54"/>
      <c r="E41" s="54"/>
      <c r="F41" s="54"/>
      <c r="G41" s="54"/>
      <c r="H41" s="54"/>
      <c r="I41" s="54"/>
      <c r="J41" s="52"/>
      <c r="K41" s="54"/>
      <c r="L41" s="54"/>
      <c r="M41" s="54"/>
      <c r="N41" s="54"/>
      <c r="O41" s="54"/>
      <c r="P41" s="52"/>
      <c r="Q41" s="4"/>
    </row>
    <row r="42" spans="1:20" x14ac:dyDescent="0.25">
      <c r="N42" s="24"/>
      <c r="O42" s="24"/>
      <c r="Q42" s="24"/>
      <c r="T42" s="24"/>
    </row>
    <row r="43" spans="1:20" x14ac:dyDescent="0.25">
      <c r="N43" s="24"/>
      <c r="O43" s="24"/>
      <c r="Q43" s="24"/>
      <c r="T43" s="24"/>
    </row>
    <row r="44" spans="1:20" x14ac:dyDescent="0.25">
      <c r="D44" s="267" t="b">
        <f>D14='REMUNERACION_OCCIDENTE_ Directa'!D109</f>
        <v>1</v>
      </c>
      <c r="E44" s="267" t="b">
        <f>E14='REMUNERACION_OCCIDENTE_ Directa'!E109</f>
        <v>1</v>
      </c>
      <c r="F44" s="267" t="b">
        <f>F14='REMUNERACION_OCCIDENTE_ Directa'!F109</f>
        <v>1</v>
      </c>
      <c r="G44" s="267" t="b">
        <f>G14='REMUNERACION_OCCIDENTE_ Directa'!G109</f>
        <v>1</v>
      </c>
      <c r="H44" s="267" t="b">
        <f>H14='REMUNERACION_OCCIDENTE_ Directa'!H109</f>
        <v>1</v>
      </c>
      <c r="I44" s="267" t="b">
        <f>I14='REMUNERACION_OCCIDENTE_ Directa'!I109</f>
        <v>1</v>
      </c>
      <c r="J44" s="267" t="b">
        <f>J14='REMUNERACION_OCCIDENTE_ Directa'!J109</f>
        <v>1</v>
      </c>
      <c r="K44" s="267" t="b">
        <f>K14='REMUNERACION_OCCIDENTE_ Directa'!K109</f>
        <v>1</v>
      </c>
      <c r="L44" s="267" t="b">
        <f>L14='REMUNERACION_OCCIDENTE_ Directa'!L109</f>
        <v>1</v>
      </c>
      <c r="M44" s="267" t="b">
        <f>M14='REMUNERACION_OCCIDENTE_ Directa'!M109</f>
        <v>1</v>
      </c>
      <c r="N44" s="267" t="b">
        <f>N14='REMUNERACION_OCCIDENTE_ Directa'!N109</f>
        <v>1</v>
      </c>
      <c r="O44" s="267" t="b">
        <f>O14='REMUNERACION_OCCIDENTE_ Directa'!O109</f>
        <v>1</v>
      </c>
      <c r="Q44" s="24"/>
      <c r="T44" s="24"/>
    </row>
    <row r="45" spans="1:20" x14ac:dyDescent="0.25">
      <c r="D45" s="267" t="b">
        <f>D36='REMUNERACION_OCCIDENTE_ Directa'!D131</f>
        <v>1</v>
      </c>
      <c r="E45" s="267" t="b">
        <f>E36='REMUNERACION_OCCIDENTE_ Directa'!E131</f>
        <v>1</v>
      </c>
      <c r="F45" s="267" t="b">
        <f>F36='REMUNERACION_OCCIDENTE_ Directa'!F131</f>
        <v>1</v>
      </c>
      <c r="G45" s="267" t="b">
        <f>G36='REMUNERACION_OCCIDENTE_ Directa'!G131</f>
        <v>1</v>
      </c>
      <c r="H45" s="267" t="b">
        <f>H36='REMUNERACION_OCCIDENTE_ Directa'!H131</f>
        <v>1</v>
      </c>
      <c r="I45" s="267" t="b">
        <f>I36='REMUNERACION_OCCIDENTE_ Directa'!I131</f>
        <v>1</v>
      </c>
      <c r="J45" s="267" t="b">
        <f>J36='REMUNERACION_OCCIDENTE_ Directa'!J131</f>
        <v>1</v>
      </c>
      <c r="K45" s="267" t="b">
        <f>K36='REMUNERACION_OCCIDENTE_ Directa'!K131</f>
        <v>1</v>
      </c>
      <c r="L45" s="267" t="b">
        <f>L36='REMUNERACION_OCCIDENTE_ Directa'!L131</f>
        <v>1</v>
      </c>
      <c r="M45" s="267" t="b">
        <f>M36='REMUNERACION_OCCIDENTE_ Directa'!M131</f>
        <v>1</v>
      </c>
      <c r="N45" s="267" t="b">
        <f>N36='REMUNERACION_OCCIDENTE_ Directa'!N131</f>
        <v>1</v>
      </c>
      <c r="O45" s="267" t="b">
        <f>O36='REMUNERACION_OCCIDENTE_ Directa'!O131</f>
        <v>1</v>
      </c>
      <c r="Q45" s="24"/>
      <c r="T45" s="24"/>
    </row>
    <row r="46" spans="1:20" x14ac:dyDescent="0.25">
      <c r="N46" s="24"/>
      <c r="O46" s="24"/>
      <c r="Q46" s="24"/>
      <c r="T46" s="24"/>
    </row>
    <row r="47" spans="1:20" x14ac:dyDescent="0.25">
      <c r="N47" s="24"/>
      <c r="O47" s="24"/>
      <c r="Q47" s="24"/>
      <c r="T47" s="24"/>
    </row>
    <row r="48" spans="1:20" x14ac:dyDescent="0.25">
      <c r="N48" s="24"/>
      <c r="O48" s="24"/>
      <c r="Q48" s="24"/>
      <c r="T48" s="24"/>
    </row>
    <row r="49" spans="14:20" x14ac:dyDescent="0.25">
      <c r="N49" s="24"/>
      <c r="O49" s="24"/>
      <c r="Q49" s="24"/>
      <c r="T49" s="24"/>
    </row>
    <row r="50" spans="14:20" x14ac:dyDescent="0.25">
      <c r="N50" s="24"/>
      <c r="O50" s="24"/>
      <c r="Q50" s="24"/>
      <c r="T50" s="24"/>
    </row>
    <row r="51" spans="14:20" x14ac:dyDescent="0.25">
      <c r="Q51" s="24"/>
      <c r="T51" s="24"/>
    </row>
    <row r="52" spans="14:20" x14ac:dyDescent="0.25">
      <c r="Q52" s="24"/>
    </row>
  </sheetData>
  <conditionalFormatting sqref="AH9:AH14">
    <cfRule type="cellIs" dxfId="19" priority="2" operator="notEqual">
      <formula>TRUE</formula>
    </cfRule>
  </conditionalFormatting>
  <printOptions horizontalCentered="1" verticalCentered="1"/>
  <pageMargins left="0.55118110236220474" right="0.74803149606299213" top="0.59055118110236227" bottom="0.78740157480314965" header="0" footer="0"/>
  <pageSetup scale="24" orientation="landscape" r:id="rId1"/>
  <headerFooter alignWithMargins="0"/>
  <drawing r:id="rId2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>
    <tabColor rgb="FFFFFF00"/>
    <pageSetUpPr fitToPage="1"/>
  </sheetPr>
  <dimension ref="A1:AJ167"/>
  <sheetViews>
    <sheetView topLeftCell="A96" zoomScaleNormal="100" workbookViewId="0"/>
  </sheetViews>
  <sheetFormatPr baseColWidth="10" defaultColWidth="11.453125" defaultRowHeight="11.5" x14ac:dyDescent="0.25"/>
  <cols>
    <col min="1" max="1" width="3" style="1" customWidth="1"/>
    <col min="2" max="2" width="4.453125" style="1" bestFit="1" customWidth="1"/>
    <col min="3" max="3" width="36.81640625" style="1" customWidth="1"/>
    <col min="4" max="4" width="15.1796875" style="1" customWidth="1"/>
    <col min="5" max="5" width="16" style="1" customWidth="1"/>
    <col min="6" max="7" width="14.81640625" style="1" customWidth="1"/>
    <col min="8" max="9" width="16" style="1" customWidth="1"/>
    <col min="10" max="10" width="15.54296875" style="1" customWidth="1"/>
    <col min="11" max="11" width="17.54296875" style="1" customWidth="1"/>
    <col min="12" max="12" width="20" style="1" bestFit="1" customWidth="1"/>
    <col min="13" max="13" width="21" style="1" bestFit="1" customWidth="1"/>
    <col min="14" max="14" width="15.1796875" style="1" customWidth="1"/>
    <col min="15" max="15" width="16.81640625" style="1" customWidth="1"/>
    <col min="16" max="16" width="3.81640625" style="1" customWidth="1"/>
    <col min="17" max="17" width="2.81640625" style="1" customWidth="1"/>
    <col min="18" max="18" width="4.54296875" style="1" customWidth="1"/>
    <col min="19" max="19" width="11.1796875" style="1" customWidth="1"/>
    <col min="20" max="20" width="37.54296875" style="1" bestFit="1" customWidth="1"/>
    <col min="21" max="21" width="19.1796875" style="1" customWidth="1"/>
    <col min="22" max="22" width="17.81640625" style="1" customWidth="1"/>
    <col min="23" max="23" width="16.453125" style="1" customWidth="1"/>
    <col min="24" max="24" width="17.1796875" style="1" customWidth="1"/>
    <col min="25" max="25" width="15.81640625" style="1" customWidth="1"/>
    <col min="26" max="26" width="16" style="1" customWidth="1"/>
    <col min="27" max="27" width="15" style="1" customWidth="1"/>
    <col min="28" max="29" width="16.81640625" style="1" customWidth="1"/>
    <col min="30" max="31" width="15.453125" style="1" customWidth="1"/>
    <col min="32" max="32" width="16.1796875" style="1" customWidth="1"/>
    <col min="33" max="33" width="18.1796875" style="1" customWidth="1"/>
    <col min="34" max="34" width="13.81640625" style="1" customWidth="1"/>
    <col min="35" max="35" width="3.453125" style="1" customWidth="1"/>
    <col min="36" max="36" width="13.81640625" style="1" bestFit="1" customWidth="1"/>
    <col min="37" max="16384" width="11.453125" style="1"/>
  </cols>
  <sheetData>
    <row r="1" spans="2:35" ht="12" thickBot="1" x14ac:dyDescent="0.3">
      <c r="Q1" s="4"/>
      <c r="AI1" s="4"/>
    </row>
    <row r="2" spans="2:35" x14ac:dyDescent="0.25">
      <c r="B2" s="5"/>
      <c r="C2" s="3" t="s">
        <v>1</v>
      </c>
      <c r="D2" s="6" t="s">
        <v>1</v>
      </c>
      <c r="E2" s="3"/>
      <c r="F2" s="3"/>
      <c r="G2" s="3"/>
      <c r="H2" s="3" t="s">
        <v>1</v>
      </c>
      <c r="I2" s="3"/>
      <c r="J2" s="3"/>
      <c r="K2" s="3"/>
      <c r="L2" s="3"/>
      <c r="M2" s="3"/>
      <c r="N2" s="3"/>
      <c r="O2" s="7"/>
      <c r="P2" s="2"/>
      <c r="Q2" s="4"/>
      <c r="S2" s="5"/>
      <c r="T2" s="3" t="s">
        <v>1</v>
      </c>
      <c r="U2" s="6" t="s">
        <v>1</v>
      </c>
      <c r="V2" s="3"/>
      <c r="W2" s="3"/>
      <c r="X2" s="3" t="s">
        <v>1</v>
      </c>
      <c r="Y2" s="3"/>
      <c r="Z2" s="3"/>
      <c r="AA2" s="3"/>
      <c r="AB2" s="3"/>
      <c r="AC2" s="3"/>
      <c r="AD2" s="3"/>
      <c r="AE2" s="3"/>
      <c r="AF2" s="7"/>
      <c r="AG2" s="2"/>
      <c r="AI2" s="4"/>
    </row>
    <row r="3" spans="2:35" ht="14" x14ac:dyDescent="0.3">
      <c r="B3" s="8"/>
      <c r="F3" s="26" t="s">
        <v>8</v>
      </c>
      <c r="G3" s="26"/>
      <c r="I3" s="26" t="s">
        <v>16</v>
      </c>
      <c r="J3" s="25"/>
      <c r="M3" s="2" t="s">
        <v>15</v>
      </c>
      <c r="N3" s="50">
        <f>'CONSOLIDADO_TOTAL RECAUDO'!N3</f>
        <v>2026072</v>
      </c>
      <c r="O3" s="10"/>
      <c r="P3" s="2"/>
      <c r="Q3" s="4"/>
      <c r="S3" s="8"/>
      <c r="U3" s="26" t="s">
        <v>8</v>
      </c>
      <c r="W3" s="26" t="s">
        <v>16</v>
      </c>
      <c r="X3" s="25"/>
      <c r="Y3" s="2"/>
      <c r="AA3" s="2" t="s">
        <v>15</v>
      </c>
      <c r="AD3" s="84">
        <f>N3</f>
        <v>2026072</v>
      </c>
      <c r="AE3" s="84"/>
      <c r="AF3" s="48"/>
      <c r="AG3" s="2"/>
      <c r="AI3" s="4"/>
    </row>
    <row r="4" spans="2:35" ht="15.5" x14ac:dyDescent="0.35">
      <c r="B4" s="8"/>
      <c r="F4" s="36" t="s">
        <v>29</v>
      </c>
      <c r="G4" s="36"/>
      <c r="O4" s="10"/>
      <c r="P4" s="2"/>
      <c r="Q4" s="4"/>
      <c r="S4" s="8"/>
      <c r="T4" s="26" t="s">
        <v>1</v>
      </c>
      <c r="U4" s="36" t="s">
        <v>29</v>
      </c>
      <c r="Y4" s="2" t="s">
        <v>1</v>
      </c>
      <c r="AA4" s="50" t="s">
        <v>1</v>
      </c>
      <c r="AB4" s="2"/>
      <c r="AC4" s="2"/>
      <c r="AD4" s="2"/>
      <c r="AE4" s="2"/>
      <c r="AF4" s="10" t="s">
        <v>1</v>
      </c>
      <c r="AG4" s="2"/>
      <c r="AI4" s="4"/>
    </row>
    <row r="5" spans="2:35" ht="14" x14ac:dyDescent="0.3">
      <c r="B5" s="8"/>
      <c r="F5" s="2" t="s">
        <v>30</v>
      </c>
      <c r="G5" s="2"/>
      <c r="M5" s="2" t="s">
        <v>1</v>
      </c>
      <c r="O5" s="10"/>
      <c r="P5" s="2"/>
      <c r="Q5" s="4"/>
      <c r="S5" s="8"/>
      <c r="T5" s="49" t="s">
        <v>1</v>
      </c>
      <c r="U5" s="2" t="s">
        <v>30</v>
      </c>
      <c r="AF5" s="44"/>
      <c r="AG5" s="2"/>
      <c r="AI5" s="4"/>
    </row>
    <row r="6" spans="2:35" ht="15.5" x14ac:dyDescent="0.35">
      <c r="B6" s="8"/>
      <c r="C6" s="599" t="s">
        <v>17</v>
      </c>
      <c r="D6" s="9">
        <f>'CONSOLIDADO_TOTAL RECAUDO'!D6</f>
        <v>46238</v>
      </c>
      <c r="F6" s="41" t="s">
        <v>26</v>
      </c>
      <c r="G6" s="41"/>
      <c r="H6" s="2"/>
      <c r="J6" s="2"/>
      <c r="O6" s="10"/>
      <c r="P6" s="2"/>
      <c r="Q6" s="4"/>
      <c r="S6" s="8"/>
      <c r="T6" s="41" t="s">
        <v>1</v>
      </c>
      <c r="U6" s="41" t="s">
        <v>26</v>
      </c>
      <c r="V6" s="2"/>
      <c r="X6" s="2"/>
      <c r="Y6" s="2"/>
      <c r="AF6" s="48"/>
      <c r="AG6" s="2"/>
      <c r="AI6" s="4"/>
    </row>
    <row r="7" spans="2:35" ht="12" thickBot="1" x14ac:dyDescent="0.3">
      <c r="B7" s="8"/>
      <c r="C7" s="599" t="s">
        <v>0</v>
      </c>
      <c r="D7" s="241">
        <f>'CONSOLIDADO_TOTAL RECAUDO'!D7</f>
        <v>0.58333333333333337</v>
      </c>
      <c r="F7" s="2" t="s">
        <v>27</v>
      </c>
      <c r="G7" s="9">
        <f>'CONSOLIDADO_TOTAL RECAUDO'!G7</f>
        <v>46219</v>
      </c>
      <c r="J7" s="2" t="s">
        <v>28</v>
      </c>
      <c r="K7" s="9">
        <f>'CONSOLIDADO_TOTAL RECAUDO'!K7</f>
        <v>46234</v>
      </c>
      <c r="O7" s="10"/>
      <c r="P7" s="2"/>
      <c r="Q7" s="4"/>
      <c r="S7" s="8"/>
      <c r="U7" s="1" t="str">
        <f>F7</f>
        <v>Fecha Desde:</v>
      </c>
      <c r="V7" s="9">
        <f>G7</f>
        <v>46219</v>
      </c>
      <c r="W7" s="1" t="s">
        <v>1</v>
      </c>
      <c r="X7" s="1" t="str">
        <f>J7</f>
        <v>Feha Hasta:</v>
      </c>
      <c r="Y7" s="9">
        <f>K7</f>
        <v>46234</v>
      </c>
      <c r="Z7" s="1" t="s">
        <v>1</v>
      </c>
      <c r="AF7" s="48"/>
      <c r="AG7" s="2"/>
      <c r="AI7" s="4"/>
    </row>
    <row r="8" spans="2:35" ht="72" customHeight="1" thickBot="1" x14ac:dyDescent="0.3">
      <c r="B8" s="11" t="s">
        <v>3</v>
      </c>
      <c r="C8" s="27" t="s">
        <v>9</v>
      </c>
      <c r="D8" s="11" t="s">
        <v>4</v>
      </c>
      <c r="E8" s="12" t="s">
        <v>5</v>
      </c>
      <c r="F8" s="27" t="s">
        <v>6</v>
      </c>
      <c r="G8" s="27" t="s">
        <v>159</v>
      </c>
      <c r="H8" s="27" t="s">
        <v>18</v>
      </c>
      <c r="I8" s="12" t="s">
        <v>24</v>
      </c>
      <c r="J8" s="73" t="s">
        <v>19</v>
      </c>
      <c r="K8" s="29" t="s">
        <v>20</v>
      </c>
      <c r="L8" s="28" t="s">
        <v>21</v>
      </c>
      <c r="M8" s="39" t="s">
        <v>22</v>
      </c>
      <c r="N8" s="12" t="s">
        <v>7</v>
      </c>
      <c r="O8" s="39" t="s">
        <v>23</v>
      </c>
      <c r="P8" s="13"/>
      <c r="Q8" s="4"/>
      <c r="S8" s="11" t="s">
        <v>3</v>
      </c>
      <c r="T8" s="27" t="s">
        <v>9</v>
      </c>
      <c r="U8" s="162" t="s">
        <v>39</v>
      </c>
      <c r="V8" s="163" t="s">
        <v>40</v>
      </c>
      <c r="W8" s="163" t="s">
        <v>41</v>
      </c>
      <c r="X8" s="163" t="s">
        <v>42</v>
      </c>
      <c r="Y8" s="164" t="s">
        <v>43</v>
      </c>
      <c r="Z8" s="85" t="s">
        <v>21</v>
      </c>
      <c r="AA8" s="65" t="s">
        <v>46</v>
      </c>
      <c r="AB8" s="65" t="s">
        <v>7</v>
      </c>
      <c r="AC8" s="85" t="s">
        <v>168</v>
      </c>
      <c r="AD8" s="121" t="s">
        <v>107</v>
      </c>
      <c r="AE8" s="121" t="s">
        <v>106</v>
      </c>
      <c r="AF8" s="39" t="s">
        <v>23</v>
      </c>
      <c r="AG8" s="13"/>
      <c r="AI8" s="4"/>
    </row>
    <row r="9" spans="2:35" s="305" customFormat="1" x14ac:dyDescent="0.25">
      <c r="B9" s="303">
        <v>1</v>
      </c>
      <c r="C9" s="304" t="s">
        <v>10</v>
      </c>
      <c r="D9" s="291">
        <f>'Reporte Componentes R1'!F78</f>
        <v>0</v>
      </c>
      <c r="E9" s="292">
        <f>'Reporte Componentes R1'!G78</f>
        <v>0</v>
      </c>
      <c r="F9" s="292">
        <f>'Reporte Componentes R1'!H78</f>
        <v>0</v>
      </c>
      <c r="G9" s="292">
        <f>'Reporte Componentes R1'!I78</f>
        <v>0</v>
      </c>
      <c r="H9" s="292">
        <f>'Reporte Componentes R1'!J78</f>
        <v>0</v>
      </c>
      <c r="I9" s="292">
        <f>'Reporte Componentes R1'!K78</f>
        <v>0</v>
      </c>
      <c r="J9" s="288">
        <v>0</v>
      </c>
      <c r="K9" s="293">
        <f>D9-E9-F9-G9-H9-I9-J9</f>
        <v>0</v>
      </c>
      <c r="L9" s="294">
        <v>0</v>
      </c>
      <c r="M9" s="293">
        <f>K9-L9</f>
        <v>0</v>
      </c>
      <c r="N9" s="294">
        <f>'Reporte Componentes R1'!L78</f>
        <v>0</v>
      </c>
      <c r="O9" s="293">
        <f>M9+N9</f>
        <v>0</v>
      </c>
      <c r="Q9" s="306"/>
      <c r="S9" s="303">
        <v>1</v>
      </c>
      <c r="T9" s="304" t="s">
        <v>10</v>
      </c>
      <c r="U9" s="307">
        <f>'Reporte Componentes R1'!M78</f>
        <v>0</v>
      </c>
      <c r="V9" s="308">
        <f>'Reporte Componentes R1'!N78</f>
        <v>0</v>
      </c>
      <c r="W9" s="308">
        <f>'Reporte Componentes R1'!O78</f>
        <v>0</v>
      </c>
      <c r="X9" s="308">
        <f>'Reporte Componentes R1'!P78</f>
        <v>0</v>
      </c>
      <c r="Y9" s="309">
        <f>'Reporte Componentes R1'!Q78</f>
        <v>0</v>
      </c>
      <c r="Z9" s="310">
        <f>L9*-1</f>
        <v>0</v>
      </c>
      <c r="AA9" s="311">
        <f>'Reporte Componentes R1'!R78+'Reporte Componentes R1'!S78</f>
        <v>0</v>
      </c>
      <c r="AB9" s="294">
        <f>N9</f>
        <v>0</v>
      </c>
      <c r="AC9" s="311">
        <f>'Reporte Componentes R1'!Z78</f>
        <v>0</v>
      </c>
      <c r="AD9" s="291">
        <f>-J9+AE9</f>
        <v>0</v>
      </c>
      <c r="AE9" s="291">
        <f>'Reporte Componentes R1'!F79</f>
        <v>0</v>
      </c>
      <c r="AF9" s="313">
        <f>SUM(U9:AD9)</f>
        <v>0</v>
      </c>
      <c r="AG9" s="311">
        <f>(AF9-O9)</f>
        <v>0</v>
      </c>
      <c r="AH9" s="305" t="b">
        <f>INT(AG9)=0</f>
        <v>1</v>
      </c>
      <c r="AI9" s="306"/>
    </row>
    <row r="10" spans="2:35" s="305" customFormat="1" x14ac:dyDescent="0.25">
      <c r="B10" s="314">
        <v>2</v>
      </c>
      <c r="C10" s="315" t="s">
        <v>11</v>
      </c>
      <c r="D10" s="291">
        <f>'Reporte Componentes R1'!F231</f>
        <v>0</v>
      </c>
      <c r="E10" s="292">
        <f>'Reporte Componentes R1'!G231</f>
        <v>0</v>
      </c>
      <c r="F10" s="292">
        <f>'Reporte Componentes R1'!H231</f>
        <v>0</v>
      </c>
      <c r="G10" s="292">
        <f>'Reporte Componentes R1'!I231</f>
        <v>0</v>
      </c>
      <c r="H10" s="292">
        <f>'Reporte Componentes R1'!J231</f>
        <v>0</v>
      </c>
      <c r="I10" s="292">
        <f>'Reporte Componentes R1'!K231</f>
        <v>0</v>
      </c>
      <c r="J10" s="288">
        <v>0</v>
      </c>
      <c r="K10" s="295">
        <f t="shared" ref="K10:K13" si="0">D10-E10-F10-G10-H10-I10-J10</f>
        <v>0</v>
      </c>
      <c r="L10" s="294">
        <v>0</v>
      </c>
      <c r="M10" s="295">
        <f>K10-L10</f>
        <v>0</v>
      </c>
      <c r="N10" s="294">
        <f>'Reporte Componentes R1'!L231</f>
        <v>0</v>
      </c>
      <c r="O10" s="295">
        <f t="shared" ref="O10:O12" si="1">M10+N10</f>
        <v>0</v>
      </c>
      <c r="Q10" s="306"/>
      <c r="S10" s="314">
        <v>2</v>
      </c>
      <c r="T10" s="315" t="s">
        <v>11</v>
      </c>
      <c r="U10" s="316">
        <f>'Reporte Componentes R1'!M231</f>
        <v>0</v>
      </c>
      <c r="V10" s="317">
        <f>'Reporte Componentes R1'!N231</f>
        <v>0</v>
      </c>
      <c r="W10" s="317">
        <f>'Reporte Componentes R1'!O231</f>
        <v>0</v>
      </c>
      <c r="X10" s="317">
        <f>'Reporte Componentes R1'!P231</f>
        <v>0</v>
      </c>
      <c r="Y10" s="318">
        <f>'Reporte Componentes R1'!Q231</f>
        <v>0</v>
      </c>
      <c r="Z10" s="319">
        <f>L10*-1</f>
        <v>0</v>
      </c>
      <c r="AA10" s="320">
        <f>'Reporte Componentes R1'!R231+'Reporte Componentes R1'!S231+'Reporte Componentes R1'!T231</f>
        <v>0</v>
      </c>
      <c r="AB10" s="294">
        <f>N10</f>
        <v>0</v>
      </c>
      <c r="AC10" s="320">
        <f>'Reporte Componentes R1'!Z231</f>
        <v>0</v>
      </c>
      <c r="AD10" s="291">
        <f t="shared" ref="AD10:AD13" si="2">-J10+AE10</f>
        <v>0</v>
      </c>
      <c r="AE10" s="291">
        <f>'Reporte Componentes R1'!F232</f>
        <v>0</v>
      </c>
      <c r="AF10" s="322">
        <f>SUM(U10:AD10)</f>
        <v>0</v>
      </c>
      <c r="AG10" s="323">
        <f>(AF10-O10)</f>
        <v>0</v>
      </c>
      <c r="AH10" s="305" t="b">
        <f t="shared" ref="AH10:AH13" si="3">INT(AG10)=0</f>
        <v>1</v>
      </c>
      <c r="AI10" s="306"/>
    </row>
    <row r="11" spans="2:35" s="305" customFormat="1" x14ac:dyDescent="0.25">
      <c r="B11" s="314">
        <v>3</v>
      </c>
      <c r="C11" s="315" t="s">
        <v>12</v>
      </c>
      <c r="D11" s="291">
        <f>'Reporte Componentes R1'!F368</f>
        <v>0</v>
      </c>
      <c r="E11" s="292">
        <f>'Reporte Componentes R1'!G368</f>
        <v>0</v>
      </c>
      <c r="F11" s="292">
        <f>'Reporte Componentes R1'!H368</f>
        <v>0</v>
      </c>
      <c r="G11" s="292">
        <f>'Reporte Componentes R1'!I368</f>
        <v>0</v>
      </c>
      <c r="H11" s="292">
        <f>'Reporte Componentes R1'!J368</f>
        <v>0</v>
      </c>
      <c r="I11" s="292">
        <f>'Reporte Componentes R1'!K368</f>
        <v>0</v>
      </c>
      <c r="J11" s="288">
        <v>0</v>
      </c>
      <c r="K11" s="295">
        <f t="shared" si="0"/>
        <v>0</v>
      </c>
      <c r="L11" s="294">
        <v>0</v>
      </c>
      <c r="M11" s="295">
        <f>K11-L11</f>
        <v>0</v>
      </c>
      <c r="N11" s="294">
        <f>'Reporte Componentes R1'!L368</f>
        <v>0</v>
      </c>
      <c r="O11" s="295">
        <f t="shared" si="1"/>
        <v>0</v>
      </c>
      <c r="Q11" s="306"/>
      <c r="S11" s="314">
        <v>3</v>
      </c>
      <c r="T11" s="315" t="s">
        <v>12</v>
      </c>
      <c r="U11" s="316">
        <f>'Reporte Componentes R1'!M368</f>
        <v>0</v>
      </c>
      <c r="V11" s="317">
        <f>'Reporte Componentes R1'!N368</f>
        <v>0</v>
      </c>
      <c r="W11" s="317">
        <f>'Reporte Componentes R1'!O368</f>
        <v>0</v>
      </c>
      <c r="X11" s="317">
        <f>'Reporte Componentes R1'!P368</f>
        <v>0</v>
      </c>
      <c r="Y11" s="318">
        <f>'Reporte Componentes R1'!Q368</f>
        <v>0</v>
      </c>
      <c r="Z11" s="319">
        <f>L11*-1</f>
        <v>0</v>
      </c>
      <c r="AA11" s="320">
        <f>'Reporte Componentes R1'!R368+'Reporte Componentes R1'!S368+'Reporte Componentes R1'!T368</f>
        <v>0</v>
      </c>
      <c r="AB11" s="294">
        <f>N11</f>
        <v>0</v>
      </c>
      <c r="AC11" s="320">
        <f>'Reporte Componentes R1'!X368</f>
        <v>0</v>
      </c>
      <c r="AD11" s="291">
        <f t="shared" si="2"/>
        <v>0</v>
      </c>
      <c r="AE11" s="291">
        <f>'Reporte Componentes R1'!F369</f>
        <v>0</v>
      </c>
      <c r="AF11" s="322">
        <f t="shared" ref="AF11:AF13" si="4">SUM(U11:AD11)</f>
        <v>0</v>
      </c>
      <c r="AG11" s="323">
        <f>(AF11-O11)</f>
        <v>0</v>
      </c>
      <c r="AH11" s="305" t="b">
        <f t="shared" si="3"/>
        <v>1</v>
      </c>
      <c r="AI11" s="306"/>
    </row>
    <row r="12" spans="2:35" s="305" customFormat="1" x14ac:dyDescent="0.25">
      <c r="B12" s="314">
        <v>4</v>
      </c>
      <c r="C12" s="315" t="s">
        <v>13</v>
      </c>
      <c r="D12" s="291">
        <f>'Reporte Componentes R1'!F493</f>
        <v>0</v>
      </c>
      <c r="E12" s="292">
        <f>'Reporte Componentes R1'!G493</f>
        <v>0</v>
      </c>
      <c r="F12" s="292">
        <f>'Reporte Componentes R1'!H493</f>
        <v>0</v>
      </c>
      <c r="G12" s="292">
        <f>'Reporte Componentes R1'!I493</f>
        <v>0</v>
      </c>
      <c r="H12" s="292">
        <f>'Reporte Componentes R1'!J493</f>
        <v>0</v>
      </c>
      <c r="I12" s="292">
        <f>'Reporte Componentes R1'!K493</f>
        <v>0</v>
      </c>
      <c r="J12" s="288">
        <v>0</v>
      </c>
      <c r="K12" s="295">
        <f t="shared" si="0"/>
        <v>0</v>
      </c>
      <c r="L12" s="294">
        <v>0</v>
      </c>
      <c r="M12" s="295">
        <f>K12-L12</f>
        <v>0</v>
      </c>
      <c r="N12" s="294">
        <f>'Reporte Componentes R1'!L493</f>
        <v>0</v>
      </c>
      <c r="O12" s="295">
        <f t="shared" si="1"/>
        <v>0</v>
      </c>
      <c r="Q12" s="306"/>
      <c r="S12" s="314">
        <v>4</v>
      </c>
      <c r="T12" s="315" t="s">
        <v>13</v>
      </c>
      <c r="U12" s="316">
        <f>'Reporte Componentes R1'!M493</f>
        <v>0</v>
      </c>
      <c r="V12" s="317">
        <f>'Reporte Componentes R1'!N493</f>
        <v>0</v>
      </c>
      <c r="W12" s="317">
        <f>'Reporte Componentes R1'!O493</f>
        <v>0</v>
      </c>
      <c r="X12" s="317">
        <f>'Reporte Componentes R1'!P493</f>
        <v>0</v>
      </c>
      <c r="Y12" s="318">
        <f>'Reporte Componentes R1'!Q493</f>
        <v>0</v>
      </c>
      <c r="Z12" s="319">
        <f>L12*-1</f>
        <v>0</v>
      </c>
      <c r="AA12" s="320">
        <f>'Reporte Componentes R1'!R493+'Reporte Componentes R1'!S493</f>
        <v>0</v>
      </c>
      <c r="AB12" s="294">
        <f>N12</f>
        <v>0</v>
      </c>
      <c r="AC12" s="320">
        <f>'Reporte Componentes R1'!X493</f>
        <v>0</v>
      </c>
      <c r="AD12" s="291">
        <f t="shared" si="2"/>
        <v>0</v>
      </c>
      <c r="AE12" s="291">
        <f>'Reporte Componentes R1'!F494</f>
        <v>0</v>
      </c>
      <c r="AF12" s="322">
        <f t="shared" si="4"/>
        <v>0</v>
      </c>
      <c r="AG12" s="323">
        <f>(AF12-O12)</f>
        <v>0</v>
      </c>
      <c r="AH12" s="305" t="b">
        <f t="shared" si="3"/>
        <v>1</v>
      </c>
      <c r="AI12" s="306"/>
    </row>
    <row r="13" spans="2:35" s="305" customFormat="1" ht="12" thickBot="1" x14ac:dyDescent="0.3">
      <c r="B13" s="324">
        <v>5</v>
      </c>
      <c r="C13" s="325" t="s">
        <v>14</v>
      </c>
      <c r="D13" s="296">
        <f>'Reporte Componentes R1'!F583</f>
        <v>0</v>
      </c>
      <c r="E13" s="297">
        <f>'Reporte Componentes R1'!G583</f>
        <v>0</v>
      </c>
      <c r="F13" s="297">
        <f>'Reporte Componentes R1'!H583</f>
        <v>0</v>
      </c>
      <c r="G13" s="297">
        <f>'Reporte Componentes R1'!I583</f>
        <v>0</v>
      </c>
      <c r="H13" s="297">
        <f>'Reporte Componentes R1'!J583</f>
        <v>0</v>
      </c>
      <c r="I13" s="297">
        <f>'Reporte Componentes R1'!K583</f>
        <v>0</v>
      </c>
      <c r="J13" s="289">
        <v>0</v>
      </c>
      <c r="K13" s="295">
        <f t="shared" si="0"/>
        <v>0</v>
      </c>
      <c r="L13" s="294">
        <v>0</v>
      </c>
      <c r="M13" s="298">
        <f>K13-L13</f>
        <v>0</v>
      </c>
      <c r="N13" s="299">
        <f>'Reporte Componentes R1'!L583</f>
        <v>0</v>
      </c>
      <c r="O13" s="298">
        <f>M13+N13</f>
        <v>0</v>
      </c>
      <c r="Q13" s="306"/>
      <c r="S13" s="324">
        <v>5</v>
      </c>
      <c r="T13" s="325" t="s">
        <v>14</v>
      </c>
      <c r="U13" s="296">
        <f>'Reporte Componentes R1'!M583</f>
        <v>0</v>
      </c>
      <c r="V13" s="297">
        <f>'Reporte Componentes R1'!N583</f>
        <v>0</v>
      </c>
      <c r="W13" s="297">
        <f>'Reporte Componentes R1'!O583</f>
        <v>0</v>
      </c>
      <c r="X13" s="297">
        <f>'Reporte Componentes R1'!P583</f>
        <v>0</v>
      </c>
      <c r="Y13" s="289">
        <f>'Reporte Componentes R1'!Q583</f>
        <v>0</v>
      </c>
      <c r="Z13" s="319">
        <f>L13*-1</f>
        <v>0</v>
      </c>
      <c r="AA13" s="320">
        <f>'Reporte Componentes R1'!R583+'Reporte Componentes R1'!S583+'Reporte Componentes R1'!T583</f>
        <v>0</v>
      </c>
      <c r="AB13" s="294">
        <f>N13</f>
        <v>0</v>
      </c>
      <c r="AC13" s="320">
        <f>'Reporte Componentes R1'!X583</f>
        <v>0</v>
      </c>
      <c r="AD13" s="291">
        <f t="shared" si="2"/>
        <v>0</v>
      </c>
      <c r="AE13" s="291">
        <f>'Reporte Componentes R1'!F584</f>
        <v>0</v>
      </c>
      <c r="AF13" s="322">
        <f t="shared" si="4"/>
        <v>0</v>
      </c>
      <c r="AG13" s="326">
        <f>(AF13-O13)</f>
        <v>0</v>
      </c>
      <c r="AH13" s="305" t="b">
        <f t="shared" si="3"/>
        <v>1</v>
      </c>
      <c r="AI13" s="306"/>
    </row>
    <row r="14" spans="2:35" s="305" customFormat="1" ht="13.5" thickBot="1" x14ac:dyDescent="0.35">
      <c r="B14" s="327"/>
      <c r="C14" s="328" t="s">
        <v>2</v>
      </c>
      <c r="D14" s="290">
        <f>SUM(D9:D13)</f>
        <v>0</v>
      </c>
      <c r="E14" s="290">
        <f t="shared" ref="E14:O14" si="5">SUM(E9:E13)</f>
        <v>0</v>
      </c>
      <c r="F14" s="290">
        <f t="shared" si="5"/>
        <v>0</v>
      </c>
      <c r="G14" s="290">
        <f t="shared" si="5"/>
        <v>0</v>
      </c>
      <c r="H14" s="290">
        <f t="shared" si="5"/>
        <v>0</v>
      </c>
      <c r="I14" s="290">
        <f t="shared" si="5"/>
        <v>0</v>
      </c>
      <c r="J14" s="290">
        <f t="shared" si="5"/>
        <v>0</v>
      </c>
      <c r="K14" s="300">
        <f t="shared" si="5"/>
        <v>0</v>
      </c>
      <c r="L14" s="301">
        <f>SUM(L9:L13)</f>
        <v>0</v>
      </c>
      <c r="M14" s="302">
        <f t="shared" si="5"/>
        <v>0</v>
      </c>
      <c r="N14" s="301">
        <f t="shared" si="5"/>
        <v>0</v>
      </c>
      <c r="O14" s="302">
        <f t="shared" si="5"/>
        <v>0</v>
      </c>
      <c r="P14" s="329"/>
      <c r="Q14" s="306"/>
      <c r="S14" s="327"/>
      <c r="T14" s="328" t="s">
        <v>2</v>
      </c>
      <c r="U14" s="330">
        <f>SUM(U9:U13)</f>
        <v>0</v>
      </c>
      <c r="V14" s="330">
        <f t="shared" ref="V14:AF14" si="6">SUM(V9:V13)</f>
        <v>0</v>
      </c>
      <c r="W14" s="330">
        <f t="shared" si="6"/>
        <v>0</v>
      </c>
      <c r="X14" s="330">
        <f t="shared" si="6"/>
        <v>0</v>
      </c>
      <c r="Y14" s="330">
        <f t="shared" si="6"/>
        <v>0</v>
      </c>
      <c r="Z14" s="290">
        <f t="shared" si="6"/>
        <v>0</v>
      </c>
      <c r="AA14" s="290">
        <f t="shared" si="6"/>
        <v>0</v>
      </c>
      <c r="AB14" s="290">
        <f t="shared" si="6"/>
        <v>0</v>
      </c>
      <c r="AC14" s="290">
        <f t="shared" si="6"/>
        <v>0</v>
      </c>
      <c r="AD14" s="290">
        <f>SUM(AD9:AD13)</f>
        <v>0</v>
      </c>
      <c r="AE14" s="290">
        <f>SUM(AE9:AE13)</f>
        <v>0</v>
      </c>
      <c r="AF14" s="331">
        <f t="shared" si="6"/>
        <v>0</v>
      </c>
      <c r="AG14" s="332">
        <f>SUM(AG9:AG13)</f>
        <v>0</v>
      </c>
      <c r="AH14" s="305" t="b">
        <f>INT(AG14)=0</f>
        <v>1</v>
      </c>
      <c r="AI14" s="306"/>
    </row>
    <row r="15" spans="2:35" ht="12" thickBot="1" x14ac:dyDescent="0.3">
      <c r="B15" s="2"/>
      <c r="C15" s="2"/>
      <c r="D15" s="24"/>
      <c r="E15" s="24"/>
      <c r="F15" s="24"/>
      <c r="G15" s="24"/>
      <c r="H15" s="24"/>
      <c r="I15" s="24"/>
      <c r="K15" s="24"/>
      <c r="L15" s="24"/>
      <c r="M15" s="24"/>
      <c r="N15" s="24"/>
      <c r="O15" s="24"/>
      <c r="Q15" s="4"/>
      <c r="S15" s="2"/>
      <c r="T15" s="2"/>
      <c r="U15" s="24"/>
      <c r="V15" s="24"/>
      <c r="W15" s="24"/>
      <c r="X15" s="24"/>
      <c r="Y15" s="24"/>
      <c r="AF15" s="24"/>
      <c r="AI15" s="4"/>
    </row>
    <row r="16" spans="2:35" ht="12" thickBot="1" x14ac:dyDescent="0.3">
      <c r="B16" s="2"/>
      <c r="C16" s="2"/>
      <c r="D16" s="24"/>
      <c r="E16" s="24" t="s">
        <v>1</v>
      </c>
      <c r="F16" s="24" t="s">
        <v>1</v>
      </c>
      <c r="G16" s="24"/>
      <c r="H16" s="24" t="s">
        <v>1</v>
      </c>
      <c r="I16" s="24" t="s">
        <v>1</v>
      </c>
      <c r="K16" s="24"/>
      <c r="L16" s="24" t="s">
        <v>1</v>
      </c>
      <c r="M16" s="24"/>
      <c r="N16" s="24"/>
      <c r="O16" s="24"/>
      <c r="Q16" s="4"/>
      <c r="Y16" s="86">
        <f>SUM(U14:Y14)</f>
        <v>0</v>
      </c>
      <c r="AA16" s="1" t="s">
        <v>1</v>
      </c>
      <c r="AB16" s="1" t="s">
        <v>1</v>
      </c>
      <c r="AD16" s="1" t="s">
        <v>1</v>
      </c>
      <c r="AF16" s="1" t="s">
        <v>1</v>
      </c>
      <c r="AI16" s="4"/>
    </row>
    <row r="17" spans="1:35" ht="12" thickBot="1" x14ac:dyDescent="0.3">
      <c r="B17" s="2"/>
      <c r="C17" s="2"/>
      <c r="D17" s="24" t="s">
        <v>1</v>
      </c>
      <c r="E17" s="33"/>
      <c r="F17" s="33"/>
      <c r="G17" s="33"/>
      <c r="H17" s="33"/>
      <c r="I17" s="24" t="s">
        <v>1</v>
      </c>
      <c r="K17" s="24"/>
      <c r="L17" s="24" t="s">
        <v>1</v>
      </c>
      <c r="M17" s="24"/>
      <c r="N17" s="24"/>
      <c r="O17" s="24"/>
      <c r="Q17" s="4"/>
      <c r="AI17" s="4"/>
    </row>
    <row r="18" spans="1:35" x14ac:dyDescent="0.25">
      <c r="B18" s="2"/>
      <c r="C18" s="2"/>
      <c r="D18" s="24" t="s">
        <v>1</v>
      </c>
      <c r="E18" s="24" t="s">
        <v>1</v>
      </c>
      <c r="F18" s="24" t="s">
        <v>25</v>
      </c>
      <c r="G18" s="24"/>
      <c r="H18" s="24"/>
      <c r="I18" s="24"/>
      <c r="K18" s="24"/>
      <c r="L18" s="24"/>
      <c r="M18" s="24"/>
      <c r="N18" s="24"/>
      <c r="O18" s="24"/>
      <c r="Q18" s="4"/>
      <c r="AI18" s="4"/>
    </row>
    <row r="19" spans="1:35" x14ac:dyDescent="0.25">
      <c r="A19" s="4"/>
      <c r="B19" s="34"/>
      <c r="C19" s="34"/>
      <c r="D19" s="35"/>
      <c r="E19" s="35"/>
      <c r="F19" s="35"/>
      <c r="G19" s="35"/>
      <c r="H19" s="35"/>
      <c r="I19" s="35"/>
      <c r="J19" s="4"/>
      <c r="K19" s="35"/>
      <c r="L19" s="35"/>
      <c r="M19" s="35"/>
      <c r="N19" s="35"/>
      <c r="O19" s="35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  <c r="AE19" s="4"/>
      <c r="AF19" s="4"/>
      <c r="AG19" s="4"/>
      <c r="AH19" s="4"/>
      <c r="AI19" s="4"/>
    </row>
    <row r="20" spans="1:35" ht="12" thickBot="1" x14ac:dyDescent="0.3">
      <c r="Q20" s="4"/>
      <c r="AI20" s="4"/>
    </row>
    <row r="21" spans="1:35" x14ac:dyDescent="0.25">
      <c r="B21" s="5"/>
      <c r="C21" s="3" t="s">
        <v>1</v>
      </c>
      <c r="D21" s="6" t="s">
        <v>1</v>
      </c>
      <c r="E21" s="3"/>
      <c r="F21" s="3"/>
      <c r="G21" s="3"/>
      <c r="H21" s="3" t="s">
        <v>1</v>
      </c>
      <c r="I21" s="3"/>
      <c r="J21" s="3"/>
      <c r="K21" s="3"/>
      <c r="L21" s="3"/>
      <c r="M21" s="3"/>
      <c r="N21" s="3"/>
      <c r="O21" s="7"/>
      <c r="P21" s="2"/>
      <c r="Q21" s="4"/>
      <c r="S21" s="5"/>
      <c r="T21" s="3" t="s">
        <v>1</v>
      </c>
      <c r="U21" s="6" t="s">
        <v>1</v>
      </c>
      <c r="V21" s="3"/>
      <c r="W21" s="3"/>
      <c r="X21" s="3" t="s">
        <v>1</v>
      </c>
      <c r="Y21" s="3"/>
      <c r="Z21" s="3"/>
      <c r="AA21" s="3"/>
      <c r="AB21" s="3"/>
      <c r="AC21" s="3"/>
      <c r="AD21" s="3"/>
      <c r="AE21" s="3"/>
      <c r="AF21" s="7"/>
      <c r="AG21" s="2"/>
      <c r="AI21" s="4"/>
    </row>
    <row r="22" spans="1:35" ht="14" x14ac:dyDescent="0.3">
      <c r="B22" s="8"/>
      <c r="F22" s="26" t="s">
        <v>8</v>
      </c>
      <c r="G22" s="26"/>
      <c r="I22" s="26" t="s">
        <v>16</v>
      </c>
      <c r="J22" s="25"/>
      <c r="M22" s="2" t="s">
        <v>15</v>
      </c>
      <c r="N22" s="50">
        <f>N3</f>
        <v>2026072</v>
      </c>
      <c r="O22" s="10"/>
      <c r="P22" s="2"/>
      <c r="Q22" s="4"/>
      <c r="S22" s="8"/>
      <c r="U22" s="26" t="s">
        <v>8</v>
      </c>
      <c r="W22" s="26" t="s">
        <v>16</v>
      </c>
      <c r="X22" s="25"/>
      <c r="Y22" s="2"/>
      <c r="AA22" s="2" t="s">
        <v>15</v>
      </c>
      <c r="AD22" s="84">
        <f>N22</f>
        <v>2026072</v>
      </c>
      <c r="AE22" s="84"/>
      <c r="AF22" s="48"/>
      <c r="AG22" s="2"/>
      <c r="AI22" s="4"/>
    </row>
    <row r="23" spans="1:35" ht="15.5" x14ac:dyDescent="0.35">
      <c r="B23" s="8"/>
      <c r="F23" s="36" t="s">
        <v>29</v>
      </c>
      <c r="G23" s="36"/>
      <c r="O23" s="10"/>
      <c r="P23" s="2"/>
      <c r="Q23" s="4"/>
      <c r="S23" s="8"/>
      <c r="T23" s="26" t="s">
        <v>1</v>
      </c>
      <c r="U23" s="36" t="s">
        <v>29</v>
      </c>
      <c r="Y23" s="2" t="s">
        <v>1</v>
      </c>
      <c r="AA23" s="50" t="s">
        <v>1</v>
      </c>
      <c r="AB23" s="2"/>
      <c r="AC23" s="2"/>
      <c r="AD23" s="2"/>
      <c r="AE23" s="2"/>
      <c r="AF23" s="10" t="s">
        <v>1</v>
      </c>
      <c r="AG23" s="2"/>
      <c r="AI23" s="4"/>
    </row>
    <row r="24" spans="1:35" ht="14" x14ac:dyDescent="0.3">
      <c r="B24" s="8"/>
      <c r="F24" s="2" t="s">
        <v>30</v>
      </c>
      <c r="G24" s="2"/>
      <c r="M24" s="2" t="s">
        <v>1</v>
      </c>
      <c r="O24" s="10"/>
      <c r="P24" s="2"/>
      <c r="Q24" s="4"/>
      <c r="S24" s="8"/>
      <c r="T24" s="49" t="s">
        <v>1</v>
      </c>
      <c r="U24" s="2" t="s">
        <v>30</v>
      </c>
      <c r="AF24" s="44"/>
      <c r="AG24" s="2"/>
      <c r="AI24" s="4"/>
    </row>
    <row r="25" spans="1:35" ht="15.5" x14ac:dyDescent="0.35">
      <c r="B25" s="8"/>
      <c r="C25" s="599" t="s">
        <v>17</v>
      </c>
      <c r="D25" s="9">
        <f>D6</f>
        <v>46238</v>
      </c>
      <c r="F25" s="41" t="s">
        <v>31</v>
      </c>
      <c r="G25" s="41"/>
      <c r="H25" s="2"/>
      <c r="J25" s="2"/>
      <c r="O25" s="10"/>
      <c r="P25" s="2"/>
      <c r="Q25" s="4"/>
      <c r="S25" s="8"/>
      <c r="T25" s="41" t="s">
        <v>1</v>
      </c>
      <c r="U25" s="41" t="s">
        <v>31</v>
      </c>
      <c r="V25" s="2"/>
      <c r="X25" s="2"/>
      <c r="Y25" s="2"/>
      <c r="AF25" s="48"/>
      <c r="AG25" s="2"/>
      <c r="AI25" s="4"/>
    </row>
    <row r="26" spans="1:35" ht="12" thickBot="1" x14ac:dyDescent="0.3">
      <c r="B26" s="8"/>
      <c r="C26" s="599" t="s">
        <v>0</v>
      </c>
      <c r="D26" s="241">
        <f>D7</f>
        <v>0.58333333333333337</v>
      </c>
      <c r="F26" s="2" t="s">
        <v>27</v>
      </c>
      <c r="G26" s="9">
        <f>G7</f>
        <v>46219</v>
      </c>
      <c r="J26" s="2" t="s">
        <v>28</v>
      </c>
      <c r="K26" s="9">
        <f>K7</f>
        <v>46234</v>
      </c>
      <c r="O26" s="10"/>
      <c r="P26" s="2"/>
      <c r="Q26" s="4"/>
      <c r="S26" s="8"/>
      <c r="U26" s="1" t="str">
        <f>F26</f>
        <v>Fecha Desde:</v>
      </c>
      <c r="V26" s="9">
        <f>G26</f>
        <v>46219</v>
      </c>
      <c r="W26" s="1" t="s">
        <v>1</v>
      </c>
      <c r="X26" s="1" t="str">
        <f>J26</f>
        <v>Feha Hasta:</v>
      </c>
      <c r="Y26" s="9">
        <f>K26</f>
        <v>46234</v>
      </c>
      <c r="Z26" s="1" t="s">
        <v>1</v>
      </c>
      <c r="AF26" s="48"/>
      <c r="AG26" s="2"/>
      <c r="AI26" s="4"/>
    </row>
    <row r="27" spans="1:35" ht="72" customHeight="1" thickBot="1" x14ac:dyDescent="0.3">
      <c r="B27" s="11" t="s">
        <v>3</v>
      </c>
      <c r="C27" s="27" t="s">
        <v>9</v>
      </c>
      <c r="D27" s="11" t="s">
        <v>4</v>
      </c>
      <c r="E27" s="12" t="s">
        <v>5</v>
      </c>
      <c r="F27" s="27" t="s">
        <v>6</v>
      </c>
      <c r="G27" s="27" t="s">
        <v>159</v>
      </c>
      <c r="H27" s="27" t="s">
        <v>18</v>
      </c>
      <c r="I27" s="12" t="s">
        <v>24</v>
      </c>
      <c r="J27" s="73" t="s">
        <v>19</v>
      </c>
      <c r="K27" s="29" t="s">
        <v>20</v>
      </c>
      <c r="L27" s="28" t="s">
        <v>21</v>
      </c>
      <c r="M27" s="39" t="s">
        <v>22</v>
      </c>
      <c r="N27" s="12" t="s">
        <v>7</v>
      </c>
      <c r="O27" s="39" t="s">
        <v>23</v>
      </c>
      <c r="P27" s="13"/>
      <c r="Q27" s="4"/>
      <c r="S27" s="11" t="s">
        <v>3</v>
      </c>
      <c r="T27" s="27" t="s">
        <v>9</v>
      </c>
      <c r="U27" s="162" t="s">
        <v>39</v>
      </c>
      <c r="V27" s="163" t="s">
        <v>40</v>
      </c>
      <c r="W27" s="163" t="s">
        <v>41</v>
      </c>
      <c r="X27" s="163" t="s">
        <v>42</v>
      </c>
      <c r="Y27" s="164" t="s">
        <v>43</v>
      </c>
      <c r="Z27" s="85" t="s">
        <v>21</v>
      </c>
      <c r="AA27" s="65" t="s">
        <v>46</v>
      </c>
      <c r="AB27" s="65" t="s">
        <v>7</v>
      </c>
      <c r="AC27" s="85" t="s">
        <v>168</v>
      </c>
      <c r="AD27" s="121" t="s">
        <v>107</v>
      </c>
      <c r="AE27" s="121" t="s">
        <v>106</v>
      </c>
      <c r="AF27" s="39" t="s">
        <v>23</v>
      </c>
      <c r="AG27" s="13"/>
      <c r="AI27" s="4"/>
    </row>
    <row r="28" spans="1:35" s="305" customFormat="1" x14ac:dyDescent="0.25">
      <c r="B28" s="303">
        <v>1</v>
      </c>
      <c r="C28" s="304" t="s">
        <v>10</v>
      </c>
      <c r="D28" s="291">
        <f>'Rem. Anticipos R2'!E58</f>
        <v>0</v>
      </c>
      <c r="E28" s="292">
        <f>'Rem. Anticipos R2'!F58</f>
        <v>0</v>
      </c>
      <c r="F28" s="292">
        <f>'Rem. Anticipos R2'!G58</f>
        <v>0</v>
      </c>
      <c r="G28" s="292">
        <f>'Rem. Anticipos R2'!H58</f>
        <v>0</v>
      </c>
      <c r="H28" s="292">
        <f>'Rem. Anticipos R2'!I58</f>
        <v>0</v>
      </c>
      <c r="I28" s="292">
        <f>'Rem. Anticipos R2'!J58</f>
        <v>0</v>
      </c>
      <c r="J28" s="288">
        <v>0</v>
      </c>
      <c r="K28" s="293">
        <f>D28-E28-F28-G28-H28-I28-J28</f>
        <v>0</v>
      </c>
      <c r="L28" s="294">
        <v>0</v>
      </c>
      <c r="M28" s="293">
        <f>K28-L28</f>
        <v>0</v>
      </c>
      <c r="N28" s="294">
        <f>'Rem. Anticipos R2'!K58</f>
        <v>0</v>
      </c>
      <c r="O28" s="293">
        <f>M28+N28</f>
        <v>0</v>
      </c>
      <c r="Q28" s="306"/>
      <c r="S28" s="303">
        <v>1</v>
      </c>
      <c r="T28" s="304" t="s">
        <v>10</v>
      </c>
      <c r="U28" s="307">
        <f>'Rem. Anticipos R2'!L58</f>
        <v>0</v>
      </c>
      <c r="V28" s="308">
        <f>'Rem. Anticipos R2'!M58</f>
        <v>0</v>
      </c>
      <c r="W28" s="308">
        <f>'Rem. Anticipos R2'!N58</f>
        <v>0</v>
      </c>
      <c r="X28" s="308">
        <f>'Rem. Anticipos R2'!O58</f>
        <v>0</v>
      </c>
      <c r="Y28" s="308">
        <f>'Rem. Anticipos R2'!P58</f>
        <v>0</v>
      </c>
      <c r="Z28" s="310">
        <f>L28*-1</f>
        <v>0</v>
      </c>
      <c r="AA28" s="311">
        <f>'Rem. Anticipos R2'!Q58</f>
        <v>0</v>
      </c>
      <c r="AB28" s="294">
        <f>N28</f>
        <v>0</v>
      </c>
      <c r="AC28" s="311">
        <v>0</v>
      </c>
      <c r="AD28" s="291">
        <f>-J28+AE28</f>
        <v>0</v>
      </c>
      <c r="AE28" s="291">
        <f>'Rem. Anticipos R2'!E59</f>
        <v>0</v>
      </c>
      <c r="AF28" s="313">
        <f>SUM(U28:AD28)</f>
        <v>0</v>
      </c>
      <c r="AG28" s="311">
        <f>(AF28-O28)</f>
        <v>0</v>
      </c>
      <c r="AH28" s="305" t="b">
        <f>INT(AG28)=0</f>
        <v>1</v>
      </c>
      <c r="AI28" s="306"/>
    </row>
    <row r="29" spans="1:35" s="305" customFormat="1" x14ac:dyDescent="0.25">
      <c r="B29" s="314">
        <v>2</v>
      </c>
      <c r="C29" s="315" t="s">
        <v>11</v>
      </c>
      <c r="D29" s="291">
        <f>'Rem. Anticipos R2'!E154</f>
        <v>0</v>
      </c>
      <c r="E29" s="292">
        <f>'Rem. Anticipos R2'!F154</f>
        <v>0</v>
      </c>
      <c r="F29" s="292">
        <f>'Rem. Anticipos R2'!G154</f>
        <v>0</v>
      </c>
      <c r="G29" s="292">
        <f>'Rem. Anticipos R2'!H154</f>
        <v>0</v>
      </c>
      <c r="H29" s="292">
        <f>'Rem. Anticipos R2'!I154</f>
        <v>0</v>
      </c>
      <c r="I29" s="292">
        <f>'Rem. Anticipos R2'!J154</f>
        <v>0</v>
      </c>
      <c r="J29" s="288">
        <v>0</v>
      </c>
      <c r="K29" s="295">
        <f t="shared" ref="K29:K31" si="7">D29-E29-F29-G29-H29-I29-J29</f>
        <v>0</v>
      </c>
      <c r="L29" s="294">
        <v>0</v>
      </c>
      <c r="M29" s="295">
        <f>K29-L29</f>
        <v>0</v>
      </c>
      <c r="N29" s="294">
        <f>'Rem. Anticipos R2'!K154</f>
        <v>0</v>
      </c>
      <c r="O29" s="295">
        <f t="shared" ref="O29:O32" si="8">M29+N29</f>
        <v>0</v>
      </c>
      <c r="Q29" s="306"/>
      <c r="S29" s="314">
        <v>2</v>
      </c>
      <c r="T29" s="315" t="s">
        <v>11</v>
      </c>
      <c r="U29" s="316">
        <f>'Rem. Anticipos R2'!L154</f>
        <v>0</v>
      </c>
      <c r="V29" s="317">
        <f>'Rem. Anticipos R2'!M154</f>
        <v>0</v>
      </c>
      <c r="W29" s="317">
        <f>'Rem. Anticipos R2'!N154</f>
        <v>0</v>
      </c>
      <c r="X29" s="317">
        <f>'Rem. Anticipos R2'!O154</f>
        <v>0</v>
      </c>
      <c r="Y29" s="318">
        <f>'Rem. Anticipos R2'!P154</f>
        <v>0</v>
      </c>
      <c r="Z29" s="319">
        <f>L29*-1</f>
        <v>0</v>
      </c>
      <c r="AA29" s="320">
        <f>'Rem. Anticipos R2'!Q154</f>
        <v>0</v>
      </c>
      <c r="AB29" s="294">
        <f>N29</f>
        <v>0</v>
      </c>
      <c r="AC29" s="320">
        <v>0</v>
      </c>
      <c r="AD29" s="291">
        <f>-J29+AE29</f>
        <v>0</v>
      </c>
      <c r="AE29" s="291">
        <f>'Rem. Anticipos R2'!E155</f>
        <v>0</v>
      </c>
      <c r="AF29" s="322">
        <f>SUM(U29:AD29)</f>
        <v>0</v>
      </c>
      <c r="AG29" s="323">
        <f>(AF29-O29)</f>
        <v>0</v>
      </c>
      <c r="AH29" s="305" t="b">
        <f t="shared" ref="AH29:AH32" si="9">INT(AG29)=0</f>
        <v>1</v>
      </c>
      <c r="AI29" s="306"/>
    </row>
    <row r="30" spans="1:35" s="305" customFormat="1" x14ac:dyDescent="0.25">
      <c r="B30" s="314">
        <v>3</v>
      </c>
      <c r="C30" s="315" t="s">
        <v>12</v>
      </c>
      <c r="D30" s="291">
        <f>'Rem. Anticipos R2'!E271</f>
        <v>0</v>
      </c>
      <c r="E30" s="292">
        <f>'Rem. Anticipos R2'!F271</f>
        <v>0</v>
      </c>
      <c r="F30" s="292">
        <f>'Rem. Anticipos R2'!G271</f>
        <v>0</v>
      </c>
      <c r="G30" s="292">
        <f>'Rem. Anticipos R2'!H271</f>
        <v>0</v>
      </c>
      <c r="H30" s="292">
        <f>'Rem. Anticipos R2'!I271</f>
        <v>0</v>
      </c>
      <c r="I30" s="292">
        <f>'Rem. Anticipos R2'!J271</f>
        <v>0</v>
      </c>
      <c r="J30" s="288">
        <v>0</v>
      </c>
      <c r="K30" s="295">
        <f t="shared" si="7"/>
        <v>0</v>
      </c>
      <c r="L30" s="294">
        <v>0</v>
      </c>
      <c r="M30" s="295">
        <f>K30-L30</f>
        <v>0</v>
      </c>
      <c r="N30" s="294">
        <f>'Rem. Anticipos R2'!K271</f>
        <v>0</v>
      </c>
      <c r="O30" s="295">
        <f t="shared" si="8"/>
        <v>0</v>
      </c>
      <c r="Q30" s="306"/>
      <c r="S30" s="314">
        <v>3</v>
      </c>
      <c r="T30" s="315" t="s">
        <v>12</v>
      </c>
      <c r="U30" s="316">
        <f>'Rem. Anticipos R2'!L271</f>
        <v>0</v>
      </c>
      <c r="V30" s="317">
        <f>'Rem. Anticipos R2'!M271</f>
        <v>0</v>
      </c>
      <c r="W30" s="317">
        <f>'Rem. Anticipos R2'!N271</f>
        <v>0</v>
      </c>
      <c r="X30" s="317">
        <f>'Rem. Anticipos R2'!O271</f>
        <v>0</v>
      </c>
      <c r="Y30" s="318">
        <f>'Rem. Anticipos R2'!P271</f>
        <v>0</v>
      </c>
      <c r="Z30" s="319">
        <f>L30*-1</f>
        <v>0</v>
      </c>
      <c r="AA30" s="320">
        <f>'Rem. Anticipos R2'!Q271</f>
        <v>0</v>
      </c>
      <c r="AB30" s="294">
        <f>N30</f>
        <v>0</v>
      </c>
      <c r="AC30" s="320">
        <v>0</v>
      </c>
      <c r="AD30" s="291">
        <f t="shared" ref="AD30:AD32" si="10">-J30+AE30</f>
        <v>0</v>
      </c>
      <c r="AE30" s="291">
        <f>'Rem. Anticipos R2'!E272</f>
        <v>0</v>
      </c>
      <c r="AF30" s="322">
        <f>SUM(U30:AD30)</f>
        <v>0</v>
      </c>
      <c r="AG30" s="323">
        <f>(AF30-O30)</f>
        <v>0</v>
      </c>
      <c r="AH30" s="305" t="b">
        <f t="shared" si="9"/>
        <v>1</v>
      </c>
      <c r="AI30" s="306"/>
    </row>
    <row r="31" spans="1:35" s="305" customFormat="1" x14ac:dyDescent="0.25">
      <c r="B31" s="314">
        <v>4</v>
      </c>
      <c r="C31" s="315" t="s">
        <v>13</v>
      </c>
      <c r="D31" s="291">
        <f>'Rem. Anticipos R2'!E373</f>
        <v>0</v>
      </c>
      <c r="E31" s="292">
        <f>'Rem. Anticipos R2'!F373</f>
        <v>0</v>
      </c>
      <c r="F31" s="292">
        <f>'Rem. Anticipos R2'!G373</f>
        <v>0</v>
      </c>
      <c r="G31" s="292">
        <f>'Rem. Anticipos R2'!H373</f>
        <v>0</v>
      </c>
      <c r="H31" s="292">
        <f>'Rem. Anticipos R2'!I373</f>
        <v>0</v>
      </c>
      <c r="I31" s="292">
        <f>'Rem. Anticipos R2'!J373</f>
        <v>0</v>
      </c>
      <c r="J31" s="288">
        <v>0</v>
      </c>
      <c r="K31" s="295">
        <f t="shared" si="7"/>
        <v>0</v>
      </c>
      <c r="L31" s="294">
        <v>0</v>
      </c>
      <c r="M31" s="295">
        <f>K31-L31</f>
        <v>0</v>
      </c>
      <c r="N31" s="294">
        <f>'Rem. Anticipos R2'!K373</f>
        <v>0</v>
      </c>
      <c r="O31" s="295">
        <f t="shared" si="8"/>
        <v>0</v>
      </c>
      <c r="Q31" s="306"/>
      <c r="S31" s="314">
        <v>4</v>
      </c>
      <c r="T31" s="315" t="s">
        <v>13</v>
      </c>
      <c r="U31" s="316">
        <f>'Rem. Anticipos R2'!L373</f>
        <v>0</v>
      </c>
      <c r="V31" s="317">
        <f>'Rem. Anticipos R2'!M373</f>
        <v>0</v>
      </c>
      <c r="W31" s="317">
        <f>'Rem. Anticipos R2'!N373</f>
        <v>0</v>
      </c>
      <c r="X31" s="317">
        <f>'Rem. Anticipos R2'!O373</f>
        <v>0</v>
      </c>
      <c r="Y31" s="318">
        <f>'Rem. Anticipos R2'!P373</f>
        <v>0</v>
      </c>
      <c r="Z31" s="319">
        <f>L31*-1</f>
        <v>0</v>
      </c>
      <c r="AA31" s="320">
        <f>'Rem. Anticipos R2'!Q373</f>
        <v>0</v>
      </c>
      <c r="AB31" s="294">
        <f>N31</f>
        <v>0</v>
      </c>
      <c r="AC31" s="320">
        <v>0</v>
      </c>
      <c r="AD31" s="291">
        <f t="shared" si="10"/>
        <v>0</v>
      </c>
      <c r="AE31" s="291">
        <f>'Rem. Anticipos R2'!E374</f>
        <v>0</v>
      </c>
      <c r="AF31" s="322">
        <f>SUM(U31:AD31)</f>
        <v>0</v>
      </c>
      <c r="AG31" s="323">
        <f t="shared" ref="AG31" si="11">(AF31-O31)</f>
        <v>0</v>
      </c>
      <c r="AH31" s="305" t="b">
        <f t="shared" si="9"/>
        <v>1</v>
      </c>
      <c r="AI31" s="306"/>
    </row>
    <row r="32" spans="1:35" s="305" customFormat="1" ht="12" thickBot="1" x14ac:dyDescent="0.3">
      <c r="B32" s="324">
        <v>5</v>
      </c>
      <c r="C32" s="325" t="s">
        <v>14</v>
      </c>
      <c r="D32" s="296">
        <f>'Rem. Anticipos R2'!E453</f>
        <v>0</v>
      </c>
      <c r="E32" s="297">
        <f>'Rem. Anticipos R2'!F453</f>
        <v>0</v>
      </c>
      <c r="F32" s="297">
        <f>'Rem. Anticipos R2'!G453</f>
        <v>0</v>
      </c>
      <c r="G32" s="297">
        <f>'Rem. Anticipos R2'!H453</f>
        <v>0</v>
      </c>
      <c r="H32" s="297">
        <f>'Rem. Anticipos R2'!I453</f>
        <v>0</v>
      </c>
      <c r="I32" s="297">
        <f>'Rem. Anticipos R2'!J453</f>
        <v>0</v>
      </c>
      <c r="J32" s="289">
        <v>0</v>
      </c>
      <c r="K32" s="295">
        <f>D32-E32-F32-G32-H32-I32-J32</f>
        <v>0</v>
      </c>
      <c r="L32" s="294">
        <v>0</v>
      </c>
      <c r="M32" s="298">
        <f>K32-L32</f>
        <v>0</v>
      </c>
      <c r="N32" s="299">
        <f>'Rem. Anticipos R2'!K453</f>
        <v>0</v>
      </c>
      <c r="O32" s="298">
        <f t="shared" si="8"/>
        <v>0</v>
      </c>
      <c r="Q32" s="306"/>
      <c r="S32" s="324">
        <v>5</v>
      </c>
      <c r="T32" s="325" t="s">
        <v>14</v>
      </c>
      <c r="U32" s="296">
        <f>'Rem. Anticipos R2'!L453</f>
        <v>0</v>
      </c>
      <c r="V32" s="297">
        <f>'Rem. Anticipos R2'!M453</f>
        <v>0</v>
      </c>
      <c r="W32" s="297">
        <f>'Rem. Anticipos R2'!N453</f>
        <v>0</v>
      </c>
      <c r="X32" s="297">
        <f>'Rem. Anticipos R2'!O453</f>
        <v>0</v>
      </c>
      <c r="Y32" s="289">
        <f>'Rem. Anticipos R2'!P453</f>
        <v>0</v>
      </c>
      <c r="Z32" s="319">
        <f>L32*-1</f>
        <v>0</v>
      </c>
      <c r="AA32" s="320">
        <f>'Rem. Anticipos R2'!Q453</f>
        <v>0</v>
      </c>
      <c r="AB32" s="294">
        <f>N32</f>
        <v>0</v>
      </c>
      <c r="AC32" s="320">
        <v>0</v>
      </c>
      <c r="AD32" s="291">
        <f t="shared" si="10"/>
        <v>0</v>
      </c>
      <c r="AE32" s="291">
        <f>'Rem. Anticipos R2'!E454</f>
        <v>0</v>
      </c>
      <c r="AF32" s="322">
        <f>SUM(U32:AD32)</f>
        <v>0</v>
      </c>
      <c r="AG32" s="326">
        <f>(AF32-O32)</f>
        <v>0</v>
      </c>
      <c r="AH32" s="305" t="b">
        <f t="shared" si="9"/>
        <v>1</v>
      </c>
      <c r="AI32" s="306"/>
    </row>
    <row r="33" spans="1:35" s="305" customFormat="1" ht="13.5" thickBot="1" x14ac:dyDescent="0.35">
      <c r="B33" s="327"/>
      <c r="C33" s="328" t="s">
        <v>2</v>
      </c>
      <c r="D33" s="290">
        <f>SUM(D28:D32)</f>
        <v>0</v>
      </c>
      <c r="E33" s="290">
        <f>SUM(E28:E32)</f>
        <v>0</v>
      </c>
      <c r="F33" s="290">
        <f t="shared" ref="F33:O33" si="12">SUM(F28:F32)</f>
        <v>0</v>
      </c>
      <c r="G33" s="290">
        <f t="shared" si="12"/>
        <v>0</v>
      </c>
      <c r="H33" s="290">
        <f t="shared" si="12"/>
        <v>0</v>
      </c>
      <c r="I33" s="290">
        <f t="shared" si="12"/>
        <v>0</v>
      </c>
      <c r="J33" s="290">
        <f t="shared" si="12"/>
        <v>0</v>
      </c>
      <c r="K33" s="300">
        <f t="shared" si="12"/>
        <v>0</v>
      </c>
      <c r="L33" s="301">
        <f t="shared" si="12"/>
        <v>0</v>
      </c>
      <c r="M33" s="302">
        <f t="shared" si="12"/>
        <v>0</v>
      </c>
      <c r="N33" s="301">
        <f t="shared" si="12"/>
        <v>0</v>
      </c>
      <c r="O33" s="302">
        <f t="shared" si="12"/>
        <v>0</v>
      </c>
      <c r="P33" s="329"/>
      <c r="Q33" s="306"/>
      <c r="S33" s="327"/>
      <c r="T33" s="328" t="s">
        <v>2</v>
      </c>
      <c r="U33" s="330">
        <f>SUM(U28:U32)</f>
        <v>0</v>
      </c>
      <c r="V33" s="330">
        <f t="shared" ref="V33:AG33" si="13">SUM(V28:V32)</f>
        <v>0</v>
      </c>
      <c r="W33" s="330">
        <f t="shared" si="13"/>
        <v>0</v>
      </c>
      <c r="X33" s="330">
        <f t="shared" si="13"/>
        <v>0</v>
      </c>
      <c r="Y33" s="330">
        <f t="shared" si="13"/>
        <v>0</v>
      </c>
      <c r="Z33" s="290">
        <f t="shared" si="13"/>
        <v>0</v>
      </c>
      <c r="AA33" s="290">
        <f t="shared" si="13"/>
        <v>0</v>
      </c>
      <c r="AB33" s="290">
        <f t="shared" si="13"/>
        <v>0</v>
      </c>
      <c r="AC33" s="290">
        <f t="shared" si="13"/>
        <v>0</v>
      </c>
      <c r="AD33" s="290">
        <f>SUM(AD28:AD32)</f>
        <v>0</v>
      </c>
      <c r="AE33" s="290">
        <f>SUM(AE28:AE32)</f>
        <v>0</v>
      </c>
      <c r="AF33" s="331">
        <f t="shared" si="13"/>
        <v>0</v>
      </c>
      <c r="AG33" s="332">
        <f t="shared" si="13"/>
        <v>0</v>
      </c>
      <c r="AH33" s="305" t="b">
        <f>INT(AG33)=0</f>
        <v>1</v>
      </c>
      <c r="AI33" s="306"/>
    </row>
    <row r="34" spans="1:35" ht="12" thickBot="1" x14ac:dyDescent="0.3">
      <c r="B34" s="2"/>
      <c r="C34" s="2"/>
      <c r="D34" s="24"/>
      <c r="E34" s="24"/>
      <c r="F34" s="24"/>
      <c r="G34" s="24"/>
      <c r="H34" s="24"/>
      <c r="I34" s="24"/>
      <c r="K34" s="24"/>
      <c r="L34" s="24"/>
      <c r="M34" s="24"/>
      <c r="N34" s="24"/>
      <c r="O34" s="24"/>
      <c r="Q34" s="4"/>
      <c r="S34" s="2"/>
      <c r="T34" s="2"/>
      <c r="U34" s="24"/>
      <c r="V34" s="24"/>
      <c r="W34" s="24"/>
      <c r="X34" s="24"/>
      <c r="Y34" s="24"/>
      <c r="AF34" s="24"/>
      <c r="AI34" s="4"/>
    </row>
    <row r="35" spans="1:35" ht="12" thickBot="1" x14ac:dyDescent="0.3">
      <c r="B35" s="2"/>
      <c r="C35" s="2"/>
      <c r="D35" s="24" t="s">
        <v>1</v>
      </c>
      <c r="E35" s="24"/>
      <c r="F35" s="24"/>
      <c r="G35" s="24"/>
      <c r="H35" s="24"/>
      <c r="I35" s="24"/>
      <c r="K35" s="24"/>
      <c r="L35" s="24"/>
      <c r="M35" s="24"/>
      <c r="N35" s="24"/>
      <c r="O35" s="24"/>
      <c r="Q35" s="4"/>
      <c r="Y35" s="86">
        <f>SUM(U33:Y33)</f>
        <v>0</v>
      </c>
      <c r="AA35" s="1" t="s">
        <v>1</v>
      </c>
      <c r="AB35" s="1" t="s">
        <v>1</v>
      </c>
      <c r="AD35" s="1" t="s">
        <v>1</v>
      </c>
      <c r="AF35" s="1" t="s">
        <v>1</v>
      </c>
      <c r="AI35" s="4"/>
    </row>
    <row r="36" spans="1:35" ht="12" thickBot="1" x14ac:dyDescent="0.3">
      <c r="B36" s="2"/>
      <c r="C36" s="2"/>
      <c r="D36" s="24" t="s">
        <v>1</v>
      </c>
      <c r="E36" s="33"/>
      <c r="F36" s="33"/>
      <c r="G36" s="33"/>
      <c r="H36" s="33"/>
      <c r="I36" s="24"/>
      <c r="K36" s="24"/>
      <c r="L36" s="24"/>
      <c r="M36" s="24"/>
      <c r="N36" s="24"/>
      <c r="O36" s="24"/>
      <c r="Q36" s="4"/>
      <c r="AI36" s="4"/>
    </row>
    <row r="37" spans="1:35" x14ac:dyDescent="0.25">
      <c r="B37" s="2"/>
      <c r="C37" s="2"/>
      <c r="D37" s="24" t="s">
        <v>1</v>
      </c>
      <c r="E37" s="24" t="s">
        <v>1</v>
      </c>
      <c r="F37" s="24" t="s">
        <v>25</v>
      </c>
      <c r="G37" s="24"/>
      <c r="H37" s="24"/>
      <c r="I37" s="24"/>
      <c r="K37" s="24"/>
      <c r="L37" s="24"/>
      <c r="M37" s="24"/>
      <c r="N37" s="24"/>
      <c r="O37" s="24"/>
      <c r="Q37" s="4"/>
      <c r="AI37" s="4"/>
    </row>
    <row r="38" spans="1:35" x14ac:dyDescent="0.25">
      <c r="A38" s="4"/>
      <c r="B38" s="34"/>
      <c r="C38" s="34"/>
      <c r="D38" s="35"/>
      <c r="E38" s="35"/>
      <c r="F38" s="35"/>
      <c r="G38" s="35"/>
      <c r="H38" s="35"/>
      <c r="I38" s="35"/>
      <c r="J38" s="4"/>
      <c r="K38" s="35"/>
      <c r="L38" s="35"/>
      <c r="M38" s="35"/>
      <c r="N38" s="35"/>
      <c r="O38" s="35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  <c r="AE38" s="4"/>
      <c r="AF38" s="4"/>
      <c r="AG38" s="4"/>
      <c r="AH38" s="4"/>
      <c r="AI38" s="4"/>
    </row>
    <row r="39" spans="1:35" ht="12" thickBot="1" x14ac:dyDescent="0.3">
      <c r="Q39" s="4"/>
      <c r="AI39" s="4"/>
    </row>
    <row r="40" spans="1:35" x14ac:dyDescent="0.25">
      <c r="B40" s="5"/>
      <c r="C40" s="3" t="s">
        <v>1</v>
      </c>
      <c r="D40" s="6" t="s">
        <v>1</v>
      </c>
      <c r="E40" s="3"/>
      <c r="F40" s="3"/>
      <c r="G40" s="3"/>
      <c r="H40" s="3" t="s">
        <v>1</v>
      </c>
      <c r="I40" s="3"/>
      <c r="J40" s="3"/>
      <c r="K40" s="3"/>
      <c r="L40" s="3"/>
      <c r="M40" s="3"/>
      <c r="N40" s="3"/>
      <c r="O40" s="7"/>
      <c r="P40" s="2"/>
      <c r="Q40" s="4"/>
      <c r="S40" s="5"/>
      <c r="T40" s="3" t="s">
        <v>1</v>
      </c>
      <c r="U40" s="6" t="s">
        <v>1</v>
      </c>
      <c r="V40" s="3"/>
      <c r="W40" s="3"/>
      <c r="X40" s="3" t="s">
        <v>1</v>
      </c>
      <c r="Y40" s="3"/>
      <c r="Z40" s="3"/>
      <c r="AA40" s="3"/>
      <c r="AB40" s="3"/>
      <c r="AC40" s="3"/>
      <c r="AD40" s="3"/>
      <c r="AE40" s="3"/>
      <c r="AF40" s="7"/>
      <c r="AG40" s="2"/>
      <c r="AI40" s="4"/>
    </row>
    <row r="41" spans="1:35" ht="14" x14ac:dyDescent="0.3">
      <c r="B41" s="8"/>
      <c r="F41" s="26" t="s">
        <v>8</v>
      </c>
      <c r="G41" s="26"/>
      <c r="I41" s="26" t="s">
        <v>16</v>
      </c>
      <c r="J41" s="25"/>
      <c r="M41" s="2" t="s">
        <v>15</v>
      </c>
      <c r="N41" s="50">
        <f>N3</f>
        <v>2026072</v>
      </c>
      <c r="O41" s="10"/>
      <c r="P41" s="2"/>
      <c r="Q41" s="4"/>
      <c r="S41" s="8"/>
      <c r="U41" s="26" t="s">
        <v>8</v>
      </c>
      <c r="W41" s="26" t="s">
        <v>16</v>
      </c>
      <c r="X41" s="25"/>
      <c r="Y41" s="2"/>
      <c r="AA41" s="2" t="s">
        <v>15</v>
      </c>
      <c r="AD41" s="84">
        <f>N41</f>
        <v>2026072</v>
      </c>
      <c r="AE41" s="84"/>
      <c r="AF41" s="48"/>
      <c r="AG41" s="2"/>
      <c r="AI41" s="4"/>
    </row>
    <row r="42" spans="1:35" ht="15.5" x14ac:dyDescent="0.35">
      <c r="B42" s="8"/>
      <c r="F42" s="36" t="s">
        <v>29</v>
      </c>
      <c r="G42" s="36"/>
      <c r="O42" s="10"/>
      <c r="P42" s="2"/>
      <c r="Q42" s="4"/>
      <c r="S42" s="8"/>
      <c r="T42" s="26" t="s">
        <v>1</v>
      </c>
      <c r="U42" s="36" t="s">
        <v>29</v>
      </c>
      <c r="Y42" s="2" t="s">
        <v>1</v>
      </c>
      <c r="AA42" s="50" t="s">
        <v>1</v>
      </c>
      <c r="AB42" s="2"/>
      <c r="AC42" s="2"/>
      <c r="AD42" s="2"/>
      <c r="AE42" s="2"/>
      <c r="AF42" s="10" t="s">
        <v>1</v>
      </c>
      <c r="AG42" s="2"/>
      <c r="AI42" s="4"/>
    </row>
    <row r="43" spans="1:35" ht="14" x14ac:dyDescent="0.3">
      <c r="B43" s="8"/>
      <c r="F43" s="2" t="s">
        <v>30</v>
      </c>
      <c r="G43" s="2"/>
      <c r="M43" s="2" t="s">
        <v>1</v>
      </c>
      <c r="O43" s="10"/>
      <c r="P43" s="2"/>
      <c r="Q43" s="4"/>
      <c r="S43" s="8"/>
      <c r="T43" s="49" t="s">
        <v>1</v>
      </c>
      <c r="U43" s="2" t="s">
        <v>30</v>
      </c>
      <c r="AF43" s="44"/>
      <c r="AG43" s="2"/>
      <c r="AI43" s="4"/>
    </row>
    <row r="44" spans="1:35" ht="15.5" x14ac:dyDescent="0.35">
      <c r="B44" s="8"/>
      <c r="C44" s="599" t="s">
        <v>17</v>
      </c>
      <c r="D44" s="9">
        <f>D6</f>
        <v>46238</v>
      </c>
      <c r="F44" s="41" t="s">
        <v>32</v>
      </c>
      <c r="G44" s="41"/>
      <c r="H44" s="2"/>
      <c r="J44" s="2"/>
      <c r="O44" s="10"/>
      <c r="P44" s="2"/>
      <c r="Q44" s="4"/>
      <c r="S44" s="8"/>
      <c r="T44" s="41" t="s">
        <v>1</v>
      </c>
      <c r="U44" s="41" t="s">
        <v>32</v>
      </c>
      <c r="V44" s="2"/>
      <c r="X44" s="2"/>
      <c r="Y44" s="2"/>
      <c r="AF44" s="48"/>
      <c r="AG44" s="2"/>
      <c r="AI44" s="4"/>
    </row>
    <row r="45" spans="1:35" ht="12" thickBot="1" x14ac:dyDescent="0.3">
      <c r="B45" s="8"/>
      <c r="C45" s="599" t="s">
        <v>0</v>
      </c>
      <c r="D45" s="241">
        <f>D7</f>
        <v>0.58333333333333337</v>
      </c>
      <c r="F45" s="2" t="s">
        <v>27</v>
      </c>
      <c r="G45" s="9">
        <f>G7</f>
        <v>46219</v>
      </c>
      <c r="J45" s="2" t="s">
        <v>28</v>
      </c>
      <c r="K45" s="9">
        <f>K7</f>
        <v>46234</v>
      </c>
      <c r="O45" s="10"/>
      <c r="P45" s="2"/>
      <c r="Q45" s="4"/>
      <c r="S45" s="8"/>
      <c r="U45" s="1" t="str">
        <f>F45</f>
        <v>Fecha Desde:</v>
      </c>
      <c r="V45" s="9">
        <f>G45</f>
        <v>46219</v>
      </c>
      <c r="W45" s="1" t="s">
        <v>1</v>
      </c>
      <c r="X45" s="1" t="str">
        <f>J45</f>
        <v>Feha Hasta:</v>
      </c>
      <c r="Y45" s="9">
        <f>K45</f>
        <v>46234</v>
      </c>
      <c r="Z45" s="1" t="s">
        <v>1</v>
      </c>
      <c r="AF45" s="48"/>
      <c r="AG45" s="2"/>
      <c r="AI45" s="4"/>
    </row>
    <row r="46" spans="1:35" ht="72" customHeight="1" thickBot="1" x14ac:dyDescent="0.3">
      <c r="B46" s="11" t="s">
        <v>3</v>
      </c>
      <c r="C46" s="27" t="s">
        <v>9</v>
      </c>
      <c r="D46" s="11" t="s">
        <v>4</v>
      </c>
      <c r="E46" s="12" t="s">
        <v>5</v>
      </c>
      <c r="F46" s="27" t="s">
        <v>6</v>
      </c>
      <c r="G46" s="27" t="s">
        <v>159</v>
      </c>
      <c r="H46" s="27" t="s">
        <v>18</v>
      </c>
      <c r="I46" s="12" t="s">
        <v>24</v>
      </c>
      <c r="J46" s="73" t="s">
        <v>19</v>
      </c>
      <c r="K46" s="29" t="s">
        <v>20</v>
      </c>
      <c r="L46" s="28" t="s">
        <v>21</v>
      </c>
      <c r="M46" s="39" t="s">
        <v>22</v>
      </c>
      <c r="N46" s="12" t="s">
        <v>7</v>
      </c>
      <c r="O46" s="39" t="s">
        <v>23</v>
      </c>
      <c r="P46" s="13"/>
      <c r="Q46" s="4"/>
      <c r="S46" s="11" t="s">
        <v>3</v>
      </c>
      <c r="T46" s="27" t="s">
        <v>9</v>
      </c>
      <c r="U46" s="162" t="s">
        <v>39</v>
      </c>
      <c r="V46" s="163" t="s">
        <v>40</v>
      </c>
      <c r="W46" s="163" t="s">
        <v>41</v>
      </c>
      <c r="X46" s="163" t="s">
        <v>42</v>
      </c>
      <c r="Y46" s="164" t="s">
        <v>43</v>
      </c>
      <c r="Z46" s="85" t="s">
        <v>21</v>
      </c>
      <c r="AA46" s="65" t="s">
        <v>46</v>
      </c>
      <c r="AB46" s="65" t="s">
        <v>7</v>
      </c>
      <c r="AC46" s="85" t="s">
        <v>168</v>
      </c>
      <c r="AD46" s="121" t="s">
        <v>107</v>
      </c>
      <c r="AE46" s="121" t="s">
        <v>106</v>
      </c>
      <c r="AF46" s="39" t="s">
        <v>23</v>
      </c>
      <c r="AG46" s="13"/>
      <c r="AI46" s="4"/>
    </row>
    <row r="47" spans="1:35" s="305" customFormat="1" x14ac:dyDescent="0.25">
      <c r="B47" s="303">
        <v>1</v>
      </c>
      <c r="C47" s="304" t="s">
        <v>10</v>
      </c>
      <c r="D47" s="291">
        <f>'Reporte Componentes R1'!F80</f>
        <v>0</v>
      </c>
      <c r="E47" s="292">
        <f>'Reporte Componentes R1'!G80</f>
        <v>0</v>
      </c>
      <c r="F47" s="292">
        <f>'Reporte Componentes R1'!H80</f>
        <v>0</v>
      </c>
      <c r="G47" s="292">
        <f>'Reporte Componentes R1'!I80</f>
        <v>0</v>
      </c>
      <c r="H47" s="292">
        <f>'Reporte Componentes R1'!J80</f>
        <v>0</v>
      </c>
      <c r="I47" s="292">
        <f>'Reporte Componentes R1'!K80</f>
        <v>0</v>
      </c>
      <c r="J47" s="288">
        <v>0</v>
      </c>
      <c r="K47" s="293">
        <f>D47-E47-F47-G47-H47-I47-J47</f>
        <v>0</v>
      </c>
      <c r="L47" s="294">
        <v>0</v>
      </c>
      <c r="M47" s="293">
        <f>K47-L47</f>
        <v>0</v>
      </c>
      <c r="N47" s="294">
        <f>'Reporte Componentes R1'!L80</f>
        <v>0</v>
      </c>
      <c r="O47" s="293">
        <f>M47+N47</f>
        <v>0</v>
      </c>
      <c r="Q47" s="306"/>
      <c r="S47" s="303">
        <v>1</v>
      </c>
      <c r="T47" s="304" t="s">
        <v>10</v>
      </c>
      <c r="U47" s="307">
        <f>'Reporte Componentes R1'!M80</f>
        <v>0</v>
      </c>
      <c r="V47" s="308">
        <f>'Reporte Componentes R1'!N80</f>
        <v>0</v>
      </c>
      <c r="W47" s="308">
        <f>'Reporte Componentes R1'!O80</f>
        <v>0</v>
      </c>
      <c r="X47" s="308">
        <f>'Reporte Componentes R1'!P80</f>
        <v>0</v>
      </c>
      <c r="Y47" s="309">
        <f>'Reporte Componentes R1'!Q80</f>
        <v>0</v>
      </c>
      <c r="Z47" s="310">
        <f>-L47</f>
        <v>0</v>
      </c>
      <c r="AA47" s="311">
        <f>'Reporte Componentes R1'!R80+'Reporte Componentes R1'!S80</f>
        <v>0</v>
      </c>
      <c r="AB47" s="294">
        <f>N47</f>
        <v>0</v>
      </c>
      <c r="AC47" s="311">
        <v>0</v>
      </c>
      <c r="AD47" s="291">
        <f>-J47+AE47</f>
        <v>0</v>
      </c>
      <c r="AE47" s="291">
        <f>'Reporte Componentes R1'!F81</f>
        <v>0</v>
      </c>
      <c r="AF47" s="313">
        <f>SUM(U47:AD47)</f>
        <v>0</v>
      </c>
      <c r="AG47" s="311">
        <f>(AF47-O47)</f>
        <v>0</v>
      </c>
      <c r="AH47" s="305" t="b">
        <f>INT(AG47)=0</f>
        <v>1</v>
      </c>
      <c r="AI47" s="306"/>
    </row>
    <row r="48" spans="1:35" s="305" customFormat="1" x14ac:dyDescent="0.25">
      <c r="B48" s="314">
        <v>2</v>
      </c>
      <c r="C48" s="315" t="s">
        <v>11</v>
      </c>
      <c r="D48" s="291">
        <f>'Reporte Componentes R1'!F233</f>
        <v>0</v>
      </c>
      <c r="E48" s="292">
        <f>'Reporte Componentes R1'!G233</f>
        <v>0</v>
      </c>
      <c r="F48" s="292">
        <f>'Reporte Componentes R1'!H233</f>
        <v>0</v>
      </c>
      <c r="G48" s="292">
        <f>'Reporte Componentes R1'!I233</f>
        <v>0</v>
      </c>
      <c r="H48" s="292">
        <f>'Reporte Componentes R1'!J233</f>
        <v>0</v>
      </c>
      <c r="I48" s="292">
        <f>'Reporte Componentes R1'!K233</f>
        <v>0</v>
      </c>
      <c r="J48" s="288">
        <v>0</v>
      </c>
      <c r="K48" s="295">
        <f t="shared" ref="K48:K51" si="14">D48-E48-F48-G48-H48-I48-J48</f>
        <v>0</v>
      </c>
      <c r="L48" s="294">
        <v>0</v>
      </c>
      <c r="M48" s="295">
        <f>K48-L48</f>
        <v>0</v>
      </c>
      <c r="N48" s="294">
        <f>'Reporte Componentes R1'!L233</f>
        <v>0</v>
      </c>
      <c r="O48" s="295">
        <f t="shared" ref="O48:O51" si="15">M48+N48</f>
        <v>0</v>
      </c>
      <c r="Q48" s="306"/>
      <c r="S48" s="314">
        <v>2</v>
      </c>
      <c r="T48" s="315" t="s">
        <v>11</v>
      </c>
      <c r="U48" s="316">
        <f>'Reporte Componentes R1'!M233</f>
        <v>0</v>
      </c>
      <c r="V48" s="317">
        <f>'Reporte Componentes R1'!N233</f>
        <v>0</v>
      </c>
      <c r="W48" s="317">
        <f>'Reporte Componentes R1'!O233</f>
        <v>0</v>
      </c>
      <c r="X48" s="317">
        <f>'Reporte Componentes R1'!P233</f>
        <v>0</v>
      </c>
      <c r="Y48" s="318">
        <f>'Reporte Componentes R1'!Q233</f>
        <v>0</v>
      </c>
      <c r="Z48" s="319">
        <f>-L48</f>
        <v>0</v>
      </c>
      <c r="AA48" s="320">
        <f>'Reporte Componentes R1'!R233+'Reporte Componentes R1'!S233+'Reporte Componentes R1'!T233</f>
        <v>0</v>
      </c>
      <c r="AB48" s="294">
        <f>N48</f>
        <v>0</v>
      </c>
      <c r="AC48" s="320">
        <v>0</v>
      </c>
      <c r="AD48" s="291">
        <f t="shared" ref="AD48:AD51" si="16">-J48+AE48</f>
        <v>0</v>
      </c>
      <c r="AE48" s="291">
        <f>'Reporte Componentes R1'!F234</f>
        <v>0</v>
      </c>
      <c r="AF48" s="322">
        <f>SUM(U48:AD48)</f>
        <v>0</v>
      </c>
      <c r="AG48" s="323">
        <f>(AF48-O48)</f>
        <v>0</v>
      </c>
      <c r="AH48" s="305" t="b">
        <f t="shared" ref="AH48:AH51" si="17">INT(AG48)=0</f>
        <v>1</v>
      </c>
      <c r="AI48" s="306"/>
    </row>
    <row r="49" spans="1:35" s="305" customFormat="1" x14ac:dyDescent="0.25">
      <c r="B49" s="314">
        <v>3</v>
      </c>
      <c r="C49" s="315" t="s">
        <v>12</v>
      </c>
      <c r="D49" s="291">
        <f>'Reporte Componentes R1'!F370</f>
        <v>0</v>
      </c>
      <c r="E49" s="292">
        <f>'Reporte Componentes R1'!G370</f>
        <v>0</v>
      </c>
      <c r="F49" s="292">
        <f>'Reporte Componentes R1'!H370</f>
        <v>0</v>
      </c>
      <c r="G49" s="292">
        <f>'Reporte Componentes R1'!I370</f>
        <v>0</v>
      </c>
      <c r="H49" s="292">
        <f>'Reporte Componentes R1'!J370</f>
        <v>0</v>
      </c>
      <c r="I49" s="292">
        <f>'Reporte Componentes R1'!K370</f>
        <v>0</v>
      </c>
      <c r="J49" s="288">
        <v>0</v>
      </c>
      <c r="K49" s="295">
        <f t="shared" si="14"/>
        <v>0</v>
      </c>
      <c r="L49" s="294">
        <v>0</v>
      </c>
      <c r="M49" s="295">
        <f>K49-L49</f>
        <v>0</v>
      </c>
      <c r="N49" s="294">
        <f>'Reporte Componentes R1'!L370</f>
        <v>0</v>
      </c>
      <c r="O49" s="295">
        <f t="shared" si="15"/>
        <v>0</v>
      </c>
      <c r="Q49" s="306"/>
      <c r="S49" s="314">
        <v>3</v>
      </c>
      <c r="T49" s="315" t="s">
        <v>12</v>
      </c>
      <c r="U49" s="316">
        <f>'Reporte Componentes R1'!M370</f>
        <v>0</v>
      </c>
      <c r="V49" s="317">
        <f>'Reporte Componentes R1'!N370</f>
        <v>0</v>
      </c>
      <c r="W49" s="317">
        <f>'Reporte Componentes R1'!O370</f>
        <v>0</v>
      </c>
      <c r="X49" s="317">
        <f>'Reporte Componentes R1'!P370</f>
        <v>0</v>
      </c>
      <c r="Y49" s="318">
        <f>'Reporte Componentes R1'!Q370</f>
        <v>0</v>
      </c>
      <c r="Z49" s="319">
        <f>-L49</f>
        <v>0</v>
      </c>
      <c r="AA49" s="320">
        <f>'Reporte Componentes R1'!R370+'Reporte Componentes R1'!S370+'Reporte Componentes R1'!T370</f>
        <v>0</v>
      </c>
      <c r="AB49" s="294">
        <f>N49</f>
        <v>0</v>
      </c>
      <c r="AC49" s="320">
        <v>0</v>
      </c>
      <c r="AD49" s="291">
        <f t="shared" si="16"/>
        <v>0</v>
      </c>
      <c r="AE49" s="291">
        <f>'Reporte Componentes R1'!F371</f>
        <v>0</v>
      </c>
      <c r="AF49" s="322">
        <f t="shared" ref="AF49:AF51" si="18">SUM(U49:AD49)</f>
        <v>0</v>
      </c>
      <c r="AG49" s="323">
        <f t="shared" ref="AG49:AG51" si="19">(AF49-O49)</f>
        <v>0</v>
      </c>
      <c r="AH49" s="305" t="b">
        <f t="shared" si="17"/>
        <v>1</v>
      </c>
      <c r="AI49" s="306"/>
    </row>
    <row r="50" spans="1:35" s="305" customFormat="1" x14ac:dyDescent="0.25">
      <c r="B50" s="314">
        <v>4</v>
      </c>
      <c r="C50" s="315" t="s">
        <v>13</v>
      </c>
      <c r="D50" s="291">
        <f>'Reporte Componentes R1'!F495</f>
        <v>0</v>
      </c>
      <c r="E50" s="292">
        <f>'Reporte Componentes R1'!G495</f>
        <v>0</v>
      </c>
      <c r="F50" s="292">
        <f>'Reporte Componentes R1'!H495</f>
        <v>0</v>
      </c>
      <c r="G50" s="292">
        <f>'Reporte Componentes R1'!I495</f>
        <v>0</v>
      </c>
      <c r="H50" s="292">
        <f>'Reporte Componentes R1'!J495</f>
        <v>0</v>
      </c>
      <c r="I50" s="292">
        <f>'Reporte Componentes R1'!K495</f>
        <v>0</v>
      </c>
      <c r="J50" s="288">
        <v>0</v>
      </c>
      <c r="K50" s="295">
        <f t="shared" si="14"/>
        <v>0</v>
      </c>
      <c r="L50" s="294">
        <v>0</v>
      </c>
      <c r="M50" s="295">
        <f>K50-L50</f>
        <v>0</v>
      </c>
      <c r="N50" s="294">
        <f>'Reporte Componentes R1'!L495</f>
        <v>0</v>
      </c>
      <c r="O50" s="295">
        <f t="shared" si="15"/>
        <v>0</v>
      </c>
      <c r="Q50" s="306"/>
      <c r="S50" s="314">
        <v>4</v>
      </c>
      <c r="T50" s="315" t="s">
        <v>13</v>
      </c>
      <c r="U50" s="316">
        <f>'Reporte Componentes R1'!M495</f>
        <v>0</v>
      </c>
      <c r="V50" s="317">
        <f>'Reporte Componentes R1'!N495</f>
        <v>0</v>
      </c>
      <c r="W50" s="317">
        <f>'Reporte Componentes R1'!O495</f>
        <v>0</v>
      </c>
      <c r="X50" s="317">
        <f>'Reporte Componentes R1'!P495</f>
        <v>0</v>
      </c>
      <c r="Y50" s="318">
        <f>'Reporte Componentes R1'!Q495</f>
        <v>0</v>
      </c>
      <c r="Z50" s="319">
        <f>-L50</f>
        <v>0</v>
      </c>
      <c r="AA50" s="320">
        <f>'Reporte Componentes R1'!R495+'Reporte Componentes R1'!S495</f>
        <v>0</v>
      </c>
      <c r="AB50" s="294">
        <f>N50</f>
        <v>0</v>
      </c>
      <c r="AC50" s="320">
        <v>0</v>
      </c>
      <c r="AD50" s="291">
        <f t="shared" si="16"/>
        <v>0</v>
      </c>
      <c r="AE50" s="291">
        <f>'Reporte Componentes R1'!F496</f>
        <v>0</v>
      </c>
      <c r="AF50" s="322">
        <f t="shared" si="18"/>
        <v>0</v>
      </c>
      <c r="AG50" s="323">
        <f t="shared" si="19"/>
        <v>0</v>
      </c>
      <c r="AH50" s="305" t="b">
        <f t="shared" si="17"/>
        <v>1</v>
      </c>
      <c r="AI50" s="306"/>
    </row>
    <row r="51" spans="1:35" s="305" customFormat="1" ht="12" thickBot="1" x14ac:dyDescent="0.3">
      <c r="B51" s="324">
        <v>5</v>
      </c>
      <c r="C51" s="325" t="s">
        <v>14</v>
      </c>
      <c r="D51" s="296">
        <f>'Reporte Componentes R1'!F585</f>
        <v>0</v>
      </c>
      <c r="E51" s="297">
        <f>'Reporte Componentes R1'!G585</f>
        <v>0</v>
      </c>
      <c r="F51" s="297">
        <f>'Reporte Componentes R1'!H585</f>
        <v>0</v>
      </c>
      <c r="G51" s="297">
        <f>'Reporte Componentes R1'!I585</f>
        <v>0</v>
      </c>
      <c r="H51" s="297">
        <f>'Reporte Componentes R1'!J585</f>
        <v>0</v>
      </c>
      <c r="I51" s="297">
        <f>'Reporte Componentes R1'!K585</f>
        <v>0</v>
      </c>
      <c r="J51" s="289">
        <v>0</v>
      </c>
      <c r="K51" s="295">
        <f t="shared" si="14"/>
        <v>0</v>
      </c>
      <c r="L51" s="294">
        <v>0</v>
      </c>
      <c r="M51" s="298">
        <f>K51-L51</f>
        <v>0</v>
      </c>
      <c r="N51" s="299">
        <f>'Reporte Componentes R1'!L585</f>
        <v>0</v>
      </c>
      <c r="O51" s="298">
        <f t="shared" si="15"/>
        <v>0</v>
      </c>
      <c r="Q51" s="306"/>
      <c r="S51" s="324">
        <v>5</v>
      </c>
      <c r="T51" s="325" t="s">
        <v>14</v>
      </c>
      <c r="U51" s="296">
        <f>'Reporte Componentes R1'!M585</f>
        <v>0</v>
      </c>
      <c r="V51" s="297">
        <f>'Reporte Componentes R1'!N585</f>
        <v>0</v>
      </c>
      <c r="W51" s="297">
        <f>'Reporte Componentes R1'!O585</f>
        <v>0</v>
      </c>
      <c r="X51" s="297">
        <f>'Reporte Componentes R1'!P585</f>
        <v>0</v>
      </c>
      <c r="Y51" s="289">
        <f>'Reporte Componentes R1'!Q585</f>
        <v>0</v>
      </c>
      <c r="Z51" s="319">
        <f>-L51</f>
        <v>0</v>
      </c>
      <c r="AA51" s="320">
        <f>'Reporte Componentes R1'!R585+'Reporte Componentes R1'!S585+'Reporte Componentes R1'!T585</f>
        <v>0</v>
      </c>
      <c r="AB51" s="294">
        <f>N51</f>
        <v>0</v>
      </c>
      <c r="AC51" s="320">
        <v>0</v>
      </c>
      <c r="AD51" s="291">
        <f t="shared" si="16"/>
        <v>0</v>
      </c>
      <c r="AE51" s="291">
        <f>'Reporte Componentes R1'!F586</f>
        <v>0</v>
      </c>
      <c r="AF51" s="322">
        <f t="shared" si="18"/>
        <v>0</v>
      </c>
      <c r="AG51" s="326">
        <f t="shared" si="19"/>
        <v>0</v>
      </c>
      <c r="AH51" s="305" t="b">
        <f t="shared" si="17"/>
        <v>1</v>
      </c>
      <c r="AI51" s="306"/>
    </row>
    <row r="52" spans="1:35" s="305" customFormat="1" ht="13.5" thickBot="1" x14ac:dyDescent="0.35">
      <c r="B52" s="327"/>
      <c r="C52" s="328" t="s">
        <v>2</v>
      </c>
      <c r="D52" s="290">
        <f t="shared" ref="D52:O52" si="20">SUM(D47:D51)</f>
        <v>0</v>
      </c>
      <c r="E52" s="290">
        <f t="shared" si="20"/>
        <v>0</v>
      </c>
      <c r="F52" s="290">
        <f t="shared" si="20"/>
        <v>0</v>
      </c>
      <c r="G52" s="290">
        <f t="shared" ref="G52" si="21">SUM(G47:G51)</f>
        <v>0</v>
      </c>
      <c r="H52" s="290">
        <f t="shared" si="20"/>
        <v>0</v>
      </c>
      <c r="I52" s="290">
        <f t="shared" si="20"/>
        <v>0</v>
      </c>
      <c r="J52" s="290">
        <f t="shared" si="20"/>
        <v>0</v>
      </c>
      <c r="K52" s="300">
        <f t="shared" si="20"/>
        <v>0</v>
      </c>
      <c r="L52" s="301">
        <f t="shared" si="20"/>
        <v>0</v>
      </c>
      <c r="M52" s="302">
        <f t="shared" si="20"/>
        <v>0</v>
      </c>
      <c r="N52" s="301">
        <f t="shared" si="20"/>
        <v>0</v>
      </c>
      <c r="O52" s="302">
        <f t="shared" si="20"/>
        <v>0</v>
      </c>
      <c r="P52" s="329"/>
      <c r="Q52" s="306"/>
      <c r="S52" s="327"/>
      <c r="T52" s="328" t="s">
        <v>2</v>
      </c>
      <c r="U52" s="330">
        <f>SUM(U47:U51)</f>
        <v>0</v>
      </c>
      <c r="V52" s="330">
        <f t="shared" ref="V52:AG52" si="22">SUM(V47:V51)</f>
        <v>0</v>
      </c>
      <c r="W52" s="330">
        <f t="shared" si="22"/>
        <v>0</v>
      </c>
      <c r="X52" s="330">
        <f t="shared" si="22"/>
        <v>0</v>
      </c>
      <c r="Y52" s="330">
        <f t="shared" si="22"/>
        <v>0</v>
      </c>
      <c r="Z52" s="290">
        <f t="shared" si="22"/>
        <v>0</v>
      </c>
      <c r="AA52" s="290">
        <f t="shared" si="22"/>
        <v>0</v>
      </c>
      <c r="AB52" s="290">
        <f t="shared" si="22"/>
        <v>0</v>
      </c>
      <c r="AC52" s="290">
        <f t="shared" ref="AC52" si="23">SUM(AC47:AC51)</f>
        <v>0</v>
      </c>
      <c r="AD52" s="290">
        <f>SUM(AD47:AD51)</f>
        <v>0</v>
      </c>
      <c r="AE52" s="290">
        <f>SUM(AE47:AE51)</f>
        <v>0</v>
      </c>
      <c r="AF52" s="331">
        <f t="shared" si="22"/>
        <v>0</v>
      </c>
      <c r="AG52" s="332">
        <f t="shared" si="22"/>
        <v>0</v>
      </c>
      <c r="AH52" s="305" t="b">
        <f>INT(AG52)=0</f>
        <v>1</v>
      </c>
      <c r="AI52" s="306"/>
    </row>
    <row r="53" spans="1:35" ht="12" thickBot="1" x14ac:dyDescent="0.3">
      <c r="B53" s="2"/>
      <c r="C53" s="2"/>
      <c r="D53" s="24"/>
      <c r="E53" s="24"/>
      <c r="F53" s="24"/>
      <c r="G53" s="24"/>
      <c r="H53" s="24"/>
      <c r="I53" s="24"/>
      <c r="K53" s="24"/>
      <c r="L53" s="24"/>
      <c r="M53" s="24"/>
      <c r="N53" s="24"/>
      <c r="O53" s="24"/>
      <c r="Q53" s="4"/>
      <c r="S53" s="2"/>
      <c r="T53" s="2"/>
      <c r="U53" s="24"/>
      <c r="V53" s="24"/>
      <c r="W53" s="24"/>
      <c r="X53" s="24"/>
      <c r="Y53" s="24"/>
      <c r="AF53" s="24"/>
      <c r="AI53" s="4"/>
    </row>
    <row r="54" spans="1:35" ht="12" thickBot="1" x14ac:dyDescent="0.3">
      <c r="B54" s="2"/>
      <c r="C54" s="2"/>
      <c r="D54" s="24" t="s">
        <v>1</v>
      </c>
      <c r="E54" s="24"/>
      <c r="F54" s="24"/>
      <c r="G54" s="24"/>
      <c r="H54" s="24"/>
      <c r="I54" s="24"/>
      <c r="K54" s="24"/>
      <c r="L54" s="24"/>
      <c r="M54" s="24"/>
      <c r="N54" s="24"/>
      <c r="O54" s="24"/>
      <c r="Q54" s="4"/>
      <c r="Y54" s="86">
        <f>SUM(U52:Y52)</f>
        <v>0</v>
      </c>
      <c r="AA54" s="1" t="s">
        <v>1</v>
      </c>
      <c r="AB54" s="1" t="s">
        <v>1</v>
      </c>
      <c r="AD54" s="1" t="s">
        <v>1</v>
      </c>
      <c r="AF54" s="1" t="s">
        <v>1</v>
      </c>
      <c r="AI54" s="4"/>
    </row>
    <row r="55" spans="1:35" ht="12" thickBot="1" x14ac:dyDescent="0.3">
      <c r="B55" s="2"/>
      <c r="C55" s="2"/>
      <c r="D55" s="24" t="s">
        <v>1</v>
      </c>
      <c r="E55" s="33"/>
      <c r="F55" s="33"/>
      <c r="G55" s="33"/>
      <c r="H55" s="33"/>
      <c r="I55" s="24"/>
      <c r="K55" s="24"/>
      <c r="L55" s="24"/>
      <c r="M55" s="24"/>
      <c r="N55" s="24"/>
      <c r="O55" s="24"/>
      <c r="Q55" s="4"/>
      <c r="AI55" s="4"/>
    </row>
    <row r="56" spans="1:35" x14ac:dyDescent="0.25">
      <c r="B56" s="2"/>
      <c r="C56" s="2"/>
      <c r="D56" s="24" t="s">
        <v>1</v>
      </c>
      <c r="E56" s="24" t="s">
        <v>1</v>
      </c>
      <c r="F56" s="24" t="s">
        <v>25</v>
      </c>
      <c r="G56" s="24"/>
      <c r="H56" s="24"/>
      <c r="I56" s="24"/>
      <c r="K56" s="24"/>
      <c r="L56" s="24"/>
      <c r="M56" s="24"/>
      <c r="N56" s="24"/>
      <c r="O56" s="24"/>
      <c r="Q56" s="4"/>
      <c r="AI56" s="4"/>
    </row>
    <row r="57" spans="1:35" x14ac:dyDescent="0.25">
      <c r="A57" s="4"/>
      <c r="B57" s="34"/>
      <c r="C57" s="34"/>
      <c r="D57" s="35"/>
      <c r="E57" s="35"/>
      <c r="F57" s="35"/>
      <c r="G57" s="35"/>
      <c r="H57" s="35"/>
      <c r="I57" s="35"/>
      <c r="J57" s="4"/>
      <c r="K57" s="35"/>
      <c r="L57" s="35"/>
      <c r="M57" s="35"/>
      <c r="N57" s="35"/>
      <c r="O57" s="35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  <c r="AE57" s="4"/>
      <c r="AF57" s="4"/>
      <c r="AG57" s="4"/>
      <c r="AH57" s="4"/>
      <c r="AI57" s="4"/>
    </row>
    <row r="58" spans="1:35" ht="12" thickBot="1" x14ac:dyDescent="0.3">
      <c r="Q58" s="4"/>
      <c r="AI58" s="4"/>
    </row>
    <row r="59" spans="1:35" x14ac:dyDescent="0.25">
      <c r="B59" s="5"/>
      <c r="C59" s="3" t="s">
        <v>1</v>
      </c>
      <c r="D59" s="6" t="s">
        <v>1</v>
      </c>
      <c r="E59" s="3"/>
      <c r="F59" s="3"/>
      <c r="G59" s="3"/>
      <c r="H59" s="3" t="s">
        <v>1</v>
      </c>
      <c r="I59" s="3"/>
      <c r="J59" s="3"/>
      <c r="K59" s="3"/>
      <c r="L59" s="3"/>
      <c r="M59" s="3"/>
      <c r="N59" s="3"/>
      <c r="O59" s="7"/>
      <c r="P59" s="2"/>
      <c r="Q59" s="4"/>
      <c r="S59" s="5"/>
      <c r="T59" s="3" t="s">
        <v>1</v>
      </c>
      <c r="U59" s="6" t="s">
        <v>1</v>
      </c>
      <c r="V59" s="3"/>
      <c r="W59" s="3"/>
      <c r="X59" s="3" t="s">
        <v>1</v>
      </c>
      <c r="Y59" s="3"/>
      <c r="Z59" s="3"/>
      <c r="AA59" s="3"/>
      <c r="AB59" s="3"/>
      <c r="AC59" s="3"/>
      <c r="AD59" s="3"/>
      <c r="AE59" s="3"/>
      <c r="AF59" s="7"/>
      <c r="AG59" s="2"/>
      <c r="AI59" s="4"/>
    </row>
    <row r="60" spans="1:35" ht="14" x14ac:dyDescent="0.3">
      <c r="B60" s="8"/>
      <c r="F60" s="26" t="s">
        <v>8</v>
      </c>
      <c r="G60" s="26"/>
      <c r="I60" s="26" t="s">
        <v>16</v>
      </c>
      <c r="J60" s="25"/>
      <c r="M60" s="2" t="s">
        <v>15</v>
      </c>
      <c r="N60" s="50">
        <f>N3</f>
        <v>2026072</v>
      </c>
      <c r="O60" s="10"/>
      <c r="P60" s="2"/>
      <c r="Q60" s="4"/>
      <c r="S60" s="8"/>
      <c r="U60" s="26" t="s">
        <v>8</v>
      </c>
      <c r="W60" s="26" t="s">
        <v>16</v>
      </c>
      <c r="X60" s="25"/>
      <c r="Y60" s="2"/>
      <c r="AA60" s="2" t="s">
        <v>15</v>
      </c>
      <c r="AD60" s="84">
        <f>N60</f>
        <v>2026072</v>
      </c>
      <c r="AE60" s="84"/>
      <c r="AF60" s="48"/>
      <c r="AG60" s="2"/>
      <c r="AI60" s="4"/>
    </row>
    <row r="61" spans="1:35" ht="15.5" x14ac:dyDescent="0.35">
      <c r="B61" s="8"/>
      <c r="F61" s="36" t="s">
        <v>29</v>
      </c>
      <c r="G61" s="36"/>
      <c r="O61" s="10"/>
      <c r="P61" s="2"/>
      <c r="Q61" s="4"/>
      <c r="S61" s="8"/>
      <c r="T61" s="26" t="s">
        <v>1</v>
      </c>
      <c r="U61" s="36" t="s">
        <v>29</v>
      </c>
      <c r="Y61" s="2" t="s">
        <v>1</v>
      </c>
      <c r="AA61" s="50" t="s">
        <v>1</v>
      </c>
      <c r="AB61" s="2"/>
      <c r="AC61" s="2"/>
      <c r="AD61" s="2"/>
      <c r="AE61" s="2"/>
      <c r="AF61" s="10" t="s">
        <v>1</v>
      </c>
      <c r="AG61" s="2"/>
      <c r="AI61" s="4"/>
    </row>
    <row r="62" spans="1:35" ht="14" x14ac:dyDescent="0.3">
      <c r="B62" s="8"/>
      <c r="F62" s="2" t="s">
        <v>30</v>
      </c>
      <c r="G62" s="2"/>
      <c r="M62" s="2" t="s">
        <v>1</v>
      </c>
      <c r="O62" s="10"/>
      <c r="P62" s="2"/>
      <c r="Q62" s="4"/>
      <c r="S62" s="8"/>
      <c r="T62" s="49" t="s">
        <v>1</v>
      </c>
      <c r="U62" s="2" t="s">
        <v>30</v>
      </c>
      <c r="AF62" s="44"/>
      <c r="AG62" s="2"/>
      <c r="AI62" s="4"/>
    </row>
    <row r="63" spans="1:35" ht="15.5" x14ac:dyDescent="0.35">
      <c r="B63" s="8"/>
      <c r="C63" s="599" t="s">
        <v>17</v>
      </c>
      <c r="D63" s="9">
        <f>D6</f>
        <v>46238</v>
      </c>
      <c r="F63" s="41" t="s">
        <v>33</v>
      </c>
      <c r="G63" s="41"/>
      <c r="H63" s="2"/>
      <c r="J63" s="2"/>
      <c r="O63" s="10"/>
      <c r="P63" s="2"/>
      <c r="Q63" s="4"/>
      <c r="S63" s="8"/>
      <c r="T63" s="41" t="s">
        <v>1</v>
      </c>
      <c r="U63" s="41" t="s">
        <v>33</v>
      </c>
      <c r="V63" s="2"/>
      <c r="X63" s="2"/>
      <c r="Y63" s="2"/>
      <c r="AF63" s="48"/>
      <c r="AG63" s="2"/>
      <c r="AI63" s="4"/>
    </row>
    <row r="64" spans="1:35" ht="12" thickBot="1" x14ac:dyDescent="0.3">
      <c r="B64" s="8"/>
      <c r="C64" s="599" t="s">
        <v>0</v>
      </c>
      <c r="D64" s="241">
        <f>D7</f>
        <v>0.58333333333333337</v>
      </c>
      <c r="F64" s="2" t="s">
        <v>27</v>
      </c>
      <c r="G64" s="9">
        <f>G7</f>
        <v>46219</v>
      </c>
      <c r="J64" s="2" t="s">
        <v>28</v>
      </c>
      <c r="K64" s="9">
        <f>K7</f>
        <v>46234</v>
      </c>
      <c r="O64" s="10"/>
      <c r="P64" s="2"/>
      <c r="Q64" s="4"/>
      <c r="S64" s="8"/>
      <c r="U64" s="1" t="str">
        <f>F64</f>
        <v>Fecha Desde:</v>
      </c>
      <c r="V64" s="9">
        <f>G64</f>
        <v>46219</v>
      </c>
      <c r="W64" s="1" t="s">
        <v>1</v>
      </c>
      <c r="X64" s="1" t="str">
        <f>J64</f>
        <v>Feha Hasta:</v>
      </c>
      <c r="Y64" s="9">
        <f>K64</f>
        <v>46234</v>
      </c>
      <c r="Z64" s="1" t="s">
        <v>1</v>
      </c>
      <c r="AF64" s="48"/>
      <c r="AG64" s="2"/>
      <c r="AI64" s="4"/>
    </row>
    <row r="65" spans="1:35" ht="72" customHeight="1" thickBot="1" x14ac:dyDescent="0.3">
      <c r="B65" s="11" t="s">
        <v>3</v>
      </c>
      <c r="C65" s="27" t="s">
        <v>9</v>
      </c>
      <c r="D65" s="11" t="s">
        <v>4</v>
      </c>
      <c r="E65" s="12" t="s">
        <v>5</v>
      </c>
      <c r="F65" s="27" t="s">
        <v>6</v>
      </c>
      <c r="G65" s="27" t="s">
        <v>159</v>
      </c>
      <c r="H65" s="27" t="s">
        <v>18</v>
      </c>
      <c r="I65" s="12" t="s">
        <v>24</v>
      </c>
      <c r="J65" s="73" t="s">
        <v>19</v>
      </c>
      <c r="K65" s="29" t="s">
        <v>20</v>
      </c>
      <c r="L65" s="28" t="s">
        <v>21</v>
      </c>
      <c r="M65" s="39" t="s">
        <v>22</v>
      </c>
      <c r="N65" s="12" t="s">
        <v>7</v>
      </c>
      <c r="O65" s="39" t="s">
        <v>23</v>
      </c>
      <c r="P65" s="13"/>
      <c r="Q65" s="4"/>
      <c r="S65" s="11" t="s">
        <v>3</v>
      </c>
      <c r="T65" s="27" t="s">
        <v>9</v>
      </c>
      <c r="U65" s="162" t="s">
        <v>39</v>
      </c>
      <c r="V65" s="163" t="s">
        <v>40</v>
      </c>
      <c r="W65" s="163" t="s">
        <v>41</v>
      </c>
      <c r="X65" s="163" t="s">
        <v>42</v>
      </c>
      <c r="Y65" s="164" t="s">
        <v>43</v>
      </c>
      <c r="Z65" s="85" t="s">
        <v>21</v>
      </c>
      <c r="AA65" s="65" t="s">
        <v>46</v>
      </c>
      <c r="AB65" s="65" t="s">
        <v>7</v>
      </c>
      <c r="AC65" s="85" t="s">
        <v>168</v>
      </c>
      <c r="AD65" s="121" t="s">
        <v>107</v>
      </c>
      <c r="AE65" s="121" t="s">
        <v>106</v>
      </c>
      <c r="AF65" s="39" t="s">
        <v>23</v>
      </c>
      <c r="AG65" s="13"/>
      <c r="AI65" s="4"/>
    </row>
    <row r="66" spans="1:35" s="305" customFormat="1" x14ac:dyDescent="0.25">
      <c r="B66" s="303">
        <v>1</v>
      </c>
      <c r="C66" s="304" t="s">
        <v>10</v>
      </c>
      <c r="D66" s="291">
        <f>'Reversion Pagos R4'!D88</f>
        <v>0</v>
      </c>
      <c r="E66" s="292">
        <f>'Reversion Pagos R4'!E88</f>
        <v>0</v>
      </c>
      <c r="F66" s="292">
        <f>'Reversion Pagos R4'!F88</f>
        <v>0</v>
      </c>
      <c r="G66" s="292">
        <f>'Reversion Pagos R4'!G88</f>
        <v>0</v>
      </c>
      <c r="H66" s="292">
        <f>'Reversion Pagos R4'!H88</f>
        <v>0</v>
      </c>
      <c r="I66" s="292">
        <f>'Reversion Pagos R4'!I88</f>
        <v>0</v>
      </c>
      <c r="J66" s="288">
        <v>0</v>
      </c>
      <c r="K66" s="293">
        <f>D66-E66-F66-G66-H66-I66-J66</f>
        <v>0</v>
      </c>
      <c r="L66" s="294">
        <v>0</v>
      </c>
      <c r="M66" s="293">
        <f>K66-L66</f>
        <v>0</v>
      </c>
      <c r="N66" s="294">
        <f>'Reversion Pagos R4'!P88</f>
        <v>0</v>
      </c>
      <c r="O66" s="293">
        <f>M66+N66</f>
        <v>0</v>
      </c>
      <c r="Q66" s="306"/>
      <c r="S66" s="303">
        <v>1</v>
      </c>
      <c r="T66" s="304" t="s">
        <v>10</v>
      </c>
      <c r="U66" s="307">
        <f>'Reversion Pagos R4'!J88</f>
        <v>0</v>
      </c>
      <c r="V66" s="308">
        <f>'Reversion Pagos R4'!K88</f>
        <v>0</v>
      </c>
      <c r="W66" s="308">
        <f>'Reversion Pagos R4'!L88</f>
        <v>0</v>
      </c>
      <c r="X66" s="308">
        <f>'Reversion Pagos R4'!M88</f>
        <v>0</v>
      </c>
      <c r="Y66" s="308">
        <f>'Reversion Pagos R4'!N88</f>
        <v>0</v>
      </c>
      <c r="Z66" s="310">
        <f>-L66</f>
        <v>0</v>
      </c>
      <c r="AA66" s="311">
        <f>'Reversion Pagos R4'!O88+'Reversion Pagos R4'!Q88</f>
        <v>0</v>
      </c>
      <c r="AB66" s="294">
        <f>N66</f>
        <v>0</v>
      </c>
      <c r="AC66" s="311">
        <v>0</v>
      </c>
      <c r="AD66" s="291">
        <f>-J66+AE66</f>
        <v>0</v>
      </c>
      <c r="AE66" s="291">
        <f>'Reversion Pagos R4'!D89</f>
        <v>0</v>
      </c>
      <c r="AF66" s="313">
        <f>SUM(U66:AD66)</f>
        <v>0</v>
      </c>
      <c r="AG66" s="311">
        <f>(AF66-O66)</f>
        <v>0</v>
      </c>
      <c r="AH66" s="305" t="b">
        <f>INT(AG66)=0</f>
        <v>1</v>
      </c>
      <c r="AI66" s="306"/>
    </row>
    <row r="67" spans="1:35" s="305" customFormat="1" x14ac:dyDescent="0.25">
      <c r="B67" s="314">
        <v>2</v>
      </c>
      <c r="C67" s="315" t="s">
        <v>11</v>
      </c>
      <c r="D67" s="291">
        <f>'Reversion Pagos R4'!D183</f>
        <v>0</v>
      </c>
      <c r="E67" s="292">
        <f>'Reversion Pagos R4'!E183</f>
        <v>0</v>
      </c>
      <c r="F67" s="292">
        <f>'Reversion Pagos R4'!F183</f>
        <v>0</v>
      </c>
      <c r="G67" s="292">
        <f>'Reversion Pagos R4'!G183</f>
        <v>0</v>
      </c>
      <c r="H67" s="292">
        <f>'Reversion Pagos R4'!H183</f>
        <v>0</v>
      </c>
      <c r="I67" s="292">
        <f>'Reversion Pagos R4'!I183</f>
        <v>0</v>
      </c>
      <c r="J67" s="288">
        <v>0</v>
      </c>
      <c r="K67" s="295">
        <f t="shared" ref="K67:K70" si="24">D67-E67-F67-G67-H67-I67-J67</f>
        <v>0</v>
      </c>
      <c r="L67" s="294">
        <v>0</v>
      </c>
      <c r="M67" s="295">
        <f>K67-L67</f>
        <v>0</v>
      </c>
      <c r="N67" s="294">
        <f>'Reversion Pagos R4'!P183</f>
        <v>0</v>
      </c>
      <c r="O67" s="295">
        <f t="shared" ref="O67:O70" si="25">M67+N67</f>
        <v>0</v>
      </c>
      <c r="Q67" s="306"/>
      <c r="S67" s="314">
        <v>2</v>
      </c>
      <c r="T67" s="315" t="s">
        <v>11</v>
      </c>
      <c r="U67" s="316">
        <f>'Reversion Pagos R4'!J183</f>
        <v>0</v>
      </c>
      <c r="V67" s="317">
        <f>'Reversion Pagos R4'!K183</f>
        <v>0</v>
      </c>
      <c r="W67" s="317">
        <f>'Reversion Pagos R4'!L183</f>
        <v>0</v>
      </c>
      <c r="X67" s="317">
        <f>'Reversion Pagos R4'!M183</f>
        <v>0</v>
      </c>
      <c r="Y67" s="318">
        <f>'Reversion Pagos R4'!N183</f>
        <v>0</v>
      </c>
      <c r="Z67" s="319">
        <f t="shared" ref="Z67:Z70" si="26">-L67</f>
        <v>0</v>
      </c>
      <c r="AA67" s="320">
        <f>'Reversion Pagos R4'!O183</f>
        <v>0</v>
      </c>
      <c r="AB67" s="294">
        <f t="shared" ref="AB67:AB70" si="27">N67</f>
        <v>0</v>
      </c>
      <c r="AC67" s="320">
        <v>0</v>
      </c>
      <c r="AD67" s="291">
        <f t="shared" ref="AD67:AD70" si="28">-J67+AE67</f>
        <v>0</v>
      </c>
      <c r="AE67" s="291">
        <f>'Reversion Pagos R4'!D184</f>
        <v>0</v>
      </c>
      <c r="AF67" s="322">
        <f>SUM(U67:AD67)</f>
        <v>0</v>
      </c>
      <c r="AG67" s="323">
        <f>(AF67-O67)</f>
        <v>0</v>
      </c>
      <c r="AH67" s="305" t="b">
        <f t="shared" ref="AH67:AH70" si="29">INT(AG67)=0</f>
        <v>1</v>
      </c>
      <c r="AI67" s="306"/>
    </row>
    <row r="68" spans="1:35" s="305" customFormat="1" x14ac:dyDescent="0.25">
      <c r="B68" s="314">
        <v>3</v>
      </c>
      <c r="C68" s="315" t="s">
        <v>12</v>
      </c>
      <c r="D68" s="291">
        <f>'Reversion Pagos R4'!D220</f>
        <v>0</v>
      </c>
      <c r="E68" s="292">
        <f>'Reversion Pagos R4'!E220</f>
        <v>0</v>
      </c>
      <c r="F68" s="292">
        <f>'Reversion Pagos R4'!F220</f>
        <v>0</v>
      </c>
      <c r="G68" s="292">
        <f>'Reversion Pagos R4'!G220</f>
        <v>0</v>
      </c>
      <c r="H68" s="292">
        <f>'Reversion Pagos R4'!H220</f>
        <v>0</v>
      </c>
      <c r="I68" s="292">
        <f>'Reversion Pagos R4'!I220</f>
        <v>0</v>
      </c>
      <c r="J68" s="288">
        <v>0</v>
      </c>
      <c r="K68" s="295">
        <f t="shared" si="24"/>
        <v>0</v>
      </c>
      <c r="L68" s="294">
        <v>0</v>
      </c>
      <c r="M68" s="295">
        <f>K68-L68</f>
        <v>0</v>
      </c>
      <c r="N68" s="294">
        <f>'Reversion Pagos R4'!P220</f>
        <v>0</v>
      </c>
      <c r="O68" s="295">
        <f t="shared" si="25"/>
        <v>0</v>
      </c>
      <c r="Q68" s="306"/>
      <c r="S68" s="314">
        <v>3</v>
      </c>
      <c r="T68" s="315" t="s">
        <v>12</v>
      </c>
      <c r="U68" s="316">
        <f>'Reversion Pagos R4'!J220</f>
        <v>0</v>
      </c>
      <c r="V68" s="317">
        <f>'Reversion Pagos R4'!K220</f>
        <v>0</v>
      </c>
      <c r="W68" s="317">
        <f>'Reversion Pagos R4'!L220</f>
        <v>0</v>
      </c>
      <c r="X68" s="317">
        <f>'Reversion Pagos R4'!M220</f>
        <v>0</v>
      </c>
      <c r="Y68" s="318">
        <f>'Reversion Pagos R4'!N220</f>
        <v>0</v>
      </c>
      <c r="Z68" s="319">
        <f t="shared" si="26"/>
        <v>0</v>
      </c>
      <c r="AA68" s="320">
        <f>'Reversion Pagos R4'!O220</f>
        <v>0</v>
      </c>
      <c r="AB68" s="294">
        <f t="shared" si="27"/>
        <v>0</v>
      </c>
      <c r="AC68" s="320">
        <v>0</v>
      </c>
      <c r="AD68" s="291">
        <f t="shared" si="28"/>
        <v>0</v>
      </c>
      <c r="AE68" s="291">
        <f>'Reversion Pagos R4'!D221</f>
        <v>0</v>
      </c>
      <c r="AF68" s="322">
        <f t="shared" ref="AF68:AF70" si="30">SUM(U68:AD68)</f>
        <v>0</v>
      </c>
      <c r="AG68" s="323">
        <f t="shared" ref="AG68:AG70" si="31">(AF68-O68)</f>
        <v>0</v>
      </c>
      <c r="AH68" s="305" t="b">
        <f t="shared" si="29"/>
        <v>1</v>
      </c>
      <c r="AI68" s="306"/>
    </row>
    <row r="69" spans="1:35" s="305" customFormat="1" x14ac:dyDescent="0.25">
      <c r="B69" s="314">
        <v>4</v>
      </c>
      <c r="C69" s="315" t="s">
        <v>13</v>
      </c>
      <c r="D69" s="291">
        <f>'Reversion Pagos R4'!D335</f>
        <v>0</v>
      </c>
      <c r="E69" s="292">
        <f>'Reversion Pagos R4'!E335</f>
        <v>0</v>
      </c>
      <c r="F69" s="292">
        <f>'Reversion Pagos R4'!F335</f>
        <v>0</v>
      </c>
      <c r="G69" s="292">
        <f>'Reversion Pagos R4'!G335</f>
        <v>0</v>
      </c>
      <c r="H69" s="292">
        <f>'Reversion Pagos R4'!H335</f>
        <v>0</v>
      </c>
      <c r="I69" s="292">
        <f>'Reversion Pagos R4'!I335</f>
        <v>0</v>
      </c>
      <c r="J69" s="288">
        <v>0</v>
      </c>
      <c r="K69" s="295">
        <f t="shared" si="24"/>
        <v>0</v>
      </c>
      <c r="L69" s="294">
        <v>0</v>
      </c>
      <c r="M69" s="295">
        <f>K69-L69</f>
        <v>0</v>
      </c>
      <c r="N69" s="294">
        <f>'Reversion Pagos R4'!P335</f>
        <v>0</v>
      </c>
      <c r="O69" s="295">
        <f t="shared" si="25"/>
        <v>0</v>
      </c>
      <c r="Q69" s="306"/>
      <c r="S69" s="314">
        <v>4</v>
      </c>
      <c r="T69" s="315" t="s">
        <v>13</v>
      </c>
      <c r="U69" s="316">
        <f>'Reversion Pagos R4'!J335</f>
        <v>0</v>
      </c>
      <c r="V69" s="317">
        <f>'Reversion Pagos R4'!K335</f>
        <v>0</v>
      </c>
      <c r="W69" s="317">
        <f>'Reversion Pagos R4'!L335</f>
        <v>0</v>
      </c>
      <c r="X69" s="317">
        <f>'Reversion Pagos R4'!M335</f>
        <v>0</v>
      </c>
      <c r="Y69" s="318">
        <f>'Reversion Pagos R4'!N335</f>
        <v>0</v>
      </c>
      <c r="Z69" s="319">
        <f t="shared" si="26"/>
        <v>0</v>
      </c>
      <c r="AA69" s="320">
        <f>'Reversion Pagos R4'!O335</f>
        <v>0</v>
      </c>
      <c r="AB69" s="294">
        <f t="shared" si="27"/>
        <v>0</v>
      </c>
      <c r="AC69" s="320">
        <v>0</v>
      </c>
      <c r="AD69" s="291">
        <f t="shared" si="28"/>
        <v>0</v>
      </c>
      <c r="AE69" s="291">
        <f>'Reversion Pagos R4'!D336</f>
        <v>0</v>
      </c>
      <c r="AF69" s="322">
        <f>SUM(U69:AD69)</f>
        <v>0</v>
      </c>
      <c r="AG69" s="323">
        <f>(AF69-O69)</f>
        <v>0</v>
      </c>
      <c r="AH69" s="305" t="b">
        <f t="shared" si="29"/>
        <v>1</v>
      </c>
      <c r="AI69" s="306"/>
    </row>
    <row r="70" spans="1:35" s="305" customFormat="1" ht="12" thickBot="1" x14ac:dyDescent="0.3">
      <c r="B70" s="324">
        <v>5</v>
      </c>
      <c r="C70" s="325" t="s">
        <v>14</v>
      </c>
      <c r="D70" s="296">
        <f>'Reversion Pagos R4'!D370</f>
        <v>0</v>
      </c>
      <c r="E70" s="297">
        <f>'Reversion Pagos R4'!E370</f>
        <v>0</v>
      </c>
      <c r="F70" s="297">
        <f>'Reversion Pagos R4'!F370</f>
        <v>0</v>
      </c>
      <c r="G70" s="297">
        <f>'Reversion Pagos R4'!G370</f>
        <v>0</v>
      </c>
      <c r="H70" s="297">
        <f>'Reversion Pagos R4'!H370</f>
        <v>0</v>
      </c>
      <c r="I70" s="297">
        <f>'Reversion Pagos R4'!I370</f>
        <v>0</v>
      </c>
      <c r="J70" s="289">
        <v>0</v>
      </c>
      <c r="K70" s="295">
        <f t="shared" si="24"/>
        <v>0</v>
      </c>
      <c r="L70" s="294">
        <v>0</v>
      </c>
      <c r="M70" s="298">
        <f>K70-L70</f>
        <v>0</v>
      </c>
      <c r="N70" s="294">
        <f>'Reversion Pagos R4'!P370</f>
        <v>0</v>
      </c>
      <c r="O70" s="298">
        <f t="shared" si="25"/>
        <v>0</v>
      </c>
      <c r="Q70" s="306"/>
      <c r="S70" s="324">
        <v>5</v>
      </c>
      <c r="T70" s="325" t="s">
        <v>14</v>
      </c>
      <c r="U70" s="296">
        <f>'Reversion Pagos R4'!J370</f>
        <v>0</v>
      </c>
      <c r="V70" s="297">
        <f>'Reversion Pagos R4'!K370</f>
        <v>0</v>
      </c>
      <c r="W70" s="297">
        <f>'Reversion Pagos R4'!L370</f>
        <v>0</v>
      </c>
      <c r="X70" s="297">
        <f>'Reversion Pagos R4'!M370</f>
        <v>0</v>
      </c>
      <c r="Y70" s="289">
        <f>'Reversion Pagos R4'!N370</f>
        <v>0</v>
      </c>
      <c r="Z70" s="319">
        <f t="shared" si="26"/>
        <v>0</v>
      </c>
      <c r="AA70" s="320">
        <f>'Reversion Pagos R4'!O370</f>
        <v>0</v>
      </c>
      <c r="AB70" s="294">
        <f t="shared" si="27"/>
        <v>0</v>
      </c>
      <c r="AC70" s="320">
        <v>0</v>
      </c>
      <c r="AD70" s="291">
        <f t="shared" si="28"/>
        <v>0</v>
      </c>
      <c r="AE70" s="291">
        <f>'Reversion Pagos R4'!D371</f>
        <v>0</v>
      </c>
      <c r="AF70" s="322">
        <f t="shared" si="30"/>
        <v>0</v>
      </c>
      <c r="AG70" s="326">
        <f t="shared" si="31"/>
        <v>0</v>
      </c>
      <c r="AH70" s="305" t="b">
        <f t="shared" si="29"/>
        <v>1</v>
      </c>
      <c r="AI70" s="306"/>
    </row>
    <row r="71" spans="1:35" s="305" customFormat="1" ht="13.5" thickBot="1" x14ac:dyDescent="0.35">
      <c r="B71" s="327"/>
      <c r="C71" s="328" t="s">
        <v>2</v>
      </c>
      <c r="D71" s="290">
        <f t="shared" ref="D71:O71" si="32">SUM(D66:D70)</f>
        <v>0</v>
      </c>
      <c r="E71" s="290">
        <f t="shared" si="32"/>
        <v>0</v>
      </c>
      <c r="F71" s="290">
        <f t="shared" si="32"/>
        <v>0</v>
      </c>
      <c r="G71" s="290">
        <f t="shared" si="32"/>
        <v>0</v>
      </c>
      <c r="H71" s="290">
        <f t="shared" si="32"/>
        <v>0</v>
      </c>
      <c r="I71" s="290">
        <f t="shared" si="32"/>
        <v>0</v>
      </c>
      <c r="J71" s="290">
        <f t="shared" si="32"/>
        <v>0</v>
      </c>
      <c r="K71" s="300">
        <f t="shared" si="32"/>
        <v>0</v>
      </c>
      <c r="L71" s="301">
        <f t="shared" si="32"/>
        <v>0</v>
      </c>
      <c r="M71" s="302">
        <f t="shared" si="32"/>
        <v>0</v>
      </c>
      <c r="N71" s="301">
        <f t="shared" si="32"/>
        <v>0</v>
      </c>
      <c r="O71" s="302">
        <f t="shared" si="32"/>
        <v>0</v>
      </c>
      <c r="P71" s="329"/>
      <c r="Q71" s="306"/>
      <c r="S71" s="327"/>
      <c r="T71" s="328" t="s">
        <v>2</v>
      </c>
      <c r="U71" s="330">
        <f>SUM(U66:U70)</f>
        <v>0</v>
      </c>
      <c r="V71" s="330">
        <f t="shared" ref="V71:AG71" si="33">SUM(V66:V70)</f>
        <v>0</v>
      </c>
      <c r="W71" s="330">
        <f t="shared" si="33"/>
        <v>0</v>
      </c>
      <c r="X71" s="330">
        <f t="shared" si="33"/>
        <v>0</v>
      </c>
      <c r="Y71" s="330">
        <f t="shared" si="33"/>
        <v>0</v>
      </c>
      <c r="Z71" s="290">
        <f t="shared" si="33"/>
        <v>0</v>
      </c>
      <c r="AA71" s="290">
        <f>SUM(AA66:AA70)</f>
        <v>0</v>
      </c>
      <c r="AB71" s="290">
        <f t="shared" si="33"/>
        <v>0</v>
      </c>
      <c r="AC71" s="290">
        <f t="shared" si="33"/>
        <v>0</v>
      </c>
      <c r="AD71" s="290">
        <f>SUM(AD66:AD70)</f>
        <v>0</v>
      </c>
      <c r="AE71" s="290">
        <f>SUM(AE66:AE70)</f>
        <v>0</v>
      </c>
      <c r="AF71" s="331">
        <f t="shared" si="33"/>
        <v>0</v>
      </c>
      <c r="AG71" s="332">
        <f t="shared" si="33"/>
        <v>0</v>
      </c>
      <c r="AH71" s="305" t="b">
        <f>INT(AG71)=0</f>
        <v>1</v>
      </c>
      <c r="AI71" s="306"/>
    </row>
    <row r="72" spans="1:35" ht="12" thickBot="1" x14ac:dyDescent="0.3">
      <c r="B72" s="2"/>
      <c r="C72" s="2"/>
      <c r="D72" s="24"/>
      <c r="E72" s="24"/>
      <c r="F72" s="24"/>
      <c r="G72" s="24"/>
      <c r="H72" s="24"/>
      <c r="I72" s="24"/>
      <c r="K72" s="24"/>
      <c r="L72" s="24"/>
      <c r="M72" s="24"/>
      <c r="N72" s="24"/>
      <c r="O72" s="24"/>
      <c r="Q72" s="4"/>
      <c r="S72" s="2"/>
      <c r="T72" s="2"/>
      <c r="U72" s="24"/>
      <c r="V72" s="24"/>
      <c r="W72" s="24"/>
      <c r="X72" s="24"/>
      <c r="Y72" s="24"/>
      <c r="AF72" s="24"/>
      <c r="AI72" s="4"/>
    </row>
    <row r="73" spans="1:35" ht="12" thickBot="1" x14ac:dyDescent="0.3">
      <c r="B73" s="2"/>
      <c r="C73" s="2"/>
      <c r="D73" s="24" t="s">
        <v>1</v>
      </c>
      <c r="E73" s="24"/>
      <c r="F73" s="24"/>
      <c r="G73" s="24"/>
      <c r="H73" s="24"/>
      <c r="I73" s="24"/>
      <c r="K73" s="24"/>
      <c r="L73" s="24"/>
      <c r="M73" s="24"/>
      <c r="N73" s="24"/>
      <c r="O73" s="24"/>
      <c r="Q73" s="4"/>
      <c r="Y73" s="86">
        <f>SUM(U71:Y71)</f>
        <v>0</v>
      </c>
      <c r="AA73" s="1" t="s">
        <v>1</v>
      </c>
      <c r="AB73" s="1" t="s">
        <v>1</v>
      </c>
      <c r="AD73" s="1" t="s">
        <v>1</v>
      </c>
      <c r="AF73" s="1" t="s">
        <v>1</v>
      </c>
      <c r="AI73" s="4"/>
    </row>
    <row r="74" spans="1:35" ht="12" thickBot="1" x14ac:dyDescent="0.3">
      <c r="B74" s="2"/>
      <c r="C74" s="2"/>
      <c r="D74" s="24" t="s">
        <v>1</v>
      </c>
      <c r="E74" s="33"/>
      <c r="F74" s="33"/>
      <c r="G74" s="33"/>
      <c r="H74" s="33"/>
      <c r="I74" s="24"/>
      <c r="K74" s="24"/>
      <c r="L74" s="24"/>
      <c r="M74" s="24"/>
      <c r="N74" s="24"/>
      <c r="O74" s="24"/>
      <c r="Q74" s="4"/>
      <c r="AI74" s="4"/>
    </row>
    <row r="75" spans="1:35" x14ac:dyDescent="0.25">
      <c r="B75" s="2"/>
      <c r="C75" s="2"/>
      <c r="D75" s="24" t="s">
        <v>1</v>
      </c>
      <c r="E75" s="24" t="s">
        <v>1</v>
      </c>
      <c r="F75" s="24" t="s">
        <v>25</v>
      </c>
      <c r="G75" s="24"/>
      <c r="H75" s="24"/>
      <c r="I75" s="24"/>
      <c r="K75" s="24"/>
      <c r="L75" s="24"/>
      <c r="M75" s="24"/>
      <c r="N75" s="24"/>
      <c r="O75" s="24"/>
      <c r="Q75" s="4"/>
      <c r="AI75" s="4"/>
    </row>
    <row r="76" spans="1:35" x14ac:dyDescent="0.25">
      <c r="A76" s="4"/>
      <c r="B76" s="34"/>
      <c r="C76" s="34"/>
      <c r="D76" s="35"/>
      <c r="E76" s="35"/>
      <c r="F76" s="35"/>
      <c r="G76" s="35"/>
      <c r="H76" s="35"/>
      <c r="I76" s="35"/>
      <c r="J76" s="4"/>
      <c r="K76" s="35"/>
      <c r="L76" s="35"/>
      <c r="M76" s="35"/>
      <c r="N76" s="35"/>
      <c r="O76" s="35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  <c r="AE76" s="4"/>
      <c r="AF76" s="4"/>
      <c r="AG76" s="4"/>
      <c r="AH76" s="4"/>
      <c r="AI76" s="4"/>
    </row>
    <row r="77" spans="1:35" ht="12" thickBot="1" x14ac:dyDescent="0.3">
      <c r="Q77" s="4"/>
      <c r="AI77" s="4"/>
    </row>
    <row r="78" spans="1:35" x14ac:dyDescent="0.25">
      <c r="B78" s="5"/>
      <c r="C78" s="3" t="s">
        <v>1</v>
      </c>
      <c r="D78" s="6" t="s">
        <v>1</v>
      </c>
      <c r="E78" s="3"/>
      <c r="F78" s="3"/>
      <c r="G78" s="3"/>
      <c r="H78" s="3" t="s">
        <v>1</v>
      </c>
      <c r="I78" s="3"/>
      <c r="J78" s="3"/>
      <c r="K78" s="3"/>
      <c r="L78" s="3"/>
      <c r="M78" s="3"/>
      <c r="N78" s="3"/>
      <c r="O78" s="7"/>
      <c r="P78" s="2"/>
      <c r="Q78" s="4"/>
      <c r="S78" s="5"/>
      <c r="T78" s="3" t="s">
        <v>1</v>
      </c>
      <c r="U78" s="6" t="s">
        <v>1</v>
      </c>
      <c r="V78" s="3"/>
      <c r="W78" s="3"/>
      <c r="X78" s="3" t="s">
        <v>1</v>
      </c>
      <c r="Y78" s="3"/>
      <c r="Z78" s="3"/>
      <c r="AA78" s="3"/>
      <c r="AB78" s="3"/>
      <c r="AC78" s="3"/>
      <c r="AD78" s="3"/>
      <c r="AE78" s="3"/>
      <c r="AF78" s="7"/>
      <c r="AG78" s="2"/>
      <c r="AI78" s="4"/>
    </row>
    <row r="79" spans="1:35" ht="14" x14ac:dyDescent="0.3">
      <c r="B79" s="8"/>
      <c r="F79" s="26" t="s">
        <v>8</v>
      </c>
      <c r="G79" s="26"/>
      <c r="I79" s="26" t="s">
        <v>16</v>
      </c>
      <c r="J79" s="25"/>
      <c r="M79" s="2" t="s">
        <v>15</v>
      </c>
      <c r="N79" s="50">
        <f>N3</f>
        <v>2026072</v>
      </c>
      <c r="O79" s="10"/>
      <c r="P79" s="2"/>
      <c r="Q79" s="4"/>
      <c r="S79" s="8"/>
      <c r="U79" s="26" t="s">
        <v>8</v>
      </c>
      <c r="W79" s="26" t="s">
        <v>16</v>
      </c>
      <c r="X79" s="25"/>
      <c r="Y79" s="2"/>
      <c r="AA79" s="2" t="s">
        <v>15</v>
      </c>
      <c r="AD79" s="84">
        <f>N79</f>
        <v>2026072</v>
      </c>
      <c r="AE79" s="84"/>
      <c r="AF79" s="48"/>
      <c r="AG79" s="2"/>
      <c r="AI79" s="4"/>
    </row>
    <row r="80" spans="1:35" ht="15.5" x14ac:dyDescent="0.35">
      <c r="B80" s="8"/>
      <c r="F80" s="36" t="s">
        <v>29</v>
      </c>
      <c r="G80" s="36"/>
      <c r="O80" s="10"/>
      <c r="P80" s="2"/>
      <c r="Q80" s="4"/>
      <c r="S80" s="8"/>
      <c r="T80" s="26" t="s">
        <v>1</v>
      </c>
      <c r="U80" s="36" t="s">
        <v>29</v>
      </c>
      <c r="Y80" s="2" t="s">
        <v>1</v>
      </c>
      <c r="AA80" s="50" t="s">
        <v>1</v>
      </c>
      <c r="AB80" s="2"/>
      <c r="AC80" s="2"/>
      <c r="AD80" s="2"/>
      <c r="AE80" s="2"/>
      <c r="AF80" s="10" t="s">
        <v>1</v>
      </c>
      <c r="AG80" s="2"/>
      <c r="AI80" s="4"/>
    </row>
    <row r="81" spans="1:35" ht="14" x14ac:dyDescent="0.3">
      <c r="B81" s="8"/>
      <c r="F81" s="2" t="s">
        <v>30</v>
      </c>
      <c r="G81" s="2"/>
      <c r="M81" s="2" t="s">
        <v>1</v>
      </c>
      <c r="O81" s="10"/>
      <c r="P81" s="2"/>
      <c r="Q81" s="4"/>
      <c r="S81" s="8"/>
      <c r="T81" s="49" t="s">
        <v>1</v>
      </c>
      <c r="U81" s="2" t="s">
        <v>30</v>
      </c>
      <c r="AF81" s="44"/>
      <c r="AG81" s="2"/>
      <c r="AI81" s="4"/>
    </row>
    <row r="82" spans="1:35" ht="15.5" x14ac:dyDescent="0.35">
      <c r="B82" s="8"/>
      <c r="C82" s="599" t="s">
        <v>17</v>
      </c>
      <c r="D82" s="9">
        <f>D6</f>
        <v>46238</v>
      </c>
      <c r="F82" s="41" t="s">
        <v>126</v>
      </c>
      <c r="G82" s="41"/>
      <c r="H82" s="2"/>
      <c r="J82" s="2"/>
      <c r="O82" s="10"/>
      <c r="P82" s="2"/>
      <c r="Q82" s="4"/>
      <c r="S82" s="8"/>
      <c r="T82" s="41" t="s">
        <v>1</v>
      </c>
      <c r="U82" s="41" t="s">
        <v>34</v>
      </c>
      <c r="V82" s="2"/>
      <c r="X82" s="2"/>
      <c r="Y82" s="2"/>
      <c r="AF82" s="48"/>
      <c r="AG82" s="2"/>
      <c r="AI82" s="4"/>
    </row>
    <row r="83" spans="1:35" ht="12" thickBot="1" x14ac:dyDescent="0.3">
      <c r="B83" s="8"/>
      <c r="C83" s="599" t="s">
        <v>0</v>
      </c>
      <c r="D83" s="241">
        <f>D7</f>
        <v>0.58333333333333337</v>
      </c>
      <c r="F83" s="2" t="s">
        <v>27</v>
      </c>
      <c r="G83" s="9">
        <f>G7</f>
        <v>46219</v>
      </c>
      <c r="J83" s="2" t="s">
        <v>28</v>
      </c>
      <c r="K83" s="9">
        <f>K7</f>
        <v>46234</v>
      </c>
      <c r="O83" s="10"/>
      <c r="P83" s="2"/>
      <c r="Q83" s="4"/>
      <c r="S83" s="8"/>
      <c r="U83" s="1" t="str">
        <f>F83</f>
        <v>Fecha Desde:</v>
      </c>
      <c r="V83" s="9">
        <f>G83</f>
        <v>46219</v>
      </c>
      <c r="W83" s="1" t="s">
        <v>1</v>
      </c>
      <c r="X83" s="1" t="str">
        <f>J83</f>
        <v>Feha Hasta:</v>
      </c>
      <c r="Y83" s="9">
        <f>K83</f>
        <v>46234</v>
      </c>
      <c r="Z83" s="1" t="s">
        <v>1</v>
      </c>
      <c r="AF83" s="48"/>
      <c r="AG83" s="2"/>
      <c r="AI83" s="4"/>
    </row>
    <row r="84" spans="1:35" ht="72" customHeight="1" thickBot="1" x14ac:dyDescent="0.3">
      <c r="B84" s="11" t="s">
        <v>3</v>
      </c>
      <c r="C84" s="27" t="s">
        <v>9</v>
      </c>
      <c r="D84" s="11" t="s">
        <v>4</v>
      </c>
      <c r="E84" s="12" t="s">
        <v>5</v>
      </c>
      <c r="F84" s="27" t="s">
        <v>6</v>
      </c>
      <c r="G84" s="27" t="s">
        <v>159</v>
      </c>
      <c r="H84" s="27" t="s">
        <v>18</v>
      </c>
      <c r="I84" s="12" t="s">
        <v>24</v>
      </c>
      <c r="J84" s="73" t="s">
        <v>19</v>
      </c>
      <c r="K84" s="29" t="s">
        <v>20</v>
      </c>
      <c r="L84" s="28" t="s">
        <v>21</v>
      </c>
      <c r="M84" s="39" t="s">
        <v>22</v>
      </c>
      <c r="N84" s="12" t="s">
        <v>7</v>
      </c>
      <c r="O84" s="39" t="s">
        <v>23</v>
      </c>
      <c r="P84" s="13"/>
      <c r="Q84" s="4"/>
      <c r="S84" s="11" t="s">
        <v>3</v>
      </c>
      <c r="T84" s="27" t="s">
        <v>9</v>
      </c>
      <c r="U84" s="162" t="s">
        <v>39</v>
      </c>
      <c r="V84" s="163" t="s">
        <v>40</v>
      </c>
      <c r="W84" s="163" t="s">
        <v>41</v>
      </c>
      <c r="X84" s="163" t="s">
        <v>42</v>
      </c>
      <c r="Y84" s="164" t="s">
        <v>43</v>
      </c>
      <c r="Z84" s="85" t="s">
        <v>21</v>
      </c>
      <c r="AA84" s="65" t="s">
        <v>46</v>
      </c>
      <c r="AB84" s="65" t="s">
        <v>7</v>
      </c>
      <c r="AC84" s="85" t="s">
        <v>168</v>
      </c>
      <c r="AD84" s="121" t="s">
        <v>105</v>
      </c>
      <c r="AE84" s="121" t="s">
        <v>104</v>
      </c>
      <c r="AF84" s="39" t="s">
        <v>23</v>
      </c>
      <c r="AG84" s="13"/>
      <c r="AI84" s="4"/>
    </row>
    <row r="85" spans="1:35" s="305" customFormat="1" x14ac:dyDescent="0.25">
      <c r="B85" s="303">
        <v>1</v>
      </c>
      <c r="C85" s="304" t="s">
        <v>10</v>
      </c>
      <c r="D85" s="291">
        <v>0</v>
      </c>
      <c r="E85" s="292">
        <v>0</v>
      </c>
      <c r="F85" s="292">
        <v>0</v>
      </c>
      <c r="G85" s="292">
        <v>0</v>
      </c>
      <c r="H85" s="292">
        <v>0</v>
      </c>
      <c r="I85" s="292">
        <v>0</v>
      </c>
      <c r="J85" s="288">
        <v>0</v>
      </c>
      <c r="K85" s="293">
        <f>D85-E85-F85-G85-H85-I85-J85</f>
        <v>0</v>
      </c>
      <c r="L85" s="294">
        <v>0</v>
      </c>
      <c r="M85" s="293">
        <f>K85-L85</f>
        <v>0</v>
      </c>
      <c r="N85" s="294">
        <v>0</v>
      </c>
      <c r="O85" s="293">
        <f>M85+N85</f>
        <v>0</v>
      </c>
      <c r="Q85" s="306"/>
      <c r="S85" s="303">
        <v>1</v>
      </c>
      <c r="T85" s="304" t="s">
        <v>10</v>
      </c>
      <c r="U85" s="307">
        <v>0</v>
      </c>
      <c r="V85" s="308">
        <v>0</v>
      </c>
      <c r="W85" s="308">
        <v>0</v>
      </c>
      <c r="X85" s="308">
        <v>0</v>
      </c>
      <c r="Y85" s="309">
        <v>0</v>
      </c>
      <c r="Z85" s="310">
        <f>-L85</f>
        <v>0</v>
      </c>
      <c r="AA85" s="311">
        <v>0</v>
      </c>
      <c r="AB85" s="294">
        <f>N85</f>
        <v>0</v>
      </c>
      <c r="AC85" s="311">
        <v>0</v>
      </c>
      <c r="AD85" s="291">
        <f>-J85+AE85</f>
        <v>0</v>
      </c>
      <c r="AE85" s="291">
        <v>0</v>
      </c>
      <c r="AF85" s="313">
        <f>SUM(U85:AD85)</f>
        <v>0</v>
      </c>
      <c r="AG85" s="311">
        <f>AF85-O85</f>
        <v>0</v>
      </c>
      <c r="AH85" s="305" t="b">
        <f>INT(AG85)=0</f>
        <v>1</v>
      </c>
      <c r="AI85" s="306"/>
    </row>
    <row r="86" spans="1:35" s="305" customFormat="1" x14ac:dyDescent="0.25">
      <c r="B86" s="314">
        <v>2</v>
      </c>
      <c r="C86" s="315" t="s">
        <v>11</v>
      </c>
      <c r="D86" s="291">
        <v>0</v>
      </c>
      <c r="E86" s="292">
        <v>0</v>
      </c>
      <c r="F86" s="292">
        <v>0</v>
      </c>
      <c r="G86" s="292">
        <v>0</v>
      </c>
      <c r="H86" s="292">
        <v>0</v>
      </c>
      <c r="I86" s="292">
        <v>0</v>
      </c>
      <c r="J86" s="288">
        <v>0</v>
      </c>
      <c r="K86" s="295">
        <f t="shared" ref="K86:K89" si="34">D86-E86-F86-G86-H86-I86-J86</f>
        <v>0</v>
      </c>
      <c r="L86" s="294">
        <v>0</v>
      </c>
      <c r="M86" s="295">
        <f>K86-L86</f>
        <v>0</v>
      </c>
      <c r="N86" s="294">
        <v>0</v>
      </c>
      <c r="O86" s="295">
        <f t="shared" ref="O86:O89" si="35">M86+N86</f>
        <v>0</v>
      </c>
      <c r="Q86" s="306"/>
      <c r="S86" s="314">
        <v>2</v>
      </c>
      <c r="T86" s="315" t="s">
        <v>11</v>
      </c>
      <c r="U86" s="316">
        <v>0</v>
      </c>
      <c r="V86" s="317">
        <v>0</v>
      </c>
      <c r="W86" s="317">
        <v>0</v>
      </c>
      <c r="X86" s="317">
        <v>0</v>
      </c>
      <c r="Y86" s="318">
        <v>0</v>
      </c>
      <c r="Z86" s="319">
        <f>-L86</f>
        <v>0</v>
      </c>
      <c r="AA86" s="320">
        <v>0</v>
      </c>
      <c r="AB86" s="294">
        <f>N86</f>
        <v>0</v>
      </c>
      <c r="AC86" s="320">
        <v>0</v>
      </c>
      <c r="AD86" s="291">
        <f t="shared" ref="AD86:AD89" si="36">-J86+AE86</f>
        <v>0</v>
      </c>
      <c r="AE86" s="291">
        <v>0</v>
      </c>
      <c r="AF86" s="322">
        <f>SUM(U86:AD86)</f>
        <v>0</v>
      </c>
      <c r="AG86" s="323">
        <f>AF86-O86</f>
        <v>0</v>
      </c>
      <c r="AH86" s="305" t="b">
        <f t="shared" ref="AH86:AH89" si="37">INT(AG86)=0</f>
        <v>1</v>
      </c>
      <c r="AI86" s="306"/>
    </row>
    <row r="87" spans="1:35" s="305" customFormat="1" x14ac:dyDescent="0.25">
      <c r="B87" s="314">
        <v>3</v>
      </c>
      <c r="C87" s="315" t="s">
        <v>12</v>
      </c>
      <c r="D87" s="291">
        <v>0</v>
      </c>
      <c r="E87" s="292">
        <v>0</v>
      </c>
      <c r="F87" s="292">
        <v>0</v>
      </c>
      <c r="G87" s="292">
        <v>0</v>
      </c>
      <c r="H87" s="292">
        <v>0</v>
      </c>
      <c r="I87" s="292">
        <v>0</v>
      </c>
      <c r="J87" s="288">
        <v>0</v>
      </c>
      <c r="K87" s="295">
        <f t="shared" si="34"/>
        <v>0</v>
      </c>
      <c r="L87" s="294">
        <v>0</v>
      </c>
      <c r="M87" s="295">
        <f>K87-L87</f>
        <v>0</v>
      </c>
      <c r="N87" s="294">
        <v>0</v>
      </c>
      <c r="O87" s="295">
        <f t="shared" si="35"/>
        <v>0</v>
      </c>
      <c r="Q87" s="306"/>
      <c r="S87" s="314">
        <v>3</v>
      </c>
      <c r="T87" s="315" t="s">
        <v>12</v>
      </c>
      <c r="U87" s="316">
        <v>0</v>
      </c>
      <c r="V87" s="317">
        <v>0</v>
      </c>
      <c r="W87" s="317">
        <v>0</v>
      </c>
      <c r="X87" s="317">
        <v>0</v>
      </c>
      <c r="Y87" s="318">
        <v>0</v>
      </c>
      <c r="Z87" s="319">
        <f>-L87</f>
        <v>0</v>
      </c>
      <c r="AA87" s="320">
        <v>0</v>
      </c>
      <c r="AB87" s="294">
        <f>N87</f>
        <v>0</v>
      </c>
      <c r="AC87" s="320">
        <v>0</v>
      </c>
      <c r="AD87" s="291">
        <f t="shared" si="36"/>
        <v>0</v>
      </c>
      <c r="AE87" s="291">
        <v>0</v>
      </c>
      <c r="AF87" s="322">
        <f t="shared" ref="AF87:AF89" si="38">SUM(U87:AD87)</f>
        <v>0</v>
      </c>
      <c r="AG87" s="323">
        <f>AF87-O87</f>
        <v>0</v>
      </c>
      <c r="AH87" s="305" t="b">
        <f t="shared" si="37"/>
        <v>1</v>
      </c>
      <c r="AI87" s="306"/>
    </row>
    <row r="88" spans="1:35" s="305" customFormat="1" x14ac:dyDescent="0.25">
      <c r="B88" s="314">
        <v>4</v>
      </c>
      <c r="C88" s="315" t="s">
        <v>13</v>
      </c>
      <c r="D88" s="291">
        <v>0</v>
      </c>
      <c r="E88" s="292">
        <v>0</v>
      </c>
      <c r="F88" s="292">
        <v>0</v>
      </c>
      <c r="G88" s="292">
        <v>0</v>
      </c>
      <c r="H88" s="292">
        <v>0</v>
      </c>
      <c r="I88" s="292">
        <v>0</v>
      </c>
      <c r="J88" s="288">
        <v>0</v>
      </c>
      <c r="K88" s="295">
        <f t="shared" si="34"/>
        <v>0</v>
      </c>
      <c r="L88" s="294">
        <v>0</v>
      </c>
      <c r="M88" s="295">
        <f>K88-L88</f>
        <v>0</v>
      </c>
      <c r="N88" s="294">
        <v>0</v>
      </c>
      <c r="O88" s="295">
        <f t="shared" si="35"/>
        <v>0</v>
      </c>
      <c r="Q88" s="306"/>
      <c r="S88" s="314">
        <v>4</v>
      </c>
      <c r="T88" s="315" t="s">
        <v>13</v>
      </c>
      <c r="U88" s="316">
        <v>0</v>
      </c>
      <c r="V88" s="317">
        <v>0</v>
      </c>
      <c r="W88" s="317">
        <v>0</v>
      </c>
      <c r="X88" s="317">
        <v>0</v>
      </c>
      <c r="Y88" s="318">
        <v>0</v>
      </c>
      <c r="Z88" s="319">
        <f>-L88</f>
        <v>0</v>
      </c>
      <c r="AA88" s="320">
        <v>0</v>
      </c>
      <c r="AB88" s="294">
        <f>N88</f>
        <v>0</v>
      </c>
      <c r="AC88" s="320">
        <v>0</v>
      </c>
      <c r="AD88" s="291">
        <f t="shared" si="36"/>
        <v>0</v>
      </c>
      <c r="AE88" s="291">
        <v>0</v>
      </c>
      <c r="AF88" s="322">
        <f t="shared" si="38"/>
        <v>0</v>
      </c>
      <c r="AG88" s="323">
        <f>AF88-O88</f>
        <v>0</v>
      </c>
      <c r="AH88" s="305" t="b">
        <f t="shared" si="37"/>
        <v>1</v>
      </c>
      <c r="AI88" s="306"/>
    </row>
    <row r="89" spans="1:35" s="305" customFormat="1" ht="12" thickBot="1" x14ac:dyDescent="0.3">
      <c r="B89" s="324">
        <v>5</v>
      </c>
      <c r="C89" s="325" t="s">
        <v>14</v>
      </c>
      <c r="D89" s="296">
        <v>0</v>
      </c>
      <c r="E89" s="297">
        <v>0</v>
      </c>
      <c r="F89" s="297">
        <v>0</v>
      </c>
      <c r="G89" s="297">
        <v>0</v>
      </c>
      <c r="H89" s="297">
        <v>0</v>
      </c>
      <c r="I89" s="297">
        <v>0</v>
      </c>
      <c r="J89" s="289">
        <v>0</v>
      </c>
      <c r="K89" s="295">
        <f t="shared" si="34"/>
        <v>0</v>
      </c>
      <c r="L89" s="294">
        <v>0</v>
      </c>
      <c r="M89" s="298">
        <f>K89-L89</f>
        <v>0</v>
      </c>
      <c r="N89" s="299">
        <v>0</v>
      </c>
      <c r="O89" s="298">
        <f t="shared" si="35"/>
        <v>0</v>
      </c>
      <c r="Q89" s="306"/>
      <c r="S89" s="324">
        <v>5</v>
      </c>
      <c r="T89" s="325" t="s">
        <v>14</v>
      </c>
      <c r="U89" s="296">
        <v>0</v>
      </c>
      <c r="V89" s="297">
        <v>0</v>
      </c>
      <c r="W89" s="297">
        <v>0</v>
      </c>
      <c r="X89" s="297">
        <v>0</v>
      </c>
      <c r="Y89" s="289">
        <v>0</v>
      </c>
      <c r="Z89" s="319">
        <f>-L89</f>
        <v>0</v>
      </c>
      <c r="AA89" s="320">
        <v>0</v>
      </c>
      <c r="AB89" s="294">
        <f>N89</f>
        <v>0</v>
      </c>
      <c r="AC89" s="320">
        <v>0</v>
      </c>
      <c r="AD89" s="291">
        <f t="shared" si="36"/>
        <v>0</v>
      </c>
      <c r="AE89" s="291">
        <v>0</v>
      </c>
      <c r="AF89" s="322">
        <f t="shared" si="38"/>
        <v>0</v>
      </c>
      <c r="AG89" s="326">
        <f>AF89-O89</f>
        <v>0</v>
      </c>
      <c r="AH89" s="305" t="b">
        <f t="shared" si="37"/>
        <v>1</v>
      </c>
      <c r="AI89" s="306"/>
    </row>
    <row r="90" spans="1:35" s="305" customFormat="1" ht="13.5" thickBot="1" x14ac:dyDescent="0.35">
      <c r="B90" s="327"/>
      <c r="C90" s="328" t="s">
        <v>2</v>
      </c>
      <c r="D90" s="290">
        <f t="shared" ref="D90:O90" si="39">SUM(D85:D89)</f>
        <v>0</v>
      </c>
      <c r="E90" s="290">
        <f t="shared" si="39"/>
        <v>0</v>
      </c>
      <c r="F90" s="290">
        <f t="shared" si="39"/>
        <v>0</v>
      </c>
      <c r="G90" s="290">
        <f t="shared" si="39"/>
        <v>0</v>
      </c>
      <c r="H90" s="290">
        <f t="shared" si="39"/>
        <v>0</v>
      </c>
      <c r="I90" s="290">
        <f t="shared" si="39"/>
        <v>0</v>
      </c>
      <c r="J90" s="290">
        <f t="shared" si="39"/>
        <v>0</v>
      </c>
      <c r="K90" s="300">
        <f t="shared" si="39"/>
        <v>0</v>
      </c>
      <c r="L90" s="301">
        <f t="shared" si="39"/>
        <v>0</v>
      </c>
      <c r="M90" s="302">
        <f t="shared" si="39"/>
        <v>0</v>
      </c>
      <c r="N90" s="301">
        <f t="shared" si="39"/>
        <v>0</v>
      </c>
      <c r="O90" s="302">
        <f t="shared" si="39"/>
        <v>0</v>
      </c>
      <c r="P90" s="329"/>
      <c r="Q90" s="306"/>
      <c r="S90" s="327"/>
      <c r="T90" s="328" t="s">
        <v>2</v>
      </c>
      <c r="U90" s="330">
        <f>SUM(U85:U89)</f>
        <v>0</v>
      </c>
      <c r="V90" s="330">
        <f t="shared" ref="V90:AG90" si="40">SUM(V85:V89)</f>
        <v>0</v>
      </c>
      <c r="W90" s="330">
        <f t="shared" si="40"/>
        <v>0</v>
      </c>
      <c r="X90" s="330">
        <f t="shared" si="40"/>
        <v>0</v>
      </c>
      <c r="Y90" s="330">
        <f t="shared" si="40"/>
        <v>0</v>
      </c>
      <c r="Z90" s="290">
        <f t="shared" si="40"/>
        <v>0</v>
      </c>
      <c r="AA90" s="290">
        <f t="shared" si="40"/>
        <v>0</v>
      </c>
      <c r="AB90" s="290">
        <f t="shared" si="40"/>
        <v>0</v>
      </c>
      <c r="AC90" s="290">
        <f t="shared" si="40"/>
        <v>0</v>
      </c>
      <c r="AD90" s="290">
        <f t="shared" si="40"/>
        <v>0</v>
      </c>
      <c r="AE90" s="290">
        <f t="shared" si="40"/>
        <v>0</v>
      </c>
      <c r="AF90" s="331">
        <f t="shared" si="40"/>
        <v>0</v>
      </c>
      <c r="AG90" s="332">
        <f t="shared" si="40"/>
        <v>0</v>
      </c>
      <c r="AH90" s="305" t="b">
        <f>INT(AG90)=0</f>
        <v>1</v>
      </c>
      <c r="AI90" s="306"/>
    </row>
    <row r="91" spans="1:35" ht="12" thickBot="1" x14ac:dyDescent="0.3">
      <c r="B91" s="2"/>
      <c r="C91" s="2"/>
      <c r="D91" s="24"/>
      <c r="E91" s="24"/>
      <c r="F91" s="24"/>
      <c r="G91" s="24"/>
      <c r="H91" s="24"/>
      <c r="I91" s="24"/>
      <c r="K91" s="24"/>
      <c r="L91" s="24"/>
      <c r="M91" s="24"/>
      <c r="N91" s="24"/>
      <c r="O91" s="24"/>
      <c r="Q91" s="4"/>
      <c r="S91" s="2"/>
      <c r="T91" s="2"/>
      <c r="U91" s="24"/>
      <c r="V91" s="24"/>
      <c r="W91" s="24"/>
      <c r="X91" s="24"/>
      <c r="Y91" s="24"/>
      <c r="AF91" s="24"/>
      <c r="AI91" s="4"/>
    </row>
    <row r="92" spans="1:35" ht="12" thickBot="1" x14ac:dyDescent="0.3">
      <c r="B92" s="2"/>
      <c r="C92" s="2"/>
      <c r="D92" s="24" t="s">
        <v>1</v>
      </c>
      <c r="E92" s="24"/>
      <c r="F92" s="24"/>
      <c r="G92" s="24"/>
      <c r="H92" s="24"/>
      <c r="I92" s="24"/>
      <c r="K92" s="24"/>
      <c r="L92" s="24"/>
      <c r="M92" s="24"/>
      <c r="N92" s="24"/>
      <c r="O92" s="24"/>
      <c r="Q92" s="4"/>
      <c r="Y92" s="86">
        <f>SUM(U90:Y90)</f>
        <v>0</v>
      </c>
      <c r="AA92" s="1" t="s">
        <v>1</v>
      </c>
      <c r="AB92" s="1" t="s">
        <v>1</v>
      </c>
      <c r="AD92" s="1" t="s">
        <v>1</v>
      </c>
      <c r="AF92" s="1" t="s">
        <v>1</v>
      </c>
      <c r="AI92" s="4"/>
    </row>
    <row r="93" spans="1:35" ht="12" thickBot="1" x14ac:dyDescent="0.3">
      <c r="B93" s="2"/>
      <c r="C93" s="2"/>
      <c r="D93" s="24" t="s">
        <v>1</v>
      </c>
      <c r="E93" s="33"/>
      <c r="F93" s="33"/>
      <c r="G93" s="33"/>
      <c r="H93" s="33"/>
      <c r="I93" s="24"/>
      <c r="K93" s="24"/>
      <c r="L93" s="24"/>
      <c r="M93" s="24"/>
      <c r="N93" s="24"/>
      <c r="O93" s="24"/>
      <c r="Q93" s="4"/>
      <c r="AI93" s="4"/>
    </row>
    <row r="94" spans="1:35" x14ac:dyDescent="0.25">
      <c r="B94" s="2"/>
      <c r="C94" s="2"/>
      <c r="D94" s="24" t="s">
        <v>1</v>
      </c>
      <c r="E94" s="24" t="s">
        <v>1</v>
      </c>
      <c r="F94" s="24" t="s">
        <v>25</v>
      </c>
      <c r="G94" s="24"/>
      <c r="H94" s="24"/>
      <c r="I94" s="24"/>
      <c r="K94" s="24"/>
      <c r="L94" s="24"/>
      <c r="M94" s="24"/>
      <c r="N94" s="24"/>
      <c r="O94" s="24"/>
      <c r="Q94" s="4"/>
      <c r="AI94" s="4"/>
    </row>
    <row r="95" spans="1:35" x14ac:dyDescent="0.25">
      <c r="A95" s="4"/>
      <c r="B95" s="34"/>
      <c r="C95" s="34"/>
      <c r="D95" s="35"/>
      <c r="E95" s="35"/>
      <c r="F95" s="35"/>
      <c r="G95" s="35"/>
      <c r="H95" s="35"/>
      <c r="I95" s="35"/>
      <c r="J95" s="4"/>
      <c r="K95" s="35"/>
      <c r="L95" s="35"/>
      <c r="M95" s="35"/>
      <c r="N95" s="35"/>
      <c r="O95" s="35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  <c r="AE95" s="4"/>
      <c r="AF95" s="4"/>
      <c r="AG95" s="4"/>
      <c r="AH95" s="4"/>
      <c r="AI95" s="4"/>
    </row>
    <row r="96" spans="1:35" ht="12" thickBot="1" x14ac:dyDescent="0.3">
      <c r="Q96" s="4"/>
      <c r="AI96" s="4"/>
    </row>
    <row r="97" spans="2:36" x14ac:dyDescent="0.25">
      <c r="B97" s="5"/>
      <c r="C97" s="3" t="s">
        <v>1</v>
      </c>
      <c r="D97" s="6" t="s">
        <v>1</v>
      </c>
      <c r="E97" s="3"/>
      <c r="F97" s="3"/>
      <c r="G97" s="3"/>
      <c r="H97" s="3" t="s">
        <v>1</v>
      </c>
      <c r="I97" s="3"/>
      <c r="J97" s="3"/>
      <c r="K97" s="3"/>
      <c r="L97" s="3"/>
      <c r="M97" s="3"/>
      <c r="N97" s="3"/>
      <c r="O97" s="7"/>
      <c r="P97" s="2"/>
      <c r="Q97" s="4"/>
      <c r="S97" s="5"/>
      <c r="T97" s="3" t="s">
        <v>1</v>
      </c>
      <c r="U97" s="6" t="s">
        <v>1</v>
      </c>
      <c r="V97" s="3"/>
      <c r="W97" s="3"/>
      <c r="X97" s="3" t="s">
        <v>1</v>
      </c>
      <c r="Y97" s="3"/>
      <c r="Z97" s="3"/>
      <c r="AA97" s="3"/>
      <c r="AB97" s="3"/>
      <c r="AC97" s="3"/>
      <c r="AD97" s="3"/>
      <c r="AE97" s="3"/>
      <c r="AF97" s="7"/>
      <c r="AG97" s="2"/>
      <c r="AI97" s="4"/>
    </row>
    <row r="98" spans="2:36" ht="14" x14ac:dyDescent="0.3">
      <c r="B98" s="8"/>
      <c r="F98" s="26" t="s">
        <v>8</v>
      </c>
      <c r="G98" s="26"/>
      <c r="I98" s="26" t="s">
        <v>16</v>
      </c>
      <c r="J98" s="25"/>
      <c r="M98" s="2" t="s">
        <v>15</v>
      </c>
      <c r="N98" s="50">
        <f>N3</f>
        <v>2026072</v>
      </c>
      <c r="O98" s="10"/>
      <c r="P98" s="2"/>
      <c r="Q98" s="4"/>
      <c r="S98" s="8"/>
      <c r="U98" s="26" t="s">
        <v>8</v>
      </c>
      <c r="W98" s="26" t="s">
        <v>16</v>
      </c>
      <c r="X98" s="25"/>
      <c r="Y98" s="2"/>
      <c r="AA98" s="2" t="s">
        <v>15</v>
      </c>
      <c r="AD98" s="84">
        <f>N98</f>
        <v>2026072</v>
      </c>
      <c r="AE98" s="84"/>
      <c r="AF98" s="48"/>
      <c r="AG98" s="2"/>
      <c r="AI98" s="4"/>
    </row>
    <row r="99" spans="2:36" ht="15.5" x14ac:dyDescent="0.35">
      <c r="B99" s="8"/>
      <c r="F99" s="36" t="s">
        <v>29</v>
      </c>
      <c r="G99" s="36"/>
      <c r="O99" s="10"/>
      <c r="P99" s="2"/>
      <c r="Q99" s="4"/>
      <c r="S99" s="8"/>
      <c r="T99" s="26" t="s">
        <v>1</v>
      </c>
      <c r="U99" s="36" t="s">
        <v>29</v>
      </c>
      <c r="Y99" s="2" t="s">
        <v>1</v>
      </c>
      <c r="AA99" s="50" t="s">
        <v>1</v>
      </c>
      <c r="AB99" s="2"/>
      <c r="AC99" s="2"/>
      <c r="AD99" s="2"/>
      <c r="AE99" s="2"/>
      <c r="AF99" s="10" t="s">
        <v>1</v>
      </c>
      <c r="AG99" s="2"/>
      <c r="AI99" s="4"/>
    </row>
    <row r="100" spans="2:36" ht="14" x14ac:dyDescent="0.3">
      <c r="B100" s="8"/>
      <c r="F100" s="2" t="s">
        <v>30</v>
      </c>
      <c r="G100" s="2"/>
      <c r="L100" s="91"/>
      <c r="M100" s="2" t="s">
        <v>1</v>
      </c>
      <c r="O100" s="10"/>
      <c r="P100" s="2"/>
      <c r="Q100" s="4"/>
      <c r="S100" s="8"/>
      <c r="T100" s="49" t="s">
        <v>1</v>
      </c>
      <c r="U100" s="2" t="s">
        <v>30</v>
      </c>
      <c r="AF100" s="44"/>
      <c r="AG100" s="2"/>
      <c r="AI100" s="4"/>
    </row>
    <row r="101" spans="2:36" ht="15.5" x14ac:dyDescent="0.35">
      <c r="B101" s="8"/>
      <c r="C101" s="599" t="s">
        <v>17</v>
      </c>
      <c r="D101" s="9">
        <f>D6</f>
        <v>46238</v>
      </c>
      <c r="F101" s="58" t="s">
        <v>221</v>
      </c>
      <c r="G101" s="58"/>
      <c r="H101" s="59"/>
      <c r="I101" s="60"/>
      <c r="J101" s="59"/>
      <c r="K101" s="60"/>
      <c r="L101" s="91"/>
      <c r="O101" s="10"/>
      <c r="P101" s="2"/>
      <c r="Q101" s="4"/>
      <c r="S101" s="8"/>
      <c r="T101" s="41" t="s">
        <v>1</v>
      </c>
      <c r="U101" s="58" t="s">
        <v>222</v>
      </c>
      <c r="V101" s="59"/>
      <c r="W101" s="60"/>
      <c r="X101" s="59"/>
      <c r="Y101" s="2"/>
      <c r="AF101" s="48"/>
      <c r="AG101" s="2"/>
      <c r="AI101" s="4"/>
    </row>
    <row r="102" spans="2:36" ht="18" thickBot="1" x14ac:dyDescent="0.5">
      <c r="B102" s="8"/>
      <c r="C102" s="599" t="s">
        <v>0</v>
      </c>
      <c r="D102" s="241">
        <f>D7</f>
        <v>0.58333333333333337</v>
      </c>
      <c r="F102" s="2" t="s">
        <v>27</v>
      </c>
      <c r="G102" s="9">
        <f>G7</f>
        <v>46219</v>
      </c>
      <c r="J102" s="2" t="s">
        <v>28</v>
      </c>
      <c r="K102" s="9">
        <f>K7</f>
        <v>46234</v>
      </c>
      <c r="L102" s="92"/>
      <c r="O102" s="10"/>
      <c r="P102" s="2"/>
      <c r="Q102" s="4"/>
      <c r="S102" s="8"/>
      <c r="U102" s="1" t="str">
        <f>F102</f>
        <v>Fecha Desde:</v>
      </c>
      <c r="V102" s="9">
        <f>G102</f>
        <v>46219</v>
      </c>
      <c r="W102" s="1" t="s">
        <v>1</v>
      </c>
      <c r="X102" s="1" t="str">
        <f>J102</f>
        <v>Feha Hasta:</v>
      </c>
      <c r="Y102" s="9">
        <f>K102</f>
        <v>46234</v>
      </c>
      <c r="Z102" s="1" t="s">
        <v>1</v>
      </c>
      <c r="AF102" s="48"/>
      <c r="AG102" s="2"/>
      <c r="AI102" s="4"/>
      <c r="AJ102" s="112" t="s">
        <v>1</v>
      </c>
    </row>
    <row r="103" spans="2:36" ht="72" customHeight="1" thickBot="1" x14ac:dyDescent="0.3">
      <c r="B103" s="11" t="s">
        <v>3</v>
      </c>
      <c r="C103" s="27" t="s">
        <v>9</v>
      </c>
      <c r="D103" s="11" t="s">
        <v>4</v>
      </c>
      <c r="E103" s="12" t="s">
        <v>5</v>
      </c>
      <c r="F103" s="27" t="s">
        <v>6</v>
      </c>
      <c r="G103" s="27" t="s">
        <v>159</v>
      </c>
      <c r="H103" s="27" t="s">
        <v>18</v>
      </c>
      <c r="I103" s="12" t="s">
        <v>24</v>
      </c>
      <c r="J103" s="73" t="s">
        <v>19</v>
      </c>
      <c r="K103" s="29" t="s">
        <v>20</v>
      </c>
      <c r="L103" s="28" t="s">
        <v>21</v>
      </c>
      <c r="M103" s="39" t="s">
        <v>22</v>
      </c>
      <c r="N103" s="12" t="s">
        <v>7</v>
      </c>
      <c r="O103" s="39" t="s">
        <v>23</v>
      </c>
      <c r="P103" s="13"/>
      <c r="Q103" s="4"/>
      <c r="S103" s="11" t="s">
        <v>3</v>
      </c>
      <c r="T103" s="27" t="s">
        <v>9</v>
      </c>
      <c r="U103" s="162" t="s">
        <v>39</v>
      </c>
      <c r="V103" s="163" t="s">
        <v>40</v>
      </c>
      <c r="W103" s="163" t="s">
        <v>41</v>
      </c>
      <c r="X103" s="163" t="s">
        <v>42</v>
      </c>
      <c r="Y103" s="164" t="s">
        <v>43</v>
      </c>
      <c r="Z103" s="85" t="s">
        <v>21</v>
      </c>
      <c r="AA103" s="65" t="s">
        <v>46</v>
      </c>
      <c r="AB103" s="65" t="s">
        <v>7</v>
      </c>
      <c r="AC103" s="85" t="s">
        <v>168</v>
      </c>
      <c r="AD103" s="121" t="s">
        <v>105</v>
      </c>
      <c r="AE103" s="121" t="s">
        <v>104</v>
      </c>
      <c r="AF103" s="39" t="s">
        <v>23</v>
      </c>
      <c r="AG103" s="13"/>
      <c r="AI103" s="4"/>
    </row>
    <row r="104" spans="2:36" s="305" customFormat="1" x14ac:dyDescent="0.25">
      <c r="B104" s="303">
        <v>1</v>
      </c>
      <c r="C104" s="304" t="s">
        <v>10</v>
      </c>
      <c r="D104" s="291">
        <f t="shared" ref="D104:J108" si="41">D9+D28+D47+D66+D85</f>
        <v>0</v>
      </c>
      <c r="E104" s="292">
        <f t="shared" si="41"/>
        <v>0</v>
      </c>
      <c r="F104" s="292">
        <f t="shared" si="41"/>
        <v>0</v>
      </c>
      <c r="G104" s="292">
        <f t="shared" si="41"/>
        <v>0</v>
      </c>
      <c r="H104" s="292">
        <f t="shared" si="41"/>
        <v>0</v>
      </c>
      <c r="I104" s="292">
        <f t="shared" si="41"/>
        <v>0</v>
      </c>
      <c r="J104" s="288">
        <f t="shared" si="41"/>
        <v>0</v>
      </c>
      <c r="K104" s="293">
        <f>D104-E104-F104-G104-H104-I104-J104</f>
        <v>0</v>
      </c>
      <c r="L104" s="294">
        <f>L9+L28+L47+L66+L85</f>
        <v>0</v>
      </c>
      <c r="M104" s="293">
        <f>K104-L104</f>
        <v>0</v>
      </c>
      <c r="N104" s="294">
        <f>N9+N28+N47+N66+N85</f>
        <v>0</v>
      </c>
      <c r="O104" s="293">
        <f>M104+N104</f>
        <v>0</v>
      </c>
      <c r="Q104" s="306"/>
      <c r="S104" s="303">
        <v>1</v>
      </c>
      <c r="T104" s="304" t="s">
        <v>10</v>
      </c>
      <c r="U104" s="307">
        <f t="shared" ref="U104:AB108" si="42">U9+U28+U47+U66+U85</f>
        <v>0</v>
      </c>
      <c r="V104" s="308">
        <f t="shared" si="42"/>
        <v>0</v>
      </c>
      <c r="W104" s="308">
        <f t="shared" si="42"/>
        <v>0</v>
      </c>
      <c r="X104" s="308">
        <f t="shared" si="42"/>
        <v>0</v>
      </c>
      <c r="Y104" s="309">
        <f t="shared" si="42"/>
        <v>0</v>
      </c>
      <c r="Z104" s="310">
        <f t="shared" si="42"/>
        <v>0</v>
      </c>
      <c r="AA104" s="311">
        <f t="shared" si="42"/>
        <v>0</v>
      </c>
      <c r="AB104" s="294">
        <f t="shared" si="42"/>
        <v>0</v>
      </c>
      <c r="AC104" s="311">
        <f t="shared" ref="AC104" si="43">AC9+AC28+AC47+AC66+AC85</f>
        <v>0</v>
      </c>
      <c r="AD104" s="291">
        <f>-J104+AE104</f>
        <v>0</v>
      </c>
      <c r="AE104" s="291">
        <f>AE9+AE28+AE47+AE66+AE85</f>
        <v>0</v>
      </c>
      <c r="AF104" s="313">
        <f>SUM(U104:AD104)</f>
        <v>0</v>
      </c>
      <c r="AG104" s="311">
        <f>AF104-O104</f>
        <v>0</v>
      </c>
      <c r="AH104" s="1" t="b">
        <f t="shared" ref="AH104:AH109" si="44">INT(ABS(AG104))=0</f>
        <v>1</v>
      </c>
      <c r="AI104" s="306"/>
    </row>
    <row r="105" spans="2:36" s="305" customFormat="1" x14ac:dyDescent="0.25">
      <c r="B105" s="314">
        <v>2</v>
      </c>
      <c r="C105" s="315" t="s">
        <v>11</v>
      </c>
      <c r="D105" s="291">
        <f t="shared" si="41"/>
        <v>0</v>
      </c>
      <c r="E105" s="292">
        <f t="shared" si="41"/>
        <v>0</v>
      </c>
      <c r="F105" s="292">
        <f t="shared" si="41"/>
        <v>0</v>
      </c>
      <c r="G105" s="292">
        <f t="shared" si="41"/>
        <v>0</v>
      </c>
      <c r="H105" s="292">
        <f t="shared" si="41"/>
        <v>0</v>
      </c>
      <c r="I105" s="292">
        <f t="shared" si="41"/>
        <v>0</v>
      </c>
      <c r="J105" s="288">
        <f t="shared" si="41"/>
        <v>0</v>
      </c>
      <c r="K105" s="295">
        <f t="shared" ref="K105:K108" si="45">D105-E105-F105-G105-H105-I105-J105</f>
        <v>0</v>
      </c>
      <c r="L105" s="294">
        <f>L10+L29+L48+L67+L86</f>
        <v>0</v>
      </c>
      <c r="M105" s="295">
        <f>K105-L105</f>
        <v>0</v>
      </c>
      <c r="N105" s="294">
        <f>N10+N29+N48+N67+N86</f>
        <v>0</v>
      </c>
      <c r="O105" s="295">
        <f t="shared" ref="O105:O108" si="46">M105+N105</f>
        <v>0</v>
      </c>
      <c r="Q105" s="306"/>
      <c r="S105" s="314">
        <v>2</v>
      </c>
      <c r="T105" s="315" t="s">
        <v>11</v>
      </c>
      <c r="U105" s="316">
        <f t="shared" si="42"/>
        <v>0</v>
      </c>
      <c r="V105" s="317">
        <f t="shared" si="42"/>
        <v>0</v>
      </c>
      <c r="W105" s="317">
        <f t="shared" si="42"/>
        <v>0</v>
      </c>
      <c r="X105" s="317">
        <f t="shared" si="42"/>
        <v>0</v>
      </c>
      <c r="Y105" s="318">
        <f t="shared" si="42"/>
        <v>0</v>
      </c>
      <c r="Z105" s="319">
        <f t="shared" si="42"/>
        <v>0</v>
      </c>
      <c r="AA105" s="320">
        <f t="shared" si="42"/>
        <v>0</v>
      </c>
      <c r="AB105" s="294">
        <f t="shared" si="42"/>
        <v>0</v>
      </c>
      <c r="AC105" s="320">
        <f t="shared" ref="AC105" si="47">AC10+AC29+AC48+AC67+AC86</f>
        <v>0</v>
      </c>
      <c r="AD105" s="291">
        <f t="shared" ref="AD105:AD107" si="48">-J105+AE105</f>
        <v>0</v>
      </c>
      <c r="AE105" s="291">
        <f>AE10+AE29+AE48+AE67+AE86</f>
        <v>0</v>
      </c>
      <c r="AF105" s="322">
        <f>SUM(U105:AD105)</f>
        <v>0</v>
      </c>
      <c r="AG105" s="323">
        <f>AF105-O105</f>
        <v>0</v>
      </c>
      <c r="AH105" s="1" t="b">
        <f t="shared" si="44"/>
        <v>1</v>
      </c>
      <c r="AI105" s="306"/>
    </row>
    <row r="106" spans="2:36" s="305" customFormat="1" x14ac:dyDescent="0.25">
      <c r="B106" s="314">
        <v>3</v>
      </c>
      <c r="C106" s="315" t="s">
        <v>12</v>
      </c>
      <c r="D106" s="291">
        <f t="shared" si="41"/>
        <v>0</v>
      </c>
      <c r="E106" s="292">
        <f t="shared" si="41"/>
        <v>0</v>
      </c>
      <c r="F106" s="292">
        <f t="shared" si="41"/>
        <v>0</v>
      </c>
      <c r="G106" s="292">
        <f t="shared" si="41"/>
        <v>0</v>
      </c>
      <c r="H106" s="292">
        <f t="shared" si="41"/>
        <v>0</v>
      </c>
      <c r="I106" s="292">
        <f t="shared" si="41"/>
        <v>0</v>
      </c>
      <c r="J106" s="288">
        <f t="shared" si="41"/>
        <v>0</v>
      </c>
      <c r="K106" s="295">
        <f t="shared" si="45"/>
        <v>0</v>
      </c>
      <c r="L106" s="294">
        <f>L11+L30+L49+L68+L87</f>
        <v>0</v>
      </c>
      <c r="M106" s="295">
        <f>K106-L106</f>
        <v>0</v>
      </c>
      <c r="N106" s="294">
        <f>N11+N30+N49+N68+N87</f>
        <v>0</v>
      </c>
      <c r="O106" s="295">
        <f t="shared" si="46"/>
        <v>0</v>
      </c>
      <c r="Q106" s="306"/>
      <c r="S106" s="314">
        <v>3</v>
      </c>
      <c r="T106" s="315" t="s">
        <v>12</v>
      </c>
      <c r="U106" s="316">
        <f t="shared" si="42"/>
        <v>0</v>
      </c>
      <c r="V106" s="317">
        <f t="shared" si="42"/>
        <v>0</v>
      </c>
      <c r="W106" s="317">
        <f t="shared" si="42"/>
        <v>0</v>
      </c>
      <c r="X106" s="317">
        <f t="shared" si="42"/>
        <v>0</v>
      </c>
      <c r="Y106" s="318">
        <f t="shared" si="42"/>
        <v>0</v>
      </c>
      <c r="Z106" s="319">
        <f t="shared" si="42"/>
        <v>0</v>
      </c>
      <c r="AA106" s="320">
        <f t="shared" si="42"/>
        <v>0</v>
      </c>
      <c r="AB106" s="294">
        <f t="shared" si="42"/>
        <v>0</v>
      </c>
      <c r="AC106" s="320">
        <f t="shared" ref="AC106" si="49">AC11+AC30+AC49+AC68+AC87</f>
        <v>0</v>
      </c>
      <c r="AD106" s="291">
        <f t="shared" si="48"/>
        <v>0</v>
      </c>
      <c r="AE106" s="291">
        <f>AE11+AE30+AE49+AE68+AE87</f>
        <v>0</v>
      </c>
      <c r="AF106" s="322">
        <f>SUM(U106:AD106)</f>
        <v>0</v>
      </c>
      <c r="AG106" s="323">
        <f>AF106-O106</f>
        <v>0</v>
      </c>
      <c r="AH106" s="1" t="b">
        <f t="shared" si="44"/>
        <v>1</v>
      </c>
      <c r="AI106" s="306"/>
    </row>
    <row r="107" spans="2:36" s="305" customFormat="1" x14ac:dyDescent="0.25">
      <c r="B107" s="314">
        <v>4</v>
      </c>
      <c r="C107" s="315" t="s">
        <v>13</v>
      </c>
      <c r="D107" s="291">
        <f t="shared" si="41"/>
        <v>0</v>
      </c>
      <c r="E107" s="292">
        <f t="shared" si="41"/>
        <v>0</v>
      </c>
      <c r="F107" s="292">
        <f t="shared" si="41"/>
        <v>0</v>
      </c>
      <c r="G107" s="292">
        <f t="shared" si="41"/>
        <v>0</v>
      </c>
      <c r="H107" s="292">
        <f t="shared" si="41"/>
        <v>0</v>
      </c>
      <c r="I107" s="292">
        <f t="shared" si="41"/>
        <v>0</v>
      </c>
      <c r="J107" s="288">
        <f t="shared" si="41"/>
        <v>0</v>
      </c>
      <c r="K107" s="295">
        <f t="shared" si="45"/>
        <v>0</v>
      </c>
      <c r="L107" s="294">
        <f>L12+L31+L50+L69+L88</f>
        <v>0</v>
      </c>
      <c r="M107" s="295">
        <f>K107-L107</f>
        <v>0</v>
      </c>
      <c r="N107" s="294">
        <f>N12+N31+N50+N69+N88</f>
        <v>0</v>
      </c>
      <c r="O107" s="295">
        <f t="shared" si="46"/>
        <v>0</v>
      </c>
      <c r="Q107" s="306"/>
      <c r="S107" s="314">
        <v>4</v>
      </c>
      <c r="T107" s="315" t="s">
        <v>13</v>
      </c>
      <c r="U107" s="316">
        <f t="shared" si="42"/>
        <v>0</v>
      </c>
      <c r="V107" s="317">
        <f t="shared" si="42"/>
        <v>0</v>
      </c>
      <c r="W107" s="317">
        <f t="shared" si="42"/>
        <v>0</v>
      </c>
      <c r="X107" s="317">
        <f t="shared" si="42"/>
        <v>0</v>
      </c>
      <c r="Y107" s="318">
        <f t="shared" si="42"/>
        <v>0</v>
      </c>
      <c r="Z107" s="319">
        <f t="shared" si="42"/>
        <v>0</v>
      </c>
      <c r="AA107" s="320">
        <f t="shared" si="42"/>
        <v>0</v>
      </c>
      <c r="AB107" s="294">
        <f t="shared" si="42"/>
        <v>0</v>
      </c>
      <c r="AC107" s="320">
        <f t="shared" ref="AC107" si="50">AC12+AC31+AC50+AC69+AC88</f>
        <v>0</v>
      </c>
      <c r="AD107" s="291">
        <f t="shared" si="48"/>
        <v>0</v>
      </c>
      <c r="AE107" s="291">
        <f>AE12+AE31+AE50+AE69+AE88</f>
        <v>0</v>
      </c>
      <c r="AF107" s="322">
        <f>SUM(U107:AD107)</f>
        <v>0</v>
      </c>
      <c r="AG107" s="323">
        <f>AF107-O107</f>
        <v>0</v>
      </c>
      <c r="AH107" s="1" t="b">
        <f t="shared" si="44"/>
        <v>1</v>
      </c>
      <c r="AI107" s="306"/>
    </row>
    <row r="108" spans="2:36" s="305" customFormat="1" ht="12" thickBot="1" x14ac:dyDescent="0.3">
      <c r="B108" s="324">
        <v>5</v>
      </c>
      <c r="C108" s="325" t="s">
        <v>14</v>
      </c>
      <c r="D108" s="296">
        <f>D13+D32+D51+D70+D89</f>
        <v>0</v>
      </c>
      <c r="E108" s="297">
        <f t="shared" si="41"/>
        <v>0</v>
      </c>
      <c r="F108" s="297">
        <f t="shared" si="41"/>
        <v>0</v>
      </c>
      <c r="G108" s="297">
        <f t="shared" si="41"/>
        <v>0</v>
      </c>
      <c r="H108" s="297">
        <f t="shared" si="41"/>
        <v>0</v>
      </c>
      <c r="I108" s="297">
        <f t="shared" si="41"/>
        <v>0</v>
      </c>
      <c r="J108" s="289">
        <f t="shared" si="41"/>
        <v>0</v>
      </c>
      <c r="K108" s="295">
        <f t="shared" si="45"/>
        <v>0</v>
      </c>
      <c r="L108" s="294">
        <f>L13+L32+L51+L70+L89</f>
        <v>0</v>
      </c>
      <c r="M108" s="298">
        <f>K108-L108</f>
        <v>0</v>
      </c>
      <c r="N108" s="299">
        <f>N13+N32+N51+N70+N89</f>
        <v>0</v>
      </c>
      <c r="O108" s="298">
        <f t="shared" si="46"/>
        <v>0</v>
      </c>
      <c r="Q108" s="306"/>
      <c r="S108" s="324">
        <v>5</v>
      </c>
      <c r="T108" s="325" t="s">
        <v>14</v>
      </c>
      <c r="U108" s="296">
        <f t="shared" si="42"/>
        <v>0</v>
      </c>
      <c r="V108" s="297">
        <f t="shared" si="42"/>
        <v>0</v>
      </c>
      <c r="W108" s="297">
        <f t="shared" si="42"/>
        <v>0</v>
      </c>
      <c r="X108" s="297">
        <f t="shared" si="42"/>
        <v>0</v>
      </c>
      <c r="Y108" s="289">
        <f t="shared" si="42"/>
        <v>0</v>
      </c>
      <c r="Z108" s="319">
        <f t="shared" si="42"/>
        <v>0</v>
      </c>
      <c r="AA108" s="320">
        <f t="shared" si="42"/>
        <v>0</v>
      </c>
      <c r="AB108" s="294">
        <f t="shared" si="42"/>
        <v>0</v>
      </c>
      <c r="AC108" s="320">
        <f t="shared" ref="AC108" si="51">AC13+AC32+AC51+AC70+AC89</f>
        <v>0</v>
      </c>
      <c r="AD108" s="291">
        <f>-J108+AE108</f>
        <v>0</v>
      </c>
      <c r="AE108" s="291">
        <f>AE13+AE32+AE51+AE70+AE89</f>
        <v>0</v>
      </c>
      <c r="AF108" s="322">
        <f>SUM(U108:AD108)</f>
        <v>0</v>
      </c>
      <c r="AG108" s="326">
        <f>AF108-O108</f>
        <v>0</v>
      </c>
      <c r="AH108" s="1" t="b">
        <f t="shared" si="44"/>
        <v>1</v>
      </c>
      <c r="AI108" s="306"/>
    </row>
    <row r="109" spans="2:36" s="305" customFormat="1" ht="13.5" thickBot="1" x14ac:dyDescent="0.35">
      <c r="B109" s="327"/>
      <c r="C109" s="328" t="s">
        <v>2</v>
      </c>
      <c r="D109" s="290">
        <f t="shared" ref="D109:O109" si="52">SUM(D104:D108)</f>
        <v>0</v>
      </c>
      <c r="E109" s="290">
        <f t="shared" si="52"/>
        <v>0</v>
      </c>
      <c r="F109" s="290">
        <f t="shared" si="52"/>
        <v>0</v>
      </c>
      <c r="G109" s="290">
        <f t="shared" si="52"/>
        <v>0</v>
      </c>
      <c r="H109" s="290">
        <f t="shared" si="52"/>
        <v>0</v>
      </c>
      <c r="I109" s="290">
        <f t="shared" si="52"/>
        <v>0</v>
      </c>
      <c r="J109" s="290">
        <f t="shared" si="52"/>
        <v>0</v>
      </c>
      <c r="K109" s="300">
        <f t="shared" si="52"/>
        <v>0</v>
      </c>
      <c r="L109" s="301">
        <f t="shared" si="52"/>
        <v>0</v>
      </c>
      <c r="M109" s="302">
        <f t="shared" si="52"/>
        <v>0</v>
      </c>
      <c r="N109" s="301">
        <f t="shared" si="52"/>
        <v>0</v>
      </c>
      <c r="O109" s="302">
        <f t="shared" si="52"/>
        <v>0</v>
      </c>
      <c r="P109" s="329"/>
      <c r="Q109" s="306"/>
      <c r="S109" s="327"/>
      <c r="T109" s="328" t="s">
        <v>2</v>
      </c>
      <c r="U109" s="330">
        <f>SUM(U104:U108)</f>
        <v>0</v>
      </c>
      <c r="V109" s="330">
        <f t="shared" ref="V109:AF109" si="53">SUM(V104:V108)</f>
        <v>0</v>
      </c>
      <c r="W109" s="330">
        <f t="shared" si="53"/>
        <v>0</v>
      </c>
      <c r="X109" s="330">
        <f t="shared" si="53"/>
        <v>0</v>
      </c>
      <c r="Y109" s="330">
        <f t="shared" si="53"/>
        <v>0</v>
      </c>
      <c r="Z109" s="290">
        <f t="shared" si="53"/>
        <v>0</v>
      </c>
      <c r="AA109" s="290">
        <f t="shared" si="53"/>
        <v>0</v>
      </c>
      <c r="AB109" s="290">
        <f t="shared" si="53"/>
        <v>0</v>
      </c>
      <c r="AC109" s="290">
        <f t="shared" ref="AC109" si="54">SUM(AC104:AC108)</f>
        <v>0</v>
      </c>
      <c r="AD109" s="290">
        <f t="shared" si="53"/>
        <v>0</v>
      </c>
      <c r="AE109" s="290">
        <f>SUM(AE104:AE108)</f>
        <v>0</v>
      </c>
      <c r="AF109" s="331">
        <f t="shared" si="53"/>
        <v>0</v>
      </c>
      <c r="AG109" s="332">
        <f>SUM(AG104:AG108)</f>
        <v>0</v>
      </c>
      <c r="AH109" s="1" t="b">
        <f t="shared" si="44"/>
        <v>1</v>
      </c>
      <c r="AI109" s="306"/>
    </row>
    <row r="110" spans="2:36" ht="12" thickBot="1" x14ac:dyDescent="0.3">
      <c r="B110" s="2"/>
      <c r="C110" s="2"/>
      <c r="D110" s="165"/>
      <c r="E110" s="24"/>
      <c r="F110" s="24"/>
      <c r="G110" s="24"/>
      <c r="H110" s="24"/>
      <c r="I110" s="24"/>
      <c r="J110" s="165"/>
      <c r="K110" s="24"/>
      <c r="L110" s="24"/>
      <c r="M110" s="24"/>
      <c r="N110" s="24"/>
      <c r="O110" s="24"/>
      <c r="Q110" s="4"/>
      <c r="S110" s="2"/>
      <c r="T110" s="2"/>
      <c r="U110" s="24"/>
      <c r="V110" s="24"/>
      <c r="W110" s="24"/>
      <c r="X110" s="24"/>
      <c r="Y110" s="24"/>
      <c r="AF110" s="24"/>
      <c r="AI110" s="4"/>
    </row>
    <row r="111" spans="2:36" ht="12" thickBot="1" x14ac:dyDescent="0.3">
      <c r="B111" s="2"/>
      <c r="C111" s="2"/>
      <c r="D111" s="24"/>
      <c r="E111" s="24"/>
      <c r="F111" s="24"/>
      <c r="G111" s="24"/>
      <c r="H111" s="24"/>
      <c r="I111" s="24"/>
      <c r="J111" s="24"/>
      <c r="K111" s="24"/>
      <c r="L111" s="24"/>
      <c r="M111" s="24"/>
      <c r="N111" s="24"/>
      <c r="O111" s="24"/>
      <c r="Q111" s="4"/>
      <c r="Y111" s="86">
        <f>SUM(U109:Y109)</f>
        <v>0</v>
      </c>
      <c r="AA111" s="1" t="s">
        <v>1</v>
      </c>
      <c r="AB111" s="1" t="s">
        <v>1</v>
      </c>
      <c r="AD111" s="1" t="s">
        <v>1</v>
      </c>
      <c r="AF111" s="1" t="s">
        <v>1</v>
      </c>
      <c r="AI111" s="4"/>
    </row>
    <row r="112" spans="2:36" ht="12" thickBot="1" x14ac:dyDescent="0.3">
      <c r="B112" s="2"/>
      <c r="C112" s="2"/>
      <c r="D112" s="24" t="s">
        <v>1</v>
      </c>
      <c r="E112" s="33"/>
      <c r="F112" s="33"/>
      <c r="G112" s="33"/>
      <c r="H112" s="33"/>
      <c r="I112" s="24"/>
      <c r="K112" s="24"/>
      <c r="L112" s="24"/>
      <c r="M112" s="24"/>
      <c r="N112" s="24"/>
      <c r="O112" s="24"/>
      <c r="Q112" s="4"/>
      <c r="U112" s="33"/>
      <c r="V112" s="33"/>
      <c r="W112" s="33"/>
      <c r="X112" s="33"/>
      <c r="AI112" s="4"/>
    </row>
    <row r="113" spans="1:35" x14ac:dyDescent="0.25">
      <c r="B113" s="2"/>
      <c r="C113" s="2"/>
      <c r="D113" s="24" t="s">
        <v>1</v>
      </c>
      <c r="E113" s="24" t="s">
        <v>1</v>
      </c>
      <c r="F113" s="24" t="s">
        <v>25</v>
      </c>
      <c r="G113" s="24"/>
      <c r="H113" s="24"/>
      <c r="I113" s="24"/>
      <c r="J113" s="24" t="s">
        <v>190</v>
      </c>
      <c r="L113" s="24"/>
      <c r="M113" s="24"/>
      <c r="N113" s="24"/>
      <c r="O113" s="24"/>
      <c r="Q113" s="4"/>
      <c r="U113" s="24" t="s">
        <v>1</v>
      </c>
      <c r="V113" s="24" t="s">
        <v>25</v>
      </c>
      <c r="W113" s="24"/>
      <c r="X113" s="24"/>
      <c r="AI113" s="4"/>
    </row>
    <row r="114" spans="1:35" x14ac:dyDescent="0.25">
      <c r="A114" s="52"/>
      <c r="B114" s="53"/>
      <c r="C114" s="53"/>
      <c r="D114" s="54"/>
      <c r="E114" s="54"/>
      <c r="F114" s="54"/>
      <c r="G114" s="54"/>
      <c r="H114" s="54"/>
      <c r="I114" s="54"/>
      <c r="J114" s="52"/>
      <c r="K114" s="54"/>
      <c r="L114" s="54"/>
      <c r="M114" s="54"/>
      <c r="N114" s="54"/>
      <c r="O114" s="54"/>
      <c r="P114" s="52"/>
      <c r="Q114" s="52"/>
      <c r="R114" s="52"/>
      <c r="S114" s="52"/>
      <c r="T114" s="52"/>
      <c r="U114" s="52"/>
      <c r="V114" s="52"/>
      <c r="W114" s="52"/>
      <c r="X114" s="52"/>
      <c r="Y114" s="52"/>
      <c r="Z114" s="52"/>
      <c r="AA114" s="52"/>
      <c r="AB114" s="52"/>
      <c r="AC114" s="52"/>
      <c r="AD114" s="52"/>
      <c r="AE114" s="52"/>
      <c r="AF114" s="52"/>
      <c r="AG114" s="52"/>
      <c r="AH114" s="52"/>
      <c r="AI114" s="52"/>
    </row>
    <row r="115" spans="1:35" ht="12" thickBot="1" x14ac:dyDescent="0.3">
      <c r="Q115" s="4"/>
    </row>
    <row r="116" spans="1:35" x14ac:dyDescent="0.25">
      <c r="B116" s="5"/>
      <c r="C116" s="3" t="s">
        <v>1</v>
      </c>
      <c r="D116" s="6" t="s">
        <v>1</v>
      </c>
      <c r="E116" s="3"/>
      <c r="F116" s="3"/>
      <c r="G116" s="3"/>
      <c r="H116" s="3" t="s">
        <v>1</v>
      </c>
      <c r="I116" s="3"/>
      <c r="J116" s="3"/>
      <c r="K116" s="3"/>
      <c r="L116" s="3"/>
      <c r="M116" s="3"/>
      <c r="N116" s="3"/>
      <c r="O116" s="7"/>
      <c r="P116" s="2"/>
      <c r="Q116" s="35"/>
    </row>
    <row r="117" spans="1:35" ht="14" x14ac:dyDescent="0.3">
      <c r="B117" s="8"/>
      <c r="C117" s="2"/>
      <c r="D117" s="9"/>
      <c r="F117" s="26" t="s">
        <v>8</v>
      </c>
      <c r="G117" s="26"/>
      <c r="I117" s="26" t="s">
        <v>16</v>
      </c>
      <c r="J117" s="25"/>
      <c r="L117" s="2" t="s">
        <v>15</v>
      </c>
      <c r="M117" s="50">
        <f>N3</f>
        <v>2026072</v>
      </c>
      <c r="O117" s="10"/>
      <c r="P117" s="2"/>
      <c r="Q117" s="4"/>
    </row>
    <row r="118" spans="1:35" ht="15.5" x14ac:dyDescent="0.35">
      <c r="B118" s="8"/>
      <c r="C118" s="2"/>
      <c r="D118" s="57"/>
      <c r="F118" s="36" t="s">
        <v>29</v>
      </c>
      <c r="G118" s="36"/>
      <c r="O118" s="10"/>
      <c r="P118" s="2"/>
      <c r="Q118" s="4"/>
    </row>
    <row r="119" spans="1:35" x14ac:dyDescent="0.25">
      <c r="B119" s="8"/>
      <c r="F119" s="2" t="s">
        <v>30</v>
      </c>
      <c r="G119" s="2"/>
      <c r="M119" s="2" t="s">
        <v>1</v>
      </c>
      <c r="O119" s="10"/>
      <c r="P119" s="2"/>
      <c r="Q119" s="4"/>
    </row>
    <row r="120" spans="1:35" x14ac:dyDescent="0.25">
      <c r="B120" s="8"/>
      <c r="I120" s="2"/>
      <c r="J120" s="2"/>
      <c r="O120" s="10"/>
      <c r="P120" s="2"/>
      <c r="Q120" s="4"/>
    </row>
    <row r="121" spans="1:35" ht="15.5" x14ac:dyDescent="0.35">
      <c r="B121" s="8"/>
      <c r="F121" s="41" t="s">
        <v>37</v>
      </c>
      <c r="G121" s="41"/>
      <c r="H121" s="2"/>
      <c r="J121" s="2"/>
      <c r="O121" s="10"/>
      <c r="P121" s="2"/>
      <c r="Q121" s="4"/>
    </row>
    <row r="122" spans="1:35" x14ac:dyDescent="0.25">
      <c r="B122" s="8"/>
      <c r="F122" s="2" t="s">
        <v>27</v>
      </c>
      <c r="G122" s="9">
        <f>G7</f>
        <v>46219</v>
      </c>
      <c r="J122" s="2" t="s">
        <v>28</v>
      </c>
      <c r="K122" s="9">
        <f>K7</f>
        <v>46234</v>
      </c>
      <c r="O122" s="10"/>
      <c r="P122" s="2"/>
      <c r="Q122" s="4"/>
    </row>
    <row r="123" spans="1:35" ht="12" thickBot="1" x14ac:dyDescent="0.3">
      <c r="B123" s="8"/>
      <c r="C123" s="2" t="s">
        <v>1</v>
      </c>
      <c r="D123" s="2" t="s">
        <v>1</v>
      </c>
      <c r="J123" s="1" t="s">
        <v>1</v>
      </c>
      <c r="O123" s="44"/>
      <c r="P123" s="2"/>
      <c r="Q123" s="4"/>
    </row>
    <row r="124" spans="1:35" ht="46.5" thickBot="1" x14ac:dyDescent="0.3">
      <c r="B124" s="11" t="s">
        <v>3</v>
      </c>
      <c r="C124" s="12" t="s">
        <v>9</v>
      </c>
      <c r="D124" s="12" t="s">
        <v>38</v>
      </c>
      <c r="E124" s="73" t="s">
        <v>48</v>
      </c>
      <c r="G124" s="104" t="s">
        <v>47</v>
      </c>
      <c r="H124" s="73" t="s">
        <v>56</v>
      </c>
      <c r="I124" s="73" t="s">
        <v>130</v>
      </c>
      <c r="J124" s="73" t="s">
        <v>172</v>
      </c>
      <c r="K124" s="73" t="s">
        <v>143</v>
      </c>
      <c r="L124" s="73" t="s">
        <v>144</v>
      </c>
      <c r="O124" s="44"/>
      <c r="P124" s="13"/>
      <c r="Q124" s="4"/>
    </row>
    <row r="125" spans="1:35" s="305" customFormat="1" x14ac:dyDescent="0.25">
      <c r="B125" s="334">
        <v>1</v>
      </c>
      <c r="C125" s="335" t="s">
        <v>10</v>
      </c>
      <c r="D125" s="308">
        <f>'ANTICIPOS USUARIOS'!R3</f>
        <v>0</v>
      </c>
      <c r="E125" s="309">
        <v>0</v>
      </c>
      <c r="G125" s="336">
        <f>D47+N47</f>
        <v>0</v>
      </c>
      <c r="H125" s="310">
        <f>D28+N28</f>
        <v>0</v>
      </c>
      <c r="I125" s="309">
        <f>D85+N85</f>
        <v>0</v>
      </c>
      <c r="J125" s="309">
        <f>D66+N66</f>
        <v>0</v>
      </c>
      <c r="K125" s="309">
        <f>'ANTICIPOS USUARIOS'!R12</f>
        <v>0</v>
      </c>
      <c r="L125" s="309">
        <f>-'ANTICIPOS USUARIOS'!R21</f>
        <v>0</v>
      </c>
      <c r="O125" s="337"/>
      <c r="Q125" s="306"/>
    </row>
    <row r="126" spans="1:35" s="305" customFormat="1" x14ac:dyDescent="0.25">
      <c r="B126" s="314">
        <v>2</v>
      </c>
      <c r="C126" s="338" t="s">
        <v>11</v>
      </c>
      <c r="D126" s="292">
        <f>'ANTICIPOS USUARIOS'!R4</f>
        <v>0</v>
      </c>
      <c r="E126" s="288">
        <v>0</v>
      </c>
      <c r="G126" s="339">
        <f>D48+N48</f>
        <v>0</v>
      </c>
      <c r="H126" s="340">
        <f>D29+N29</f>
        <v>0</v>
      </c>
      <c r="I126" s="288">
        <f>D86+N86</f>
        <v>0</v>
      </c>
      <c r="J126" s="288">
        <f t="shared" ref="J126:J129" si="55">D67+N67</f>
        <v>0</v>
      </c>
      <c r="K126" s="288">
        <f>'ANTICIPOS USUARIOS'!R13</f>
        <v>0</v>
      </c>
      <c r="L126" s="288">
        <f>-'ANTICIPOS USUARIOS'!R22</f>
        <v>0</v>
      </c>
      <c r="O126" s="337"/>
      <c r="Q126" s="306"/>
    </row>
    <row r="127" spans="1:35" s="305" customFormat="1" x14ac:dyDescent="0.25">
      <c r="B127" s="314">
        <v>3</v>
      </c>
      <c r="C127" s="338" t="s">
        <v>12</v>
      </c>
      <c r="D127" s="292">
        <f>'ANTICIPOS USUARIOS'!R5</f>
        <v>0</v>
      </c>
      <c r="E127" s="288">
        <v>0</v>
      </c>
      <c r="G127" s="339">
        <f>D49+N49</f>
        <v>0</v>
      </c>
      <c r="H127" s="340">
        <f>D30+N30</f>
        <v>0</v>
      </c>
      <c r="I127" s="288">
        <f>D87+N87</f>
        <v>0</v>
      </c>
      <c r="J127" s="288">
        <f t="shared" si="55"/>
        <v>0</v>
      </c>
      <c r="K127" s="288">
        <f>'ANTICIPOS USUARIOS'!R14</f>
        <v>0</v>
      </c>
      <c r="L127" s="288">
        <f>-'ANTICIPOS USUARIOS'!R23</f>
        <v>0</v>
      </c>
      <c r="O127" s="337"/>
      <c r="Q127" s="306"/>
    </row>
    <row r="128" spans="1:35" s="305" customFormat="1" x14ac:dyDescent="0.25">
      <c r="B128" s="314">
        <v>4</v>
      </c>
      <c r="C128" s="338" t="s">
        <v>13</v>
      </c>
      <c r="D128" s="292">
        <f>'ANTICIPOS USUARIOS'!R6</f>
        <v>0</v>
      </c>
      <c r="E128" s="288">
        <v>0</v>
      </c>
      <c r="G128" s="339">
        <f>D50+N50</f>
        <v>0</v>
      </c>
      <c r="H128" s="340">
        <f>D31+N31</f>
        <v>0</v>
      </c>
      <c r="I128" s="288">
        <f>D88+N88</f>
        <v>0</v>
      </c>
      <c r="J128" s="288">
        <f t="shared" si="55"/>
        <v>0</v>
      </c>
      <c r="K128" s="288">
        <f>'ANTICIPOS USUARIOS'!R15</f>
        <v>0</v>
      </c>
      <c r="L128" s="288">
        <f>-'ANTICIPOS USUARIOS'!R24</f>
        <v>0</v>
      </c>
      <c r="O128" s="337"/>
      <c r="Q128" s="306"/>
    </row>
    <row r="129" spans="1:19" s="305" customFormat="1" x14ac:dyDescent="0.25">
      <c r="B129" s="341">
        <v>5</v>
      </c>
      <c r="C129" s="342" t="s">
        <v>14</v>
      </c>
      <c r="D129" s="292">
        <f>'ANTICIPOS USUARIOS'!R7</f>
        <v>0</v>
      </c>
      <c r="E129" s="344">
        <v>0</v>
      </c>
      <c r="G129" s="339">
        <f>D51+N51</f>
        <v>0</v>
      </c>
      <c r="H129" s="340">
        <f>D32+N32</f>
        <v>0</v>
      </c>
      <c r="I129" s="288">
        <f>D89+N89</f>
        <v>0</v>
      </c>
      <c r="J129" s="288">
        <f t="shared" si="55"/>
        <v>0</v>
      </c>
      <c r="K129" s="288">
        <f>'ANTICIPOS USUARIOS'!R16</f>
        <v>0</v>
      </c>
      <c r="L129" s="288">
        <f>-'ANTICIPOS USUARIOS'!R25</f>
        <v>0</v>
      </c>
      <c r="O129" s="337"/>
      <c r="Q129" s="306"/>
    </row>
    <row r="130" spans="1:19" s="305" customFormat="1" ht="12" thickBot="1" x14ac:dyDescent="0.3">
      <c r="B130" s="324" t="s">
        <v>89</v>
      </c>
      <c r="C130" s="345" t="s">
        <v>113</v>
      </c>
      <c r="D130" s="297"/>
      <c r="E130" s="289">
        <f>'Recaudo EAAB + Ciud Limp'!D26</f>
        <v>0</v>
      </c>
      <c r="G130" s="346"/>
      <c r="H130" s="347"/>
      <c r="I130" s="289"/>
      <c r="J130" s="289"/>
      <c r="K130" s="289"/>
      <c r="L130" s="289"/>
      <c r="O130" s="337"/>
      <c r="Q130" s="306"/>
    </row>
    <row r="131" spans="1:19" s="305" customFormat="1" ht="12" thickBot="1" x14ac:dyDescent="0.3">
      <c r="B131" s="348"/>
      <c r="C131" s="349" t="s">
        <v>2</v>
      </c>
      <c r="D131" s="350">
        <f>SUM(D125:D130)</f>
        <v>0</v>
      </c>
      <c r="E131" s="350">
        <f>SUM(E125:E130)</f>
        <v>0</v>
      </c>
      <c r="F131" s="351"/>
      <c r="G131" s="350">
        <f t="shared" ref="G131" si="56">SUM(G125:G129)</f>
        <v>0</v>
      </c>
      <c r="H131" s="350">
        <f>SUM(H125:H130)</f>
        <v>0</v>
      </c>
      <c r="I131" s="350">
        <f>SUM(I125:I130)</f>
        <v>0</v>
      </c>
      <c r="J131" s="350">
        <f>SUM(J125:J130)</f>
        <v>0</v>
      </c>
      <c r="K131" s="350">
        <f>SUM(K125:K130)</f>
        <v>0</v>
      </c>
      <c r="L131" s="350">
        <f>SUM(L125:L130)</f>
        <v>0</v>
      </c>
      <c r="M131" s="351"/>
      <c r="N131" s="351"/>
      <c r="O131" s="352"/>
      <c r="P131" s="329"/>
      <c r="Q131" s="306"/>
    </row>
    <row r="132" spans="1:19" x14ac:dyDescent="0.25">
      <c r="B132" s="2"/>
      <c r="C132" s="2"/>
      <c r="D132" s="24"/>
      <c r="Q132" s="4"/>
    </row>
    <row r="133" spans="1:19" x14ac:dyDescent="0.25">
      <c r="B133" s="2"/>
      <c r="C133" s="2"/>
      <c r="D133" s="24"/>
      <c r="L133" s="1" t="s">
        <v>1</v>
      </c>
      <c r="Q133" s="4"/>
    </row>
    <row r="134" spans="1:19" ht="12" thickBot="1" x14ac:dyDescent="0.3">
      <c r="B134" s="2"/>
      <c r="C134" s="2"/>
      <c r="D134" s="24"/>
      <c r="E134" s="33"/>
      <c r="F134" s="33"/>
      <c r="G134" s="33"/>
      <c r="H134" s="33"/>
      <c r="I134" s="24"/>
      <c r="K134" s="24"/>
      <c r="L134" s="24" t="s">
        <v>1</v>
      </c>
      <c r="M134" s="24" t="s">
        <v>1</v>
      </c>
      <c r="N134" s="24"/>
      <c r="O134" s="24"/>
      <c r="Q134" s="4"/>
    </row>
    <row r="135" spans="1:19" x14ac:dyDescent="0.25">
      <c r="B135" s="2"/>
      <c r="C135" s="2"/>
      <c r="D135" s="24"/>
      <c r="E135" s="24" t="s">
        <v>1</v>
      </c>
      <c r="F135" s="42" t="s">
        <v>36</v>
      </c>
      <c r="G135" s="42"/>
      <c r="H135" s="42"/>
      <c r="I135" s="24"/>
      <c r="K135" s="24"/>
      <c r="L135" s="24"/>
      <c r="M135" s="24"/>
      <c r="N135" s="24"/>
      <c r="O135" s="24"/>
      <c r="Q135" s="4"/>
    </row>
    <row r="136" spans="1:19" x14ac:dyDescent="0.25">
      <c r="A136" s="52"/>
      <c r="B136" s="53"/>
      <c r="C136" s="53"/>
      <c r="D136" s="54"/>
      <c r="E136" s="54"/>
      <c r="F136" s="54"/>
      <c r="G136" s="54"/>
      <c r="H136" s="54"/>
      <c r="I136" s="54"/>
      <c r="J136" s="52"/>
      <c r="K136" s="54"/>
      <c r="L136" s="54"/>
      <c r="M136" s="54"/>
      <c r="N136" s="54"/>
      <c r="O136" s="54"/>
      <c r="P136" s="52"/>
      <c r="Q136" s="4"/>
    </row>
    <row r="137" spans="1:19" x14ac:dyDescent="0.25">
      <c r="B137" s="2"/>
      <c r="C137" s="2"/>
      <c r="D137" s="24"/>
      <c r="E137" s="24"/>
      <c r="F137" s="24"/>
      <c r="G137" s="24"/>
      <c r="H137" s="24"/>
      <c r="I137" s="24"/>
      <c r="K137" s="24"/>
      <c r="L137" s="24"/>
      <c r="M137" s="24"/>
      <c r="N137" s="24"/>
      <c r="O137" s="24"/>
      <c r="Q137" s="4"/>
    </row>
    <row r="138" spans="1:19" x14ac:dyDescent="0.25">
      <c r="B138" s="2"/>
      <c r="C138" s="59" t="s">
        <v>49</v>
      </c>
      <c r="D138" s="64"/>
      <c r="E138" s="24"/>
      <c r="F138" s="24"/>
      <c r="G138" s="24"/>
      <c r="H138" s="24"/>
      <c r="I138" s="24"/>
      <c r="K138" s="24"/>
      <c r="L138" s="24"/>
      <c r="M138" s="24"/>
      <c r="N138" s="24"/>
      <c r="O138" s="24"/>
      <c r="Q138" s="35"/>
    </row>
    <row r="139" spans="1:19" x14ac:dyDescent="0.25">
      <c r="B139" s="2"/>
      <c r="C139" s="2"/>
      <c r="D139" s="24"/>
      <c r="E139" s="24"/>
      <c r="F139" s="24"/>
      <c r="G139" s="24"/>
      <c r="H139" s="24"/>
      <c r="I139" s="24"/>
      <c r="K139" s="24"/>
      <c r="L139" s="24"/>
      <c r="M139" s="24"/>
      <c r="N139" s="24"/>
      <c r="O139" s="24"/>
      <c r="Q139" s="35"/>
    </row>
    <row r="140" spans="1:19" ht="18.75" customHeight="1" thickBot="1" x14ac:dyDescent="0.3">
      <c r="B140" s="2"/>
      <c r="C140" s="2"/>
      <c r="D140" s="24"/>
      <c r="E140" s="24"/>
      <c r="F140" s="24"/>
      <c r="G140" s="24"/>
      <c r="H140" s="24"/>
      <c r="J140" s="24"/>
      <c r="K140" s="24"/>
      <c r="M140" s="24"/>
      <c r="N140" s="24"/>
      <c r="O140" s="24"/>
      <c r="P140" s="24"/>
      <c r="Q140" s="35"/>
    </row>
    <row r="141" spans="1:19" ht="46.5" thickBot="1" x14ac:dyDescent="0.3">
      <c r="B141" s="104" t="s">
        <v>3</v>
      </c>
      <c r="C141" s="105" t="s">
        <v>9</v>
      </c>
      <c r="D141" s="105" t="s">
        <v>44</v>
      </c>
      <c r="E141" s="105" t="s">
        <v>45</v>
      </c>
      <c r="F141" s="105" t="s">
        <v>31</v>
      </c>
      <c r="G141" s="105" t="s">
        <v>91</v>
      </c>
      <c r="H141" s="105" t="s">
        <v>128</v>
      </c>
      <c r="I141" s="105" t="s">
        <v>127</v>
      </c>
      <c r="J141" s="105" t="s">
        <v>47</v>
      </c>
      <c r="K141" s="105" t="s">
        <v>51</v>
      </c>
      <c r="L141" s="1" t="s">
        <v>1</v>
      </c>
      <c r="M141" s="56"/>
      <c r="N141" s="56"/>
      <c r="O141" s="56"/>
      <c r="P141" s="24"/>
      <c r="Q141" s="35"/>
      <c r="R141" s="24"/>
    </row>
    <row r="142" spans="1:19" s="305" customFormat="1" x14ac:dyDescent="0.25">
      <c r="B142" s="334">
        <v>1</v>
      </c>
      <c r="C142" s="335" t="s">
        <v>10</v>
      </c>
      <c r="D142" s="308">
        <f>D104+N104+D125+E125</f>
        <v>0</v>
      </c>
      <c r="E142" s="308">
        <f>'Recaudo EAAB + Ciud Limp'!D21</f>
        <v>0</v>
      </c>
      <c r="F142" s="308">
        <f>D28+N28</f>
        <v>0</v>
      </c>
      <c r="G142" s="308">
        <f>D66+N66</f>
        <v>0</v>
      </c>
      <c r="H142" s="308">
        <f>D85+N85</f>
        <v>0</v>
      </c>
      <c r="I142" s="308">
        <v>0</v>
      </c>
      <c r="J142" s="308">
        <f t="shared" ref="J142:K146" si="57">G125</f>
        <v>0</v>
      </c>
      <c r="K142" s="309">
        <f t="shared" si="57"/>
        <v>0</v>
      </c>
      <c r="L142" s="525">
        <f>D142-E142-F142-G142-J142-H142-I142</f>
        <v>0</v>
      </c>
      <c r="M142" s="1" t="b">
        <f t="shared" ref="M142:M147" si="58">INT(ABS(L142))=0</f>
        <v>1</v>
      </c>
      <c r="P142" s="360"/>
      <c r="Q142" s="361"/>
      <c r="R142" s="360"/>
      <c r="S142" s="1"/>
    </row>
    <row r="143" spans="1:19" s="305" customFormat="1" x14ac:dyDescent="0.25">
      <c r="B143" s="314">
        <v>2</v>
      </c>
      <c r="C143" s="338" t="s">
        <v>11</v>
      </c>
      <c r="D143" s="317">
        <f>D105+N105+D126+E126</f>
        <v>0</v>
      </c>
      <c r="E143" s="317">
        <f>'Recaudo EAAB + Ciud Limp'!D22</f>
        <v>0</v>
      </c>
      <c r="F143" s="317">
        <f>D29+N29</f>
        <v>0</v>
      </c>
      <c r="G143" s="317">
        <f>D67+N67</f>
        <v>0</v>
      </c>
      <c r="H143" s="317">
        <f>D86+N86</f>
        <v>0</v>
      </c>
      <c r="I143" s="317">
        <v>0</v>
      </c>
      <c r="J143" s="317">
        <f t="shared" si="57"/>
        <v>0</v>
      </c>
      <c r="K143" s="318">
        <f t="shared" si="57"/>
        <v>0</v>
      </c>
      <c r="L143" s="525">
        <f>D143-E143-F143-G143-J143-H143-I143</f>
        <v>0</v>
      </c>
      <c r="M143" s="1" t="b">
        <f t="shared" si="58"/>
        <v>1</v>
      </c>
      <c r="P143" s="360"/>
      <c r="Q143" s="361"/>
      <c r="R143" s="360"/>
      <c r="S143" s="1"/>
    </row>
    <row r="144" spans="1:19" s="305" customFormat="1" x14ac:dyDescent="0.25">
      <c r="B144" s="314">
        <v>3</v>
      </c>
      <c r="C144" s="338" t="s">
        <v>12</v>
      </c>
      <c r="D144" s="317">
        <f>D106+N106+D127+E127</f>
        <v>0</v>
      </c>
      <c r="E144" s="317">
        <f>'Recaudo EAAB + Ciud Limp'!D23</f>
        <v>0</v>
      </c>
      <c r="F144" s="317">
        <f>D30+N30</f>
        <v>0</v>
      </c>
      <c r="G144" s="317">
        <f>D68+N68</f>
        <v>0</v>
      </c>
      <c r="H144" s="317">
        <f>D87+N87</f>
        <v>0</v>
      </c>
      <c r="I144" s="317">
        <v>0</v>
      </c>
      <c r="J144" s="317">
        <f t="shared" si="57"/>
        <v>0</v>
      </c>
      <c r="K144" s="318">
        <f t="shared" si="57"/>
        <v>0</v>
      </c>
      <c r="L144" s="525">
        <f>D144-E144-F144-G144-J144-H144-I144</f>
        <v>0</v>
      </c>
      <c r="M144" s="1" t="b">
        <f t="shared" si="58"/>
        <v>1</v>
      </c>
      <c r="P144" s="360"/>
      <c r="Q144" s="361"/>
      <c r="R144" s="360"/>
      <c r="S144" s="1"/>
    </row>
    <row r="145" spans="1:20" s="305" customFormat="1" x14ac:dyDescent="0.25">
      <c r="B145" s="314">
        <v>4</v>
      </c>
      <c r="C145" s="338" t="s">
        <v>13</v>
      </c>
      <c r="D145" s="317">
        <f>D107+N107+D128+E128</f>
        <v>0</v>
      </c>
      <c r="E145" s="317">
        <f>'Recaudo EAAB + Ciud Limp'!D24</f>
        <v>0</v>
      </c>
      <c r="F145" s="317">
        <f>D31+N31</f>
        <v>0</v>
      </c>
      <c r="G145" s="317">
        <f>D69+N69</f>
        <v>0</v>
      </c>
      <c r="H145" s="317">
        <f>D88+N88</f>
        <v>0</v>
      </c>
      <c r="I145" s="317">
        <v>0</v>
      </c>
      <c r="J145" s="317">
        <f t="shared" si="57"/>
        <v>0</v>
      </c>
      <c r="K145" s="318">
        <f t="shared" si="57"/>
        <v>0</v>
      </c>
      <c r="L145" s="525">
        <f>D145-E145-F145-G145-J145-H145-I145</f>
        <v>0</v>
      </c>
      <c r="M145" s="1" t="b">
        <f t="shared" si="58"/>
        <v>1</v>
      </c>
      <c r="P145" s="360"/>
      <c r="Q145" s="361"/>
      <c r="R145" s="360"/>
      <c r="S145" s="1"/>
    </row>
    <row r="146" spans="1:20" s="305" customFormat="1" ht="12" thickBot="1" x14ac:dyDescent="0.3">
      <c r="B146" s="341">
        <v>5</v>
      </c>
      <c r="C146" s="342" t="s">
        <v>14</v>
      </c>
      <c r="D146" s="356">
        <f>D108+N108+D129+E129</f>
        <v>0</v>
      </c>
      <c r="E146" s="317">
        <f>'Recaudo EAAB + Ciud Limp'!D25</f>
        <v>0</v>
      </c>
      <c r="F146" s="356">
        <f>D32+N32</f>
        <v>0</v>
      </c>
      <c r="G146" s="356">
        <f>D70+N70</f>
        <v>0</v>
      </c>
      <c r="H146" s="356">
        <f>D89+N89</f>
        <v>0</v>
      </c>
      <c r="I146" s="356">
        <v>0</v>
      </c>
      <c r="J146" s="356">
        <f t="shared" si="57"/>
        <v>0</v>
      </c>
      <c r="K146" s="358">
        <f t="shared" si="57"/>
        <v>0</v>
      </c>
      <c r="L146" s="525">
        <f>D146-E146-F146-G146-J146-H146-I146</f>
        <v>0</v>
      </c>
      <c r="M146" s="1" t="b">
        <f t="shared" si="58"/>
        <v>1</v>
      </c>
      <c r="P146" s="360"/>
      <c r="Q146" s="361"/>
      <c r="R146" s="360"/>
      <c r="S146" s="1"/>
    </row>
    <row r="147" spans="1:20" s="305" customFormat="1" ht="12" thickBot="1" x14ac:dyDescent="0.3">
      <c r="B147" s="327"/>
      <c r="C147" s="328" t="s">
        <v>2</v>
      </c>
      <c r="D147" s="362">
        <f>SUM(D142:D146)</f>
        <v>0</v>
      </c>
      <c r="E147" s="362">
        <f>SUM(E142:E146)</f>
        <v>0</v>
      </c>
      <c r="F147" s="362">
        <f t="shared" ref="F147:K147" si="59">SUM(F142:F146)</f>
        <v>0</v>
      </c>
      <c r="G147" s="362">
        <f t="shared" si="59"/>
        <v>0</v>
      </c>
      <c r="H147" s="362">
        <f t="shared" si="59"/>
        <v>0</v>
      </c>
      <c r="I147" s="362">
        <f t="shared" si="59"/>
        <v>0</v>
      </c>
      <c r="J147" s="362">
        <f t="shared" si="59"/>
        <v>0</v>
      </c>
      <c r="K147" s="362">
        <f t="shared" si="59"/>
        <v>0</v>
      </c>
      <c r="L147" s="525">
        <f>SUM(L142:L146)</f>
        <v>0</v>
      </c>
      <c r="M147" s="1" t="b">
        <f t="shared" si="58"/>
        <v>1</v>
      </c>
      <c r="P147" s="360"/>
      <c r="Q147" s="361"/>
      <c r="R147" s="360"/>
      <c r="S147" s="1"/>
    </row>
    <row r="148" spans="1:20" x14ac:dyDescent="0.25">
      <c r="B148" s="2"/>
      <c r="H148" s="55"/>
      <c r="L148" s="24"/>
      <c r="M148" s="24"/>
      <c r="N148" s="24"/>
      <c r="O148" s="24"/>
      <c r="P148" s="24"/>
      <c r="Q148" s="35"/>
    </row>
    <row r="149" spans="1:20" ht="21.75" customHeight="1" x14ac:dyDescent="0.25">
      <c r="B149" s="2"/>
      <c r="C149" s="2"/>
      <c r="D149" s="24"/>
      <c r="F149" s="24"/>
      <c r="G149" s="24"/>
      <c r="H149" s="24"/>
      <c r="I149" s="24"/>
      <c r="K149" s="24"/>
      <c r="L149" s="24"/>
      <c r="M149" s="24"/>
      <c r="N149" s="24"/>
      <c r="O149" s="24"/>
      <c r="Q149" s="35"/>
    </row>
    <row r="150" spans="1:20" x14ac:dyDescent="0.25">
      <c r="B150" s="2"/>
      <c r="C150" s="2"/>
      <c r="D150" s="24"/>
      <c r="E150" s="24"/>
      <c r="F150" s="24"/>
      <c r="G150" s="24"/>
      <c r="H150" s="24"/>
      <c r="I150" s="24"/>
      <c r="J150" s="55"/>
      <c r="K150" s="24"/>
      <c r="L150" s="24"/>
      <c r="M150" s="24"/>
      <c r="N150" s="24"/>
      <c r="O150" s="24"/>
      <c r="Q150" s="35"/>
      <c r="T150" s="24"/>
    </row>
    <row r="151" spans="1:20" x14ac:dyDescent="0.25">
      <c r="A151" s="52"/>
      <c r="B151" s="53"/>
      <c r="C151" s="53"/>
      <c r="D151" s="54"/>
      <c r="E151" s="54"/>
      <c r="F151" s="54"/>
      <c r="G151" s="54"/>
      <c r="H151" s="54"/>
      <c r="I151" s="54"/>
      <c r="J151" s="52"/>
      <c r="K151" s="54"/>
      <c r="L151" s="54"/>
      <c r="M151" s="54"/>
      <c r="N151" s="54"/>
      <c r="O151" s="54"/>
      <c r="P151" s="52"/>
      <c r="Q151" s="54"/>
      <c r="T151" s="24"/>
    </row>
    <row r="152" spans="1:20" x14ac:dyDescent="0.25">
      <c r="N152" s="24"/>
      <c r="O152" s="24"/>
      <c r="Q152" s="24"/>
      <c r="T152" s="24"/>
    </row>
    <row r="153" spans="1:20" x14ac:dyDescent="0.25">
      <c r="N153" s="24"/>
      <c r="O153" s="24"/>
      <c r="Q153" s="24"/>
      <c r="T153" s="24"/>
    </row>
    <row r="154" spans="1:20" x14ac:dyDescent="0.25">
      <c r="N154" s="24"/>
      <c r="O154" s="24"/>
      <c r="Q154" s="24"/>
      <c r="T154" s="24"/>
    </row>
    <row r="155" spans="1:20" x14ac:dyDescent="0.25">
      <c r="N155" s="24"/>
      <c r="O155" s="24"/>
      <c r="Q155" s="24"/>
      <c r="T155" s="24"/>
    </row>
    <row r="156" spans="1:20" x14ac:dyDescent="0.25">
      <c r="N156" s="24"/>
      <c r="O156" s="24"/>
      <c r="Q156" s="24"/>
      <c r="T156" s="24"/>
    </row>
    <row r="157" spans="1:20" x14ac:dyDescent="0.25">
      <c r="N157" s="24"/>
      <c r="O157" s="24"/>
      <c r="Q157" s="24"/>
      <c r="T157" s="24"/>
    </row>
    <row r="158" spans="1:20" x14ac:dyDescent="0.25">
      <c r="N158" s="24"/>
      <c r="O158" s="24"/>
      <c r="Q158" s="24"/>
      <c r="T158" s="24"/>
    </row>
    <row r="159" spans="1:20" x14ac:dyDescent="0.25">
      <c r="N159" s="24"/>
      <c r="O159" s="24"/>
      <c r="Q159" s="24"/>
      <c r="T159" s="24"/>
    </row>
    <row r="160" spans="1:20" x14ac:dyDescent="0.25">
      <c r="N160" s="24"/>
      <c r="O160" s="24"/>
      <c r="Q160" s="24"/>
      <c r="T160" s="24"/>
    </row>
    <row r="161" spans="14:20" x14ac:dyDescent="0.25">
      <c r="N161" s="24"/>
      <c r="O161" s="24"/>
      <c r="Q161" s="24"/>
      <c r="T161" s="24"/>
    </row>
    <row r="162" spans="14:20" x14ac:dyDescent="0.25">
      <c r="N162" s="24"/>
      <c r="O162" s="24"/>
      <c r="Q162" s="24"/>
      <c r="T162" s="24"/>
    </row>
    <row r="163" spans="14:20" x14ac:dyDescent="0.25">
      <c r="N163" s="24"/>
      <c r="O163" s="24"/>
      <c r="Q163" s="24"/>
      <c r="T163" s="24"/>
    </row>
    <row r="164" spans="14:20" x14ac:dyDescent="0.25">
      <c r="N164" s="24"/>
      <c r="O164" s="24"/>
      <c r="Q164" s="24"/>
      <c r="T164" s="24"/>
    </row>
    <row r="165" spans="14:20" x14ac:dyDescent="0.25">
      <c r="N165" s="24"/>
      <c r="O165" s="24"/>
      <c r="Q165" s="24"/>
      <c r="T165" s="24"/>
    </row>
    <row r="166" spans="14:20" x14ac:dyDescent="0.25">
      <c r="Q166" s="24"/>
      <c r="T166" s="24"/>
    </row>
    <row r="167" spans="14:20" x14ac:dyDescent="0.25">
      <c r="Q167" s="24"/>
    </row>
  </sheetData>
  <conditionalFormatting sqref="L142:L147">
    <cfRule type="expression" dxfId="18" priority="11">
      <formula>$L$142&lt;&gt;0</formula>
    </cfRule>
  </conditionalFormatting>
  <conditionalFormatting sqref="M142:M147">
    <cfRule type="cellIs" dxfId="17" priority="3" operator="notEqual">
      <formula>TRUE</formula>
    </cfRule>
  </conditionalFormatting>
  <conditionalFormatting sqref="AH9:AH14">
    <cfRule type="cellIs" dxfId="16" priority="10" operator="notEqual">
      <formula>TRUE</formula>
    </cfRule>
  </conditionalFormatting>
  <conditionalFormatting sqref="AH28:AH33">
    <cfRule type="cellIs" dxfId="15" priority="9" operator="notEqual">
      <formula>TRUE</formula>
    </cfRule>
  </conditionalFormatting>
  <conditionalFormatting sqref="AH47:AH52">
    <cfRule type="cellIs" dxfId="14" priority="8" operator="notEqual">
      <formula>TRUE</formula>
    </cfRule>
  </conditionalFormatting>
  <conditionalFormatting sqref="AH66:AH71">
    <cfRule type="cellIs" dxfId="13" priority="7" operator="notEqual">
      <formula>TRUE</formula>
    </cfRule>
  </conditionalFormatting>
  <conditionalFormatting sqref="AH85:AH90">
    <cfRule type="cellIs" dxfId="12" priority="6" operator="notEqual">
      <formula>TRUE</formula>
    </cfRule>
  </conditionalFormatting>
  <conditionalFormatting sqref="AH104:AH109">
    <cfRule type="cellIs" dxfId="11" priority="1" operator="notEqual">
      <formula>TRUE</formula>
    </cfRule>
  </conditionalFormatting>
  <printOptions horizontalCentered="1" verticalCentered="1"/>
  <pageMargins left="0.55118110236220474" right="0.74803149606299213" top="0.98425196850393704" bottom="0.78740157480314965" header="0" footer="0"/>
  <pageSetup scale="19" orientation="landscape" r:id="rId1"/>
  <headerFooter alignWithMargins="0"/>
  <drawing r:id="rId2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>
    <tabColor rgb="FFFFFF00"/>
  </sheetPr>
  <dimension ref="B1:P16"/>
  <sheetViews>
    <sheetView zoomScale="90" zoomScaleNormal="90" workbookViewId="0">
      <selection activeCell="C9" sqref="C9"/>
    </sheetView>
  </sheetViews>
  <sheetFormatPr baseColWidth="10" defaultRowHeight="12.5" x14ac:dyDescent="0.25"/>
  <cols>
    <col min="1" max="1" width="3" customWidth="1"/>
    <col min="2" max="2" width="4.1796875" bestFit="1" customWidth="1"/>
    <col min="3" max="3" width="16.81640625" customWidth="1"/>
    <col min="4" max="4" width="14.1796875" customWidth="1"/>
    <col min="5" max="7" width="17.81640625" customWidth="1"/>
    <col min="8" max="8" width="18.1796875" customWidth="1"/>
    <col min="9" max="9" width="15.81640625" customWidth="1"/>
    <col min="10" max="10" width="16.453125" customWidth="1"/>
    <col min="11" max="11" width="15.81640625" customWidth="1"/>
    <col min="12" max="13" width="18.1796875" customWidth="1"/>
    <col min="14" max="14" width="15.81640625" customWidth="1"/>
    <col min="15" max="15" width="14.1796875" customWidth="1"/>
    <col min="16" max="16" width="14.453125" customWidth="1"/>
  </cols>
  <sheetData>
    <row r="1" spans="2:16" ht="13" thickBot="1" x14ac:dyDescent="0.3"/>
    <row r="2" spans="2:16" ht="35" thickBot="1" x14ac:dyDescent="0.3">
      <c r="B2" s="11" t="s">
        <v>3</v>
      </c>
      <c r="C2" s="28" t="s">
        <v>55</v>
      </c>
      <c r="D2" s="28" t="s">
        <v>50</v>
      </c>
      <c r="E2" s="28" t="s">
        <v>57</v>
      </c>
      <c r="F2" s="28" t="s">
        <v>129</v>
      </c>
      <c r="G2" s="28" t="s">
        <v>130</v>
      </c>
      <c r="H2" s="131" t="s">
        <v>52</v>
      </c>
      <c r="I2" s="12" t="s">
        <v>58</v>
      </c>
      <c r="J2" s="12" t="s">
        <v>59</v>
      </c>
      <c r="K2" s="12" t="s">
        <v>53</v>
      </c>
      <c r="L2" s="27" t="s">
        <v>60</v>
      </c>
      <c r="M2" s="65" t="s">
        <v>92</v>
      </c>
      <c r="N2" s="132" t="s">
        <v>54</v>
      </c>
    </row>
    <row r="3" spans="2:16" s="355" customFormat="1" x14ac:dyDescent="0.25">
      <c r="B3" s="303">
        <v>1</v>
      </c>
      <c r="C3" s="292">
        <f>'Recaudo EAAB + Ciud Limp'!D21</f>
        <v>0</v>
      </c>
      <c r="D3" s="292">
        <f>'REMUNERACION_EAAB-CL'!G125</f>
        <v>0</v>
      </c>
      <c r="E3" s="292">
        <f>'REMUNERACION_EAAB-CL'!H125</f>
        <v>0</v>
      </c>
      <c r="F3" s="292">
        <v>0</v>
      </c>
      <c r="G3" s="292">
        <f>'REMUNERACION_EAAB-CL'!I125</f>
        <v>0</v>
      </c>
      <c r="H3" s="340">
        <f t="shared" ref="H3:H8" si="0">SUM(C3:G3)</f>
        <v>0</v>
      </c>
      <c r="I3" s="291">
        <f>'REMUNERACION_EAAB-CL'!D104</f>
        <v>0</v>
      </c>
      <c r="J3" s="292">
        <f>'REMUNERACION_EAAB-CL'!N104</f>
        <v>0</v>
      </c>
      <c r="K3" s="292">
        <f>'REMUNERACION_EAAB-CL'!D125</f>
        <v>0</v>
      </c>
      <c r="L3" s="353">
        <f>'REMUNERACION_EAAB-CL'!E125</f>
        <v>0</v>
      </c>
      <c r="M3" s="292">
        <f>-'REMUNERACION_EAAB-CL'!D66+'REMUNERACION_EAAB-CL'!N66</f>
        <v>0</v>
      </c>
      <c r="N3" s="288">
        <f>SUM(I3:M3)</f>
        <v>0</v>
      </c>
      <c r="O3" s="354">
        <f t="shared" ref="O3:O8" si="1">H3-N3</f>
        <v>0</v>
      </c>
      <c r="P3" s="1" t="b">
        <f>INT(O3)=0</f>
        <v>1</v>
      </c>
    </row>
    <row r="4" spans="2:16" s="355" customFormat="1" x14ac:dyDescent="0.25">
      <c r="B4" s="314">
        <v>2</v>
      </c>
      <c r="C4" s="317">
        <f>'Recaudo EAAB + Ciud Limp'!D22</f>
        <v>0</v>
      </c>
      <c r="D4" s="292">
        <f>'REMUNERACION_EAAB-CL'!G126</f>
        <v>0</v>
      </c>
      <c r="E4" s="292">
        <f>'REMUNERACION_EAAB-CL'!H126</f>
        <v>0</v>
      </c>
      <c r="F4" s="292">
        <v>0</v>
      </c>
      <c r="G4" s="292">
        <f>'REMUNERACION_EAAB-CL'!I126</f>
        <v>0</v>
      </c>
      <c r="H4" s="340">
        <f t="shared" si="0"/>
        <v>0</v>
      </c>
      <c r="I4" s="291">
        <f>'REMUNERACION_EAAB-CL'!D105</f>
        <v>0</v>
      </c>
      <c r="J4" s="292">
        <f>'REMUNERACION_EAAB-CL'!N105</f>
        <v>0</v>
      </c>
      <c r="K4" s="292">
        <f>'REMUNERACION_EAAB-CL'!D126</f>
        <v>0</v>
      </c>
      <c r="L4" s="353">
        <f>'REMUNERACION_EAAB-CL'!E126</f>
        <v>0</v>
      </c>
      <c r="M4" s="292">
        <f>-'REMUNERACION_EAAB-CL'!D67+'REMUNERACION_EAAB-CL'!N67</f>
        <v>0</v>
      </c>
      <c r="N4" s="318">
        <f>SUM(I4:M4)</f>
        <v>0</v>
      </c>
      <c r="O4" s="354">
        <f t="shared" si="1"/>
        <v>0</v>
      </c>
      <c r="P4" s="1" t="b">
        <f t="shared" ref="P4:P9" si="2">INT(O4)=0</f>
        <v>1</v>
      </c>
    </row>
    <row r="5" spans="2:16" s="355" customFormat="1" x14ac:dyDescent="0.25">
      <c r="B5" s="314">
        <v>3</v>
      </c>
      <c r="C5" s="317">
        <f>'Recaudo EAAB + Ciud Limp'!D23</f>
        <v>0</v>
      </c>
      <c r="D5" s="292">
        <f>'REMUNERACION_EAAB-CL'!G127</f>
        <v>0</v>
      </c>
      <c r="E5" s="292">
        <f>'REMUNERACION_EAAB-CL'!H127</f>
        <v>0</v>
      </c>
      <c r="F5" s="292">
        <v>0</v>
      </c>
      <c r="G5" s="292">
        <f>'REMUNERACION_EAAB-CL'!I127</f>
        <v>0</v>
      </c>
      <c r="H5" s="340">
        <f t="shared" si="0"/>
        <v>0</v>
      </c>
      <c r="I5" s="291">
        <f>'REMUNERACION_EAAB-CL'!D106</f>
        <v>0</v>
      </c>
      <c r="J5" s="292">
        <f>'REMUNERACION_EAAB-CL'!N106</f>
        <v>0</v>
      </c>
      <c r="K5" s="292">
        <f>'REMUNERACION_EAAB-CL'!D127</f>
        <v>0</v>
      </c>
      <c r="L5" s="353">
        <f>'REMUNERACION_EAAB-CL'!E127</f>
        <v>0</v>
      </c>
      <c r="M5" s="292">
        <f>-'REMUNERACION_EAAB-CL'!D68+'REMUNERACION_EAAB-CL'!N68</f>
        <v>0</v>
      </c>
      <c r="N5" s="318">
        <f>SUM(I5:M5)</f>
        <v>0</v>
      </c>
      <c r="O5" s="354">
        <f>H5-N5</f>
        <v>0</v>
      </c>
      <c r="P5" s="1" t="b">
        <f t="shared" si="2"/>
        <v>1</v>
      </c>
    </row>
    <row r="6" spans="2:16" s="355" customFormat="1" x14ac:dyDescent="0.25">
      <c r="B6" s="314">
        <v>4</v>
      </c>
      <c r="C6" s="317">
        <f>'Recaudo EAAB + Ciud Limp'!D24</f>
        <v>0</v>
      </c>
      <c r="D6" s="292">
        <f>'REMUNERACION_EAAB-CL'!G128</f>
        <v>0</v>
      </c>
      <c r="E6" s="292">
        <f>'REMUNERACION_EAAB-CL'!H128</f>
        <v>0</v>
      </c>
      <c r="F6" s="292">
        <v>0</v>
      </c>
      <c r="G6" s="292">
        <f>'REMUNERACION_EAAB-CL'!I128</f>
        <v>0</v>
      </c>
      <c r="H6" s="340">
        <f t="shared" si="0"/>
        <v>0</v>
      </c>
      <c r="I6" s="291">
        <f>'REMUNERACION_EAAB-CL'!D107</f>
        <v>0</v>
      </c>
      <c r="J6" s="292">
        <f>'REMUNERACION_EAAB-CL'!N107</f>
        <v>0</v>
      </c>
      <c r="K6" s="292">
        <f>'REMUNERACION_EAAB-CL'!D128</f>
        <v>0</v>
      </c>
      <c r="L6" s="353">
        <f>'REMUNERACION_EAAB-CL'!E128</f>
        <v>0</v>
      </c>
      <c r="M6" s="292">
        <f>-'REMUNERACION_EAAB-CL'!D69+'REMUNERACION_EAAB-CL'!N69</f>
        <v>0</v>
      </c>
      <c r="N6" s="318">
        <f t="shared" ref="N6:N7" si="3">SUM(I6:M6)</f>
        <v>0</v>
      </c>
      <c r="O6" s="354">
        <f t="shared" si="1"/>
        <v>0</v>
      </c>
      <c r="P6" s="1" t="b">
        <f t="shared" si="2"/>
        <v>1</v>
      </c>
    </row>
    <row r="7" spans="2:16" s="355" customFormat="1" x14ac:dyDescent="0.25">
      <c r="B7" s="314">
        <v>5</v>
      </c>
      <c r="C7" s="317">
        <f>'Recaudo EAAB + Ciud Limp'!D25</f>
        <v>0</v>
      </c>
      <c r="D7" s="292">
        <f>'REMUNERACION_EAAB-CL'!G129</f>
        <v>0</v>
      </c>
      <c r="E7" s="292">
        <f>'REMUNERACION_EAAB-CL'!H129</f>
        <v>0</v>
      </c>
      <c r="F7" s="292">
        <v>0</v>
      </c>
      <c r="G7" s="292">
        <f>'REMUNERACION_EAAB-CL'!I129</f>
        <v>0</v>
      </c>
      <c r="H7" s="340">
        <f t="shared" si="0"/>
        <v>0</v>
      </c>
      <c r="I7" s="291">
        <f>'REMUNERACION_EAAB-CL'!D108</f>
        <v>0</v>
      </c>
      <c r="J7" s="292">
        <f>'REMUNERACION_EAAB-CL'!N108</f>
        <v>0</v>
      </c>
      <c r="K7" s="292">
        <f>'REMUNERACION_EAAB-CL'!D129</f>
        <v>0</v>
      </c>
      <c r="L7" s="353">
        <f>'REMUNERACION_EAAB-CL'!E129</f>
        <v>0</v>
      </c>
      <c r="M7" s="292">
        <f>-'REMUNERACION_EAAB-CL'!D70+'REMUNERACION_EAAB-CL'!N70</f>
        <v>0</v>
      </c>
      <c r="N7" s="318">
        <f t="shared" si="3"/>
        <v>0</v>
      </c>
      <c r="O7" s="354">
        <f>H7-N7</f>
        <v>0</v>
      </c>
      <c r="P7" s="1" t="b">
        <f t="shared" si="2"/>
        <v>1</v>
      </c>
    </row>
    <row r="8" spans="2:16" s="355" customFormat="1" ht="13" thickBot="1" x14ac:dyDescent="0.3">
      <c r="B8" s="341" t="s">
        <v>89</v>
      </c>
      <c r="C8" s="317">
        <f>'Recaudo EAAB + Ciud Limp'!F26</f>
        <v>0</v>
      </c>
      <c r="D8" s="356">
        <v>0</v>
      </c>
      <c r="E8" s="356">
        <v>0</v>
      </c>
      <c r="F8" s="356">
        <v>0</v>
      </c>
      <c r="G8" s="356">
        <v>0</v>
      </c>
      <c r="H8" s="340">
        <f t="shared" si="0"/>
        <v>0</v>
      </c>
      <c r="I8" s="357">
        <v>0</v>
      </c>
      <c r="J8" s="343">
        <v>0</v>
      </c>
      <c r="K8" s="343">
        <v>0</v>
      </c>
      <c r="L8" s="353">
        <f>'REMUNERACION_EAAB-CL'!E130</f>
        <v>0</v>
      </c>
      <c r="M8" s="292">
        <v>0</v>
      </c>
      <c r="N8" s="358">
        <f>SUM(I8:L8)-M8</f>
        <v>0</v>
      </c>
      <c r="O8" s="354">
        <f t="shared" si="1"/>
        <v>0</v>
      </c>
      <c r="P8" s="1" t="b">
        <f t="shared" si="2"/>
        <v>1</v>
      </c>
    </row>
    <row r="9" spans="2:16" s="355" customFormat="1" ht="13" thickBot="1" x14ac:dyDescent="0.3">
      <c r="B9" s="327"/>
      <c r="C9" s="290">
        <f>SUM(C3:C8)</f>
        <v>0</v>
      </c>
      <c r="D9" s="290">
        <f t="shared" ref="D9:M9" si="4">SUM(D3:D8)</f>
        <v>0</v>
      </c>
      <c r="E9" s="290">
        <f t="shared" si="4"/>
        <v>0</v>
      </c>
      <c r="F9" s="290">
        <f t="shared" si="4"/>
        <v>0</v>
      </c>
      <c r="G9" s="290">
        <f t="shared" si="4"/>
        <v>0</v>
      </c>
      <c r="H9" s="290">
        <f t="shared" si="4"/>
        <v>0</v>
      </c>
      <c r="I9" s="290">
        <f t="shared" si="4"/>
        <v>0</v>
      </c>
      <c r="J9" s="290">
        <f t="shared" si="4"/>
        <v>0</v>
      </c>
      <c r="K9" s="290">
        <f t="shared" si="4"/>
        <v>0</v>
      </c>
      <c r="L9" s="290">
        <f t="shared" si="4"/>
        <v>0</v>
      </c>
      <c r="M9" s="290">
        <f t="shared" si="4"/>
        <v>0</v>
      </c>
      <c r="N9" s="290">
        <f>SUM(N3:N8)</f>
        <v>0</v>
      </c>
      <c r="O9" s="359">
        <f>SUM(O3:O8)</f>
        <v>0</v>
      </c>
      <c r="P9" s="1" t="b">
        <f t="shared" si="2"/>
        <v>1</v>
      </c>
    </row>
    <row r="11" spans="2:16" ht="13" x14ac:dyDescent="0.3">
      <c r="B11" s="102" t="s">
        <v>89</v>
      </c>
      <c r="C11" s="103" t="s">
        <v>90</v>
      </c>
      <c r="M11" s="141"/>
      <c r="O11" s="137"/>
    </row>
    <row r="12" spans="2:16" x14ac:dyDescent="0.25">
      <c r="C12" s="143"/>
    </row>
    <row r="13" spans="2:16" x14ac:dyDescent="0.25">
      <c r="B13" s="142"/>
      <c r="C13" s="103" t="s">
        <v>1</v>
      </c>
    </row>
    <row r="14" spans="2:16" x14ac:dyDescent="0.25">
      <c r="C14" s="245">
        <f>'Valida - Control Recaudo'!E3+'Valida - Control Recaudo'!E5</f>
        <v>0</v>
      </c>
    </row>
    <row r="15" spans="2:16" x14ac:dyDescent="0.25">
      <c r="C15" s="249" t="b">
        <f>C14=C9</f>
        <v>1</v>
      </c>
    </row>
    <row r="16" spans="2:16" x14ac:dyDescent="0.25">
      <c r="C16" s="212" t="s">
        <v>1</v>
      </c>
    </row>
  </sheetData>
  <conditionalFormatting sqref="C15">
    <cfRule type="cellIs" dxfId="10" priority="6" operator="notEqual">
      <formula>TRUE</formula>
    </cfRule>
  </conditionalFormatting>
  <conditionalFormatting sqref="P3:P9">
    <cfRule type="cellIs" dxfId="9" priority="4" operator="notEqual">
      <formula>TRUE</formula>
    </cfRule>
  </conditionalFormatting>
  <pageMargins left="0.7" right="0.7" top="0.75" bottom="0.75" header="0.3" footer="0.3"/>
  <pageSetup orientation="portrait" r:id="rId1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>
    <tabColor rgb="FFFFFF00"/>
    <pageSetUpPr fitToPage="1"/>
  </sheetPr>
  <dimension ref="A1:AI52"/>
  <sheetViews>
    <sheetView zoomScale="98" zoomScaleNormal="98" workbookViewId="0"/>
  </sheetViews>
  <sheetFormatPr baseColWidth="10" defaultColWidth="11.453125" defaultRowHeight="11.5" x14ac:dyDescent="0.25"/>
  <cols>
    <col min="1" max="1" width="3" style="1" customWidth="1"/>
    <col min="2" max="2" width="4.453125" style="1" bestFit="1" customWidth="1"/>
    <col min="3" max="3" width="36.81640625" style="1" customWidth="1"/>
    <col min="4" max="4" width="15.1796875" style="1" customWidth="1"/>
    <col min="5" max="5" width="16" style="1" customWidth="1"/>
    <col min="6" max="7" width="14.81640625" style="1" customWidth="1"/>
    <col min="8" max="8" width="16.1796875" style="1" customWidth="1"/>
    <col min="9" max="9" width="20.1796875" style="1" bestFit="1" customWidth="1"/>
    <col min="10" max="10" width="15.54296875" style="1" customWidth="1"/>
    <col min="11" max="11" width="17.54296875" style="1" customWidth="1"/>
    <col min="12" max="12" width="16.54296875" style="1" customWidth="1"/>
    <col min="13" max="13" width="19.81640625" style="1" customWidth="1"/>
    <col min="14" max="14" width="15.1796875" style="1" customWidth="1"/>
    <col min="15" max="15" width="16.81640625" style="1" customWidth="1"/>
    <col min="16" max="16" width="3.81640625" style="1" customWidth="1"/>
    <col min="17" max="17" width="2.81640625" style="1" customWidth="1"/>
    <col min="18" max="18" width="4.54296875" style="1" customWidth="1"/>
    <col min="19" max="19" width="11.1796875" style="1" customWidth="1"/>
    <col min="20" max="20" width="39.453125" style="1" customWidth="1"/>
    <col min="21" max="21" width="19.1796875" style="1" customWidth="1"/>
    <col min="22" max="22" width="17.81640625" style="1" customWidth="1"/>
    <col min="23" max="23" width="16.453125" style="1" customWidth="1"/>
    <col min="24" max="24" width="17.1796875" style="1" customWidth="1"/>
    <col min="25" max="25" width="15.81640625" style="1" customWidth="1"/>
    <col min="26" max="26" width="16" style="1" customWidth="1"/>
    <col min="27" max="27" width="15" style="1" customWidth="1"/>
    <col min="28" max="29" width="16.81640625" style="1" customWidth="1"/>
    <col min="30" max="31" width="15.453125" style="1" customWidth="1"/>
    <col min="32" max="32" width="16.1796875" style="1" customWidth="1"/>
    <col min="33" max="33" width="18.1796875" style="1" customWidth="1"/>
    <col min="34" max="34" width="13.81640625" style="1" customWidth="1"/>
    <col min="35" max="35" width="3.453125" style="1" customWidth="1"/>
    <col min="36" max="16384" width="11.453125" style="1"/>
  </cols>
  <sheetData>
    <row r="1" spans="2:35" ht="12" thickBot="1" x14ac:dyDescent="0.3">
      <c r="Q1" s="4"/>
      <c r="AI1" s="4"/>
    </row>
    <row r="2" spans="2:35" x14ac:dyDescent="0.25">
      <c r="B2" s="5"/>
      <c r="C2" s="3" t="s">
        <v>1</v>
      </c>
      <c r="D2" s="6" t="s">
        <v>1</v>
      </c>
      <c r="E2" s="3"/>
      <c r="F2" s="3"/>
      <c r="G2" s="3"/>
      <c r="H2" s="3" t="s">
        <v>1</v>
      </c>
      <c r="I2" s="3"/>
      <c r="J2" s="3"/>
      <c r="K2" s="3"/>
      <c r="L2" s="3"/>
      <c r="M2" s="3"/>
      <c r="N2" s="3"/>
      <c r="O2" s="7"/>
      <c r="P2" s="2"/>
      <c r="Q2" s="4"/>
      <c r="S2" s="5"/>
      <c r="T2" s="3" t="s">
        <v>1</v>
      </c>
      <c r="U2" s="6" t="s">
        <v>1</v>
      </c>
      <c r="V2" s="3"/>
      <c r="W2" s="3"/>
      <c r="X2" s="3" t="s">
        <v>1</v>
      </c>
      <c r="Y2" s="3"/>
      <c r="Z2" s="3"/>
      <c r="AA2" s="3"/>
      <c r="AB2" s="3"/>
      <c r="AC2" s="3"/>
      <c r="AD2" s="3"/>
      <c r="AE2" s="3"/>
      <c r="AF2" s="7"/>
      <c r="AG2" s="2"/>
      <c r="AI2" s="4"/>
    </row>
    <row r="3" spans="2:35" ht="14" x14ac:dyDescent="0.3">
      <c r="B3" s="8"/>
      <c r="F3" s="26" t="s">
        <v>8</v>
      </c>
      <c r="G3" s="26"/>
      <c r="I3" s="26" t="s">
        <v>16</v>
      </c>
      <c r="J3" s="25"/>
      <c r="M3" s="2" t="s">
        <v>15</v>
      </c>
      <c r="N3" s="50">
        <f>'CONSOLIDADO_TOTAL RECAUDO'!N98</f>
        <v>2026072</v>
      </c>
      <c r="O3" s="10"/>
      <c r="P3" s="2"/>
      <c r="Q3" s="4"/>
      <c r="S3" s="8"/>
      <c r="U3" s="26" t="s">
        <v>8</v>
      </c>
      <c r="W3" s="26" t="s">
        <v>16</v>
      </c>
      <c r="X3" s="25"/>
      <c r="Y3" s="2"/>
      <c r="AA3" s="2" t="s">
        <v>15</v>
      </c>
      <c r="AD3" s="84">
        <f>N3</f>
        <v>2026072</v>
      </c>
      <c r="AE3" s="84"/>
      <c r="AF3" s="48"/>
      <c r="AG3" s="2"/>
      <c r="AI3" s="4"/>
    </row>
    <row r="4" spans="2:35" ht="15.5" x14ac:dyDescent="0.35">
      <c r="B4" s="8"/>
      <c r="F4" s="36" t="s">
        <v>29</v>
      </c>
      <c r="G4" s="36"/>
      <c r="O4" s="10"/>
      <c r="P4" s="2"/>
      <c r="Q4" s="4"/>
      <c r="S4" s="8"/>
      <c r="T4" s="26" t="s">
        <v>1</v>
      </c>
      <c r="U4" s="36" t="s">
        <v>29</v>
      </c>
      <c r="Y4" s="2" t="s">
        <v>1</v>
      </c>
      <c r="AA4" s="50" t="s">
        <v>1</v>
      </c>
      <c r="AB4" s="2"/>
      <c r="AC4" s="2"/>
      <c r="AD4" s="2"/>
      <c r="AE4" s="2"/>
      <c r="AF4" s="10" t="s">
        <v>1</v>
      </c>
      <c r="AG4" s="2"/>
      <c r="AI4" s="4"/>
    </row>
    <row r="5" spans="2:35" ht="14" x14ac:dyDescent="0.3">
      <c r="B5" s="8"/>
      <c r="F5" s="2" t="s">
        <v>30</v>
      </c>
      <c r="G5" s="2"/>
      <c r="M5" s="2" t="s">
        <v>1</v>
      </c>
      <c r="O5" s="10"/>
      <c r="P5" s="2"/>
      <c r="Q5" s="4"/>
      <c r="S5" s="8"/>
      <c r="T5" s="49" t="s">
        <v>1</v>
      </c>
      <c r="U5" s="2" t="s">
        <v>30</v>
      </c>
      <c r="AF5" s="44"/>
      <c r="AG5" s="2"/>
      <c r="AI5" s="4"/>
    </row>
    <row r="6" spans="2:35" ht="15.5" x14ac:dyDescent="0.35">
      <c r="B6" s="8"/>
      <c r="C6" s="599" t="s">
        <v>17</v>
      </c>
      <c r="D6" s="9">
        <f>'CONSOLIDADO_TOTAL RECAUDO'!D101</f>
        <v>46238</v>
      </c>
      <c r="F6" s="58" t="str">
        <f>'REMUNERACION_EAAB-CL'!F101</f>
        <v>REPORTE CONSOLIDADO TOTAL DE RECAUDO //EAAB-CIUDAD LIMPIA*</v>
      </c>
      <c r="G6" s="58"/>
      <c r="H6" s="59"/>
      <c r="I6" s="60"/>
      <c r="J6" s="59"/>
      <c r="O6" s="10"/>
      <c r="P6" s="2"/>
      <c r="Q6" s="4"/>
      <c r="S6" s="8"/>
      <c r="T6" s="41" t="s">
        <v>1</v>
      </c>
      <c r="U6" s="58" t="str">
        <f>'REMUNERACION_EAAB-CL'!U101</f>
        <v>REPORTE DETALLADO SUBBOLSA RBL DISCRIMINADO POR ACTIVIDADES //EAAB-CIUDAD LIMPIA*</v>
      </c>
      <c r="V6" s="59"/>
      <c r="W6" s="60"/>
      <c r="X6" s="59"/>
      <c r="Y6" s="2"/>
      <c r="AF6" s="48"/>
      <c r="AG6" s="2"/>
      <c r="AI6" s="4"/>
    </row>
    <row r="7" spans="2:35" ht="12" thickBot="1" x14ac:dyDescent="0.3">
      <c r="B7" s="8"/>
      <c r="C7" s="2" t="s">
        <v>0</v>
      </c>
      <c r="D7" s="241">
        <f>'CONSOLIDADO_TOTAL RECAUDO'!D102</f>
        <v>0.58333333333333337</v>
      </c>
      <c r="F7" s="2" t="s">
        <v>27</v>
      </c>
      <c r="G7" s="9">
        <f>'CONSOLIDADO_TOTAL RECAUDO'!G102</f>
        <v>46219</v>
      </c>
      <c r="J7" s="2" t="s">
        <v>28</v>
      </c>
      <c r="K7" s="9">
        <f>'CONSOLIDADO_TOTAL RECAUDO'!K102</f>
        <v>46234</v>
      </c>
      <c r="O7" s="10"/>
      <c r="P7" s="2"/>
      <c r="Q7" s="4"/>
      <c r="S7" s="8"/>
      <c r="U7" s="1" t="str">
        <f>F7</f>
        <v>Fecha Desde:</v>
      </c>
      <c r="V7" s="9">
        <f>G7</f>
        <v>46219</v>
      </c>
      <c r="W7" s="1" t="s">
        <v>1</v>
      </c>
      <c r="X7" s="1" t="str">
        <f>J7</f>
        <v>Feha Hasta:</v>
      </c>
      <c r="Y7" s="9">
        <f>K7</f>
        <v>46234</v>
      </c>
      <c r="Z7" s="1" t="s">
        <v>1</v>
      </c>
      <c r="AF7" s="48"/>
      <c r="AG7" s="2"/>
      <c r="AI7" s="4"/>
    </row>
    <row r="8" spans="2:35" ht="69.5" thickBot="1" x14ac:dyDescent="0.3">
      <c r="B8" s="11" t="s">
        <v>3</v>
      </c>
      <c r="C8" s="27" t="s">
        <v>9</v>
      </c>
      <c r="D8" s="11" t="s">
        <v>4</v>
      </c>
      <c r="E8" s="12" t="s">
        <v>5</v>
      </c>
      <c r="F8" s="12" t="s">
        <v>6</v>
      </c>
      <c r="G8" s="27" t="s">
        <v>159</v>
      </c>
      <c r="H8" s="12" t="s">
        <v>18</v>
      </c>
      <c r="I8" s="12" t="s">
        <v>24</v>
      </c>
      <c r="J8" s="73" t="s">
        <v>19</v>
      </c>
      <c r="K8" s="29" t="s">
        <v>20</v>
      </c>
      <c r="L8" s="28" t="s">
        <v>21</v>
      </c>
      <c r="M8" s="39" t="s">
        <v>22</v>
      </c>
      <c r="N8" s="12" t="s">
        <v>7</v>
      </c>
      <c r="O8" s="39" t="s">
        <v>23</v>
      </c>
      <c r="P8" s="13"/>
      <c r="Q8" s="4"/>
      <c r="S8" s="11" t="s">
        <v>3</v>
      </c>
      <c r="T8" s="27" t="s">
        <v>9</v>
      </c>
      <c r="U8" s="80" t="s">
        <v>39</v>
      </c>
      <c r="V8" s="51" t="s">
        <v>40</v>
      </c>
      <c r="W8" s="51" t="s">
        <v>41</v>
      </c>
      <c r="X8" s="51" t="s">
        <v>42</v>
      </c>
      <c r="Y8" s="81" t="s">
        <v>43</v>
      </c>
      <c r="Z8" s="85" t="s">
        <v>21</v>
      </c>
      <c r="AA8" s="65" t="s">
        <v>46</v>
      </c>
      <c r="AB8" s="65" t="s">
        <v>7</v>
      </c>
      <c r="AC8" s="85" t="s">
        <v>168</v>
      </c>
      <c r="AD8" s="27" t="s">
        <v>105</v>
      </c>
      <c r="AE8" s="27" t="s">
        <v>104</v>
      </c>
      <c r="AF8" s="39" t="s">
        <v>23</v>
      </c>
      <c r="AG8" s="13"/>
      <c r="AI8" s="4"/>
    </row>
    <row r="9" spans="2:35" s="305" customFormat="1" x14ac:dyDescent="0.25">
      <c r="B9" s="303">
        <v>1</v>
      </c>
      <c r="C9" s="304" t="s">
        <v>10</v>
      </c>
      <c r="D9" s="291">
        <f>'REMUNERACION_EAAB-CL'!D104</f>
        <v>0</v>
      </c>
      <c r="E9" s="291">
        <f>'REMUNERACION_EAAB-CL'!E104</f>
        <v>0</v>
      </c>
      <c r="F9" s="291">
        <f>'REMUNERACION_EAAB-CL'!F104</f>
        <v>0</v>
      </c>
      <c r="G9" s="291">
        <f>'REMUNERACION_EAAB-CL'!G104</f>
        <v>0</v>
      </c>
      <c r="H9" s="291">
        <f>'REMUNERACION_EAAB-CL'!H104</f>
        <v>0</v>
      </c>
      <c r="I9" s="291">
        <f>'REMUNERACION_EAAB-CL'!I104</f>
        <v>0</v>
      </c>
      <c r="J9" s="291">
        <f>'REMUNERACION_EAAB-CL'!J104</f>
        <v>0</v>
      </c>
      <c r="K9" s="293">
        <f>D9-E9-F9-G9-H9-I9-J9</f>
        <v>0</v>
      </c>
      <c r="L9" s="291">
        <f>'REMUNERACION_EAAB-CL'!L104</f>
        <v>0</v>
      </c>
      <c r="M9" s="293">
        <f>K9-L9</f>
        <v>0</v>
      </c>
      <c r="N9" s="291">
        <f>'REMUNERACION_EAAB-CL'!N104</f>
        <v>0</v>
      </c>
      <c r="O9" s="293">
        <f>M9+N9</f>
        <v>0</v>
      </c>
      <c r="Q9" s="306"/>
      <c r="S9" s="303">
        <v>1</v>
      </c>
      <c r="T9" s="304" t="s">
        <v>10</v>
      </c>
      <c r="U9" s="291">
        <f>'REMUNERACION_EAAB-CL'!U104</f>
        <v>0</v>
      </c>
      <c r="V9" s="291">
        <f>'REMUNERACION_EAAB-CL'!V104</f>
        <v>0</v>
      </c>
      <c r="W9" s="291">
        <f>'REMUNERACION_EAAB-CL'!W104</f>
        <v>0</v>
      </c>
      <c r="X9" s="291">
        <f>'REMUNERACION_EAAB-CL'!X104</f>
        <v>0</v>
      </c>
      <c r="Y9" s="291">
        <f>'REMUNERACION_EAAB-CL'!Y104</f>
        <v>0</v>
      </c>
      <c r="Z9" s="291">
        <f>'REMUNERACION_EAAB-CL'!Z104</f>
        <v>0</v>
      </c>
      <c r="AA9" s="291">
        <f>'REMUNERACION_EAAB-CL'!AA104</f>
        <v>0</v>
      </c>
      <c r="AB9" s="291">
        <f>'REMUNERACION_EAAB-CL'!AB104</f>
        <v>0</v>
      </c>
      <c r="AC9" s="291">
        <f>'REMUNERACION_EAAB-CL'!AC104</f>
        <v>0</v>
      </c>
      <c r="AD9" s="291">
        <f>'REMUNERACION_EAAB-CL'!AD104</f>
        <v>0</v>
      </c>
      <c r="AE9" s="291">
        <f>'REMUNERACION_EAAB-CL'!AE104</f>
        <v>0</v>
      </c>
      <c r="AF9" s="363">
        <f>SUM(U9:AD9)</f>
        <v>0</v>
      </c>
      <c r="AG9" s="364">
        <f>AF9-O9</f>
        <v>0</v>
      </c>
      <c r="AH9" s="1" t="b">
        <f>INT(AG9)=0</f>
        <v>1</v>
      </c>
      <c r="AI9" s="306"/>
    </row>
    <row r="10" spans="2:35" s="305" customFormat="1" x14ac:dyDescent="0.25">
      <c r="B10" s="314">
        <v>2</v>
      </c>
      <c r="C10" s="315" t="s">
        <v>11</v>
      </c>
      <c r="D10" s="291">
        <f>'REMUNERACION_EAAB-CL'!D105</f>
        <v>0</v>
      </c>
      <c r="E10" s="291">
        <f>'REMUNERACION_EAAB-CL'!E105</f>
        <v>0</v>
      </c>
      <c r="F10" s="291">
        <f>'REMUNERACION_EAAB-CL'!F105</f>
        <v>0</v>
      </c>
      <c r="G10" s="291">
        <f>'REMUNERACION_EAAB-CL'!G105</f>
        <v>0</v>
      </c>
      <c r="H10" s="291">
        <f>'REMUNERACION_EAAB-CL'!H105</f>
        <v>0</v>
      </c>
      <c r="I10" s="291">
        <f>'REMUNERACION_EAAB-CL'!I105</f>
        <v>0</v>
      </c>
      <c r="J10" s="291">
        <f>'REMUNERACION_EAAB-CL'!J105</f>
        <v>0</v>
      </c>
      <c r="K10" s="295">
        <f t="shared" ref="K10:K13" si="0">D10-E10-F10-G10-H10-I10-J10</f>
        <v>0</v>
      </c>
      <c r="L10" s="291">
        <f>'REMUNERACION_EAAB-CL'!L105</f>
        <v>0</v>
      </c>
      <c r="M10" s="295">
        <f>K10-L10</f>
        <v>0</v>
      </c>
      <c r="N10" s="291">
        <f>'REMUNERACION_EAAB-CL'!N105</f>
        <v>0</v>
      </c>
      <c r="O10" s="295">
        <f t="shared" ref="O10:O13" si="1">M10+N10</f>
        <v>0</v>
      </c>
      <c r="Q10" s="306"/>
      <c r="S10" s="314">
        <v>2</v>
      </c>
      <c r="T10" s="315" t="s">
        <v>11</v>
      </c>
      <c r="U10" s="291">
        <f>'REMUNERACION_EAAB-CL'!U105</f>
        <v>0</v>
      </c>
      <c r="V10" s="291">
        <f>'REMUNERACION_EAAB-CL'!V105</f>
        <v>0</v>
      </c>
      <c r="W10" s="291">
        <f>'REMUNERACION_EAAB-CL'!W105</f>
        <v>0</v>
      </c>
      <c r="X10" s="291">
        <f>'REMUNERACION_EAAB-CL'!X105</f>
        <v>0</v>
      </c>
      <c r="Y10" s="291">
        <f>'REMUNERACION_EAAB-CL'!Y105</f>
        <v>0</v>
      </c>
      <c r="Z10" s="291">
        <f>'REMUNERACION_EAAB-CL'!Z105</f>
        <v>0</v>
      </c>
      <c r="AA10" s="291">
        <f>'REMUNERACION_EAAB-CL'!AA105</f>
        <v>0</v>
      </c>
      <c r="AB10" s="291">
        <f>'REMUNERACION_EAAB-CL'!AB105</f>
        <v>0</v>
      </c>
      <c r="AC10" s="291">
        <f>'REMUNERACION_EAAB-CL'!AC105</f>
        <v>0</v>
      </c>
      <c r="AD10" s="291">
        <f>'REMUNERACION_EAAB-CL'!AD105</f>
        <v>0</v>
      </c>
      <c r="AE10" s="291">
        <f>'REMUNERACION_EAAB-CL'!AE105</f>
        <v>0</v>
      </c>
      <c r="AF10" s="365">
        <f>SUM(U10:AD10)</f>
        <v>0</v>
      </c>
      <c r="AG10" s="366">
        <f>AF10-O10</f>
        <v>0</v>
      </c>
      <c r="AH10" s="1" t="b">
        <f t="shared" ref="AH10:AH14" si="2">INT(AG10)=0</f>
        <v>1</v>
      </c>
      <c r="AI10" s="306"/>
    </row>
    <row r="11" spans="2:35" s="305" customFormat="1" x14ac:dyDescent="0.25">
      <c r="B11" s="314">
        <v>3</v>
      </c>
      <c r="C11" s="315" t="s">
        <v>12</v>
      </c>
      <c r="D11" s="291">
        <f>'REMUNERACION_EAAB-CL'!D106</f>
        <v>0</v>
      </c>
      <c r="E11" s="291">
        <f>'REMUNERACION_EAAB-CL'!E106</f>
        <v>0</v>
      </c>
      <c r="F11" s="291">
        <f>'REMUNERACION_EAAB-CL'!F106</f>
        <v>0</v>
      </c>
      <c r="G11" s="291">
        <f>'REMUNERACION_EAAB-CL'!G106</f>
        <v>0</v>
      </c>
      <c r="H11" s="291">
        <f>'REMUNERACION_EAAB-CL'!H106</f>
        <v>0</v>
      </c>
      <c r="I11" s="291">
        <f>'REMUNERACION_EAAB-CL'!I106</f>
        <v>0</v>
      </c>
      <c r="J11" s="291">
        <f>'REMUNERACION_EAAB-CL'!J106</f>
        <v>0</v>
      </c>
      <c r="K11" s="295">
        <f t="shared" si="0"/>
        <v>0</v>
      </c>
      <c r="L11" s="291">
        <f>'REMUNERACION_EAAB-CL'!L106</f>
        <v>0</v>
      </c>
      <c r="M11" s="295">
        <f>K11-L11</f>
        <v>0</v>
      </c>
      <c r="N11" s="291">
        <f>'REMUNERACION_EAAB-CL'!N106</f>
        <v>0</v>
      </c>
      <c r="O11" s="295">
        <f t="shared" si="1"/>
        <v>0</v>
      </c>
      <c r="Q11" s="306"/>
      <c r="S11" s="314">
        <v>3</v>
      </c>
      <c r="T11" s="315" t="s">
        <v>12</v>
      </c>
      <c r="U11" s="291">
        <f>'REMUNERACION_EAAB-CL'!U106</f>
        <v>0</v>
      </c>
      <c r="V11" s="291">
        <f>'REMUNERACION_EAAB-CL'!V106</f>
        <v>0</v>
      </c>
      <c r="W11" s="291">
        <f>'REMUNERACION_EAAB-CL'!W106</f>
        <v>0</v>
      </c>
      <c r="X11" s="291">
        <f>'REMUNERACION_EAAB-CL'!X106</f>
        <v>0</v>
      </c>
      <c r="Y11" s="291">
        <f>'REMUNERACION_EAAB-CL'!Y106</f>
        <v>0</v>
      </c>
      <c r="Z11" s="291">
        <f>'REMUNERACION_EAAB-CL'!Z106</f>
        <v>0</v>
      </c>
      <c r="AA11" s="291">
        <f>'REMUNERACION_EAAB-CL'!AA106</f>
        <v>0</v>
      </c>
      <c r="AB11" s="291">
        <f>'REMUNERACION_EAAB-CL'!AB106</f>
        <v>0</v>
      </c>
      <c r="AC11" s="291">
        <f>'REMUNERACION_EAAB-CL'!AC106</f>
        <v>0</v>
      </c>
      <c r="AD11" s="291">
        <f>'REMUNERACION_EAAB-CL'!AD106</f>
        <v>0</v>
      </c>
      <c r="AE11" s="291">
        <f>'REMUNERACION_EAAB-CL'!AE106</f>
        <v>0</v>
      </c>
      <c r="AF11" s="365">
        <f>SUM(U11:AD11)</f>
        <v>0</v>
      </c>
      <c r="AG11" s="366">
        <f>AF11-O11</f>
        <v>0</v>
      </c>
      <c r="AH11" s="1" t="b">
        <f t="shared" si="2"/>
        <v>1</v>
      </c>
      <c r="AI11" s="306"/>
    </row>
    <row r="12" spans="2:35" s="305" customFormat="1" x14ac:dyDescent="0.25">
      <c r="B12" s="314">
        <v>4</v>
      </c>
      <c r="C12" s="315" t="s">
        <v>13</v>
      </c>
      <c r="D12" s="291">
        <f>'REMUNERACION_EAAB-CL'!D107</f>
        <v>0</v>
      </c>
      <c r="E12" s="291">
        <f>'REMUNERACION_EAAB-CL'!E107</f>
        <v>0</v>
      </c>
      <c r="F12" s="291">
        <f>'REMUNERACION_EAAB-CL'!F107</f>
        <v>0</v>
      </c>
      <c r="G12" s="291">
        <f>'REMUNERACION_EAAB-CL'!G107</f>
        <v>0</v>
      </c>
      <c r="H12" s="291">
        <f>'REMUNERACION_EAAB-CL'!H107</f>
        <v>0</v>
      </c>
      <c r="I12" s="291">
        <f>'REMUNERACION_EAAB-CL'!I107</f>
        <v>0</v>
      </c>
      <c r="J12" s="291">
        <f>'REMUNERACION_EAAB-CL'!J107</f>
        <v>0</v>
      </c>
      <c r="K12" s="295">
        <f t="shared" si="0"/>
        <v>0</v>
      </c>
      <c r="L12" s="291">
        <f>'REMUNERACION_EAAB-CL'!L107</f>
        <v>0</v>
      </c>
      <c r="M12" s="295">
        <f>K12-L12</f>
        <v>0</v>
      </c>
      <c r="N12" s="291">
        <f>'REMUNERACION_EAAB-CL'!N107</f>
        <v>0</v>
      </c>
      <c r="O12" s="295">
        <f t="shared" si="1"/>
        <v>0</v>
      </c>
      <c r="Q12" s="306"/>
      <c r="S12" s="314">
        <v>4</v>
      </c>
      <c r="T12" s="315" t="s">
        <v>13</v>
      </c>
      <c r="U12" s="291">
        <f>'REMUNERACION_EAAB-CL'!U107</f>
        <v>0</v>
      </c>
      <c r="V12" s="291">
        <f>'REMUNERACION_EAAB-CL'!V107</f>
        <v>0</v>
      </c>
      <c r="W12" s="291">
        <f>'REMUNERACION_EAAB-CL'!W107</f>
        <v>0</v>
      </c>
      <c r="X12" s="291">
        <f>'REMUNERACION_EAAB-CL'!X107</f>
        <v>0</v>
      </c>
      <c r="Y12" s="291">
        <f>'REMUNERACION_EAAB-CL'!Y107</f>
        <v>0</v>
      </c>
      <c r="Z12" s="291">
        <f>'REMUNERACION_EAAB-CL'!Z107</f>
        <v>0</v>
      </c>
      <c r="AA12" s="291">
        <f>'REMUNERACION_EAAB-CL'!AA107</f>
        <v>0</v>
      </c>
      <c r="AB12" s="291">
        <f>'REMUNERACION_EAAB-CL'!AB107</f>
        <v>0</v>
      </c>
      <c r="AC12" s="291">
        <f>'REMUNERACION_EAAB-CL'!AC107</f>
        <v>0</v>
      </c>
      <c r="AD12" s="291">
        <f>'REMUNERACION_EAAB-CL'!AD107</f>
        <v>0</v>
      </c>
      <c r="AE12" s="291">
        <f>'REMUNERACION_EAAB-CL'!AE107</f>
        <v>0</v>
      </c>
      <c r="AF12" s="365">
        <f>SUM(U12:AD12)</f>
        <v>0</v>
      </c>
      <c r="AG12" s="366">
        <f>AF12-O12</f>
        <v>0</v>
      </c>
      <c r="AH12" s="1" t="b">
        <f t="shared" si="2"/>
        <v>1</v>
      </c>
      <c r="AI12" s="306"/>
    </row>
    <row r="13" spans="2:35" s="305" customFormat="1" ht="12" thickBot="1" x14ac:dyDescent="0.3">
      <c r="B13" s="324">
        <v>5</v>
      </c>
      <c r="C13" s="325" t="s">
        <v>14</v>
      </c>
      <c r="D13" s="291">
        <f>'REMUNERACION_EAAB-CL'!D108</f>
        <v>0</v>
      </c>
      <c r="E13" s="291">
        <f>'REMUNERACION_EAAB-CL'!E108</f>
        <v>0</v>
      </c>
      <c r="F13" s="291">
        <f>'REMUNERACION_EAAB-CL'!F108</f>
        <v>0</v>
      </c>
      <c r="G13" s="291">
        <f>'REMUNERACION_EAAB-CL'!G108</f>
        <v>0</v>
      </c>
      <c r="H13" s="291">
        <f>'REMUNERACION_EAAB-CL'!H108</f>
        <v>0</v>
      </c>
      <c r="I13" s="291">
        <f>'REMUNERACION_EAAB-CL'!I108</f>
        <v>0</v>
      </c>
      <c r="J13" s="291">
        <f>'REMUNERACION_EAAB-CL'!J108</f>
        <v>0</v>
      </c>
      <c r="K13" s="295">
        <f t="shared" si="0"/>
        <v>0</v>
      </c>
      <c r="L13" s="291">
        <f>'REMUNERACION_EAAB-CL'!L108</f>
        <v>0</v>
      </c>
      <c r="M13" s="298">
        <f>K13-L13</f>
        <v>0</v>
      </c>
      <c r="N13" s="291">
        <f>'REMUNERACION_EAAB-CL'!N108</f>
        <v>0</v>
      </c>
      <c r="O13" s="298">
        <f t="shared" si="1"/>
        <v>0</v>
      </c>
      <c r="Q13" s="306"/>
      <c r="S13" s="324">
        <v>5</v>
      </c>
      <c r="T13" s="325" t="s">
        <v>14</v>
      </c>
      <c r="U13" s="291">
        <f>'REMUNERACION_EAAB-CL'!U108</f>
        <v>0</v>
      </c>
      <c r="V13" s="291">
        <f>'REMUNERACION_EAAB-CL'!V108</f>
        <v>0</v>
      </c>
      <c r="W13" s="291">
        <f>'REMUNERACION_EAAB-CL'!W108</f>
        <v>0</v>
      </c>
      <c r="X13" s="291">
        <f>'REMUNERACION_EAAB-CL'!X108</f>
        <v>0</v>
      </c>
      <c r="Y13" s="291">
        <f>'REMUNERACION_EAAB-CL'!Y108</f>
        <v>0</v>
      </c>
      <c r="Z13" s="291">
        <f>'REMUNERACION_EAAB-CL'!Z108</f>
        <v>0</v>
      </c>
      <c r="AA13" s="291">
        <f>'REMUNERACION_EAAB-CL'!AA108</f>
        <v>0</v>
      </c>
      <c r="AB13" s="291">
        <f>'REMUNERACION_EAAB-CL'!AB108</f>
        <v>0</v>
      </c>
      <c r="AC13" s="291">
        <f>'REMUNERACION_EAAB-CL'!AC108</f>
        <v>0</v>
      </c>
      <c r="AD13" s="291">
        <f>'REMUNERACION_EAAB-CL'!AD108</f>
        <v>0</v>
      </c>
      <c r="AE13" s="291">
        <f>'REMUNERACION_EAAB-CL'!AE108</f>
        <v>0</v>
      </c>
      <c r="AF13" s="365">
        <f>SUM(U13:AD13)</f>
        <v>0</v>
      </c>
      <c r="AG13" s="366">
        <f>AF13-O13</f>
        <v>0</v>
      </c>
      <c r="AH13" s="1" t="b">
        <f t="shared" si="2"/>
        <v>1</v>
      </c>
      <c r="AI13" s="306"/>
    </row>
    <row r="14" spans="2:35" s="305" customFormat="1" ht="13.5" thickBot="1" x14ac:dyDescent="0.35">
      <c r="B14" s="327"/>
      <c r="C14" s="328" t="s">
        <v>2</v>
      </c>
      <c r="D14" s="290">
        <f t="shared" ref="D14:O14" si="3">SUM(D9:D13)</f>
        <v>0</v>
      </c>
      <c r="E14" s="290">
        <f t="shared" si="3"/>
        <v>0</v>
      </c>
      <c r="F14" s="290">
        <f t="shared" si="3"/>
        <v>0</v>
      </c>
      <c r="G14" s="290">
        <f t="shared" si="3"/>
        <v>0</v>
      </c>
      <c r="H14" s="290">
        <f t="shared" si="3"/>
        <v>0</v>
      </c>
      <c r="I14" s="290">
        <f t="shared" si="3"/>
        <v>0</v>
      </c>
      <c r="J14" s="290">
        <f t="shared" si="3"/>
        <v>0</v>
      </c>
      <c r="K14" s="300">
        <f t="shared" si="3"/>
        <v>0</v>
      </c>
      <c r="L14" s="301">
        <f t="shared" si="3"/>
        <v>0</v>
      </c>
      <c r="M14" s="302">
        <f t="shared" si="3"/>
        <v>0</v>
      </c>
      <c r="N14" s="301">
        <f t="shared" si="3"/>
        <v>0</v>
      </c>
      <c r="O14" s="302">
        <f t="shared" si="3"/>
        <v>0</v>
      </c>
      <c r="P14" s="329"/>
      <c r="Q14" s="306"/>
      <c r="S14" s="327"/>
      <c r="T14" s="328" t="s">
        <v>2</v>
      </c>
      <c r="U14" s="290">
        <f>SUM(U9:U13)</f>
        <v>0</v>
      </c>
      <c r="V14" s="290">
        <f t="shared" ref="V14:AG14" si="4">SUM(V9:V13)</f>
        <v>0</v>
      </c>
      <c r="W14" s="290">
        <f t="shared" si="4"/>
        <v>0</v>
      </c>
      <c r="X14" s="290">
        <f t="shared" si="4"/>
        <v>0</v>
      </c>
      <c r="Y14" s="290">
        <f t="shared" si="4"/>
        <v>0</v>
      </c>
      <c r="Z14" s="290">
        <f t="shared" si="4"/>
        <v>0</v>
      </c>
      <c r="AA14" s="290">
        <f t="shared" si="4"/>
        <v>0</v>
      </c>
      <c r="AB14" s="290">
        <f t="shared" si="4"/>
        <v>0</v>
      </c>
      <c r="AC14" s="290">
        <f t="shared" si="4"/>
        <v>0</v>
      </c>
      <c r="AD14" s="290">
        <f t="shared" si="4"/>
        <v>0</v>
      </c>
      <c r="AE14" s="290">
        <f>SUM(AE9:AE13)</f>
        <v>0</v>
      </c>
      <c r="AF14" s="331">
        <f t="shared" si="4"/>
        <v>0</v>
      </c>
      <c r="AG14" s="290">
        <f t="shared" si="4"/>
        <v>0</v>
      </c>
      <c r="AH14" s="1" t="b">
        <f t="shared" si="2"/>
        <v>1</v>
      </c>
      <c r="AI14" s="306"/>
    </row>
    <row r="15" spans="2:35" ht="12" thickBot="1" x14ac:dyDescent="0.3">
      <c r="B15" s="2"/>
      <c r="C15" s="2"/>
      <c r="D15" s="24"/>
      <c r="E15" s="24"/>
      <c r="F15" s="24"/>
      <c r="G15" s="24"/>
      <c r="H15" s="24"/>
      <c r="I15" s="24"/>
      <c r="K15" s="24"/>
      <c r="L15" s="24"/>
      <c r="M15" s="24"/>
      <c r="N15" s="24"/>
      <c r="O15" s="24"/>
      <c r="Q15" s="4"/>
      <c r="S15" s="2"/>
      <c r="T15" s="2"/>
      <c r="U15" s="24"/>
      <c r="V15" s="24"/>
      <c r="W15" s="24"/>
      <c r="X15" s="24"/>
      <c r="Y15" s="24"/>
      <c r="AF15" s="24"/>
      <c r="AI15" s="4"/>
    </row>
    <row r="16" spans="2:35" ht="12" thickBot="1" x14ac:dyDescent="0.3">
      <c r="B16" s="2"/>
      <c r="C16" s="2"/>
      <c r="D16" s="24" t="s">
        <v>1</v>
      </c>
      <c r="E16" s="24"/>
      <c r="F16" s="24"/>
      <c r="G16" s="24"/>
      <c r="H16" s="24"/>
      <c r="I16" s="24"/>
      <c r="K16" s="24"/>
      <c r="L16" s="24"/>
      <c r="M16" s="24"/>
      <c r="N16" s="24"/>
      <c r="O16" s="24"/>
      <c r="Q16" s="4"/>
      <c r="Y16" s="86">
        <f>SUM(U14:Y14)</f>
        <v>0</v>
      </c>
      <c r="AA16" s="1" t="s">
        <v>1</v>
      </c>
      <c r="AB16" s="1" t="s">
        <v>1</v>
      </c>
      <c r="AD16" s="1" t="s">
        <v>1</v>
      </c>
      <c r="AF16" s="1" t="s">
        <v>1</v>
      </c>
      <c r="AI16" s="4"/>
    </row>
    <row r="17" spans="1:35" ht="64.5" customHeight="1" thickBot="1" x14ac:dyDescent="0.3">
      <c r="B17" s="2"/>
      <c r="C17" s="2"/>
      <c r="D17" s="24" t="s">
        <v>1</v>
      </c>
      <c r="E17" s="33"/>
      <c r="F17" s="33"/>
      <c r="G17" s="33"/>
      <c r="H17" s="33"/>
      <c r="I17" s="24"/>
      <c r="K17" s="24"/>
      <c r="L17" s="24"/>
      <c r="M17" s="24"/>
      <c r="N17" s="24"/>
      <c r="O17" s="24"/>
      <c r="Q17" s="4"/>
      <c r="U17" s="33"/>
      <c r="V17" s="33"/>
      <c r="W17" s="33"/>
      <c r="X17" s="33"/>
      <c r="AI17" s="4"/>
    </row>
    <row r="18" spans="1:35" x14ac:dyDescent="0.25">
      <c r="B18" s="2"/>
      <c r="C18" s="2"/>
      <c r="D18" s="24" t="s">
        <v>1</v>
      </c>
      <c r="E18" s="24" t="s">
        <v>1</v>
      </c>
      <c r="F18" s="24" t="s">
        <v>25</v>
      </c>
      <c r="G18" s="24"/>
      <c r="H18" s="24"/>
      <c r="I18" s="24"/>
      <c r="J18" s="24" t="s">
        <v>190</v>
      </c>
      <c r="K18" s="24"/>
      <c r="L18" s="24"/>
      <c r="M18" s="24"/>
      <c r="N18" s="24"/>
      <c r="O18" s="24"/>
      <c r="Q18" s="4"/>
      <c r="U18" s="24" t="s">
        <v>1</v>
      </c>
      <c r="V18" s="24" t="s">
        <v>25</v>
      </c>
      <c r="W18" s="24"/>
      <c r="X18" s="24"/>
      <c r="AI18" s="4"/>
    </row>
    <row r="19" spans="1:35" x14ac:dyDescent="0.25">
      <c r="A19" s="52"/>
      <c r="B19" s="53"/>
      <c r="C19" s="53"/>
      <c r="D19" s="54"/>
      <c r="E19" s="54"/>
      <c r="F19" s="54"/>
      <c r="G19" s="54"/>
      <c r="H19" s="54"/>
      <c r="I19" s="54"/>
      <c r="J19" s="52"/>
      <c r="K19" s="54"/>
      <c r="L19" s="54"/>
      <c r="M19" s="54"/>
      <c r="N19" s="54"/>
      <c r="O19" s="54"/>
      <c r="P19" s="52"/>
      <c r="Q19" s="52"/>
      <c r="R19" s="52"/>
      <c r="S19" s="52"/>
      <c r="T19" s="52"/>
      <c r="U19" s="52"/>
      <c r="V19" s="52"/>
      <c r="W19" s="52"/>
      <c r="X19" s="52"/>
      <c r="Y19" s="52"/>
      <c r="Z19" s="52"/>
      <c r="AA19" s="52"/>
      <c r="AB19" s="52"/>
      <c r="AC19" s="52"/>
      <c r="AD19" s="52"/>
      <c r="AE19" s="52"/>
      <c r="AF19" s="52"/>
      <c r="AG19" s="52"/>
      <c r="AH19" s="52"/>
      <c r="AI19" s="52"/>
    </row>
    <row r="20" spans="1:35" ht="12" thickBot="1" x14ac:dyDescent="0.3">
      <c r="Q20" s="4"/>
    </row>
    <row r="21" spans="1:35" x14ac:dyDescent="0.25">
      <c r="B21" s="5"/>
      <c r="C21" s="3" t="s">
        <v>1</v>
      </c>
      <c r="D21" s="6" t="s">
        <v>1</v>
      </c>
      <c r="E21" s="3"/>
      <c r="F21" s="3"/>
      <c r="G21" s="3"/>
      <c r="H21" s="3" t="s">
        <v>1</v>
      </c>
      <c r="I21" s="3"/>
      <c r="J21" s="3"/>
      <c r="K21" s="3"/>
      <c r="L21" s="3"/>
      <c r="M21" s="3"/>
      <c r="N21" s="3"/>
      <c r="O21" s="7"/>
      <c r="P21" s="2"/>
      <c r="Q21" s="35"/>
    </row>
    <row r="22" spans="1:35" ht="14" x14ac:dyDescent="0.3">
      <c r="B22" s="8"/>
      <c r="C22" s="2"/>
      <c r="D22" s="9"/>
      <c r="F22" s="26" t="s">
        <v>8</v>
      </c>
      <c r="G22" s="26"/>
      <c r="I22" s="26" t="s">
        <v>16</v>
      </c>
      <c r="J22" s="25"/>
      <c r="M22" s="2" t="s">
        <v>15</v>
      </c>
      <c r="N22" s="50">
        <f>'CONSOLIDADO_TOTAL RECAUDO'!M117</f>
        <v>2026072</v>
      </c>
      <c r="O22" s="10"/>
      <c r="P22" s="2"/>
      <c r="Q22" s="4"/>
    </row>
    <row r="23" spans="1:35" ht="15.5" x14ac:dyDescent="0.35">
      <c r="B23" s="8"/>
      <c r="C23" s="2"/>
      <c r="D23" s="57"/>
      <c r="F23" s="36" t="s">
        <v>29</v>
      </c>
      <c r="G23" s="36"/>
      <c r="O23" s="10"/>
      <c r="P23" s="2"/>
      <c r="Q23" s="4"/>
    </row>
    <row r="24" spans="1:35" x14ac:dyDescent="0.25">
      <c r="B24" s="8"/>
      <c r="F24" s="2" t="s">
        <v>30</v>
      </c>
      <c r="G24" s="2"/>
      <c r="M24" s="2" t="s">
        <v>1</v>
      </c>
      <c r="O24" s="10"/>
      <c r="P24" s="2"/>
      <c r="Q24" s="4"/>
    </row>
    <row r="25" spans="1:35" x14ac:dyDescent="0.25">
      <c r="B25" s="8"/>
      <c r="I25" s="2"/>
      <c r="J25" s="2"/>
      <c r="O25" s="10"/>
      <c r="P25" s="2"/>
      <c r="Q25" s="4"/>
    </row>
    <row r="26" spans="1:35" ht="15.5" x14ac:dyDescent="0.35">
      <c r="B26" s="8"/>
      <c r="F26" s="41" t="s">
        <v>37</v>
      </c>
      <c r="G26" s="41"/>
      <c r="H26" s="2"/>
      <c r="J26" s="2"/>
      <c r="O26" s="10"/>
      <c r="P26" s="2"/>
      <c r="Q26" s="4"/>
    </row>
    <row r="27" spans="1:35" x14ac:dyDescent="0.25">
      <c r="B27" s="8"/>
      <c r="F27" s="2" t="s">
        <v>27</v>
      </c>
      <c r="G27" s="2"/>
      <c r="H27" s="9">
        <f>'CONSOLIDADO_TOTAL RECAUDO'!G122</f>
        <v>46219</v>
      </c>
      <c r="J27" s="2" t="s">
        <v>28</v>
      </c>
      <c r="K27" s="9">
        <f>'CONSOLIDADO_TOTAL RECAUDO'!K122</f>
        <v>46234</v>
      </c>
      <c r="O27" s="10"/>
      <c r="P27" s="2"/>
      <c r="Q27" s="4"/>
    </row>
    <row r="28" spans="1:35" ht="12" thickBot="1" x14ac:dyDescent="0.3">
      <c r="B28" s="8"/>
      <c r="C28" s="2" t="s">
        <v>1</v>
      </c>
      <c r="D28" s="2" t="s">
        <v>1</v>
      </c>
      <c r="J28" s="1" t="s">
        <v>1</v>
      </c>
      <c r="O28" s="44"/>
      <c r="P28" s="2"/>
      <c r="Q28" s="4"/>
    </row>
    <row r="29" spans="1:35" ht="46.5" thickBot="1" x14ac:dyDescent="0.3">
      <c r="B29" s="11" t="s">
        <v>3</v>
      </c>
      <c r="C29" s="12" t="s">
        <v>9</v>
      </c>
      <c r="D29" s="105" t="s">
        <v>38</v>
      </c>
      <c r="E29" s="105" t="s">
        <v>48</v>
      </c>
      <c r="G29" s="104" t="s">
        <v>47</v>
      </c>
      <c r="H29" s="73" t="s">
        <v>56</v>
      </c>
      <c r="I29" s="73" t="s">
        <v>130</v>
      </c>
      <c r="J29" s="73" t="s">
        <v>172</v>
      </c>
      <c r="K29" s="73" t="s">
        <v>143</v>
      </c>
      <c r="L29" s="73" t="s">
        <v>144</v>
      </c>
      <c r="O29" s="44"/>
      <c r="P29" s="13"/>
      <c r="Q29" s="4"/>
    </row>
    <row r="30" spans="1:35" s="305" customFormat="1" x14ac:dyDescent="0.25">
      <c r="B30" s="334">
        <v>1</v>
      </c>
      <c r="C30" s="367" t="s">
        <v>10</v>
      </c>
      <c r="D30" s="307">
        <f>'REMUNERACION_EAAB-CL'!D125</f>
        <v>0</v>
      </c>
      <c r="E30" s="309">
        <f>'REMUNERACION_EAAB-CL'!E125</f>
        <v>0</v>
      </c>
      <c r="G30" s="336">
        <f>'REMUNERACION_EAAB-CL'!G125</f>
        <v>0</v>
      </c>
      <c r="H30" s="310">
        <f>'REMUNERACION_EAAB-CL'!H125</f>
        <v>0</v>
      </c>
      <c r="I30" s="309">
        <f>'REMUNERACION_EAAB-CL'!I125</f>
        <v>0</v>
      </c>
      <c r="J30" s="309">
        <f>'REMUNERACION_EAAB-CL'!J125</f>
        <v>0</v>
      </c>
      <c r="K30" s="309">
        <f>'REMUNERACION_EAAB-CL'!K125</f>
        <v>0</v>
      </c>
      <c r="L30" s="309">
        <f>'REMUNERACION_EAAB-CL'!L125</f>
        <v>0</v>
      </c>
      <c r="O30" s="337"/>
      <c r="Q30" s="306"/>
    </row>
    <row r="31" spans="1:35" s="305" customFormat="1" x14ac:dyDescent="0.25">
      <c r="B31" s="314">
        <v>2</v>
      </c>
      <c r="C31" s="315" t="s">
        <v>11</v>
      </c>
      <c r="D31" s="316">
        <f>'REMUNERACION_EAAB-CL'!D126</f>
        <v>0</v>
      </c>
      <c r="E31" s="318">
        <f>'REMUNERACION_EAAB-CL'!E126</f>
        <v>0</v>
      </c>
      <c r="G31" s="339">
        <f>'REMUNERACION_EAAB-CL'!G126</f>
        <v>0</v>
      </c>
      <c r="H31" s="340">
        <f>'REMUNERACION_EAAB-CL'!H126</f>
        <v>0</v>
      </c>
      <c r="I31" s="288">
        <f>'REMUNERACION_EAAB-CL'!I126</f>
        <v>0</v>
      </c>
      <c r="J31" s="288">
        <f>'REMUNERACION_EAAB-CL'!J126</f>
        <v>0</v>
      </c>
      <c r="K31" s="288">
        <f>'REMUNERACION_EAAB-CL'!K126</f>
        <v>0</v>
      </c>
      <c r="L31" s="288">
        <f>'REMUNERACION_EAAB-CL'!L126</f>
        <v>0</v>
      </c>
      <c r="O31" s="337"/>
      <c r="Q31" s="306"/>
    </row>
    <row r="32" spans="1:35" s="305" customFormat="1" x14ac:dyDescent="0.25">
      <c r="B32" s="314">
        <v>3</v>
      </c>
      <c r="C32" s="315" t="s">
        <v>12</v>
      </c>
      <c r="D32" s="316">
        <f>'REMUNERACION_EAAB-CL'!D127</f>
        <v>0</v>
      </c>
      <c r="E32" s="318">
        <f>'REMUNERACION_EAAB-CL'!E127</f>
        <v>0</v>
      </c>
      <c r="G32" s="339">
        <f>'REMUNERACION_EAAB-CL'!G127</f>
        <v>0</v>
      </c>
      <c r="H32" s="340">
        <f>'REMUNERACION_EAAB-CL'!H127</f>
        <v>0</v>
      </c>
      <c r="I32" s="288">
        <f>'REMUNERACION_EAAB-CL'!I127</f>
        <v>0</v>
      </c>
      <c r="J32" s="288">
        <f>'REMUNERACION_EAAB-CL'!J127</f>
        <v>0</v>
      </c>
      <c r="K32" s="288">
        <f>'REMUNERACION_EAAB-CL'!K127</f>
        <v>0</v>
      </c>
      <c r="L32" s="288">
        <f>'REMUNERACION_EAAB-CL'!L127</f>
        <v>0</v>
      </c>
      <c r="O32" s="337"/>
      <c r="Q32" s="306"/>
    </row>
    <row r="33" spans="1:35" s="305" customFormat="1" x14ac:dyDescent="0.25">
      <c r="B33" s="314">
        <v>4</v>
      </c>
      <c r="C33" s="315" t="s">
        <v>13</v>
      </c>
      <c r="D33" s="316">
        <f>'REMUNERACION_EAAB-CL'!D128</f>
        <v>0</v>
      </c>
      <c r="E33" s="318">
        <f>'REMUNERACION_EAAB-CL'!E128</f>
        <v>0</v>
      </c>
      <c r="G33" s="339">
        <f>'REMUNERACION_EAAB-CL'!G128</f>
        <v>0</v>
      </c>
      <c r="H33" s="340">
        <f>'REMUNERACION_EAAB-CL'!H128</f>
        <v>0</v>
      </c>
      <c r="I33" s="288">
        <f>'REMUNERACION_EAAB-CL'!I128</f>
        <v>0</v>
      </c>
      <c r="J33" s="288">
        <f>'REMUNERACION_EAAB-CL'!J128</f>
        <v>0</v>
      </c>
      <c r="K33" s="288">
        <f>'REMUNERACION_EAAB-CL'!K128</f>
        <v>0</v>
      </c>
      <c r="L33" s="288">
        <f>'REMUNERACION_EAAB-CL'!L128</f>
        <v>0</v>
      </c>
      <c r="O33" s="337"/>
      <c r="Q33" s="306"/>
    </row>
    <row r="34" spans="1:35" s="305" customFormat="1" x14ac:dyDescent="0.25">
      <c r="B34" s="341">
        <v>5</v>
      </c>
      <c r="C34" s="368" t="s">
        <v>14</v>
      </c>
      <c r="D34" s="316">
        <f>'REMUNERACION_EAAB-CL'!D129</f>
        <v>0</v>
      </c>
      <c r="E34" s="318">
        <f>'REMUNERACION_EAAB-CL'!E129</f>
        <v>0</v>
      </c>
      <c r="G34" s="339">
        <f>'REMUNERACION_EAAB-CL'!G129</f>
        <v>0</v>
      </c>
      <c r="H34" s="340">
        <f>'REMUNERACION_EAAB-CL'!H129</f>
        <v>0</v>
      </c>
      <c r="I34" s="288">
        <f>'REMUNERACION_EAAB-CL'!I129</f>
        <v>0</v>
      </c>
      <c r="J34" s="288">
        <f>'REMUNERACION_EAAB-CL'!J129</f>
        <v>0</v>
      </c>
      <c r="K34" s="288">
        <f>'REMUNERACION_EAAB-CL'!K129</f>
        <v>0</v>
      </c>
      <c r="L34" s="288">
        <f>'REMUNERACION_EAAB-CL'!L129</f>
        <v>0</v>
      </c>
      <c r="O34" s="337"/>
      <c r="Q34" s="306"/>
    </row>
    <row r="35" spans="1:35" s="305" customFormat="1" ht="12" thickBot="1" x14ac:dyDescent="0.3">
      <c r="B35" s="324" t="s">
        <v>89</v>
      </c>
      <c r="C35" s="325" t="s">
        <v>113</v>
      </c>
      <c r="D35" s="296">
        <f>'REMUNERACION_EAAB-CL'!D130</f>
        <v>0</v>
      </c>
      <c r="E35" s="289">
        <f>'REMUNERACION_EAAB-CL'!E130</f>
        <v>0</v>
      </c>
      <c r="G35" s="346"/>
      <c r="H35" s="347"/>
      <c r="I35" s="289"/>
      <c r="J35" s="289"/>
      <c r="K35" s="289"/>
      <c r="L35" s="289"/>
      <c r="O35" s="337"/>
      <c r="Q35" s="306"/>
    </row>
    <row r="36" spans="1:35" s="305" customFormat="1" ht="12" thickBot="1" x14ac:dyDescent="0.3">
      <c r="B36" s="348"/>
      <c r="C36" s="349" t="s">
        <v>2</v>
      </c>
      <c r="D36" s="350">
        <f t="shared" ref="D36:E36" si="5">SUM(D30:D34)</f>
        <v>0</v>
      </c>
      <c r="E36" s="350">
        <f t="shared" si="5"/>
        <v>0</v>
      </c>
      <c r="F36" s="351"/>
      <c r="G36" s="350">
        <f t="shared" ref="G36:L36" si="6">SUM(G30:G34)</f>
        <v>0</v>
      </c>
      <c r="H36" s="350">
        <f t="shared" si="6"/>
        <v>0</v>
      </c>
      <c r="I36" s="350">
        <f t="shared" si="6"/>
        <v>0</v>
      </c>
      <c r="J36" s="350">
        <f t="shared" si="6"/>
        <v>0</v>
      </c>
      <c r="K36" s="350">
        <f t="shared" si="6"/>
        <v>0</v>
      </c>
      <c r="L36" s="350">
        <f t="shared" si="6"/>
        <v>0</v>
      </c>
      <c r="M36" s="351"/>
      <c r="N36" s="351"/>
      <c r="O36" s="352"/>
      <c r="P36" s="329"/>
      <c r="Q36" s="306"/>
    </row>
    <row r="37" spans="1:35" x14ac:dyDescent="0.25">
      <c r="B37" s="2"/>
      <c r="C37" s="2"/>
      <c r="D37" s="24"/>
      <c r="Q37" s="4"/>
      <c r="AI37" s="305"/>
    </row>
    <row r="38" spans="1:35" x14ac:dyDescent="0.25">
      <c r="B38" s="2"/>
      <c r="C38" s="2"/>
      <c r="D38" s="24"/>
      <c r="L38" s="1" t="s">
        <v>1</v>
      </c>
      <c r="Q38" s="4"/>
      <c r="AI38" s="305"/>
    </row>
    <row r="39" spans="1:35" ht="64.5" customHeight="1" thickBot="1" x14ac:dyDescent="0.3">
      <c r="B39" s="2"/>
      <c r="C39" s="2"/>
      <c r="D39" s="24"/>
      <c r="E39" s="33"/>
      <c r="F39" s="33"/>
      <c r="G39" s="33"/>
      <c r="H39" s="33"/>
      <c r="I39" s="24"/>
      <c r="K39" s="24"/>
      <c r="L39" s="24" t="s">
        <v>1</v>
      </c>
      <c r="M39" s="24" t="s">
        <v>1</v>
      </c>
      <c r="N39" s="24"/>
      <c r="O39" s="24"/>
      <c r="Q39" s="4"/>
      <c r="AI39" s="305"/>
    </row>
    <row r="40" spans="1:35" x14ac:dyDescent="0.25">
      <c r="B40" s="2"/>
      <c r="C40" s="2"/>
      <c r="D40" s="24"/>
      <c r="E40" s="24" t="s">
        <v>1</v>
      </c>
      <c r="F40" s="42" t="s">
        <v>36</v>
      </c>
      <c r="G40" s="42"/>
      <c r="H40" s="42"/>
      <c r="I40" s="24"/>
      <c r="K40" s="24"/>
      <c r="L40" s="24"/>
      <c r="M40" s="24"/>
      <c r="N40" s="24"/>
      <c r="O40" s="24"/>
      <c r="Q40" s="4"/>
    </row>
    <row r="41" spans="1:35" x14ac:dyDescent="0.25">
      <c r="A41" s="52"/>
      <c r="B41" s="53"/>
      <c r="C41" s="53"/>
      <c r="D41" s="54"/>
      <c r="E41" s="54"/>
      <c r="F41" s="54"/>
      <c r="G41" s="54"/>
      <c r="H41" s="54"/>
      <c r="I41" s="54"/>
      <c r="J41" s="52"/>
      <c r="K41" s="54"/>
      <c r="L41" s="54"/>
      <c r="M41" s="54"/>
      <c r="N41" s="54"/>
      <c r="O41" s="54"/>
      <c r="P41" s="52"/>
      <c r="Q41" s="4"/>
    </row>
    <row r="42" spans="1:35" x14ac:dyDescent="0.25">
      <c r="N42" s="24"/>
      <c r="O42" s="24"/>
      <c r="Q42" s="24"/>
      <c r="T42" s="24"/>
    </row>
    <row r="43" spans="1:35" x14ac:dyDescent="0.25">
      <c r="N43" s="24"/>
      <c r="O43" s="24"/>
      <c r="Q43" s="24"/>
      <c r="T43" s="24"/>
    </row>
    <row r="44" spans="1:35" x14ac:dyDescent="0.25">
      <c r="D44" s="267" t="b">
        <f>D14='REMUNERACION_EAAB-CL'!D109</f>
        <v>1</v>
      </c>
      <c r="E44" s="267" t="b">
        <f>E14='REMUNERACION_EAAB-CL'!E109</f>
        <v>1</v>
      </c>
      <c r="F44" s="267" t="b">
        <f>F14='REMUNERACION_EAAB-CL'!F109</f>
        <v>1</v>
      </c>
      <c r="G44" s="267" t="b">
        <f>G14='REMUNERACION_EAAB-CL'!G109</f>
        <v>1</v>
      </c>
      <c r="H44" s="267" t="b">
        <f>H14='REMUNERACION_EAAB-CL'!H109</f>
        <v>1</v>
      </c>
      <c r="I44" s="267" t="b">
        <f>I14='REMUNERACION_EAAB-CL'!I109</f>
        <v>1</v>
      </c>
      <c r="J44" s="267" t="b">
        <f>J14='REMUNERACION_EAAB-CL'!J109</f>
        <v>1</v>
      </c>
      <c r="K44" s="267" t="b">
        <f>K14='REMUNERACION_EAAB-CL'!K109</f>
        <v>1</v>
      </c>
      <c r="L44" s="267" t="b">
        <f>L14='REMUNERACION_EAAB-CL'!L109</f>
        <v>1</v>
      </c>
      <c r="M44" s="267" t="b">
        <f>M14='REMUNERACION_EAAB-CL'!M109</f>
        <v>1</v>
      </c>
      <c r="N44" s="267" t="b">
        <f>N14='REMUNERACION_EAAB-CL'!N109</f>
        <v>1</v>
      </c>
      <c r="O44" s="267" t="b">
        <f>O14='REMUNERACION_EAAB-CL'!O109</f>
        <v>1</v>
      </c>
      <c r="Q44" s="24"/>
      <c r="T44" s="24"/>
    </row>
    <row r="45" spans="1:35" x14ac:dyDescent="0.25">
      <c r="D45" s="267" t="b">
        <f>D36='REMUNERACION_EAAB-CL'!D131</f>
        <v>1</v>
      </c>
      <c r="E45" s="267" t="b">
        <f>E36='REMUNERACION_EAAB-CL'!E131</f>
        <v>1</v>
      </c>
      <c r="F45" s="267" t="b">
        <f>F36='REMUNERACION_EAAB-CL'!F131</f>
        <v>1</v>
      </c>
      <c r="G45" s="267" t="b">
        <f>G36='REMUNERACION_EAAB-CL'!G131</f>
        <v>1</v>
      </c>
      <c r="H45" s="267" t="b">
        <f>H36='REMUNERACION_EAAB-CL'!H131</f>
        <v>1</v>
      </c>
      <c r="I45" s="267" t="b">
        <f>I36='REMUNERACION_EAAB-CL'!I131</f>
        <v>1</v>
      </c>
      <c r="J45" s="267" t="b">
        <f>J36='REMUNERACION_EAAB-CL'!J131</f>
        <v>1</v>
      </c>
      <c r="K45" s="267" t="b">
        <f>K36='REMUNERACION_EAAB-CL'!K131</f>
        <v>1</v>
      </c>
      <c r="L45" s="267" t="b">
        <f>L36='REMUNERACION_EAAB-CL'!L131</f>
        <v>1</v>
      </c>
      <c r="M45" s="267" t="b">
        <f>M36='REMUNERACION_EAAB-CL'!M131</f>
        <v>1</v>
      </c>
      <c r="N45" s="267" t="b">
        <f>N36='REMUNERACION_EAAB-CL'!N131</f>
        <v>1</v>
      </c>
      <c r="O45" s="267" t="b">
        <f>O36='REMUNERACION_EAAB-CL'!O131</f>
        <v>1</v>
      </c>
      <c r="Q45" s="24"/>
      <c r="T45" s="24"/>
    </row>
    <row r="46" spans="1:35" x14ac:dyDescent="0.25">
      <c r="N46" s="24"/>
      <c r="O46" s="24"/>
      <c r="Q46" s="24"/>
      <c r="T46" s="24"/>
    </row>
    <row r="47" spans="1:35" x14ac:dyDescent="0.25">
      <c r="N47" s="24"/>
      <c r="O47" s="24"/>
      <c r="Q47" s="24"/>
      <c r="T47" s="24"/>
    </row>
    <row r="48" spans="1:35" x14ac:dyDescent="0.25">
      <c r="N48" s="24"/>
      <c r="O48" s="24"/>
      <c r="Q48" s="24"/>
      <c r="T48" s="24"/>
    </row>
    <row r="49" spans="14:20" x14ac:dyDescent="0.25">
      <c r="N49" s="24"/>
      <c r="O49" s="24"/>
      <c r="Q49" s="24"/>
      <c r="T49" s="24"/>
    </row>
    <row r="50" spans="14:20" x14ac:dyDescent="0.25">
      <c r="N50" s="24"/>
      <c r="O50" s="24"/>
      <c r="Q50" s="24"/>
      <c r="T50" s="24"/>
    </row>
    <row r="51" spans="14:20" x14ac:dyDescent="0.25">
      <c r="Q51" s="24"/>
      <c r="T51" s="24"/>
    </row>
    <row r="52" spans="14:20" x14ac:dyDescent="0.25">
      <c r="Q52" s="24"/>
    </row>
  </sheetData>
  <conditionalFormatting sqref="AH9:AH14">
    <cfRule type="cellIs" dxfId="8" priority="2" operator="notEqual">
      <formula>TRUE</formula>
    </cfRule>
  </conditionalFormatting>
  <printOptions horizontalCentered="1" verticalCentered="1"/>
  <pageMargins left="0.55118110236220474" right="0.74803149606299213" top="0.59055118110236227" bottom="0.78740157480314965" header="0" footer="0"/>
  <pageSetup scale="24" orientation="landscape" r:id="rId1"/>
  <headerFooter alignWithMargins="0"/>
  <drawing r:id="rId2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1700FB-0ECC-41B8-9748-81AD38759882}">
  <sheetPr>
    <tabColor rgb="FFFF0000"/>
  </sheetPr>
  <dimension ref="B1:T39"/>
  <sheetViews>
    <sheetView topLeftCell="A15" workbookViewId="0">
      <selection activeCell="A39" sqref="A39"/>
    </sheetView>
  </sheetViews>
  <sheetFormatPr baseColWidth="10" defaultColWidth="11.453125" defaultRowHeight="14.5" x14ac:dyDescent="0.35"/>
  <cols>
    <col min="1" max="1" width="2.81640625" style="610" customWidth="1"/>
    <col min="2" max="2" width="7.1796875" style="610" customWidth="1"/>
    <col min="3" max="3" width="42.81640625" style="610" customWidth="1"/>
    <col min="4" max="15" width="28.54296875" style="610" customWidth="1"/>
    <col min="16" max="16384" width="11.453125" style="610"/>
  </cols>
  <sheetData>
    <row r="1" spans="2:20" customFormat="1" ht="12.5" x14ac:dyDescent="0.25"/>
    <row r="2" spans="2:20" customFormat="1" ht="12.5" x14ac:dyDescent="0.25">
      <c r="T2" s="142" t="s">
        <v>331</v>
      </c>
    </row>
    <row r="3" spans="2:20" customFormat="1" x14ac:dyDescent="0.25">
      <c r="F3" s="661" t="s">
        <v>8</v>
      </c>
      <c r="H3" s="661" t="s">
        <v>16</v>
      </c>
      <c r="L3" s="661" t="s">
        <v>229</v>
      </c>
      <c r="M3" s="661" t="s">
        <v>343</v>
      </c>
      <c r="T3" s="142"/>
    </row>
    <row r="4" spans="2:20" customFormat="1" x14ac:dyDescent="0.25">
      <c r="F4" s="661" t="s">
        <v>29</v>
      </c>
    </row>
    <row r="5" spans="2:20" customFormat="1" x14ac:dyDescent="0.25">
      <c r="F5" s="661" t="s">
        <v>230</v>
      </c>
    </row>
    <row r="6" spans="2:20" customFormat="1" x14ac:dyDescent="0.25">
      <c r="C6" s="661" t="s">
        <v>231</v>
      </c>
      <c r="D6" s="661" t="s">
        <v>344</v>
      </c>
      <c r="F6" s="661" t="s">
        <v>232</v>
      </c>
    </row>
    <row r="7" spans="2:20" customFormat="1" x14ac:dyDescent="0.25">
      <c r="C7" s="661" t="s">
        <v>233</v>
      </c>
      <c r="D7" s="661" t="s">
        <v>345</v>
      </c>
      <c r="F7" s="661" t="s">
        <v>27</v>
      </c>
      <c r="G7" s="661" t="s">
        <v>346</v>
      </c>
      <c r="I7" s="661" t="s">
        <v>234</v>
      </c>
      <c r="J7" s="661" t="s">
        <v>347</v>
      </c>
    </row>
    <row r="8" spans="2:20" customFormat="1" ht="43.5" x14ac:dyDescent="0.25">
      <c r="B8" s="662" t="s">
        <v>3</v>
      </c>
      <c r="C8" s="662" t="s">
        <v>235</v>
      </c>
      <c r="D8" s="662" t="s">
        <v>236</v>
      </c>
      <c r="E8" s="662" t="s">
        <v>237</v>
      </c>
      <c r="F8" s="662" t="s">
        <v>238</v>
      </c>
      <c r="G8" s="662" t="s">
        <v>239</v>
      </c>
      <c r="H8" s="662" t="s">
        <v>240</v>
      </c>
      <c r="I8" s="662" t="s">
        <v>241</v>
      </c>
      <c r="J8" s="662" t="s">
        <v>242</v>
      </c>
      <c r="K8" s="662" t="s">
        <v>243</v>
      </c>
      <c r="L8" s="662" t="s">
        <v>244</v>
      </c>
      <c r="M8" s="662" t="s">
        <v>245</v>
      </c>
      <c r="N8" s="662" t="s">
        <v>246</v>
      </c>
      <c r="O8" s="662" t="s">
        <v>247</v>
      </c>
    </row>
    <row r="9" spans="2:20" customFormat="1" ht="12.5" x14ac:dyDescent="0.25">
      <c r="B9" s="642" t="s">
        <v>115</v>
      </c>
      <c r="C9" s="642" t="s">
        <v>10</v>
      </c>
      <c r="D9" s="643">
        <v>17450228673</v>
      </c>
      <c r="E9" s="643">
        <v>907089032</v>
      </c>
      <c r="F9" s="643">
        <v>511619082</v>
      </c>
      <c r="G9" s="643">
        <v>268690519</v>
      </c>
      <c r="H9" s="643">
        <v>3815252257</v>
      </c>
      <c r="I9" s="643">
        <v>134368143</v>
      </c>
      <c r="J9" s="643">
        <v>-3589454666</v>
      </c>
      <c r="K9" s="643">
        <v>15402664306</v>
      </c>
      <c r="L9" s="643">
        <v>189185988</v>
      </c>
      <c r="M9" s="643">
        <v>15213478318</v>
      </c>
      <c r="N9" s="643">
        <v>25277316</v>
      </c>
      <c r="O9" s="643">
        <v>15238755634</v>
      </c>
    </row>
    <row r="10" spans="2:20" customFormat="1" ht="12.5" x14ac:dyDescent="0.25">
      <c r="B10" s="642" t="s">
        <v>116</v>
      </c>
      <c r="C10" s="642" t="s">
        <v>11</v>
      </c>
      <c r="D10" s="643">
        <v>20516143970</v>
      </c>
      <c r="E10" s="643">
        <v>1584179838</v>
      </c>
      <c r="F10" s="643">
        <v>890098163</v>
      </c>
      <c r="G10" s="643">
        <v>466611469</v>
      </c>
      <c r="H10" s="643">
        <v>5815089520</v>
      </c>
      <c r="I10" s="643">
        <v>222428730</v>
      </c>
      <c r="J10" s="643">
        <v>-3241193714</v>
      </c>
      <c r="K10" s="643">
        <v>14778929964</v>
      </c>
      <c r="L10" s="643">
        <v>266580256</v>
      </c>
      <c r="M10" s="643">
        <v>14512349708</v>
      </c>
      <c r="N10" s="643">
        <v>53454221</v>
      </c>
      <c r="O10" s="643">
        <v>14565803930</v>
      </c>
    </row>
    <row r="11" spans="2:20" customFormat="1" ht="12.5" x14ac:dyDescent="0.25">
      <c r="B11" s="642" t="s">
        <v>117</v>
      </c>
      <c r="C11" s="642" t="s">
        <v>248</v>
      </c>
      <c r="D11" s="643">
        <v>15221896467</v>
      </c>
      <c r="E11" s="643">
        <v>1154816918</v>
      </c>
      <c r="F11" s="643">
        <v>650648257</v>
      </c>
      <c r="G11" s="643">
        <v>342168927</v>
      </c>
      <c r="H11" s="643">
        <v>3419471287</v>
      </c>
      <c r="I11" s="643">
        <v>125690283</v>
      </c>
      <c r="J11" s="643">
        <v>-853244565</v>
      </c>
      <c r="K11" s="643">
        <v>10382345360</v>
      </c>
      <c r="L11" s="643">
        <v>154788536</v>
      </c>
      <c r="M11" s="643">
        <v>10227556824</v>
      </c>
      <c r="N11" s="643">
        <v>14341963</v>
      </c>
      <c r="O11" s="643">
        <v>10241898788</v>
      </c>
    </row>
    <row r="12" spans="2:20" customFormat="1" ht="12.5" x14ac:dyDescent="0.25">
      <c r="B12" s="642" t="s">
        <v>249</v>
      </c>
      <c r="C12" s="642" t="s">
        <v>13</v>
      </c>
      <c r="D12" s="643">
        <v>7179595396</v>
      </c>
      <c r="E12" s="643">
        <v>473606043</v>
      </c>
      <c r="F12" s="643">
        <v>264596658</v>
      </c>
      <c r="G12" s="643">
        <v>136481575</v>
      </c>
      <c r="H12" s="643">
        <v>1605437094</v>
      </c>
      <c r="I12" s="643">
        <v>62582402</v>
      </c>
      <c r="J12" s="643">
        <v>-699882713</v>
      </c>
      <c r="K12" s="643">
        <v>5336774337</v>
      </c>
      <c r="L12" s="643">
        <v>120391083</v>
      </c>
      <c r="M12" s="643">
        <v>5216383254</v>
      </c>
      <c r="N12" s="643">
        <v>34128345</v>
      </c>
      <c r="O12" s="643">
        <v>5250511599</v>
      </c>
    </row>
    <row r="13" spans="2:20" customFormat="1" ht="12.5" x14ac:dyDescent="0.25">
      <c r="B13" s="642" t="s">
        <v>118</v>
      </c>
      <c r="C13" s="642" t="s">
        <v>14</v>
      </c>
      <c r="D13" s="643">
        <v>12073344662</v>
      </c>
      <c r="E13" s="643">
        <v>731686442</v>
      </c>
      <c r="F13" s="643">
        <v>412480816</v>
      </c>
      <c r="G13" s="643">
        <v>216220999</v>
      </c>
      <c r="H13" s="643">
        <v>2771170797</v>
      </c>
      <c r="I13" s="643">
        <v>105860252</v>
      </c>
      <c r="J13" s="643">
        <v>-82959024</v>
      </c>
      <c r="K13" s="643">
        <v>7918884379</v>
      </c>
      <c r="L13" s="643">
        <v>128990446</v>
      </c>
      <c r="M13" s="643">
        <v>7789893933</v>
      </c>
      <c r="N13" s="643">
        <v>15891736</v>
      </c>
      <c r="O13" s="643">
        <v>7805785669</v>
      </c>
    </row>
    <row r="14" spans="2:20" customFormat="1" ht="12.5" x14ac:dyDescent="0.25">
      <c r="B14" s="642" t="s">
        <v>250</v>
      </c>
      <c r="C14" s="642" t="s">
        <v>70</v>
      </c>
      <c r="D14" s="643">
        <v>72441209168</v>
      </c>
      <c r="E14" s="643">
        <v>4851378273</v>
      </c>
      <c r="F14" s="643">
        <v>2729442976</v>
      </c>
      <c r="G14" s="643">
        <v>1430173489</v>
      </c>
      <c r="H14" s="643">
        <v>17426420955</v>
      </c>
      <c r="I14" s="643">
        <v>650929810</v>
      </c>
      <c r="J14" s="643">
        <v>-8466734682</v>
      </c>
      <c r="K14" s="643">
        <v>53819598346</v>
      </c>
      <c r="L14" s="643">
        <v>859936309</v>
      </c>
      <c r="M14" s="643">
        <v>52959662037</v>
      </c>
      <c r="N14" s="643">
        <v>143093581</v>
      </c>
      <c r="O14" s="643">
        <v>53102755620</v>
      </c>
    </row>
    <row r="15" spans="2:20" customFormat="1" ht="12.5" x14ac:dyDescent="0.25"/>
    <row r="16" spans="2:20" customFormat="1" ht="12.5" x14ac:dyDescent="0.25">
      <c r="C16" s="663" t="s">
        <v>325</v>
      </c>
    </row>
    <row r="18" spans="2:15" x14ac:dyDescent="0.35">
      <c r="E18" s="612" t="s">
        <v>251</v>
      </c>
    </row>
    <row r="19" spans="2:15" x14ac:dyDescent="0.35">
      <c r="F19" s="612" t="s">
        <v>25</v>
      </c>
    </row>
    <row r="22" spans="2:15" ht="34.5" x14ac:dyDescent="0.35">
      <c r="C22" s="647" t="s">
        <v>9</v>
      </c>
      <c r="D22" s="647" t="s">
        <v>4</v>
      </c>
      <c r="E22" s="647" t="s">
        <v>5</v>
      </c>
      <c r="F22" s="647" t="s">
        <v>6</v>
      </c>
      <c r="G22" s="647" t="s">
        <v>159</v>
      </c>
      <c r="H22" s="647" t="s">
        <v>18</v>
      </c>
      <c r="I22" s="647" t="s">
        <v>24</v>
      </c>
      <c r="J22" s="647" t="s">
        <v>19</v>
      </c>
      <c r="K22" s="648" t="s">
        <v>20</v>
      </c>
      <c r="L22" s="647" t="s">
        <v>21</v>
      </c>
      <c r="M22" s="648" t="s">
        <v>22</v>
      </c>
      <c r="N22" s="647" t="s">
        <v>7</v>
      </c>
      <c r="O22" s="648" t="s">
        <v>23</v>
      </c>
    </row>
    <row r="23" spans="2:15" x14ac:dyDescent="0.35">
      <c r="B23" s="611" t="s">
        <v>115</v>
      </c>
      <c r="C23" s="611" t="s">
        <v>10</v>
      </c>
      <c r="D23" s="649">
        <f>D9-'CONSOLIDADO_TOTAL RECAUDO'!D104</f>
        <v>-0.34999847412109375</v>
      </c>
      <c r="E23" s="649">
        <f>E9-'CONSOLIDADO_TOTAL RECAUDO'!E104</f>
        <v>-0.16000008583068848</v>
      </c>
      <c r="F23" s="649">
        <f>F9-'CONSOLIDADO_TOTAL RECAUDO'!F104</f>
        <v>0.27999997138977051</v>
      </c>
      <c r="G23" s="649">
        <f>G9-'CONSOLIDADO_TOTAL RECAUDO'!G104</f>
        <v>6.0000002384185791E-2</v>
      </c>
      <c r="H23" s="649">
        <f>H9-'CONSOLIDADO_TOTAL RECAUDO'!H104</f>
        <v>9.9999904632568359E-2</v>
      </c>
      <c r="I23" s="649">
        <f>I9-'CONSOLIDADO_TOTAL RECAUDO'!I104</f>
        <v>-0.4699999988079071</v>
      </c>
      <c r="J23" s="649">
        <f>J9-'CONSOLIDADO_TOTAL RECAUDO'!J104</f>
        <v>-0.45000028610229492</v>
      </c>
      <c r="K23" s="649">
        <f>K9-'CONSOLIDADO_TOTAL RECAUDO'!K104</f>
        <v>0.29000091552734375</v>
      </c>
      <c r="L23" s="649">
        <f>L9-'CONSOLIDADO_TOTAL RECAUDO'!L104</f>
        <v>0</v>
      </c>
      <c r="M23" s="649">
        <f>M9-'CONSOLIDADO_TOTAL RECAUDO'!M104</f>
        <v>0.29000091552734375</v>
      </c>
      <c r="N23" s="649">
        <f>N9-'CONSOLIDADO_TOTAL RECAUDO'!N104</f>
        <v>-0.26000000163912773</v>
      </c>
      <c r="O23" s="649">
        <f>O9-'CONSOLIDADO_TOTAL RECAUDO'!O104</f>
        <v>3.0000686645507813E-2</v>
      </c>
    </row>
    <row r="24" spans="2:15" x14ac:dyDescent="0.35">
      <c r="B24" s="611" t="s">
        <v>116</v>
      </c>
      <c r="C24" s="611" t="s">
        <v>11</v>
      </c>
      <c r="D24" s="649">
        <f>D10-'CONSOLIDADO_TOTAL RECAUDO'!D105</f>
        <v>0.34999847412109375</v>
      </c>
      <c r="E24" s="649">
        <f>E10-'CONSOLIDADO_TOTAL RECAUDO'!E105</f>
        <v>0.17000007629394531</v>
      </c>
      <c r="F24" s="649">
        <f>F10-'CONSOLIDADO_TOTAL RECAUDO'!F105</f>
        <v>0.38000011444091797</v>
      </c>
      <c r="G24" s="649">
        <f>G10-'CONSOLIDADO_TOTAL RECAUDO'!G105</f>
        <v>-0.23999994993209839</v>
      </c>
      <c r="H24" s="649">
        <f>H10-'CONSOLIDADO_TOTAL RECAUDO'!H105</f>
        <v>0.41999912261962891</v>
      </c>
      <c r="I24" s="649">
        <f>I10-'CONSOLIDADO_TOTAL RECAUDO'!I105</f>
        <v>-0.15999999642372131</v>
      </c>
      <c r="J24" s="649">
        <f>J10-'CONSOLIDADO_TOTAL RECAUDO'!J105</f>
        <v>0.1100001335144043</v>
      </c>
      <c r="K24" s="649">
        <f>K10-'CONSOLIDADO_TOTAL RECAUDO'!K105</f>
        <v>-0.32999801635742188</v>
      </c>
      <c r="L24" s="649">
        <f>L10-'CONSOLIDADO_TOTAL RECAUDO'!L105</f>
        <v>0</v>
      </c>
      <c r="M24" s="649">
        <f>M10-'CONSOLIDADO_TOTAL RECAUDO'!M105</f>
        <v>-0.32999801635742188</v>
      </c>
      <c r="N24" s="649">
        <f>N10-'CONSOLIDADO_TOTAL RECAUDO'!N105</f>
        <v>-0.2800000011920929</v>
      </c>
      <c r="O24" s="649">
        <f>O10-'CONSOLIDADO_TOTAL RECAUDO'!O105</f>
        <v>0.39000129699707031</v>
      </c>
    </row>
    <row r="25" spans="2:15" x14ac:dyDescent="0.35">
      <c r="B25" s="611" t="s">
        <v>117</v>
      </c>
      <c r="C25" s="611" t="s">
        <v>248</v>
      </c>
      <c r="D25" s="649">
        <f>D11-'CONSOLIDADO_TOTAL RECAUDO'!D106</f>
        <v>-0.45000267028808594</v>
      </c>
      <c r="E25" s="649">
        <f>E11-'CONSOLIDADO_TOTAL RECAUDO'!E106</f>
        <v>-4.0000200271606445E-2</v>
      </c>
      <c r="F25" s="649">
        <f>F11-'CONSOLIDADO_TOTAL RECAUDO'!F106</f>
        <v>0.21999990940093994</v>
      </c>
      <c r="G25" s="649">
        <f>G11-'CONSOLIDADO_TOTAL RECAUDO'!G106</f>
        <v>-0.41999995708465576</v>
      </c>
      <c r="H25" s="649">
        <f>H11-'CONSOLIDADO_TOTAL RECAUDO'!H106</f>
        <v>0.42000007629394531</v>
      </c>
      <c r="I25" s="649">
        <f>I11-'CONSOLIDADO_TOTAL RECAUDO'!I106</f>
        <v>4.0000006556510925E-2</v>
      </c>
      <c r="J25" s="649">
        <f>J11-'CONSOLIDADO_TOTAL RECAUDO'!J106</f>
        <v>-0.49000000953674316</v>
      </c>
      <c r="K25" s="649">
        <f>K11-'CONSOLIDADO_TOTAL RECAUDO'!K106</f>
        <v>-0.18000221252441406</v>
      </c>
      <c r="L25" s="649">
        <f>L11-'CONSOLIDADO_TOTAL RECAUDO'!L106</f>
        <v>0</v>
      </c>
      <c r="M25" s="649">
        <f>M11-'CONSOLIDADO_TOTAL RECAUDO'!M106</f>
        <v>-0.18000221252441406</v>
      </c>
      <c r="N25" s="649">
        <f>N11-'CONSOLIDADO_TOTAL RECAUDO'!N106</f>
        <v>-0.31999999843537807</v>
      </c>
      <c r="O25" s="649">
        <f>O11-'CONSOLIDADO_TOTAL RECAUDO'!O106</f>
        <v>0.49999809265136719</v>
      </c>
    </row>
    <row r="26" spans="2:15" x14ac:dyDescent="0.35">
      <c r="B26" s="611" t="s">
        <v>249</v>
      </c>
      <c r="C26" s="611" t="s">
        <v>13</v>
      </c>
      <c r="D26" s="649">
        <f>D12-'CONSOLIDADO_TOTAL RECAUDO'!D107</f>
        <v>0.33000087738037109</v>
      </c>
      <c r="E26" s="649">
        <f>E12-'CONSOLIDADO_TOTAL RECAUDO'!E107</f>
        <v>-0.33000004291534424</v>
      </c>
      <c r="F26" s="649">
        <f>F12-'CONSOLIDADO_TOTAL RECAUDO'!F107</f>
        <v>0.29999998211860657</v>
      </c>
      <c r="G26" s="649">
        <f>G12-'CONSOLIDADO_TOTAL RECAUDO'!G107</f>
        <v>-0.35000002384185791</v>
      </c>
      <c r="H26" s="649">
        <f>H12-'CONSOLIDADO_TOTAL RECAUDO'!H107</f>
        <v>0.24000000953674316</v>
      </c>
      <c r="I26" s="649">
        <f>I12-'CONSOLIDADO_TOTAL RECAUDO'!I107</f>
        <v>0.48000000417232513</v>
      </c>
      <c r="J26" s="649">
        <f>J12-'CONSOLIDADO_TOTAL RECAUDO'!J107</f>
        <v>0.37000012397766113</v>
      </c>
      <c r="K26" s="649">
        <f>K12-'CONSOLIDADO_TOTAL RECAUDO'!K107</f>
        <v>-0.37999820709228516</v>
      </c>
      <c r="L26" s="649">
        <f>L12-'CONSOLIDADO_TOTAL RECAUDO'!L107</f>
        <v>0</v>
      </c>
      <c r="M26" s="649">
        <f>M12-'CONSOLIDADO_TOTAL RECAUDO'!M107</f>
        <v>-0.37999820709228516</v>
      </c>
      <c r="N26" s="649">
        <f>N12-'CONSOLIDADO_TOTAL RECAUDO'!N107</f>
        <v>7.0000000298023224E-2</v>
      </c>
      <c r="O26" s="649">
        <f>O12-'CONSOLIDADO_TOTAL RECAUDO'!O107</f>
        <v>-0.30999851226806641</v>
      </c>
    </row>
    <row r="27" spans="2:15" x14ac:dyDescent="0.35">
      <c r="B27" s="611" t="s">
        <v>118</v>
      </c>
      <c r="C27" s="611" t="s">
        <v>14</v>
      </c>
      <c r="D27" s="649">
        <f>D13-'CONSOLIDADO_TOTAL RECAUDO'!D108</f>
        <v>0.40999984741210938</v>
      </c>
      <c r="E27" s="649">
        <f>E13-'CONSOLIDADO_TOTAL RECAUDO'!E108</f>
        <v>0.37999999523162842</v>
      </c>
      <c r="F27" s="649">
        <f>F13-'CONSOLIDADO_TOTAL RECAUDO'!F108</f>
        <v>-0.28999990224838257</v>
      </c>
      <c r="G27" s="649">
        <f>G13-'CONSOLIDADO_TOTAL RECAUDO'!G108</f>
        <v>-0.25</v>
      </c>
      <c r="H27" s="649">
        <f>H13-'CONSOLIDADO_TOTAL RECAUDO'!H108</f>
        <v>0.22000026702880859</v>
      </c>
      <c r="I27" s="649">
        <f>I13-'CONSOLIDADO_TOTAL RECAUDO'!I108</f>
        <v>-0.4699999988079071</v>
      </c>
      <c r="J27" s="649">
        <f>J13-'CONSOLIDADO_TOTAL RECAUDO'!J108</f>
        <v>-0.33999991416931152</v>
      </c>
      <c r="K27" s="649">
        <f>K13-'CONSOLIDADO_TOTAL RECAUDO'!K108</f>
        <v>0.15999984741210938</v>
      </c>
      <c r="L27" s="649">
        <f>L13-'CONSOLIDADO_TOTAL RECAUDO'!L108</f>
        <v>0</v>
      </c>
      <c r="M27" s="649">
        <f>M13-'CONSOLIDADO_TOTAL RECAUDO'!M108</f>
        <v>0.15999984741210938</v>
      </c>
      <c r="N27" s="649">
        <f>N13-'CONSOLIDADO_TOTAL RECAUDO'!N108</f>
        <v>0.11999999918043613</v>
      </c>
      <c r="O27" s="649">
        <f>O13-'CONSOLIDADO_TOTAL RECAUDO'!O108</f>
        <v>0.27999973297119141</v>
      </c>
    </row>
    <row r="28" spans="2:15" x14ac:dyDescent="0.35">
      <c r="B28" s="611" t="s">
        <v>250</v>
      </c>
      <c r="C28" s="611" t="s">
        <v>70</v>
      </c>
      <c r="D28" s="649">
        <f>D14-'CONSOLIDADO_TOTAL RECAUDO'!D109</f>
        <v>0.2899932861328125</v>
      </c>
      <c r="E28" s="649">
        <f>E14-'CONSOLIDADO_TOTAL RECAUDO'!E109</f>
        <v>2.0000457763671875E-2</v>
      </c>
      <c r="F28" s="649">
        <f>F14-'CONSOLIDADO_TOTAL RECAUDO'!F109</f>
        <v>0.89000034332275391</v>
      </c>
      <c r="G28" s="649">
        <f>G14-'CONSOLIDADO_TOTAL RECAUDO'!G109</f>
        <v>-1.1999998092651367</v>
      </c>
      <c r="H28" s="649">
        <f>H14-'CONSOLIDADO_TOTAL RECAUDO'!H109</f>
        <v>1.3999977111816406</v>
      </c>
      <c r="I28" s="649">
        <f>I14-'CONSOLIDADO_TOTAL RECAUDO'!I109</f>
        <v>-0.58000004291534424</v>
      </c>
      <c r="J28" s="649">
        <f>J14-'CONSOLIDADO_TOTAL RECAUDO'!J109</f>
        <v>-0.80000019073486328</v>
      </c>
      <c r="K28" s="649">
        <f>K14-'CONSOLIDADO_TOTAL RECAUDO'!K109</f>
        <v>-0.44000244140625</v>
      </c>
      <c r="L28" s="649">
        <f>L14-'CONSOLIDADO_TOTAL RECAUDO'!L109</f>
        <v>0</v>
      </c>
      <c r="M28" s="649">
        <f>M14-'CONSOLIDADO_TOTAL RECAUDO'!M109</f>
        <v>-0.44000244140625</v>
      </c>
      <c r="N28" s="649">
        <f>N14-'CONSOLIDADO_TOTAL RECAUDO'!N109</f>
        <v>-0.66999998688697815</v>
      </c>
      <c r="O28" s="649">
        <f>O14-'CONSOLIDADO_TOTAL RECAUDO'!O109</f>
        <v>0.8899993896484375</v>
      </c>
    </row>
    <row r="31" spans="2:15" ht="34.5" x14ac:dyDescent="0.35">
      <c r="C31" s="647" t="s">
        <v>9</v>
      </c>
      <c r="D31" s="647" t="s">
        <v>4</v>
      </c>
      <c r="E31" s="647" t="s">
        <v>5</v>
      </c>
      <c r="F31" s="647" t="s">
        <v>6</v>
      </c>
      <c r="G31" s="647" t="s">
        <v>159</v>
      </c>
      <c r="H31" s="647" t="s">
        <v>18</v>
      </c>
      <c r="I31" s="647" t="s">
        <v>24</v>
      </c>
      <c r="J31" s="710" t="s">
        <v>19</v>
      </c>
      <c r="K31" s="648" t="s">
        <v>20</v>
      </c>
      <c r="L31" s="710" t="s">
        <v>21</v>
      </c>
      <c r="M31" s="648" t="s">
        <v>22</v>
      </c>
      <c r="N31" s="647" t="s">
        <v>7</v>
      </c>
      <c r="O31" s="648" t="s">
        <v>23</v>
      </c>
    </row>
    <row r="32" spans="2:15" x14ac:dyDescent="0.35">
      <c r="B32" s="611" t="s">
        <v>115</v>
      </c>
      <c r="C32" s="338" t="s">
        <v>10</v>
      </c>
      <c r="D32" s="652" t="b">
        <f>+D23+'Reporte Componentes R1'!F53+'Rem. Anticipos R2'!E43+'Reversion Pagos R4'!D73+'Reporte Componentes R1'!F55+'AJUSTES - SF-T'!D47=D9</f>
        <v>1</v>
      </c>
      <c r="E32" s="652" t="b">
        <f>+E23+'Reporte Componentes R1'!G53+'Rem. Anticipos R2'!F43+'Reversion Pagos R4'!E73+'Reporte Componentes R1'!G55+'AJUSTES - SF-T'!E47=E9</f>
        <v>1</v>
      </c>
      <c r="F32" s="652" t="b">
        <f>+F23+'Reporte Componentes R1'!H53+'Rem. Anticipos R2'!G43+'Reversion Pagos R4'!F73+'Reporte Componentes R1'!H55+'AJUSTES - SF-T'!F47=F9</f>
        <v>1</v>
      </c>
      <c r="G32" s="652" t="b">
        <f>+G23+'Reporte Componentes R1'!I53+'Rem. Anticipos R2'!H43+'Reversion Pagos R4'!G73+'Reporte Componentes R1'!I55+'AJUSTES - SF-T'!G47=G9</f>
        <v>1</v>
      </c>
      <c r="H32" s="652" t="b">
        <f>+H23+'Reporte Componentes R1'!J53+'Rem. Anticipos R2'!I43+'Reversion Pagos R4'!H73+'Reporte Componentes R1'!J55+'AJUSTES - SF-T'!H47=H9</f>
        <v>1</v>
      </c>
      <c r="I32" s="652" t="b">
        <f>+I23+'Reporte Componentes R1'!K53+'Rem. Anticipos R2'!J43+'Reversion Pagos R4'!I73+'Reporte Componentes R1'!K55+'AJUSTES - SF-T'!I47=I9</f>
        <v>1</v>
      </c>
      <c r="J32" s="652" t="b">
        <f>+'BCE SC POR FACT.'!F3+J23=J9</f>
        <v>1</v>
      </c>
      <c r="K32" s="652" t="b">
        <f>('Reporte Componentes R1'!F53+'Rem. Anticipos R2'!E43+'Reversion Pagos R4'!D73+'Reporte Componentes R1'!F55-('Reporte Componentes R1'!G53+'Rem. Anticipos R2'!F43+'Reversion Pagos R4'!E73+'Reporte Componentes R1'!G55+'Reporte Componentes R1'!H53+'Rem. Anticipos R2'!G43+'Reversion Pagos R4'!F73+'Reporte Componentes R1'!H55+'Reporte Componentes R1'!I53+'Rem. Anticipos R2'!H43+'Reversion Pagos R4'!G73+'Reporte Componentes R1'!I55+'Reporte Componentes R1'!J53+'Rem. Anticipos R2'!I43+'Reversion Pagos R4'!H73+'Reporte Componentes R1'!J55+'Reporte Componentes R1'!K53+'Rem. Anticipos R2'!J43+'Reversion Pagos R4'!I73+'Reporte Componentes R1'!K55+'BCE SC POR FACT.'!F3)+K23)+'AJUSTES - SF-T'!K47=K9</f>
        <v>1</v>
      </c>
      <c r="L32" s="699" t="b">
        <f>INTERVENTORIA!F15+L23=L9</f>
        <v>1</v>
      </c>
      <c r="M32" s="649" t="b">
        <f>((('Reporte Componentes R1'!F53+'Rem. Anticipos R2'!E43+'Reversion Pagos R4'!D73+'Reporte Componentes R1'!F55-('Reporte Componentes R1'!G53+'Rem. Anticipos R2'!F43+'Reversion Pagos R4'!E73+'Reporte Componentes R1'!G55+'Reporte Componentes R1'!H53+'Rem. Anticipos R2'!G43+'Reversion Pagos R4'!F73+'Reporte Componentes R1'!H55+'Reporte Componentes R1'!I53+'Rem. Anticipos R2'!H43+'Reversion Pagos R4'!G73+'Reporte Componentes R1'!I55+'Reporte Componentes R1'!J53+'Rem. Anticipos R2'!I43+'Reversion Pagos R4'!H73+'Reporte Componentes R1'!J55+'Reporte Componentes R1'!K53+'Rem. Anticipos R2'!J43+'Reversion Pagos R4'!I73+'Reporte Componentes R1'!K55+'BCE SC POR FACT.'!F3))-INTERVENTORIA!F15)+M23)+'AJUSTES - SF-T'!M47=M9</f>
        <v>1</v>
      </c>
      <c r="N32" s="649" t="b">
        <f>'Reporte Componentes R1'!L53+'Rem. Anticipos R2'!K43+'Reversion Pagos R4'!P73+'Reporte Componentes R1'!L55+N23=N9</f>
        <v>1</v>
      </c>
      <c r="O32" s="649" t="b">
        <f>((('Reporte Componentes R1'!F53+'Rem. Anticipos R2'!E43+'Reversion Pagos R4'!D73+'Reporte Componentes R1'!F55-('Reporte Componentes R1'!G53+'Rem. Anticipos R2'!F43+'Reversion Pagos R4'!E73+'Reporte Componentes R1'!G55+'Reporte Componentes R1'!H53+'Rem. Anticipos R2'!G43+'Reversion Pagos R4'!F73+'Reporte Componentes R1'!H55+'Reporte Componentes R1'!I53+'Rem. Anticipos R2'!H43+'Reversion Pagos R4'!G73+'Reporte Componentes R1'!I55+'Reporte Componentes R1'!J53+'Rem. Anticipos R2'!I43+'Reversion Pagos R4'!H73+'Reporte Componentes R1'!J55+'Reporte Componentes R1'!K53+'Rem. Anticipos R2'!J43+'Reversion Pagos R4'!I73+'Reporte Componentes R1'!K55+'BCE SC POR FACT.'!F3))-INTERVENTORIA!F15))+'Reporte Componentes R1'!L53+'Rem. Anticipos R2'!K43+'Reversion Pagos R4'!P73+'Reporte Componentes R1'!L55+O23+'AJUSTES - SF-T'!O47=O9</f>
        <v>1</v>
      </c>
    </row>
    <row r="33" spans="2:15" x14ac:dyDescent="0.35">
      <c r="B33" s="611" t="s">
        <v>116</v>
      </c>
      <c r="C33" s="338" t="s">
        <v>11</v>
      </c>
      <c r="D33" s="652" t="b">
        <f>+D24+'Reporte Componentes R1'!F206+'Rem. Anticipos R2'!E139+'Reversion Pagos R4'!D168+'Reporte Componentes R1'!F208+'AJUSTES - SF-T'!D48=D10</f>
        <v>1</v>
      </c>
      <c r="E33" s="652" t="b">
        <f>+E24+'Reporte Componentes R1'!G206+'Rem. Anticipos R2'!F139+'Reversion Pagos R4'!E168+'Reporte Componentes R1'!G208+'AJUSTES - SF-T'!E48=E10</f>
        <v>1</v>
      </c>
      <c r="F33" s="652" t="b">
        <f>+F24+'Reporte Componentes R1'!H206+'Rem. Anticipos R2'!G139+'Reversion Pagos R4'!F168+'Reporte Componentes R1'!H208+'AJUSTES - SF-T'!F48=F10</f>
        <v>1</v>
      </c>
      <c r="G33" s="652" t="b">
        <f>+G24+'Reporte Componentes R1'!I206+'Rem. Anticipos R2'!H139+'Reversion Pagos R4'!G168+'Reporte Componentes R1'!I208+'AJUSTES - SF-T'!G48=G10</f>
        <v>1</v>
      </c>
      <c r="H33" s="652" t="b">
        <f>+H24+'Reporte Componentes R1'!J206+'Rem. Anticipos R2'!I139+'Reversion Pagos R4'!H168+'Reporte Componentes R1'!J208+'AJUSTES - SF-T'!H48=H10</f>
        <v>1</v>
      </c>
      <c r="I33" s="652" t="b">
        <f>+I24+'Reporte Componentes R1'!K206+'Rem. Anticipos R2'!J139+'Reversion Pagos R4'!I168+'Reporte Componentes R1'!K208+'AJUSTES - SF-T'!I48=I10</f>
        <v>1</v>
      </c>
      <c r="J33" s="652" t="b">
        <f>+'BCE SC POR FACT.'!F4+J24=J10</f>
        <v>1</v>
      </c>
      <c r="K33" s="649" t="b">
        <f>('Reporte Componentes R1'!F206+'Rem. Anticipos R2'!E139+'Reversion Pagos R4'!D168+'Reporte Componentes R1'!F208-('Reporte Componentes R1'!G206+'Rem. Anticipos R2'!F139+'Reversion Pagos R4'!E168+'Reporte Componentes R1'!G208+'Reporte Componentes R1'!H206+'Rem. Anticipos R2'!G139+'Reversion Pagos R4'!F168+'Reporte Componentes R1'!H208+'Reporte Componentes R1'!I206+'Rem. Anticipos R2'!H139+'Reversion Pagos R4'!G168+'Reporte Componentes R1'!I208+'Reporte Componentes R1'!J206+'Rem. Anticipos R2'!I139+'Reversion Pagos R4'!H168+'Reporte Componentes R1'!J208+'Reporte Componentes R1'!K206+'Rem. Anticipos R2'!J139+'Reversion Pagos R4'!I168+'Reporte Componentes R1'!K208+'BCE SC POR FACT.'!F4)+K24)+'AJUSTES - SF-T'!K48=K10</f>
        <v>1</v>
      </c>
      <c r="L33" s="699" t="b">
        <f>INTERVENTORIA!F16+L24=L10</f>
        <v>1</v>
      </c>
      <c r="M33" s="649" t="b">
        <f>((('Reporte Componentes R1'!F206+'Rem. Anticipos R2'!E139+'Reversion Pagos R4'!D168+'Reporte Componentes R1'!F208-('Reporte Componentes R1'!G206+'Rem. Anticipos R2'!F139+'Reversion Pagos R4'!E168+'Reporte Componentes R1'!G208+'Reporte Componentes R1'!H206+'Rem. Anticipos R2'!G139+'Reversion Pagos R4'!F168+'Reporte Componentes R1'!H208+'Reporte Componentes R1'!I206+'Rem. Anticipos R2'!H139+'Reversion Pagos R4'!G168+'Reporte Componentes R1'!I208+'Reporte Componentes R1'!J206+'Rem. Anticipos R2'!I139+'Reversion Pagos R4'!H168+'Reporte Componentes R1'!J208+'Reporte Componentes R1'!K206+'Rem. Anticipos R2'!J139+'Reversion Pagos R4'!I168+'Reporte Componentes R1'!K208+'BCE SC POR FACT.'!F4))+M24)-INTERVENTORIA!F16)+'AJUSTES - SF-T'!M48=M10</f>
        <v>1</v>
      </c>
      <c r="N33" s="649" t="b">
        <f>+'Reporte Componentes R1'!L206+'Rem. Anticipos R2'!K139+'Reversion Pagos R4'!P168+'Reporte Componentes R1'!L208+N24=N10</f>
        <v>1</v>
      </c>
      <c r="O33" s="649" t="b">
        <f>((('Reporte Componentes R1'!F206+'Rem. Anticipos R2'!E139+'Reversion Pagos R4'!D168+'Reporte Componentes R1'!F208-('Reporte Componentes R1'!G206+'Rem. Anticipos R2'!F139+'Reversion Pagos R4'!E168+'Reporte Componentes R1'!G208+'Reporte Componentes R1'!H206+'Rem. Anticipos R2'!G139+'Reversion Pagos R4'!F168+'Reporte Componentes R1'!H208+'Reporte Componentes R1'!I206+'Rem. Anticipos R2'!H139+'Reversion Pagos R4'!G168+'Reporte Componentes R1'!I208+'Reporte Componentes R1'!J206+'Rem. Anticipos R2'!I139+'Reversion Pagos R4'!H168+'Reporte Componentes R1'!J208+'Reporte Componentes R1'!K206+'Rem. Anticipos R2'!J139+'Reversion Pagos R4'!I168+'Reporte Componentes R1'!K208+'BCE SC POR FACT.'!F4)))-INTERVENTORIA!F16)+O24+'Reporte Componentes R1'!L206+'Rem. Anticipos R2'!K139+'Reversion Pagos R4'!P168+'Reporte Componentes R1'!L208+'AJUSTES - SF-T'!O48=O10</f>
        <v>1</v>
      </c>
    </row>
    <row r="34" spans="2:15" x14ac:dyDescent="0.35">
      <c r="B34" s="611" t="s">
        <v>117</v>
      </c>
      <c r="C34" s="338" t="s">
        <v>12</v>
      </c>
      <c r="D34" s="652" t="b">
        <f>+'Reporte Componentes R1'!F343+'Reporte Componentes R1'!F345+'Rem. Anticipos R2'!E256+'Reversion Pagos R4'!D205+D25+'AJUSTES - SF-T'!D49=D11</f>
        <v>1</v>
      </c>
      <c r="E34" s="652" t="b">
        <f>+'Reporte Componentes R1'!G343+'Reporte Componentes R1'!G345+'Rem. Anticipos R2'!F256+'Reversion Pagos R4'!E205+E25+'AJUSTES - SF-T'!E49=E11</f>
        <v>1</v>
      </c>
      <c r="F34" s="652" t="b">
        <f>+'Reporte Componentes R1'!H343+'Reporte Componentes R1'!H345+'Rem. Anticipos R2'!G256+'Reversion Pagos R4'!F205+F25+'AJUSTES - SF-T'!F49=F11</f>
        <v>1</v>
      </c>
      <c r="G34" s="652" t="b">
        <f>+'Reporte Componentes R1'!I343+'Reporte Componentes R1'!I345+'Rem. Anticipos R2'!H256+'Reversion Pagos R4'!G205+G25+'AJUSTES - SF-T'!G49=G11</f>
        <v>1</v>
      </c>
      <c r="H34" s="652" t="b">
        <f>+'Reporte Componentes R1'!J343+'Reporte Componentes R1'!J345+'Rem. Anticipos R2'!I256+'Reversion Pagos R4'!H205+H25+'AJUSTES - SF-T'!H49=H11</f>
        <v>1</v>
      </c>
      <c r="I34" s="652" t="b">
        <f>+'Reporte Componentes R1'!K343+'Reporte Componentes R1'!K345+'Rem. Anticipos R2'!J256+'Reversion Pagos R4'!I205+I25+'AJUSTES - SF-T'!I49=I11</f>
        <v>1</v>
      </c>
      <c r="J34" s="652" t="b">
        <f>+'BCE SC POR FACT.'!F5+J25=J11</f>
        <v>1</v>
      </c>
      <c r="K34" s="649" t="b">
        <f>+'Reporte Componentes R1'!F343+'Reporte Componentes R1'!F345+'Rem. Anticipos R2'!E256+'Reversion Pagos R4'!D205-('Reporte Componentes R1'!G343+'Reporte Componentes R1'!G345+'Rem. Anticipos R2'!F256+'Reversion Pagos R4'!E205+'Reporte Componentes R1'!H343+'Reporte Componentes R1'!H345+'Rem. Anticipos R2'!G256+'Reversion Pagos R4'!F205+'Reporte Componentes R1'!I343+'Reporte Componentes R1'!I345+'Rem. Anticipos R2'!H256+'Reversion Pagos R4'!G205+'Reporte Componentes R1'!J343+'Reporte Componentes R1'!J345+'Rem. Anticipos R2'!I256+'Reversion Pagos R4'!H205+'Reporte Componentes R1'!K343+'Reporte Componentes R1'!K345+'Rem. Anticipos R2'!J256+'Reversion Pagos R4'!I205+'BCE SC POR FACT.'!F5)+K25+'AJUSTES - SF-T'!K49=K11</f>
        <v>1</v>
      </c>
      <c r="L34" s="699" t="b">
        <f>INTERVENTORIA!F17+L25=L11</f>
        <v>1</v>
      </c>
      <c r="M34" s="649" t="b">
        <f>((('Reporte Componentes R1'!F343+'Reporte Componentes R1'!F345+'Rem. Anticipos R2'!E256+'Reversion Pagos R4'!D205-('Reporte Componentes R1'!G343+'Reporte Componentes R1'!G345+'Rem. Anticipos R2'!F256+'Reversion Pagos R4'!E205+'Reporte Componentes R1'!H343+'Reporte Componentes R1'!H345+'Rem. Anticipos R2'!G256+'Reversion Pagos R4'!F205+'Reporte Componentes R1'!I343+'Reporte Componentes R1'!I345+'Rem. Anticipos R2'!H256+'Reversion Pagos R4'!G205+'Reporte Componentes R1'!J343+'Reporte Componentes R1'!J345+'Rem. Anticipos R2'!I256+'Reversion Pagos R4'!H205+'Reporte Componentes R1'!K343+'Reporte Componentes R1'!K345+'Rem. Anticipos R2'!J256+'Reversion Pagos R4'!I205+'BCE SC POR FACT.'!F5))+M25)-INTERVENTORIA!F17)+'AJUSTES - SF-T'!M49=M11</f>
        <v>1</v>
      </c>
      <c r="N34" s="649" t="b">
        <f>+'Reporte Componentes R1'!L343+'Reporte Componentes R1'!L345+'Rem. Anticipos R2'!K256+'Reversion Pagos R4'!P205+N25=N11</f>
        <v>1</v>
      </c>
      <c r="O34" s="649" t="b">
        <f>((('Reporte Componentes R1'!F343+'Reporte Componentes R1'!F345+'Rem. Anticipos R2'!E256+'Reversion Pagos R4'!D205-('Reporte Componentes R1'!G343+'Reporte Componentes R1'!G345+'Rem. Anticipos R2'!F256+'Reversion Pagos R4'!E205+'Reporte Componentes R1'!H343+'Reporte Componentes R1'!H345+'Rem. Anticipos R2'!G256+'Reversion Pagos R4'!F205+'Reporte Componentes R1'!I343+'Reporte Componentes R1'!I345+'Rem. Anticipos R2'!H256+'Reversion Pagos R4'!G205+'Reporte Componentes R1'!J343+'Reporte Componentes R1'!J345+'Rem. Anticipos R2'!I256+'Reversion Pagos R4'!H205+'Reporte Componentes R1'!K343+'Reporte Componentes R1'!K345+'Rem. Anticipos R2'!J256+'Reversion Pagos R4'!I205+'BCE SC POR FACT.'!F5)))-INTERVENTORIA!F17)++'Reporte Componentes R1'!L343+'Reporte Componentes R1'!L345+'Rem. Anticipos R2'!K256+'Reversion Pagos R4'!P205+O25+'AJUSTES - SF-T'!O49=O11</f>
        <v>1</v>
      </c>
    </row>
    <row r="35" spans="2:15" x14ac:dyDescent="0.35">
      <c r="B35" s="611" t="s">
        <v>249</v>
      </c>
      <c r="C35" s="338" t="s">
        <v>13</v>
      </c>
      <c r="D35" s="652" t="b">
        <f>+'Reporte Componentes R1'!F468+'Reporte Componentes R1'!F470+'Rem. Anticipos R2'!E358+'Reversion Pagos R4'!D320+D26+'AJUSTES - SF-T'!D50=D12</f>
        <v>1</v>
      </c>
      <c r="E35" s="652" t="b">
        <f>+'Reporte Componentes R1'!G468+'Reporte Componentes R1'!G470+'Rem. Anticipos R2'!F358+'Reversion Pagos R4'!E320+E26+'AJUSTES - SF-T'!E50=E12</f>
        <v>1</v>
      </c>
      <c r="F35" s="652" t="b">
        <f>+'Reporte Componentes R1'!H468+'Reporte Componentes R1'!H470+'Rem. Anticipos R2'!G358+'Reversion Pagos R4'!F320+F26+'AJUSTES - SF-T'!F50=F12</f>
        <v>1</v>
      </c>
      <c r="G35" s="652" t="b">
        <f>+'Reporte Componentes R1'!I468+'Reporte Componentes R1'!I470+'Rem. Anticipos R2'!H358+'Reversion Pagos R4'!G320+G26+'AJUSTES - SF-T'!G50=G12</f>
        <v>1</v>
      </c>
      <c r="H35" s="652" t="b">
        <f>+'Reporte Componentes R1'!J468+'Reporte Componentes R1'!J470+'Rem. Anticipos R2'!I358+'Reversion Pagos R4'!H320+H26+'AJUSTES - SF-T'!H50=H12</f>
        <v>1</v>
      </c>
      <c r="I35" s="652" t="b">
        <f>+'Reporte Componentes R1'!K468+'Reporte Componentes R1'!K470+'Rem. Anticipos R2'!J358+'Reversion Pagos R4'!I320+I26+'AJUSTES - SF-T'!I50=I12</f>
        <v>1</v>
      </c>
      <c r="J35" s="652" t="b">
        <f>+J26+'BCE SC POR FACT.'!F6=J12</f>
        <v>1</v>
      </c>
      <c r="K35" s="649" t="b">
        <f>+'Reporte Componentes R1'!F468+'Reporte Componentes R1'!F470+'Rem. Anticipos R2'!E358+'Reversion Pagos R4'!D320-('Reporte Componentes R1'!G468+'Reporte Componentes R1'!G470+'Rem. Anticipos R2'!F358+'Reversion Pagos R4'!E320+'Reporte Componentes R1'!H468+'Reporte Componentes R1'!H470+'Rem. Anticipos R2'!G358+'Reversion Pagos R4'!F320+'Reporte Componentes R1'!I468+'Reporte Componentes R1'!I470+'Rem. Anticipos R2'!H358+'Reversion Pagos R4'!G320+'Reporte Componentes R1'!J468+'Reporte Componentes R1'!J470+'Rem. Anticipos R2'!I358+'Reversion Pagos R4'!H320+'Reporte Componentes R1'!K468+'Reporte Componentes R1'!K470+'Rem. Anticipos R2'!J358+'Reversion Pagos R4'!I320+'BCE SC POR FACT.'!F6)+K26+'AJUSTES - SF-T'!K50=K12</f>
        <v>1</v>
      </c>
      <c r="L35" s="699" t="b">
        <f>INTERVENTORIA!F18+L26=L12</f>
        <v>1</v>
      </c>
      <c r="M35" s="649" t="b">
        <f>((('Reporte Componentes R1'!F468+'Reporte Componentes R1'!F470+'Rem. Anticipos R2'!E358+'Reversion Pagos R4'!D320-('Reporte Componentes R1'!G468+'Reporte Componentes R1'!G470+'Rem. Anticipos R2'!F358+'Reversion Pagos R4'!E320+'Reporte Componentes R1'!H468+'Reporte Componentes R1'!H470+'Rem. Anticipos R2'!G358+'Reversion Pagos R4'!F320+'Reporte Componentes R1'!I468+'Reporte Componentes R1'!I470+'Rem. Anticipos R2'!H358+'Reversion Pagos R4'!G320+'Reporte Componentes R1'!J468+'Reporte Componentes R1'!J470+'Rem. Anticipos R2'!I358+'Reversion Pagos R4'!H320+'Reporte Componentes R1'!K468+'Reporte Componentes R1'!K470+'Rem. Anticipos R2'!J358+'Reversion Pagos R4'!I320+'BCE SC POR FACT.'!F6))+M26)-INTERVENTORIA!F18)+'AJUSTES - SF-T'!M50=M12</f>
        <v>1</v>
      </c>
      <c r="N35" s="649" t="b">
        <f>+'Reporte Componentes R1'!L468+'Reporte Componentes R1'!L470+'Rem. Anticipos R2'!K358+'Reversion Pagos R4'!P320+N26=N12</f>
        <v>1</v>
      </c>
      <c r="O35" s="649" t="b">
        <f>((('Reporte Componentes R1'!F468+'Reporte Componentes R1'!F470+'Rem. Anticipos R2'!E358+'Reversion Pagos R4'!D320-('Reporte Componentes R1'!G468+'Reporte Componentes R1'!G470+'Rem. Anticipos R2'!F358+'Reversion Pagos R4'!E320+'Reporte Componentes R1'!H468+'Reporte Componentes R1'!H470+'Rem. Anticipos R2'!G358+'Reversion Pagos R4'!F320+'Reporte Componentes R1'!I468+'Reporte Componentes R1'!I470+'Rem. Anticipos R2'!H358+'Reversion Pagos R4'!G320+'Reporte Componentes R1'!J468+'Reporte Componentes R1'!J470+'Rem. Anticipos R2'!I358+'Reversion Pagos R4'!H320+'Reporte Componentes R1'!K468+'Reporte Componentes R1'!K470+'Rem. Anticipos R2'!J358+'Reversion Pagos R4'!I320+'BCE SC POR FACT.'!F6)))-INTERVENTORIA!F18)+'Reporte Componentes R1'!L468+'Reporte Componentes R1'!L470+'Rem. Anticipos R2'!K358+'Reversion Pagos R4'!P320+O26+'AJUSTES - SF-T'!O50=O12</f>
        <v>1</v>
      </c>
    </row>
    <row r="36" spans="2:15" x14ac:dyDescent="0.35">
      <c r="B36" s="611" t="s">
        <v>118</v>
      </c>
      <c r="C36" s="338" t="s">
        <v>14</v>
      </c>
      <c r="D36" s="652" t="b">
        <f>+D27+'Reporte Componentes R1'!F558+'Reporte Componentes R1'!F560+'Rem. Anticipos R2'!E438+'Reversion Pagos R4'!D355+'AJUSTES - SF-T'!D51=D13</f>
        <v>1</v>
      </c>
      <c r="E36" s="652" t="b">
        <f>+E27+'Reporte Componentes R1'!G558+'Reporte Componentes R1'!G560+'Rem. Anticipos R2'!F438+'Reversion Pagos R4'!E355+'AJUSTES - SF-T'!E51=E13</f>
        <v>1</v>
      </c>
      <c r="F36" s="652" t="b">
        <f>+F27+'Reporte Componentes R1'!H558+'Reporte Componentes R1'!H560+'Rem. Anticipos R2'!G438+'Reversion Pagos R4'!F355+'AJUSTES - SF-T'!F51=F13</f>
        <v>1</v>
      </c>
      <c r="G36" s="652" t="b">
        <f>+G27+'Reporte Componentes R1'!I558+'Reporte Componentes R1'!I560+'Rem. Anticipos R2'!H438+'Reversion Pagos R4'!G355+'AJUSTES - SF-T'!G51=G13</f>
        <v>1</v>
      </c>
      <c r="H36" s="652" t="b">
        <f>+H27+'Reporte Componentes R1'!J558+'Reporte Componentes R1'!J560+'Rem. Anticipos R2'!I438+'Reversion Pagos R4'!H355+'AJUSTES - SF-T'!H51=H13</f>
        <v>1</v>
      </c>
      <c r="I36" s="652" t="b">
        <f>+I27+'Reporte Componentes R1'!K558+'Reporte Componentes R1'!K560+'Rem. Anticipos R2'!J438+'Reversion Pagos R4'!I355+'AJUSTES - SF-T'!I51=I13</f>
        <v>1</v>
      </c>
      <c r="J36" s="652" t="b">
        <f>+'BCE SC POR FACT.'!F7+J27=J13</f>
        <v>1</v>
      </c>
      <c r="K36" s="649" t="b">
        <f>+'Reporte Componentes R1'!F558+'Reporte Componentes R1'!F560+'Rem. Anticipos R2'!E438+'Reversion Pagos R4'!D355-('Reporte Componentes R1'!G558+'Reporte Componentes R1'!G560+'Rem. Anticipos R2'!F438+'Reversion Pagos R4'!E355+'Reporte Componentes R1'!H558+'Reporte Componentes R1'!H560+'Rem. Anticipos R2'!G438+'Reversion Pagos R4'!F355+'Reporte Componentes R1'!I558+'Reporte Componentes R1'!I560+'Rem. Anticipos R2'!H438+'Reversion Pagos R4'!G355+'Reporte Componentes R1'!J558+'Reporte Componentes R1'!J560+'Rem. Anticipos R2'!I438+'Reversion Pagos R4'!H355+'Reporte Componentes R1'!K558+'Reporte Componentes R1'!K560+'Rem. Anticipos R2'!J438+'Reversion Pagos R4'!I355+'BCE SC POR FACT.'!F7)+K27+'AJUSTES - SF-T'!K51=K13</f>
        <v>1</v>
      </c>
      <c r="L36" s="699" t="b">
        <f>INTERVENTORIA!F19+L27=L13</f>
        <v>1</v>
      </c>
      <c r="M36" s="649" t="b">
        <f>((('Reporte Componentes R1'!F558+'Reporte Componentes R1'!F560+'Rem. Anticipos R2'!E438+'Reversion Pagos R4'!D355-('Reporte Componentes R1'!G558+'Reporte Componentes R1'!G560+'Rem. Anticipos R2'!F438+'Reversion Pagos R4'!E355+'Reporte Componentes R1'!H558+'Reporte Componentes R1'!H560+'Rem. Anticipos R2'!G438+'Reversion Pagos R4'!F355+'Reporte Componentes R1'!I558+'Reporte Componentes R1'!I560+'Rem. Anticipos R2'!H438+'Reversion Pagos R4'!G355+'Reporte Componentes R1'!J558+'Reporte Componentes R1'!J560+'Rem. Anticipos R2'!I438+'Reversion Pagos R4'!H355+'Reporte Componentes R1'!K558+'Reporte Componentes R1'!K560+'Rem. Anticipos R2'!J438+'Reversion Pagos R4'!I355+'BCE SC POR FACT.'!F7))+M27)-INTERVENTORIA!F19)+'AJUSTES - SF-T'!M51=M13</f>
        <v>1</v>
      </c>
      <c r="N36" s="649" t="b">
        <f>+'Reporte Componentes R1'!L558+'Reporte Componentes R1'!L560+'Rem. Anticipos R2'!K438+'Reversion Pagos R4'!P355+N27=N13</f>
        <v>1</v>
      </c>
      <c r="O36" s="649" t="b">
        <f>((('Reporte Componentes R1'!F558+'Reporte Componentes R1'!F560+'Rem. Anticipos R2'!E438+'Reversion Pagos R4'!D355-('Reporte Componentes R1'!G558+'Reporte Componentes R1'!G560+'Rem. Anticipos R2'!F438+'Reversion Pagos R4'!E355+'Reporte Componentes R1'!H558+'Reporte Componentes R1'!H560+'Rem. Anticipos R2'!G438+'Reversion Pagos R4'!F355+'Reporte Componentes R1'!I558+'Reporte Componentes R1'!I560+'Rem. Anticipos R2'!H438+'Reversion Pagos R4'!G355+'Reporte Componentes R1'!J558+'Reporte Componentes R1'!J560+'Rem. Anticipos R2'!I438+'Reversion Pagos R4'!H355+'Reporte Componentes R1'!K558+'Reporte Componentes R1'!K560+'Rem. Anticipos R2'!J438+'Reversion Pagos R4'!I355+'BCE SC POR FACT.'!F7)))-INTERVENTORIA!F19)+'Reporte Componentes R1'!L558+'Reporte Componentes R1'!L560+'Rem. Anticipos R2'!K438+'Reversion Pagos R4'!P355+O27+'AJUSTES - SF-T'!O51=O13</f>
        <v>1</v>
      </c>
    </row>
    <row r="38" spans="2:15" x14ac:dyDescent="0.35">
      <c r="N38" s="653"/>
    </row>
    <row r="39" spans="2:15" x14ac:dyDescent="0.35">
      <c r="D39" s="653"/>
      <c r="L39" s="698"/>
    </row>
  </sheetData>
  <conditionalFormatting sqref="D32:K36 M32:O36">
    <cfRule type="cellIs" dxfId="7" priority="1" operator="notEqual">
      <formula>TRUE</formula>
    </cfRule>
  </conditionalFormatting>
  <conditionalFormatting sqref="D23:O28">
    <cfRule type="cellIs" dxfId="6" priority="4" operator="lessThan">
      <formula>-1.5</formula>
    </cfRule>
    <cfRule type="cellIs" dxfId="5" priority="6" operator="greaterThan">
      <formula>1.5</formula>
    </cfRule>
  </conditionalFormatting>
  <pageMargins left="0.7" right="0.7" top="0.75" bottom="0.75" header="0.3" footer="0.3"/>
  <drawing r:id="rId1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95EC5F-2F5B-4020-A70E-0620EAB168D4}">
  <dimension ref="B1:P32"/>
  <sheetViews>
    <sheetView topLeftCell="A8" workbookViewId="0">
      <selection activeCell="A43" sqref="A43"/>
    </sheetView>
  </sheetViews>
  <sheetFormatPr baseColWidth="10" defaultColWidth="11.453125" defaultRowHeight="14.5" x14ac:dyDescent="0.35"/>
  <cols>
    <col min="1" max="1" width="2.81640625" style="610" customWidth="1"/>
    <col min="2" max="2" width="7.1796875" style="610" customWidth="1"/>
    <col min="3" max="3" width="42.81640625" style="610" customWidth="1"/>
    <col min="4" max="15" width="28.54296875" style="610" customWidth="1"/>
    <col min="16" max="16384" width="11.453125" style="610"/>
  </cols>
  <sheetData>
    <row r="1" spans="2:15" customFormat="1" ht="12.5" x14ac:dyDescent="0.25"/>
    <row r="2" spans="2:15" customFormat="1" ht="12.5" x14ac:dyDescent="0.25"/>
    <row r="3" spans="2:15" customFormat="1" x14ac:dyDescent="0.25">
      <c r="F3" s="661" t="s">
        <v>8</v>
      </c>
      <c r="H3" s="661" t="s">
        <v>16</v>
      </c>
      <c r="J3" s="661" t="s">
        <v>229</v>
      </c>
      <c r="K3" s="661" t="s">
        <v>343</v>
      </c>
    </row>
    <row r="4" spans="2:15" customFormat="1" x14ac:dyDescent="0.25">
      <c r="F4" s="661" t="s">
        <v>29</v>
      </c>
    </row>
    <row r="5" spans="2:15" customFormat="1" x14ac:dyDescent="0.25">
      <c r="F5" s="661" t="s">
        <v>230</v>
      </c>
    </row>
    <row r="6" spans="2:15" customFormat="1" x14ac:dyDescent="0.25">
      <c r="C6" s="661" t="s">
        <v>231</v>
      </c>
      <c r="D6" s="661" t="s">
        <v>344</v>
      </c>
      <c r="F6" s="661" t="s">
        <v>232</v>
      </c>
    </row>
    <row r="7" spans="2:15" customFormat="1" x14ac:dyDescent="0.25">
      <c r="C7" s="661" t="s">
        <v>233</v>
      </c>
      <c r="D7" s="661" t="s">
        <v>345</v>
      </c>
      <c r="F7" s="661" t="s">
        <v>27</v>
      </c>
      <c r="G7" s="661" t="s">
        <v>346</v>
      </c>
      <c r="I7" s="661" t="s">
        <v>234</v>
      </c>
      <c r="J7" s="661" t="s">
        <v>347</v>
      </c>
    </row>
    <row r="8" spans="2:15" customFormat="1" ht="43.5" x14ac:dyDescent="0.25">
      <c r="B8" s="662" t="s">
        <v>3</v>
      </c>
      <c r="C8" s="662" t="s">
        <v>235</v>
      </c>
      <c r="D8" s="662" t="s">
        <v>252</v>
      </c>
      <c r="E8" s="662" t="s">
        <v>253</v>
      </c>
      <c r="F8" s="662" t="s">
        <v>254</v>
      </c>
      <c r="G8" s="662" t="s">
        <v>255</v>
      </c>
      <c r="H8" s="662" t="s">
        <v>256</v>
      </c>
      <c r="I8" s="662" t="s">
        <v>257</v>
      </c>
      <c r="J8" s="662" t="s">
        <v>258</v>
      </c>
      <c r="K8" s="662" t="s">
        <v>246</v>
      </c>
      <c r="L8" s="662" t="s">
        <v>259</v>
      </c>
      <c r="M8" s="662" t="s">
        <v>260</v>
      </c>
      <c r="N8" s="662" t="s">
        <v>247</v>
      </c>
      <c r="O8" s="662" t="s">
        <v>261</v>
      </c>
    </row>
    <row r="9" spans="2:15" customFormat="1" ht="12.5" x14ac:dyDescent="0.25">
      <c r="B9" s="642" t="s">
        <v>115</v>
      </c>
      <c r="C9" s="642" t="s">
        <v>10</v>
      </c>
      <c r="D9" s="643">
        <v>1182502863</v>
      </c>
      <c r="E9" s="643">
        <v>1138203111</v>
      </c>
      <c r="F9" s="643">
        <v>5384239175</v>
      </c>
      <c r="G9" s="643">
        <v>2460648865</v>
      </c>
      <c r="H9" s="643">
        <v>219070049</v>
      </c>
      <c r="I9" s="643">
        <v>-189185988</v>
      </c>
      <c r="J9" s="643">
        <v>-19113</v>
      </c>
      <c r="K9" s="643">
        <v>25277316</v>
      </c>
      <c r="L9" s="643">
        <v>1428564690</v>
      </c>
      <c r="M9" s="643">
        <v>5018019355</v>
      </c>
      <c r="N9" s="643">
        <v>15238755634</v>
      </c>
      <c r="O9" s="643">
        <v>0</v>
      </c>
    </row>
    <row r="10" spans="2:15" customFormat="1" ht="12.5" x14ac:dyDescent="0.25">
      <c r="B10" s="642" t="s">
        <v>116</v>
      </c>
      <c r="C10" s="642" t="s">
        <v>11</v>
      </c>
      <c r="D10" s="643">
        <v>1949886300</v>
      </c>
      <c r="E10" s="643">
        <v>1945637037</v>
      </c>
      <c r="F10" s="643">
        <v>9155886148</v>
      </c>
      <c r="G10" s="643">
        <v>3142209362</v>
      </c>
      <c r="H10" s="643">
        <v>363003578</v>
      </c>
      <c r="I10" s="643">
        <v>-266580256</v>
      </c>
      <c r="J10" s="643">
        <v>86777</v>
      </c>
      <c r="K10" s="643">
        <v>53454221</v>
      </c>
      <c r="L10" s="643">
        <v>-5018972953</v>
      </c>
      <c r="M10" s="643">
        <v>-1777779239</v>
      </c>
      <c r="N10" s="643">
        <v>14565803930</v>
      </c>
      <c r="O10" s="643">
        <v>0</v>
      </c>
    </row>
    <row r="11" spans="2:15" customFormat="1" ht="12.5" x14ac:dyDescent="0.25">
      <c r="B11" s="642" t="s">
        <v>117</v>
      </c>
      <c r="C11" s="642" t="s">
        <v>248</v>
      </c>
      <c r="D11" s="643">
        <v>1102335590</v>
      </c>
      <c r="E11" s="643">
        <v>1086464208</v>
      </c>
      <c r="F11" s="643">
        <v>5141961248</v>
      </c>
      <c r="G11" s="643">
        <v>2685857517</v>
      </c>
      <c r="H11" s="643">
        <v>205160229</v>
      </c>
      <c r="I11" s="643">
        <v>-154788536</v>
      </c>
      <c r="J11" s="643">
        <v>234519</v>
      </c>
      <c r="K11" s="643">
        <v>14341963</v>
      </c>
      <c r="L11" s="643">
        <v>-692912516</v>
      </c>
      <c r="M11" s="643">
        <v>160332049</v>
      </c>
      <c r="N11" s="643">
        <v>10241898788</v>
      </c>
      <c r="O11" s="643">
        <v>0</v>
      </c>
    </row>
    <row r="12" spans="2:15" customFormat="1" ht="12.5" x14ac:dyDescent="0.25">
      <c r="B12" s="642" t="s">
        <v>249</v>
      </c>
      <c r="C12" s="642" t="s">
        <v>13</v>
      </c>
      <c r="D12" s="643">
        <v>549450408</v>
      </c>
      <c r="E12" s="643">
        <v>548186870</v>
      </c>
      <c r="F12" s="643">
        <v>2799232757</v>
      </c>
      <c r="G12" s="643">
        <v>1254527099</v>
      </c>
      <c r="H12" s="643">
        <v>102249901</v>
      </c>
      <c r="I12" s="643">
        <v>-120391083</v>
      </c>
      <c r="J12" s="643">
        <v>-16792</v>
      </c>
      <c r="K12" s="643">
        <v>34128345</v>
      </c>
      <c r="L12" s="643">
        <v>-616738621</v>
      </c>
      <c r="M12" s="643">
        <v>83144093</v>
      </c>
      <c r="N12" s="643">
        <v>5250511599</v>
      </c>
      <c r="O12" s="643">
        <v>0</v>
      </c>
    </row>
    <row r="13" spans="2:15" customFormat="1" ht="12.5" x14ac:dyDescent="0.25">
      <c r="B13" s="642" t="s">
        <v>118</v>
      </c>
      <c r="C13" s="642" t="s">
        <v>14</v>
      </c>
      <c r="D13" s="643">
        <v>928205240</v>
      </c>
      <c r="E13" s="643">
        <v>911180502</v>
      </c>
      <c r="F13" s="643">
        <v>4681131561</v>
      </c>
      <c r="G13" s="643">
        <v>2173851295</v>
      </c>
      <c r="H13" s="643">
        <v>172729907</v>
      </c>
      <c r="I13" s="643">
        <v>-128990446</v>
      </c>
      <c r="J13" s="643">
        <v>-147778</v>
      </c>
      <c r="K13" s="643">
        <v>15891736</v>
      </c>
      <c r="L13" s="643">
        <v>-1031025373</v>
      </c>
      <c r="M13" s="643">
        <v>-948066349</v>
      </c>
      <c r="N13" s="643">
        <v>7805785669</v>
      </c>
      <c r="O13" s="643">
        <v>0</v>
      </c>
    </row>
    <row r="14" spans="2:15" customFormat="1" ht="12.5" x14ac:dyDescent="0.25">
      <c r="B14" s="642" t="s">
        <v>250</v>
      </c>
      <c r="C14" s="642" t="s">
        <v>70</v>
      </c>
      <c r="D14" s="643">
        <v>5712380401</v>
      </c>
      <c r="E14" s="643">
        <v>5629671728</v>
      </c>
      <c r="F14" s="643">
        <v>27162450889</v>
      </c>
      <c r="G14" s="643">
        <v>11717094138</v>
      </c>
      <c r="H14" s="643">
        <v>1062213664</v>
      </c>
      <c r="I14" s="643">
        <v>-859936309</v>
      </c>
      <c r="J14" s="643">
        <v>137613</v>
      </c>
      <c r="K14" s="643">
        <v>143093581</v>
      </c>
      <c r="L14" s="643">
        <v>-5931084773</v>
      </c>
      <c r="M14" s="643">
        <v>2535649909</v>
      </c>
      <c r="N14" s="643">
        <v>53102755620</v>
      </c>
      <c r="O14" s="643">
        <v>0</v>
      </c>
    </row>
    <row r="16" spans="2:15" x14ac:dyDescent="0.35">
      <c r="B16" s="611" t="s">
        <v>115</v>
      </c>
      <c r="C16" s="611" t="s">
        <v>10</v>
      </c>
      <c r="D16" s="649">
        <f>D9-'CONSOLIDADO_TOTAL RECAUDO'!U104</f>
        <v>-0.38000011444091797</v>
      </c>
      <c r="E16" s="649">
        <f>E9-'CONSOLIDADO_TOTAL RECAUDO'!V104</f>
        <v>-2.9999732971191406E-2</v>
      </c>
      <c r="F16" s="649">
        <f>F9-'CONSOLIDADO_TOTAL RECAUDO'!W104</f>
        <v>-0.34999942779541016</v>
      </c>
      <c r="G16" s="649">
        <f>G9-'CONSOLIDADO_TOTAL RECAUDO'!X104</f>
        <v>-0.28999996185302734</v>
      </c>
      <c r="H16" s="649">
        <f>H9-'CONSOLIDADO_TOTAL RECAUDO'!Y104</f>
        <v>9.9999904632568359E-3</v>
      </c>
      <c r="I16" s="649">
        <f>I9-'CONSOLIDADO_TOTAL RECAUDO'!Z104</f>
        <v>0</v>
      </c>
      <c r="J16" s="649">
        <f>J9-'CONSOLIDADO_TOTAL RECAUDO'!AA104-'CONSOLIDADO_TOTAL RECAUDO'!AC104</f>
        <v>0.42999999999960892</v>
      </c>
      <c r="K16" s="649">
        <f>K9-'CONSOLIDADO_TOTAL RECAUDO'!AB104</f>
        <v>-0.26000000163912773</v>
      </c>
      <c r="L16" s="649">
        <f>L9-'CONSOLIDADO_TOTAL RECAUDO'!AE104</f>
        <v>0.45000004768371582</v>
      </c>
      <c r="M16" s="649">
        <f>M9-'CONSOLIDADO_TOTAL RECAUDO'!AD104</f>
        <v>-9.9999427795410156E-2</v>
      </c>
      <c r="N16" s="649">
        <f>N9-'CONSOLIDADO_TOTAL RECAUDO'!AF104</f>
        <v>3.0002593994140625E-2</v>
      </c>
      <c r="O16" s="649">
        <f>O9-'CONSOLIDADO_TOTAL RECAUDO'!AG104</f>
        <v>0</v>
      </c>
    </row>
    <row r="17" spans="2:16" x14ac:dyDescent="0.35">
      <c r="B17" s="611" t="s">
        <v>116</v>
      </c>
      <c r="C17" s="611" t="s">
        <v>11</v>
      </c>
      <c r="D17" s="649">
        <f>D10-'CONSOLIDADO_TOTAL RECAUDO'!U105</f>
        <v>-0.44000005722045898</v>
      </c>
      <c r="E17" s="649">
        <f>E10-'CONSOLIDADO_TOTAL RECAUDO'!V105</f>
        <v>9.0000391006469727E-2</v>
      </c>
      <c r="F17" s="649">
        <f>F10-'CONSOLIDADO_TOTAL RECAUDO'!W105</f>
        <v>-0.160003662109375</v>
      </c>
      <c r="G17" s="649">
        <f>G10-'CONSOLIDADO_TOTAL RECAUDO'!X105</f>
        <v>-0.44000005722045898</v>
      </c>
      <c r="H17" s="649">
        <f>H10-'CONSOLIDADO_TOTAL RECAUDO'!Y105</f>
        <v>-0.24000000953674316</v>
      </c>
      <c r="I17" s="649">
        <f>I10-'CONSOLIDADO_TOTAL RECAUDO'!Z105</f>
        <v>0</v>
      </c>
      <c r="J17" s="649">
        <f>J10-'CONSOLIDADO_TOTAL RECAUDO'!AA105-'CONSOLIDADO_TOTAL RECAUDO'!AC105</f>
        <v>5.0000000011053203E-2</v>
      </c>
      <c r="K17" s="649">
        <f>K10-'CONSOLIDADO_TOTAL RECAUDO'!AB105</f>
        <v>-0.2800000011920929</v>
      </c>
      <c r="L17" s="649">
        <f>L10-'CONSOLIDADO_TOTAL RECAUDO'!AE105</f>
        <v>-7.9999923706054688E-2</v>
      </c>
      <c r="M17" s="649">
        <f>M10-'CONSOLIDADO_TOTAL RECAUDO'!AD105</f>
        <v>-0.19000005722045898</v>
      </c>
      <c r="N17" s="649">
        <f>N10-'CONSOLIDADO_TOTAL RECAUDO'!AF105</f>
        <v>0.38999557495117188</v>
      </c>
      <c r="O17" s="649">
        <f>O10-'CONSOLIDADO_TOTAL RECAUDO'!AG105</f>
        <v>0</v>
      </c>
    </row>
    <row r="18" spans="2:16" x14ac:dyDescent="0.35">
      <c r="B18" s="611" t="s">
        <v>117</v>
      </c>
      <c r="C18" s="611" t="s">
        <v>248</v>
      </c>
      <c r="D18" s="649">
        <f>D11-'CONSOLIDADO_TOTAL RECAUDO'!U106</f>
        <v>-0.32999992370605469</v>
      </c>
      <c r="E18" s="649">
        <f>E11-'CONSOLIDADO_TOTAL RECAUDO'!V106</f>
        <v>-0.23000001907348633</v>
      </c>
      <c r="F18" s="649">
        <f>F11-'CONSOLIDADO_TOTAL RECAUDO'!W106</f>
        <v>9.9999427795410156E-2</v>
      </c>
      <c r="G18" s="649">
        <f>G11-'CONSOLIDADO_TOTAL RECAUDO'!X106</f>
        <v>0.33999967575073242</v>
      </c>
      <c r="H18" s="649">
        <f>H11-'CONSOLIDADO_TOTAL RECAUDO'!Y106</f>
        <v>-0.32000002264976501</v>
      </c>
      <c r="I18" s="649">
        <f>I11-'CONSOLIDADO_TOTAL RECAUDO'!Z106</f>
        <v>0</v>
      </c>
      <c r="J18" s="649">
        <f>J11-'CONSOLIDADO_TOTAL RECAUDO'!AA106-'CONSOLIDADO_TOTAL RECAUDO'!AC106</f>
        <v>4.0000000011787051E-2</v>
      </c>
      <c r="K18" s="649">
        <f>K11-'CONSOLIDADO_TOTAL RECAUDO'!AB106</f>
        <v>-0.31999999843537807</v>
      </c>
      <c r="L18" s="649">
        <f>L11-'CONSOLIDADO_TOTAL RECAUDO'!AE106</f>
        <v>-0.27000010013580322</v>
      </c>
      <c r="M18" s="649">
        <f>M11-'CONSOLIDADO_TOTAL RECAUDO'!AD106</f>
        <v>0.21999990940093994</v>
      </c>
      <c r="N18" s="649">
        <f>N11-'CONSOLIDADO_TOTAL RECAUDO'!AF106</f>
        <v>0.5</v>
      </c>
      <c r="O18" s="649">
        <f>O11-'CONSOLIDADO_TOTAL RECAUDO'!AG106</f>
        <v>0</v>
      </c>
    </row>
    <row r="19" spans="2:16" x14ac:dyDescent="0.35">
      <c r="B19" s="611" t="s">
        <v>249</v>
      </c>
      <c r="C19" s="611" t="s">
        <v>13</v>
      </c>
      <c r="D19" s="649">
        <f>D12-'CONSOLIDADO_TOTAL RECAUDO'!U107</f>
        <v>-0.40999996662139893</v>
      </c>
      <c r="E19" s="649">
        <f>E12-'CONSOLIDADO_TOTAL RECAUDO'!V107</f>
        <v>-0.46999990940093994</v>
      </c>
      <c r="F19" s="649">
        <f>F12-'CONSOLIDADO_TOTAL RECAUDO'!W107</f>
        <v>-0.40999984741210938</v>
      </c>
      <c r="G19" s="649">
        <f>G12-'CONSOLIDADO_TOTAL RECAUDO'!X107</f>
        <v>-0.45000028610229492</v>
      </c>
      <c r="H19" s="649">
        <f>H12-'CONSOLIDADO_TOTAL RECAUDO'!Y107</f>
        <v>-0.39999999105930328</v>
      </c>
      <c r="I19" s="649">
        <f>I12-'CONSOLIDADO_TOTAL RECAUDO'!Z107</f>
        <v>0</v>
      </c>
      <c r="J19" s="649">
        <f>J12-'CONSOLIDADO_TOTAL RECAUDO'!AA107-'CONSOLIDADO_TOTAL RECAUDO'!AC107</f>
        <v>0.29000000000041837</v>
      </c>
      <c r="K19" s="649">
        <f>K12-'CONSOLIDADO_TOTAL RECAUDO'!AB107</f>
        <v>7.0000000298023224E-2</v>
      </c>
      <c r="L19" s="649">
        <f>L12-'CONSOLIDADO_TOTAL RECAUDO'!AE107</f>
        <v>-0.16000008583068848</v>
      </c>
      <c r="M19" s="649">
        <f>M12-'CONSOLIDADO_TOTAL RECAUDO'!AD107</f>
        <v>0.46999979019165039</v>
      </c>
      <c r="N19" s="649">
        <f>N12-'CONSOLIDADO_TOTAL RECAUDO'!AF107</f>
        <v>-0.30999946594238281</v>
      </c>
      <c r="O19" s="649">
        <f>O12-'CONSOLIDADO_TOTAL RECAUDO'!AG107</f>
        <v>0</v>
      </c>
    </row>
    <row r="20" spans="2:16" x14ac:dyDescent="0.35">
      <c r="B20" s="611" t="s">
        <v>118</v>
      </c>
      <c r="C20" s="611" t="s">
        <v>14</v>
      </c>
      <c r="D20" s="649">
        <f>D13-'CONSOLIDADO_TOTAL RECAUDO'!U108</f>
        <v>-0.15000009536743164</v>
      </c>
      <c r="E20" s="649">
        <f>E13-'CONSOLIDADO_TOTAL RECAUDO'!V108</f>
        <v>-0.11000001430511475</v>
      </c>
      <c r="F20" s="649">
        <f>F13-'CONSOLIDADO_TOTAL RECAUDO'!W108</f>
        <v>-0.22000026702880859</v>
      </c>
      <c r="G20" s="649">
        <f>G13-'CONSOLIDADO_TOTAL RECAUDO'!X108</f>
        <v>-0.33000040054321289</v>
      </c>
      <c r="H20" s="649">
        <f>H13-'CONSOLIDADO_TOTAL RECAUDO'!Y108</f>
        <v>0.46000000834465027</v>
      </c>
      <c r="I20" s="649">
        <f>I13-'CONSOLIDADO_TOTAL RECAUDO'!Z108</f>
        <v>0</v>
      </c>
      <c r="J20" s="649">
        <f>J13-'CONSOLIDADO_TOTAL RECAUDO'!AA108-'CONSOLIDADO_TOTAL RECAUDO'!AC108</f>
        <v>-0.45000000002212204</v>
      </c>
      <c r="K20" s="649">
        <f>K13-'CONSOLIDADO_TOTAL RECAUDO'!AB108</f>
        <v>0.11999999918043613</v>
      </c>
      <c r="L20" s="649">
        <f>L13-'CONSOLIDADO_TOTAL RECAUDO'!AE108</f>
        <v>-0.37999999523162842</v>
      </c>
      <c r="M20" s="649">
        <f>M13-'CONSOLIDADO_TOTAL RECAUDO'!AD108</f>
        <v>-4.0000081062316895E-2</v>
      </c>
      <c r="N20" s="649">
        <f>N13-'CONSOLIDADO_TOTAL RECAUDO'!AF108</f>
        <v>0.27999782562255859</v>
      </c>
      <c r="O20" s="649">
        <f>O13-'CONSOLIDADO_TOTAL RECAUDO'!AG108</f>
        <v>0</v>
      </c>
    </row>
    <row r="21" spans="2:16" x14ac:dyDescent="0.35">
      <c r="B21" s="611" t="s">
        <v>250</v>
      </c>
      <c r="C21" s="611" t="s">
        <v>70</v>
      </c>
      <c r="D21" s="649">
        <f>D14-'CONSOLIDADO_TOTAL RECAUDO'!U109</f>
        <v>-1.7100009918212891</v>
      </c>
      <c r="E21" s="649">
        <f>E14-'CONSOLIDADO_TOTAL RECAUDO'!V109</f>
        <v>-0.74999904632568359</v>
      </c>
      <c r="F21" s="649">
        <f>F14-'CONSOLIDADO_TOTAL RECAUDO'!W109</f>
        <v>-1.0400047302246094</v>
      </c>
      <c r="G21" s="649">
        <f>G14-'CONSOLIDADO_TOTAL RECAUDO'!X109</f>
        <v>-1.1700000762939453</v>
      </c>
      <c r="H21" s="649">
        <f>H14-'CONSOLIDADO_TOTAL RECAUDO'!Y109</f>
        <v>-0.49000000953674316</v>
      </c>
      <c r="I21" s="649">
        <f>I14-'CONSOLIDADO_TOTAL RECAUDO'!Z109</f>
        <v>0</v>
      </c>
      <c r="J21" s="649">
        <f>J14-'CONSOLIDADO_TOTAL RECAUDO'!AA109-'CONSOLIDADO_TOTAL RECAUDO'!AC109</f>
        <v>0.35999999999512511</v>
      </c>
      <c r="K21" s="649">
        <f>K14-'CONSOLIDADO_TOTAL RECAUDO'!AB109</f>
        <v>-0.66999998688697815</v>
      </c>
      <c r="L21" s="649">
        <f>L14-'CONSOLIDADO_TOTAL RECAUDO'!AE109</f>
        <v>-0.44000053405761719</v>
      </c>
      <c r="M21" s="649">
        <f>M14-'CONSOLIDADO_TOTAL RECAUDO'!AD109</f>
        <v>0.3600001335144043</v>
      </c>
      <c r="N21" s="649">
        <f>N14-'CONSOLIDADO_TOTAL RECAUDO'!AF109</f>
        <v>0.8899993896484375</v>
      </c>
      <c r="O21" s="649">
        <f>O14-'CONSOLIDADO_TOTAL RECAUDO'!AG109</f>
        <v>0</v>
      </c>
    </row>
    <row r="22" spans="2:16" ht="15" thickBot="1" x14ac:dyDescent="0.4">
      <c r="M22" s="653"/>
    </row>
    <row r="23" spans="2:16" ht="35" thickBot="1" x14ac:dyDescent="0.4">
      <c r="C23" s="27" t="s">
        <v>9</v>
      </c>
      <c r="D23" s="162" t="s">
        <v>39</v>
      </c>
      <c r="E23" s="580" t="s">
        <v>40</v>
      </c>
      <c r="F23" s="580" t="s">
        <v>41</v>
      </c>
      <c r="G23" s="163" t="s">
        <v>42</v>
      </c>
      <c r="H23" s="164" t="s">
        <v>43</v>
      </c>
      <c r="I23" s="554" t="s">
        <v>21</v>
      </c>
      <c r="J23" s="65" t="s">
        <v>46</v>
      </c>
      <c r="K23" s="65" t="s">
        <v>7</v>
      </c>
      <c r="L23" s="85" t="s">
        <v>168</v>
      </c>
      <c r="M23" s="121" t="s">
        <v>105</v>
      </c>
      <c r="N23" s="121" t="s">
        <v>104</v>
      </c>
      <c r="O23" s="39" t="s">
        <v>23</v>
      </c>
    </row>
    <row r="24" spans="2:16" x14ac:dyDescent="0.35">
      <c r="B24" s="611" t="s">
        <v>115</v>
      </c>
      <c r="C24" s="338" t="s">
        <v>10</v>
      </c>
      <c r="D24" s="664" t="b">
        <f>+'Reporte Componentes R1'!M53+'Reporte Componentes R1'!M55+'Rem. Anticipos R2'!L43+'Reversion Pagos R4'!J73+D16+'AJUSTES - SF-T'!U47=D9</f>
        <v>1</v>
      </c>
      <c r="E24" s="649" t="b">
        <f>+'Reporte Componentes R1'!N53+'Reporte Componentes R1'!N55+'Rem. Anticipos R2'!M43+'Reversion Pagos R4'!K73+E16+'AJUSTES - SF-T'!V47=E9</f>
        <v>1</v>
      </c>
      <c r="F24" s="649" t="b">
        <f>+'Reporte Componentes R1'!O53+'Reporte Componentes R1'!O55+'Rem. Anticipos R2'!N43+'Reversion Pagos R4'!L73+F16+'AJUSTES - SF-T'!W47=F9</f>
        <v>1</v>
      </c>
      <c r="G24" s="649" t="b">
        <f>+'Reporte Componentes R1'!P53+'Reporte Componentes R1'!P55+'Rem. Anticipos R2'!O43+'Reversion Pagos R4'!M73+G16+'AJUSTES - SF-T'!X47=G9</f>
        <v>1</v>
      </c>
      <c r="H24" s="649" t="b">
        <f>+'Reporte Componentes R1'!Q53+'Reporte Componentes R1'!Q55+'Rem. Anticipos R2'!P43+'Reversion Pagos R4'!N73+H16+'AJUSTES - SF-T'!Y47=H9</f>
        <v>1</v>
      </c>
      <c r="I24" s="699" t="b">
        <f>-INTERVENTORIA!F15+I16=I9</f>
        <v>1</v>
      </c>
      <c r="J24" s="649" t="b">
        <f>'Reporte Componentes R1'!R53+'Reporte Componentes R1'!V53+'Rem. Anticipos R2'!Q43+'Reporte Componentes R1'!R55+'Reporte Componentes R1'!V55+'Reversion Pagos R4'!O73+'Reporte Componentes R1'!T53+'Reporte Componentes R1'!U53+'Reporte Componentes R1'!W53+'Reporte Componentes R1'!X53+'Reporte Componentes R1'!Y53+'Reporte Componentes R1'!Z53+'Reporte Componentes R1'!S53+'Rem. Anticipos R2'!R43+'Reporte Componentes R1'!T55+'Reporte Componentes R1'!U55+'Reporte Componentes R1'!W55+'Reporte Componentes R1'!X55+'Reporte Componentes R1'!Y55+'Reporte Componentes R1'!Z55+'Reporte Componentes R1'!S55+'Reversion Pagos R4'!Q73+'Reversion Pagos R4'!R73+'AJUSTES - SF-T'!AA47+J16=J9</f>
        <v>1</v>
      </c>
      <c r="K24" s="649" t="b">
        <f>+DetRetri2026072!N32</f>
        <v>1</v>
      </c>
      <c r="L24" s="649" t="b">
        <f>'Reporte Componentes R1'!F54+'Rem. Anticipos R2'!E44+'Reporte Componentes R1'!F56+'Reversion Pagos R4'!D74+'AJUSTES - SF-T'!AD47+L16=L9</f>
        <v>1</v>
      </c>
      <c r="M24" s="649" t="b">
        <f>-'BCE SC POR FACT.'!F3+'Reporte Componentes R1'!F54+'Rem. Anticipos R2'!E44+'Reporte Componentes R1'!F56+'Reversion Pagos R4'!D74+'AJUSTES - SF-T'!AD47+M16=M9</f>
        <v>1</v>
      </c>
      <c r="N24" s="649" t="b">
        <f>'Reporte Componentes R1'!F54+'Rem. Anticipos R2'!E44+'Reporte Componentes R1'!F56+'Reversion Pagos R4'!D74+'AJUSTES - SF-T'!AD47+L16=L9</f>
        <v>1</v>
      </c>
      <c r="O24" s="649" t="b">
        <f>'Reporte Componentes R1'!M53+'Reporte Componentes R1'!M55+'Rem. Anticipos R2'!L43+'Reversion Pagos R4'!J73+'Reporte Componentes R1'!N53+'Reporte Componentes R1'!N55+'Rem. Anticipos R2'!M43+'Reversion Pagos R4'!K73+'Reporte Componentes R1'!O53+'Reporte Componentes R1'!O55+'Rem. Anticipos R2'!N43+'Reversion Pagos R4'!L73+'Reporte Componentes R1'!P53+'Reporte Componentes R1'!P55+'Rem. Anticipos R2'!O43+'Reversion Pagos R4'!M73+'Reporte Componentes R1'!Q53+'Reporte Componentes R1'!Q55+'Rem. Anticipos R2'!P43+'Reversion Pagos R4'!N73-INTERVENTORIA!J4+'Reporte Componentes R1'!R53+'Reporte Componentes R1'!V53+'Rem. Anticipos R2'!Q43+'Reporte Componentes R1'!R55+'Reporte Componentes R1'!V55+'Reversion Pagos R4'!O73+'Reporte Componentes R1'!T53+'Reporte Componentes R1'!U53+'Reporte Componentes R1'!W53+'Reporte Componentes R1'!X53+'Reporte Componentes R1'!Y53+'Reporte Componentes R1'!Z53+'Reporte Componentes R1'!S53+'Rem. Anticipos R2'!R43+'Reporte Componentes R1'!T55+'Reporte Componentes R1'!U55+'Reporte Componentes R1'!W55+'Reporte Componentes R1'!X55+'Reporte Componentes R1'!Y55+'Reporte Componentes R1'!Z55+'Reporte Componentes R1'!S55+'Reversion Pagos R4'!Q73+'Reversion Pagos R4'!R73+'AJUSTES - SF-T'!AA47+'Reporte Componentes R1'!L53+'Rem. Anticipos R2'!K43+'Reversion Pagos R4'!P73+'Reporte Componentes R1'!L55-'BCE SC POR FACT.'!F3+'Reporte Componentes R1'!F54+'Rem. Anticipos R2'!E44+'Reporte Componentes R1'!F56+'Reversion Pagos R4'!D74+'AJUSTES - SF-T'!AD47+N16=N9</f>
        <v>0</v>
      </c>
    </row>
    <row r="25" spans="2:16" x14ac:dyDescent="0.35">
      <c r="B25" s="611" t="s">
        <v>116</v>
      </c>
      <c r="C25" s="338" t="s">
        <v>11</v>
      </c>
      <c r="D25" s="655" t="b">
        <f>+'Reporte Componentes R1'!M206+'Rem. Anticipos R2'!L139+'Reversion Pagos R4'!J168+'Reporte Componentes R1'!M208+D17+'AJUSTES - SF-T'!U48=D10</f>
        <v>1</v>
      </c>
      <c r="E25" s="655" t="b">
        <f>+'Reporte Componentes R1'!N206+'Rem. Anticipos R2'!M139+'Reversion Pagos R4'!K168+'Reporte Componentes R1'!N208+E17+'AJUSTES - SF-T'!V48=E10</f>
        <v>1</v>
      </c>
      <c r="F25" s="655" t="b">
        <f>+'Reporte Componentes R1'!O206+'Rem. Anticipos R2'!N139+'Reversion Pagos R4'!L168+'Reporte Componentes R1'!O208+F17+'AJUSTES - SF-T'!W48=F10</f>
        <v>1</v>
      </c>
      <c r="G25" s="655" t="b">
        <f>+'Reporte Componentes R1'!P206+'Rem. Anticipos R2'!O139+'Reversion Pagos R4'!M168+'Reporte Componentes R1'!P208+G17+'AJUSTES - SF-T'!X48=G10</f>
        <v>1</v>
      </c>
      <c r="H25" s="655" t="b">
        <f>+'Reporte Componentes R1'!Q206+'Rem. Anticipos R2'!P139+'Reversion Pagos R4'!N168+'Reporte Componentes R1'!Q208+H17+'AJUSTES - SF-T'!Y48=H10</f>
        <v>1</v>
      </c>
      <c r="I25" s="699" t="b">
        <f>-INTERVENTORIA!F16+I17=I10</f>
        <v>1</v>
      </c>
      <c r="J25" s="655" t="b">
        <f>+'Reporte Componentes R1'!R206+'Reporte Componentes R1'!V206+'Rem. Anticipos R2'!Q139+'Reporte Componentes R1'!R208+'Reporte Componentes R1'!V208+'Reversion Pagos R4'!O168+'Reporte Componentes R1'!T206+'Reporte Componentes R1'!U206+'Reporte Componentes R1'!W206+'Reporte Componentes R1'!X206+'Reporte Componentes R1'!Y206+'Reporte Componentes R1'!Z206+'Reporte Componentes R1'!S206+'Rem. Anticipos R2'!R139+'Reporte Componentes R1'!T208+'Reporte Componentes R1'!U208+'Reporte Componentes R1'!W208+'Reporte Componentes R1'!X208+'Reporte Componentes R1'!Y208+'Reporte Componentes R1'!Z208+'Reporte Componentes R1'!S208+'Reversion Pagos R4'!Q168+'Reversion Pagos R4'!R168+'AJUSTES - SF-T'!AA48+J17=J10</f>
        <v>1</v>
      </c>
      <c r="K25" s="655" t="b">
        <f>+DetRetri2026072!N33</f>
        <v>1</v>
      </c>
      <c r="L25" s="649" t="b">
        <f>+'Reporte Componentes R1'!F207+'Rem. Anticipos R2'!E140+'Reporte Componentes R1'!F209+'Reversion Pagos R4'!D169+'AJUSTES - SF-T'!AD48+L17=L10</f>
        <v>1</v>
      </c>
      <c r="M25" s="716">
        <f>-'BCE SC POR FACT.'!F4+'Reporte Componentes R1'!F207+'Rem. Anticipos R2'!E140+'Reporte Componentes R1'!F209+'Reversion Pagos R4'!D169+'AJUSTES - SF-T'!AD48+M17-M10</f>
        <v>0</v>
      </c>
      <c r="N25" s="649" t="b">
        <f>'Reporte Componentes R1'!F207+'Rem. Anticipos R2'!E140+'Reporte Componentes R1'!F209+'Reversion Pagos R4'!D169+'AJUSTES - SF-T'!AD48+L17=L10</f>
        <v>1</v>
      </c>
      <c r="O25" s="649" t="b">
        <f>'Reporte Componentes R1'!M206+'Rem. Anticipos R2'!L139+'Reversion Pagos R4'!J168+'Reporte Componentes R1'!M208+'Reporte Componentes R1'!N206+'Rem. Anticipos R2'!M139+'Reversion Pagos R4'!K168+'Reporte Componentes R1'!N208+'Reporte Componentes R1'!O206+'Rem. Anticipos R2'!N139+'Reversion Pagos R4'!L168+'Reporte Componentes R1'!O208+'Reporte Componentes R1'!P206+'Rem. Anticipos R2'!O139+'Reversion Pagos R4'!M168+'Reporte Componentes R1'!P208+'Reporte Componentes R1'!Q206+'Rem. Anticipos R2'!P139+'Reversion Pagos R4'!N168+'Reporte Componentes R1'!Q208-INTERVENTORIA!I5+'Reporte Componentes R1'!R206+'Reporte Componentes R1'!V206+'Rem. Anticipos R2'!Q139+'Reporte Componentes R1'!R208+'Reporte Componentes R1'!V208+'Reversion Pagos R4'!O168+'Reporte Componentes R1'!T206+'Reporte Componentes R1'!U206+'Reporte Componentes R1'!W206+'Reporte Componentes R1'!X206+'Reporte Componentes R1'!Y206+'Reporte Componentes R1'!Z206+'Reporte Componentes R1'!S206+'Rem. Anticipos R2'!R139+'Reporte Componentes R1'!T208+'Reporte Componentes R1'!U208+'Reporte Componentes R1'!W208+'Reporte Componentes R1'!X208+'Reporte Componentes R1'!Y208+'Reporte Componentes R1'!Z208+'Reporte Componentes R1'!S208+'Reversion Pagos R4'!Q168+'Reversion Pagos R4'!R168+'AJUSTES - SF-T'!AA48+'Reporte Componentes R1'!L206+'Rem. Anticipos R2'!K139+'Reversion Pagos R4'!P168+'Reporte Componentes R1'!L208-'BCE SC POR FACT.'!F4+'Reporte Componentes R1'!F207+'Rem. Anticipos R2'!E140+'Reporte Componentes R1'!F209+'Reversion Pagos R4'!D169+'AJUSTES - SF-T'!AD48+N17=N10</f>
        <v>0</v>
      </c>
      <c r="P25" s="654"/>
    </row>
    <row r="26" spans="2:16" x14ac:dyDescent="0.35">
      <c r="B26" s="611" t="s">
        <v>117</v>
      </c>
      <c r="C26" s="338" t="s">
        <v>12</v>
      </c>
      <c r="D26" s="649" t="b">
        <f>+'Reporte Componentes R1'!M343+'Reporte Componentes R1'!M345+'Rem. Anticipos R2'!L256+'Reversion Pagos R4'!J205+D18+'AJUSTES - SF-T'!U49=D11</f>
        <v>1</v>
      </c>
      <c r="E26" s="649" t="b">
        <f>+'Reporte Componentes R1'!N343+'Reporte Componentes R1'!N345+'Rem. Anticipos R2'!M256+'Reversion Pagos R4'!K205+E18+'AJUSTES - SF-T'!V49=E11</f>
        <v>1</v>
      </c>
      <c r="F26" s="649" t="b">
        <f>+'Reporte Componentes R1'!O343+'Reporte Componentes R1'!O345+'Rem. Anticipos R2'!N256+'Reversion Pagos R4'!L205+F18+'AJUSTES - SF-T'!W49=F11</f>
        <v>1</v>
      </c>
      <c r="G26" s="649" t="b">
        <f>+'Reporte Componentes R1'!P343+'Reporte Componentes R1'!P345+'Rem. Anticipos R2'!O256+'Reversion Pagos R4'!M205+G18+'AJUSTES - SF-T'!X49=G11</f>
        <v>1</v>
      </c>
      <c r="H26" s="649" t="b">
        <f>+'Reporte Componentes R1'!Q343+'Reporte Componentes R1'!Q345+'Rem. Anticipos R2'!P256+'Reversion Pagos R4'!N205+H18+'AJUSTES - SF-T'!Y49=H11</f>
        <v>1</v>
      </c>
      <c r="I26" s="699" t="b">
        <f>-INTERVENTORIA!F17+I18=I11</f>
        <v>1</v>
      </c>
      <c r="J26" s="649" t="b">
        <f>+'Reporte Componentes R1'!R343+'Reporte Componentes R1'!V343+'Rem. Anticipos R2'!Q256+'Reporte Componentes R1'!R345+'Reporte Componentes R1'!V345+'Reversion Pagos R4'!O205+'Reporte Componentes R1'!T343+'Reporte Componentes R1'!U343+'Reporte Componentes R1'!W343+'Reporte Componentes R1'!X343+'Reporte Componentes R1'!Y343+'Reporte Componentes R1'!Z343+'Reporte Componentes R1'!S343+'Rem. Anticipos R2'!R256+'Reporte Componentes R1'!T345+'Reporte Componentes R1'!U345+'Reporte Componentes R1'!W345+'Reporte Componentes R1'!X345+'Reporte Componentes R1'!Y345+'Reporte Componentes R1'!Z345+'Reporte Componentes R1'!S345+'Reversion Pagos R4'!Q205+'Reversion Pagos R4'!R205+'AJUSTES - SF-T'!AA49+J18=J11</f>
        <v>1</v>
      </c>
      <c r="K26" s="649" t="b">
        <f>+DetRetri2026072!N34</f>
        <v>1</v>
      </c>
      <c r="L26" s="649" t="b">
        <f>+'Reporte Componentes R1'!F344+'Rem. Anticipos R2'!E257+'Reporte Componentes R1'!F346+'Reversion Pagos R4'!D206+'AJUSTES - SF-T'!AD49+L18=L11</f>
        <v>1</v>
      </c>
      <c r="M26" s="716">
        <f>-'BCE SC POR FACT.'!F5+'Reporte Componentes R1'!F344+'Rem. Anticipos R2'!E257+'Reporte Componentes R1'!F346+'Reversion Pagos R4'!D206+'AJUSTES - SF-T'!AD49+M18-M11</f>
        <v>0</v>
      </c>
      <c r="N26" s="649" t="b">
        <f>'Reporte Componentes R1'!F344+'Rem. Anticipos R2'!E257+'Reporte Componentes R1'!F346+'Reversion Pagos R4'!D206+'AJUSTES - SF-T'!AD49+L18=L11</f>
        <v>1</v>
      </c>
      <c r="O26" s="713" t="b">
        <f>'Reporte Componentes R1'!M343+'Reporte Componentes R1'!M345+'Rem. Anticipos R2'!L256+'Reversion Pagos R4'!J205+'Reporte Componentes R1'!N343+'Reporte Componentes R1'!N345+'Rem. Anticipos R2'!M256+'Reversion Pagos R4'!K205+'Reporte Componentes R1'!O343+'Reporte Componentes R1'!O345+'Rem. Anticipos R2'!N256+'Reversion Pagos R4'!L205+'Reporte Componentes R1'!P343+'Reporte Componentes R1'!P345+'Rem. Anticipos R2'!O256+'Reversion Pagos R4'!M205+'Reporte Componentes R1'!Q343+'Reporte Componentes R1'!Q345+'Rem. Anticipos R2'!P256+'Reversion Pagos R4'!N205-INTERVENTORIA!I6+'Reporte Componentes R1'!R343+'Reporte Componentes R1'!V343+'Rem. Anticipos R2'!Q256+'Reporte Componentes R1'!R345+'Reporte Componentes R1'!V345+'Reversion Pagos R4'!O205+'Reporte Componentes R1'!T343+'Reporte Componentes R1'!U343+'Reporte Componentes R1'!W343+'Reporte Componentes R1'!X343+'Reporte Componentes R1'!Y343+'Reporte Componentes R1'!Z343+'Reporte Componentes R1'!S343+'Rem. Anticipos R2'!R256+'Reporte Componentes R1'!T345+'Reporte Componentes R1'!U345+'Reporte Componentes R1'!W345+'Reporte Componentes R1'!X345+'Reporte Componentes R1'!Y345+'Reporte Componentes R1'!Z345+'Reporte Componentes R1'!S345+'Reversion Pagos R4'!Q205+'Reversion Pagos R4'!R205+'AJUSTES - SF-T'!AA49+'Reporte Componentes R1'!L343+'Reporte Componentes R1'!L345+'Rem. Anticipos R2'!K256+'Reversion Pagos R4'!P205-'BCE SC POR FACT.'!F5+'Reporte Componentes R1'!F344+'Rem. Anticipos R2'!E257+'Reporte Componentes R1'!F346+'Reversion Pagos R4'!D206+'AJUSTES - SF-T'!AD49+N18=N11</f>
        <v>0</v>
      </c>
    </row>
    <row r="27" spans="2:16" x14ac:dyDescent="0.35">
      <c r="B27" s="611" t="s">
        <v>249</v>
      </c>
      <c r="C27" s="338" t="s">
        <v>13</v>
      </c>
      <c r="D27" s="649" t="b">
        <f>+'Reporte Componentes R1'!M468+'Reporte Componentes R1'!M470+'Rem. Anticipos R2'!L358+'Reversion Pagos R4'!J320+D19+'AJUSTES - SF-T'!U50=D12</f>
        <v>1</v>
      </c>
      <c r="E27" s="649" t="b">
        <f>+'Reporte Componentes R1'!N468+'Reporte Componentes R1'!N470+'Rem. Anticipos R2'!M358+'Reversion Pagos R4'!K320+E19+'AJUSTES - SF-T'!V50=E12</f>
        <v>1</v>
      </c>
      <c r="F27" s="649" t="b">
        <f>+'Reporte Componentes R1'!O468+'Reporte Componentes R1'!O470+'Rem. Anticipos R2'!N358+'Reversion Pagos R4'!L320+F19+'AJUSTES - SF-T'!W50=F12</f>
        <v>1</v>
      </c>
      <c r="G27" s="649" t="b">
        <f>+'Reporte Componentes R1'!P468+'Reporte Componentes R1'!P470+'Rem. Anticipos R2'!O358+'Reversion Pagos R4'!M320+G19+'AJUSTES - SF-T'!X50=G12</f>
        <v>1</v>
      </c>
      <c r="H27" s="649" t="b">
        <f>+'Reporte Componentes R1'!Q468+'Reporte Componentes R1'!Q470+'Rem. Anticipos R2'!P358+'Reversion Pagos R4'!N320+H19+'AJUSTES - SF-T'!Y50=H12</f>
        <v>1</v>
      </c>
      <c r="I27" s="699" t="b">
        <f>-INTERVENTORIA!F18+I19=I12</f>
        <v>1</v>
      </c>
      <c r="J27" s="649" t="b">
        <f>+'Reporte Componentes R1'!R468+'Reporte Componentes R1'!V468+'Rem. Anticipos R2'!Q358+'Reporte Componentes R1'!R470+'Reporte Componentes R1'!V470+'Reversion Pagos R4'!O320+'Reporte Componentes R1'!T468+'Reporte Componentes R1'!U468+'Reporte Componentes R1'!W468+'Reporte Componentes R1'!X468+'Reporte Componentes R1'!Y468+'Reporte Componentes R1'!Z468+'Reporte Componentes R1'!S468+'Rem. Anticipos R2'!R358+'Reporte Componentes R1'!T470+'Reporte Componentes R1'!U470+'Reporte Componentes R1'!W470+'Reporte Componentes R1'!X470+'Reporte Componentes R1'!Y470+'Reporte Componentes R1'!Z470+'Reporte Componentes R1'!S470+'Reversion Pagos R4'!Q320+'Reversion Pagos R4'!R320+'AJUSTES - SF-T'!AA49+J19=J12</f>
        <v>1</v>
      </c>
      <c r="K27" s="649" t="b">
        <f>+DetRetri2026072!N35</f>
        <v>1</v>
      </c>
      <c r="L27" s="649" t="b">
        <f>+'Reporte Componentes R1'!F469+'Rem. Anticipos R2'!E359+'Reporte Componentes R1'!F471+'Reversion Pagos R4'!D321+'AJUSTES - SF-T'!AD50+L19=L12</f>
        <v>1</v>
      </c>
      <c r="M27" s="716">
        <f>-'BCE SC POR FACT.'!F6+'Reporte Componentes R1'!F469+'Rem. Anticipos R2'!E359+'Reporte Componentes R1'!F471+'Reversion Pagos R4'!D321+'AJUSTES - SF-T'!AD50+M19-M12</f>
        <v>0</v>
      </c>
      <c r="N27" s="649" t="b">
        <f>'Reporte Componentes R1'!F469+'Rem. Anticipos R2'!E359+'Reporte Componentes R1'!F471+'Reversion Pagos R4'!D321+'AJUSTES - SF-T'!AD50+L19=L12</f>
        <v>1</v>
      </c>
      <c r="O27" s="713" t="b">
        <f>'Reporte Componentes R1'!M468+'Reporte Componentes R1'!M470+'Rem. Anticipos R2'!L358+'Reversion Pagos R4'!J320+'Reporte Componentes R1'!N468+'Reporte Componentes R1'!N470+'Rem. Anticipos R2'!M358+'Reversion Pagos R4'!K320+'Reporte Componentes R1'!O468+'Reporte Componentes R1'!O470+'Rem. Anticipos R2'!N358+'Reversion Pagos R4'!L320+'Reporte Componentes R1'!P468+'Reporte Componentes R1'!P470+'Rem. Anticipos R2'!O358+'Reversion Pagos R4'!M320+'Reporte Componentes R1'!Q468+'Reporte Componentes R1'!Q470+'Rem. Anticipos R2'!P358+'Reversion Pagos R4'!N320-INTERVENTORIA!I7+'Reporte Componentes R1'!R468+'Reporte Componentes R1'!V468+'Rem. Anticipos R2'!Q358+'Reporte Componentes R1'!R470+'Reporte Componentes R1'!V470+'Reversion Pagos R4'!O320+'Reporte Componentes R1'!T468+'Reporte Componentes R1'!U468+'Reporte Componentes R1'!W468+'Reporte Componentes R1'!X468+'Reporte Componentes R1'!Y468+'Reporte Componentes R1'!Z468+'Reporte Componentes R1'!S468+'Rem. Anticipos R2'!R358+'Reporte Componentes R1'!T470+'Reporte Componentes R1'!U470+'Reporte Componentes R1'!W470+'Reporte Componentes R1'!X470+'Reporte Componentes R1'!Y470+'Reporte Componentes R1'!Z470+'Reporte Componentes R1'!S470+'Reversion Pagos R4'!Q320+'Reversion Pagos R4'!R320+'AJUSTES - SF-T'!AA50+'Reporte Componentes R1'!L468+'Reporte Componentes R1'!L470+'Rem. Anticipos R2'!K358+'Reversion Pagos R4'!P320-'BCE SC POR FACT.'!F6+'Reporte Componentes R1'!F469+'Rem. Anticipos R2'!E359+'Reporte Componentes R1'!F471+'Reversion Pagos R4'!D321+'AJUSTES - SF-T'!AD50+N19=N12</f>
        <v>0</v>
      </c>
    </row>
    <row r="28" spans="2:16" x14ac:dyDescent="0.35">
      <c r="B28" s="611" t="s">
        <v>118</v>
      </c>
      <c r="C28" s="338" t="s">
        <v>14</v>
      </c>
      <c r="D28" s="649" t="b">
        <f>+'Reporte Componentes R1'!M558+'Reporte Componentes R1'!M560+'Rem. Anticipos R2'!L438+'Reversion Pagos R4'!J355+D20+'AJUSTES - SF-T'!U51=D13</f>
        <v>1</v>
      </c>
      <c r="E28" s="649" t="b">
        <f>+'Reporte Componentes R1'!N558+'Reporte Componentes R1'!N560+'Rem. Anticipos R2'!M438+'Reversion Pagos R4'!K355+E20+'AJUSTES - SF-T'!V51=E13</f>
        <v>1</v>
      </c>
      <c r="F28" s="649" t="b">
        <f>+'Reporte Componentes R1'!O558+'Reporte Componentes R1'!O560+'Rem. Anticipos R2'!N438+'Reversion Pagos R4'!L355+F20+'AJUSTES - SF-T'!W51=F13</f>
        <v>1</v>
      </c>
      <c r="G28" s="649" t="b">
        <f>+'Reporte Componentes R1'!P558+'Reporte Componentes R1'!P560+'Rem. Anticipos R2'!O438+'Reversion Pagos R4'!M355+G20+'AJUSTES - SF-T'!X51=G13</f>
        <v>1</v>
      </c>
      <c r="H28" s="649" t="b">
        <f>+'Reporte Componentes R1'!Q558+'Reporte Componentes R1'!Q560+'Rem. Anticipos R2'!P438+'Reversion Pagos R4'!N355+H20+'AJUSTES - SF-T'!Y51=H13</f>
        <v>1</v>
      </c>
      <c r="I28" s="699" t="b">
        <f>-INTERVENTORIA!F19+I20=I13</f>
        <v>1</v>
      </c>
      <c r="J28" s="651" t="b">
        <f>+'Reporte Componentes R1'!R558+'Reporte Componentes R1'!V558+'Rem. Anticipos R2'!Q438+'Reporte Componentes R1'!R560+'Reporte Componentes R1'!V560+'Reversion Pagos R4'!O355+'Reporte Componentes R1'!T558+'Reporte Componentes R1'!U558+'Reporte Componentes R1'!W558+'Reporte Componentes R1'!X558+'Reporte Componentes R1'!Y558+'Reporte Componentes R1'!Z558+'Reporte Componentes R1'!S558+'Rem. Anticipos R2'!R438+'Reporte Componentes R1'!T560+'Reporte Componentes R1'!U560+'Reporte Componentes R1'!W560+'Reporte Componentes R1'!X560+'Reporte Componentes R1'!Y560+'Reporte Componentes R1'!Z560+'Reporte Componentes R1'!S560+'Reversion Pagos R4'!Q355+'Reversion Pagos R4'!R355+'AJUSTES - SF-T'!AA50+J20=J13</f>
        <v>1</v>
      </c>
      <c r="K28" s="649" t="b">
        <f>+DetRetri2026072!N36</f>
        <v>1</v>
      </c>
      <c r="L28" s="649" t="b">
        <f>+'Reporte Componentes R1'!F559+'Rem. Anticipos R2'!E439+'Reporte Componentes R1'!F561+'Reversion Pagos R4'!D356+'AJUSTES - SF-T'!AD51+L20=L13</f>
        <v>1</v>
      </c>
      <c r="M28" s="649" t="b">
        <f>-'BCE SC POR FACT.'!F7+'Reporte Componentes R1'!F559+'Rem. Anticipos R2'!E439+'Reporte Componentes R1'!F561+'Reversion Pagos R4'!D356+'AJUSTES - SF-T'!AD51+M20=M13</f>
        <v>1</v>
      </c>
      <c r="N28" s="649" t="b">
        <f>'Reporte Componentes R1'!F559+'Rem. Anticipos R2'!E439+'Reporte Componentes R1'!F561+'Reversion Pagos R4'!D356+'AJUSTES - SF-T'!AD51+L20=L13</f>
        <v>1</v>
      </c>
      <c r="O28" s="649" t="b">
        <f>'Reporte Componentes R1'!M558+'Reporte Componentes R1'!M560+'Rem. Anticipos R2'!L438+'Reversion Pagos R4'!J355+'Reporte Componentes R1'!N558+'Reporte Componentes R1'!N560+'Rem. Anticipos R2'!M438+'Reversion Pagos R4'!K355+'Reporte Componentes R1'!O558+'Reporte Componentes R1'!O560+'Rem. Anticipos R2'!N438+'Reversion Pagos R4'!L355+'Reporte Componentes R1'!P558+'Reporte Componentes R1'!P560+'Rem. Anticipos R2'!O438+'Reversion Pagos R4'!M355+'Reporte Componentes R1'!Q558+'Reporte Componentes R1'!Q560+'Rem. Anticipos R2'!P438+'Reversion Pagos R4'!N355-INTERVENTORIA!I8+'Reporte Componentes R1'!R558+'Reporte Componentes R1'!V558+'Rem. Anticipos R2'!Q438+'Reporte Componentes R1'!R560+'Reporte Componentes R1'!V560+'Reversion Pagos R4'!O355+'Reporte Componentes R1'!T558+'Reporte Componentes R1'!U558+'Reporte Componentes R1'!W558+'Reporte Componentes R1'!X558+'Reporte Componentes R1'!Y558+'Reporte Componentes R1'!Z558+'Reporte Componentes R1'!S558+'Rem. Anticipos R2'!R438+'Reporte Componentes R1'!T560+'Reporte Componentes R1'!U560+'Reporte Componentes R1'!W560+'Reporte Componentes R1'!X560+'Reporte Componentes R1'!Y560+'Reporte Componentes R1'!Z560+'Reporte Componentes R1'!S560+'Reversion Pagos R4'!Q355+'Reversion Pagos R4'!R355+'AJUSTES - SF-T'!AA51+'Reporte Componentes R1'!L558+'Reporte Componentes R1'!L560+'Rem. Anticipos R2'!K438+'Reversion Pagos R4'!P355-'BCE SC POR FACT.'!F7+'Reporte Componentes R1'!F559+'Rem. Anticipos R2'!E439+'Reporte Componentes R1'!F561+'Reversion Pagos R4'!D356+'AJUSTES - SF-T'!AD51+N20=N13</f>
        <v>0</v>
      </c>
    </row>
    <row r="29" spans="2:16" x14ac:dyDescent="0.35">
      <c r="C29" s="650" t="s">
        <v>2</v>
      </c>
      <c r="D29" s="649" t="b">
        <f>'Reporte Componentes R1'!M53+'Reporte Componentes R1'!M55+'Rem. Anticipos R2'!L43+'Reversion Pagos R4'!J73+'Reporte Componentes R1'!M206+'Rem. Anticipos R2'!L139+'Reversion Pagos R4'!J168+'Reporte Componentes R1'!M208+'Reporte Componentes R1'!M343+'Reporte Componentes R1'!M345+'Rem. Anticipos R2'!L256+'Reversion Pagos R4'!J205+'Reporte Componentes R1'!M468+'Reporte Componentes R1'!M470+'Rem. Anticipos R2'!L358+'Reversion Pagos R4'!J320+'Reporte Componentes R1'!M558+'Reporte Componentes R1'!M560+'Rem. Anticipos R2'!L438+'Reversion Pagos R4'!J355+D21+'AJUSTES - SF-T'!U52=D14</f>
        <v>1</v>
      </c>
      <c r="E29" s="649" t="b">
        <f>'Reporte Componentes R1'!N53+'Reporte Componentes R1'!N55+'Rem. Anticipos R2'!M43+'Reversion Pagos R4'!K73+'Reporte Componentes R1'!N206+'Rem. Anticipos R2'!M139+'Reversion Pagos R4'!K168+'Reporte Componentes R1'!N208+'Reporte Componentes R1'!N343+'Reporte Componentes R1'!N345+'Rem. Anticipos R2'!M256+'Reversion Pagos R4'!K205+'Reporte Componentes R1'!N468+'Reporte Componentes R1'!N470+'Rem. Anticipos R2'!M358+'Reversion Pagos R4'!K320+'Reporte Componentes R1'!N558+'Reporte Componentes R1'!N560+'Rem. Anticipos R2'!M438+'Reversion Pagos R4'!K355+E21+'AJUSTES - SF-T'!V52=E14</f>
        <v>1</v>
      </c>
      <c r="F29" s="649" t="b">
        <f>'Reporte Componentes R1'!O53+'Reporte Componentes R1'!O55+'Rem. Anticipos R2'!N43+'Reversion Pagos R4'!L73+'Reporte Componentes R1'!O206+'Rem. Anticipos R2'!N139+'Reversion Pagos R4'!L168+'Reporte Componentes R1'!O208+'Reporte Componentes R1'!O343+'Reporte Componentes R1'!O345+'Rem. Anticipos R2'!N256+'Reversion Pagos R4'!L205+'Reporte Componentes R1'!O468+'Reporte Componentes R1'!O470+'Rem. Anticipos R2'!N358+'Reversion Pagos R4'!L320+'Reporte Componentes R1'!O558+'Reporte Componentes R1'!O560+'Rem. Anticipos R2'!N438+'Reversion Pagos R4'!L355+F21+'AJUSTES - SF-T'!W52=F14</f>
        <v>1</v>
      </c>
      <c r="G29" s="649" t="b">
        <f>'Reporte Componentes R1'!P53+'Reporte Componentes R1'!P55+'Rem. Anticipos R2'!O43+'Reversion Pagos R4'!M73+'Reporte Componentes R1'!P206+'Rem. Anticipos R2'!O139+'Reversion Pagos R4'!M168+'Reporte Componentes R1'!P208+'Reporte Componentes R1'!P343+'Reporte Componentes R1'!P345+'Rem. Anticipos R2'!O256+'Reversion Pagos R4'!M205+'Reporte Componentes R1'!P468+'Reporte Componentes R1'!P470+'Rem. Anticipos R2'!O358+'Reversion Pagos R4'!M320+'Reporte Componentes R1'!P558+'Reporte Componentes R1'!P560+'Rem. Anticipos R2'!O438+'Reversion Pagos R4'!M355+G21+'AJUSTES - SF-T'!X52=G14</f>
        <v>1</v>
      </c>
      <c r="H29" s="649" t="b">
        <f>'Reporte Componentes R1'!Q53+'Reporte Componentes R1'!Q55+'Rem. Anticipos R2'!P43+'Reversion Pagos R4'!N73+'Reporte Componentes R1'!Q206+'Rem. Anticipos R2'!P139+'Reversion Pagos R4'!N168+'Reporte Componentes R1'!Q208+'Reporte Componentes R1'!Q343+'Reporte Componentes R1'!Q345+'Rem. Anticipos R2'!P256+'Reversion Pagos R4'!N205+'Reporte Componentes R1'!Q468+'Reporte Componentes R1'!Q470+'Rem. Anticipos R2'!P358+'Reversion Pagos R4'!N320+'Reporte Componentes R1'!Q558+'Reporte Componentes R1'!Q560+'Rem. Anticipos R2'!P438+'Reversion Pagos R4'!N355+H21+'AJUSTES - SF-T'!Y52=H14</f>
        <v>1</v>
      </c>
      <c r="I29" s="699" t="b">
        <f>-INTERVENTORIA!F20+I21=I14</f>
        <v>1</v>
      </c>
      <c r="J29" s="649" t="b">
        <f>'Reporte Componentes R1'!R53+'Reporte Componentes R1'!V53+'Rem. Anticipos R2'!Q43+'Reporte Componentes R1'!R55+'Reporte Componentes R1'!V55+'Reversion Pagos R4'!O73+'Reporte Componentes R1'!T53+'Reporte Componentes R1'!U53+'Reporte Componentes R1'!W53+'Reporte Componentes R1'!X53+'Reporte Componentes R1'!Y53+'Reporte Componentes R1'!Z53+'Reporte Componentes R1'!S53+'Rem. Anticipos R2'!R43+'Reporte Componentes R1'!T55+'Reporte Componentes R1'!U55+'Reporte Componentes R1'!W55+'Reporte Componentes R1'!X55+'Reporte Componentes R1'!Y55+'Reporte Componentes R1'!Z55+'Reporte Componentes R1'!S55+'Reversion Pagos R4'!Q73+'Reversion Pagos R4'!R73+'AJUSTES - SF-T'!AA47+'Reporte Componentes R1'!R206+'Reporte Componentes R1'!V206+'Rem. Anticipos R2'!Q139+'Reporte Componentes R1'!R208+'Reporte Componentes R1'!V208+'Reversion Pagos R4'!O168+'Reporte Componentes R1'!T206+'Reporte Componentes R1'!U206+'Reporte Componentes R1'!W206+'Reporte Componentes R1'!X206+'Reporte Componentes R1'!Y206+'Reporte Componentes R1'!Z206+'Reporte Componentes R1'!S206+'Rem. Anticipos R2'!R139+'Reporte Componentes R1'!T208+'Reporte Componentes R1'!U208+'Reporte Componentes R1'!W208+'Reporte Componentes R1'!X208+'Reporte Componentes R1'!Y208+'Reporte Componentes R1'!Z208+'Reporte Componentes R1'!S208+'Reversion Pagos R4'!Q168+'Reversion Pagos R4'!R168+'AJUSTES - SF-T'!AA48+'Reporte Componentes R1'!R343+'Reporte Componentes R1'!V343+'Rem. Anticipos R2'!Q256+'Reporte Componentes R1'!R345+'Reporte Componentes R1'!V345+'Reversion Pagos R4'!O205+'Reporte Componentes R1'!T343+'Reporte Componentes R1'!U343+'Reporte Componentes R1'!W343+'Reporte Componentes R1'!X343+'Reporte Componentes R1'!Y343+'Reporte Componentes R1'!Z343+'Reporte Componentes R1'!S343+'Rem. Anticipos R2'!R256+'Reporte Componentes R1'!T345+'Reporte Componentes R1'!U345+'Reporte Componentes R1'!W345+'Reporte Componentes R1'!X345+'Reporte Componentes R1'!Y345+'Reporte Componentes R1'!Z345+'Reporte Componentes R1'!S345+'Reversion Pagos R4'!Q205+'Reversion Pagos R4'!R205+'AJUSTES - SF-T'!AA49+'Reporte Componentes R1'!R468+'Reporte Componentes R1'!V468+'Rem. Anticipos R2'!Q358+'Reporte Componentes R1'!R470+'Reporte Componentes R1'!V470+'Reversion Pagos R4'!O320+'Reporte Componentes R1'!T468+'Reporte Componentes R1'!U468+'Reporte Componentes R1'!W468+'Reporte Componentes R1'!X468+'Reporte Componentes R1'!Y468+'Reporte Componentes R1'!Z468+'Reporte Componentes R1'!S468+'Rem. Anticipos R2'!R358+'Reporte Componentes R1'!T470+'Reporte Componentes R1'!U470+'Reporte Componentes R1'!W470+'Reporte Componentes R1'!X470+'Reporte Componentes R1'!Y470+'Reporte Componentes R1'!Z470+'Reporte Componentes R1'!S470+'Reversion Pagos R4'!Q320+'Reversion Pagos R4'!R320+'Reporte Componentes R1'!R558+'Reporte Componentes R1'!V558+'Rem. Anticipos R2'!Q438+'Reporte Componentes R1'!R560+'Reporte Componentes R1'!V560+'Reversion Pagos R4'!O355+'Reporte Componentes R1'!T558+'Reporte Componentes R1'!U558+'Reporte Componentes R1'!W558+'Reporte Componentes R1'!X558+'Reporte Componentes R1'!Y558+'Reporte Componentes R1'!Z558+'Reporte Componentes R1'!S558+'Rem. Anticipos R2'!R438+'Reporte Componentes R1'!T560+'Reporte Componentes R1'!U560+'Reporte Componentes R1'!W560+'Reporte Componentes R1'!X560+'Reporte Componentes R1'!Y560+'Reporte Componentes R1'!Z560+'Reporte Componentes R1'!S560+'Reversion Pagos R4'!Q355+'Reversion Pagos R4'!R355+'AJUSTES - SF-T'!AA51+J21=J14</f>
        <v>1</v>
      </c>
      <c r="K29" s="649" t="b">
        <f>'Reporte Componentes R1'!L53+'Rem. Anticipos R2'!K43+'Reversion Pagos R4'!P73+'Reporte Componentes R1'!L55+'Reporte Componentes R1'!L206+'Rem. Anticipos R2'!K139+'Reversion Pagos R4'!P168+'Reporte Componentes R1'!L208+'Reporte Componentes R1'!L343+'Reporte Componentes R1'!L345+'Rem. Anticipos R2'!K256+'Reversion Pagos R4'!P205+'Reporte Componentes R1'!L468+'Reporte Componentes R1'!L470+'Rem. Anticipos R2'!K358+'Reversion Pagos R4'!P320+'Reporte Componentes R1'!L558+'Reporte Componentes R1'!L560+'Rem. Anticipos R2'!K438+'Reversion Pagos R4'!P355+K21=K14</f>
        <v>1</v>
      </c>
      <c r="L29" s="712" t="b">
        <f>'Reporte Componentes R1'!F54+'Rem. Anticipos R2'!E44+'Reporte Componentes R1'!F56+'Reversion Pagos R4'!D74+'AJUSTES - SF-T'!AD47+'Reporte Componentes R1'!F207+'Rem. Anticipos R2'!E140+'Reporte Componentes R1'!F209+'Reversion Pagos R4'!D169+'AJUSTES - SF-T'!AD48+'Reporte Componentes R1'!F344+'Rem. Anticipos R2'!E257+'Reporte Componentes R1'!F346+'Reversion Pagos R4'!D206+'AJUSTES - SF-T'!AD49+'Reporte Componentes R1'!F469+'Rem. Anticipos R2'!E359+'Reporte Componentes R1'!F471+'Reversion Pagos R4'!D321+'AJUSTES - SF-T'!AD50+'Reporte Componentes R1'!F559+'Rem. Anticipos R2'!E439+'Reporte Componentes R1'!F561+'Reversion Pagos R4'!D356+'AJUSTES - SF-T'!AD51+L21=L14</f>
        <v>1</v>
      </c>
      <c r="M29" s="649" t="b">
        <f>-'BCE SC POR FACT.'!F3+'Reporte Componentes R1'!F54+'Rem. Anticipos R2'!E44+'Reporte Componentes R1'!F56+'Reversion Pagos R4'!D74+'AJUSTES - SF-T'!AD47-'BCE SC POR FACT.'!F4+'Reporte Componentes R1'!F207+'Rem. Anticipos R2'!E140+'Reporte Componentes R1'!F209+'Reversion Pagos R4'!D169+'AJUSTES - SF-T'!AD48-'BCE SC POR FACT.'!F5+'Reporte Componentes R1'!F344+'Rem. Anticipos R2'!E257+'Reporte Componentes R1'!F346+'Reversion Pagos R4'!D206+'AJUSTES - SF-T'!AD49-'BCE SC POR FACT.'!F6+'Reporte Componentes R1'!F469+'Rem. Anticipos R2'!E359+'Reporte Componentes R1'!F471+'Reversion Pagos R4'!D321+'AJUSTES - SF-T'!AD50-'BCE SC POR FACT.'!F7+'Reporte Componentes R1'!F559+'Rem. Anticipos R2'!E439+'Reporte Componentes R1'!F561+'Reversion Pagos R4'!D356+'AJUSTES - SF-T'!AD51+M21=M14</f>
        <v>1</v>
      </c>
      <c r="N29" s="649" t="b">
        <f>'Reporte Componentes R1'!F54+'Rem. Anticipos R2'!E44+'Reporte Componentes R1'!F56+'Reversion Pagos R4'!D74+'AJUSTES - SF-T'!AD47+'Reporte Componentes R1'!F207+'Rem. Anticipos R2'!E140+'Reporte Componentes R1'!F209+'Reversion Pagos R4'!D169+'AJUSTES - SF-T'!AD48+'Reporte Componentes R1'!F344+'Rem. Anticipos R2'!E257+'Reporte Componentes R1'!F346+'Reversion Pagos R4'!D206+'AJUSTES - SF-T'!AD49+'Reporte Componentes R1'!F469+'Rem. Anticipos R2'!E359+'Reporte Componentes R1'!F471+'Reversion Pagos R4'!D321+'AJUSTES - SF-T'!AD50+'Reporte Componentes R1'!F559+'Rem. Anticipos R2'!E439+'Reporte Componentes R1'!F561+'Reversion Pagos R4'!D356+'AJUSTES - SF-T'!AD51+L21=L14</f>
        <v>1</v>
      </c>
      <c r="O29" s="649" t="b">
        <f>'Reporte Componentes R1'!M53+'Reporte Componentes R1'!M55+'Rem. Anticipos R2'!L43+'Reversion Pagos R4'!J73+'Reporte Componentes R1'!N53+'Reporte Componentes R1'!N55+'Rem. Anticipos R2'!M43+'Reversion Pagos R4'!K73+'Reporte Componentes R1'!O53+'Reporte Componentes R1'!O55+'Rem. Anticipos R2'!N43+'Reversion Pagos R4'!L73+'Reporte Componentes R1'!P53+'Reporte Componentes R1'!P55+'Rem. Anticipos R2'!O43+'Reversion Pagos R4'!M73+'Reporte Componentes R1'!Q53+'Reporte Componentes R1'!Q55+'Rem. Anticipos R2'!P43+'Reversion Pagos R4'!N73-INTERVENTORIA!K15+'Reporte Componentes R1'!R53+'Reporte Componentes R1'!V53+'Rem. Anticipos R2'!Q43+'Reporte Componentes R1'!R55+'Reporte Componentes R1'!V55+'Reversion Pagos R4'!O73+'Reporte Componentes R1'!T53+'Reporte Componentes R1'!U53+'Reporte Componentes R1'!W53+'Reporte Componentes R1'!X53+'Reporte Componentes R1'!Y53+'Reporte Componentes R1'!Z53+'Reporte Componentes R1'!S53+'Rem. Anticipos R2'!R43+'Reporte Componentes R1'!T55+'Reporte Componentes R1'!U55+'Reporte Componentes R1'!W55+'Reporte Componentes R1'!X55+'Reporte Componentes R1'!Y55+'Reporte Componentes R1'!Z55+'Reporte Componentes R1'!S55+'Reversion Pagos R4'!Q73+'Reversion Pagos R4'!R73+'AJUSTES - SF-T'!AA47+'Reporte Componentes R1'!L53+'Rem. Anticipos R2'!K43+'Reversion Pagos R4'!P73+'Reporte Componentes R1'!L55-'BCE SC POR FACT.'!F3+'Reporte Componentes R1'!F54+'Rem. Anticipos R2'!E44+'Reporte Componentes R1'!F56+'Reversion Pagos R4'!D74+'AJUSTES - SF-T'!AD47+'Reporte Componentes R1'!M206+'Rem. Anticipos R2'!L139+'Reversion Pagos R4'!J168+'Reporte Componentes R1'!M208+'Reporte Componentes R1'!N206+'Rem. Anticipos R2'!M139+'Reversion Pagos R4'!K168+'Reporte Componentes R1'!N208+'Reporte Componentes R1'!O206+'Rem. Anticipos R2'!N139+'Reversion Pagos R4'!L168+'Reporte Componentes R1'!O208+'Reporte Componentes R1'!P206+'Rem. Anticipos R2'!O139+'Reversion Pagos R4'!M168+'Reporte Componentes R1'!P208+'Reporte Componentes R1'!Q206+'Rem. Anticipos R2'!P139+'Reversion Pagos R4'!N168+'Reporte Componentes R1'!Q208-INTERVENTORIA!K16+'Reporte Componentes R1'!R206+'Reporte Componentes R1'!V206+'Rem. Anticipos R2'!Q139+'Reporte Componentes R1'!R208+'Reporte Componentes R1'!V208+'Reversion Pagos R4'!O168+'Reporte Componentes R1'!T206+'Reporte Componentes R1'!U206+'Reporte Componentes R1'!W206+'Reporte Componentes R1'!X206+'Reporte Componentes R1'!Y206+'Reporte Componentes R1'!Z206+'Reporte Componentes R1'!S206+'Rem. Anticipos R2'!R139+'Reporte Componentes R1'!T208+'Reporte Componentes R1'!U208+'Reporte Componentes R1'!W208+'Reporte Componentes R1'!X208+'Reporte Componentes R1'!Y208+'Reporte Componentes R1'!Z208+'Reporte Componentes R1'!S208+'Reversion Pagos R4'!Q168+'Reversion Pagos R4'!R168+'AJUSTES - SF-T'!AA48+'Reporte Componentes R1'!L206+'Rem. Anticipos R2'!K139+'Reversion Pagos R4'!P168+'Reporte Componentes R1'!L208-'BCE SC POR FACT.'!F4+'Reporte Componentes R1'!F207+'Rem. Anticipos R2'!E140+'Reporte Componentes R1'!F209+'Reversion Pagos R4'!D169+'AJUSTES - SF-T'!AD48+'Reporte Componentes R1'!M343+'Reporte Componentes R1'!M345+'Rem. Anticipos R2'!L256+'Reversion Pagos R4'!J205+'Reporte Componentes R1'!N343+'Reporte Componentes R1'!N345+'Rem. Anticipos R2'!M256+'Reversion Pagos R4'!K205+'Reporte Componentes R1'!O343+'Reporte Componentes R1'!O345+'Rem. Anticipos R2'!N256+'Reversion Pagos R4'!L205+'Reporte Componentes R1'!P343+'Reporte Componentes R1'!P345+'Rem. Anticipos R2'!O256+'Reversion Pagos R4'!M205+'Reporte Componentes R1'!Q343+'Reporte Componentes R1'!Q345+'Rem. Anticipos R2'!P256+'Reversion Pagos R4'!N205-INTERVENTORIA!K17+'Reporte Componentes R1'!R343+'Reporte Componentes R1'!V343+'Rem. Anticipos R2'!Q256+'Reporte Componentes R1'!R345+'Reporte Componentes R1'!V345+'Reversion Pagos R4'!O205+'Reporte Componentes R1'!T343+'Reporte Componentes R1'!U343+'Reporte Componentes R1'!W343+'Reporte Componentes R1'!X343+'Reporte Componentes R1'!Y343+'Reporte Componentes R1'!Z343+'Reporte Componentes R1'!S343+'Rem. Anticipos R2'!R256+'Reporte Componentes R1'!T345+'Reporte Componentes R1'!U345+'Reporte Componentes R1'!W345+'Reporte Componentes R1'!X345+'Reporte Componentes R1'!Y345+'Reporte Componentes R1'!Z345+'Reporte Componentes R1'!S345+'Reversion Pagos R4'!Q205+'Reversion Pagos R4'!R205+'AJUSTES - SF-T'!AA49+'Reporte Componentes R1'!L343+'Reporte Componentes R1'!L345+'Rem. Anticipos R2'!K256+'Reversion Pagos R4'!P205-'BCE SC POR FACT.'!F5+'Reporte Componentes R1'!F344+'Rem. Anticipos R2'!E257+'Reporte Componentes R1'!F346+'Reversion Pagos R4'!D206+'AJUSTES - SF-T'!AD49+'Reporte Componentes R1'!M468+'Reporte Componentes R1'!M470+'Rem. Anticipos R2'!L358+'Reversion Pagos R4'!J320+'Reporte Componentes R1'!N468+'Reporte Componentes R1'!N470+'Rem. Anticipos R2'!M358+'Reversion Pagos R4'!K320+'Reporte Componentes R1'!O468+'Reporte Componentes R1'!O470+'Rem. Anticipos R2'!N358+'Reversion Pagos R4'!L320+'Reporte Componentes R1'!P468+'Reporte Componentes R1'!P470+'Rem. Anticipos R2'!O358+'Reversion Pagos R4'!M320+'Reporte Componentes R1'!Q468+'Reporte Componentes R1'!Q470+'Rem. Anticipos R2'!P358+'Reversion Pagos R4'!N320-INTERVENTORIA!K18+'Reporte Componentes R1'!R468+'Reporte Componentes R1'!V468+'Rem. Anticipos R2'!Q358+'Reporte Componentes R1'!R470+'Reporte Componentes R1'!V470+'Reversion Pagos R4'!O320+'Reporte Componentes R1'!T468+'Reporte Componentes R1'!U468+'Reporte Componentes R1'!W468+'Reporte Componentes R1'!X468+'Reporte Componentes R1'!Y468+'Reporte Componentes R1'!Z468+'Reporte Componentes R1'!S468+'Rem. Anticipos R2'!R358+'Reporte Componentes R1'!T470+'Reporte Componentes R1'!U470+'Reporte Componentes R1'!W470+'Reporte Componentes R1'!X470+'Reporte Componentes R1'!Y470+'Reporte Componentes R1'!Z470+'Reporte Componentes R1'!S470+'Reversion Pagos R4'!Q320+'Reversion Pagos R4'!R320+'AJUSTES - SF-T'!AA50+'Reporte Componentes R1'!L468+'Reporte Componentes R1'!L470+'Rem. Anticipos R2'!K358+'Reversion Pagos R4'!P320-'BCE SC POR FACT.'!F6+'Reporte Componentes R1'!F469+'Rem. Anticipos R2'!E359+'Reporte Componentes R1'!F471+'Reversion Pagos R4'!D321+'AJUSTES - SF-T'!AD50+'Reporte Componentes R1'!M558+'Reporte Componentes R1'!M560+'Rem. Anticipos R2'!L438+'Reversion Pagos R4'!J355+'Reporte Componentes R1'!N558+'Reporte Componentes R1'!N560+'Rem. Anticipos R2'!M438+'Reversion Pagos R4'!K355+'Reporte Componentes R1'!O558+'Reporte Componentes R1'!O560+'Rem. Anticipos R2'!N438+'Reversion Pagos R4'!L355+'Reporte Componentes R1'!P558+'Reporte Componentes R1'!P560+'Rem. Anticipos R2'!O438+'Reversion Pagos R4'!M355+'Reporte Componentes R1'!Q558+'Reporte Componentes R1'!Q560+'Rem. Anticipos R2'!P438+'Reversion Pagos R4'!N355-INTERVENTORIA!Q19+'Reporte Componentes R1'!R558+'Reporte Componentes R1'!V558+'Rem. Anticipos R2'!Q438+'Reporte Componentes R1'!R560+'Reporte Componentes R1'!V560+'Reversion Pagos R4'!O355+'Reporte Componentes R1'!T558+'Reporte Componentes R1'!U558+'Reporte Componentes R1'!W558+'Reporte Componentes R1'!X558+'Reporte Componentes R1'!Y558+'Reporte Componentes R1'!Z558+'Reporte Componentes R1'!S558+'Rem. Anticipos R2'!R438+'Reporte Componentes R1'!T560+'Reporte Componentes R1'!U560+'Reporte Componentes R1'!W560+'Reporte Componentes R1'!X560+'Reporte Componentes R1'!Y560+'Reporte Componentes R1'!Z560+'Reporte Componentes R1'!S560+'Reversion Pagos R4'!Q355+'Reversion Pagos R4'!R355+'AJUSTES - SF-T'!AA51+'Reporte Componentes R1'!L558+'Reporte Componentes R1'!L560+'Rem. Anticipos R2'!K438+'Reversion Pagos R4'!P355-'BCE SC POR FACT.'!F7+'Reporte Componentes R1'!F559+'Rem. Anticipos R2'!E439+'Reporte Componentes R1'!F561+'Reversion Pagos R4'!D356+'AJUSTES - SF-T'!AD51+N21=N14</f>
        <v>0</v>
      </c>
    </row>
    <row r="30" spans="2:16" x14ac:dyDescent="0.35">
      <c r="M30" s="656"/>
    </row>
    <row r="31" spans="2:16" x14ac:dyDescent="0.35">
      <c r="I31" s="698"/>
      <c r="J31" s="700"/>
    </row>
    <row r="32" spans="2:16" x14ac:dyDescent="0.35">
      <c r="J32" s="701"/>
    </row>
  </sheetData>
  <conditionalFormatting sqref="D24:H29 J24:L29">
    <cfRule type="cellIs" dxfId="4" priority="2" operator="notEqual">
      <formula>TRUE</formula>
    </cfRule>
  </conditionalFormatting>
  <conditionalFormatting sqref="M24:O28">
    <cfRule type="cellIs" dxfId="3" priority="1" operator="notEqual">
      <formula>TRUE</formula>
    </cfRule>
  </conditionalFormatting>
  <pageMargins left="0.7" right="0.7" top="0.75" bottom="0.75" header="0.3" footer="0.3"/>
  <pageSetup paperSize="9" orientation="portrait" r:id="rId1"/>
  <drawing r:id="rId2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dimension ref="A1:AM125"/>
  <sheetViews>
    <sheetView topLeftCell="A94" zoomScaleNormal="100" workbookViewId="0">
      <selection activeCell="A113" sqref="A113"/>
    </sheetView>
  </sheetViews>
  <sheetFormatPr baseColWidth="10" defaultColWidth="11.453125" defaultRowHeight="11.5" x14ac:dyDescent="0.25"/>
  <cols>
    <col min="1" max="1" width="3" style="1" customWidth="1"/>
    <col min="2" max="2" width="4.453125" style="1" bestFit="1" customWidth="1"/>
    <col min="3" max="3" width="36.81640625" style="1" customWidth="1"/>
    <col min="4" max="4" width="13.81640625" style="1" bestFit="1" customWidth="1"/>
    <col min="5" max="5" width="16" style="1" customWidth="1"/>
    <col min="6" max="7" width="14.81640625" style="1" customWidth="1"/>
    <col min="8" max="8" width="16.1796875" style="1" customWidth="1"/>
    <col min="9" max="9" width="20.1796875" style="1" bestFit="1" customWidth="1"/>
    <col min="10" max="10" width="15.54296875" style="1" customWidth="1"/>
    <col min="11" max="11" width="17.54296875" style="1" customWidth="1"/>
    <col min="12" max="12" width="17" style="1" bestFit="1" customWidth="1"/>
    <col min="13" max="13" width="19.81640625" style="1" customWidth="1"/>
    <col min="14" max="14" width="15.1796875" style="1" customWidth="1"/>
    <col min="15" max="15" width="16.81640625" style="1" customWidth="1"/>
    <col min="16" max="16" width="3.81640625" style="1" customWidth="1"/>
    <col min="17" max="17" width="2.81640625" style="1" customWidth="1"/>
    <col min="18" max="18" width="4.54296875" style="1" customWidth="1"/>
    <col min="19" max="19" width="11.1796875" style="1" customWidth="1"/>
    <col min="20" max="20" width="37.54296875" style="1" bestFit="1" customWidth="1"/>
    <col min="21" max="21" width="19.1796875" style="1" customWidth="1"/>
    <col min="22" max="22" width="17.81640625" style="1" customWidth="1"/>
    <col min="23" max="23" width="16.453125" style="1" customWidth="1"/>
    <col min="24" max="24" width="17.1796875" style="1" customWidth="1"/>
    <col min="25" max="25" width="15.81640625" style="1" customWidth="1"/>
    <col min="26" max="26" width="16" style="1" customWidth="1"/>
    <col min="27" max="27" width="15" style="1" customWidth="1"/>
    <col min="28" max="29" width="16.81640625" style="1" customWidth="1"/>
    <col min="30" max="31" width="15.453125" style="1" customWidth="1"/>
    <col min="32" max="32" width="16.1796875" style="1" customWidth="1"/>
    <col min="33" max="33" width="18.1796875" style="1" customWidth="1"/>
    <col min="34" max="34" width="13.81640625" style="1" customWidth="1"/>
    <col min="35" max="35" width="3.453125" style="1" customWidth="1"/>
    <col min="36" max="36" width="13.81640625" style="1" bestFit="1" customWidth="1"/>
    <col min="37" max="16384" width="11.453125" style="1"/>
  </cols>
  <sheetData>
    <row r="1" spans="2:39" ht="12" thickBot="1" x14ac:dyDescent="0.3">
      <c r="Q1" s="4"/>
      <c r="AI1" s="4"/>
    </row>
    <row r="2" spans="2:39" x14ac:dyDescent="0.25">
      <c r="B2" s="5"/>
      <c r="C2" s="3"/>
      <c r="D2" s="6"/>
      <c r="E2" s="3"/>
      <c r="F2" s="3"/>
      <c r="G2" s="3"/>
      <c r="H2" s="3" t="s">
        <v>1</v>
      </c>
      <c r="I2" s="3"/>
      <c r="J2" s="3"/>
      <c r="K2" s="3"/>
      <c r="L2" s="3"/>
      <c r="M2" s="3"/>
      <c r="N2" s="3"/>
      <c r="O2" s="7"/>
      <c r="P2" s="2"/>
      <c r="Q2" s="4"/>
      <c r="S2" s="5"/>
      <c r="T2" s="3" t="s">
        <v>1</v>
      </c>
      <c r="U2" s="6" t="s">
        <v>1</v>
      </c>
      <c r="V2" s="3"/>
      <c r="W2" s="3"/>
      <c r="X2" s="3" t="s">
        <v>1</v>
      </c>
      <c r="Y2" s="3"/>
      <c r="Z2" s="3"/>
      <c r="AA2" s="3"/>
      <c r="AB2" s="3"/>
      <c r="AC2" s="3"/>
      <c r="AD2" s="3"/>
      <c r="AE2" s="3"/>
      <c r="AF2" s="7"/>
      <c r="AG2" s="2"/>
      <c r="AI2" s="4"/>
    </row>
    <row r="3" spans="2:39" ht="14" x14ac:dyDescent="0.3">
      <c r="B3" s="8"/>
      <c r="F3" s="26" t="s">
        <v>8</v>
      </c>
      <c r="G3" s="26"/>
      <c r="I3" s="26" t="s">
        <v>16</v>
      </c>
      <c r="J3" s="25"/>
      <c r="M3" s="2"/>
      <c r="N3" s="50"/>
      <c r="O3" s="10"/>
      <c r="P3" s="2"/>
      <c r="Q3" s="4"/>
      <c r="S3" s="8"/>
      <c r="U3" s="26" t="s">
        <v>8</v>
      </c>
      <c r="W3" s="26" t="s">
        <v>16</v>
      </c>
      <c r="X3" s="25"/>
      <c r="Y3" s="2"/>
      <c r="AA3" s="2"/>
      <c r="AD3" s="50"/>
      <c r="AE3" s="84"/>
      <c r="AF3" s="48"/>
      <c r="AG3" s="2"/>
      <c r="AI3" s="4"/>
    </row>
    <row r="4" spans="2:39" ht="15.5" x14ac:dyDescent="0.35">
      <c r="B4" s="8"/>
      <c r="F4" s="36" t="s">
        <v>29</v>
      </c>
      <c r="G4" s="36"/>
      <c r="O4" s="10"/>
      <c r="P4" s="2"/>
      <c r="Q4" s="4"/>
      <c r="S4" s="8"/>
      <c r="T4" s="26" t="s">
        <v>1</v>
      </c>
      <c r="U4" s="36" t="s">
        <v>29</v>
      </c>
      <c r="Y4" s="2" t="s">
        <v>1</v>
      </c>
      <c r="AA4" s="50" t="s">
        <v>1</v>
      </c>
      <c r="AB4" s="2"/>
      <c r="AC4" s="2"/>
      <c r="AD4" s="2"/>
      <c r="AE4" s="2"/>
      <c r="AF4" s="10" t="s">
        <v>1</v>
      </c>
      <c r="AG4" s="2"/>
      <c r="AI4" s="4"/>
    </row>
    <row r="5" spans="2:39" ht="14" x14ac:dyDescent="0.3">
      <c r="B5" s="8"/>
      <c r="F5" s="2" t="s">
        <v>30</v>
      </c>
      <c r="G5" s="2"/>
      <c r="M5" s="2" t="s">
        <v>1</v>
      </c>
      <c r="O5" s="10"/>
      <c r="P5" s="2"/>
      <c r="Q5" s="4"/>
      <c r="S5" s="8"/>
      <c r="T5" s="49" t="s">
        <v>1</v>
      </c>
      <c r="U5" s="2" t="s">
        <v>30</v>
      </c>
      <c r="AF5" s="44"/>
      <c r="AG5" s="2"/>
      <c r="AI5" s="4"/>
    </row>
    <row r="6" spans="2:39" ht="15.5" x14ac:dyDescent="0.35">
      <c r="B6" s="8"/>
      <c r="C6" s="2"/>
      <c r="D6" s="9"/>
      <c r="F6" s="471" t="s">
        <v>121</v>
      </c>
      <c r="G6" s="471"/>
      <c r="H6" s="472"/>
      <c r="I6" s="473"/>
      <c r="J6" s="2"/>
      <c r="O6" s="10"/>
      <c r="P6" s="2"/>
      <c r="Q6" s="4"/>
      <c r="S6" s="8"/>
      <c r="T6" s="41" t="s">
        <v>1</v>
      </c>
      <c r="U6" s="41" t="s">
        <v>35</v>
      </c>
      <c r="V6" s="2"/>
      <c r="X6" s="2"/>
      <c r="Y6" s="2"/>
      <c r="AF6" s="48"/>
      <c r="AG6" s="2"/>
      <c r="AI6" s="4"/>
    </row>
    <row r="7" spans="2:39" ht="12" thickBot="1" x14ac:dyDescent="0.3">
      <c r="B7" s="8"/>
      <c r="C7" s="2"/>
      <c r="D7" s="241"/>
      <c r="F7" s="2"/>
      <c r="G7" s="9"/>
      <c r="H7" s="9"/>
      <c r="J7" s="2"/>
      <c r="K7" s="9"/>
      <c r="O7" s="10"/>
      <c r="P7" s="2"/>
      <c r="Q7" s="4"/>
      <c r="S7" s="8"/>
      <c r="V7" s="9"/>
      <c r="Y7" s="9"/>
      <c r="AF7" s="48"/>
      <c r="AG7" s="2"/>
      <c r="AI7" s="4"/>
      <c r="AJ7" s="1" t="s">
        <v>1</v>
      </c>
    </row>
    <row r="8" spans="2:39" ht="72" customHeight="1" thickBot="1" x14ac:dyDescent="0.3">
      <c r="B8" s="11" t="s">
        <v>3</v>
      </c>
      <c r="C8" s="27" t="s">
        <v>9</v>
      </c>
      <c r="D8" s="11" t="s">
        <v>4</v>
      </c>
      <c r="E8" s="12" t="s">
        <v>5</v>
      </c>
      <c r="F8" s="27" t="s">
        <v>6</v>
      </c>
      <c r="G8" s="268" t="s">
        <v>159</v>
      </c>
      <c r="H8" s="27" t="s">
        <v>18</v>
      </c>
      <c r="I8" s="12" t="s">
        <v>24</v>
      </c>
      <c r="J8" s="73" t="s">
        <v>19</v>
      </c>
      <c r="K8" s="29" t="s">
        <v>20</v>
      </c>
      <c r="L8" s="28" t="s">
        <v>21</v>
      </c>
      <c r="M8" s="39" t="s">
        <v>22</v>
      </c>
      <c r="N8" s="12" t="s">
        <v>7</v>
      </c>
      <c r="O8" s="39" t="s">
        <v>23</v>
      </c>
      <c r="P8" s="13"/>
      <c r="Q8" s="4"/>
      <c r="S8" s="11" t="s">
        <v>3</v>
      </c>
      <c r="T8" s="27" t="s">
        <v>9</v>
      </c>
      <c r="U8" s="162" t="s">
        <v>39</v>
      </c>
      <c r="V8" s="163" t="s">
        <v>40</v>
      </c>
      <c r="W8" s="163" t="s">
        <v>41</v>
      </c>
      <c r="X8" s="163" t="s">
        <v>42</v>
      </c>
      <c r="Y8" s="164" t="s">
        <v>43</v>
      </c>
      <c r="Z8" s="85" t="s">
        <v>21</v>
      </c>
      <c r="AA8" s="65" t="s">
        <v>46</v>
      </c>
      <c r="AB8" s="65" t="s">
        <v>7</v>
      </c>
      <c r="AC8" s="85" t="s">
        <v>168</v>
      </c>
      <c r="AD8" s="121" t="s">
        <v>105</v>
      </c>
      <c r="AE8" s="121" t="s">
        <v>104</v>
      </c>
      <c r="AF8" s="39" t="s">
        <v>23</v>
      </c>
      <c r="AG8" s="273"/>
      <c r="AI8" s="4"/>
    </row>
    <row r="9" spans="2:39" s="305" customFormat="1" x14ac:dyDescent="0.25">
      <c r="B9" s="303">
        <v>1</v>
      </c>
      <c r="C9" s="304" t="s">
        <v>10</v>
      </c>
      <c r="D9" s="291">
        <f>'CONSOLIDADO_TOTAL RECAUDO'!D104</f>
        <v>17450228673.349998</v>
      </c>
      <c r="E9" s="292">
        <f>'CONSOLIDADO_TOTAL RECAUDO'!E104</f>
        <v>907089032.16000009</v>
      </c>
      <c r="F9" s="292">
        <f>'CONSOLIDADO_TOTAL RECAUDO'!F104</f>
        <v>511619081.72000003</v>
      </c>
      <c r="G9" s="292">
        <f>'CONSOLIDADO_TOTAL RECAUDO'!G104</f>
        <v>268690518.94</v>
      </c>
      <c r="H9" s="292">
        <f>'CONSOLIDADO_TOTAL RECAUDO'!H104</f>
        <v>3815252256.9000001</v>
      </c>
      <c r="I9" s="292">
        <f>'CONSOLIDADO_TOTAL RECAUDO'!I104</f>
        <v>134368143.47</v>
      </c>
      <c r="J9" s="288">
        <f>'CONSOLIDADO_TOTAL RECAUDO'!J104</f>
        <v>-3589454665.5499997</v>
      </c>
      <c r="K9" s="293">
        <f>'CONSOLIDADO_TOTAL RECAUDO'!K104</f>
        <v>15402664305.709999</v>
      </c>
      <c r="L9" s="294">
        <f>'CONSOLIDADO_TOTAL RECAUDO'!L104</f>
        <v>189185988</v>
      </c>
      <c r="M9" s="293">
        <f>'CONSOLIDADO_TOTAL RECAUDO'!M104</f>
        <v>15213478317.709999</v>
      </c>
      <c r="N9" s="294">
        <f>'CONSOLIDADO_TOTAL RECAUDO'!N104</f>
        <v>25277316.260000002</v>
      </c>
      <c r="O9" s="293">
        <f>'CONSOLIDADO_TOTAL RECAUDO'!O104</f>
        <v>15238755633.969999</v>
      </c>
      <c r="Q9" s="306"/>
      <c r="S9" s="303">
        <v>1</v>
      </c>
      <c r="T9" s="304" t="s">
        <v>10</v>
      </c>
      <c r="U9" s="307">
        <f>'CONSOLIDADO_TOTAL RECAUDO'!U104</f>
        <v>1182502863.3800001</v>
      </c>
      <c r="V9" s="308">
        <f>'CONSOLIDADO_TOTAL RECAUDO'!V104</f>
        <v>1138203111.0299997</v>
      </c>
      <c r="W9" s="308">
        <f>'CONSOLIDADO_TOTAL RECAUDO'!W104</f>
        <v>5384239175.3499994</v>
      </c>
      <c r="X9" s="308">
        <f>'CONSOLIDADO_TOTAL RECAUDO'!X104</f>
        <v>2460648865.29</v>
      </c>
      <c r="Y9" s="309">
        <f>'CONSOLIDADO_TOTAL RECAUDO'!Y104</f>
        <v>219070048.99000001</v>
      </c>
      <c r="Z9" s="310">
        <f>'CONSOLIDADO_TOTAL RECAUDO'!Z104</f>
        <v>-189185988</v>
      </c>
      <c r="AA9" s="311">
        <f>'CONSOLIDADO_TOTAL RECAUDO'!AA104</f>
        <v>-17520.82</v>
      </c>
      <c r="AB9" s="294">
        <f>'CONSOLIDADO_TOTAL RECAUDO'!AB104</f>
        <v>25277316.260000002</v>
      </c>
      <c r="AC9" s="311">
        <f>'CONSOLIDADO_TOTAL RECAUDO'!AC104</f>
        <v>-1592.61</v>
      </c>
      <c r="AD9" s="291">
        <f>'CONSOLIDADO_TOTAL RECAUDO'!AD104</f>
        <v>5018019355.0999994</v>
      </c>
      <c r="AE9" s="291">
        <f>'CONSOLIDADO_TOTAL RECAUDO'!AE104</f>
        <v>1428564689.55</v>
      </c>
      <c r="AF9" s="313">
        <f>'CONSOLIDADO_TOTAL RECAUDO'!AF104</f>
        <v>15238755633.969997</v>
      </c>
      <c r="AG9" s="521">
        <f>'CONSOLIDADO_TOTAL RECAUDO'!AG104</f>
        <v>0</v>
      </c>
      <c r="AH9" s="1" t="s">
        <v>1</v>
      </c>
      <c r="AI9" s="306"/>
      <c r="AM9" s="333"/>
    </row>
    <row r="10" spans="2:39" s="305" customFormat="1" x14ac:dyDescent="0.25">
      <c r="B10" s="314">
        <v>2</v>
      </c>
      <c r="C10" s="315" t="s">
        <v>11</v>
      </c>
      <c r="D10" s="291">
        <f>'CONSOLIDADO_TOTAL RECAUDO'!D105</f>
        <v>20516143969.650002</v>
      </c>
      <c r="E10" s="292">
        <f>'CONSOLIDADO_TOTAL RECAUDO'!E105</f>
        <v>1584179837.8299999</v>
      </c>
      <c r="F10" s="292">
        <f>'CONSOLIDADO_TOTAL RECAUDO'!F105</f>
        <v>890098162.61999989</v>
      </c>
      <c r="G10" s="292">
        <f>'CONSOLIDADO_TOTAL RECAUDO'!G105</f>
        <v>466611469.23999995</v>
      </c>
      <c r="H10" s="292">
        <f>'CONSOLIDADO_TOTAL RECAUDO'!H105</f>
        <v>5815089519.5800009</v>
      </c>
      <c r="I10" s="292">
        <f>'CONSOLIDADO_TOTAL RECAUDO'!I105</f>
        <v>222428730.16</v>
      </c>
      <c r="J10" s="288">
        <f>'CONSOLIDADO_TOTAL RECAUDO'!J105</f>
        <v>-3241193714.1100001</v>
      </c>
      <c r="K10" s="295">
        <f>'CONSOLIDADO_TOTAL RECAUDO'!K105</f>
        <v>14778929964.329998</v>
      </c>
      <c r="L10" s="294">
        <f>'CONSOLIDADO_TOTAL RECAUDO'!L105</f>
        <v>266580256</v>
      </c>
      <c r="M10" s="295">
        <f>'CONSOLIDADO_TOTAL RECAUDO'!M105</f>
        <v>14512349708.329998</v>
      </c>
      <c r="N10" s="294">
        <f>'CONSOLIDADO_TOTAL RECAUDO'!N105</f>
        <v>53454221.280000001</v>
      </c>
      <c r="O10" s="295">
        <f>'CONSOLIDADO_TOTAL RECAUDO'!O105</f>
        <v>14565803929.609999</v>
      </c>
      <c r="Q10" s="306"/>
      <c r="S10" s="314">
        <v>2</v>
      </c>
      <c r="T10" s="315" t="s">
        <v>11</v>
      </c>
      <c r="U10" s="316">
        <f>'CONSOLIDADO_TOTAL RECAUDO'!U105</f>
        <v>1949886300.4400001</v>
      </c>
      <c r="V10" s="317">
        <f>'CONSOLIDADO_TOTAL RECAUDO'!V105</f>
        <v>1945637036.9099996</v>
      </c>
      <c r="W10" s="317">
        <f>'CONSOLIDADO_TOTAL RECAUDO'!W105</f>
        <v>9155886148.1600037</v>
      </c>
      <c r="X10" s="317">
        <f>'CONSOLIDADO_TOTAL RECAUDO'!X105</f>
        <v>3142209362.4400001</v>
      </c>
      <c r="Y10" s="318">
        <f>'CONSOLIDADO_TOTAL RECAUDO'!Y105</f>
        <v>363003578.24000001</v>
      </c>
      <c r="Z10" s="319">
        <f>'CONSOLIDADO_TOTAL RECAUDO'!Z105</f>
        <v>-266580256</v>
      </c>
      <c r="AA10" s="320">
        <f>'CONSOLIDADO_TOTAL RECAUDO'!AA105</f>
        <v>86900.159999999989</v>
      </c>
      <c r="AB10" s="294">
        <f>'CONSOLIDADO_TOTAL RECAUDO'!AB105</f>
        <v>53454221.280000001</v>
      </c>
      <c r="AC10" s="320">
        <f>'CONSOLIDADO_TOTAL RECAUDO'!AC105</f>
        <v>-123.21</v>
      </c>
      <c r="AD10" s="291">
        <f>'CONSOLIDADO_TOTAL RECAUDO'!AD105</f>
        <v>-1777779238.8099999</v>
      </c>
      <c r="AE10" s="291">
        <f>'CONSOLIDADO_TOTAL RECAUDO'!AE105</f>
        <v>-5018972952.9200001</v>
      </c>
      <c r="AF10" s="322">
        <f>'CONSOLIDADO_TOTAL RECAUDO'!AF105</f>
        <v>14565803929.610004</v>
      </c>
      <c r="AG10" s="522">
        <f>'CONSOLIDADO_TOTAL RECAUDO'!AG105</f>
        <v>0</v>
      </c>
      <c r="AH10" s="1" t="s">
        <v>1</v>
      </c>
      <c r="AI10" s="306"/>
      <c r="AM10" s="333"/>
    </row>
    <row r="11" spans="2:39" s="305" customFormat="1" x14ac:dyDescent="0.25">
      <c r="B11" s="314">
        <v>3</v>
      </c>
      <c r="C11" s="315" t="s">
        <v>12</v>
      </c>
      <c r="D11" s="291">
        <f>'CONSOLIDADO_TOTAL RECAUDO'!D106</f>
        <v>15221896467.450003</v>
      </c>
      <c r="E11" s="292">
        <f>'CONSOLIDADO_TOTAL RECAUDO'!E106</f>
        <v>1154816918.0400002</v>
      </c>
      <c r="F11" s="292">
        <f>'CONSOLIDADO_TOTAL RECAUDO'!F106</f>
        <v>650648256.78000009</v>
      </c>
      <c r="G11" s="292">
        <f>'CONSOLIDADO_TOTAL RECAUDO'!G106</f>
        <v>342168927.41999996</v>
      </c>
      <c r="H11" s="292">
        <f>'CONSOLIDADO_TOTAL RECAUDO'!H106</f>
        <v>3419471286.5799999</v>
      </c>
      <c r="I11" s="292">
        <f>'CONSOLIDADO_TOTAL RECAUDO'!I106</f>
        <v>125690282.95999999</v>
      </c>
      <c r="J11" s="288">
        <f>'CONSOLIDADO_TOTAL RECAUDO'!J106</f>
        <v>-853244564.50999999</v>
      </c>
      <c r="K11" s="295">
        <f>'CONSOLIDADO_TOTAL RECAUDO'!K106</f>
        <v>10382345360.180002</v>
      </c>
      <c r="L11" s="294">
        <f>'CONSOLIDADO_TOTAL RECAUDO'!L106</f>
        <v>154788536</v>
      </c>
      <c r="M11" s="295">
        <f>'CONSOLIDADO_TOTAL RECAUDO'!M106</f>
        <v>10227556824.180002</v>
      </c>
      <c r="N11" s="294">
        <f>'CONSOLIDADO_TOTAL RECAUDO'!N106</f>
        <v>14341963.319999998</v>
      </c>
      <c r="O11" s="295">
        <f>'CONSOLIDADO_TOTAL RECAUDO'!O106</f>
        <v>10241898787.500002</v>
      </c>
      <c r="Q11" s="306"/>
      <c r="S11" s="314">
        <v>3</v>
      </c>
      <c r="T11" s="315" t="s">
        <v>12</v>
      </c>
      <c r="U11" s="316">
        <f>'CONSOLIDADO_TOTAL RECAUDO'!U106</f>
        <v>1102335590.3299999</v>
      </c>
      <c r="V11" s="317">
        <f>'CONSOLIDADO_TOTAL RECAUDO'!V106</f>
        <v>1086464208.23</v>
      </c>
      <c r="W11" s="317">
        <f>'CONSOLIDADO_TOTAL RECAUDO'!W106</f>
        <v>5141961247.9000006</v>
      </c>
      <c r="X11" s="317">
        <f>'CONSOLIDADO_TOTAL RECAUDO'!X106</f>
        <v>2685857516.6600003</v>
      </c>
      <c r="Y11" s="318">
        <f>'CONSOLIDADO_TOTAL RECAUDO'!Y106</f>
        <v>205160229.32000002</v>
      </c>
      <c r="Z11" s="319">
        <f>'CONSOLIDADO_TOTAL RECAUDO'!Z106</f>
        <v>-154788536</v>
      </c>
      <c r="AA11" s="320">
        <f>'CONSOLIDADO_TOTAL RECAUDO'!AA106</f>
        <v>246404.58</v>
      </c>
      <c r="AB11" s="294">
        <f>'CONSOLIDADO_TOTAL RECAUDO'!AB106</f>
        <v>14341963.319999998</v>
      </c>
      <c r="AC11" s="320">
        <f>'CONSOLIDADO_TOTAL RECAUDO'!AC106</f>
        <v>-11885.619999999999</v>
      </c>
      <c r="AD11" s="291">
        <f>'CONSOLIDADO_TOTAL RECAUDO'!AD106</f>
        <v>160332048.78000009</v>
      </c>
      <c r="AE11" s="291">
        <f>'CONSOLIDADO_TOTAL RECAUDO'!AE106</f>
        <v>-692912515.7299999</v>
      </c>
      <c r="AF11" s="322">
        <f>'CONSOLIDADO_TOTAL RECAUDO'!AF106</f>
        <v>10241898787.5</v>
      </c>
      <c r="AG11" s="522">
        <f>'CONSOLIDADO_TOTAL RECAUDO'!AG106</f>
        <v>0</v>
      </c>
      <c r="AH11" s="1" t="s">
        <v>1</v>
      </c>
      <c r="AI11" s="306"/>
      <c r="AM11" s="333"/>
    </row>
    <row r="12" spans="2:39" s="305" customFormat="1" x14ac:dyDescent="0.25">
      <c r="B12" s="314">
        <v>4</v>
      </c>
      <c r="C12" s="315" t="s">
        <v>13</v>
      </c>
      <c r="D12" s="291">
        <f>'CONSOLIDADO_TOTAL RECAUDO'!D107</f>
        <v>7179595395.6699991</v>
      </c>
      <c r="E12" s="292">
        <f>'CONSOLIDADO_TOTAL RECAUDO'!E107</f>
        <v>473606043.33000004</v>
      </c>
      <c r="F12" s="292">
        <f>'CONSOLIDADO_TOTAL RECAUDO'!F107</f>
        <v>264596657.70000002</v>
      </c>
      <c r="G12" s="292">
        <f>'CONSOLIDADO_TOTAL RECAUDO'!G107</f>
        <v>136481575.35000002</v>
      </c>
      <c r="H12" s="292">
        <f>'CONSOLIDADO_TOTAL RECAUDO'!H107</f>
        <v>1605437093.76</v>
      </c>
      <c r="I12" s="292">
        <f>'CONSOLIDADO_TOTAL RECAUDO'!I107</f>
        <v>62582401.519999996</v>
      </c>
      <c r="J12" s="288">
        <f>'CONSOLIDADO_TOTAL RECAUDO'!J107</f>
        <v>-699882713.37000012</v>
      </c>
      <c r="K12" s="295">
        <f>'CONSOLIDADO_TOTAL RECAUDO'!K107</f>
        <v>5336774337.3799982</v>
      </c>
      <c r="L12" s="294">
        <f>'CONSOLIDADO_TOTAL RECAUDO'!L107</f>
        <v>120391083</v>
      </c>
      <c r="M12" s="295">
        <f>'CONSOLIDADO_TOTAL RECAUDO'!M107</f>
        <v>5216383254.3799982</v>
      </c>
      <c r="N12" s="294">
        <f>'CONSOLIDADO_TOTAL RECAUDO'!N107</f>
        <v>34128344.93</v>
      </c>
      <c r="O12" s="295">
        <f>'CONSOLIDADO_TOTAL RECAUDO'!O107</f>
        <v>5250511599.3099985</v>
      </c>
      <c r="Q12" s="306"/>
      <c r="S12" s="314">
        <v>4</v>
      </c>
      <c r="T12" s="315" t="s">
        <v>13</v>
      </c>
      <c r="U12" s="316">
        <f>'CONSOLIDADO_TOTAL RECAUDO'!U107</f>
        <v>549450408.40999997</v>
      </c>
      <c r="V12" s="317">
        <f>'CONSOLIDADO_TOTAL RECAUDO'!V107</f>
        <v>548186870.46999991</v>
      </c>
      <c r="W12" s="317">
        <f>'CONSOLIDADO_TOTAL RECAUDO'!W107</f>
        <v>2799232757.4099998</v>
      </c>
      <c r="X12" s="317">
        <f>'CONSOLIDADO_TOTAL RECAUDO'!X107</f>
        <v>1254527099.4500003</v>
      </c>
      <c r="Y12" s="318">
        <f>'CONSOLIDADO_TOTAL RECAUDO'!Y107</f>
        <v>102249901.39999999</v>
      </c>
      <c r="Z12" s="319">
        <f>'CONSOLIDADO_TOTAL RECAUDO'!Z107</f>
        <v>-120391083</v>
      </c>
      <c r="AA12" s="320">
        <f>'CONSOLIDADO_TOTAL RECAUDO'!AA107</f>
        <v>-16263.19</v>
      </c>
      <c r="AB12" s="294">
        <f>'CONSOLIDADO_TOTAL RECAUDO'!AB107</f>
        <v>34128344.93</v>
      </c>
      <c r="AC12" s="320">
        <f>'CONSOLIDADO_TOTAL RECAUDO'!AC107</f>
        <v>-529.09999999999991</v>
      </c>
      <c r="AD12" s="291">
        <f>'CONSOLIDADO_TOTAL RECAUDO'!AD107</f>
        <v>83144092.53000021</v>
      </c>
      <c r="AE12" s="291">
        <f>'CONSOLIDADO_TOTAL RECAUDO'!AE107</f>
        <v>-616738620.83999991</v>
      </c>
      <c r="AF12" s="322">
        <f>'CONSOLIDADO_TOTAL RECAUDO'!AF107</f>
        <v>5250511599.3099995</v>
      </c>
      <c r="AG12" s="522">
        <f>'CONSOLIDADO_TOTAL RECAUDO'!AG107</f>
        <v>0</v>
      </c>
      <c r="AH12" s="1" t="s">
        <v>1</v>
      </c>
      <c r="AI12" s="306"/>
      <c r="AM12" s="333"/>
    </row>
    <row r="13" spans="2:39" s="305" customFormat="1" ht="12" thickBot="1" x14ac:dyDescent="0.3">
      <c r="B13" s="324">
        <v>5</v>
      </c>
      <c r="C13" s="325" t="s">
        <v>14</v>
      </c>
      <c r="D13" s="296">
        <f>'CONSOLIDADO_TOTAL RECAUDO'!D108</f>
        <v>12073344661.59</v>
      </c>
      <c r="E13" s="297">
        <f>'CONSOLIDADO_TOTAL RECAUDO'!E108</f>
        <v>731686441.62</v>
      </c>
      <c r="F13" s="297">
        <f>'CONSOLIDADO_TOTAL RECAUDO'!F108</f>
        <v>412480816.2899999</v>
      </c>
      <c r="G13" s="297">
        <f>'CONSOLIDADO_TOTAL RECAUDO'!G108</f>
        <v>216220999.25</v>
      </c>
      <c r="H13" s="297">
        <f>'CONSOLIDADO_TOTAL RECAUDO'!H108</f>
        <v>2771170796.7799997</v>
      </c>
      <c r="I13" s="297">
        <f>'CONSOLIDADO_TOTAL RECAUDO'!I108</f>
        <v>105860252.47</v>
      </c>
      <c r="J13" s="289">
        <f>'CONSOLIDADO_TOTAL RECAUDO'!J108</f>
        <v>-82959023.660000086</v>
      </c>
      <c r="K13" s="295">
        <f>'CONSOLIDADO_TOTAL RECAUDO'!K108</f>
        <v>7918884378.8400002</v>
      </c>
      <c r="L13" s="294">
        <f>'CONSOLIDADO_TOTAL RECAUDO'!L108</f>
        <v>128990446</v>
      </c>
      <c r="M13" s="298">
        <f>'CONSOLIDADO_TOTAL RECAUDO'!M108</f>
        <v>7789893932.8400002</v>
      </c>
      <c r="N13" s="299">
        <f>'CONSOLIDADO_TOTAL RECAUDO'!N108</f>
        <v>15891735.880000001</v>
      </c>
      <c r="O13" s="298">
        <f>'CONSOLIDADO_TOTAL RECAUDO'!O108</f>
        <v>7805785668.7200003</v>
      </c>
      <c r="Q13" s="306"/>
      <c r="S13" s="324">
        <v>5</v>
      </c>
      <c r="T13" s="325" t="s">
        <v>14</v>
      </c>
      <c r="U13" s="296">
        <f>'CONSOLIDADO_TOTAL RECAUDO'!U108</f>
        <v>928205240.1500001</v>
      </c>
      <c r="V13" s="297">
        <f>'CONSOLIDADO_TOTAL RECAUDO'!V108</f>
        <v>911180502.11000001</v>
      </c>
      <c r="W13" s="297">
        <f>'CONSOLIDADO_TOTAL RECAUDO'!W108</f>
        <v>4681131561.2200003</v>
      </c>
      <c r="X13" s="297">
        <f>'CONSOLIDADO_TOTAL RECAUDO'!X108</f>
        <v>2173851295.3300004</v>
      </c>
      <c r="Y13" s="289">
        <f>'CONSOLIDADO_TOTAL RECAUDO'!Y108</f>
        <v>172729906.53999999</v>
      </c>
      <c r="Z13" s="319">
        <f>'CONSOLIDADO_TOTAL RECAUDO'!Z108</f>
        <v>-128990446</v>
      </c>
      <c r="AA13" s="320">
        <f>'CONSOLIDADO_TOTAL RECAUDO'!AA108</f>
        <v>-147744.56999999998</v>
      </c>
      <c r="AB13" s="294">
        <f>'CONSOLIDADO_TOTAL RECAUDO'!AB108</f>
        <v>15891735.880000001</v>
      </c>
      <c r="AC13" s="320">
        <f>'CONSOLIDADO_TOTAL RECAUDO'!AC108</f>
        <v>-32.979999999999997</v>
      </c>
      <c r="AD13" s="291">
        <f>'CONSOLIDADO_TOTAL RECAUDO'!AD108</f>
        <v>-948066348.95999992</v>
      </c>
      <c r="AE13" s="291">
        <f>'CONSOLIDADO_TOTAL RECAUDO'!AE108</f>
        <v>-1031025372.62</v>
      </c>
      <c r="AF13" s="322">
        <f>'CONSOLIDADO_TOTAL RECAUDO'!AF108</f>
        <v>7805785668.7200022</v>
      </c>
      <c r="AG13" s="523">
        <f>'CONSOLIDADO_TOTAL RECAUDO'!AG108</f>
        <v>0</v>
      </c>
      <c r="AH13" s="1" t="s">
        <v>1</v>
      </c>
      <c r="AI13" s="306"/>
      <c r="AM13" s="333"/>
    </row>
    <row r="14" spans="2:39" s="305" customFormat="1" ht="13.5" thickBot="1" x14ac:dyDescent="0.35">
      <c r="B14" s="327"/>
      <c r="C14" s="328" t="s">
        <v>2</v>
      </c>
      <c r="D14" s="290">
        <f>'CONSOLIDADO_TOTAL RECAUDO'!D109</f>
        <v>72441209167.710007</v>
      </c>
      <c r="E14" s="290">
        <f>'CONSOLIDADO_TOTAL RECAUDO'!E109</f>
        <v>4851378272.9799995</v>
      </c>
      <c r="F14" s="290">
        <f>'CONSOLIDADO_TOTAL RECAUDO'!F109</f>
        <v>2729442975.1099997</v>
      </c>
      <c r="G14" s="290">
        <f>'CONSOLIDADO_TOTAL RECAUDO'!G109</f>
        <v>1430173490.1999998</v>
      </c>
      <c r="H14" s="290">
        <f>'CONSOLIDADO_TOTAL RECAUDO'!H109</f>
        <v>17426420953.600002</v>
      </c>
      <c r="I14" s="290">
        <f>'CONSOLIDADO_TOTAL RECAUDO'!I109</f>
        <v>650929810.58000004</v>
      </c>
      <c r="J14" s="290">
        <f>'CONSOLIDADO_TOTAL RECAUDO'!J109</f>
        <v>-8466734681.1999998</v>
      </c>
      <c r="K14" s="300">
        <f>'CONSOLIDADO_TOTAL RECAUDO'!K109</f>
        <v>53819598346.440002</v>
      </c>
      <c r="L14" s="301">
        <f>'CONSOLIDADO_TOTAL RECAUDO'!L109</f>
        <v>859936309</v>
      </c>
      <c r="M14" s="302">
        <f>'CONSOLIDADO_TOTAL RECAUDO'!M109</f>
        <v>52959662037.440002</v>
      </c>
      <c r="N14" s="301">
        <f>'CONSOLIDADO_TOTAL RECAUDO'!N109</f>
        <v>143093581.66999999</v>
      </c>
      <c r="O14" s="302">
        <f>'CONSOLIDADO_TOTAL RECAUDO'!O109</f>
        <v>53102755619.110001</v>
      </c>
      <c r="P14" s="329"/>
      <c r="Q14" s="306"/>
      <c r="S14" s="327"/>
      <c r="T14" s="328" t="s">
        <v>2</v>
      </c>
      <c r="U14" s="330">
        <f>'CONSOLIDADO_TOTAL RECAUDO'!U109</f>
        <v>5712380402.710001</v>
      </c>
      <c r="V14" s="330">
        <f>'CONSOLIDADO_TOTAL RECAUDO'!V109</f>
        <v>5629671728.749999</v>
      </c>
      <c r="W14" s="330">
        <f>'CONSOLIDADO_TOTAL RECAUDO'!W109</f>
        <v>27162450890.040005</v>
      </c>
      <c r="X14" s="330">
        <f>'CONSOLIDADO_TOTAL RECAUDO'!X109</f>
        <v>11717094139.17</v>
      </c>
      <c r="Y14" s="330">
        <f>'CONSOLIDADO_TOTAL RECAUDO'!Y109</f>
        <v>1062213664.49</v>
      </c>
      <c r="Z14" s="290">
        <f>'CONSOLIDADO_TOTAL RECAUDO'!Z109</f>
        <v>-859936309</v>
      </c>
      <c r="AA14" s="290">
        <f>'CONSOLIDADO_TOTAL RECAUDO'!AA109</f>
        <v>151776.16</v>
      </c>
      <c r="AB14" s="290">
        <f>'CONSOLIDADO_TOTAL RECAUDO'!AB109</f>
        <v>143093581.66999999</v>
      </c>
      <c r="AC14" s="290">
        <f>'CONSOLIDADO_TOTAL RECAUDO'!AC109</f>
        <v>-14163.519999999999</v>
      </c>
      <c r="AD14" s="290">
        <f>'CONSOLIDADO_TOTAL RECAUDO'!AD109</f>
        <v>2535649908.6399999</v>
      </c>
      <c r="AE14" s="290">
        <f>'CONSOLIDADO_TOTAL RECAUDO'!AE109</f>
        <v>-5931084772.5599995</v>
      </c>
      <c r="AF14" s="331">
        <f>'CONSOLIDADO_TOTAL RECAUDO'!AF109</f>
        <v>53102755619.110001</v>
      </c>
      <c r="AG14" s="524">
        <f>'CONSOLIDADO_TOTAL RECAUDO'!AG109</f>
        <v>0</v>
      </c>
      <c r="AH14" s="1" t="s">
        <v>1</v>
      </c>
      <c r="AI14" s="306"/>
      <c r="AM14" s="333"/>
    </row>
    <row r="15" spans="2:39" x14ac:dyDescent="0.25">
      <c r="B15" s="2"/>
      <c r="C15" s="2"/>
      <c r="D15" s="448"/>
      <c r="E15" s="448"/>
      <c r="F15" s="448"/>
      <c r="G15" s="448"/>
      <c r="H15" s="448"/>
      <c r="I15" s="448"/>
      <c r="K15" s="448"/>
      <c r="L15" s="448"/>
      <c r="M15" s="448"/>
      <c r="N15" s="448"/>
      <c r="O15" s="448"/>
      <c r="Q15" s="4"/>
      <c r="S15" s="2"/>
      <c r="T15" s="2"/>
      <c r="U15" s="448"/>
      <c r="V15" s="448"/>
      <c r="W15" s="448"/>
      <c r="X15" s="448"/>
      <c r="Y15" s="448"/>
      <c r="AF15" s="448"/>
      <c r="AH15" s="1" t="s">
        <v>1</v>
      </c>
      <c r="AI15" s="4"/>
    </row>
    <row r="16" spans="2:39" x14ac:dyDescent="0.25">
      <c r="B16" s="2"/>
      <c r="C16" s="2" t="s">
        <v>1</v>
      </c>
      <c r="D16" s="549"/>
      <c r="E16" s="549"/>
      <c r="F16" s="549"/>
      <c r="G16" s="549"/>
      <c r="H16" s="549"/>
      <c r="I16" s="549"/>
      <c r="K16" s="549"/>
      <c r="L16" s="549"/>
      <c r="M16" s="549"/>
      <c r="N16" s="549"/>
      <c r="O16" s="549"/>
      <c r="Q16" s="4"/>
      <c r="T16" s="1" t="s">
        <v>1</v>
      </c>
      <c r="U16" s="1" t="s">
        <v>1</v>
      </c>
      <c r="V16" s="1" t="s">
        <v>1</v>
      </c>
      <c r="W16" s="1" t="s">
        <v>1</v>
      </c>
      <c r="X16" s="1" t="s">
        <v>1</v>
      </c>
      <c r="Y16" s="1" t="s">
        <v>1</v>
      </c>
      <c r="Z16" s="1" t="s">
        <v>1</v>
      </c>
      <c r="AA16" s="1" t="s">
        <v>1</v>
      </c>
      <c r="AB16" s="1" t="s">
        <v>1</v>
      </c>
      <c r="AC16" s="1" t="s">
        <v>1</v>
      </c>
      <c r="AD16" s="1" t="s">
        <v>1</v>
      </c>
      <c r="AE16" s="1" t="s">
        <v>1</v>
      </c>
      <c r="AF16" s="1" t="s">
        <v>1</v>
      </c>
      <c r="AG16" s="1" t="s">
        <v>1</v>
      </c>
      <c r="AH16" s="1" t="s">
        <v>1</v>
      </c>
      <c r="AI16" s="4"/>
    </row>
    <row r="17" spans="1:39" x14ac:dyDescent="0.25">
      <c r="A17" s="4"/>
      <c r="B17" s="34"/>
      <c r="C17" s="34"/>
      <c r="D17" s="474"/>
      <c r="E17" s="474"/>
      <c r="F17" s="474"/>
      <c r="G17" s="474"/>
      <c r="H17" s="474"/>
      <c r="I17" s="474"/>
      <c r="J17" s="4"/>
      <c r="K17" s="474"/>
      <c r="L17" s="474"/>
      <c r="M17" s="474"/>
      <c r="N17" s="474"/>
      <c r="O17" s="47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  <c r="AC17" s="4"/>
      <c r="AD17" s="4"/>
      <c r="AE17" s="4"/>
      <c r="AF17" s="4"/>
      <c r="AG17" s="4"/>
      <c r="AH17" s="4"/>
      <c r="AI17" s="4"/>
    </row>
    <row r="18" spans="1:39" ht="12" thickBot="1" x14ac:dyDescent="0.3">
      <c r="Q18" s="4"/>
      <c r="AI18" s="4"/>
    </row>
    <row r="19" spans="1:39" x14ac:dyDescent="0.25">
      <c r="B19" s="5"/>
      <c r="C19" s="3" t="s">
        <v>1</v>
      </c>
      <c r="D19" s="6" t="s">
        <v>1</v>
      </c>
      <c r="E19" s="3"/>
      <c r="F19" s="3"/>
      <c r="G19" s="3"/>
      <c r="H19" s="3" t="s">
        <v>1</v>
      </c>
      <c r="I19" s="3"/>
      <c r="J19" s="3"/>
      <c r="K19" s="3"/>
      <c r="L19" s="3"/>
      <c r="M19" s="3"/>
      <c r="N19" s="3"/>
      <c r="O19" s="7"/>
      <c r="P19" s="2"/>
      <c r="Q19" s="4"/>
      <c r="S19" s="5"/>
      <c r="T19" s="3" t="s">
        <v>1</v>
      </c>
      <c r="U19" s="6" t="s">
        <v>1</v>
      </c>
      <c r="V19" s="3"/>
      <c r="W19" s="3"/>
      <c r="X19" s="3" t="s">
        <v>1</v>
      </c>
      <c r="Y19" s="3"/>
      <c r="Z19" s="3"/>
      <c r="AA19" s="3"/>
      <c r="AB19" s="3"/>
      <c r="AC19" s="3"/>
      <c r="AD19" s="3"/>
      <c r="AE19" s="3"/>
      <c r="AF19" s="7"/>
      <c r="AG19" s="2"/>
      <c r="AI19" s="4"/>
    </row>
    <row r="20" spans="1:39" ht="14" x14ac:dyDescent="0.3">
      <c r="B20" s="8"/>
      <c r="F20" s="26" t="s">
        <v>8</v>
      </c>
      <c r="G20" s="26"/>
      <c r="I20" s="26" t="s">
        <v>16</v>
      </c>
      <c r="J20" s="25"/>
      <c r="M20" s="2"/>
      <c r="N20" s="50"/>
      <c r="O20" s="10"/>
      <c r="P20" s="2"/>
      <c r="Q20" s="4"/>
      <c r="S20" s="8"/>
      <c r="U20" s="26" t="s">
        <v>8</v>
      </c>
      <c r="W20" s="26" t="s">
        <v>16</v>
      </c>
      <c r="X20" s="25"/>
      <c r="Y20" s="2"/>
      <c r="AA20" s="2"/>
      <c r="AD20" s="50"/>
      <c r="AE20" s="84"/>
      <c r="AF20" s="48"/>
      <c r="AG20" s="2"/>
      <c r="AI20" s="4"/>
    </row>
    <row r="21" spans="1:39" ht="15.5" x14ac:dyDescent="0.35">
      <c r="B21" s="8"/>
      <c r="F21" s="36" t="s">
        <v>29</v>
      </c>
      <c r="G21" s="36"/>
      <c r="O21" s="10"/>
      <c r="P21" s="2"/>
      <c r="Q21" s="4"/>
      <c r="S21" s="8"/>
      <c r="T21" s="26" t="s">
        <v>1</v>
      </c>
      <c r="U21" s="36" t="s">
        <v>29</v>
      </c>
      <c r="Y21" s="2" t="s">
        <v>1</v>
      </c>
      <c r="AA21" s="50"/>
      <c r="AB21" s="2"/>
      <c r="AC21" s="2"/>
      <c r="AD21" s="2"/>
      <c r="AE21" s="2"/>
      <c r="AF21" s="10" t="s">
        <v>1</v>
      </c>
      <c r="AG21" s="2"/>
      <c r="AI21" s="4"/>
    </row>
    <row r="22" spans="1:39" ht="14" x14ac:dyDescent="0.3">
      <c r="B22" s="8"/>
      <c r="F22" s="2" t="s">
        <v>30</v>
      </c>
      <c r="G22" s="2"/>
      <c r="M22" s="2" t="s">
        <v>1</v>
      </c>
      <c r="O22" s="10"/>
      <c r="P22" s="2"/>
      <c r="Q22" s="4"/>
      <c r="S22" s="8"/>
      <c r="T22" s="49" t="s">
        <v>1</v>
      </c>
      <c r="U22" s="2" t="s">
        <v>30</v>
      </c>
      <c r="AF22" s="44"/>
      <c r="AG22" s="2"/>
      <c r="AI22" s="4"/>
    </row>
    <row r="23" spans="1:39" ht="15.5" x14ac:dyDescent="0.35">
      <c r="B23" s="8"/>
      <c r="C23" s="2"/>
      <c r="D23" s="9"/>
      <c r="F23" s="475" t="s">
        <v>187</v>
      </c>
      <c r="G23" s="475"/>
      <c r="H23" s="34"/>
      <c r="I23" s="4"/>
      <c r="J23" s="34"/>
      <c r="O23" s="10"/>
      <c r="P23" s="2"/>
      <c r="Q23" s="4"/>
      <c r="S23" s="8"/>
      <c r="T23" s="41" t="s">
        <v>1</v>
      </c>
      <c r="U23" s="41" t="s">
        <v>35</v>
      </c>
      <c r="V23" s="2"/>
      <c r="X23" s="2"/>
      <c r="Y23" s="2"/>
      <c r="AF23" s="48"/>
      <c r="AG23" s="2"/>
      <c r="AI23" s="4"/>
    </row>
    <row r="24" spans="1:39" ht="12" thickBot="1" x14ac:dyDescent="0.3">
      <c r="B24" s="8"/>
      <c r="C24" s="2"/>
      <c r="D24" s="241"/>
      <c r="F24" s="2"/>
      <c r="G24" s="9"/>
      <c r="H24" s="9"/>
      <c r="J24" s="2"/>
      <c r="K24" s="9"/>
      <c r="O24" s="10"/>
      <c r="P24" s="2"/>
      <c r="Q24" s="4"/>
      <c r="S24" s="8"/>
      <c r="V24" s="9"/>
      <c r="Y24" s="9"/>
      <c r="AF24" s="48"/>
      <c r="AG24" s="2"/>
      <c r="AI24" s="4"/>
      <c r="AJ24" s="1" t="s">
        <v>1</v>
      </c>
    </row>
    <row r="25" spans="1:39" ht="69.5" thickBot="1" x14ac:dyDescent="0.3">
      <c r="B25" s="11" t="s">
        <v>3</v>
      </c>
      <c r="C25" s="27" t="s">
        <v>9</v>
      </c>
      <c r="D25" s="11" t="s">
        <v>4</v>
      </c>
      <c r="E25" s="12" t="s">
        <v>5</v>
      </c>
      <c r="F25" s="12" t="s">
        <v>6</v>
      </c>
      <c r="G25" s="27" t="s">
        <v>159</v>
      </c>
      <c r="H25" s="12" t="s">
        <v>18</v>
      </c>
      <c r="I25" s="12" t="s">
        <v>24</v>
      </c>
      <c r="J25" s="73" t="s">
        <v>19</v>
      </c>
      <c r="K25" s="29" t="s">
        <v>20</v>
      </c>
      <c r="L25" s="28" t="s">
        <v>21</v>
      </c>
      <c r="M25" s="39" t="s">
        <v>22</v>
      </c>
      <c r="N25" s="12" t="s">
        <v>7</v>
      </c>
      <c r="O25" s="39" t="s">
        <v>23</v>
      </c>
      <c r="P25" s="13"/>
      <c r="Q25" s="4"/>
      <c r="S25" s="11" t="s">
        <v>3</v>
      </c>
      <c r="T25" s="27" t="s">
        <v>9</v>
      </c>
      <c r="U25" s="80" t="s">
        <v>39</v>
      </c>
      <c r="V25" s="51" t="s">
        <v>40</v>
      </c>
      <c r="W25" s="51" t="s">
        <v>41</v>
      </c>
      <c r="X25" s="51" t="s">
        <v>42</v>
      </c>
      <c r="Y25" s="81" t="s">
        <v>43</v>
      </c>
      <c r="Z25" s="85" t="s">
        <v>21</v>
      </c>
      <c r="AA25" s="65" t="s">
        <v>46</v>
      </c>
      <c r="AB25" s="65" t="s">
        <v>7</v>
      </c>
      <c r="AC25" s="85" t="s">
        <v>168</v>
      </c>
      <c r="AD25" s="121" t="s">
        <v>105</v>
      </c>
      <c r="AE25" s="121" t="s">
        <v>104</v>
      </c>
      <c r="AF25" s="39" t="s">
        <v>23</v>
      </c>
      <c r="AG25" s="13"/>
      <c r="AI25" s="4"/>
    </row>
    <row r="26" spans="1:39" s="305" customFormat="1" x14ac:dyDescent="0.25">
      <c r="B26" s="303">
        <v>1</v>
      </c>
      <c r="C26" s="304" t="s">
        <v>10</v>
      </c>
      <c r="D26" s="291">
        <f>'REMUNERACION Reciprocidad EAAB'!D104</f>
        <v>0</v>
      </c>
      <c r="E26" s="292">
        <f>'REMUNERACION Reciprocidad EAAB'!E104</f>
        <v>0</v>
      </c>
      <c r="F26" s="292">
        <f>'REMUNERACION Reciprocidad EAAB'!F104</f>
        <v>0</v>
      </c>
      <c r="G26" s="292">
        <f>'REMUNERACION Reciprocidad EAAB'!G104</f>
        <v>0</v>
      </c>
      <c r="H26" s="292">
        <f>'REMUNERACION Reciprocidad EAAB'!H104</f>
        <v>0</v>
      </c>
      <c r="I26" s="292">
        <f>'REMUNERACION Reciprocidad EAAB'!I104</f>
        <v>0</v>
      </c>
      <c r="J26" s="288">
        <f>'REMUNERACION Reciprocidad EAAB'!J104</f>
        <v>0</v>
      </c>
      <c r="K26" s="293">
        <f>'REMUNERACION Reciprocidad EAAB'!K104</f>
        <v>0</v>
      </c>
      <c r="L26" s="294">
        <f>'REMUNERACION Reciprocidad EAAB'!L104</f>
        <v>0</v>
      </c>
      <c r="M26" s="293">
        <f>'REMUNERACION Reciprocidad EAAB'!M104</f>
        <v>0</v>
      </c>
      <c r="N26" s="294">
        <f>'REMUNERACION Reciprocidad EAAB'!N104</f>
        <v>0</v>
      </c>
      <c r="O26" s="293">
        <f>'REMUNERACION Reciprocidad EAAB'!O104</f>
        <v>0</v>
      </c>
      <c r="Q26" s="306"/>
      <c r="S26" s="303">
        <v>1</v>
      </c>
      <c r="T26" s="304" t="s">
        <v>10</v>
      </c>
      <c r="U26" s="307">
        <f>'REMUNERACION Reciprocidad EAAB'!U104</f>
        <v>0</v>
      </c>
      <c r="V26" s="308">
        <f>'REMUNERACION Reciprocidad EAAB'!V104</f>
        <v>0</v>
      </c>
      <c r="W26" s="308">
        <f>'REMUNERACION Reciprocidad EAAB'!W104</f>
        <v>0</v>
      </c>
      <c r="X26" s="308">
        <f>'REMUNERACION Reciprocidad EAAB'!X104</f>
        <v>0</v>
      </c>
      <c r="Y26" s="309">
        <f>'REMUNERACION Reciprocidad EAAB'!Y104</f>
        <v>0</v>
      </c>
      <c r="Z26" s="310">
        <f>'REMUNERACION Reciprocidad EAAB'!Z104</f>
        <v>0</v>
      </c>
      <c r="AA26" s="311">
        <f>'REMUNERACION Reciprocidad EAAB'!AA104</f>
        <v>0</v>
      </c>
      <c r="AB26" s="294">
        <f>'REMUNERACION Reciprocidad EAAB'!AB104</f>
        <v>0</v>
      </c>
      <c r="AC26" s="311">
        <f>'REMUNERACION Reciprocidad EAAB'!AC104</f>
        <v>0</v>
      </c>
      <c r="AD26" s="291">
        <f>'REMUNERACION Reciprocidad EAAB'!AD104</f>
        <v>0</v>
      </c>
      <c r="AE26" s="291">
        <f>'REMUNERACION Reciprocidad EAAB'!AE104</f>
        <v>0</v>
      </c>
      <c r="AF26" s="313">
        <f>'REMUNERACION Reciprocidad EAAB'!AF104</f>
        <v>0</v>
      </c>
      <c r="AG26" s="521">
        <f>'REMUNERACION Reciprocidad EAAB'!AG104</f>
        <v>0</v>
      </c>
      <c r="AH26" s="1"/>
      <c r="AI26" s="306"/>
      <c r="AM26" s="333"/>
    </row>
    <row r="27" spans="1:39" s="305" customFormat="1" x14ac:dyDescent="0.25">
      <c r="B27" s="314">
        <v>2</v>
      </c>
      <c r="C27" s="315" t="s">
        <v>11</v>
      </c>
      <c r="D27" s="291">
        <f>'REMUNERACION Reciprocidad EAAB'!D105</f>
        <v>47041595.059999995</v>
      </c>
      <c r="E27" s="292">
        <f>'REMUNERACION Reciprocidad EAAB'!E105</f>
        <v>4095120.52</v>
      </c>
      <c r="F27" s="292">
        <f>'REMUNERACION Reciprocidad EAAB'!F105</f>
        <v>2274787</v>
      </c>
      <c r="G27" s="292">
        <f>'REMUNERACION Reciprocidad EAAB'!G105</f>
        <v>1028626.41</v>
      </c>
      <c r="H27" s="292">
        <f>'REMUNERACION Reciprocidad EAAB'!H105</f>
        <v>18268033.049999997</v>
      </c>
      <c r="I27" s="292">
        <f>'REMUNERACION Reciprocidad EAAB'!I105</f>
        <v>535415.67000000004</v>
      </c>
      <c r="J27" s="288">
        <f>'REMUNERACION Reciprocidad EAAB'!J105</f>
        <v>0</v>
      </c>
      <c r="K27" s="295">
        <f>'REMUNERACION Reciprocidad EAAB'!K105</f>
        <v>20839612.409999996</v>
      </c>
      <c r="L27" s="294">
        <f>'REMUNERACION Reciprocidad EAAB'!L105</f>
        <v>0</v>
      </c>
      <c r="M27" s="295">
        <f>'REMUNERACION Reciprocidad EAAB'!M105</f>
        <v>20839612.409999996</v>
      </c>
      <c r="N27" s="294">
        <f>'REMUNERACION Reciprocidad EAAB'!N105</f>
        <v>0</v>
      </c>
      <c r="O27" s="295">
        <f>'REMUNERACION Reciprocidad EAAB'!O105</f>
        <v>20839612.409999996</v>
      </c>
      <c r="Q27" s="306"/>
      <c r="S27" s="314">
        <v>2</v>
      </c>
      <c r="T27" s="315" t="s">
        <v>11</v>
      </c>
      <c r="U27" s="316">
        <f>'REMUNERACION Reciprocidad EAAB'!U105</f>
        <v>4831656.13</v>
      </c>
      <c r="V27" s="317">
        <f>'REMUNERACION Reciprocidad EAAB'!V105</f>
        <v>5407389.7400000002</v>
      </c>
      <c r="W27" s="317">
        <f>'REMUNERACION Reciprocidad EAAB'!W105</f>
        <v>20054944.010000002</v>
      </c>
      <c r="X27" s="317">
        <f>'REMUNERACION Reciprocidad EAAB'!X105</f>
        <v>11013548.23</v>
      </c>
      <c r="Y27" s="318">
        <f>'REMUNERACION Reciprocidad EAAB'!Y105</f>
        <v>712165.05</v>
      </c>
      <c r="Z27" s="319">
        <f>'REMUNERACION Reciprocidad EAAB'!Z105</f>
        <v>0</v>
      </c>
      <c r="AA27" s="320">
        <f>'REMUNERACION Reciprocidad EAAB'!AA105</f>
        <v>42.75</v>
      </c>
      <c r="AB27" s="294">
        <f>'REMUNERACION Reciprocidad EAAB'!AB105</f>
        <v>0</v>
      </c>
      <c r="AC27" s="320">
        <f>'REMUNERACION Reciprocidad EAAB'!AC105</f>
        <v>-7.0000000000000007E-2</v>
      </c>
      <c r="AD27" s="291">
        <f>'REMUNERACION Reciprocidad EAAB'!AD105</f>
        <v>-21180133.430000003</v>
      </c>
      <c r="AE27" s="291">
        <f>'REMUNERACION Reciprocidad EAAB'!AE105</f>
        <v>-21180133.430000003</v>
      </c>
      <c r="AF27" s="322">
        <f>'REMUNERACION Reciprocidad EAAB'!AF105</f>
        <v>20839612.409999993</v>
      </c>
      <c r="AG27" s="522">
        <f>'REMUNERACION Reciprocidad EAAB'!AG105</f>
        <v>0</v>
      </c>
      <c r="AH27" s="1"/>
      <c r="AI27" s="306"/>
      <c r="AM27" s="333"/>
    </row>
    <row r="28" spans="1:39" s="305" customFormat="1" x14ac:dyDescent="0.25">
      <c r="B28" s="314">
        <v>3</v>
      </c>
      <c r="C28" s="315" t="s">
        <v>12</v>
      </c>
      <c r="D28" s="291">
        <f>'REMUNERACION Reciprocidad EAAB'!D106</f>
        <v>0</v>
      </c>
      <c r="E28" s="292">
        <f>'REMUNERACION Reciprocidad EAAB'!E106</f>
        <v>0</v>
      </c>
      <c r="F28" s="292">
        <f>'REMUNERACION Reciprocidad EAAB'!F106</f>
        <v>0</v>
      </c>
      <c r="G28" s="292">
        <f>'REMUNERACION Reciprocidad EAAB'!G106</f>
        <v>0</v>
      </c>
      <c r="H28" s="292">
        <f>'REMUNERACION Reciprocidad EAAB'!H106</f>
        <v>0</v>
      </c>
      <c r="I28" s="292">
        <f>'REMUNERACION Reciprocidad EAAB'!I106</f>
        <v>0</v>
      </c>
      <c r="J28" s="288">
        <f>'REMUNERACION Reciprocidad EAAB'!J106</f>
        <v>0</v>
      </c>
      <c r="K28" s="295">
        <f>'REMUNERACION Reciprocidad EAAB'!K106</f>
        <v>0</v>
      </c>
      <c r="L28" s="294">
        <f>'REMUNERACION Reciprocidad EAAB'!L106</f>
        <v>0</v>
      </c>
      <c r="M28" s="295">
        <f>'REMUNERACION Reciprocidad EAAB'!M106</f>
        <v>0</v>
      </c>
      <c r="N28" s="294">
        <f>'REMUNERACION Reciprocidad EAAB'!N106</f>
        <v>0</v>
      </c>
      <c r="O28" s="295">
        <f>'REMUNERACION Reciprocidad EAAB'!O106</f>
        <v>0</v>
      </c>
      <c r="Q28" s="306"/>
      <c r="S28" s="314">
        <v>3</v>
      </c>
      <c r="T28" s="315" t="s">
        <v>12</v>
      </c>
      <c r="U28" s="316">
        <f>'REMUNERACION Reciprocidad EAAB'!U106</f>
        <v>0</v>
      </c>
      <c r="V28" s="317">
        <f>'REMUNERACION Reciprocidad EAAB'!V106</f>
        <v>0</v>
      </c>
      <c r="W28" s="317">
        <f>'REMUNERACION Reciprocidad EAAB'!W106</f>
        <v>0</v>
      </c>
      <c r="X28" s="317">
        <f>'REMUNERACION Reciprocidad EAAB'!X106</f>
        <v>0</v>
      </c>
      <c r="Y28" s="318">
        <f>'REMUNERACION Reciprocidad EAAB'!Y106</f>
        <v>0</v>
      </c>
      <c r="Z28" s="319">
        <f>'REMUNERACION Reciprocidad EAAB'!Z106</f>
        <v>0</v>
      </c>
      <c r="AA28" s="320">
        <f>'REMUNERACION Reciprocidad EAAB'!AA106</f>
        <v>0</v>
      </c>
      <c r="AB28" s="294">
        <f>'REMUNERACION Reciprocidad EAAB'!AB106</f>
        <v>0</v>
      </c>
      <c r="AC28" s="320">
        <f>'REMUNERACION Reciprocidad EAAB'!AC106</f>
        <v>0</v>
      </c>
      <c r="AD28" s="291">
        <f>'REMUNERACION Reciprocidad EAAB'!AD106</f>
        <v>0</v>
      </c>
      <c r="AE28" s="291">
        <f>'REMUNERACION Reciprocidad EAAB'!AE106</f>
        <v>0</v>
      </c>
      <c r="AF28" s="322">
        <f>'REMUNERACION Reciprocidad EAAB'!AF106</f>
        <v>0</v>
      </c>
      <c r="AG28" s="522">
        <f>'REMUNERACION Reciprocidad EAAB'!AG106</f>
        <v>0</v>
      </c>
      <c r="AH28" s="1"/>
      <c r="AI28" s="306"/>
      <c r="AM28" s="333"/>
    </row>
    <row r="29" spans="1:39" s="305" customFormat="1" x14ac:dyDescent="0.25">
      <c r="B29" s="314">
        <v>4</v>
      </c>
      <c r="C29" s="315" t="s">
        <v>13</v>
      </c>
      <c r="D29" s="291">
        <f>'REMUNERACION Reciprocidad EAAB'!D107</f>
        <v>71467043.25999999</v>
      </c>
      <c r="E29" s="292">
        <f>'REMUNERACION Reciprocidad EAAB'!E107</f>
        <v>9337119.6800000016</v>
      </c>
      <c r="F29" s="292">
        <f>'REMUNERACION Reciprocidad EAAB'!F107</f>
        <v>5227614.95</v>
      </c>
      <c r="G29" s="292">
        <f>'REMUNERACION Reciprocidad EAAB'!G107</f>
        <v>1095011.2200000002</v>
      </c>
      <c r="H29" s="292">
        <f>'REMUNERACION Reciprocidad EAAB'!H107</f>
        <v>8931941.6099999994</v>
      </c>
      <c r="I29" s="292">
        <f>'REMUNERACION Reciprocidad EAAB'!I107</f>
        <v>265264.06</v>
      </c>
      <c r="J29" s="288">
        <f>'REMUNERACION Reciprocidad EAAB'!J107</f>
        <v>0</v>
      </c>
      <c r="K29" s="295">
        <f>'REMUNERACION Reciprocidad EAAB'!K107</f>
        <v>46610091.739999987</v>
      </c>
      <c r="L29" s="294">
        <f>'REMUNERACION Reciprocidad EAAB'!L107</f>
        <v>0</v>
      </c>
      <c r="M29" s="295">
        <f>'REMUNERACION Reciprocidad EAAB'!M107</f>
        <v>46610091.739999987</v>
      </c>
      <c r="N29" s="294">
        <f>'REMUNERACION Reciprocidad EAAB'!N107</f>
        <v>0</v>
      </c>
      <c r="O29" s="295">
        <f>'REMUNERACION Reciprocidad EAAB'!O107</f>
        <v>46610091.739999987</v>
      </c>
      <c r="Q29" s="306"/>
      <c r="S29" s="314">
        <v>4</v>
      </c>
      <c r="T29" s="315" t="s">
        <v>13</v>
      </c>
      <c r="U29" s="316">
        <f>'REMUNERACION Reciprocidad EAAB'!U107</f>
        <v>2506113.27</v>
      </c>
      <c r="V29" s="317">
        <f>'REMUNERACION Reciprocidad EAAB'!V107</f>
        <v>2730225.84</v>
      </c>
      <c r="W29" s="317">
        <f>'REMUNERACION Reciprocidad EAAB'!W107</f>
        <v>12255014.02</v>
      </c>
      <c r="X29" s="317">
        <f>'REMUNERACION Reciprocidad EAAB'!X107</f>
        <v>25300845.309999999</v>
      </c>
      <c r="Y29" s="318">
        <f>'REMUNERACION Reciprocidad EAAB'!Y107</f>
        <v>393638.25</v>
      </c>
      <c r="Z29" s="319">
        <f>'REMUNERACION Reciprocidad EAAB'!Z107</f>
        <v>0</v>
      </c>
      <c r="AA29" s="320">
        <f>'REMUNERACION Reciprocidad EAAB'!AA107</f>
        <v>52.11</v>
      </c>
      <c r="AB29" s="294">
        <f>'REMUNERACION Reciprocidad EAAB'!AB107</f>
        <v>0</v>
      </c>
      <c r="AC29" s="320">
        <f>'REMUNERACION Reciprocidad EAAB'!AC107</f>
        <v>0</v>
      </c>
      <c r="AD29" s="291">
        <f>'REMUNERACION Reciprocidad EAAB'!AD107</f>
        <v>3424202.94</v>
      </c>
      <c r="AE29" s="291">
        <f>'REMUNERACION Reciprocidad EAAB'!AE107</f>
        <v>3424202.94</v>
      </c>
      <c r="AF29" s="322">
        <f>'REMUNERACION Reciprocidad EAAB'!AF107</f>
        <v>46610091.739999995</v>
      </c>
      <c r="AG29" s="522">
        <f>'REMUNERACION Reciprocidad EAAB'!AG107</f>
        <v>0</v>
      </c>
      <c r="AH29" s="1"/>
      <c r="AI29" s="306"/>
      <c r="AM29" s="333"/>
    </row>
    <row r="30" spans="1:39" s="305" customFormat="1" ht="12" thickBot="1" x14ac:dyDescent="0.3">
      <c r="B30" s="324">
        <v>5</v>
      </c>
      <c r="C30" s="325" t="s">
        <v>14</v>
      </c>
      <c r="D30" s="296">
        <f>'REMUNERACION Reciprocidad EAAB'!D108</f>
        <v>0</v>
      </c>
      <c r="E30" s="297">
        <f>'REMUNERACION Reciprocidad EAAB'!E108</f>
        <v>0</v>
      </c>
      <c r="F30" s="297">
        <f>'REMUNERACION Reciprocidad EAAB'!F108</f>
        <v>0</v>
      </c>
      <c r="G30" s="297">
        <f>'REMUNERACION Reciprocidad EAAB'!G108</f>
        <v>0</v>
      </c>
      <c r="H30" s="297">
        <f>'REMUNERACION Reciprocidad EAAB'!H108</f>
        <v>0</v>
      </c>
      <c r="I30" s="297">
        <f>'REMUNERACION Reciprocidad EAAB'!I108</f>
        <v>0</v>
      </c>
      <c r="J30" s="289">
        <f>'REMUNERACION Reciprocidad EAAB'!J108</f>
        <v>0</v>
      </c>
      <c r="K30" s="295">
        <f>'REMUNERACION Reciprocidad EAAB'!K108</f>
        <v>0</v>
      </c>
      <c r="L30" s="294">
        <f>'REMUNERACION Reciprocidad EAAB'!L108</f>
        <v>0</v>
      </c>
      <c r="M30" s="298">
        <f>'REMUNERACION Reciprocidad EAAB'!M108</f>
        <v>0</v>
      </c>
      <c r="N30" s="299">
        <f>'REMUNERACION Reciprocidad EAAB'!N108</f>
        <v>0</v>
      </c>
      <c r="O30" s="298">
        <f>'REMUNERACION Reciprocidad EAAB'!O108</f>
        <v>0</v>
      </c>
      <c r="Q30" s="306"/>
      <c r="S30" s="324">
        <v>5</v>
      </c>
      <c r="T30" s="325" t="s">
        <v>14</v>
      </c>
      <c r="U30" s="296">
        <f>'REMUNERACION Reciprocidad EAAB'!U108</f>
        <v>0</v>
      </c>
      <c r="V30" s="297">
        <f>'REMUNERACION Reciprocidad EAAB'!V108</f>
        <v>0</v>
      </c>
      <c r="W30" s="297">
        <f>'REMUNERACION Reciprocidad EAAB'!W108</f>
        <v>0</v>
      </c>
      <c r="X30" s="297">
        <f>'REMUNERACION Reciprocidad EAAB'!X108</f>
        <v>0</v>
      </c>
      <c r="Y30" s="289">
        <f>'REMUNERACION Reciprocidad EAAB'!Y108</f>
        <v>0</v>
      </c>
      <c r="Z30" s="319">
        <f>'REMUNERACION Reciprocidad EAAB'!Z108</f>
        <v>0</v>
      </c>
      <c r="AA30" s="320">
        <f>'REMUNERACION Reciprocidad EAAB'!AA108</f>
        <v>0</v>
      </c>
      <c r="AB30" s="294">
        <f>'REMUNERACION Reciprocidad EAAB'!AB108</f>
        <v>0</v>
      </c>
      <c r="AC30" s="320">
        <f>'REMUNERACION Reciprocidad EAAB'!AC108</f>
        <v>0</v>
      </c>
      <c r="AD30" s="291">
        <f>'REMUNERACION Reciprocidad EAAB'!AD108</f>
        <v>0</v>
      </c>
      <c r="AE30" s="291">
        <f>'REMUNERACION Reciprocidad EAAB'!AE108</f>
        <v>0</v>
      </c>
      <c r="AF30" s="322">
        <f>'REMUNERACION Reciprocidad EAAB'!AF108</f>
        <v>0</v>
      </c>
      <c r="AG30" s="523">
        <f>'REMUNERACION Reciprocidad EAAB'!AG108</f>
        <v>0</v>
      </c>
      <c r="AH30" s="1"/>
      <c r="AI30" s="306"/>
      <c r="AM30" s="333"/>
    </row>
    <row r="31" spans="1:39" s="305" customFormat="1" ht="13.5" thickBot="1" x14ac:dyDescent="0.35">
      <c r="B31" s="327"/>
      <c r="C31" s="328" t="s">
        <v>2</v>
      </c>
      <c r="D31" s="290">
        <f>'REMUNERACION Reciprocidad EAAB'!D109</f>
        <v>118508638.31999999</v>
      </c>
      <c r="E31" s="290">
        <f>'REMUNERACION Reciprocidad EAAB'!E109</f>
        <v>13432240.200000001</v>
      </c>
      <c r="F31" s="290">
        <f>'REMUNERACION Reciprocidad EAAB'!F109</f>
        <v>7502401.9500000002</v>
      </c>
      <c r="G31" s="290">
        <f>'REMUNERACION Reciprocidad EAAB'!G109</f>
        <v>2123637.6300000004</v>
      </c>
      <c r="H31" s="290">
        <f>'REMUNERACION Reciprocidad EAAB'!H109</f>
        <v>27199974.659999996</v>
      </c>
      <c r="I31" s="290">
        <f>'REMUNERACION Reciprocidad EAAB'!I109</f>
        <v>800679.73</v>
      </c>
      <c r="J31" s="290">
        <f>'REMUNERACION Reciprocidad EAAB'!J109</f>
        <v>0</v>
      </c>
      <c r="K31" s="300">
        <f>'REMUNERACION Reciprocidad EAAB'!K109</f>
        <v>67449704.149999976</v>
      </c>
      <c r="L31" s="301">
        <f>'REMUNERACION Reciprocidad EAAB'!L109</f>
        <v>0</v>
      </c>
      <c r="M31" s="302">
        <f>'REMUNERACION Reciprocidad EAAB'!M109</f>
        <v>67449704.149999976</v>
      </c>
      <c r="N31" s="301">
        <f>'REMUNERACION Reciprocidad EAAB'!N109</f>
        <v>0</v>
      </c>
      <c r="O31" s="302">
        <f>'REMUNERACION Reciprocidad EAAB'!O109</f>
        <v>67449704.149999976</v>
      </c>
      <c r="P31" s="329"/>
      <c r="Q31" s="306"/>
      <c r="S31" s="327"/>
      <c r="T31" s="328" t="s">
        <v>2</v>
      </c>
      <c r="U31" s="330">
        <f>'REMUNERACION Reciprocidad EAAB'!U109</f>
        <v>7337769.4000000004</v>
      </c>
      <c r="V31" s="330">
        <f>'REMUNERACION Reciprocidad EAAB'!V109</f>
        <v>8137615.5800000001</v>
      </c>
      <c r="W31" s="330">
        <f>'REMUNERACION Reciprocidad EAAB'!W109</f>
        <v>32309958.030000001</v>
      </c>
      <c r="X31" s="330">
        <f>'REMUNERACION Reciprocidad EAAB'!X109</f>
        <v>36314393.539999999</v>
      </c>
      <c r="Y31" s="330">
        <f>'REMUNERACION Reciprocidad EAAB'!Y109</f>
        <v>1105803.3</v>
      </c>
      <c r="Z31" s="290">
        <f>'REMUNERACION Reciprocidad EAAB'!Z109</f>
        <v>0</v>
      </c>
      <c r="AA31" s="290">
        <f>'REMUNERACION Reciprocidad EAAB'!AA109</f>
        <v>94.86</v>
      </c>
      <c r="AB31" s="290">
        <f>'REMUNERACION Reciprocidad EAAB'!AB109</f>
        <v>0</v>
      </c>
      <c r="AC31" s="290">
        <f>'REMUNERACION Reciprocidad EAAB'!AC109</f>
        <v>-7.0000000000000007E-2</v>
      </c>
      <c r="AD31" s="290">
        <f>'REMUNERACION Reciprocidad EAAB'!AD109</f>
        <v>-17755930.490000002</v>
      </c>
      <c r="AE31" s="290">
        <f>'REMUNERACION Reciprocidad EAAB'!AE109</f>
        <v>-17755930.490000002</v>
      </c>
      <c r="AF31" s="331">
        <f>'REMUNERACION Reciprocidad EAAB'!AF109</f>
        <v>67449704.149999991</v>
      </c>
      <c r="AG31" s="524">
        <f>'REMUNERACION Reciprocidad EAAB'!AG109</f>
        <v>0</v>
      </c>
      <c r="AH31" s="1"/>
      <c r="AI31" s="306"/>
      <c r="AM31" s="333"/>
    </row>
    <row r="32" spans="1:39" x14ac:dyDescent="0.25">
      <c r="B32" s="2"/>
      <c r="C32" s="2"/>
      <c r="D32" s="448"/>
      <c r="E32" s="448"/>
      <c r="F32" s="448"/>
      <c r="G32" s="448"/>
      <c r="H32" s="448"/>
      <c r="I32" s="448"/>
      <c r="K32" s="448"/>
      <c r="L32" s="448"/>
      <c r="M32" s="448"/>
      <c r="N32" s="448"/>
      <c r="O32" s="448"/>
      <c r="Q32" s="4"/>
      <c r="S32" s="2"/>
      <c r="T32" s="2"/>
      <c r="U32" s="448"/>
      <c r="V32" s="448"/>
      <c r="W32" s="448"/>
      <c r="X32" s="448"/>
      <c r="Y32" s="448"/>
      <c r="AF32" s="448"/>
      <c r="AI32" s="4"/>
    </row>
    <row r="33" spans="1:39" x14ac:dyDescent="0.25">
      <c r="B33" s="2"/>
      <c r="C33" s="2"/>
      <c r="D33" s="549"/>
      <c r="E33" s="549"/>
      <c r="F33" s="549"/>
      <c r="G33" s="549"/>
      <c r="H33" s="549"/>
      <c r="I33" s="549"/>
      <c r="K33" s="549"/>
      <c r="L33" s="549"/>
      <c r="M33" s="549"/>
      <c r="N33" s="549"/>
      <c r="O33" s="549"/>
      <c r="Q33" s="4"/>
      <c r="AI33" s="4"/>
    </row>
    <row r="34" spans="1:39" x14ac:dyDescent="0.25">
      <c r="A34" s="4"/>
      <c r="B34" s="34"/>
      <c r="C34" s="34"/>
      <c r="D34" s="474"/>
      <c r="E34" s="474"/>
      <c r="F34" s="474"/>
      <c r="G34" s="474"/>
      <c r="H34" s="474"/>
      <c r="I34" s="474"/>
      <c r="J34" s="4"/>
      <c r="K34" s="474"/>
      <c r="L34" s="474"/>
      <c r="M34" s="474"/>
      <c r="N34" s="474"/>
      <c r="O34" s="47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  <c r="AB34" s="4"/>
      <c r="AC34" s="4"/>
      <c r="AD34" s="4"/>
      <c r="AE34" s="4"/>
      <c r="AF34" s="4"/>
      <c r="AG34" s="4"/>
      <c r="AH34" s="4"/>
      <c r="AI34" s="4"/>
    </row>
    <row r="35" spans="1:39" ht="12" thickBot="1" x14ac:dyDescent="0.3">
      <c r="Q35" s="4"/>
      <c r="AI35" s="4"/>
    </row>
    <row r="36" spans="1:39" x14ac:dyDescent="0.25">
      <c r="B36" s="5"/>
      <c r="C36" s="3" t="s">
        <v>1</v>
      </c>
      <c r="D36" s="6" t="s">
        <v>1</v>
      </c>
      <c r="E36" s="3"/>
      <c r="F36" s="3"/>
      <c r="G36" s="3"/>
      <c r="H36" s="3" t="s">
        <v>1</v>
      </c>
      <c r="I36" s="3"/>
      <c r="J36" s="3"/>
      <c r="K36" s="3"/>
      <c r="L36" s="3"/>
      <c r="M36" s="3"/>
      <c r="N36" s="3"/>
      <c r="O36" s="7"/>
      <c r="P36" s="2"/>
      <c r="Q36" s="4"/>
      <c r="S36" s="5"/>
      <c r="T36" s="3" t="s">
        <v>1</v>
      </c>
      <c r="U36" s="6" t="s">
        <v>1</v>
      </c>
      <c r="V36" s="3"/>
      <c r="W36" s="3"/>
      <c r="X36" s="3" t="s">
        <v>1</v>
      </c>
      <c r="Y36" s="3"/>
      <c r="Z36" s="3"/>
      <c r="AA36" s="3"/>
      <c r="AB36" s="3"/>
      <c r="AC36" s="3"/>
      <c r="AD36" s="3"/>
      <c r="AE36" s="3"/>
      <c r="AF36" s="7"/>
      <c r="AG36" s="2"/>
      <c r="AI36" s="4"/>
    </row>
    <row r="37" spans="1:39" ht="14" x14ac:dyDescent="0.3">
      <c r="B37" s="8"/>
      <c r="F37" s="26" t="s">
        <v>8</v>
      </c>
      <c r="G37" s="26"/>
      <c r="I37" s="26" t="s">
        <v>16</v>
      </c>
      <c r="J37" s="25"/>
      <c r="M37" s="2"/>
      <c r="N37" s="50"/>
      <c r="O37" s="10"/>
      <c r="P37" s="2"/>
      <c r="Q37" s="4"/>
      <c r="S37" s="8"/>
      <c r="U37" s="26" t="s">
        <v>8</v>
      </c>
      <c r="W37" s="26" t="s">
        <v>16</v>
      </c>
      <c r="X37" s="25"/>
      <c r="Y37" s="2"/>
      <c r="AA37" s="2" t="s">
        <v>1</v>
      </c>
      <c r="AD37" s="84" t="s">
        <v>1</v>
      </c>
      <c r="AE37" s="84"/>
      <c r="AF37" s="48"/>
      <c r="AG37" s="2"/>
      <c r="AI37" s="4"/>
    </row>
    <row r="38" spans="1:39" ht="15.5" x14ac:dyDescent="0.35">
      <c r="B38" s="8"/>
      <c r="F38" s="36" t="s">
        <v>29</v>
      </c>
      <c r="G38" s="36"/>
      <c r="O38" s="10"/>
      <c r="P38" s="2"/>
      <c r="Q38" s="4"/>
      <c r="S38" s="8"/>
      <c r="T38" s="26" t="s">
        <v>1</v>
      </c>
      <c r="U38" s="36" t="s">
        <v>29</v>
      </c>
      <c r="Y38" s="2" t="s">
        <v>1</v>
      </c>
      <c r="AA38" s="50" t="s">
        <v>1</v>
      </c>
      <c r="AB38" s="2"/>
      <c r="AC38" s="2"/>
      <c r="AD38" s="2"/>
      <c r="AE38" s="2"/>
      <c r="AF38" s="10" t="s">
        <v>1</v>
      </c>
      <c r="AG38" s="2"/>
      <c r="AI38" s="4"/>
    </row>
    <row r="39" spans="1:39" ht="14" x14ac:dyDescent="0.3">
      <c r="B39" s="8"/>
      <c r="F39" s="2" t="s">
        <v>30</v>
      </c>
      <c r="G39" s="2"/>
      <c r="L39" s="91"/>
      <c r="M39" s="2" t="s">
        <v>1</v>
      </c>
      <c r="O39" s="10"/>
      <c r="P39" s="2"/>
      <c r="Q39" s="4"/>
      <c r="S39" s="8"/>
      <c r="T39" s="49" t="s">
        <v>1</v>
      </c>
      <c r="U39" s="2" t="s">
        <v>30</v>
      </c>
      <c r="AF39" s="44"/>
      <c r="AG39" s="2"/>
      <c r="AI39" s="4"/>
    </row>
    <row r="40" spans="1:39" ht="15.5" x14ac:dyDescent="0.35">
      <c r="B40" s="8"/>
      <c r="C40" s="2"/>
      <c r="D40" s="9"/>
      <c r="F40" s="58" t="s">
        <v>162</v>
      </c>
      <c r="G40" s="58"/>
      <c r="H40" s="59"/>
      <c r="I40" s="60"/>
      <c r="J40" s="59"/>
      <c r="L40" s="91"/>
      <c r="O40" s="10"/>
      <c r="P40" s="2"/>
      <c r="Q40" s="4"/>
      <c r="S40" s="8"/>
      <c r="T40" s="41" t="s">
        <v>1</v>
      </c>
      <c r="U40" s="58" t="s">
        <v>35</v>
      </c>
      <c r="V40" s="59"/>
      <c r="W40" s="60"/>
      <c r="X40" s="59"/>
      <c r="Y40" s="2"/>
      <c r="AF40" s="48"/>
      <c r="AG40" s="2"/>
      <c r="AI40" s="4"/>
    </row>
    <row r="41" spans="1:39" ht="18" thickBot="1" x14ac:dyDescent="0.5">
      <c r="B41" s="8"/>
      <c r="C41" s="2"/>
      <c r="D41" s="241"/>
      <c r="F41" s="2"/>
      <c r="G41" s="9"/>
      <c r="J41" s="2"/>
      <c r="K41" s="9"/>
      <c r="L41" s="92"/>
      <c r="O41" s="10"/>
      <c r="P41" s="2"/>
      <c r="Q41" s="4"/>
      <c r="S41" s="8"/>
      <c r="V41" s="9"/>
      <c r="Y41" s="9"/>
      <c r="Z41" s="1" t="s">
        <v>1</v>
      </c>
      <c r="AF41" s="48"/>
      <c r="AG41" s="2"/>
      <c r="AI41" s="4"/>
      <c r="AJ41" s="112" t="s">
        <v>1</v>
      </c>
    </row>
    <row r="42" spans="1:39" ht="72" customHeight="1" thickBot="1" x14ac:dyDescent="0.3">
      <c r="B42" s="11" t="s">
        <v>3</v>
      </c>
      <c r="C42" s="27" t="s">
        <v>9</v>
      </c>
      <c r="D42" s="11" t="s">
        <v>4</v>
      </c>
      <c r="E42" s="12" t="s">
        <v>5</v>
      </c>
      <c r="F42" s="27" t="s">
        <v>6</v>
      </c>
      <c r="G42" s="27" t="s">
        <v>159</v>
      </c>
      <c r="H42" s="27" t="s">
        <v>18</v>
      </c>
      <c r="I42" s="12" t="s">
        <v>24</v>
      </c>
      <c r="J42" s="73" t="s">
        <v>19</v>
      </c>
      <c r="K42" s="29" t="s">
        <v>20</v>
      </c>
      <c r="L42" s="28" t="s">
        <v>21</v>
      </c>
      <c r="M42" s="39" t="s">
        <v>22</v>
      </c>
      <c r="N42" s="12" t="s">
        <v>7</v>
      </c>
      <c r="O42" s="39" t="s">
        <v>23</v>
      </c>
      <c r="P42" s="13"/>
      <c r="Q42" s="4"/>
      <c r="S42" s="11" t="s">
        <v>3</v>
      </c>
      <c r="T42" s="27" t="s">
        <v>9</v>
      </c>
      <c r="U42" s="162" t="s">
        <v>39</v>
      </c>
      <c r="V42" s="163" t="s">
        <v>40</v>
      </c>
      <c r="W42" s="163" t="s">
        <v>41</v>
      </c>
      <c r="X42" s="163" t="s">
        <v>42</v>
      </c>
      <c r="Y42" s="164" t="s">
        <v>43</v>
      </c>
      <c r="Z42" s="85" t="s">
        <v>21</v>
      </c>
      <c r="AA42" s="65" t="s">
        <v>46</v>
      </c>
      <c r="AB42" s="65" t="s">
        <v>7</v>
      </c>
      <c r="AC42" s="85" t="s">
        <v>168</v>
      </c>
      <c r="AD42" s="121" t="s">
        <v>105</v>
      </c>
      <c r="AE42" s="121" t="s">
        <v>104</v>
      </c>
      <c r="AF42" s="39" t="s">
        <v>23</v>
      </c>
      <c r="AG42" s="13"/>
      <c r="AI42" s="4"/>
    </row>
    <row r="43" spans="1:39" s="305" customFormat="1" x14ac:dyDescent="0.25">
      <c r="B43" s="303">
        <v>1</v>
      </c>
      <c r="C43" s="304" t="s">
        <v>10</v>
      </c>
      <c r="D43" s="291">
        <f>REMUNERACION_ENEL!D104</f>
        <v>16643179604.779999</v>
      </c>
      <c r="E43" s="292">
        <f>REMUNERACION_ENEL!E104</f>
        <v>807895299.00000012</v>
      </c>
      <c r="F43" s="292">
        <f>REMUNERACION_ENEL!F104</f>
        <v>455912503.50999999</v>
      </c>
      <c r="G43" s="292">
        <f>REMUNERACION_ENEL!G104</f>
        <v>239329779.88</v>
      </c>
      <c r="H43" s="292">
        <f>REMUNERACION_ENEL!H104</f>
        <v>3761557796.75</v>
      </c>
      <c r="I43" s="292">
        <f>REMUNERACION_ENEL!I104</f>
        <v>132659753.62000002</v>
      </c>
      <c r="J43" s="288">
        <f>REMUNERACION_ENEL!J104</f>
        <v>-3589454665.5499997</v>
      </c>
      <c r="K43" s="293">
        <f>REMUNERACION_ENEL!K104</f>
        <v>14835279137.569998</v>
      </c>
      <c r="L43" s="294">
        <f>REMUNERACION_ENEL!L104</f>
        <v>189185988</v>
      </c>
      <c r="M43" s="293">
        <f>REMUNERACION_ENEL!M104</f>
        <v>14646093149.569998</v>
      </c>
      <c r="N43" s="294">
        <f>REMUNERACION_ENEL!N104</f>
        <v>16516492.25</v>
      </c>
      <c r="O43" s="293">
        <f>REMUNERACION_ENEL!O104</f>
        <v>14662609641.819998</v>
      </c>
      <c r="Q43" s="306"/>
      <c r="S43" s="303">
        <v>1</v>
      </c>
      <c r="T43" s="304" t="s">
        <v>10</v>
      </c>
      <c r="U43" s="307">
        <f>REMUNERACION_ENEL!U104</f>
        <v>1167429697.9300001</v>
      </c>
      <c r="V43" s="308">
        <f>REMUNERACION_ENEL!V104</f>
        <v>1119851344.1899998</v>
      </c>
      <c r="W43" s="308">
        <f>REMUNERACION_ENEL!W104</f>
        <v>5299081059.21</v>
      </c>
      <c r="X43" s="308">
        <f>REMUNERACION_ENEL!X104</f>
        <v>2189246770.6300006</v>
      </c>
      <c r="Y43" s="309">
        <f>REMUNERACION_ENEL!Y104</f>
        <v>216286907.63999999</v>
      </c>
      <c r="Z43" s="310">
        <f>REMUNERACION_ENEL!Z104</f>
        <v>-189185988</v>
      </c>
      <c r="AA43" s="311">
        <f>REMUNERACION_ENEL!AA104</f>
        <v>-16656.379999999997</v>
      </c>
      <c r="AB43" s="294">
        <f>REMUNERACION_ENEL!AB104</f>
        <v>16516492.25</v>
      </c>
      <c r="AC43" s="311">
        <f>REMUNERACION_ENEL!AC104</f>
        <v>521.77</v>
      </c>
      <c r="AD43" s="291">
        <f>REMUNERACION_ENEL!AD104</f>
        <v>4843399492.5799999</v>
      </c>
      <c r="AE43" s="291">
        <f>REMUNERACION_ENEL!AE104</f>
        <v>1253944827.03</v>
      </c>
      <c r="AF43" s="313">
        <f>REMUNERACION_ENEL!AF104</f>
        <v>14662609641.820002</v>
      </c>
      <c r="AG43" s="521">
        <f>REMUNERACION_ENEL!AG104</f>
        <v>0</v>
      </c>
      <c r="AH43" s="1"/>
      <c r="AI43" s="306"/>
      <c r="AM43" s="333"/>
    </row>
    <row r="44" spans="1:39" s="305" customFormat="1" x14ac:dyDescent="0.25">
      <c r="B44" s="314">
        <v>2</v>
      </c>
      <c r="C44" s="315" t="s">
        <v>11</v>
      </c>
      <c r="D44" s="291">
        <f>REMUNERACION_ENEL!D105</f>
        <v>19064501226.810005</v>
      </c>
      <c r="E44" s="292">
        <f>REMUNERACION_ENEL!E105</f>
        <v>1396129505.3300002</v>
      </c>
      <c r="F44" s="292">
        <f>REMUNERACION_ENEL!F105</f>
        <v>784878776.18999994</v>
      </c>
      <c r="G44" s="292">
        <f>REMUNERACION_ENEL!G105</f>
        <v>411247567.16000009</v>
      </c>
      <c r="H44" s="292">
        <f>REMUNERACION_ENEL!H105</f>
        <v>5582809669.8899994</v>
      </c>
      <c r="I44" s="292">
        <f>REMUNERACION_ENEL!I105</f>
        <v>216022487.64000002</v>
      </c>
      <c r="J44" s="288">
        <f>REMUNERACION_ENEL!J105</f>
        <v>-3241193714.1100001</v>
      </c>
      <c r="K44" s="295">
        <f>REMUNERACION_ENEL!K105</f>
        <v>13914606934.710005</v>
      </c>
      <c r="L44" s="294">
        <f>REMUNERACION_ENEL!L105</f>
        <v>266580256</v>
      </c>
      <c r="M44" s="295">
        <f>REMUNERACION_ENEL!M105</f>
        <v>13648026678.710005</v>
      </c>
      <c r="N44" s="294">
        <f>REMUNERACION_ENEL!N105</f>
        <v>24273229.890000001</v>
      </c>
      <c r="O44" s="295">
        <f>REMUNERACION_ENEL!O105</f>
        <v>13672299908.600004</v>
      </c>
      <c r="Q44" s="306"/>
      <c r="S44" s="314">
        <v>2</v>
      </c>
      <c r="T44" s="315" t="s">
        <v>11</v>
      </c>
      <c r="U44" s="316">
        <f>REMUNERACION_ENEL!U105</f>
        <v>1893620444.5699999</v>
      </c>
      <c r="V44" s="317">
        <f>REMUNERACION_ENEL!V105</f>
        <v>1869892249.3700001</v>
      </c>
      <c r="W44" s="317">
        <f>REMUNERACION_ENEL!W105</f>
        <v>8814809316.3799992</v>
      </c>
      <c r="X44" s="317">
        <f>REMUNERACION_ENEL!X105</f>
        <v>2749999250.0999999</v>
      </c>
      <c r="Y44" s="318">
        <f>REMUNERACION_ENEL!Y105</f>
        <v>352820304.41000003</v>
      </c>
      <c r="Z44" s="319">
        <f>REMUNERACION_ENEL!Z105</f>
        <v>-266580256</v>
      </c>
      <c r="AA44" s="320">
        <f>REMUNERACION_ENEL!AA105</f>
        <v>90135.24</v>
      </c>
      <c r="AB44" s="294">
        <f>REMUNERACION_ENEL!AB105</f>
        <v>24273229.890000001</v>
      </c>
      <c r="AC44" s="320">
        <f>REMUNERACION_ENEL!AC105</f>
        <v>-109.61</v>
      </c>
      <c r="AD44" s="291">
        <f>REMUNERACION_ENEL!AD105</f>
        <v>-1766624655.7499995</v>
      </c>
      <c r="AE44" s="291">
        <f>REMUNERACION_ENEL!AE105</f>
        <v>-5007818369.8599997</v>
      </c>
      <c r="AF44" s="322">
        <f>REMUNERACION_ENEL!AF105</f>
        <v>13672299908.599998</v>
      </c>
      <c r="AG44" s="522">
        <f>REMUNERACION_ENEL!AG105</f>
        <v>0</v>
      </c>
      <c r="AH44" s="1"/>
      <c r="AI44" s="306"/>
      <c r="AM44" s="333"/>
    </row>
    <row r="45" spans="1:39" s="305" customFormat="1" x14ac:dyDescent="0.25">
      <c r="B45" s="314">
        <v>3</v>
      </c>
      <c r="C45" s="315" t="s">
        <v>12</v>
      </c>
      <c r="D45" s="291">
        <f>REMUNERACION_ENEL!D106</f>
        <v>13976635090.370001</v>
      </c>
      <c r="E45" s="292">
        <f>REMUNERACION_ENEL!E106</f>
        <v>985637596.05999994</v>
      </c>
      <c r="F45" s="292">
        <f>REMUNERACION_ENEL!F106</f>
        <v>555973895.94999993</v>
      </c>
      <c r="G45" s="292">
        <f>REMUNERACION_ENEL!G106</f>
        <v>292056214.65000004</v>
      </c>
      <c r="H45" s="292">
        <f>REMUNERACION_ENEL!H106</f>
        <v>3381560449.0999999</v>
      </c>
      <c r="I45" s="292">
        <f>REMUNERACION_ENEL!I106</f>
        <v>124524527.32000001</v>
      </c>
      <c r="J45" s="288">
        <f>REMUNERACION_ENEL!J106</f>
        <v>-853244564.50999999</v>
      </c>
      <c r="K45" s="295">
        <f>REMUNERACION_ENEL!K106</f>
        <v>9490126971.8000011</v>
      </c>
      <c r="L45" s="294">
        <f>REMUNERACION_ENEL!L106</f>
        <v>154788536</v>
      </c>
      <c r="M45" s="295">
        <f>REMUNERACION_ENEL!M106</f>
        <v>9335338435.8000011</v>
      </c>
      <c r="N45" s="294">
        <f>REMUNERACION_ENEL!N106</f>
        <v>13030575.5</v>
      </c>
      <c r="O45" s="295">
        <f>REMUNERACION_ENEL!O106</f>
        <v>9348369011.3000011</v>
      </c>
      <c r="Q45" s="306"/>
      <c r="S45" s="314">
        <v>3</v>
      </c>
      <c r="T45" s="315" t="s">
        <v>12</v>
      </c>
      <c r="U45" s="316">
        <f>REMUNERACION_ENEL!U106</f>
        <v>1092110322.45</v>
      </c>
      <c r="V45" s="317">
        <f>REMUNERACION_ENEL!V106</f>
        <v>1072670179.5</v>
      </c>
      <c r="W45" s="317">
        <f>REMUNERACION_ENEL!W106</f>
        <v>5077455755.5400009</v>
      </c>
      <c r="X45" s="317">
        <f>REMUNERACION_ENEL!X106</f>
        <v>2292038481.0500002</v>
      </c>
      <c r="Y45" s="318">
        <f>REMUNERACION_ENEL!Y106</f>
        <v>203250483.36000001</v>
      </c>
      <c r="Z45" s="319">
        <f>REMUNERACION_ENEL!Z106</f>
        <v>-154788536</v>
      </c>
      <c r="AA45" s="320">
        <f>REMUNERACION_ENEL!AA106</f>
        <v>247376.99</v>
      </c>
      <c r="AB45" s="294">
        <f>REMUNERACION_ENEL!AB106</f>
        <v>13030575.5</v>
      </c>
      <c r="AC45" s="320">
        <f>REMUNERACION_ENEL!AC106</f>
        <v>0.94</v>
      </c>
      <c r="AD45" s="291">
        <f>REMUNERACION_ENEL!AD106</f>
        <v>-247645628.02999997</v>
      </c>
      <c r="AE45" s="291">
        <f>REMUNERACION_ENEL!AE106</f>
        <v>-1100890192.54</v>
      </c>
      <c r="AF45" s="322">
        <f>REMUNERACION_ENEL!AF106</f>
        <v>9348369011.3000011</v>
      </c>
      <c r="AG45" s="522">
        <f>REMUNERACION_ENEL!AG106</f>
        <v>0</v>
      </c>
      <c r="AH45" s="1"/>
      <c r="AI45" s="306"/>
      <c r="AM45" s="333"/>
    </row>
    <row r="46" spans="1:39" s="305" customFormat="1" x14ac:dyDescent="0.25">
      <c r="B46" s="314">
        <v>4</v>
      </c>
      <c r="C46" s="315" t="s">
        <v>13</v>
      </c>
      <c r="D46" s="291">
        <f>REMUNERACION_ENEL!D107</f>
        <v>6619403672.6899996</v>
      </c>
      <c r="E46" s="292">
        <f>REMUNERACION_ENEL!E107</f>
        <v>409065767.94999999</v>
      </c>
      <c r="F46" s="292">
        <f>REMUNERACION_ENEL!F107</f>
        <v>229023916.59999999</v>
      </c>
      <c r="G46" s="292">
        <f>REMUNERACION_ENEL!G107</f>
        <v>119897084.47999999</v>
      </c>
      <c r="H46" s="292">
        <f>REMUNERACION_ENEL!H107</f>
        <v>1538751149.1300001</v>
      </c>
      <c r="I46" s="292">
        <f>REMUNERACION_ENEL!I107</f>
        <v>60407359.210000001</v>
      </c>
      <c r="J46" s="288">
        <f>REMUNERACION_ENEL!J107</f>
        <v>-699882713.37000012</v>
      </c>
      <c r="K46" s="295">
        <f>REMUNERACION_ENEL!K107</f>
        <v>4962141108.6899996</v>
      </c>
      <c r="L46" s="294">
        <f>REMUNERACION_ENEL!L107</f>
        <v>120391083</v>
      </c>
      <c r="M46" s="295">
        <f>REMUNERACION_ENEL!M107</f>
        <v>4841750025.6899996</v>
      </c>
      <c r="N46" s="294">
        <f>REMUNERACION_ENEL!N107</f>
        <v>19208887.530000001</v>
      </c>
      <c r="O46" s="295">
        <f>REMUNERACION_ENEL!O107</f>
        <v>4860958913.2199993</v>
      </c>
      <c r="Q46" s="306"/>
      <c r="S46" s="314">
        <v>4</v>
      </c>
      <c r="T46" s="315" t="s">
        <v>13</v>
      </c>
      <c r="U46" s="316">
        <f>REMUNERACION_ENEL!U107</f>
        <v>528790659.44</v>
      </c>
      <c r="V46" s="317">
        <f>REMUNERACION_ENEL!V107</f>
        <v>522948481.87</v>
      </c>
      <c r="W46" s="317">
        <f>REMUNERACION_ENEL!W107</f>
        <v>2676043606.7200003</v>
      </c>
      <c r="X46" s="317">
        <f>REMUNERACION_ENEL!X107</f>
        <v>1082748026.71</v>
      </c>
      <c r="Y46" s="318">
        <f>REMUNERACION_ENEL!Y107</f>
        <v>98745519.159999996</v>
      </c>
      <c r="Z46" s="319">
        <f>REMUNERACION_ENEL!Z107</f>
        <v>-120391083</v>
      </c>
      <c r="AA46" s="320">
        <f>REMUNERACION_ENEL!AA107</f>
        <v>-16918.300000000003</v>
      </c>
      <c r="AB46" s="294">
        <f>REMUNERACION_ENEL!AB107</f>
        <v>19208887.530000001</v>
      </c>
      <c r="AC46" s="320">
        <f>REMUNERACION_ENEL!AC107</f>
        <v>-448.53000000000003</v>
      </c>
      <c r="AD46" s="291">
        <f>REMUNERACION_ENEL!AD107</f>
        <v>52882181.620000005</v>
      </c>
      <c r="AE46" s="291">
        <f>REMUNERACION_ENEL!AE107</f>
        <v>-647000531.75000012</v>
      </c>
      <c r="AF46" s="322">
        <f>REMUNERACION_ENEL!AF107</f>
        <v>4860958913.2199993</v>
      </c>
      <c r="AG46" s="522">
        <f>REMUNERACION_ENEL!AG107</f>
        <v>0</v>
      </c>
      <c r="AH46" s="1"/>
      <c r="AI46" s="306"/>
      <c r="AM46" s="333"/>
    </row>
    <row r="47" spans="1:39" s="305" customFormat="1" ht="12" thickBot="1" x14ac:dyDescent="0.3">
      <c r="B47" s="324">
        <v>5</v>
      </c>
      <c r="C47" s="325" t="s">
        <v>14</v>
      </c>
      <c r="D47" s="296">
        <f>REMUNERACION_ENEL!D108</f>
        <v>11722516106.639999</v>
      </c>
      <c r="E47" s="297">
        <f>REMUNERACION_ENEL!E108</f>
        <v>698148323.5</v>
      </c>
      <c r="F47" s="297">
        <f>REMUNERACION_ENEL!F108</f>
        <v>393737772.47000003</v>
      </c>
      <c r="G47" s="297">
        <f>REMUNERACION_ENEL!G108</f>
        <v>206413295.53999999</v>
      </c>
      <c r="H47" s="297">
        <f>REMUNERACION_ENEL!H108</f>
        <v>2744218164.2200003</v>
      </c>
      <c r="I47" s="297">
        <f>REMUNERACION_ENEL!I108</f>
        <v>104708073.91000001</v>
      </c>
      <c r="J47" s="289">
        <f>REMUNERACION_ENEL!J108</f>
        <v>-82959023.660000086</v>
      </c>
      <c r="K47" s="295">
        <f>REMUNERACION_ENEL!K108</f>
        <v>7658249500.6599989</v>
      </c>
      <c r="L47" s="294">
        <f>REMUNERACION_ENEL!L108</f>
        <v>128990446</v>
      </c>
      <c r="M47" s="298">
        <f>REMUNERACION_ENEL!M108</f>
        <v>7529259054.6599989</v>
      </c>
      <c r="N47" s="299">
        <f>REMUNERACION_ENEL!N108</f>
        <v>8997077.0999999996</v>
      </c>
      <c r="O47" s="298">
        <f>REMUNERACION_ENEL!O108</f>
        <v>7538256131.7599993</v>
      </c>
      <c r="Q47" s="306"/>
      <c r="S47" s="324">
        <v>5</v>
      </c>
      <c r="T47" s="325" t="s">
        <v>14</v>
      </c>
      <c r="U47" s="296">
        <f>REMUNERACION_ENEL!U108</f>
        <v>917978792.29999995</v>
      </c>
      <c r="V47" s="297">
        <f>REMUNERACION_ENEL!V108</f>
        <v>899476756.96000004</v>
      </c>
      <c r="W47" s="297">
        <f>REMUNERACION_ENEL!W108</f>
        <v>4621907148.9099998</v>
      </c>
      <c r="X47" s="297">
        <f>REMUNERACION_ENEL!X108</f>
        <v>2074170432.3500001</v>
      </c>
      <c r="Y47" s="289">
        <f>REMUNERACION_ENEL!Y108</f>
        <v>170858536.44999999</v>
      </c>
      <c r="Z47" s="319">
        <f>REMUNERACION_ENEL!Z108</f>
        <v>-128990446</v>
      </c>
      <c r="AA47" s="320">
        <f>REMUNERACION_ENEL!AA108</f>
        <v>-147049.65</v>
      </c>
      <c r="AB47" s="294">
        <f>REMUNERACION_ENEL!AB108</f>
        <v>8997077.0999999996</v>
      </c>
      <c r="AC47" s="320">
        <f>REMUNERACION_ENEL!AC108</f>
        <v>-33.33</v>
      </c>
      <c r="AD47" s="291">
        <f>REMUNERACION_ENEL!AD108</f>
        <v>-1025995083.3299999</v>
      </c>
      <c r="AE47" s="291">
        <f>REMUNERACION_ENEL!AE108</f>
        <v>-1108954106.99</v>
      </c>
      <c r="AF47" s="322">
        <f>REMUNERACION_ENEL!AF108</f>
        <v>7538256131.7600021</v>
      </c>
      <c r="AG47" s="523">
        <f>REMUNERACION_ENEL!AG108</f>
        <v>0</v>
      </c>
      <c r="AH47" s="1"/>
      <c r="AI47" s="306"/>
      <c r="AM47" s="333"/>
    </row>
    <row r="48" spans="1:39" s="305" customFormat="1" ht="13.5" thickBot="1" x14ac:dyDescent="0.35">
      <c r="B48" s="327"/>
      <c r="C48" s="328" t="s">
        <v>2</v>
      </c>
      <c r="D48" s="290">
        <f>REMUNERACION_ENEL!D109</f>
        <v>68026235701.290009</v>
      </c>
      <c r="E48" s="290">
        <f>REMUNERACION_ENEL!E109</f>
        <v>4296876491.8400002</v>
      </c>
      <c r="F48" s="290">
        <f>REMUNERACION_ENEL!F109</f>
        <v>2419526864.7199993</v>
      </c>
      <c r="G48" s="290">
        <f>REMUNERACION_ENEL!G109</f>
        <v>1268943941.71</v>
      </c>
      <c r="H48" s="290">
        <f>REMUNERACION_ENEL!H109</f>
        <v>17008897229.09</v>
      </c>
      <c r="I48" s="290">
        <f>REMUNERACION_ENEL!I109</f>
        <v>638322201.70000005</v>
      </c>
      <c r="J48" s="290">
        <f>REMUNERACION_ENEL!J109</f>
        <v>-8466734681.1999998</v>
      </c>
      <c r="K48" s="300">
        <f>REMUNERACION_ENEL!K109</f>
        <v>50860403653.43</v>
      </c>
      <c r="L48" s="301">
        <f>REMUNERACION_ENEL!L109</f>
        <v>859936309</v>
      </c>
      <c r="M48" s="302">
        <f>REMUNERACION_ENEL!M109</f>
        <v>50000467344.43</v>
      </c>
      <c r="N48" s="301">
        <f>REMUNERACION_ENEL!N109</f>
        <v>82026262.269999996</v>
      </c>
      <c r="O48" s="302">
        <f>REMUNERACION_ENEL!O109</f>
        <v>50082493606.700005</v>
      </c>
      <c r="P48" s="329"/>
      <c r="Q48" s="306"/>
      <c r="S48" s="327"/>
      <c r="T48" s="328" t="s">
        <v>2</v>
      </c>
      <c r="U48" s="330">
        <f>REMUNERACION_ENEL!U109</f>
        <v>5599929916.6899996</v>
      </c>
      <c r="V48" s="330">
        <f>REMUNERACION_ENEL!V109</f>
        <v>5484839011.8900003</v>
      </c>
      <c r="W48" s="330">
        <f>REMUNERACION_ENEL!W109</f>
        <v>26489296886.760002</v>
      </c>
      <c r="X48" s="330">
        <f>REMUNERACION_ENEL!X109</f>
        <v>10388202960.84</v>
      </c>
      <c r="Y48" s="330">
        <f>REMUNERACION_ENEL!Y109</f>
        <v>1041961751.02</v>
      </c>
      <c r="Z48" s="290">
        <f>REMUNERACION_ENEL!Z109</f>
        <v>-859936309</v>
      </c>
      <c r="AA48" s="290">
        <f>REMUNERACION_ENEL!AA109</f>
        <v>156887.9</v>
      </c>
      <c r="AB48" s="290">
        <f>REMUNERACION_ENEL!AB109</f>
        <v>82026262.269999996</v>
      </c>
      <c r="AC48" s="290">
        <f>REMUNERACION_ENEL!AC109</f>
        <v>-68.760000000000062</v>
      </c>
      <c r="AD48" s="290">
        <f>REMUNERACION_ENEL!AD109</f>
        <v>1856016307.0900002</v>
      </c>
      <c r="AE48" s="290">
        <f>REMUNERACION_ENEL!AE109</f>
        <v>-6610718374.1099997</v>
      </c>
      <c r="AF48" s="331">
        <f>REMUNERACION_ENEL!AF109</f>
        <v>50082493606.700005</v>
      </c>
      <c r="AG48" s="524">
        <f>REMUNERACION_ENEL!AG109</f>
        <v>0</v>
      </c>
      <c r="AH48" s="1"/>
      <c r="AI48" s="306"/>
      <c r="AM48" s="333"/>
    </row>
    <row r="49" spans="1:39" x14ac:dyDescent="0.25">
      <c r="B49" s="2"/>
      <c r="C49" s="2"/>
      <c r="D49" s="448"/>
      <c r="E49" s="448"/>
      <c r="F49" s="448"/>
      <c r="G49" s="448"/>
      <c r="H49" s="448"/>
      <c r="I49" s="448"/>
      <c r="K49" s="448"/>
      <c r="L49" s="448"/>
      <c r="M49" s="448"/>
      <c r="N49" s="448"/>
      <c r="O49" s="448"/>
      <c r="Q49" s="4"/>
      <c r="S49" s="2"/>
      <c r="T49" s="2"/>
      <c r="U49" s="448"/>
      <c r="V49" s="448"/>
      <c r="W49" s="448"/>
      <c r="X49" s="448"/>
      <c r="Y49" s="448"/>
      <c r="AF49" s="448"/>
      <c r="AI49" s="4"/>
    </row>
    <row r="50" spans="1:39" x14ac:dyDescent="0.25">
      <c r="B50" s="2"/>
      <c r="C50" s="2"/>
      <c r="D50" s="549"/>
      <c r="E50" s="549"/>
      <c r="F50" s="549"/>
      <c r="G50" s="549"/>
      <c r="H50" s="549"/>
      <c r="I50" s="549"/>
      <c r="K50" s="549"/>
      <c r="L50" s="549"/>
      <c r="M50" s="549"/>
      <c r="N50" s="549"/>
      <c r="O50" s="549"/>
      <c r="Q50" s="4"/>
      <c r="AI50" s="4"/>
    </row>
    <row r="51" spans="1:39" x14ac:dyDescent="0.25">
      <c r="A51" s="4"/>
      <c r="B51" s="34"/>
      <c r="C51" s="34"/>
      <c r="D51" s="474"/>
      <c r="E51" s="474"/>
      <c r="F51" s="474"/>
      <c r="G51" s="474"/>
      <c r="H51" s="474"/>
      <c r="I51" s="474"/>
      <c r="J51" s="4"/>
      <c r="K51" s="474"/>
      <c r="L51" s="474"/>
      <c r="M51" s="474"/>
      <c r="N51" s="474"/>
      <c r="O51" s="47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  <c r="AC51" s="4"/>
      <c r="AD51" s="4"/>
      <c r="AE51" s="4"/>
      <c r="AF51" s="4"/>
      <c r="AG51" s="4"/>
      <c r="AH51" s="4"/>
      <c r="AI51" s="4"/>
    </row>
    <row r="52" spans="1:39" ht="12" thickBot="1" x14ac:dyDescent="0.3">
      <c r="B52" s="2"/>
      <c r="C52" s="2"/>
      <c r="D52" s="549"/>
      <c r="E52" s="549"/>
      <c r="F52" s="549"/>
      <c r="G52" s="549"/>
      <c r="H52" s="549"/>
      <c r="I52" s="549"/>
      <c r="K52" s="549"/>
      <c r="L52" s="549"/>
      <c r="M52" s="549"/>
      <c r="N52" s="549"/>
      <c r="O52" s="549"/>
    </row>
    <row r="53" spans="1:39" x14ac:dyDescent="0.25">
      <c r="B53" s="5"/>
      <c r="C53" s="3" t="s">
        <v>1</v>
      </c>
      <c r="D53" s="6" t="s">
        <v>1</v>
      </c>
      <c r="E53" s="3"/>
      <c r="F53" s="3"/>
      <c r="G53" s="3"/>
      <c r="H53" s="3" t="s">
        <v>1</v>
      </c>
      <c r="I53" s="3"/>
      <c r="J53" s="3"/>
      <c r="K53" s="3"/>
      <c r="L53" s="3"/>
      <c r="M53" s="3"/>
      <c r="N53" s="3"/>
      <c r="O53" s="7"/>
      <c r="P53" s="2"/>
      <c r="Q53" s="4"/>
      <c r="S53" s="5"/>
      <c r="T53" s="3" t="s">
        <v>1</v>
      </c>
      <c r="U53" s="6" t="s">
        <v>1</v>
      </c>
      <c r="V53" s="3"/>
      <c r="W53" s="3"/>
      <c r="X53" s="3" t="s">
        <v>1</v>
      </c>
      <c r="Y53" s="3"/>
      <c r="Z53" s="3"/>
      <c r="AA53" s="3"/>
      <c r="AB53" s="3"/>
      <c r="AC53" s="3"/>
      <c r="AD53" s="3"/>
      <c r="AE53" s="3"/>
      <c r="AF53" s="7"/>
      <c r="AG53" s="2"/>
      <c r="AI53" s="4"/>
    </row>
    <row r="54" spans="1:39" ht="14" x14ac:dyDescent="0.3">
      <c r="B54" s="8"/>
      <c r="F54" s="26" t="s">
        <v>8</v>
      </c>
      <c r="G54" s="26"/>
      <c r="I54" s="26" t="s">
        <v>16</v>
      </c>
      <c r="J54" s="25"/>
      <c r="M54" s="2"/>
      <c r="N54" s="50"/>
      <c r="O54" s="10"/>
      <c r="P54" s="2"/>
      <c r="Q54" s="4"/>
      <c r="S54" s="8"/>
      <c r="U54" s="26" t="s">
        <v>8</v>
      </c>
      <c r="W54" s="26" t="s">
        <v>16</v>
      </c>
      <c r="X54" s="25"/>
      <c r="Y54" s="2"/>
      <c r="AA54" s="2" t="s">
        <v>1</v>
      </c>
      <c r="AD54" s="84" t="s">
        <v>1</v>
      </c>
      <c r="AE54" s="84"/>
      <c r="AF54" s="48"/>
      <c r="AG54" s="2"/>
      <c r="AI54" s="4"/>
    </row>
    <row r="55" spans="1:39" ht="15.5" x14ac:dyDescent="0.35">
      <c r="B55" s="8"/>
      <c r="F55" s="36" t="s">
        <v>29</v>
      </c>
      <c r="G55" s="36"/>
      <c r="O55" s="10"/>
      <c r="P55" s="2"/>
      <c r="Q55" s="4"/>
      <c r="S55" s="8"/>
      <c r="T55" s="26" t="s">
        <v>1</v>
      </c>
      <c r="U55" s="36" t="s">
        <v>29</v>
      </c>
      <c r="Y55" s="2" t="s">
        <v>1</v>
      </c>
      <c r="AA55" s="50" t="s">
        <v>1</v>
      </c>
      <c r="AB55" s="2"/>
      <c r="AC55" s="2"/>
      <c r="AD55" s="2"/>
      <c r="AE55" s="2"/>
      <c r="AF55" s="10" t="s">
        <v>1</v>
      </c>
      <c r="AG55" s="2"/>
      <c r="AI55" s="4"/>
    </row>
    <row r="56" spans="1:39" ht="14" x14ac:dyDescent="0.3">
      <c r="B56" s="8"/>
      <c r="F56" s="2" t="s">
        <v>30</v>
      </c>
      <c r="G56" s="2"/>
      <c r="L56" s="91"/>
      <c r="M56" s="2" t="s">
        <v>1</v>
      </c>
      <c r="O56" s="10"/>
      <c r="P56" s="2"/>
      <c r="Q56" s="4"/>
      <c r="S56" s="8"/>
      <c r="T56" s="49" t="s">
        <v>1</v>
      </c>
      <c r="U56" s="2" t="s">
        <v>30</v>
      </c>
      <c r="AF56" s="44"/>
      <c r="AG56" s="2"/>
      <c r="AI56" s="4"/>
    </row>
    <row r="57" spans="1:39" ht="15.5" x14ac:dyDescent="0.35">
      <c r="B57" s="8"/>
      <c r="C57" s="2"/>
      <c r="D57" s="9"/>
      <c r="F57" s="58" t="s">
        <v>332</v>
      </c>
      <c r="G57" s="58"/>
      <c r="H57" s="59"/>
      <c r="I57" s="60"/>
      <c r="J57" s="59"/>
      <c r="L57" s="91"/>
      <c r="O57" s="10"/>
      <c r="P57" s="2"/>
      <c r="Q57" s="4"/>
      <c r="S57" s="8"/>
      <c r="T57" s="41" t="s">
        <v>1</v>
      </c>
      <c r="U57" s="58" t="s">
        <v>35</v>
      </c>
      <c r="V57" s="59"/>
      <c r="W57" s="60"/>
      <c r="X57" s="59"/>
      <c r="Y57" s="2"/>
      <c r="AF57" s="48"/>
      <c r="AG57" s="2"/>
      <c r="AI57" s="4"/>
    </row>
    <row r="58" spans="1:39" ht="18" thickBot="1" x14ac:dyDescent="0.5">
      <c r="B58" s="8"/>
      <c r="C58" s="2"/>
      <c r="D58" s="241"/>
      <c r="F58" s="2"/>
      <c r="G58" s="9"/>
      <c r="J58" s="2"/>
      <c r="K58" s="9"/>
      <c r="L58" s="92"/>
      <c r="O58" s="10"/>
      <c r="P58" s="2"/>
      <c r="Q58" s="4"/>
      <c r="S58" s="8"/>
      <c r="V58" s="9"/>
      <c r="Y58" s="9"/>
      <c r="Z58" s="1" t="s">
        <v>1</v>
      </c>
      <c r="AF58" s="48"/>
      <c r="AG58" s="2"/>
      <c r="AI58" s="4"/>
      <c r="AJ58" s="112" t="s">
        <v>1</v>
      </c>
    </row>
    <row r="59" spans="1:39" ht="72" customHeight="1" thickBot="1" x14ac:dyDescent="0.3">
      <c r="B59" s="11" t="s">
        <v>3</v>
      </c>
      <c r="C59" s="27" t="s">
        <v>9</v>
      </c>
      <c r="D59" s="11" t="s">
        <v>4</v>
      </c>
      <c r="E59" s="12" t="s">
        <v>5</v>
      </c>
      <c r="F59" s="27" t="s">
        <v>6</v>
      </c>
      <c r="G59" s="27" t="s">
        <v>159</v>
      </c>
      <c r="H59" s="27" t="s">
        <v>18</v>
      </c>
      <c r="I59" s="12" t="s">
        <v>24</v>
      </c>
      <c r="J59" s="73" t="s">
        <v>19</v>
      </c>
      <c r="K59" s="29" t="s">
        <v>20</v>
      </c>
      <c r="L59" s="28" t="s">
        <v>21</v>
      </c>
      <c r="M59" s="39" t="s">
        <v>22</v>
      </c>
      <c r="N59" s="12" t="s">
        <v>7</v>
      </c>
      <c r="O59" s="39" t="s">
        <v>23</v>
      </c>
      <c r="P59" s="13"/>
      <c r="Q59" s="4"/>
      <c r="S59" s="11" t="s">
        <v>3</v>
      </c>
      <c r="T59" s="27" t="s">
        <v>9</v>
      </c>
      <c r="U59" s="162" t="s">
        <v>39</v>
      </c>
      <c r="V59" s="163" t="s">
        <v>40</v>
      </c>
      <c r="W59" s="163" t="s">
        <v>41</v>
      </c>
      <c r="X59" s="163" t="s">
        <v>42</v>
      </c>
      <c r="Y59" s="164" t="s">
        <v>43</v>
      </c>
      <c r="Z59" s="85" t="s">
        <v>21</v>
      </c>
      <c r="AA59" s="65" t="s">
        <v>46</v>
      </c>
      <c r="AB59" s="65" t="s">
        <v>7</v>
      </c>
      <c r="AC59" s="85" t="s">
        <v>168</v>
      </c>
      <c r="AD59" s="121" t="s">
        <v>105</v>
      </c>
      <c r="AE59" s="121" t="s">
        <v>104</v>
      </c>
      <c r="AF59" s="39" t="s">
        <v>23</v>
      </c>
      <c r="AG59" s="13"/>
      <c r="AI59" s="4"/>
    </row>
    <row r="60" spans="1:39" s="305" customFormat="1" x14ac:dyDescent="0.25">
      <c r="B60" s="303">
        <v>1</v>
      </c>
      <c r="C60" s="304" t="s">
        <v>10</v>
      </c>
      <c r="D60" s="291">
        <f>REMUNERACION_ENERBIT!D104</f>
        <v>0</v>
      </c>
      <c r="E60" s="291">
        <f>REMUNERACION_ENERBIT!E104</f>
        <v>0</v>
      </c>
      <c r="F60" s="291">
        <f>REMUNERACION_ENERBIT!F104</f>
        <v>0</v>
      </c>
      <c r="G60" s="291">
        <f>REMUNERACION_ENERBIT!G104</f>
        <v>0</v>
      </c>
      <c r="H60" s="291">
        <f>REMUNERACION_ENERBIT!H104</f>
        <v>0</v>
      </c>
      <c r="I60" s="291">
        <f>REMUNERACION_ENERBIT!I104</f>
        <v>0</v>
      </c>
      <c r="J60" s="291">
        <f>REMUNERACION_ENERBIT!J104</f>
        <v>0</v>
      </c>
      <c r="K60" s="293">
        <f>REMUNERACION_ENERBIT!K104</f>
        <v>0</v>
      </c>
      <c r="L60" s="294">
        <f>REMUNERACION_ENERBIT!L104</f>
        <v>0</v>
      </c>
      <c r="M60" s="293">
        <f>REMUNERACION_ENERBIT!M104</f>
        <v>0</v>
      </c>
      <c r="N60" s="294">
        <f>REMUNERACION_ENERBIT!N104</f>
        <v>0</v>
      </c>
      <c r="O60" s="293">
        <f>REMUNERACION_ENERBIT!O104</f>
        <v>0</v>
      </c>
      <c r="Q60" s="306"/>
      <c r="S60" s="303">
        <v>1</v>
      </c>
      <c r="T60" s="304" t="s">
        <v>10</v>
      </c>
      <c r="U60" s="307">
        <f>REMUNERACION_ENERBIT!U104</f>
        <v>0</v>
      </c>
      <c r="V60" s="308">
        <f>REMUNERACION_ENERBIT!V104</f>
        <v>0</v>
      </c>
      <c r="W60" s="308">
        <f>REMUNERACION_ENERBIT!W104</f>
        <v>0</v>
      </c>
      <c r="X60" s="308">
        <f>REMUNERACION_ENERBIT!X104</f>
        <v>0</v>
      </c>
      <c r="Y60" s="309">
        <f>REMUNERACION_ENERBIT!Y104</f>
        <v>0</v>
      </c>
      <c r="Z60" s="309">
        <f>REMUNERACION_ENERBIT!Z104</f>
        <v>0</v>
      </c>
      <c r="AA60" s="309">
        <f>REMUNERACION_ENERBIT!AA104</f>
        <v>0</v>
      </c>
      <c r="AB60" s="309">
        <f>REMUNERACION_ENERBIT!AB104</f>
        <v>0</v>
      </c>
      <c r="AC60" s="309">
        <f>REMUNERACION_ENERBIT!AC104</f>
        <v>0</v>
      </c>
      <c r="AD60" s="309">
        <f>REMUNERACION_ENERBIT!AD104</f>
        <v>0</v>
      </c>
      <c r="AE60" s="309">
        <f>REMUNERACION_ENERBIT!AE104</f>
        <v>0</v>
      </c>
      <c r="AF60" s="313">
        <f>REMUNERACION_ENERBIT!AF104</f>
        <v>0</v>
      </c>
      <c r="AG60" s="521">
        <f>REMUNERACION_ENEL!AG121</f>
        <v>0</v>
      </c>
      <c r="AH60" s="1"/>
      <c r="AI60" s="306"/>
      <c r="AM60" s="333"/>
    </row>
    <row r="61" spans="1:39" s="305" customFormat="1" x14ac:dyDescent="0.25">
      <c r="B61" s="314">
        <v>2</v>
      </c>
      <c r="C61" s="315" t="s">
        <v>11</v>
      </c>
      <c r="D61" s="291">
        <f>REMUNERACION_ENERBIT!D105</f>
        <v>0</v>
      </c>
      <c r="E61" s="291">
        <f>REMUNERACION_ENERBIT!E105</f>
        <v>0</v>
      </c>
      <c r="F61" s="291">
        <f>REMUNERACION_ENERBIT!F105</f>
        <v>0</v>
      </c>
      <c r="G61" s="291">
        <f>REMUNERACION_ENERBIT!G105</f>
        <v>0</v>
      </c>
      <c r="H61" s="291">
        <f>REMUNERACION_ENERBIT!H105</f>
        <v>0</v>
      </c>
      <c r="I61" s="291">
        <f>REMUNERACION_ENERBIT!I105</f>
        <v>0</v>
      </c>
      <c r="J61" s="291">
        <f>REMUNERACION_ENERBIT!J105</f>
        <v>0</v>
      </c>
      <c r="K61" s="295">
        <f>REMUNERACION_ENERBIT!K105</f>
        <v>0</v>
      </c>
      <c r="L61" s="294">
        <f>REMUNERACION_ENERBIT!L105</f>
        <v>0</v>
      </c>
      <c r="M61" s="295">
        <f>REMUNERACION_ENERBIT!M105</f>
        <v>0</v>
      </c>
      <c r="N61" s="294">
        <f>REMUNERACION_ENERBIT!N105</f>
        <v>0</v>
      </c>
      <c r="O61" s="295">
        <f>REMUNERACION_ENERBIT!O105</f>
        <v>0</v>
      </c>
      <c r="Q61" s="306"/>
      <c r="S61" s="314">
        <v>2</v>
      </c>
      <c r="T61" s="315" t="s">
        <v>11</v>
      </c>
      <c r="U61" s="316">
        <f>REMUNERACION_ENERBIT!U105</f>
        <v>0</v>
      </c>
      <c r="V61" s="317">
        <f>REMUNERACION_ENERBIT!V105</f>
        <v>0</v>
      </c>
      <c r="W61" s="317">
        <f>REMUNERACION_ENERBIT!W105</f>
        <v>0</v>
      </c>
      <c r="X61" s="317">
        <f>REMUNERACION_ENERBIT!X105</f>
        <v>0</v>
      </c>
      <c r="Y61" s="318">
        <f>REMUNERACION_ENERBIT!Y105</f>
        <v>0</v>
      </c>
      <c r="Z61" s="318">
        <f>REMUNERACION_ENERBIT!Z105</f>
        <v>0</v>
      </c>
      <c r="AA61" s="318">
        <f>REMUNERACION_ENERBIT!AA105</f>
        <v>0</v>
      </c>
      <c r="AB61" s="318">
        <f>REMUNERACION_ENERBIT!AB105</f>
        <v>0</v>
      </c>
      <c r="AC61" s="318">
        <f>REMUNERACION_ENERBIT!AC105</f>
        <v>0</v>
      </c>
      <c r="AD61" s="318">
        <f>REMUNERACION_ENERBIT!AD105</f>
        <v>0</v>
      </c>
      <c r="AE61" s="318">
        <f>REMUNERACION_ENERBIT!AE105</f>
        <v>0</v>
      </c>
      <c r="AF61" s="322">
        <f>REMUNERACION_ENERBIT!AF105</f>
        <v>0</v>
      </c>
      <c r="AG61" s="522">
        <f>REMUNERACION_ENEL!AG122</f>
        <v>0</v>
      </c>
      <c r="AH61" s="1"/>
      <c r="AI61" s="306"/>
      <c r="AM61" s="333"/>
    </row>
    <row r="62" spans="1:39" s="305" customFormat="1" x14ac:dyDescent="0.25">
      <c r="B62" s="314">
        <v>3</v>
      </c>
      <c r="C62" s="315" t="s">
        <v>12</v>
      </c>
      <c r="D62" s="291">
        <f>REMUNERACION_ENERBIT!D106</f>
        <v>0</v>
      </c>
      <c r="E62" s="291">
        <f>REMUNERACION_ENERBIT!E106</f>
        <v>0</v>
      </c>
      <c r="F62" s="291">
        <f>REMUNERACION_ENERBIT!F106</f>
        <v>0</v>
      </c>
      <c r="G62" s="291">
        <f>REMUNERACION_ENERBIT!G106</f>
        <v>0</v>
      </c>
      <c r="H62" s="291">
        <f>REMUNERACION_ENERBIT!H106</f>
        <v>0</v>
      </c>
      <c r="I62" s="291">
        <f>REMUNERACION_ENERBIT!I106</f>
        <v>0</v>
      </c>
      <c r="J62" s="291">
        <f>REMUNERACION_ENERBIT!J106</f>
        <v>0</v>
      </c>
      <c r="K62" s="295">
        <f>REMUNERACION_ENERBIT!K106</f>
        <v>0</v>
      </c>
      <c r="L62" s="294">
        <f>REMUNERACION_ENERBIT!L106</f>
        <v>0</v>
      </c>
      <c r="M62" s="295">
        <f>REMUNERACION_ENERBIT!M106</f>
        <v>0</v>
      </c>
      <c r="N62" s="294">
        <f>REMUNERACION_ENERBIT!N106</f>
        <v>0</v>
      </c>
      <c r="O62" s="295">
        <f>REMUNERACION_ENERBIT!O106</f>
        <v>0</v>
      </c>
      <c r="Q62" s="306"/>
      <c r="S62" s="314">
        <v>3</v>
      </c>
      <c r="T62" s="315" t="s">
        <v>12</v>
      </c>
      <c r="U62" s="316">
        <f>REMUNERACION_ENERBIT!U106</f>
        <v>0</v>
      </c>
      <c r="V62" s="317">
        <f>REMUNERACION_ENERBIT!V106</f>
        <v>0</v>
      </c>
      <c r="W62" s="317">
        <f>REMUNERACION_ENERBIT!W106</f>
        <v>0</v>
      </c>
      <c r="X62" s="317">
        <f>REMUNERACION_ENERBIT!X106</f>
        <v>0</v>
      </c>
      <c r="Y62" s="318">
        <f>REMUNERACION_ENERBIT!Y106</f>
        <v>0</v>
      </c>
      <c r="Z62" s="318">
        <f>REMUNERACION_ENERBIT!Z106</f>
        <v>0</v>
      </c>
      <c r="AA62" s="318">
        <f>REMUNERACION_ENERBIT!AA106</f>
        <v>0</v>
      </c>
      <c r="AB62" s="318">
        <f>REMUNERACION_ENERBIT!AB106</f>
        <v>0</v>
      </c>
      <c r="AC62" s="318">
        <f>REMUNERACION_ENERBIT!AC106</f>
        <v>0</v>
      </c>
      <c r="AD62" s="318">
        <f>REMUNERACION_ENERBIT!AD106</f>
        <v>0</v>
      </c>
      <c r="AE62" s="318">
        <f>REMUNERACION_ENERBIT!AE106</f>
        <v>0</v>
      </c>
      <c r="AF62" s="322">
        <f>REMUNERACION_ENERBIT!AF106</f>
        <v>0</v>
      </c>
      <c r="AG62" s="522">
        <f>REMUNERACION_ENEL!AG123</f>
        <v>0</v>
      </c>
      <c r="AH62" s="1"/>
      <c r="AI62" s="306"/>
      <c r="AM62" s="333"/>
    </row>
    <row r="63" spans="1:39" s="305" customFormat="1" x14ac:dyDescent="0.25">
      <c r="B63" s="314">
        <v>4</v>
      </c>
      <c r="C63" s="315" t="s">
        <v>13</v>
      </c>
      <c r="D63" s="291">
        <f>REMUNERACION_ENERBIT!D107</f>
        <v>0</v>
      </c>
      <c r="E63" s="291">
        <f>REMUNERACION_ENERBIT!E107</f>
        <v>0</v>
      </c>
      <c r="F63" s="291">
        <f>REMUNERACION_ENERBIT!F107</f>
        <v>0</v>
      </c>
      <c r="G63" s="291">
        <f>REMUNERACION_ENERBIT!G107</f>
        <v>0</v>
      </c>
      <c r="H63" s="291">
        <f>REMUNERACION_ENERBIT!H107</f>
        <v>0</v>
      </c>
      <c r="I63" s="291">
        <f>REMUNERACION_ENERBIT!I107</f>
        <v>0</v>
      </c>
      <c r="J63" s="291">
        <f>REMUNERACION_ENERBIT!J107</f>
        <v>0</v>
      </c>
      <c r="K63" s="295">
        <f>REMUNERACION_ENERBIT!K107</f>
        <v>0</v>
      </c>
      <c r="L63" s="294">
        <f>REMUNERACION_ENERBIT!L107</f>
        <v>0</v>
      </c>
      <c r="M63" s="295">
        <f>REMUNERACION_ENERBIT!M107</f>
        <v>0</v>
      </c>
      <c r="N63" s="294">
        <f>REMUNERACION_ENERBIT!N107</f>
        <v>0</v>
      </c>
      <c r="O63" s="295">
        <f>REMUNERACION_ENERBIT!O107</f>
        <v>0</v>
      </c>
      <c r="Q63" s="306"/>
      <c r="S63" s="314">
        <v>4</v>
      </c>
      <c r="T63" s="315" t="s">
        <v>13</v>
      </c>
      <c r="U63" s="316">
        <f>REMUNERACION_ENERBIT!U107</f>
        <v>0</v>
      </c>
      <c r="V63" s="317">
        <f>REMUNERACION_ENERBIT!V107</f>
        <v>0</v>
      </c>
      <c r="W63" s="317">
        <f>REMUNERACION_ENERBIT!W107</f>
        <v>0</v>
      </c>
      <c r="X63" s="317">
        <f>REMUNERACION_ENERBIT!X107</f>
        <v>0</v>
      </c>
      <c r="Y63" s="318">
        <f>REMUNERACION_ENERBIT!Y107</f>
        <v>0</v>
      </c>
      <c r="Z63" s="318">
        <f>REMUNERACION_ENERBIT!Z107</f>
        <v>0</v>
      </c>
      <c r="AA63" s="318">
        <f>REMUNERACION_ENERBIT!AA107</f>
        <v>0</v>
      </c>
      <c r="AB63" s="318">
        <f>REMUNERACION_ENERBIT!AB107</f>
        <v>0</v>
      </c>
      <c r="AC63" s="318">
        <f>REMUNERACION_ENERBIT!AC107</f>
        <v>0</v>
      </c>
      <c r="AD63" s="318">
        <f>REMUNERACION_ENERBIT!AD107</f>
        <v>0</v>
      </c>
      <c r="AE63" s="318">
        <f>REMUNERACION_ENERBIT!AE107</f>
        <v>0</v>
      </c>
      <c r="AF63" s="322">
        <f>REMUNERACION_ENERBIT!AF107</f>
        <v>0</v>
      </c>
      <c r="AG63" s="522">
        <f>REMUNERACION_ENEL!AG124</f>
        <v>0</v>
      </c>
      <c r="AH63" s="1"/>
      <c r="AI63" s="306"/>
      <c r="AM63" s="333"/>
    </row>
    <row r="64" spans="1:39" s="305" customFormat="1" ht="12" thickBot="1" x14ac:dyDescent="0.3">
      <c r="B64" s="324">
        <v>5</v>
      </c>
      <c r="C64" s="325" t="s">
        <v>14</v>
      </c>
      <c r="D64" s="291">
        <f>REMUNERACION_ENERBIT!D108</f>
        <v>33106622.48</v>
      </c>
      <c r="E64" s="291">
        <f>REMUNERACION_ENERBIT!E108</f>
        <v>2354015.58</v>
      </c>
      <c r="F64" s="291">
        <f>REMUNERACION_ENERBIT!F108</f>
        <v>1304933.33</v>
      </c>
      <c r="G64" s="291">
        <f>REMUNERACION_ENERBIT!G108</f>
        <v>678365.21</v>
      </c>
      <c r="H64" s="291">
        <f>REMUNERACION_ENERBIT!H108</f>
        <v>8664264.7300000004</v>
      </c>
      <c r="I64" s="291">
        <f>REMUNERACION_ENERBIT!I108</f>
        <v>306609.89</v>
      </c>
      <c r="J64" s="291">
        <f>REMUNERACION_ENERBIT!J108</f>
        <v>0</v>
      </c>
      <c r="K64" s="295">
        <f>REMUNERACION_ENERBIT!K108</f>
        <v>19798433.739999998</v>
      </c>
      <c r="L64" s="294">
        <f>REMUNERACION_ENERBIT!L108</f>
        <v>0</v>
      </c>
      <c r="M64" s="298">
        <f>REMUNERACION_ENERBIT!M108</f>
        <v>19798433.739999998</v>
      </c>
      <c r="N64" s="299">
        <f>REMUNERACION_ENERBIT!N108</f>
        <v>0</v>
      </c>
      <c r="O64" s="298">
        <f>REMUNERACION_ENERBIT!O108</f>
        <v>19798433.739999998</v>
      </c>
      <c r="Q64" s="306"/>
      <c r="S64" s="324">
        <v>5</v>
      </c>
      <c r="T64" s="325" t="s">
        <v>14</v>
      </c>
      <c r="U64" s="296">
        <f>REMUNERACION_ENERBIT!U108</f>
        <v>2695565.9899999998</v>
      </c>
      <c r="V64" s="297">
        <f>REMUNERACION_ENERBIT!V108</f>
        <v>2662800.6100000003</v>
      </c>
      <c r="W64" s="297">
        <f>REMUNERACION_ENERBIT!W108</f>
        <v>13468229.43</v>
      </c>
      <c r="X64" s="297">
        <f>REMUNERACION_ENERBIT!X108</f>
        <v>6732768.6600000001</v>
      </c>
      <c r="Y64" s="289">
        <f>REMUNERACION_ENERBIT!Y108</f>
        <v>496966.43</v>
      </c>
      <c r="Z64" s="289">
        <f>REMUNERACION_ENERBIT!Z108</f>
        <v>0</v>
      </c>
      <c r="AA64" s="289">
        <f>REMUNERACION_ENERBIT!AA108</f>
        <v>65.34</v>
      </c>
      <c r="AB64" s="289">
        <f>REMUNERACION_ENERBIT!AB108</f>
        <v>0</v>
      </c>
      <c r="AC64" s="289">
        <f>REMUNERACION_ENERBIT!AC108</f>
        <v>0</v>
      </c>
      <c r="AD64" s="289">
        <f>REMUNERACION_ENERBIT!AD108</f>
        <v>-6257962.7199999997</v>
      </c>
      <c r="AE64" s="289">
        <f>REMUNERACION_ENERBIT!AE108</f>
        <v>-6257962.7199999997</v>
      </c>
      <c r="AF64" s="322">
        <f>REMUNERACION_ENERBIT!AF108</f>
        <v>19798433.740000002</v>
      </c>
      <c r="AG64" s="523">
        <f>REMUNERACION_ENEL!AG125</f>
        <v>0</v>
      </c>
      <c r="AH64" s="1"/>
      <c r="AI64" s="306"/>
      <c r="AM64" s="333"/>
    </row>
    <row r="65" spans="1:39" s="305" customFormat="1" ht="13.5" thickBot="1" x14ac:dyDescent="0.35">
      <c r="B65" s="327"/>
      <c r="C65" s="328" t="s">
        <v>2</v>
      </c>
      <c r="D65" s="290">
        <f>REMUNERACION_ENERBIT!D109</f>
        <v>33106622.48</v>
      </c>
      <c r="E65" s="290">
        <f>REMUNERACION_ENERBIT!E109</f>
        <v>2354015.58</v>
      </c>
      <c r="F65" s="290">
        <f>REMUNERACION_ENERBIT!F109</f>
        <v>1304933.33</v>
      </c>
      <c r="G65" s="290">
        <f>REMUNERACION_ENERBIT!G109</f>
        <v>678365.21</v>
      </c>
      <c r="H65" s="290">
        <f>REMUNERACION_ENERBIT!H109</f>
        <v>8664264.7300000004</v>
      </c>
      <c r="I65" s="290">
        <f>REMUNERACION_ENERBIT!I109</f>
        <v>306609.89</v>
      </c>
      <c r="J65" s="290">
        <f>REMUNERACION_ENERBIT!J109</f>
        <v>0</v>
      </c>
      <c r="K65" s="300">
        <f>REMUNERACION_ENERBIT!K109</f>
        <v>19798433.739999998</v>
      </c>
      <c r="L65" s="301">
        <f>REMUNERACION_ENERBIT!L109</f>
        <v>0</v>
      </c>
      <c r="M65" s="302">
        <f>REMUNERACION_ENERBIT!M109</f>
        <v>19798433.739999998</v>
      </c>
      <c r="N65" s="301">
        <f>REMUNERACION_ENERBIT!N109</f>
        <v>0</v>
      </c>
      <c r="O65" s="302">
        <f>REMUNERACION_ENERBIT!O109</f>
        <v>19798433.739999998</v>
      </c>
      <c r="P65" s="329"/>
      <c r="Q65" s="306"/>
      <c r="S65" s="327"/>
      <c r="T65" s="328" t="s">
        <v>2</v>
      </c>
      <c r="U65" s="330">
        <f>REMUNERACION_ENERBIT!U109</f>
        <v>2695565.9899999998</v>
      </c>
      <c r="V65" s="330">
        <f>REMUNERACION_ENERBIT!V109</f>
        <v>2662800.6100000003</v>
      </c>
      <c r="W65" s="330">
        <f>REMUNERACION_ENERBIT!W109</f>
        <v>13468229.43</v>
      </c>
      <c r="X65" s="330">
        <f>REMUNERACION_ENERBIT!X109</f>
        <v>6732768.6600000001</v>
      </c>
      <c r="Y65" s="330">
        <f>REMUNERACION_ENERBIT!Y109</f>
        <v>496966.43</v>
      </c>
      <c r="Z65" s="330">
        <f>REMUNERACION_ENERBIT!Z109</f>
        <v>0</v>
      </c>
      <c r="AA65" s="330">
        <f>REMUNERACION_ENERBIT!AA109</f>
        <v>65.34</v>
      </c>
      <c r="AB65" s="330">
        <f>REMUNERACION_ENERBIT!AB109</f>
        <v>0</v>
      </c>
      <c r="AC65" s="330">
        <f>REMUNERACION_ENERBIT!AC109</f>
        <v>0</v>
      </c>
      <c r="AD65" s="330">
        <f>REMUNERACION_ENERBIT!AD109</f>
        <v>-6257962.7199999997</v>
      </c>
      <c r="AE65" s="330">
        <f>REMUNERACION_ENERBIT!AE109</f>
        <v>-6257962.7199999997</v>
      </c>
      <c r="AF65" s="331">
        <f>REMUNERACION_ENERBIT!AF109</f>
        <v>19798433.740000002</v>
      </c>
      <c r="AG65" s="524">
        <f>REMUNERACION_ENEL!AG126</f>
        <v>0</v>
      </c>
      <c r="AH65" s="1"/>
      <c r="AI65" s="306"/>
      <c r="AM65" s="333"/>
    </row>
    <row r="66" spans="1:39" x14ac:dyDescent="0.25">
      <c r="B66" s="2"/>
      <c r="C66" s="2"/>
      <c r="D66" s="448"/>
      <c r="E66" s="448"/>
      <c r="F66" s="448"/>
      <c r="G66" s="448"/>
      <c r="H66" s="448"/>
      <c r="I66" s="448"/>
      <c r="K66" s="448"/>
      <c r="L66" s="448"/>
      <c r="M66" s="448"/>
      <c r="N66" s="448"/>
      <c r="O66" s="448"/>
      <c r="Q66" s="4"/>
      <c r="S66" s="2"/>
      <c r="T66" s="2"/>
      <c r="U66" s="448"/>
      <c r="V66" s="448"/>
      <c r="W66" s="448"/>
      <c r="X66" s="448"/>
      <c r="Y66" s="448"/>
      <c r="AF66" s="448"/>
      <c r="AI66" s="4"/>
    </row>
    <row r="67" spans="1:39" x14ac:dyDescent="0.25">
      <c r="B67" s="2"/>
      <c r="C67" s="2"/>
      <c r="D67" s="549"/>
      <c r="E67" s="549"/>
      <c r="F67" s="549"/>
      <c r="G67" s="549"/>
      <c r="H67" s="549"/>
      <c r="I67" s="549"/>
      <c r="K67" s="549"/>
      <c r="L67" s="549"/>
      <c r="M67" s="549"/>
      <c r="N67" s="549"/>
      <c r="O67" s="549"/>
      <c r="Q67" s="4"/>
      <c r="AI67" s="4"/>
    </row>
    <row r="68" spans="1:39" ht="12" thickBot="1" x14ac:dyDescent="0.3">
      <c r="A68" s="4"/>
      <c r="B68" s="34"/>
      <c r="C68" s="34"/>
      <c r="D68" s="474"/>
      <c r="E68" s="474"/>
      <c r="F68" s="474"/>
      <c r="G68" s="474"/>
      <c r="H68" s="474"/>
      <c r="I68" s="474"/>
      <c r="J68" s="4"/>
      <c r="K68" s="474"/>
      <c r="L68" s="474"/>
      <c r="M68" s="474"/>
      <c r="N68" s="474"/>
      <c r="O68" s="47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  <c r="AD68" s="4"/>
      <c r="AE68" s="4"/>
      <c r="AF68" s="4"/>
      <c r="AG68" s="4"/>
      <c r="AH68" s="4"/>
      <c r="AI68" s="4"/>
    </row>
    <row r="69" spans="1:39" x14ac:dyDescent="0.25">
      <c r="B69" s="5"/>
      <c r="C69" s="3" t="s">
        <v>1</v>
      </c>
      <c r="D69" s="6" t="s">
        <v>1</v>
      </c>
      <c r="E69" s="3"/>
      <c r="F69" s="3"/>
      <c r="G69" s="3"/>
      <c r="H69" s="3" t="s">
        <v>1</v>
      </c>
      <c r="I69" s="3"/>
      <c r="J69" s="3"/>
      <c r="K69" s="3"/>
      <c r="L69" s="3"/>
      <c r="M69" s="3"/>
      <c r="N69" s="3"/>
      <c r="O69" s="7"/>
      <c r="P69" s="2"/>
      <c r="Q69" s="4"/>
      <c r="S69" s="5"/>
      <c r="T69" s="3" t="s">
        <v>1</v>
      </c>
      <c r="U69" s="6" t="s">
        <v>1</v>
      </c>
      <c r="V69" s="3"/>
      <c r="W69" s="3"/>
      <c r="X69" s="3" t="s">
        <v>1</v>
      </c>
      <c r="Y69" s="3"/>
      <c r="Z69" s="3"/>
      <c r="AA69" s="3"/>
      <c r="AB69" s="3"/>
      <c r="AC69" s="3"/>
      <c r="AD69" s="3"/>
      <c r="AE69" s="3"/>
      <c r="AF69" s="7"/>
      <c r="AG69" s="2"/>
      <c r="AI69" s="4"/>
    </row>
    <row r="70" spans="1:39" ht="14" x14ac:dyDescent="0.3">
      <c r="B70" s="8"/>
      <c r="F70" s="26" t="s">
        <v>8</v>
      </c>
      <c r="G70" s="26"/>
      <c r="I70" s="26" t="s">
        <v>16</v>
      </c>
      <c r="J70" s="25"/>
      <c r="M70" s="2"/>
      <c r="N70" s="50"/>
      <c r="O70" s="10"/>
      <c r="P70" s="2"/>
      <c r="Q70" s="4"/>
      <c r="S70" s="8"/>
      <c r="U70" s="26" t="s">
        <v>8</v>
      </c>
      <c r="W70" s="26" t="s">
        <v>16</v>
      </c>
      <c r="X70" s="25"/>
      <c r="Y70" s="2"/>
      <c r="AA70" s="2"/>
      <c r="AD70" s="50"/>
      <c r="AE70" s="84"/>
      <c r="AF70" s="48"/>
      <c r="AG70" s="2"/>
      <c r="AI70" s="4"/>
    </row>
    <row r="71" spans="1:39" ht="15.5" x14ac:dyDescent="0.35">
      <c r="B71" s="8"/>
      <c r="F71" s="36" t="s">
        <v>29</v>
      </c>
      <c r="G71" s="36"/>
      <c r="O71" s="10"/>
      <c r="P71" s="2"/>
      <c r="Q71" s="4"/>
      <c r="S71" s="8"/>
      <c r="T71" s="26" t="s">
        <v>1</v>
      </c>
      <c r="U71" s="36" t="s">
        <v>29</v>
      </c>
      <c r="Y71" s="2" t="s">
        <v>1</v>
      </c>
      <c r="AA71" s="50" t="s">
        <v>1</v>
      </c>
      <c r="AB71" s="2"/>
      <c r="AC71" s="2"/>
      <c r="AD71" s="2"/>
      <c r="AE71" s="2"/>
      <c r="AF71" s="10" t="s">
        <v>1</v>
      </c>
      <c r="AG71" s="2"/>
      <c r="AI71" s="4"/>
    </row>
    <row r="72" spans="1:39" ht="14" x14ac:dyDescent="0.3">
      <c r="B72" s="8"/>
      <c r="F72" s="2" t="s">
        <v>30</v>
      </c>
      <c r="G72" s="2"/>
      <c r="M72" s="2" t="s">
        <v>1</v>
      </c>
      <c r="O72" s="10"/>
      <c r="P72" s="2"/>
      <c r="Q72" s="4"/>
      <c r="S72" s="8"/>
      <c r="T72" s="49" t="s">
        <v>1</v>
      </c>
      <c r="U72" s="2" t="s">
        <v>30</v>
      </c>
      <c r="AF72" s="44"/>
      <c r="AG72" s="2"/>
      <c r="AI72" s="4"/>
    </row>
    <row r="73" spans="1:39" ht="15.5" x14ac:dyDescent="0.35">
      <c r="B73" s="8"/>
      <c r="C73" s="2"/>
      <c r="D73" s="9"/>
      <c r="F73" s="476" t="s">
        <v>188</v>
      </c>
      <c r="G73" s="476"/>
      <c r="H73" s="477"/>
      <c r="I73" s="478"/>
      <c r="J73" s="477"/>
      <c r="O73" s="10"/>
      <c r="P73" s="2"/>
      <c r="Q73" s="4"/>
      <c r="S73" s="8"/>
      <c r="T73" s="41" t="s">
        <v>1</v>
      </c>
      <c r="U73" s="41" t="s">
        <v>35</v>
      </c>
      <c r="V73" s="2"/>
      <c r="X73" s="2"/>
      <c r="Y73" s="2"/>
      <c r="AF73" s="48"/>
      <c r="AG73" s="2"/>
      <c r="AI73" s="4"/>
    </row>
    <row r="74" spans="1:39" ht="12" thickBot="1" x14ac:dyDescent="0.3">
      <c r="B74" s="8"/>
      <c r="C74" s="2"/>
      <c r="D74" s="241"/>
      <c r="F74" s="2"/>
      <c r="G74" s="9"/>
      <c r="H74" s="9"/>
      <c r="J74" s="2"/>
      <c r="K74" s="9"/>
      <c r="O74" s="10"/>
      <c r="P74" s="2"/>
      <c r="Q74" s="4"/>
      <c r="S74" s="8"/>
      <c r="V74" s="9"/>
      <c r="Y74" s="9"/>
      <c r="AF74" s="48"/>
      <c r="AG74" s="2"/>
      <c r="AI74" s="4"/>
      <c r="AJ74" s="1" t="s">
        <v>1</v>
      </c>
    </row>
    <row r="75" spans="1:39" ht="69.5" thickBot="1" x14ac:dyDescent="0.3">
      <c r="B75" s="11" t="s">
        <v>3</v>
      </c>
      <c r="C75" s="27" t="s">
        <v>9</v>
      </c>
      <c r="D75" s="11" t="s">
        <v>4</v>
      </c>
      <c r="E75" s="12" t="s">
        <v>5</v>
      </c>
      <c r="F75" s="12" t="s">
        <v>6</v>
      </c>
      <c r="G75" s="27" t="s">
        <v>159</v>
      </c>
      <c r="H75" s="12" t="s">
        <v>18</v>
      </c>
      <c r="I75" s="12" t="s">
        <v>24</v>
      </c>
      <c r="J75" s="73" t="s">
        <v>19</v>
      </c>
      <c r="K75" s="29" t="s">
        <v>20</v>
      </c>
      <c r="L75" s="28" t="s">
        <v>21</v>
      </c>
      <c r="M75" s="39" t="s">
        <v>22</v>
      </c>
      <c r="N75" s="12" t="s">
        <v>7</v>
      </c>
      <c r="O75" s="39" t="s">
        <v>23</v>
      </c>
      <c r="P75" s="13"/>
      <c r="Q75" s="4"/>
      <c r="S75" s="11" t="s">
        <v>3</v>
      </c>
      <c r="T75" s="27" t="s">
        <v>9</v>
      </c>
      <c r="U75" s="80" t="s">
        <v>39</v>
      </c>
      <c r="V75" s="51" t="s">
        <v>40</v>
      </c>
      <c r="W75" s="51" t="s">
        <v>41</v>
      </c>
      <c r="X75" s="51" t="s">
        <v>42</v>
      </c>
      <c r="Y75" s="81" t="s">
        <v>43</v>
      </c>
      <c r="Z75" s="85" t="s">
        <v>21</v>
      </c>
      <c r="AA75" s="65" t="s">
        <v>46</v>
      </c>
      <c r="AB75" s="65" t="s">
        <v>7</v>
      </c>
      <c r="AC75" s="85" t="s">
        <v>168</v>
      </c>
      <c r="AD75" s="121" t="s">
        <v>105</v>
      </c>
      <c r="AE75" s="121" t="s">
        <v>104</v>
      </c>
      <c r="AF75" s="39" t="s">
        <v>23</v>
      </c>
      <c r="AG75" s="13"/>
      <c r="AI75" s="4"/>
    </row>
    <row r="76" spans="1:39" s="305" customFormat="1" x14ac:dyDescent="0.25">
      <c r="B76" s="303">
        <v>1</v>
      </c>
      <c r="C76" s="304" t="s">
        <v>10</v>
      </c>
      <c r="D76" s="291">
        <f>'REMUNERACION_OCCIDENTE_ Directa'!D104</f>
        <v>807049068.57000017</v>
      </c>
      <c r="E76" s="292">
        <f>'REMUNERACION_OCCIDENTE_ Directa'!E104</f>
        <v>99193733.159999996</v>
      </c>
      <c r="F76" s="292">
        <f>'REMUNERACION_OCCIDENTE_ Directa'!F104</f>
        <v>55706578.209999993</v>
      </c>
      <c r="G76" s="292">
        <f>'REMUNERACION_OCCIDENTE_ Directa'!G104</f>
        <v>29360739.059999999</v>
      </c>
      <c r="H76" s="292">
        <f>'REMUNERACION_OCCIDENTE_ Directa'!H104</f>
        <v>53694460.149999999</v>
      </c>
      <c r="I76" s="292">
        <f>'REMUNERACION_OCCIDENTE_ Directa'!I104</f>
        <v>1708389.85</v>
      </c>
      <c r="J76" s="288">
        <f>'REMUNERACION_OCCIDENTE_ Directa'!J104</f>
        <v>0</v>
      </c>
      <c r="K76" s="293">
        <f>'REMUNERACION_OCCIDENTE_ Directa'!K104</f>
        <v>567385168.14000022</v>
      </c>
      <c r="L76" s="294">
        <f>'REMUNERACION_OCCIDENTE_ Directa'!L104</f>
        <v>0</v>
      </c>
      <c r="M76" s="293">
        <f>'REMUNERACION_OCCIDENTE_ Directa'!M104</f>
        <v>567385168.14000022</v>
      </c>
      <c r="N76" s="294">
        <f>'REMUNERACION_OCCIDENTE_ Directa'!N104</f>
        <v>8760824.0099999998</v>
      </c>
      <c r="O76" s="293">
        <f>'REMUNERACION_OCCIDENTE_ Directa'!O104</f>
        <v>576145992.15000021</v>
      </c>
      <c r="Q76" s="306"/>
      <c r="S76" s="303">
        <v>1</v>
      </c>
      <c r="T76" s="304" t="s">
        <v>10</v>
      </c>
      <c r="U76" s="307">
        <f>'REMUNERACION_OCCIDENTE_ Directa'!U104</f>
        <v>15073165.450000001</v>
      </c>
      <c r="V76" s="308">
        <f>'REMUNERACION_OCCIDENTE_ Directa'!V104</f>
        <v>18351766.840000004</v>
      </c>
      <c r="W76" s="308">
        <f>'REMUNERACION_OCCIDENTE_ Directa'!W104</f>
        <v>85158116.140000001</v>
      </c>
      <c r="X76" s="308">
        <f>'REMUNERACION_OCCIDENTE_ Directa'!X104</f>
        <v>271402094.66000003</v>
      </c>
      <c r="Y76" s="309">
        <f>'REMUNERACION_OCCIDENTE_ Directa'!Y104</f>
        <v>2783141.35</v>
      </c>
      <c r="Z76" s="310">
        <f>'REMUNERACION_OCCIDENTE_ Directa'!Z104</f>
        <v>0</v>
      </c>
      <c r="AA76" s="311">
        <f>'REMUNERACION_OCCIDENTE_ Directa'!AA104</f>
        <v>-864.44</v>
      </c>
      <c r="AB76" s="294">
        <f>'REMUNERACION_OCCIDENTE_ Directa'!AB104</f>
        <v>8760824.0099999998</v>
      </c>
      <c r="AC76" s="311">
        <f>'REMUNERACION_OCCIDENTE_ Directa'!AC104</f>
        <v>-2114.38</v>
      </c>
      <c r="AD76" s="291">
        <f>'REMUNERACION_OCCIDENTE_ Directa'!AD104</f>
        <v>174619862.51999998</v>
      </c>
      <c r="AE76" s="291">
        <f>'REMUNERACION_OCCIDENTE_ Directa'!AE104</f>
        <v>174619862.51999998</v>
      </c>
      <c r="AF76" s="313">
        <f>'REMUNERACION_OCCIDENTE_ Directa'!AF104</f>
        <v>576145992.1500001</v>
      </c>
      <c r="AG76" s="521">
        <f>'REMUNERACION_OCCIDENTE_ Directa'!AG104</f>
        <v>0</v>
      </c>
      <c r="AH76" s="1"/>
      <c r="AI76" s="306"/>
      <c r="AM76" s="333"/>
    </row>
    <row r="77" spans="1:39" s="305" customFormat="1" x14ac:dyDescent="0.25">
      <c r="B77" s="314">
        <v>2</v>
      </c>
      <c r="C77" s="315" t="s">
        <v>11</v>
      </c>
      <c r="D77" s="291">
        <f>'REMUNERACION_OCCIDENTE_ Directa'!D105</f>
        <v>1404601147.78</v>
      </c>
      <c r="E77" s="292">
        <f>'REMUNERACION_OCCIDENTE_ Directa'!E105</f>
        <v>183955211.98000002</v>
      </c>
      <c r="F77" s="292">
        <f>'REMUNERACION_OCCIDENTE_ Directa'!F105</f>
        <v>102944599.42999999</v>
      </c>
      <c r="G77" s="292">
        <f>'REMUNERACION_OCCIDENTE_ Directa'!G105</f>
        <v>54335275.669999994</v>
      </c>
      <c r="H77" s="292">
        <f>'REMUNERACION_OCCIDENTE_ Directa'!H105</f>
        <v>214011816.64000002</v>
      </c>
      <c r="I77" s="292">
        <f>'REMUNERACION_OCCIDENTE_ Directa'!I105</f>
        <v>5870826.8500000006</v>
      </c>
      <c r="J77" s="288">
        <f>'REMUNERACION_OCCIDENTE_ Directa'!J105</f>
        <v>0</v>
      </c>
      <c r="K77" s="295">
        <f>'REMUNERACION_OCCIDENTE_ Directa'!K105</f>
        <v>843483417.20999992</v>
      </c>
      <c r="L77" s="294">
        <f>'REMUNERACION_OCCIDENTE_ Directa'!L105</f>
        <v>0</v>
      </c>
      <c r="M77" s="295">
        <f>'REMUNERACION_OCCIDENTE_ Directa'!M105</f>
        <v>843483417.20999992</v>
      </c>
      <c r="N77" s="294">
        <f>'REMUNERACION_OCCIDENTE_ Directa'!N105</f>
        <v>29180991.390000001</v>
      </c>
      <c r="O77" s="295">
        <f>'REMUNERACION_OCCIDENTE_ Directa'!O105</f>
        <v>872664408.5999999</v>
      </c>
      <c r="Q77" s="306"/>
      <c r="S77" s="314">
        <v>2</v>
      </c>
      <c r="T77" s="315" t="s">
        <v>11</v>
      </c>
      <c r="U77" s="316">
        <f>'REMUNERACION_OCCIDENTE_ Directa'!U105</f>
        <v>51434199.740000002</v>
      </c>
      <c r="V77" s="317">
        <f>'REMUNERACION_OCCIDENTE_ Directa'!V105</f>
        <v>70337397.799999997</v>
      </c>
      <c r="W77" s="317">
        <f>'REMUNERACION_OCCIDENTE_ Directa'!W105</f>
        <v>321021887.77000004</v>
      </c>
      <c r="X77" s="317">
        <f>'REMUNERACION_OCCIDENTE_ Directa'!X105</f>
        <v>381196564.10999995</v>
      </c>
      <c r="Y77" s="318">
        <f>'REMUNERACION_OCCIDENTE_ Directa'!Y105</f>
        <v>9471108.7799999993</v>
      </c>
      <c r="Z77" s="319">
        <f>'REMUNERACION_OCCIDENTE_ Directa'!Z105</f>
        <v>0</v>
      </c>
      <c r="AA77" s="320">
        <f>'REMUNERACION_OCCIDENTE_ Directa'!AA105</f>
        <v>-3277.8299999999995</v>
      </c>
      <c r="AB77" s="294">
        <f>'REMUNERACION_OCCIDENTE_ Directa'!AB105</f>
        <v>29180991.390000001</v>
      </c>
      <c r="AC77" s="320">
        <f>'REMUNERACION_OCCIDENTE_ Directa'!AC105</f>
        <v>-13.53</v>
      </c>
      <c r="AD77" s="291">
        <f>'REMUNERACION_OCCIDENTE_ Directa'!AD105</f>
        <v>10025550.370000001</v>
      </c>
      <c r="AE77" s="291">
        <f>'REMUNERACION_OCCIDENTE_ Directa'!AE105</f>
        <v>10025550.370000001</v>
      </c>
      <c r="AF77" s="322">
        <f>'REMUNERACION_OCCIDENTE_ Directa'!AF105</f>
        <v>872664408.60000002</v>
      </c>
      <c r="AG77" s="522">
        <f>'REMUNERACION_OCCIDENTE_ Directa'!AG105</f>
        <v>0</v>
      </c>
      <c r="AH77" s="1"/>
      <c r="AI77" s="306"/>
      <c r="AM77" s="333"/>
    </row>
    <row r="78" spans="1:39" s="305" customFormat="1" x14ac:dyDescent="0.25">
      <c r="B78" s="314">
        <v>3</v>
      </c>
      <c r="C78" s="315" t="s">
        <v>12</v>
      </c>
      <c r="D78" s="291">
        <f>'REMUNERACION_OCCIDENTE_ Directa'!D106</f>
        <v>1245261377.0799999</v>
      </c>
      <c r="E78" s="292">
        <f>'REMUNERACION_OCCIDENTE_ Directa'!E106</f>
        <v>169179321.98000002</v>
      </c>
      <c r="F78" s="292">
        <f>'REMUNERACION_OCCIDENTE_ Directa'!F106</f>
        <v>94674360.829999998</v>
      </c>
      <c r="G78" s="292">
        <f>'REMUNERACION_OCCIDENTE_ Directa'!G106</f>
        <v>50112712.770000003</v>
      </c>
      <c r="H78" s="292">
        <f>'REMUNERACION_OCCIDENTE_ Directa'!H106</f>
        <v>37910837.479999997</v>
      </c>
      <c r="I78" s="292">
        <f>'REMUNERACION_OCCIDENTE_ Directa'!I106</f>
        <v>1165755.6399999999</v>
      </c>
      <c r="J78" s="288">
        <f>'REMUNERACION_OCCIDENTE_ Directa'!J106</f>
        <v>0</v>
      </c>
      <c r="K78" s="295">
        <f>'REMUNERACION_OCCIDENTE_ Directa'!K106</f>
        <v>892218388.37999988</v>
      </c>
      <c r="L78" s="294">
        <f>'REMUNERACION_OCCIDENTE_ Directa'!L106</f>
        <v>0</v>
      </c>
      <c r="M78" s="295">
        <f>'REMUNERACION_OCCIDENTE_ Directa'!M106</f>
        <v>892218388.37999988</v>
      </c>
      <c r="N78" s="294">
        <f>'REMUNERACION_OCCIDENTE_ Directa'!N106</f>
        <v>1311387.82</v>
      </c>
      <c r="O78" s="295">
        <f>'REMUNERACION_OCCIDENTE_ Directa'!O106</f>
        <v>893529776.19999993</v>
      </c>
      <c r="Q78" s="306"/>
      <c r="S78" s="314">
        <v>3</v>
      </c>
      <c r="T78" s="315" t="s">
        <v>12</v>
      </c>
      <c r="U78" s="316">
        <f>'REMUNERACION_OCCIDENTE_ Directa'!U106</f>
        <v>10225267.880000001</v>
      </c>
      <c r="V78" s="317">
        <f>'REMUNERACION_OCCIDENTE_ Directa'!V106</f>
        <v>13794028.73</v>
      </c>
      <c r="W78" s="317">
        <f>'REMUNERACION_OCCIDENTE_ Directa'!W106</f>
        <v>64505492.360000007</v>
      </c>
      <c r="X78" s="317">
        <f>'REMUNERACION_OCCIDENTE_ Directa'!X106</f>
        <v>393819035.60999995</v>
      </c>
      <c r="Y78" s="318">
        <f>'REMUNERACION_OCCIDENTE_ Directa'!Y106</f>
        <v>1909745.96</v>
      </c>
      <c r="Z78" s="319">
        <f>'REMUNERACION_OCCIDENTE_ Directa'!Z106</f>
        <v>0</v>
      </c>
      <c r="AA78" s="320">
        <f>'REMUNERACION_OCCIDENTE_ Directa'!AA106</f>
        <v>-972.41000000000008</v>
      </c>
      <c r="AB78" s="294">
        <f>'REMUNERACION_OCCIDENTE_ Directa'!AB106</f>
        <v>1311387.82</v>
      </c>
      <c r="AC78" s="320">
        <f>'REMUNERACION_OCCIDENTE_ Directa'!AC106</f>
        <v>-11886.56</v>
      </c>
      <c r="AD78" s="291">
        <f>'REMUNERACION_OCCIDENTE_ Directa'!AD106</f>
        <v>407977676.81</v>
      </c>
      <c r="AE78" s="291">
        <f>'REMUNERACION_OCCIDENTE_ Directa'!AE106</f>
        <v>407977676.81</v>
      </c>
      <c r="AF78" s="322">
        <f>'REMUNERACION_OCCIDENTE_ Directa'!AF106</f>
        <v>893529776.19999981</v>
      </c>
      <c r="AG78" s="522">
        <f>'REMUNERACION_OCCIDENTE_ Directa'!AG106</f>
        <v>0</v>
      </c>
      <c r="AH78" s="1"/>
      <c r="AI78" s="306"/>
      <c r="AM78" s="333"/>
    </row>
    <row r="79" spans="1:39" s="305" customFormat="1" x14ac:dyDescent="0.25">
      <c r="B79" s="314">
        <v>4</v>
      </c>
      <c r="C79" s="315" t="s">
        <v>13</v>
      </c>
      <c r="D79" s="291">
        <f>'REMUNERACION_OCCIDENTE_ Directa'!D107</f>
        <v>488724679.72000009</v>
      </c>
      <c r="E79" s="292">
        <f>'REMUNERACION_OCCIDENTE_ Directa'!E107</f>
        <v>55203155.700000003</v>
      </c>
      <c r="F79" s="292">
        <f>'REMUNERACION_OCCIDENTE_ Directa'!F107</f>
        <v>30345126.150000002</v>
      </c>
      <c r="G79" s="292">
        <f>'REMUNERACION_OCCIDENTE_ Directa'!G107</f>
        <v>15489479.65</v>
      </c>
      <c r="H79" s="292">
        <f>'REMUNERACION_OCCIDENTE_ Directa'!H107</f>
        <v>57754003.020000003</v>
      </c>
      <c r="I79" s="292">
        <f>'REMUNERACION_OCCIDENTE_ Directa'!I107</f>
        <v>1909778.2499999998</v>
      </c>
      <c r="J79" s="288">
        <f>'REMUNERACION_OCCIDENTE_ Directa'!J107</f>
        <v>0</v>
      </c>
      <c r="K79" s="295">
        <f>'REMUNERACION_OCCIDENTE_ Directa'!K107</f>
        <v>328023136.95000017</v>
      </c>
      <c r="L79" s="294">
        <f>'REMUNERACION_OCCIDENTE_ Directa'!L107</f>
        <v>0</v>
      </c>
      <c r="M79" s="295">
        <f>'REMUNERACION_OCCIDENTE_ Directa'!M107</f>
        <v>328023136.95000017</v>
      </c>
      <c r="N79" s="294">
        <f>'REMUNERACION_OCCIDENTE_ Directa'!N107</f>
        <v>14919457.4</v>
      </c>
      <c r="O79" s="295">
        <f>'REMUNERACION_OCCIDENTE_ Directa'!O107</f>
        <v>342942594.35000014</v>
      </c>
      <c r="Q79" s="306"/>
      <c r="S79" s="314">
        <v>4</v>
      </c>
      <c r="T79" s="315" t="s">
        <v>13</v>
      </c>
      <c r="U79" s="316">
        <f>'REMUNERACION_OCCIDENTE_ Directa'!U107</f>
        <v>18153635.699999999</v>
      </c>
      <c r="V79" s="317">
        <f>'REMUNERACION_OCCIDENTE_ Directa'!V107</f>
        <v>22508162.759999998</v>
      </c>
      <c r="W79" s="317">
        <f>'REMUNERACION_OCCIDENTE_ Directa'!W107</f>
        <v>110934136.67000002</v>
      </c>
      <c r="X79" s="317">
        <f>'REMUNERACION_OCCIDENTE_ Directa'!X107</f>
        <v>146478227.43000004</v>
      </c>
      <c r="Y79" s="318">
        <f>'REMUNERACION_OCCIDENTE_ Directa'!Y107</f>
        <v>3110743.9899999998</v>
      </c>
      <c r="Z79" s="319">
        <f>'REMUNERACION_OCCIDENTE_ Directa'!Z107</f>
        <v>0</v>
      </c>
      <c r="AA79" s="320">
        <f>'REMUNERACION_OCCIDENTE_ Directa'!AA107</f>
        <v>602.99999999999989</v>
      </c>
      <c r="AB79" s="294">
        <f>'REMUNERACION_OCCIDENTE_ Directa'!AB107</f>
        <v>14919457.4</v>
      </c>
      <c r="AC79" s="320">
        <f>'REMUNERACION_OCCIDENTE_ Directa'!AC107</f>
        <v>-80.570000000000007</v>
      </c>
      <c r="AD79" s="291">
        <f>'REMUNERACION_OCCIDENTE_ Directa'!AD107</f>
        <v>26837707.969999999</v>
      </c>
      <c r="AE79" s="291">
        <f>'REMUNERACION_OCCIDENTE_ Directa'!AE107</f>
        <v>26837707.969999999</v>
      </c>
      <c r="AF79" s="322">
        <f>'REMUNERACION_OCCIDENTE_ Directa'!AF107</f>
        <v>342942594.35000002</v>
      </c>
      <c r="AG79" s="522">
        <f>'REMUNERACION_OCCIDENTE_ Directa'!AG107</f>
        <v>0</v>
      </c>
      <c r="AH79" s="1"/>
      <c r="AI79" s="306"/>
      <c r="AM79" s="333"/>
    </row>
    <row r="80" spans="1:39" s="305" customFormat="1" ht="12" thickBot="1" x14ac:dyDescent="0.3">
      <c r="B80" s="324">
        <v>5</v>
      </c>
      <c r="C80" s="325" t="s">
        <v>14</v>
      </c>
      <c r="D80" s="296">
        <f>'REMUNERACION_OCCIDENTE_ Directa'!D108</f>
        <v>317721932.47000003</v>
      </c>
      <c r="E80" s="297">
        <f>'REMUNERACION_OCCIDENTE_ Directa'!E108</f>
        <v>31184102.540000003</v>
      </c>
      <c r="F80" s="297">
        <f>'REMUNERACION_OCCIDENTE_ Directa'!F108</f>
        <v>17438110.490000002</v>
      </c>
      <c r="G80" s="297">
        <f>'REMUNERACION_OCCIDENTE_ Directa'!G108</f>
        <v>9129338.4999999981</v>
      </c>
      <c r="H80" s="297">
        <f>'REMUNERACION_OCCIDENTE_ Directa'!H108</f>
        <v>18288367.830000002</v>
      </c>
      <c r="I80" s="297">
        <f>'REMUNERACION_OCCIDENTE_ Directa'!I108</f>
        <v>845568.67</v>
      </c>
      <c r="J80" s="289">
        <f>'REMUNERACION_OCCIDENTE_ Directa'!J108</f>
        <v>0</v>
      </c>
      <c r="K80" s="295">
        <f>'REMUNERACION_OCCIDENTE_ Directa'!K108</f>
        <v>240836444.44</v>
      </c>
      <c r="L80" s="294">
        <f>'REMUNERACION_OCCIDENTE_ Directa'!L108</f>
        <v>0</v>
      </c>
      <c r="M80" s="298">
        <f>'REMUNERACION_OCCIDENTE_ Directa'!M108</f>
        <v>240836444.44</v>
      </c>
      <c r="N80" s="299">
        <f>'REMUNERACION_OCCIDENTE_ Directa'!N108</f>
        <v>6894658.7800000003</v>
      </c>
      <c r="O80" s="298">
        <f>'REMUNERACION_OCCIDENTE_ Directa'!O108</f>
        <v>247731103.22</v>
      </c>
      <c r="Q80" s="306"/>
      <c r="S80" s="324">
        <v>5</v>
      </c>
      <c r="T80" s="325" t="s">
        <v>14</v>
      </c>
      <c r="U80" s="296">
        <f>'REMUNERACION_OCCIDENTE_ Directa'!U108</f>
        <v>7530881.8600000003</v>
      </c>
      <c r="V80" s="297">
        <f>'REMUNERACION_OCCIDENTE_ Directa'!V108</f>
        <v>9040944.5399999991</v>
      </c>
      <c r="W80" s="297">
        <f>'REMUNERACION_OCCIDENTE_ Directa'!W108</f>
        <v>45756182.879999995</v>
      </c>
      <c r="X80" s="297">
        <f>'REMUNERACION_OCCIDENTE_ Directa'!X108</f>
        <v>92948094.320000008</v>
      </c>
      <c r="Y80" s="289">
        <f>'REMUNERACION_OCCIDENTE_ Directa'!Y108</f>
        <v>1374403.66</v>
      </c>
      <c r="Z80" s="319">
        <f>'REMUNERACION_OCCIDENTE_ Directa'!Z108</f>
        <v>0</v>
      </c>
      <c r="AA80" s="320">
        <f>'REMUNERACION_OCCIDENTE_ Directa'!AA108</f>
        <v>-760.25999999999988</v>
      </c>
      <c r="AB80" s="294">
        <f>'REMUNERACION_OCCIDENTE_ Directa'!AB108</f>
        <v>6894658.7800000003</v>
      </c>
      <c r="AC80" s="320">
        <f>'REMUNERACION_OCCIDENTE_ Directa'!AC108</f>
        <v>0.35000000000000003</v>
      </c>
      <c r="AD80" s="291">
        <f>'REMUNERACION_OCCIDENTE_ Directa'!AD108</f>
        <v>84186697.089999989</v>
      </c>
      <c r="AE80" s="291">
        <f>'REMUNERACION_OCCIDENTE_ Directa'!AE108</f>
        <v>84186697.089999989</v>
      </c>
      <c r="AF80" s="322">
        <f>'REMUNERACION_OCCIDENTE_ Directa'!AF108</f>
        <v>247731103.21999997</v>
      </c>
      <c r="AG80" s="523">
        <f>'REMUNERACION_OCCIDENTE_ Directa'!AG108</f>
        <v>0</v>
      </c>
      <c r="AH80" s="1"/>
      <c r="AI80" s="306"/>
      <c r="AM80" s="333"/>
    </row>
    <row r="81" spans="1:39" s="305" customFormat="1" ht="13.5" thickBot="1" x14ac:dyDescent="0.35">
      <c r="B81" s="327"/>
      <c r="C81" s="328" t="s">
        <v>2</v>
      </c>
      <c r="D81" s="290">
        <f>'REMUNERACION_OCCIDENTE_ Directa'!D109</f>
        <v>4263358205.6200008</v>
      </c>
      <c r="E81" s="290">
        <f>'REMUNERACION_OCCIDENTE_ Directa'!E109</f>
        <v>538715525.36000001</v>
      </c>
      <c r="F81" s="290">
        <f>'REMUNERACION_OCCIDENTE_ Directa'!F109</f>
        <v>301108775.10999995</v>
      </c>
      <c r="G81" s="290">
        <f>'REMUNERACION_OCCIDENTE_ Directa'!G109</f>
        <v>158427545.65000001</v>
      </c>
      <c r="H81" s="290">
        <f>'REMUNERACION_OCCIDENTE_ Directa'!H109</f>
        <v>381659485.12</v>
      </c>
      <c r="I81" s="290">
        <f>'REMUNERACION_OCCIDENTE_ Directa'!I109</f>
        <v>11500319.260000002</v>
      </c>
      <c r="J81" s="290">
        <f>'REMUNERACION_OCCIDENTE_ Directa'!J109</f>
        <v>0</v>
      </c>
      <c r="K81" s="300">
        <f>'REMUNERACION_OCCIDENTE_ Directa'!K109</f>
        <v>2871946555.1200004</v>
      </c>
      <c r="L81" s="301">
        <f>'REMUNERACION_OCCIDENTE_ Directa'!L109</f>
        <v>0</v>
      </c>
      <c r="M81" s="302">
        <f>'REMUNERACION_OCCIDENTE_ Directa'!M109</f>
        <v>2871946555.1200004</v>
      </c>
      <c r="N81" s="301">
        <f>'REMUNERACION_OCCIDENTE_ Directa'!N109</f>
        <v>61067319.399999999</v>
      </c>
      <c r="O81" s="302">
        <f>'REMUNERACION_OCCIDENTE_ Directa'!O109</f>
        <v>2933013874.52</v>
      </c>
      <c r="P81" s="329"/>
      <c r="Q81" s="306"/>
      <c r="S81" s="327"/>
      <c r="T81" s="328" t="s">
        <v>2</v>
      </c>
      <c r="U81" s="330">
        <f>'REMUNERACION_OCCIDENTE_ Directa'!U109</f>
        <v>102417150.63000001</v>
      </c>
      <c r="V81" s="330">
        <f>'REMUNERACION_OCCIDENTE_ Directa'!V109</f>
        <v>134032300.66999999</v>
      </c>
      <c r="W81" s="330">
        <f>'REMUNERACION_OCCIDENTE_ Directa'!W109</f>
        <v>627375815.82000005</v>
      </c>
      <c r="X81" s="330">
        <f>'REMUNERACION_OCCIDENTE_ Directa'!X109</f>
        <v>1285844016.1299999</v>
      </c>
      <c r="Y81" s="330">
        <f>'REMUNERACION_OCCIDENTE_ Directa'!Y109</f>
        <v>18649143.739999998</v>
      </c>
      <c r="Z81" s="290">
        <f>'REMUNERACION_OCCIDENTE_ Directa'!Z109</f>
        <v>0</v>
      </c>
      <c r="AA81" s="290">
        <f>'REMUNERACION_OCCIDENTE_ Directa'!AA109</f>
        <v>-5271.94</v>
      </c>
      <c r="AB81" s="290">
        <f>'REMUNERACION_OCCIDENTE_ Directa'!AB109</f>
        <v>61067319.399999999</v>
      </c>
      <c r="AC81" s="290">
        <f>'REMUNERACION_OCCIDENTE_ Directa'!AC109</f>
        <v>-14094.689999999999</v>
      </c>
      <c r="AD81" s="290">
        <f>'REMUNERACION_OCCIDENTE_ Directa'!AD109</f>
        <v>703647494.76000011</v>
      </c>
      <c r="AE81" s="290">
        <f>'REMUNERACION_OCCIDENTE_ Directa'!AE109</f>
        <v>703647494.76000011</v>
      </c>
      <c r="AF81" s="331">
        <f>'REMUNERACION_OCCIDENTE_ Directa'!AF109</f>
        <v>2933013874.5199995</v>
      </c>
      <c r="AG81" s="524">
        <f>'REMUNERACION_OCCIDENTE_ Directa'!AG109</f>
        <v>0</v>
      </c>
      <c r="AH81" s="1"/>
      <c r="AI81" s="306"/>
      <c r="AM81" s="333"/>
    </row>
    <row r="82" spans="1:39" ht="12" thickBot="1" x14ac:dyDescent="0.3">
      <c r="B82" s="2"/>
      <c r="C82" s="2"/>
      <c r="D82" s="448"/>
      <c r="E82" s="448"/>
      <c r="F82" s="448"/>
      <c r="G82" s="448"/>
      <c r="H82" s="448"/>
      <c r="I82" s="448"/>
      <c r="K82" s="448"/>
      <c r="L82" s="448"/>
      <c r="M82" s="448"/>
      <c r="N82" s="448"/>
      <c r="O82" s="448"/>
      <c r="Q82" s="4"/>
      <c r="S82" s="2"/>
      <c r="T82" s="2"/>
      <c r="U82" s="448"/>
      <c r="V82" s="448"/>
      <c r="W82" s="448"/>
      <c r="X82" s="448"/>
      <c r="Y82" s="448"/>
      <c r="AF82" s="448"/>
      <c r="AI82" s="4"/>
    </row>
    <row r="83" spans="1:39" ht="12" thickBot="1" x14ac:dyDescent="0.3">
      <c r="B83" s="2"/>
      <c r="C83" s="2"/>
      <c r="D83" s="448"/>
      <c r="E83" s="448"/>
      <c r="F83" s="448"/>
      <c r="G83" s="448"/>
      <c r="H83" s="448"/>
      <c r="I83" s="448"/>
      <c r="K83" s="448"/>
      <c r="L83" s="448"/>
      <c r="M83" s="448"/>
      <c r="N83" s="448"/>
      <c r="O83" s="448"/>
      <c r="Q83" s="4"/>
      <c r="Y83" s="449"/>
      <c r="AI83" s="4"/>
    </row>
    <row r="84" spans="1:39" x14ac:dyDescent="0.25">
      <c r="A84" s="4"/>
      <c r="B84" s="34"/>
      <c r="C84" s="34"/>
      <c r="D84" s="474"/>
      <c r="E84" s="474"/>
      <c r="F84" s="474"/>
      <c r="G84" s="474"/>
      <c r="H84" s="474"/>
      <c r="I84" s="474"/>
      <c r="J84" s="4"/>
      <c r="K84" s="474"/>
      <c r="L84" s="474"/>
      <c r="M84" s="474"/>
      <c r="N84" s="474"/>
      <c r="O84" s="47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  <c r="AE84" s="4"/>
      <c r="AF84" s="4"/>
      <c r="AG84" s="4"/>
      <c r="AH84" s="4"/>
      <c r="AI84" s="4"/>
    </row>
    <row r="85" spans="1:39" ht="12" thickBot="1" x14ac:dyDescent="0.3">
      <c r="Q85" s="4"/>
      <c r="AI85" s="4"/>
    </row>
    <row r="86" spans="1:39" x14ac:dyDescent="0.25">
      <c r="B86" s="5"/>
      <c r="C86" s="3" t="s">
        <v>1</v>
      </c>
      <c r="D86" s="6" t="s">
        <v>1</v>
      </c>
      <c r="E86" s="3"/>
      <c r="F86" s="3"/>
      <c r="G86" s="3"/>
      <c r="H86" s="3" t="s">
        <v>1</v>
      </c>
      <c r="I86" s="3"/>
      <c r="J86" s="3"/>
      <c r="K86" s="3"/>
      <c r="L86" s="3"/>
      <c r="M86" s="3"/>
      <c r="N86" s="3"/>
      <c r="O86" s="7"/>
      <c r="P86" s="2"/>
      <c r="Q86" s="4"/>
      <c r="S86" s="5"/>
      <c r="T86" s="3" t="s">
        <v>1</v>
      </c>
      <c r="U86" s="6" t="s">
        <v>1</v>
      </c>
      <c r="V86" s="3"/>
      <c r="W86" s="3"/>
      <c r="X86" s="3" t="s">
        <v>1</v>
      </c>
      <c r="Y86" s="3"/>
      <c r="Z86" s="3"/>
      <c r="AA86" s="3"/>
      <c r="AB86" s="3"/>
      <c r="AC86" s="3"/>
      <c r="AD86" s="3"/>
      <c r="AE86" s="3"/>
      <c r="AF86" s="7"/>
      <c r="AG86" s="2"/>
      <c r="AI86" s="4"/>
    </row>
    <row r="87" spans="1:39" ht="14" x14ac:dyDescent="0.3">
      <c r="B87" s="8"/>
      <c r="F87" s="26" t="s">
        <v>8</v>
      </c>
      <c r="G87" s="26"/>
      <c r="I87" s="26" t="s">
        <v>16</v>
      </c>
      <c r="J87" s="25"/>
      <c r="M87" s="2"/>
      <c r="N87" s="50"/>
      <c r="O87" s="10"/>
      <c r="P87" s="2"/>
      <c r="Q87" s="4"/>
      <c r="S87" s="8"/>
      <c r="U87" s="26" t="s">
        <v>8</v>
      </c>
      <c r="W87" s="26" t="s">
        <v>16</v>
      </c>
      <c r="X87" s="25"/>
      <c r="Y87" s="2"/>
      <c r="AA87" s="2"/>
      <c r="AD87" s="50"/>
      <c r="AE87" s="84"/>
      <c r="AF87" s="48"/>
      <c r="AG87" s="2"/>
      <c r="AI87" s="4"/>
    </row>
    <row r="88" spans="1:39" ht="15.5" x14ac:dyDescent="0.35">
      <c r="B88" s="8"/>
      <c r="F88" s="36" t="s">
        <v>29</v>
      </c>
      <c r="G88" s="36"/>
      <c r="O88" s="10"/>
      <c r="P88" s="2"/>
      <c r="Q88" s="4"/>
      <c r="S88" s="8"/>
      <c r="T88" s="26" t="s">
        <v>1</v>
      </c>
      <c r="U88" s="36" t="s">
        <v>29</v>
      </c>
      <c r="Y88" s="2" t="s">
        <v>1</v>
      </c>
      <c r="AA88" s="50" t="s">
        <v>1</v>
      </c>
      <c r="AB88" s="2"/>
      <c r="AC88" s="2"/>
      <c r="AD88" s="2"/>
      <c r="AE88" s="2"/>
      <c r="AF88" s="10" t="s">
        <v>1</v>
      </c>
      <c r="AG88" s="2"/>
      <c r="AI88" s="4"/>
    </row>
    <row r="89" spans="1:39" ht="14" x14ac:dyDescent="0.3">
      <c r="B89" s="8"/>
      <c r="F89" s="2" t="s">
        <v>30</v>
      </c>
      <c r="G89" s="2"/>
      <c r="L89" s="91"/>
      <c r="M89" s="2" t="s">
        <v>1</v>
      </c>
      <c r="O89" s="10"/>
      <c r="P89" s="2"/>
      <c r="Q89" s="4"/>
      <c r="S89" s="8"/>
      <c r="T89" s="49" t="s">
        <v>1</v>
      </c>
      <c r="U89" s="2" t="s">
        <v>30</v>
      </c>
      <c r="AF89" s="44"/>
      <c r="AG89" s="2"/>
      <c r="AI89" s="4"/>
    </row>
    <row r="90" spans="1:39" ht="15.5" x14ac:dyDescent="0.35">
      <c r="B90" s="8"/>
      <c r="C90" s="2"/>
      <c r="D90" s="9"/>
      <c r="F90" s="58" t="s">
        <v>189</v>
      </c>
      <c r="G90" s="58"/>
      <c r="H90" s="59"/>
      <c r="I90" s="60"/>
      <c r="J90" s="59"/>
      <c r="K90" s="60"/>
      <c r="L90" s="91"/>
      <c r="O90" s="10"/>
      <c r="P90" s="2"/>
      <c r="Q90" s="4"/>
      <c r="S90" s="8"/>
      <c r="T90" s="41" t="s">
        <v>1</v>
      </c>
      <c r="U90" s="58" t="s">
        <v>35</v>
      </c>
      <c r="V90" s="59"/>
      <c r="W90" s="60"/>
      <c r="X90" s="59"/>
      <c r="Y90" s="2"/>
      <c r="AF90" s="48"/>
      <c r="AG90" s="2"/>
      <c r="AI90" s="4"/>
    </row>
    <row r="91" spans="1:39" ht="18" thickBot="1" x14ac:dyDescent="0.5">
      <c r="B91" s="8"/>
      <c r="C91" s="2"/>
      <c r="D91" s="241"/>
      <c r="F91" s="2"/>
      <c r="G91" s="9"/>
      <c r="J91" s="2"/>
      <c r="K91" s="9"/>
      <c r="L91" s="92"/>
      <c r="O91" s="10"/>
      <c r="P91" s="2"/>
      <c r="Q91" s="4"/>
      <c r="S91" s="8"/>
      <c r="V91" s="9"/>
      <c r="Y91" s="9"/>
      <c r="AF91" s="48"/>
      <c r="AG91" s="2"/>
      <c r="AI91" s="4"/>
      <c r="AJ91" s="112" t="s">
        <v>1</v>
      </c>
    </row>
    <row r="92" spans="1:39" ht="72" customHeight="1" thickBot="1" x14ac:dyDescent="0.3">
      <c r="B92" s="11" t="s">
        <v>3</v>
      </c>
      <c r="C92" s="27" t="s">
        <v>9</v>
      </c>
      <c r="D92" s="11" t="s">
        <v>4</v>
      </c>
      <c r="E92" s="12" t="s">
        <v>5</v>
      </c>
      <c r="F92" s="27" t="s">
        <v>6</v>
      </c>
      <c r="G92" s="27" t="s">
        <v>159</v>
      </c>
      <c r="H92" s="27" t="s">
        <v>18</v>
      </c>
      <c r="I92" s="12" t="s">
        <v>24</v>
      </c>
      <c r="J92" s="73" t="s">
        <v>19</v>
      </c>
      <c r="K92" s="29" t="s">
        <v>20</v>
      </c>
      <c r="L92" s="28" t="s">
        <v>21</v>
      </c>
      <c r="M92" s="39" t="s">
        <v>22</v>
      </c>
      <c r="N92" s="12" t="s">
        <v>7</v>
      </c>
      <c r="O92" s="39" t="s">
        <v>23</v>
      </c>
      <c r="P92" s="13"/>
      <c r="Q92" s="4"/>
      <c r="S92" s="11" t="s">
        <v>3</v>
      </c>
      <c r="T92" s="27" t="s">
        <v>9</v>
      </c>
      <c r="U92" s="162" t="s">
        <v>39</v>
      </c>
      <c r="V92" s="163" t="s">
        <v>40</v>
      </c>
      <c r="W92" s="163" t="s">
        <v>41</v>
      </c>
      <c r="X92" s="163" t="s">
        <v>42</v>
      </c>
      <c r="Y92" s="164" t="s">
        <v>43</v>
      </c>
      <c r="Z92" s="85" t="s">
        <v>21</v>
      </c>
      <c r="AA92" s="65" t="s">
        <v>46</v>
      </c>
      <c r="AB92" s="65" t="s">
        <v>7</v>
      </c>
      <c r="AC92" s="85" t="s">
        <v>168</v>
      </c>
      <c r="AD92" s="121" t="s">
        <v>105</v>
      </c>
      <c r="AE92" s="121" t="s">
        <v>104</v>
      </c>
      <c r="AF92" s="39" t="s">
        <v>23</v>
      </c>
      <c r="AG92" s="13"/>
      <c r="AI92" s="4"/>
    </row>
    <row r="93" spans="1:39" s="305" customFormat="1" x14ac:dyDescent="0.25">
      <c r="B93" s="303">
        <v>1</v>
      </c>
      <c r="C93" s="304" t="s">
        <v>10</v>
      </c>
      <c r="D93" s="291">
        <f>'REMUNERACION_EAAB-CL'!D104</f>
        <v>0</v>
      </c>
      <c r="E93" s="292">
        <f>'REMUNERACION_EAAB-CL'!E104</f>
        <v>0</v>
      </c>
      <c r="F93" s="292">
        <f>'REMUNERACION_EAAB-CL'!F104</f>
        <v>0</v>
      </c>
      <c r="G93" s="292">
        <f>'REMUNERACION_EAAB-CL'!G104</f>
        <v>0</v>
      </c>
      <c r="H93" s="292">
        <f>'REMUNERACION_EAAB-CL'!H104</f>
        <v>0</v>
      </c>
      <c r="I93" s="292">
        <f>'REMUNERACION_EAAB-CL'!I104</f>
        <v>0</v>
      </c>
      <c r="J93" s="288">
        <f>'REMUNERACION_EAAB-CL'!J104</f>
        <v>0</v>
      </c>
      <c r="K93" s="293">
        <f>'REMUNERACION_EAAB-CL'!K104</f>
        <v>0</v>
      </c>
      <c r="L93" s="294">
        <f>'REMUNERACION_EAAB-CL'!L104</f>
        <v>0</v>
      </c>
      <c r="M93" s="293">
        <f>'REMUNERACION_EAAB-CL'!M104</f>
        <v>0</v>
      </c>
      <c r="N93" s="294">
        <f>'REMUNERACION_EAAB-CL'!N104</f>
        <v>0</v>
      </c>
      <c r="O93" s="293">
        <f>'REMUNERACION_EAAB-CL'!O104</f>
        <v>0</v>
      </c>
      <c r="Q93" s="306"/>
      <c r="S93" s="303">
        <v>1</v>
      </c>
      <c r="T93" s="304" t="s">
        <v>10</v>
      </c>
      <c r="U93" s="307">
        <f>'REMUNERACION_EAAB-CL'!U104</f>
        <v>0</v>
      </c>
      <c r="V93" s="308">
        <f>'REMUNERACION_EAAB-CL'!V104</f>
        <v>0</v>
      </c>
      <c r="W93" s="308">
        <f>'REMUNERACION_EAAB-CL'!W104</f>
        <v>0</v>
      </c>
      <c r="X93" s="308">
        <f>'REMUNERACION_EAAB-CL'!X104</f>
        <v>0</v>
      </c>
      <c r="Y93" s="309">
        <f>'REMUNERACION_EAAB-CL'!Y104</f>
        <v>0</v>
      </c>
      <c r="Z93" s="310">
        <f>'REMUNERACION_EAAB-CL'!Z104</f>
        <v>0</v>
      </c>
      <c r="AA93" s="311">
        <f>'REMUNERACION_EAAB-CL'!AA104</f>
        <v>0</v>
      </c>
      <c r="AB93" s="294">
        <f>'REMUNERACION_EAAB-CL'!AB104</f>
        <v>0</v>
      </c>
      <c r="AC93" s="311">
        <f>'REMUNERACION_EAAB-CL'!AC104</f>
        <v>0</v>
      </c>
      <c r="AD93" s="291">
        <f>'REMUNERACION_EAAB-CL'!AD104</f>
        <v>0</v>
      </c>
      <c r="AE93" s="291">
        <f>'REMUNERACION_EAAB-CL'!AE104</f>
        <v>0</v>
      </c>
      <c r="AF93" s="313">
        <f>'REMUNERACION_EAAB-CL'!AF104</f>
        <v>0</v>
      </c>
      <c r="AG93" s="521">
        <f>'REMUNERACION_EAAB-CL'!AG104</f>
        <v>0</v>
      </c>
      <c r="AH93" s="1"/>
      <c r="AI93" s="306"/>
      <c r="AM93" s="333"/>
    </row>
    <row r="94" spans="1:39" s="305" customFormat="1" x14ac:dyDescent="0.25">
      <c r="B94" s="314">
        <v>2</v>
      </c>
      <c r="C94" s="315" t="s">
        <v>11</v>
      </c>
      <c r="D94" s="291">
        <f>'REMUNERACION_EAAB-CL'!D105</f>
        <v>0</v>
      </c>
      <c r="E94" s="292">
        <f>'REMUNERACION_EAAB-CL'!E105</f>
        <v>0</v>
      </c>
      <c r="F94" s="292">
        <f>'REMUNERACION_EAAB-CL'!F105</f>
        <v>0</v>
      </c>
      <c r="G94" s="292">
        <f>'REMUNERACION_EAAB-CL'!G105</f>
        <v>0</v>
      </c>
      <c r="H94" s="292">
        <f>'REMUNERACION_EAAB-CL'!H105</f>
        <v>0</v>
      </c>
      <c r="I94" s="292">
        <f>'REMUNERACION_EAAB-CL'!I105</f>
        <v>0</v>
      </c>
      <c r="J94" s="288">
        <f>'REMUNERACION_EAAB-CL'!J105</f>
        <v>0</v>
      </c>
      <c r="K94" s="295">
        <f>'REMUNERACION_EAAB-CL'!K105</f>
        <v>0</v>
      </c>
      <c r="L94" s="294">
        <f>'REMUNERACION_EAAB-CL'!L105</f>
        <v>0</v>
      </c>
      <c r="M94" s="295">
        <f>'REMUNERACION_EAAB-CL'!M105</f>
        <v>0</v>
      </c>
      <c r="N94" s="294">
        <f>'REMUNERACION_EAAB-CL'!N105</f>
        <v>0</v>
      </c>
      <c r="O94" s="295">
        <f>'REMUNERACION_EAAB-CL'!O105</f>
        <v>0</v>
      </c>
      <c r="Q94" s="306"/>
      <c r="S94" s="314">
        <v>2</v>
      </c>
      <c r="T94" s="315" t="s">
        <v>11</v>
      </c>
      <c r="U94" s="316">
        <f>'REMUNERACION_EAAB-CL'!U105</f>
        <v>0</v>
      </c>
      <c r="V94" s="317">
        <f>'REMUNERACION_EAAB-CL'!V105</f>
        <v>0</v>
      </c>
      <c r="W94" s="317">
        <f>'REMUNERACION_EAAB-CL'!W105</f>
        <v>0</v>
      </c>
      <c r="X94" s="317">
        <f>'REMUNERACION_EAAB-CL'!X105</f>
        <v>0</v>
      </c>
      <c r="Y94" s="318">
        <f>'REMUNERACION_EAAB-CL'!Y105</f>
        <v>0</v>
      </c>
      <c r="Z94" s="319">
        <f>'REMUNERACION_EAAB-CL'!Z105</f>
        <v>0</v>
      </c>
      <c r="AA94" s="320">
        <f>'REMUNERACION_EAAB-CL'!AA105</f>
        <v>0</v>
      </c>
      <c r="AB94" s="294">
        <f>'REMUNERACION_EAAB-CL'!AB105</f>
        <v>0</v>
      </c>
      <c r="AC94" s="320">
        <f>'REMUNERACION_EAAB-CL'!AC105</f>
        <v>0</v>
      </c>
      <c r="AD94" s="291">
        <f>'REMUNERACION_EAAB-CL'!AD105</f>
        <v>0</v>
      </c>
      <c r="AE94" s="291">
        <f>'REMUNERACION_EAAB-CL'!AE105</f>
        <v>0</v>
      </c>
      <c r="AF94" s="322">
        <f>'REMUNERACION_EAAB-CL'!AF105</f>
        <v>0</v>
      </c>
      <c r="AG94" s="522">
        <f>'REMUNERACION_EAAB-CL'!AG105</f>
        <v>0</v>
      </c>
      <c r="AH94" s="1"/>
      <c r="AI94" s="306"/>
      <c r="AM94" s="333"/>
    </row>
    <row r="95" spans="1:39" s="305" customFormat="1" x14ac:dyDescent="0.25">
      <c r="B95" s="314">
        <v>3</v>
      </c>
      <c r="C95" s="315" t="s">
        <v>12</v>
      </c>
      <c r="D95" s="291">
        <f>'REMUNERACION_EAAB-CL'!D106</f>
        <v>0</v>
      </c>
      <c r="E95" s="292">
        <f>'REMUNERACION_EAAB-CL'!E106</f>
        <v>0</v>
      </c>
      <c r="F95" s="292">
        <f>'REMUNERACION_EAAB-CL'!F106</f>
        <v>0</v>
      </c>
      <c r="G95" s="292">
        <f>'REMUNERACION_EAAB-CL'!G106</f>
        <v>0</v>
      </c>
      <c r="H95" s="292">
        <f>'REMUNERACION_EAAB-CL'!H106</f>
        <v>0</v>
      </c>
      <c r="I95" s="292">
        <f>'REMUNERACION_EAAB-CL'!I106</f>
        <v>0</v>
      </c>
      <c r="J95" s="288">
        <f>'REMUNERACION_EAAB-CL'!J106</f>
        <v>0</v>
      </c>
      <c r="K95" s="295">
        <f>'REMUNERACION_EAAB-CL'!K106</f>
        <v>0</v>
      </c>
      <c r="L95" s="294">
        <f>'REMUNERACION_EAAB-CL'!L106</f>
        <v>0</v>
      </c>
      <c r="M95" s="295">
        <f>'REMUNERACION_EAAB-CL'!M106</f>
        <v>0</v>
      </c>
      <c r="N95" s="294">
        <f>'REMUNERACION_EAAB-CL'!N106</f>
        <v>0</v>
      </c>
      <c r="O95" s="295">
        <f>'REMUNERACION_EAAB-CL'!O106</f>
        <v>0</v>
      </c>
      <c r="Q95" s="306"/>
      <c r="S95" s="314">
        <v>3</v>
      </c>
      <c r="T95" s="315" t="s">
        <v>12</v>
      </c>
      <c r="U95" s="316">
        <f>'REMUNERACION_EAAB-CL'!U106</f>
        <v>0</v>
      </c>
      <c r="V95" s="317">
        <f>'REMUNERACION_EAAB-CL'!V106</f>
        <v>0</v>
      </c>
      <c r="W95" s="317">
        <f>'REMUNERACION_EAAB-CL'!W106</f>
        <v>0</v>
      </c>
      <c r="X95" s="317">
        <f>'REMUNERACION_EAAB-CL'!X106</f>
        <v>0</v>
      </c>
      <c r="Y95" s="318">
        <f>'REMUNERACION_EAAB-CL'!Y106</f>
        <v>0</v>
      </c>
      <c r="Z95" s="319">
        <f>'REMUNERACION_EAAB-CL'!Z106</f>
        <v>0</v>
      </c>
      <c r="AA95" s="320">
        <f>'REMUNERACION_EAAB-CL'!AA106</f>
        <v>0</v>
      </c>
      <c r="AB95" s="294">
        <f>'REMUNERACION_EAAB-CL'!AB106</f>
        <v>0</v>
      </c>
      <c r="AC95" s="320">
        <f>'REMUNERACION_EAAB-CL'!AC106</f>
        <v>0</v>
      </c>
      <c r="AD95" s="291">
        <f>'REMUNERACION_EAAB-CL'!AD106</f>
        <v>0</v>
      </c>
      <c r="AE95" s="291">
        <f>'REMUNERACION_EAAB-CL'!AE106</f>
        <v>0</v>
      </c>
      <c r="AF95" s="322">
        <f>'REMUNERACION_EAAB-CL'!AF106</f>
        <v>0</v>
      </c>
      <c r="AG95" s="522">
        <f>'REMUNERACION_EAAB-CL'!AG106</f>
        <v>0</v>
      </c>
      <c r="AH95" s="1"/>
      <c r="AI95" s="306"/>
      <c r="AM95" s="333"/>
    </row>
    <row r="96" spans="1:39" s="305" customFormat="1" x14ac:dyDescent="0.25">
      <c r="B96" s="314">
        <v>4</v>
      </c>
      <c r="C96" s="315" t="s">
        <v>13</v>
      </c>
      <c r="D96" s="291">
        <f>'REMUNERACION_EAAB-CL'!D107</f>
        <v>0</v>
      </c>
      <c r="E96" s="292">
        <f>'REMUNERACION_EAAB-CL'!E107</f>
        <v>0</v>
      </c>
      <c r="F96" s="292">
        <f>'REMUNERACION_EAAB-CL'!F107</f>
        <v>0</v>
      </c>
      <c r="G96" s="292">
        <f>'REMUNERACION_EAAB-CL'!G107</f>
        <v>0</v>
      </c>
      <c r="H96" s="292">
        <f>'REMUNERACION_EAAB-CL'!H107</f>
        <v>0</v>
      </c>
      <c r="I96" s="292">
        <f>'REMUNERACION_EAAB-CL'!I107</f>
        <v>0</v>
      </c>
      <c r="J96" s="288">
        <f>'REMUNERACION_EAAB-CL'!J107</f>
        <v>0</v>
      </c>
      <c r="K96" s="295">
        <f>'REMUNERACION_EAAB-CL'!K107</f>
        <v>0</v>
      </c>
      <c r="L96" s="294">
        <f>'REMUNERACION_EAAB-CL'!L107</f>
        <v>0</v>
      </c>
      <c r="M96" s="295">
        <f>'REMUNERACION_EAAB-CL'!M107</f>
        <v>0</v>
      </c>
      <c r="N96" s="294">
        <f>'REMUNERACION_EAAB-CL'!N107</f>
        <v>0</v>
      </c>
      <c r="O96" s="295">
        <f>'REMUNERACION_EAAB-CL'!O107</f>
        <v>0</v>
      </c>
      <c r="Q96" s="306"/>
      <c r="S96" s="314">
        <v>4</v>
      </c>
      <c r="T96" s="315" t="s">
        <v>13</v>
      </c>
      <c r="U96" s="316">
        <f>'REMUNERACION_EAAB-CL'!U107</f>
        <v>0</v>
      </c>
      <c r="V96" s="317">
        <f>'REMUNERACION_EAAB-CL'!V107</f>
        <v>0</v>
      </c>
      <c r="W96" s="317">
        <f>'REMUNERACION_EAAB-CL'!W107</f>
        <v>0</v>
      </c>
      <c r="X96" s="317">
        <f>'REMUNERACION_EAAB-CL'!X107</f>
        <v>0</v>
      </c>
      <c r="Y96" s="318">
        <f>'REMUNERACION_EAAB-CL'!Y107</f>
        <v>0</v>
      </c>
      <c r="Z96" s="319">
        <f>'REMUNERACION_EAAB-CL'!Z107</f>
        <v>0</v>
      </c>
      <c r="AA96" s="320">
        <f>'REMUNERACION_EAAB-CL'!AA107</f>
        <v>0</v>
      </c>
      <c r="AB96" s="294">
        <f>'REMUNERACION_EAAB-CL'!AB107</f>
        <v>0</v>
      </c>
      <c r="AC96" s="320">
        <f>'REMUNERACION_EAAB-CL'!AC107</f>
        <v>0</v>
      </c>
      <c r="AD96" s="291">
        <f>'REMUNERACION_EAAB-CL'!AD107</f>
        <v>0</v>
      </c>
      <c r="AE96" s="291">
        <f>'REMUNERACION_EAAB-CL'!AE107</f>
        <v>0</v>
      </c>
      <c r="AF96" s="322">
        <f>'REMUNERACION_EAAB-CL'!AF107</f>
        <v>0</v>
      </c>
      <c r="AG96" s="522">
        <f>'REMUNERACION_EAAB-CL'!AG107</f>
        <v>0</v>
      </c>
      <c r="AH96" s="1"/>
      <c r="AI96" s="306"/>
      <c r="AM96" s="333"/>
    </row>
    <row r="97" spans="1:39" s="305" customFormat="1" ht="12" thickBot="1" x14ac:dyDescent="0.3">
      <c r="B97" s="324">
        <v>5</v>
      </c>
      <c r="C97" s="325" t="s">
        <v>14</v>
      </c>
      <c r="D97" s="296">
        <f>'REMUNERACION_EAAB-CL'!D108</f>
        <v>0</v>
      </c>
      <c r="E97" s="297">
        <f>'REMUNERACION_EAAB-CL'!E108</f>
        <v>0</v>
      </c>
      <c r="F97" s="297">
        <f>'REMUNERACION_EAAB-CL'!F108</f>
        <v>0</v>
      </c>
      <c r="G97" s="297">
        <f>'REMUNERACION_EAAB-CL'!G108</f>
        <v>0</v>
      </c>
      <c r="H97" s="297">
        <f>'REMUNERACION_EAAB-CL'!H108</f>
        <v>0</v>
      </c>
      <c r="I97" s="297">
        <f>'REMUNERACION_EAAB-CL'!I108</f>
        <v>0</v>
      </c>
      <c r="J97" s="289">
        <f>'REMUNERACION_EAAB-CL'!J108</f>
        <v>0</v>
      </c>
      <c r="K97" s="295">
        <f>'REMUNERACION_EAAB-CL'!K108</f>
        <v>0</v>
      </c>
      <c r="L97" s="294">
        <f>'REMUNERACION_EAAB-CL'!L108</f>
        <v>0</v>
      </c>
      <c r="M97" s="298">
        <f>'REMUNERACION_EAAB-CL'!M108</f>
        <v>0</v>
      </c>
      <c r="N97" s="299">
        <f>'REMUNERACION_EAAB-CL'!N108</f>
        <v>0</v>
      </c>
      <c r="O97" s="298">
        <f>'REMUNERACION_EAAB-CL'!O108</f>
        <v>0</v>
      </c>
      <c r="Q97" s="306"/>
      <c r="S97" s="324">
        <v>5</v>
      </c>
      <c r="T97" s="325" t="s">
        <v>14</v>
      </c>
      <c r="U97" s="296">
        <f>'REMUNERACION_EAAB-CL'!U108</f>
        <v>0</v>
      </c>
      <c r="V97" s="297">
        <f>'REMUNERACION_EAAB-CL'!V108</f>
        <v>0</v>
      </c>
      <c r="W97" s="297">
        <f>'REMUNERACION_EAAB-CL'!W108</f>
        <v>0</v>
      </c>
      <c r="X97" s="297">
        <f>'REMUNERACION_EAAB-CL'!X108</f>
        <v>0</v>
      </c>
      <c r="Y97" s="289">
        <f>'REMUNERACION_EAAB-CL'!Y108</f>
        <v>0</v>
      </c>
      <c r="Z97" s="319">
        <f>'REMUNERACION_EAAB-CL'!Z108</f>
        <v>0</v>
      </c>
      <c r="AA97" s="320">
        <f>'REMUNERACION_EAAB-CL'!AA108</f>
        <v>0</v>
      </c>
      <c r="AB97" s="294">
        <f>'REMUNERACION_EAAB-CL'!AB108</f>
        <v>0</v>
      </c>
      <c r="AC97" s="320">
        <f>'REMUNERACION_EAAB-CL'!AC108</f>
        <v>0</v>
      </c>
      <c r="AD97" s="291">
        <f>'REMUNERACION_EAAB-CL'!AD108</f>
        <v>0</v>
      </c>
      <c r="AE97" s="291">
        <f>'REMUNERACION_EAAB-CL'!AE108</f>
        <v>0</v>
      </c>
      <c r="AF97" s="322">
        <f>'REMUNERACION_EAAB-CL'!AF108</f>
        <v>0</v>
      </c>
      <c r="AG97" s="523">
        <f>'REMUNERACION_EAAB-CL'!AG108</f>
        <v>0</v>
      </c>
      <c r="AH97" s="1"/>
      <c r="AI97" s="306"/>
      <c r="AM97" s="333"/>
    </row>
    <row r="98" spans="1:39" s="305" customFormat="1" ht="13.5" thickBot="1" x14ac:dyDescent="0.35">
      <c r="B98" s="327"/>
      <c r="C98" s="328" t="s">
        <v>2</v>
      </c>
      <c r="D98" s="290">
        <f>'REMUNERACION_EAAB-CL'!D109</f>
        <v>0</v>
      </c>
      <c r="E98" s="290">
        <f>'REMUNERACION_EAAB-CL'!E109</f>
        <v>0</v>
      </c>
      <c r="F98" s="290">
        <f>'REMUNERACION_EAAB-CL'!F109</f>
        <v>0</v>
      </c>
      <c r="G98" s="290">
        <f>'REMUNERACION_EAAB-CL'!G109</f>
        <v>0</v>
      </c>
      <c r="H98" s="290">
        <f>'REMUNERACION_EAAB-CL'!H109</f>
        <v>0</v>
      </c>
      <c r="I98" s="290">
        <f>'REMUNERACION_EAAB-CL'!I109</f>
        <v>0</v>
      </c>
      <c r="J98" s="290">
        <f>'REMUNERACION_EAAB-CL'!J109</f>
        <v>0</v>
      </c>
      <c r="K98" s="300">
        <f>'REMUNERACION_EAAB-CL'!K109</f>
        <v>0</v>
      </c>
      <c r="L98" s="301">
        <f>'REMUNERACION_EAAB-CL'!L109</f>
        <v>0</v>
      </c>
      <c r="M98" s="302">
        <f>'REMUNERACION_EAAB-CL'!M109</f>
        <v>0</v>
      </c>
      <c r="N98" s="301">
        <f>'REMUNERACION_EAAB-CL'!N109</f>
        <v>0</v>
      </c>
      <c r="O98" s="302">
        <f>'REMUNERACION_EAAB-CL'!O109</f>
        <v>0</v>
      </c>
      <c r="P98" s="329"/>
      <c r="Q98" s="306"/>
      <c r="S98" s="327"/>
      <c r="T98" s="328" t="s">
        <v>2</v>
      </c>
      <c r="U98" s="330">
        <f>'REMUNERACION_EAAB-CL'!U109</f>
        <v>0</v>
      </c>
      <c r="V98" s="330">
        <f>'REMUNERACION_EAAB-CL'!V109</f>
        <v>0</v>
      </c>
      <c r="W98" s="330">
        <f>'REMUNERACION_EAAB-CL'!W109</f>
        <v>0</v>
      </c>
      <c r="X98" s="330">
        <f>'REMUNERACION_EAAB-CL'!X109</f>
        <v>0</v>
      </c>
      <c r="Y98" s="330">
        <f>'REMUNERACION_EAAB-CL'!Y109</f>
        <v>0</v>
      </c>
      <c r="Z98" s="290">
        <f>'REMUNERACION_EAAB-CL'!Z109</f>
        <v>0</v>
      </c>
      <c r="AA98" s="290">
        <f>'REMUNERACION_EAAB-CL'!AA109</f>
        <v>0</v>
      </c>
      <c r="AB98" s="290">
        <f>'REMUNERACION_EAAB-CL'!AB109</f>
        <v>0</v>
      </c>
      <c r="AC98" s="290">
        <f>'REMUNERACION_EAAB-CL'!AC109</f>
        <v>0</v>
      </c>
      <c r="AD98" s="290">
        <f>'REMUNERACION_EAAB-CL'!AD109</f>
        <v>0</v>
      </c>
      <c r="AE98" s="290">
        <f>'REMUNERACION_EAAB-CL'!AE109</f>
        <v>0</v>
      </c>
      <c r="AF98" s="331">
        <f>'REMUNERACION_EAAB-CL'!AF109</f>
        <v>0</v>
      </c>
      <c r="AG98" s="524">
        <f>'REMUNERACION_EAAB-CL'!AG109</f>
        <v>0</v>
      </c>
      <c r="AH98" s="1"/>
      <c r="AI98" s="306"/>
      <c r="AM98" s="333"/>
    </row>
    <row r="99" spans="1:39" ht="12" thickBot="1" x14ac:dyDescent="0.3">
      <c r="B99" s="2"/>
      <c r="C99" s="2"/>
      <c r="D99" s="165"/>
      <c r="E99" s="448"/>
      <c r="F99" s="448"/>
      <c r="G99" s="448"/>
      <c r="H99" s="448"/>
      <c r="I99" s="448"/>
      <c r="J99" s="165"/>
      <c r="K99" s="448"/>
      <c r="L99" s="448"/>
      <c r="M99" s="448"/>
      <c r="N99" s="448"/>
      <c r="O99" s="448"/>
      <c r="Q99" s="4"/>
      <c r="S99" s="2"/>
      <c r="T99" s="2"/>
      <c r="U99" s="448"/>
      <c r="V99" s="448"/>
      <c r="W99" s="448"/>
      <c r="X99" s="448"/>
      <c r="Y99" s="448"/>
      <c r="AF99" s="448"/>
      <c r="AI99" s="4"/>
    </row>
    <row r="100" spans="1:39" ht="12" thickBot="1" x14ac:dyDescent="0.3">
      <c r="B100" s="2"/>
      <c r="C100" s="2"/>
      <c r="D100" s="448"/>
      <c r="E100" s="448"/>
      <c r="F100" s="448"/>
      <c r="G100" s="448"/>
      <c r="H100" s="448"/>
      <c r="I100" s="448"/>
      <c r="K100" s="448"/>
      <c r="L100" s="448"/>
      <c r="M100" s="448"/>
      <c r="N100" s="448"/>
      <c r="O100" s="448"/>
      <c r="Q100" s="4"/>
      <c r="Y100" s="449"/>
      <c r="AI100" s="4"/>
    </row>
    <row r="101" spans="1:39" x14ac:dyDescent="0.25">
      <c r="A101" s="4"/>
      <c r="B101" s="34"/>
      <c r="C101" s="34"/>
      <c r="D101" s="474"/>
      <c r="E101" s="474"/>
      <c r="F101" s="474"/>
      <c r="G101" s="474"/>
      <c r="H101" s="474"/>
      <c r="I101" s="474"/>
      <c r="J101" s="4"/>
      <c r="K101" s="474"/>
      <c r="L101" s="474"/>
      <c r="M101" s="474"/>
      <c r="N101" s="474"/>
      <c r="O101" s="47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/>
      <c r="AE101" s="4"/>
      <c r="AF101" s="4"/>
      <c r="AG101" s="4"/>
      <c r="AH101" s="4"/>
      <c r="AI101" s="4"/>
    </row>
    <row r="102" spans="1:39" ht="12" thickBot="1" x14ac:dyDescent="0.3">
      <c r="Q102" s="4"/>
      <c r="AI102" s="4"/>
    </row>
    <row r="103" spans="1:39" x14ac:dyDescent="0.25">
      <c r="B103" s="5"/>
      <c r="C103" s="3" t="s">
        <v>1</v>
      </c>
      <c r="D103" s="6" t="s">
        <v>1</v>
      </c>
      <c r="E103" s="3"/>
      <c r="F103" s="3"/>
      <c r="G103" s="3"/>
      <c r="H103" s="3" t="s">
        <v>1</v>
      </c>
      <c r="I103" s="3"/>
      <c r="J103" s="3"/>
      <c r="K103" s="3"/>
      <c r="L103" s="3"/>
      <c r="M103" s="3"/>
      <c r="N103" s="3"/>
      <c r="O103" s="7"/>
      <c r="P103" s="2"/>
      <c r="Q103" s="4"/>
      <c r="S103" s="5"/>
      <c r="T103" s="3" t="s">
        <v>1</v>
      </c>
      <c r="U103" s="6" t="s">
        <v>1</v>
      </c>
      <c r="V103" s="3"/>
      <c r="W103" s="3"/>
      <c r="X103" s="3" t="s">
        <v>1</v>
      </c>
      <c r="Y103" s="3"/>
      <c r="Z103" s="3"/>
      <c r="AA103" s="3"/>
      <c r="AB103" s="3"/>
      <c r="AC103" s="3"/>
      <c r="AD103" s="3"/>
      <c r="AE103" s="3"/>
      <c r="AF103" s="7"/>
      <c r="AG103" s="2"/>
      <c r="AI103" s="4"/>
    </row>
    <row r="104" spans="1:39" ht="14" x14ac:dyDescent="0.3">
      <c r="B104" s="8"/>
      <c r="F104" s="26" t="s">
        <v>8</v>
      </c>
      <c r="G104" s="26"/>
      <c r="I104" s="26" t="s">
        <v>16</v>
      </c>
      <c r="J104" s="25"/>
      <c r="M104" s="2"/>
      <c r="N104" s="50"/>
      <c r="O104" s="10"/>
      <c r="P104" s="2"/>
      <c r="Q104" s="4"/>
      <c r="S104" s="8"/>
      <c r="U104" s="26" t="s">
        <v>8</v>
      </c>
      <c r="W104" s="26" t="s">
        <v>16</v>
      </c>
      <c r="X104" s="25"/>
      <c r="Y104" s="2"/>
      <c r="AA104" s="2"/>
      <c r="AD104" s="50"/>
      <c r="AE104" s="84"/>
      <c r="AF104" s="48"/>
      <c r="AG104" s="2"/>
      <c r="AI104" s="4"/>
    </row>
    <row r="105" spans="1:39" ht="15.5" x14ac:dyDescent="0.35">
      <c r="B105" s="8"/>
      <c r="F105" s="36" t="s">
        <v>29</v>
      </c>
      <c r="G105" s="36"/>
      <c r="O105" s="10"/>
      <c r="P105" s="2"/>
      <c r="Q105" s="4"/>
      <c r="S105" s="8"/>
      <c r="T105" s="26" t="s">
        <v>1</v>
      </c>
      <c r="U105" s="36" t="s">
        <v>29</v>
      </c>
      <c r="Y105" s="2" t="s">
        <v>1</v>
      </c>
      <c r="AA105" s="50" t="s">
        <v>1</v>
      </c>
      <c r="AB105" s="2"/>
      <c r="AC105" s="2"/>
      <c r="AD105" s="2"/>
      <c r="AE105" s="2"/>
      <c r="AF105" s="10" t="s">
        <v>1</v>
      </c>
      <c r="AG105" s="2"/>
      <c r="AI105" s="4"/>
    </row>
    <row r="106" spans="1:39" ht="14" x14ac:dyDescent="0.3">
      <c r="B106" s="8"/>
      <c r="F106" s="2" t="s">
        <v>30</v>
      </c>
      <c r="G106" s="2"/>
      <c r="M106" s="2" t="s">
        <v>1</v>
      </c>
      <c r="O106" s="10"/>
      <c r="P106" s="2"/>
      <c r="Q106" s="4"/>
      <c r="S106" s="8"/>
      <c r="T106" s="49" t="s">
        <v>1</v>
      </c>
      <c r="U106" s="2" t="s">
        <v>30</v>
      </c>
      <c r="AF106" s="44"/>
      <c r="AG106" s="2"/>
      <c r="AI106" s="4"/>
    </row>
    <row r="107" spans="1:39" ht="15.5" x14ac:dyDescent="0.35">
      <c r="B107" s="8"/>
      <c r="C107" s="2"/>
      <c r="D107" s="9"/>
      <c r="F107" s="41" t="s">
        <v>191</v>
      </c>
      <c r="G107" s="41"/>
      <c r="H107" s="2"/>
      <c r="J107" s="2"/>
      <c r="O107" s="10"/>
      <c r="P107" s="2"/>
      <c r="Q107" s="4"/>
      <c r="S107" s="8"/>
      <c r="T107" s="41" t="s">
        <v>1</v>
      </c>
      <c r="U107" s="41" t="s">
        <v>191</v>
      </c>
      <c r="V107" s="2"/>
      <c r="X107" s="2"/>
      <c r="Y107" s="2"/>
      <c r="AF107" s="48"/>
      <c r="AG107" s="2"/>
      <c r="AI107" s="4"/>
    </row>
    <row r="108" spans="1:39" ht="12" thickBot="1" x14ac:dyDescent="0.3">
      <c r="B108" s="8"/>
      <c r="C108" s="2"/>
      <c r="D108" s="241"/>
      <c r="F108" s="2"/>
      <c r="G108" s="9"/>
      <c r="J108" s="2"/>
      <c r="K108" s="9"/>
      <c r="O108" s="10"/>
      <c r="P108" s="2"/>
      <c r="Q108" s="4"/>
      <c r="S108" s="8"/>
      <c r="V108" s="9"/>
      <c r="Y108" s="9"/>
      <c r="Z108" s="1" t="s">
        <v>1</v>
      </c>
      <c r="AF108" s="48"/>
      <c r="AG108" s="2"/>
      <c r="AI108" s="4"/>
    </row>
    <row r="109" spans="1:39" ht="69.5" thickBot="1" x14ac:dyDescent="0.3">
      <c r="B109" s="11" t="s">
        <v>3</v>
      </c>
      <c r="C109" s="27" t="s">
        <v>9</v>
      </c>
      <c r="D109" s="104" t="s">
        <v>4</v>
      </c>
      <c r="E109" s="105" t="s">
        <v>5</v>
      </c>
      <c r="F109" s="105" t="s">
        <v>6</v>
      </c>
      <c r="G109" s="550" t="s">
        <v>159</v>
      </c>
      <c r="H109" s="105" t="s">
        <v>18</v>
      </c>
      <c r="I109" s="105" t="s">
        <v>24</v>
      </c>
      <c r="J109" s="147" t="s">
        <v>19</v>
      </c>
      <c r="K109" s="39" t="s">
        <v>20</v>
      </c>
      <c r="L109" s="551" t="s">
        <v>21</v>
      </c>
      <c r="M109" s="39" t="s">
        <v>22</v>
      </c>
      <c r="N109" s="105" t="s">
        <v>7</v>
      </c>
      <c r="O109" s="39" t="s">
        <v>23</v>
      </c>
      <c r="P109" s="13"/>
      <c r="Q109" s="4"/>
      <c r="S109" s="11" t="s">
        <v>3</v>
      </c>
      <c r="T109" s="27" t="s">
        <v>9</v>
      </c>
      <c r="U109" s="162" t="s">
        <v>39</v>
      </c>
      <c r="V109" s="163" t="s">
        <v>40</v>
      </c>
      <c r="W109" s="163" t="s">
        <v>41</v>
      </c>
      <c r="X109" s="163" t="s">
        <v>42</v>
      </c>
      <c r="Y109" s="164" t="s">
        <v>43</v>
      </c>
      <c r="Z109" s="554" t="s">
        <v>21</v>
      </c>
      <c r="AA109" s="380" t="s">
        <v>46</v>
      </c>
      <c r="AB109" s="380" t="s">
        <v>7</v>
      </c>
      <c r="AC109" s="554" t="s">
        <v>168</v>
      </c>
      <c r="AD109" s="550" t="s">
        <v>105</v>
      </c>
      <c r="AE109" s="550" t="s">
        <v>104</v>
      </c>
      <c r="AF109" s="39" t="s">
        <v>23</v>
      </c>
      <c r="AG109" s="13"/>
      <c r="AI109" s="4"/>
    </row>
    <row r="110" spans="1:39" x14ac:dyDescent="0.25">
      <c r="B110" s="14">
        <v>1</v>
      </c>
      <c r="C110" s="61" t="s">
        <v>10</v>
      </c>
      <c r="D110" s="552">
        <f>D9-(D26+D60+D43+D76+D93)</f>
        <v>0</v>
      </c>
      <c r="E110" s="552">
        <f t="shared" ref="E110:O110" si="0">E9-(E26+E60+E43+E76+E93)</f>
        <v>0</v>
      </c>
      <c r="F110" s="552">
        <f t="shared" si="0"/>
        <v>0</v>
      </c>
      <c r="G110" s="552">
        <f t="shared" si="0"/>
        <v>0</v>
      </c>
      <c r="H110" s="552">
        <f t="shared" si="0"/>
        <v>0</v>
      </c>
      <c r="I110" s="552">
        <f t="shared" si="0"/>
        <v>0</v>
      </c>
      <c r="J110" s="552">
        <f t="shared" si="0"/>
        <v>0</v>
      </c>
      <c r="K110" s="552">
        <f t="shared" si="0"/>
        <v>0</v>
      </c>
      <c r="L110" s="552">
        <f t="shared" si="0"/>
        <v>0</v>
      </c>
      <c r="M110" s="552">
        <f t="shared" si="0"/>
        <v>0</v>
      </c>
      <c r="N110" s="552">
        <f t="shared" si="0"/>
        <v>0</v>
      </c>
      <c r="O110" s="552">
        <f t="shared" si="0"/>
        <v>0</v>
      </c>
      <c r="P110" s="480"/>
      <c r="Q110" s="481"/>
      <c r="R110" s="480"/>
      <c r="S110" s="482">
        <v>1</v>
      </c>
      <c r="T110" s="483" t="s">
        <v>10</v>
      </c>
      <c r="U110" s="552">
        <f>U9-(U26+U43+U60++U76+U93)</f>
        <v>0</v>
      </c>
      <c r="V110" s="552">
        <f t="shared" ref="V110:AF110" si="1">V9-(V26+V43+V60++V76+V93)</f>
        <v>0</v>
      </c>
      <c r="W110" s="552">
        <f t="shared" si="1"/>
        <v>0</v>
      </c>
      <c r="X110" s="552">
        <f t="shared" si="1"/>
        <v>0</v>
      </c>
      <c r="Y110" s="552">
        <f t="shared" si="1"/>
        <v>0</v>
      </c>
      <c r="Z110" s="552">
        <f t="shared" si="1"/>
        <v>0</v>
      </c>
      <c r="AA110" s="552">
        <f t="shared" si="1"/>
        <v>0</v>
      </c>
      <c r="AB110" s="552">
        <f t="shared" si="1"/>
        <v>0</v>
      </c>
      <c r="AC110" s="552">
        <f t="shared" si="1"/>
        <v>0</v>
      </c>
      <c r="AD110" s="552">
        <f t="shared" ref="AD110:AD115" si="2">AD9-(AD26+AD43+AD60+AD76+AD93)</f>
        <v>0</v>
      </c>
      <c r="AE110" s="552">
        <f t="shared" si="1"/>
        <v>0</v>
      </c>
      <c r="AF110" s="552">
        <f t="shared" si="1"/>
        <v>0</v>
      </c>
      <c r="AG110" s="552">
        <f t="shared" ref="AG110" si="3">AG9-(AG26+AG43+AG60++AG76+AG93)</f>
        <v>0</v>
      </c>
      <c r="AI110" s="481"/>
      <c r="AJ110" s="480"/>
    </row>
    <row r="111" spans="1:39" x14ac:dyDescent="0.25">
      <c r="B111" s="16">
        <v>2</v>
      </c>
      <c r="C111" s="62" t="s">
        <v>11</v>
      </c>
      <c r="D111" s="479">
        <f t="shared" ref="D111:O115" si="4">D10-(D27+D61+D44+D77+D94)</f>
        <v>0</v>
      </c>
      <c r="E111" s="479">
        <f t="shared" si="4"/>
        <v>0</v>
      </c>
      <c r="F111" s="479">
        <f t="shared" si="4"/>
        <v>0</v>
      </c>
      <c r="G111" s="479">
        <f t="shared" si="4"/>
        <v>0</v>
      </c>
      <c r="H111" s="479">
        <f t="shared" si="4"/>
        <v>0</v>
      </c>
      <c r="I111" s="479">
        <f t="shared" si="4"/>
        <v>0</v>
      </c>
      <c r="J111" s="479">
        <f t="shared" si="4"/>
        <v>0</v>
      </c>
      <c r="K111" s="479">
        <f t="shared" si="4"/>
        <v>0</v>
      </c>
      <c r="L111" s="479">
        <f t="shared" si="4"/>
        <v>0</v>
      </c>
      <c r="M111" s="479">
        <f t="shared" si="4"/>
        <v>0</v>
      </c>
      <c r="N111" s="479">
        <f t="shared" si="4"/>
        <v>0</v>
      </c>
      <c r="O111" s="479">
        <f t="shared" si="4"/>
        <v>0</v>
      </c>
      <c r="P111" s="480"/>
      <c r="Q111" s="481"/>
      <c r="R111" s="480"/>
      <c r="S111" s="484">
        <v>2</v>
      </c>
      <c r="T111" s="485" t="s">
        <v>11</v>
      </c>
      <c r="U111" s="479">
        <f t="shared" ref="U111:AF115" si="5">U10-(U27+U44+U61++U77+U94)</f>
        <v>0</v>
      </c>
      <c r="V111" s="479">
        <f t="shared" si="5"/>
        <v>0</v>
      </c>
      <c r="W111" s="479">
        <f t="shared" si="5"/>
        <v>0</v>
      </c>
      <c r="X111" s="479">
        <f t="shared" si="5"/>
        <v>0</v>
      </c>
      <c r="Y111" s="479">
        <f t="shared" si="5"/>
        <v>0</v>
      </c>
      <c r="Z111" s="479">
        <f t="shared" si="5"/>
        <v>0</v>
      </c>
      <c r="AA111" s="479">
        <f t="shared" si="5"/>
        <v>0</v>
      </c>
      <c r="AB111" s="479">
        <f t="shared" si="5"/>
        <v>0</v>
      </c>
      <c r="AC111" s="479">
        <f t="shared" si="5"/>
        <v>0</v>
      </c>
      <c r="AD111" s="479">
        <f t="shared" si="2"/>
        <v>0</v>
      </c>
      <c r="AE111" s="479">
        <f t="shared" si="5"/>
        <v>0</v>
      </c>
      <c r="AF111" s="479">
        <f t="shared" si="5"/>
        <v>0</v>
      </c>
      <c r="AG111" s="479">
        <f t="shared" ref="AG111" si="6">AG10-(AG27+AG44+AG61++AG77+AG94)</f>
        <v>0</v>
      </c>
      <c r="AI111" s="481"/>
      <c r="AJ111" s="480"/>
    </row>
    <row r="112" spans="1:39" x14ac:dyDescent="0.25">
      <c r="B112" s="16">
        <v>3</v>
      </c>
      <c r="C112" s="62" t="s">
        <v>12</v>
      </c>
      <c r="D112" s="479">
        <f t="shared" si="4"/>
        <v>0</v>
      </c>
      <c r="E112" s="479">
        <f t="shared" si="4"/>
        <v>0</v>
      </c>
      <c r="F112" s="479">
        <f t="shared" si="4"/>
        <v>0</v>
      </c>
      <c r="G112" s="479">
        <f t="shared" si="4"/>
        <v>0</v>
      </c>
      <c r="H112" s="479">
        <f t="shared" si="4"/>
        <v>0</v>
      </c>
      <c r="I112" s="479">
        <f t="shared" si="4"/>
        <v>0</v>
      </c>
      <c r="J112" s="479">
        <f t="shared" si="4"/>
        <v>0</v>
      </c>
      <c r="K112" s="479">
        <f t="shared" si="4"/>
        <v>0</v>
      </c>
      <c r="L112" s="479">
        <f t="shared" si="4"/>
        <v>0</v>
      </c>
      <c r="M112" s="479">
        <f t="shared" si="4"/>
        <v>0</v>
      </c>
      <c r="N112" s="479">
        <f t="shared" si="4"/>
        <v>0</v>
      </c>
      <c r="O112" s="479">
        <f t="shared" si="4"/>
        <v>0</v>
      </c>
      <c r="P112" s="480"/>
      <c r="Q112" s="481"/>
      <c r="R112" s="480"/>
      <c r="S112" s="484">
        <v>3</v>
      </c>
      <c r="T112" s="485" t="s">
        <v>12</v>
      </c>
      <c r="U112" s="479">
        <f t="shared" si="5"/>
        <v>0</v>
      </c>
      <c r="V112" s="479">
        <f t="shared" si="5"/>
        <v>0</v>
      </c>
      <c r="W112" s="479">
        <f t="shared" si="5"/>
        <v>0</v>
      </c>
      <c r="X112" s="479">
        <f t="shared" si="5"/>
        <v>0</v>
      </c>
      <c r="Y112" s="479">
        <f t="shared" si="5"/>
        <v>0</v>
      </c>
      <c r="Z112" s="479">
        <f t="shared" si="5"/>
        <v>0</v>
      </c>
      <c r="AA112" s="479">
        <f t="shared" si="5"/>
        <v>0</v>
      </c>
      <c r="AB112" s="479">
        <f t="shared" si="5"/>
        <v>0</v>
      </c>
      <c r="AC112" s="479">
        <f t="shared" si="5"/>
        <v>0</v>
      </c>
      <c r="AD112" s="479">
        <f t="shared" si="2"/>
        <v>0</v>
      </c>
      <c r="AE112" s="479">
        <f t="shared" si="5"/>
        <v>0</v>
      </c>
      <c r="AF112" s="479">
        <f t="shared" si="5"/>
        <v>0</v>
      </c>
      <c r="AG112" s="479">
        <f t="shared" ref="AG112" si="7">AG11-(AG28+AG45+AG62++AG78+AG95)</f>
        <v>0</v>
      </c>
      <c r="AI112" s="481"/>
      <c r="AJ112" s="480"/>
    </row>
    <row r="113" spans="1:36" x14ac:dyDescent="0.25">
      <c r="B113" s="16">
        <v>4</v>
      </c>
      <c r="C113" s="62" t="s">
        <v>13</v>
      </c>
      <c r="D113" s="479">
        <f t="shared" si="4"/>
        <v>0</v>
      </c>
      <c r="E113" s="479">
        <f t="shared" si="4"/>
        <v>0</v>
      </c>
      <c r="F113" s="479">
        <f t="shared" si="4"/>
        <v>0</v>
      </c>
      <c r="G113" s="479">
        <f t="shared" si="4"/>
        <v>0</v>
      </c>
      <c r="H113" s="479">
        <f t="shared" si="4"/>
        <v>0</v>
      </c>
      <c r="I113" s="479">
        <f t="shared" si="4"/>
        <v>0</v>
      </c>
      <c r="J113" s="479">
        <f t="shared" si="4"/>
        <v>0</v>
      </c>
      <c r="K113" s="479">
        <f t="shared" si="4"/>
        <v>0</v>
      </c>
      <c r="L113" s="479">
        <f t="shared" si="4"/>
        <v>0</v>
      </c>
      <c r="M113" s="479">
        <f t="shared" si="4"/>
        <v>0</v>
      </c>
      <c r="N113" s="479">
        <f t="shared" si="4"/>
        <v>0</v>
      </c>
      <c r="O113" s="479">
        <f t="shared" si="4"/>
        <v>0</v>
      </c>
      <c r="P113" s="480"/>
      <c r="Q113" s="481"/>
      <c r="R113" s="480"/>
      <c r="S113" s="484">
        <v>4</v>
      </c>
      <c r="T113" s="485" t="s">
        <v>13</v>
      </c>
      <c r="U113" s="479">
        <f t="shared" si="5"/>
        <v>0</v>
      </c>
      <c r="V113" s="479">
        <f t="shared" si="5"/>
        <v>0</v>
      </c>
      <c r="W113" s="479">
        <f t="shared" si="5"/>
        <v>0</v>
      </c>
      <c r="X113" s="479">
        <f t="shared" si="5"/>
        <v>0</v>
      </c>
      <c r="Y113" s="479">
        <f t="shared" si="5"/>
        <v>0</v>
      </c>
      <c r="Z113" s="479">
        <f t="shared" si="5"/>
        <v>0</v>
      </c>
      <c r="AA113" s="479">
        <f t="shared" si="5"/>
        <v>0</v>
      </c>
      <c r="AB113" s="479">
        <f t="shared" si="5"/>
        <v>0</v>
      </c>
      <c r="AC113" s="479">
        <f t="shared" si="5"/>
        <v>0</v>
      </c>
      <c r="AD113" s="479">
        <f t="shared" si="2"/>
        <v>2.0861625671386719E-7</v>
      </c>
      <c r="AE113" s="479">
        <f t="shared" si="5"/>
        <v>0</v>
      </c>
      <c r="AF113" s="479">
        <f t="shared" si="5"/>
        <v>0</v>
      </c>
      <c r="AG113" s="479">
        <f t="shared" ref="AG113" si="8">AG12-(AG29+AG46+AG63++AG79+AG96)</f>
        <v>0</v>
      </c>
      <c r="AI113" s="481"/>
      <c r="AJ113" s="480"/>
    </row>
    <row r="114" spans="1:36" ht="12" thickBot="1" x14ac:dyDescent="0.3">
      <c r="B114" s="19">
        <v>5</v>
      </c>
      <c r="C114" s="63" t="s">
        <v>14</v>
      </c>
      <c r="D114" s="479">
        <f t="shared" si="4"/>
        <v>0</v>
      </c>
      <c r="E114" s="479">
        <f t="shared" si="4"/>
        <v>0</v>
      </c>
      <c r="F114" s="479">
        <f t="shared" si="4"/>
        <v>0</v>
      </c>
      <c r="G114" s="479">
        <f t="shared" si="4"/>
        <v>0</v>
      </c>
      <c r="H114" s="479">
        <f t="shared" si="4"/>
        <v>0</v>
      </c>
      <c r="I114" s="479">
        <f t="shared" si="4"/>
        <v>0</v>
      </c>
      <c r="J114" s="479">
        <f t="shared" si="4"/>
        <v>0</v>
      </c>
      <c r="K114" s="479">
        <f t="shared" si="4"/>
        <v>0</v>
      </c>
      <c r="L114" s="479">
        <f t="shared" si="4"/>
        <v>0</v>
      </c>
      <c r="M114" s="479">
        <f t="shared" si="4"/>
        <v>0</v>
      </c>
      <c r="N114" s="479">
        <f t="shared" si="4"/>
        <v>0</v>
      </c>
      <c r="O114" s="479">
        <f t="shared" si="4"/>
        <v>0</v>
      </c>
      <c r="P114" s="480"/>
      <c r="Q114" s="481"/>
      <c r="R114" s="480"/>
      <c r="S114" s="486">
        <v>5</v>
      </c>
      <c r="T114" s="487" t="s">
        <v>14</v>
      </c>
      <c r="U114" s="479">
        <f t="shared" si="5"/>
        <v>0</v>
      </c>
      <c r="V114" s="479">
        <f t="shared" si="5"/>
        <v>0</v>
      </c>
      <c r="W114" s="479">
        <f t="shared" si="5"/>
        <v>0</v>
      </c>
      <c r="X114" s="479">
        <f t="shared" si="5"/>
        <v>0</v>
      </c>
      <c r="Y114" s="479">
        <f t="shared" si="5"/>
        <v>0</v>
      </c>
      <c r="Z114" s="479">
        <f t="shared" si="5"/>
        <v>0</v>
      </c>
      <c r="AA114" s="479">
        <f t="shared" si="5"/>
        <v>0</v>
      </c>
      <c r="AB114" s="479">
        <f t="shared" si="5"/>
        <v>0</v>
      </c>
      <c r="AC114" s="479">
        <f t="shared" si="5"/>
        <v>0</v>
      </c>
      <c r="AD114" s="479">
        <f t="shared" si="2"/>
        <v>0</v>
      </c>
      <c r="AE114" s="479">
        <f t="shared" si="5"/>
        <v>0</v>
      </c>
      <c r="AF114" s="479">
        <f t="shared" si="5"/>
        <v>0</v>
      </c>
      <c r="AG114" s="479">
        <f t="shared" ref="AG114" si="9">AG13-(AG30+AG47+AG64++AG80+AG97)</f>
        <v>0</v>
      </c>
      <c r="AI114" s="481"/>
      <c r="AJ114" s="480"/>
    </row>
    <row r="115" spans="1:36" ht="12" thickBot="1" x14ac:dyDescent="0.3">
      <c r="B115" s="21"/>
      <c r="C115" s="22" t="s">
        <v>2</v>
      </c>
      <c r="D115" s="553">
        <f t="shared" si="4"/>
        <v>0</v>
      </c>
      <c r="E115" s="553">
        <f t="shared" si="4"/>
        <v>0</v>
      </c>
      <c r="F115" s="553">
        <f t="shared" si="4"/>
        <v>0</v>
      </c>
      <c r="G115" s="553">
        <f t="shared" si="4"/>
        <v>0</v>
      </c>
      <c r="H115" s="553">
        <f t="shared" si="4"/>
        <v>0</v>
      </c>
      <c r="I115" s="553">
        <f t="shared" si="4"/>
        <v>0</v>
      </c>
      <c r="J115" s="553">
        <f t="shared" si="4"/>
        <v>0</v>
      </c>
      <c r="K115" s="553">
        <f t="shared" si="4"/>
        <v>0</v>
      </c>
      <c r="L115" s="553">
        <f t="shared" si="4"/>
        <v>0</v>
      </c>
      <c r="M115" s="553">
        <f t="shared" si="4"/>
        <v>0</v>
      </c>
      <c r="N115" s="553">
        <f t="shared" si="4"/>
        <v>0</v>
      </c>
      <c r="O115" s="553">
        <f t="shared" si="4"/>
        <v>0</v>
      </c>
      <c r="P115" s="488"/>
      <c r="Q115" s="481"/>
      <c r="R115" s="480"/>
      <c r="S115" s="489"/>
      <c r="T115" s="490" t="s">
        <v>2</v>
      </c>
      <c r="U115" s="553">
        <f t="shared" si="5"/>
        <v>0</v>
      </c>
      <c r="V115" s="553">
        <f t="shared" si="5"/>
        <v>0</v>
      </c>
      <c r="W115" s="553">
        <f t="shared" si="5"/>
        <v>0</v>
      </c>
      <c r="X115" s="553">
        <f t="shared" si="5"/>
        <v>0</v>
      </c>
      <c r="Y115" s="553">
        <f t="shared" si="5"/>
        <v>0</v>
      </c>
      <c r="Z115" s="553">
        <f t="shared" si="5"/>
        <v>0</v>
      </c>
      <c r="AA115" s="553">
        <f t="shared" si="5"/>
        <v>0</v>
      </c>
      <c r="AB115" s="553">
        <f t="shared" si="5"/>
        <v>0</v>
      </c>
      <c r="AC115" s="553">
        <f t="shared" si="5"/>
        <v>0</v>
      </c>
      <c r="AD115" s="553">
        <f t="shared" si="2"/>
        <v>0</v>
      </c>
      <c r="AE115" s="553">
        <f t="shared" si="5"/>
        <v>0</v>
      </c>
      <c r="AF115" s="553">
        <f t="shared" si="5"/>
        <v>0</v>
      </c>
      <c r="AG115" s="553">
        <f t="shared" ref="AG115" si="10">AG14-(AG31+AG48+AG65++AG81+AG98)</f>
        <v>0</v>
      </c>
      <c r="AI115" s="481"/>
      <c r="AJ115" s="480"/>
    </row>
    <row r="116" spans="1:36" x14ac:dyDescent="0.25">
      <c r="B116" s="2"/>
      <c r="C116" s="2"/>
      <c r="D116" s="448"/>
      <c r="E116" s="448"/>
      <c r="F116" s="448"/>
      <c r="G116" s="448"/>
      <c r="H116" s="448"/>
      <c r="I116" s="448"/>
      <c r="K116" s="448"/>
      <c r="L116" s="448"/>
      <c r="M116" s="448"/>
      <c r="N116" s="448"/>
      <c r="O116" s="448"/>
      <c r="Q116" s="4"/>
      <c r="S116" s="2"/>
      <c r="T116" s="2"/>
      <c r="U116" s="448"/>
      <c r="V116" s="448"/>
      <c r="W116" s="448"/>
      <c r="X116" s="448"/>
      <c r="Y116" s="448"/>
      <c r="AF116" s="448"/>
      <c r="AI116" s="4"/>
    </row>
    <row r="117" spans="1:36" x14ac:dyDescent="0.25">
      <c r="B117" s="2"/>
      <c r="C117" s="2"/>
      <c r="D117" s="448" t="s">
        <v>1</v>
      </c>
      <c r="E117" s="448"/>
      <c r="F117" s="448"/>
      <c r="G117" s="448"/>
      <c r="H117" s="448"/>
      <c r="I117" s="448"/>
      <c r="K117" s="448"/>
      <c r="L117" s="448"/>
      <c r="M117" s="448"/>
      <c r="N117" s="448"/>
      <c r="O117" s="448"/>
      <c r="Q117" s="4"/>
      <c r="AA117" s="1" t="s">
        <v>1</v>
      </c>
      <c r="AB117" s="1" t="s">
        <v>1</v>
      </c>
      <c r="AD117" s="1" t="s">
        <v>1</v>
      </c>
      <c r="AF117" s="1" t="s">
        <v>1</v>
      </c>
      <c r="AI117" s="4"/>
    </row>
    <row r="118" spans="1:36" x14ac:dyDescent="0.25">
      <c r="A118" s="4"/>
      <c r="B118" s="34"/>
      <c r="C118" s="34"/>
      <c r="D118" s="474"/>
      <c r="E118" s="474"/>
      <c r="F118" s="474"/>
      <c r="G118" s="474"/>
      <c r="H118" s="474"/>
      <c r="I118" s="474"/>
      <c r="J118" s="4"/>
      <c r="K118" s="474"/>
      <c r="L118" s="474"/>
      <c r="M118" s="474"/>
      <c r="N118" s="474"/>
      <c r="O118" s="47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  <c r="AD118" s="4"/>
      <c r="AE118" s="4"/>
      <c r="AF118" s="4"/>
      <c r="AG118" s="4"/>
      <c r="AH118" s="4"/>
      <c r="AI118" s="4"/>
    </row>
    <row r="119" spans="1:36" ht="12" thickBot="1" x14ac:dyDescent="0.3">
      <c r="Q119" s="4"/>
      <c r="AI119" s="4"/>
    </row>
    <row r="120" spans="1:36" x14ac:dyDescent="0.25">
      <c r="B120" s="5"/>
      <c r="C120" s="3" t="s">
        <v>1</v>
      </c>
      <c r="D120" s="6" t="s">
        <v>1</v>
      </c>
      <c r="E120" s="3"/>
      <c r="F120" s="3"/>
      <c r="G120" s="3"/>
      <c r="H120" s="3" t="s">
        <v>1</v>
      </c>
      <c r="I120" s="3"/>
      <c r="J120" s="3"/>
      <c r="K120" s="3"/>
      <c r="L120" s="3"/>
      <c r="M120" s="3"/>
      <c r="N120" s="3"/>
      <c r="O120" s="7"/>
      <c r="P120" s="2"/>
      <c r="Q120" s="4"/>
      <c r="S120" s="5"/>
      <c r="T120" s="3" t="s">
        <v>1</v>
      </c>
      <c r="U120" s="6" t="s">
        <v>1</v>
      </c>
      <c r="V120" s="3"/>
      <c r="W120" s="3"/>
      <c r="X120" s="3" t="s">
        <v>1</v>
      </c>
      <c r="Y120" s="3"/>
      <c r="Z120" s="3"/>
      <c r="AA120" s="3"/>
      <c r="AB120" s="3"/>
      <c r="AC120" s="3"/>
      <c r="AD120" s="3"/>
      <c r="AE120" s="3"/>
      <c r="AF120" s="7"/>
      <c r="AG120" s="2"/>
      <c r="AI120" s="4"/>
    </row>
    <row r="121" spans="1:36" ht="14" x14ac:dyDescent="0.3">
      <c r="B121" s="8"/>
      <c r="F121" s="26" t="s">
        <v>8</v>
      </c>
      <c r="G121" s="26"/>
      <c r="I121" s="26" t="s">
        <v>16</v>
      </c>
      <c r="J121" s="25"/>
      <c r="M121" s="2" t="s">
        <v>15</v>
      </c>
      <c r="N121" s="50">
        <f>'REMUNERACION_EAAB-CL'!N98</f>
        <v>2026072</v>
      </c>
      <c r="O121" s="10"/>
      <c r="P121" s="2"/>
      <c r="Q121" s="4"/>
      <c r="S121" s="8"/>
      <c r="U121" s="26" t="s">
        <v>8</v>
      </c>
      <c r="W121" s="26" t="s">
        <v>16</v>
      </c>
      <c r="X121" s="25"/>
      <c r="Y121" s="2"/>
      <c r="AA121" s="2" t="s">
        <v>15</v>
      </c>
      <c r="AD121" s="84">
        <f>'REMUNERACION_EAAB-CL'!AD98</f>
        <v>2026072</v>
      </c>
      <c r="AE121" s="84"/>
      <c r="AF121" s="48"/>
      <c r="AG121" s="2"/>
      <c r="AI121" s="4"/>
    </row>
    <row r="122" spans="1:36" ht="15.5" x14ac:dyDescent="0.35">
      <c r="B122" s="8"/>
      <c r="F122" s="36" t="s">
        <v>29</v>
      </c>
      <c r="G122" s="36"/>
      <c r="O122" s="10"/>
      <c r="P122" s="2"/>
      <c r="Q122" s="4"/>
      <c r="S122" s="8"/>
      <c r="T122" s="26" t="s">
        <v>1</v>
      </c>
      <c r="U122" s="36" t="s">
        <v>29</v>
      </c>
      <c r="Y122" s="2" t="s">
        <v>1</v>
      </c>
      <c r="AA122" s="50" t="s">
        <v>1</v>
      </c>
      <c r="AB122" s="2"/>
      <c r="AC122" s="2"/>
      <c r="AD122" s="2"/>
      <c r="AE122" s="2"/>
      <c r="AF122" s="10" t="s">
        <v>1</v>
      </c>
      <c r="AG122" s="2"/>
      <c r="AI122" s="4"/>
    </row>
    <row r="123" spans="1:36" ht="14" x14ac:dyDescent="0.3">
      <c r="B123" s="8"/>
      <c r="F123" s="2" t="s">
        <v>30</v>
      </c>
      <c r="G123" s="2"/>
      <c r="L123" s="91"/>
      <c r="M123" s="2" t="s">
        <v>1</v>
      </c>
      <c r="O123" s="10"/>
      <c r="P123" s="2"/>
      <c r="Q123" s="4"/>
      <c r="S123" s="8"/>
      <c r="T123" s="49" t="s">
        <v>1</v>
      </c>
      <c r="U123" s="2" t="s">
        <v>30</v>
      </c>
      <c r="AF123" s="44"/>
      <c r="AG123" s="2"/>
      <c r="AI123" s="4"/>
    </row>
    <row r="124" spans="1:36" ht="15.5" x14ac:dyDescent="0.35">
      <c r="B124" s="8"/>
      <c r="C124" s="2" t="s">
        <v>17</v>
      </c>
      <c r="D124" s="9">
        <f>'REMUNERACION_EAAB-CL'!D101</f>
        <v>46238</v>
      </c>
      <c r="F124" s="58" t="s">
        <v>189</v>
      </c>
      <c r="G124" s="58"/>
      <c r="H124" s="59"/>
      <c r="I124" s="60"/>
      <c r="J124" s="59"/>
      <c r="K124" s="60"/>
      <c r="L124" s="91"/>
      <c r="O124" s="10"/>
      <c r="P124" s="2"/>
      <c r="Q124" s="4"/>
      <c r="S124" s="8"/>
      <c r="T124" s="41" t="s">
        <v>1</v>
      </c>
      <c r="U124" s="58" t="s">
        <v>35</v>
      </c>
      <c r="V124" s="59"/>
      <c r="W124" s="60"/>
      <c r="X124" s="59"/>
      <c r="Y124" s="2"/>
      <c r="AF124" s="48"/>
      <c r="AG124" s="2"/>
      <c r="AI124" s="4"/>
    </row>
    <row r="125" spans="1:36" ht="18" thickBot="1" x14ac:dyDescent="0.5">
      <c r="B125" s="95"/>
      <c r="C125" s="555" t="s">
        <v>0</v>
      </c>
      <c r="D125" s="556">
        <f>'REMUNERACION_EAAB-CL'!D102</f>
        <v>0.58333333333333337</v>
      </c>
      <c r="E125" s="45"/>
      <c r="F125" s="555" t="s">
        <v>27</v>
      </c>
      <c r="G125" s="557">
        <f>'REMUNERACION_EAAB-CL'!G102</f>
        <v>46219</v>
      </c>
      <c r="H125" s="45"/>
      <c r="I125" s="45"/>
      <c r="J125" s="555" t="s">
        <v>28</v>
      </c>
      <c r="K125" s="557">
        <f>'REMUNERACION_EAAB-CL'!K102</f>
        <v>46234</v>
      </c>
      <c r="L125" s="92"/>
      <c r="M125" s="45"/>
      <c r="N125" s="45"/>
      <c r="O125" s="558"/>
      <c r="P125" s="2"/>
      <c r="Q125" s="4"/>
      <c r="S125" s="95"/>
      <c r="T125" s="45"/>
      <c r="U125" s="45" t="str">
        <f>F125</f>
        <v>Fecha Desde:</v>
      </c>
      <c r="V125" s="557">
        <f>'REMUNERACION_EAAB-CL'!V102</f>
        <v>46219</v>
      </c>
      <c r="W125" s="45" t="s">
        <v>1</v>
      </c>
      <c r="X125" s="45" t="str">
        <f>J125</f>
        <v>Feha Hasta:</v>
      </c>
      <c r="Y125" s="557">
        <f>'REMUNERACION_EAAB-CL'!Y102</f>
        <v>46234</v>
      </c>
      <c r="Z125" s="45" t="s">
        <v>1</v>
      </c>
      <c r="AA125" s="45"/>
      <c r="AB125" s="45"/>
      <c r="AC125" s="45"/>
      <c r="AD125" s="45"/>
      <c r="AE125" s="45"/>
      <c r="AF125" s="559"/>
      <c r="AG125" s="2"/>
      <c r="AI125" s="4"/>
      <c r="AJ125" s="112" t="s">
        <v>1</v>
      </c>
    </row>
  </sheetData>
  <conditionalFormatting sqref="D110:O115">
    <cfRule type="cellIs" dxfId="2" priority="2" operator="notEqual">
      <formula>0</formula>
    </cfRule>
  </conditionalFormatting>
  <conditionalFormatting sqref="U110:AG115">
    <cfRule type="cellIs" dxfId="1" priority="1" operator="notEqual">
      <formula>0</formula>
    </cfRule>
  </conditionalFormatting>
  <printOptions horizontalCentered="1" verticalCentered="1"/>
  <pageMargins left="0.31496062992125984" right="0.11811023622047245" top="0.55118110236220474" bottom="0.55118110236220474" header="0.31496062992125984" footer="0.31496062992125984"/>
  <pageSetup scale="40" orientation="landscape" r:id="rId1"/>
  <ignoredErrors>
    <ignoredError sqref="AD110:AD115" formula="1"/>
  </ignoredErrors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dimension ref="A1:AG101"/>
  <sheetViews>
    <sheetView topLeftCell="A74" workbookViewId="0">
      <selection activeCell="L108" sqref="L108"/>
    </sheetView>
  </sheetViews>
  <sheetFormatPr baseColWidth="10" defaultRowHeight="12.5" x14ac:dyDescent="0.25"/>
  <cols>
    <col min="1" max="1" width="2.453125" customWidth="1"/>
    <col min="3" max="3" width="36.81640625" bestFit="1" customWidth="1"/>
    <col min="4" max="4" width="12" bestFit="1" customWidth="1"/>
    <col min="5" max="5" width="12.1796875" customWidth="1"/>
    <col min="6" max="6" width="9.1796875" customWidth="1"/>
    <col min="7" max="7" width="14.81640625" customWidth="1"/>
    <col min="8" max="8" width="15.1796875" customWidth="1"/>
    <col min="9" max="9" width="20.1796875" bestFit="1" customWidth="1"/>
    <col min="10" max="10" width="15.453125" customWidth="1"/>
    <col min="11" max="11" width="17.81640625" customWidth="1"/>
    <col min="12" max="12" width="20.81640625" customWidth="1"/>
    <col min="17" max="17" width="1.1796875" customWidth="1"/>
  </cols>
  <sheetData>
    <row r="1" spans="1:33" s="1" customFormat="1" ht="12" thickBot="1" x14ac:dyDescent="0.3">
      <c r="Q1" s="4"/>
    </row>
    <row r="2" spans="1:33" s="1" customFormat="1" ht="11.5" x14ac:dyDescent="0.25">
      <c r="B2" s="5"/>
      <c r="C2" s="3" t="s">
        <v>1</v>
      </c>
      <c r="D2" s="6" t="s">
        <v>1</v>
      </c>
      <c r="E2" s="3"/>
      <c r="F2" s="3"/>
      <c r="G2" s="3"/>
      <c r="H2" s="3" t="s">
        <v>1</v>
      </c>
      <c r="I2" s="3"/>
      <c r="J2" s="3"/>
      <c r="K2" s="3"/>
      <c r="L2" s="3"/>
      <c r="M2" s="3"/>
      <c r="N2" s="3"/>
      <c r="O2" s="7"/>
      <c r="P2" s="2"/>
      <c r="Q2" s="474"/>
    </row>
    <row r="3" spans="1:33" s="1" customFormat="1" ht="15.5" x14ac:dyDescent="0.35">
      <c r="B3" s="8"/>
      <c r="F3" s="471" t="s">
        <v>37</v>
      </c>
      <c r="G3" s="471"/>
      <c r="H3" s="472"/>
      <c r="I3" s="473"/>
      <c r="J3" s="472"/>
      <c r="K3" s="473"/>
      <c r="O3" s="10"/>
      <c r="P3" s="2"/>
      <c r="Q3" s="4"/>
    </row>
    <row r="4" spans="1:33" s="1" customFormat="1" ht="12" thickBot="1" x14ac:dyDescent="0.3">
      <c r="B4" s="8"/>
      <c r="C4" s="2" t="s">
        <v>1</v>
      </c>
      <c r="D4" s="2" t="s">
        <v>1</v>
      </c>
      <c r="O4" s="44"/>
      <c r="P4" s="2"/>
      <c r="Q4" s="4"/>
      <c r="AG4" s="480"/>
    </row>
    <row r="5" spans="1:33" s="1" customFormat="1" ht="63.75" customHeight="1" thickBot="1" x14ac:dyDescent="0.3">
      <c r="B5" s="11" t="s">
        <v>3</v>
      </c>
      <c r="C5" s="12" t="s">
        <v>9</v>
      </c>
      <c r="D5" s="12" t="s">
        <v>38</v>
      </c>
      <c r="E5" s="73" t="s">
        <v>48</v>
      </c>
      <c r="G5" s="104" t="s">
        <v>47</v>
      </c>
      <c r="H5" s="73" t="s">
        <v>56</v>
      </c>
      <c r="I5" s="73" t="s">
        <v>130</v>
      </c>
      <c r="J5" s="73" t="s">
        <v>172</v>
      </c>
      <c r="K5" s="73" t="s">
        <v>143</v>
      </c>
      <c r="L5" s="73" t="s">
        <v>144</v>
      </c>
      <c r="O5" s="44"/>
      <c r="P5" s="13"/>
      <c r="Q5" s="4"/>
    </row>
    <row r="6" spans="1:33" s="305" customFormat="1" ht="11.5" x14ac:dyDescent="0.25">
      <c r="B6" s="334">
        <v>1</v>
      </c>
      <c r="C6" s="335" t="s">
        <v>10</v>
      </c>
      <c r="D6" s="308">
        <f>'CONSOLIDADO_TOTAL RECAUDO'!D125</f>
        <v>100931031.88</v>
      </c>
      <c r="E6" s="309">
        <f>'CONSOLIDADO_TOTAL RECAUDO'!E125</f>
        <v>0</v>
      </c>
      <c r="G6" s="336">
        <f>'CONSOLIDADO_TOTAL RECAUDO'!G125</f>
        <v>49580</v>
      </c>
      <c r="H6" s="310">
        <f>'CONSOLIDADO_TOTAL RECAUDO'!H125</f>
        <v>125948553.12</v>
      </c>
      <c r="I6" s="309">
        <f>'CONSOLIDADO_TOTAL RECAUDO'!I125</f>
        <v>973693.46</v>
      </c>
      <c r="J6" s="309">
        <f>'CONSOLIDADO_TOTAL RECAUDO'!J125</f>
        <v>-16536713.09</v>
      </c>
      <c r="K6" s="309">
        <f>'CONSOLIDADO_TOTAL RECAUDO'!K125</f>
        <v>82340</v>
      </c>
      <c r="L6" s="309">
        <f>'CONSOLIDADO_TOTAL RECAUDO'!L125</f>
        <v>182537.90999999997</v>
      </c>
      <c r="O6" s="337"/>
      <c r="Q6" s="306"/>
    </row>
    <row r="7" spans="1:33" s="305" customFormat="1" ht="11.5" x14ac:dyDescent="0.25">
      <c r="B7" s="314">
        <v>2</v>
      </c>
      <c r="C7" s="338" t="s">
        <v>11</v>
      </c>
      <c r="D7" s="292">
        <f>'CONSOLIDADO_TOTAL RECAUDO'!D126</f>
        <v>136534753</v>
      </c>
      <c r="E7" s="288">
        <f>'CONSOLIDADO_TOTAL RECAUDO'!E126</f>
        <v>0</v>
      </c>
      <c r="G7" s="339">
        <f>'CONSOLIDADO_TOTAL RECAUDO'!G126</f>
        <v>56190070</v>
      </c>
      <c r="H7" s="340">
        <f>'CONSOLIDADO_TOTAL RECAUDO'!H126</f>
        <v>178539092.16</v>
      </c>
      <c r="I7" s="288">
        <f>'CONSOLIDADO_TOTAL RECAUDO'!I126</f>
        <v>216025.77</v>
      </c>
      <c r="J7" s="288">
        <f>'CONSOLIDADO_TOTAL RECAUDO'!J126</f>
        <v>-71069759</v>
      </c>
      <c r="K7" s="288">
        <f>'CONSOLIDADO_TOTAL RECAUDO'!K126</f>
        <v>5228610</v>
      </c>
      <c r="L7" s="288">
        <f>'CONSOLIDADO_TOTAL RECAUDO'!L126</f>
        <v>0</v>
      </c>
      <c r="O7" s="337"/>
      <c r="Q7" s="306"/>
    </row>
    <row r="8" spans="1:33" s="305" customFormat="1" ht="11.5" x14ac:dyDescent="0.25">
      <c r="B8" s="314">
        <v>3</v>
      </c>
      <c r="C8" s="338" t="s">
        <v>12</v>
      </c>
      <c r="D8" s="292">
        <f>'CONSOLIDADO_TOTAL RECAUDO'!D127</f>
        <v>58884032.920000002</v>
      </c>
      <c r="E8" s="288">
        <f>'CONSOLIDADO_TOTAL RECAUDO'!E127</f>
        <v>0</v>
      </c>
      <c r="G8" s="339">
        <f>'CONSOLIDADO_TOTAL RECAUDO'!G127</f>
        <v>1307680</v>
      </c>
      <c r="H8" s="340">
        <f>'CONSOLIDADO_TOTAL RECAUDO'!H127</f>
        <v>26609070.66</v>
      </c>
      <c r="I8" s="288">
        <f>'CONSOLIDADO_TOTAL RECAUDO'!I127</f>
        <v>104231.83</v>
      </c>
      <c r="J8" s="288">
        <f>'CONSOLIDADO_TOTAL RECAUDO'!J127</f>
        <v>-32310979.800000001</v>
      </c>
      <c r="K8" s="288">
        <f>'CONSOLIDADO_TOTAL RECAUDO'!K127</f>
        <v>0</v>
      </c>
      <c r="L8" s="288">
        <f>'CONSOLIDADO_TOTAL RECAUDO'!L127</f>
        <v>2423600.2000000002</v>
      </c>
      <c r="O8" s="337"/>
      <c r="Q8" s="306"/>
    </row>
    <row r="9" spans="1:33" s="305" customFormat="1" ht="11.5" x14ac:dyDescent="0.25">
      <c r="B9" s="314">
        <v>4</v>
      </c>
      <c r="C9" s="338" t="s">
        <v>13</v>
      </c>
      <c r="D9" s="292">
        <f>'CONSOLIDADO_TOTAL RECAUDO'!D128</f>
        <v>73726637.340000004</v>
      </c>
      <c r="E9" s="288">
        <f>'CONSOLIDADO_TOTAL RECAUDO'!E128</f>
        <v>0</v>
      </c>
      <c r="G9" s="339">
        <f>'CONSOLIDADO_TOTAL RECAUDO'!G128</f>
        <v>4343101</v>
      </c>
      <c r="H9" s="340">
        <f>'CONSOLIDADO_TOTAL RECAUDO'!H128</f>
        <v>161461949.73000002</v>
      </c>
      <c r="I9" s="288">
        <f>'CONSOLIDADO_TOTAL RECAUDO'!I128</f>
        <v>35954.44</v>
      </c>
      <c r="J9" s="288">
        <f>'CONSOLIDADO_TOTAL RECAUDO'!J128</f>
        <v>-33738104.229999997</v>
      </c>
      <c r="K9" s="288">
        <f>'CONSOLIDADO_TOTAL RECAUDO'!K128</f>
        <v>14538094</v>
      </c>
      <c r="L9" s="288">
        <f>'CONSOLIDADO_TOTAL RECAUDO'!L128</f>
        <v>14979759.77</v>
      </c>
      <c r="O9" s="337"/>
      <c r="Q9" s="306"/>
    </row>
    <row r="10" spans="1:33" s="305" customFormat="1" ht="11.5" x14ac:dyDescent="0.25">
      <c r="B10" s="341">
        <v>5</v>
      </c>
      <c r="C10" s="342" t="s">
        <v>14</v>
      </c>
      <c r="D10" s="292">
        <f>'CONSOLIDADO_TOTAL RECAUDO'!D129</f>
        <v>28383865.960000001</v>
      </c>
      <c r="E10" s="344">
        <f>'CONSOLIDADO_TOTAL RECAUDO'!E129</f>
        <v>0</v>
      </c>
      <c r="G10" s="339">
        <f>'CONSOLIDADO_TOTAL RECAUDO'!G129</f>
        <v>441849</v>
      </c>
      <c r="H10" s="340">
        <f>'CONSOLIDADO_TOTAL RECAUDO'!H129</f>
        <v>43973508.960000001</v>
      </c>
      <c r="I10" s="288">
        <f>'CONSOLIDADO_TOTAL RECAUDO'!I129</f>
        <v>0</v>
      </c>
      <c r="J10" s="288">
        <f>'CONSOLIDADO_TOTAL RECAUDO'!J129</f>
        <v>-3092375.53</v>
      </c>
      <c r="K10" s="288">
        <f>'CONSOLIDADO_TOTAL RECAUDO'!K129</f>
        <v>87550</v>
      </c>
      <c r="L10" s="288">
        <f>'CONSOLIDADO_TOTAL RECAUDO'!L129</f>
        <v>215053.47</v>
      </c>
      <c r="O10" s="337"/>
      <c r="Q10" s="306"/>
    </row>
    <row r="11" spans="1:33" s="305" customFormat="1" ht="12" thickBot="1" x14ac:dyDescent="0.3">
      <c r="B11" s="324" t="s">
        <v>89</v>
      </c>
      <c r="C11" s="345" t="s">
        <v>113</v>
      </c>
      <c r="D11" s="297">
        <f>'CONSOLIDADO_TOTAL RECAUDO'!D130</f>
        <v>0</v>
      </c>
      <c r="E11" s="289">
        <f>'CONSOLIDADO_TOTAL RECAUDO'!E130</f>
        <v>0</v>
      </c>
      <c r="G11" s="346">
        <f>'CONSOLIDADO_TOTAL RECAUDO'!G130</f>
        <v>0</v>
      </c>
      <c r="H11" s="347">
        <f>'CONSOLIDADO_TOTAL RECAUDO'!H130</f>
        <v>0</v>
      </c>
      <c r="I11" s="289">
        <f>'CONSOLIDADO_TOTAL RECAUDO'!I130</f>
        <v>0</v>
      </c>
      <c r="J11" s="289">
        <f>'CONSOLIDADO_TOTAL RECAUDO'!J130</f>
        <v>0</v>
      </c>
      <c r="K11" s="289">
        <f>'CONSOLIDADO_TOTAL RECAUDO'!K130</f>
        <v>0</v>
      </c>
      <c r="L11" s="289">
        <f>'CONSOLIDADO_TOTAL RECAUDO'!L130</f>
        <v>0</v>
      </c>
      <c r="O11" s="337"/>
      <c r="Q11" s="306"/>
    </row>
    <row r="12" spans="1:33" s="305" customFormat="1" ht="12" thickBot="1" x14ac:dyDescent="0.3">
      <c r="B12" s="348"/>
      <c r="C12" s="349" t="s">
        <v>2</v>
      </c>
      <c r="D12" s="350">
        <f>'CONSOLIDADO_TOTAL RECAUDO'!D131</f>
        <v>398460321.09999996</v>
      </c>
      <c r="E12" s="350">
        <f>'CONSOLIDADO_TOTAL RECAUDO'!E131</f>
        <v>0</v>
      </c>
      <c r="F12" s="351"/>
      <c r="G12" s="350">
        <f>'CONSOLIDADO_TOTAL RECAUDO'!G131</f>
        <v>62332280</v>
      </c>
      <c r="H12" s="350">
        <f>'CONSOLIDADO_TOTAL RECAUDO'!H131</f>
        <v>536532174.63</v>
      </c>
      <c r="I12" s="350">
        <f>'CONSOLIDADO_TOTAL RECAUDO'!I131</f>
        <v>1329905.5</v>
      </c>
      <c r="J12" s="350">
        <f>'CONSOLIDADO_TOTAL RECAUDO'!J131</f>
        <v>-156747931.65000001</v>
      </c>
      <c r="K12" s="350">
        <f>'CONSOLIDADO_TOTAL RECAUDO'!K131</f>
        <v>19936594</v>
      </c>
      <c r="L12" s="350">
        <f>'CONSOLIDADO_TOTAL RECAUDO'!L131</f>
        <v>17800951.349999998</v>
      </c>
      <c r="M12" s="351"/>
      <c r="N12" s="351"/>
      <c r="O12" s="352"/>
      <c r="P12" s="329"/>
      <c r="Q12" s="306"/>
    </row>
    <row r="13" spans="1:33" s="1" customFormat="1" ht="11.5" x14ac:dyDescent="0.25">
      <c r="B13" s="2"/>
      <c r="C13" s="2"/>
      <c r="D13" s="448"/>
      <c r="Q13" s="4"/>
    </row>
    <row r="14" spans="1:33" s="1" customFormat="1" ht="11.5" x14ac:dyDescent="0.25">
      <c r="B14" s="2"/>
      <c r="C14" s="2"/>
      <c r="D14" s="448"/>
      <c r="Q14" s="4"/>
    </row>
    <row r="15" spans="1:33" s="1" customFormat="1" ht="11.5" x14ac:dyDescent="0.25">
      <c r="A15" s="52"/>
      <c r="B15" s="53"/>
      <c r="C15" s="53"/>
      <c r="D15" s="454"/>
      <c r="E15" s="454"/>
      <c r="F15" s="454"/>
      <c r="G15" s="454"/>
      <c r="H15" s="454"/>
      <c r="I15" s="454"/>
      <c r="J15" s="52"/>
      <c r="K15" s="454"/>
      <c r="L15" s="454"/>
      <c r="M15" s="454"/>
      <c r="N15" s="454"/>
      <c r="O15" s="454"/>
      <c r="P15" s="52"/>
      <c r="Q15" s="4"/>
    </row>
    <row r="16" spans="1:33" ht="13" thickBot="1" x14ac:dyDescent="0.3"/>
    <row r="17" spans="1:17" s="1" customFormat="1" ht="11.5" x14ac:dyDescent="0.25">
      <c r="B17" s="5"/>
      <c r="C17" s="3" t="s">
        <v>1</v>
      </c>
      <c r="D17" s="6" t="s">
        <v>1</v>
      </c>
      <c r="E17" s="3"/>
      <c r="F17" s="3"/>
      <c r="G17" s="3"/>
      <c r="H17" s="3" t="s">
        <v>1</v>
      </c>
      <c r="I17" s="3"/>
      <c r="J17" s="3"/>
      <c r="K17" s="3"/>
      <c r="L17" s="3"/>
      <c r="M17" s="3"/>
      <c r="N17" s="3"/>
      <c r="O17" s="7"/>
      <c r="P17" s="2"/>
      <c r="Q17" s="474"/>
    </row>
    <row r="18" spans="1:17" s="1" customFormat="1" ht="15.5" x14ac:dyDescent="0.35">
      <c r="B18" s="8"/>
      <c r="F18" s="475" t="s">
        <v>192</v>
      </c>
      <c r="G18" s="475"/>
      <c r="H18" s="34"/>
      <c r="I18" s="4"/>
      <c r="J18" s="34"/>
      <c r="K18" s="4"/>
      <c r="O18" s="10"/>
      <c r="P18" s="2"/>
      <c r="Q18" s="4"/>
    </row>
    <row r="19" spans="1:17" s="1" customFormat="1" ht="12" thickBot="1" x14ac:dyDescent="0.3">
      <c r="B19" s="8"/>
      <c r="C19" s="2" t="s">
        <v>1</v>
      </c>
      <c r="D19" s="2" t="s">
        <v>1</v>
      </c>
      <c r="J19" s="1" t="s">
        <v>1</v>
      </c>
      <c r="O19" s="44"/>
      <c r="P19" s="2"/>
      <c r="Q19" s="4"/>
    </row>
    <row r="20" spans="1:17" s="1" customFormat="1" ht="60.75" customHeight="1" thickBot="1" x14ac:dyDescent="0.3">
      <c r="B20" s="11" t="s">
        <v>3</v>
      </c>
      <c r="C20" s="12" t="s">
        <v>9</v>
      </c>
      <c r="D20" s="12" t="s">
        <v>38</v>
      </c>
      <c r="E20" s="73" t="s">
        <v>48</v>
      </c>
      <c r="G20" s="104" t="s">
        <v>47</v>
      </c>
      <c r="H20" s="73" t="s">
        <v>56</v>
      </c>
      <c r="I20" s="73" t="s">
        <v>130</v>
      </c>
      <c r="J20" s="73" t="s">
        <v>172</v>
      </c>
      <c r="K20" s="73" t="s">
        <v>143</v>
      </c>
      <c r="L20" s="73" t="s">
        <v>144</v>
      </c>
      <c r="O20" s="44"/>
      <c r="P20" s="13"/>
      <c r="Q20" s="4"/>
    </row>
    <row r="21" spans="1:17" s="305" customFormat="1" ht="11.5" x14ac:dyDescent="0.25">
      <c r="B21" s="334">
        <v>1</v>
      </c>
      <c r="C21" s="335" t="s">
        <v>10</v>
      </c>
      <c r="D21" s="308">
        <f>'REMUNERACION Reciprocidad EAAB'!D125</f>
        <v>0</v>
      </c>
      <c r="E21" s="309">
        <f>'REMUNERACION Reciprocidad EAAB'!E125</f>
        <v>0</v>
      </c>
      <c r="G21" s="336">
        <f>'REMUNERACION Reciprocidad EAAB'!G125</f>
        <v>0</v>
      </c>
      <c r="H21" s="310">
        <f>'REMUNERACION Reciprocidad EAAB'!H125</f>
        <v>0</v>
      </c>
      <c r="I21" s="309">
        <f>'REMUNERACION Reciprocidad EAAB'!I125</f>
        <v>0</v>
      </c>
      <c r="J21" s="309">
        <f>'REMUNERACION Reciprocidad EAAB'!J125</f>
        <v>0</v>
      </c>
      <c r="K21" s="309">
        <f>'REMUNERACION Reciprocidad EAAB'!K125</f>
        <v>0</v>
      </c>
      <c r="L21" s="309">
        <f>'REMUNERACION Reciprocidad EAAB'!L125</f>
        <v>0</v>
      </c>
      <c r="O21" s="337"/>
      <c r="Q21" s="306"/>
    </row>
    <row r="22" spans="1:17" s="305" customFormat="1" ht="11.5" x14ac:dyDescent="0.25">
      <c r="B22" s="314">
        <v>2</v>
      </c>
      <c r="C22" s="338" t="s">
        <v>11</v>
      </c>
      <c r="D22" s="292">
        <f>'REMUNERACION Reciprocidad EAAB'!D126</f>
        <v>12820520</v>
      </c>
      <c r="E22" s="288">
        <f>'REMUNERACION Reciprocidad EAAB'!E126</f>
        <v>0</v>
      </c>
      <c r="G22" s="339">
        <f>'REMUNERACION Reciprocidad EAAB'!G126</f>
        <v>0</v>
      </c>
      <c r="H22" s="340">
        <f>'REMUNERACION Reciprocidad EAAB'!H126</f>
        <v>35414329.289999992</v>
      </c>
      <c r="I22" s="288">
        <f>'REMUNERACION Reciprocidad EAAB'!I126</f>
        <v>216025.77</v>
      </c>
      <c r="J22" s="288">
        <f>'REMUNERACION Reciprocidad EAAB'!J126</f>
        <v>0</v>
      </c>
      <c r="K22" s="288">
        <f>'REMUNERACION Reciprocidad EAAB'!K126</f>
        <v>0</v>
      </c>
      <c r="L22" s="288">
        <f>'REMUNERACION Reciprocidad EAAB'!L126</f>
        <v>0</v>
      </c>
      <c r="O22" s="337"/>
      <c r="Q22" s="306"/>
    </row>
    <row r="23" spans="1:17" s="305" customFormat="1" ht="11.5" x14ac:dyDescent="0.25">
      <c r="B23" s="314">
        <v>3</v>
      </c>
      <c r="C23" s="338" t="s">
        <v>12</v>
      </c>
      <c r="D23" s="292">
        <f>'REMUNERACION Reciprocidad EAAB'!D127</f>
        <v>0</v>
      </c>
      <c r="E23" s="288">
        <f>'REMUNERACION Reciprocidad EAAB'!E127</f>
        <v>0</v>
      </c>
      <c r="G23" s="339">
        <f>'REMUNERACION Reciprocidad EAAB'!G127</f>
        <v>0</v>
      </c>
      <c r="H23" s="340">
        <f>'REMUNERACION Reciprocidad EAAB'!H127</f>
        <v>0</v>
      </c>
      <c r="I23" s="288">
        <f>'REMUNERACION Reciprocidad EAAB'!I127</f>
        <v>0</v>
      </c>
      <c r="J23" s="288">
        <f>'REMUNERACION Reciprocidad EAAB'!J127</f>
        <v>0</v>
      </c>
      <c r="K23" s="288">
        <f>'REMUNERACION Reciprocidad EAAB'!K127</f>
        <v>0</v>
      </c>
      <c r="L23" s="288">
        <f>'REMUNERACION Reciprocidad EAAB'!L127</f>
        <v>0</v>
      </c>
      <c r="O23" s="337"/>
      <c r="Q23" s="306"/>
    </row>
    <row r="24" spans="1:17" s="305" customFormat="1" ht="11.5" x14ac:dyDescent="0.25">
      <c r="B24" s="314">
        <v>4</v>
      </c>
      <c r="C24" s="338" t="s">
        <v>13</v>
      </c>
      <c r="D24" s="292">
        <f>'REMUNERACION Reciprocidad EAAB'!D128</f>
        <v>10268790</v>
      </c>
      <c r="E24" s="288">
        <f>'REMUNERACION Reciprocidad EAAB'!E128</f>
        <v>0</v>
      </c>
      <c r="G24" s="339">
        <f>'REMUNERACION Reciprocidad EAAB'!G128</f>
        <v>41900</v>
      </c>
      <c r="H24" s="340">
        <f>'REMUNERACION Reciprocidad EAAB'!H128</f>
        <v>66508368.82</v>
      </c>
      <c r="I24" s="288">
        <f>'REMUNERACION Reciprocidad EAAB'!I128</f>
        <v>35954.44</v>
      </c>
      <c r="J24" s="288">
        <f>'REMUNERACION Reciprocidad EAAB'!J128</f>
        <v>-736030</v>
      </c>
      <c r="K24" s="288">
        <f>'REMUNERACION Reciprocidad EAAB'!K128</f>
        <v>694130</v>
      </c>
      <c r="L24" s="288">
        <f>'REMUNERACION Reciprocidad EAAB'!L128</f>
        <v>0</v>
      </c>
      <c r="O24" s="337"/>
      <c r="Q24" s="306"/>
    </row>
    <row r="25" spans="1:17" s="305" customFormat="1" ht="11.5" x14ac:dyDescent="0.25">
      <c r="B25" s="341">
        <v>5</v>
      </c>
      <c r="C25" s="342" t="s">
        <v>14</v>
      </c>
      <c r="D25" s="292">
        <f>'REMUNERACION Reciprocidad EAAB'!D129</f>
        <v>0</v>
      </c>
      <c r="E25" s="344">
        <f>'REMUNERACION Reciprocidad EAAB'!E129</f>
        <v>0</v>
      </c>
      <c r="G25" s="339">
        <f>'REMUNERACION Reciprocidad EAAB'!G129</f>
        <v>0</v>
      </c>
      <c r="H25" s="340">
        <f>'REMUNERACION Reciprocidad EAAB'!H129</f>
        <v>0</v>
      </c>
      <c r="I25" s="288">
        <f>'REMUNERACION Reciprocidad EAAB'!I129</f>
        <v>0</v>
      </c>
      <c r="J25" s="288">
        <f>'REMUNERACION Reciprocidad EAAB'!J129</f>
        <v>0</v>
      </c>
      <c r="K25" s="288">
        <f>'REMUNERACION Reciprocidad EAAB'!K129</f>
        <v>0</v>
      </c>
      <c r="L25" s="288">
        <f>'REMUNERACION Reciprocidad EAAB'!L129</f>
        <v>0</v>
      </c>
      <c r="O25" s="337"/>
      <c r="Q25" s="306"/>
    </row>
    <row r="26" spans="1:17" s="305" customFormat="1" ht="12" thickBot="1" x14ac:dyDescent="0.3">
      <c r="B26" s="324" t="s">
        <v>89</v>
      </c>
      <c r="C26" s="345" t="s">
        <v>113</v>
      </c>
      <c r="D26" s="297">
        <f>'REMUNERACION Reciprocidad EAAB'!D130</f>
        <v>0</v>
      </c>
      <c r="E26" s="289">
        <f>'REMUNERACION Reciprocidad EAAB'!E130</f>
        <v>0</v>
      </c>
      <c r="G26" s="346">
        <f>'REMUNERACION Reciprocidad EAAB'!G130</f>
        <v>0</v>
      </c>
      <c r="H26" s="347">
        <f>'REMUNERACION Reciprocidad EAAB'!H130</f>
        <v>0</v>
      </c>
      <c r="I26" s="289">
        <f>'REMUNERACION Reciprocidad EAAB'!I130</f>
        <v>0</v>
      </c>
      <c r="J26" s="289">
        <f>'REMUNERACION Reciprocidad EAAB'!J130</f>
        <v>0</v>
      </c>
      <c r="K26" s="289">
        <f>'REMUNERACION Reciprocidad EAAB'!K130</f>
        <v>0</v>
      </c>
      <c r="L26" s="289">
        <f>'REMUNERACION Reciprocidad EAAB'!L130</f>
        <v>0</v>
      </c>
      <c r="O26" s="337"/>
      <c r="Q26" s="306"/>
    </row>
    <row r="27" spans="1:17" s="305" customFormat="1" ht="12" thickBot="1" x14ac:dyDescent="0.3">
      <c r="B27" s="348"/>
      <c r="C27" s="349" t="s">
        <v>2</v>
      </c>
      <c r="D27" s="350">
        <f>'REMUNERACION Reciprocidad EAAB'!D131</f>
        <v>23089310</v>
      </c>
      <c r="E27" s="350">
        <f>'REMUNERACION Reciprocidad EAAB'!E131</f>
        <v>0</v>
      </c>
      <c r="F27" s="351"/>
      <c r="G27" s="350">
        <f>'REMUNERACION Reciprocidad EAAB'!G131</f>
        <v>41900</v>
      </c>
      <c r="H27" s="350">
        <f>'REMUNERACION Reciprocidad EAAB'!H131</f>
        <v>101922698.10999998</v>
      </c>
      <c r="I27" s="350">
        <f>'REMUNERACION Reciprocidad EAAB'!I131</f>
        <v>251980.21</v>
      </c>
      <c r="J27" s="350">
        <f>'REMUNERACION Reciprocidad EAAB'!J131</f>
        <v>-736030</v>
      </c>
      <c r="K27" s="350">
        <f>'REMUNERACION Reciprocidad EAAB'!K131</f>
        <v>694130</v>
      </c>
      <c r="L27" s="350">
        <f>'REMUNERACION Reciprocidad EAAB'!L131</f>
        <v>0</v>
      </c>
      <c r="M27" s="351"/>
      <c r="N27" s="351"/>
      <c r="O27" s="352"/>
      <c r="P27" s="329"/>
      <c r="Q27" s="306"/>
    </row>
    <row r="28" spans="1:17" s="1" customFormat="1" ht="11.5" x14ac:dyDescent="0.25">
      <c r="B28" s="2"/>
      <c r="C28" s="2"/>
      <c r="D28" s="448"/>
      <c r="Q28" s="4"/>
    </row>
    <row r="29" spans="1:17" s="1" customFormat="1" ht="11.5" x14ac:dyDescent="0.25">
      <c r="B29" s="2"/>
      <c r="C29" s="2"/>
      <c r="D29" s="448"/>
      <c r="Q29" s="4"/>
    </row>
    <row r="30" spans="1:17" s="1" customFormat="1" ht="11.5" x14ac:dyDescent="0.25">
      <c r="A30" s="52"/>
      <c r="B30" s="53"/>
      <c r="C30" s="53"/>
      <c r="D30" s="454"/>
      <c r="E30" s="454"/>
      <c r="F30" s="454"/>
      <c r="G30" s="454"/>
      <c r="H30" s="454"/>
      <c r="I30" s="454"/>
      <c r="J30" s="52"/>
      <c r="K30" s="454"/>
      <c r="L30" s="454"/>
      <c r="M30" s="454"/>
      <c r="N30" s="454"/>
      <c r="O30" s="454"/>
      <c r="P30" s="52"/>
      <c r="Q30" s="4"/>
    </row>
    <row r="32" spans="1:17" s="1" customFormat="1" ht="15.5" x14ac:dyDescent="0.35">
      <c r="B32" s="8"/>
      <c r="F32" s="491" t="s">
        <v>193</v>
      </c>
      <c r="G32" s="491"/>
      <c r="H32" s="492"/>
      <c r="I32" s="493"/>
      <c r="J32" s="492"/>
      <c r="K32" s="493"/>
      <c r="O32" s="10"/>
      <c r="P32" s="2"/>
      <c r="Q32" s="4"/>
    </row>
    <row r="33" spans="1:17" s="1" customFormat="1" ht="12" thickBot="1" x14ac:dyDescent="0.3">
      <c r="B33" s="8"/>
      <c r="C33" s="2" t="s">
        <v>1</v>
      </c>
      <c r="D33" s="2" t="s">
        <v>1</v>
      </c>
      <c r="O33" s="44"/>
      <c r="P33" s="2"/>
      <c r="Q33" s="4"/>
    </row>
    <row r="34" spans="1:17" s="1" customFormat="1" ht="57.75" customHeight="1" thickBot="1" x14ac:dyDescent="0.3">
      <c r="B34" s="11" t="s">
        <v>3</v>
      </c>
      <c r="C34" s="12" t="s">
        <v>9</v>
      </c>
      <c r="D34" s="12" t="s">
        <v>38</v>
      </c>
      <c r="E34" s="73" t="s">
        <v>48</v>
      </c>
      <c r="G34" s="104" t="s">
        <v>47</v>
      </c>
      <c r="H34" s="73" t="s">
        <v>56</v>
      </c>
      <c r="I34" s="73" t="s">
        <v>130</v>
      </c>
      <c r="J34" s="73" t="s">
        <v>172</v>
      </c>
      <c r="K34" s="73" t="s">
        <v>143</v>
      </c>
      <c r="L34" s="73" t="s">
        <v>144</v>
      </c>
      <c r="O34" s="44"/>
      <c r="P34" s="13"/>
      <c r="Q34" s="4"/>
    </row>
    <row r="35" spans="1:17" s="305" customFormat="1" ht="11.5" x14ac:dyDescent="0.25">
      <c r="B35" s="334">
        <v>1</v>
      </c>
      <c r="C35" s="335" t="s">
        <v>10</v>
      </c>
      <c r="D35" s="308">
        <f>REMUNERACION_ENEL!D125</f>
        <v>83572548.25</v>
      </c>
      <c r="E35" s="309">
        <f>REMUNERACION_ENEL!E125</f>
        <v>0</v>
      </c>
      <c r="G35" s="336">
        <f>REMUNERACION_ENEL!G125</f>
        <v>49580</v>
      </c>
      <c r="H35" s="310">
        <f>REMUNERACION_ENEL!H125</f>
        <v>97091142.519999996</v>
      </c>
      <c r="I35" s="309">
        <f>REMUNERACION_ENEL!I125</f>
        <v>973693.46</v>
      </c>
      <c r="J35" s="309">
        <f>REMUNERACION_ENEL!J125</f>
        <v>-15533961.699999999</v>
      </c>
      <c r="K35" s="309">
        <f>REMUNERACION_ENEL!K125</f>
        <v>0</v>
      </c>
      <c r="L35" s="309">
        <f>REMUNERACION_ENEL!L125</f>
        <v>16889.3</v>
      </c>
      <c r="O35" s="337"/>
      <c r="Q35" s="306"/>
    </row>
    <row r="36" spans="1:17" s="305" customFormat="1" ht="11.5" x14ac:dyDescent="0.25">
      <c r="B36" s="314">
        <v>2</v>
      </c>
      <c r="C36" s="338" t="s">
        <v>11</v>
      </c>
      <c r="D36" s="292">
        <f>REMUNERACION_ENEL!D126</f>
        <v>44281124</v>
      </c>
      <c r="E36" s="288">
        <f>REMUNERACION_ENEL!E126</f>
        <v>0</v>
      </c>
      <c r="G36" s="339">
        <f>REMUNERACION_ENEL!G126</f>
        <v>56078860</v>
      </c>
      <c r="H36" s="340">
        <f>REMUNERACION_ENEL!H126</f>
        <v>55676152.700000003</v>
      </c>
      <c r="I36" s="288">
        <f>REMUNERACION_ENEL!I126</f>
        <v>0</v>
      </c>
      <c r="J36" s="288">
        <f>REMUNERACION_ENEL!J126</f>
        <v>-70779009</v>
      </c>
      <c r="K36" s="288">
        <f>REMUNERACION_ENEL!K126</f>
        <v>5227240</v>
      </c>
      <c r="L36" s="288">
        <f>REMUNERACION_ENEL!L126</f>
        <v>0</v>
      </c>
      <c r="O36" s="337"/>
      <c r="Q36" s="306"/>
    </row>
    <row r="37" spans="1:17" s="305" customFormat="1" ht="11.5" x14ac:dyDescent="0.25">
      <c r="B37" s="314">
        <v>3</v>
      </c>
      <c r="C37" s="338" t="s">
        <v>12</v>
      </c>
      <c r="D37" s="292">
        <f>REMUNERACION_ENEL!D127</f>
        <v>44039530</v>
      </c>
      <c r="E37" s="288">
        <f>REMUNERACION_ENEL!E127</f>
        <v>0</v>
      </c>
      <c r="G37" s="339">
        <f>REMUNERACION_ENEL!G127</f>
        <v>1307680</v>
      </c>
      <c r="H37" s="340">
        <f>REMUNERACION_ENEL!H127</f>
        <v>10055662.040000001</v>
      </c>
      <c r="I37" s="288">
        <f>REMUNERACION_ENEL!I127</f>
        <v>104231.83</v>
      </c>
      <c r="J37" s="288">
        <f>REMUNERACION_ENEL!J127</f>
        <v>-32004320</v>
      </c>
      <c r="K37" s="288">
        <f>REMUNERACION_ENEL!K127</f>
        <v>0</v>
      </c>
      <c r="L37" s="288">
        <f>REMUNERACION_ENEL!L127</f>
        <v>79850</v>
      </c>
      <c r="O37" s="337"/>
      <c r="Q37" s="306"/>
    </row>
    <row r="38" spans="1:17" s="305" customFormat="1" ht="11.5" x14ac:dyDescent="0.25">
      <c r="B38" s="314">
        <v>4</v>
      </c>
      <c r="C38" s="338" t="s">
        <v>13</v>
      </c>
      <c r="D38" s="292">
        <f>REMUNERACION_ENEL!D128</f>
        <v>48826052</v>
      </c>
      <c r="E38" s="288">
        <f>REMUNERACION_ENEL!E128</f>
        <v>0</v>
      </c>
      <c r="G38" s="339">
        <f>REMUNERACION_ENEL!G128</f>
        <v>3610007</v>
      </c>
      <c r="H38" s="340">
        <f>REMUNERACION_ENEL!H128</f>
        <v>60774931.109999992</v>
      </c>
      <c r="I38" s="288">
        <f>REMUNERACION_ENEL!I128</f>
        <v>0</v>
      </c>
      <c r="J38" s="288">
        <f>REMUNERACION_ENEL!J128</f>
        <v>-29768645.890000001</v>
      </c>
      <c r="K38" s="288">
        <f>REMUNERACION_ENEL!K128</f>
        <v>11634964</v>
      </c>
      <c r="L38" s="288">
        <f>REMUNERACION_ENEL!L128</f>
        <v>386384.11</v>
      </c>
      <c r="O38" s="337"/>
      <c r="Q38" s="306"/>
    </row>
    <row r="39" spans="1:17" s="305" customFormat="1" ht="11.5" x14ac:dyDescent="0.25">
      <c r="B39" s="341">
        <v>5</v>
      </c>
      <c r="C39" s="342" t="s">
        <v>14</v>
      </c>
      <c r="D39" s="292">
        <f>REMUNERACION_ENEL!D129</f>
        <v>15997915</v>
      </c>
      <c r="E39" s="344">
        <f>REMUNERACION_ENEL!E129</f>
        <v>0</v>
      </c>
      <c r="G39" s="339">
        <f>REMUNERACION_ENEL!G129</f>
        <v>0</v>
      </c>
      <c r="H39" s="340">
        <f>REMUNERACION_ENEL!H129</f>
        <v>23423861.739999998</v>
      </c>
      <c r="I39" s="288">
        <f>REMUNERACION_ENEL!I129</f>
        <v>0</v>
      </c>
      <c r="J39" s="288">
        <f>REMUNERACION_ENEL!J129</f>
        <v>-2065600</v>
      </c>
      <c r="K39" s="288">
        <f>REMUNERACION_ENEL!K129</f>
        <v>0</v>
      </c>
      <c r="L39" s="288">
        <f>REMUNERACION_ENEL!L129</f>
        <v>49280</v>
      </c>
      <c r="O39" s="337"/>
      <c r="Q39" s="306"/>
    </row>
    <row r="40" spans="1:17" s="305" customFormat="1" ht="12" thickBot="1" x14ac:dyDescent="0.3">
      <c r="B40" s="324" t="s">
        <v>89</v>
      </c>
      <c r="C40" s="345" t="s">
        <v>113</v>
      </c>
      <c r="D40" s="297">
        <f>REMUNERACION_ENEL!D130</f>
        <v>0</v>
      </c>
      <c r="E40" s="289">
        <f>REMUNERACION_ENEL!E130</f>
        <v>0</v>
      </c>
      <c r="G40" s="346">
        <f>REMUNERACION_ENEL!G130</f>
        <v>0</v>
      </c>
      <c r="H40" s="347">
        <f>REMUNERACION_ENEL!H130</f>
        <v>0</v>
      </c>
      <c r="I40" s="289">
        <f>REMUNERACION_ENEL!I130</f>
        <v>0</v>
      </c>
      <c r="J40" s="289">
        <f>REMUNERACION_ENEL!J130</f>
        <v>0</v>
      </c>
      <c r="K40" s="289">
        <f>REMUNERACION_ENEL!K130</f>
        <v>0</v>
      </c>
      <c r="L40" s="289">
        <f>REMUNERACION_ENEL!L130</f>
        <v>0</v>
      </c>
      <c r="O40" s="337"/>
      <c r="Q40" s="306"/>
    </row>
    <row r="41" spans="1:17" s="305" customFormat="1" ht="12" thickBot="1" x14ac:dyDescent="0.3">
      <c r="B41" s="348"/>
      <c r="C41" s="349" t="s">
        <v>2</v>
      </c>
      <c r="D41" s="350">
        <f>REMUNERACION_ENEL!D131</f>
        <v>236717169.25</v>
      </c>
      <c r="E41" s="350">
        <f>REMUNERACION_ENEL!E131</f>
        <v>0</v>
      </c>
      <c r="F41" s="351"/>
      <c r="G41" s="350">
        <f>REMUNERACION_ENEL!G131</f>
        <v>61046127</v>
      </c>
      <c r="H41" s="350">
        <f>REMUNERACION_ENEL!H131</f>
        <v>247021750.10999998</v>
      </c>
      <c r="I41" s="350">
        <f>REMUNERACION_ENEL!I131</f>
        <v>1077925.29</v>
      </c>
      <c r="J41" s="350">
        <f>REMUNERACION_ENEL!J131</f>
        <v>-150151536.59</v>
      </c>
      <c r="K41" s="350">
        <f>REMUNERACION_ENEL!K131</f>
        <v>16862204</v>
      </c>
      <c r="L41" s="350">
        <f>REMUNERACION_ENEL!L131</f>
        <v>532403.40999999992</v>
      </c>
      <c r="M41" s="351"/>
      <c r="N41" s="351"/>
      <c r="O41" s="352"/>
      <c r="P41" s="329"/>
      <c r="Q41" s="306"/>
    </row>
    <row r="42" spans="1:17" s="1" customFormat="1" ht="11.5" x14ac:dyDescent="0.25">
      <c r="B42" s="2"/>
      <c r="C42" s="2"/>
      <c r="D42" s="448"/>
      <c r="Q42" s="4"/>
    </row>
    <row r="43" spans="1:17" s="1" customFormat="1" ht="11.5" x14ac:dyDescent="0.25">
      <c r="B43" s="2"/>
      <c r="C43" s="2"/>
      <c r="D43" s="448"/>
      <c r="Q43" s="4"/>
    </row>
    <row r="44" spans="1:17" s="1" customFormat="1" ht="11.5" x14ac:dyDescent="0.25">
      <c r="A44" s="52"/>
      <c r="B44" s="53"/>
      <c r="C44" s="53"/>
      <c r="D44" s="454"/>
      <c r="E44" s="454"/>
      <c r="F44" s="454"/>
      <c r="G44" s="454"/>
      <c r="H44" s="454"/>
      <c r="I44" s="454"/>
      <c r="J44" s="52"/>
      <c r="K44" s="454"/>
      <c r="L44" s="454"/>
      <c r="M44" s="454"/>
      <c r="N44" s="454"/>
      <c r="O44" s="454"/>
      <c r="P44" s="52"/>
      <c r="Q44" s="4"/>
    </row>
    <row r="45" spans="1:17" s="1" customFormat="1" ht="11.5" x14ac:dyDescent="0.25">
      <c r="B45" s="2"/>
      <c r="C45" s="2"/>
      <c r="D45" s="448"/>
      <c r="Q45" s="4"/>
    </row>
    <row r="46" spans="1:17" s="1" customFormat="1" ht="15.5" x14ac:dyDescent="0.35">
      <c r="B46" s="8"/>
      <c r="F46" s="491" t="s">
        <v>333</v>
      </c>
      <c r="G46" s="491"/>
      <c r="H46" s="492"/>
      <c r="I46" s="493"/>
      <c r="J46" s="492"/>
      <c r="K46" s="493"/>
      <c r="O46" s="10"/>
      <c r="P46" s="2"/>
      <c r="Q46" s="4"/>
    </row>
    <row r="47" spans="1:17" s="1" customFormat="1" ht="12" thickBot="1" x14ac:dyDescent="0.3">
      <c r="B47" s="8"/>
      <c r="C47" s="2" t="s">
        <v>1</v>
      </c>
      <c r="D47" s="2" t="s">
        <v>1</v>
      </c>
      <c r="O47" s="44"/>
      <c r="P47" s="2"/>
      <c r="Q47" s="4"/>
    </row>
    <row r="48" spans="1:17" s="1" customFormat="1" ht="57.75" customHeight="1" thickBot="1" x14ac:dyDescent="0.3">
      <c r="B48" s="11" t="s">
        <v>3</v>
      </c>
      <c r="C48" s="12" t="s">
        <v>9</v>
      </c>
      <c r="D48" s="12" t="s">
        <v>38</v>
      </c>
      <c r="E48" s="73" t="s">
        <v>48</v>
      </c>
      <c r="G48" s="104" t="s">
        <v>47</v>
      </c>
      <c r="H48" s="73" t="s">
        <v>56</v>
      </c>
      <c r="I48" s="73" t="s">
        <v>130</v>
      </c>
      <c r="J48" s="73" t="s">
        <v>172</v>
      </c>
      <c r="K48" s="73" t="s">
        <v>143</v>
      </c>
      <c r="L48" s="73" t="s">
        <v>144</v>
      </c>
      <c r="O48" s="44"/>
      <c r="P48" s="13"/>
      <c r="Q48" s="4"/>
    </row>
    <row r="49" spans="1:17" s="305" customFormat="1" ht="11.5" x14ac:dyDescent="0.25">
      <c r="B49" s="334">
        <v>1</v>
      </c>
      <c r="C49" s="335" t="s">
        <v>10</v>
      </c>
      <c r="D49" s="308">
        <f>REMUNERACION_ENERBIT!D125</f>
        <v>0</v>
      </c>
      <c r="E49" s="308">
        <f>REMUNERACION_ENERBIT!E125</f>
        <v>0</v>
      </c>
      <c r="G49" s="336">
        <f>REMUNERACION_ENERBIT!G125</f>
        <v>0</v>
      </c>
      <c r="H49" s="336">
        <f>REMUNERACION_ENERBIT!H125</f>
        <v>0</v>
      </c>
      <c r="I49" s="336">
        <f>REMUNERACION_ENERBIT!I125</f>
        <v>0</v>
      </c>
      <c r="J49" s="336">
        <f>REMUNERACION_ENERBIT!J125</f>
        <v>0</v>
      </c>
      <c r="K49" s="336">
        <f>REMUNERACION_ENERBIT!K125</f>
        <v>0</v>
      </c>
      <c r="L49" s="336">
        <f>REMUNERACION_ENERBIT!L125</f>
        <v>0</v>
      </c>
      <c r="O49" s="337"/>
      <c r="Q49" s="306"/>
    </row>
    <row r="50" spans="1:17" s="305" customFormat="1" ht="11.5" x14ac:dyDescent="0.25">
      <c r="B50" s="314">
        <v>2</v>
      </c>
      <c r="C50" s="338" t="s">
        <v>11</v>
      </c>
      <c r="D50" s="292">
        <f>REMUNERACION_ENERBIT!D126</f>
        <v>0</v>
      </c>
      <c r="E50" s="292">
        <f>REMUNERACION_ENERBIT!E126</f>
        <v>0</v>
      </c>
      <c r="G50" s="339">
        <f>REMUNERACION_ENERBIT!G126</f>
        <v>0</v>
      </c>
      <c r="H50" s="339">
        <f>REMUNERACION_ENERBIT!H126</f>
        <v>0</v>
      </c>
      <c r="I50" s="339">
        <f>REMUNERACION_ENERBIT!I126</f>
        <v>0</v>
      </c>
      <c r="J50" s="339">
        <f>REMUNERACION_ENERBIT!J126</f>
        <v>0</v>
      </c>
      <c r="K50" s="339">
        <f>REMUNERACION_ENERBIT!K126</f>
        <v>0</v>
      </c>
      <c r="L50" s="339">
        <f>REMUNERACION_ENERBIT!L126</f>
        <v>0</v>
      </c>
      <c r="O50" s="337"/>
      <c r="Q50" s="306"/>
    </row>
    <row r="51" spans="1:17" s="305" customFormat="1" ht="11.5" x14ac:dyDescent="0.25">
      <c r="B51" s="314">
        <v>3</v>
      </c>
      <c r="C51" s="338" t="s">
        <v>12</v>
      </c>
      <c r="D51" s="292">
        <f>REMUNERACION_ENERBIT!D127</f>
        <v>0</v>
      </c>
      <c r="E51" s="292">
        <f>REMUNERACION_ENERBIT!E127</f>
        <v>0</v>
      </c>
      <c r="G51" s="339">
        <f>REMUNERACION_ENERBIT!G127</f>
        <v>0</v>
      </c>
      <c r="H51" s="339">
        <f>REMUNERACION_ENERBIT!H127</f>
        <v>0</v>
      </c>
      <c r="I51" s="339">
        <f>REMUNERACION_ENERBIT!I127</f>
        <v>0</v>
      </c>
      <c r="J51" s="339">
        <f>REMUNERACION_ENERBIT!J127</f>
        <v>0</v>
      </c>
      <c r="K51" s="339">
        <f>REMUNERACION_ENERBIT!K127</f>
        <v>0</v>
      </c>
      <c r="L51" s="339">
        <f>REMUNERACION_ENERBIT!L127</f>
        <v>0</v>
      </c>
      <c r="O51" s="337"/>
      <c r="Q51" s="306"/>
    </row>
    <row r="52" spans="1:17" s="305" customFormat="1" ht="11.5" x14ac:dyDescent="0.25">
      <c r="B52" s="314">
        <v>4</v>
      </c>
      <c r="C52" s="338" t="s">
        <v>13</v>
      </c>
      <c r="D52" s="292">
        <f>REMUNERACION_ENERBIT!D128</f>
        <v>0</v>
      </c>
      <c r="E52" s="292">
        <f>REMUNERACION_ENERBIT!E128</f>
        <v>0</v>
      </c>
      <c r="G52" s="339">
        <f>REMUNERACION_ENERBIT!G128</f>
        <v>0</v>
      </c>
      <c r="H52" s="339">
        <f>REMUNERACION_ENERBIT!H128</f>
        <v>0</v>
      </c>
      <c r="I52" s="339">
        <f>REMUNERACION_ENERBIT!I128</f>
        <v>0</v>
      </c>
      <c r="J52" s="339">
        <f>REMUNERACION_ENERBIT!J128</f>
        <v>0</v>
      </c>
      <c r="K52" s="339">
        <f>REMUNERACION_ENERBIT!K128</f>
        <v>0</v>
      </c>
      <c r="L52" s="339">
        <f>REMUNERACION_ENERBIT!L128</f>
        <v>0</v>
      </c>
      <c r="O52" s="337"/>
      <c r="Q52" s="306"/>
    </row>
    <row r="53" spans="1:17" s="305" customFormat="1" ht="11.5" x14ac:dyDescent="0.25">
      <c r="B53" s="341">
        <v>5</v>
      </c>
      <c r="C53" s="342" t="s">
        <v>14</v>
      </c>
      <c r="D53" s="292">
        <f>REMUNERACION_ENERBIT!D129</f>
        <v>1781103</v>
      </c>
      <c r="E53" s="292">
        <f>REMUNERACION_ENERBIT!E129</f>
        <v>0</v>
      </c>
      <c r="G53" s="339">
        <f>REMUNERACION_ENERBIT!G129</f>
        <v>0</v>
      </c>
      <c r="H53" s="339">
        <f>REMUNERACION_ENERBIT!H129</f>
        <v>6242402.4799999995</v>
      </c>
      <c r="I53" s="339">
        <f>REMUNERACION_ENERBIT!I129</f>
        <v>0</v>
      </c>
      <c r="J53" s="339">
        <f>REMUNERACION_ENERBIT!J129</f>
        <v>0</v>
      </c>
      <c r="K53" s="339">
        <f>REMUNERACION_ENERBIT!K129</f>
        <v>0</v>
      </c>
      <c r="L53" s="339">
        <f>REMUNERACION_ENERBIT!L129</f>
        <v>0</v>
      </c>
      <c r="O53" s="337"/>
      <c r="Q53" s="306"/>
    </row>
    <row r="54" spans="1:17" s="305" customFormat="1" ht="12" thickBot="1" x14ac:dyDescent="0.3">
      <c r="B54" s="324" t="s">
        <v>89</v>
      </c>
      <c r="C54" s="345" t="s">
        <v>113</v>
      </c>
      <c r="D54" s="297">
        <f>REMUNERACION_ENERBIT!D130</f>
        <v>0</v>
      </c>
      <c r="E54" s="297">
        <f>REMUNERACION_ENERBIT!E130</f>
        <v>0</v>
      </c>
      <c r="G54" s="346">
        <f>REMUNERACION_ENERBIT!G130</f>
        <v>0</v>
      </c>
      <c r="H54" s="346">
        <f>REMUNERACION_ENERBIT!H130</f>
        <v>0</v>
      </c>
      <c r="I54" s="346">
        <f>REMUNERACION_ENERBIT!I130</f>
        <v>0</v>
      </c>
      <c r="J54" s="346">
        <f>REMUNERACION_ENERBIT!J130</f>
        <v>0</v>
      </c>
      <c r="K54" s="346">
        <f>REMUNERACION_ENERBIT!K130</f>
        <v>0</v>
      </c>
      <c r="L54" s="346">
        <f>REMUNERACION_ENERBIT!L130</f>
        <v>0</v>
      </c>
      <c r="O54" s="337"/>
      <c r="Q54" s="306"/>
    </row>
    <row r="55" spans="1:17" s="305" customFormat="1" ht="12" thickBot="1" x14ac:dyDescent="0.3">
      <c r="B55" s="348"/>
      <c r="C55" s="349" t="s">
        <v>2</v>
      </c>
      <c r="D55" s="350">
        <f>REMUNERACION_ENERBIT!D131</f>
        <v>1781103</v>
      </c>
      <c r="E55" s="350">
        <f>REMUNERACION_ENERBIT!E131</f>
        <v>0</v>
      </c>
      <c r="F55" s="351"/>
      <c r="G55" s="350">
        <f>REMUNERACION_ENERBIT!G131</f>
        <v>0</v>
      </c>
      <c r="H55" s="350">
        <f>REMUNERACION_ENERBIT!H131</f>
        <v>6242402.4799999995</v>
      </c>
      <c r="I55" s="350">
        <f>REMUNERACION_ENERBIT!I131</f>
        <v>0</v>
      </c>
      <c r="J55" s="350">
        <f>REMUNERACION_ENERBIT!J131</f>
        <v>0</v>
      </c>
      <c r="K55" s="350">
        <f>REMUNERACION_ENERBIT!K131</f>
        <v>0</v>
      </c>
      <c r="L55" s="350">
        <f>REMUNERACION_ENERBIT!L131</f>
        <v>0</v>
      </c>
      <c r="M55" s="351"/>
      <c r="N55" s="351"/>
      <c r="O55" s="352"/>
      <c r="P55" s="329"/>
      <c r="Q55" s="306"/>
    </row>
    <row r="56" spans="1:17" s="1" customFormat="1" ht="11.5" x14ac:dyDescent="0.25">
      <c r="B56" s="2"/>
      <c r="C56" s="2"/>
      <c r="D56" s="448"/>
      <c r="Q56" s="4"/>
    </row>
    <row r="57" spans="1:17" s="1" customFormat="1" ht="11.5" x14ac:dyDescent="0.25">
      <c r="B57" s="2"/>
      <c r="C57" s="2"/>
      <c r="D57" s="448"/>
      <c r="Q57" s="4"/>
    </row>
    <row r="58" spans="1:17" s="1" customFormat="1" ht="11.5" x14ac:dyDescent="0.25">
      <c r="A58" s="52"/>
      <c r="B58" s="53"/>
      <c r="C58" s="53"/>
      <c r="D58" s="454"/>
      <c r="E58" s="454"/>
      <c r="F58" s="454"/>
      <c r="G58" s="454"/>
      <c r="H58" s="454"/>
      <c r="I58" s="454"/>
      <c r="J58" s="52"/>
      <c r="K58" s="454"/>
      <c r="L58" s="454"/>
      <c r="M58" s="454"/>
      <c r="N58" s="454"/>
      <c r="O58" s="454"/>
      <c r="P58" s="52"/>
      <c r="Q58" s="4"/>
    </row>
    <row r="60" spans="1:17" s="1" customFormat="1" ht="15.5" x14ac:dyDescent="0.35">
      <c r="B60" s="8"/>
      <c r="F60" s="476" t="s">
        <v>194</v>
      </c>
      <c r="G60" s="476"/>
      <c r="H60" s="477"/>
      <c r="I60" s="478"/>
      <c r="J60" s="477"/>
      <c r="K60" s="478"/>
      <c r="O60" s="10"/>
      <c r="P60" s="2"/>
      <c r="Q60" s="4"/>
    </row>
    <row r="61" spans="1:17" s="1" customFormat="1" ht="12" thickBot="1" x14ac:dyDescent="0.3">
      <c r="B61" s="8"/>
      <c r="C61" s="2" t="s">
        <v>1</v>
      </c>
      <c r="D61" s="2" t="s">
        <v>1</v>
      </c>
      <c r="J61" s="1" t="s">
        <v>1</v>
      </c>
      <c r="O61" s="44"/>
      <c r="P61" s="2"/>
      <c r="Q61" s="4"/>
    </row>
    <row r="62" spans="1:17" s="1" customFormat="1" ht="60.75" customHeight="1" thickBot="1" x14ac:dyDescent="0.3">
      <c r="B62" s="11" t="s">
        <v>3</v>
      </c>
      <c r="C62" s="12" t="s">
        <v>9</v>
      </c>
      <c r="D62" s="12" t="s">
        <v>38</v>
      </c>
      <c r="E62" s="73" t="s">
        <v>48</v>
      </c>
      <c r="G62" s="104" t="s">
        <v>47</v>
      </c>
      <c r="H62" s="73" t="s">
        <v>56</v>
      </c>
      <c r="I62" s="73" t="s">
        <v>130</v>
      </c>
      <c r="J62" s="73" t="s">
        <v>172</v>
      </c>
      <c r="K62" s="73" t="s">
        <v>143</v>
      </c>
      <c r="L62" s="73" t="s">
        <v>144</v>
      </c>
      <c r="O62" s="44"/>
      <c r="P62" s="13"/>
      <c r="Q62" s="4"/>
    </row>
    <row r="63" spans="1:17" s="305" customFormat="1" ht="11.5" x14ac:dyDescent="0.25">
      <c r="B63" s="334">
        <v>1</v>
      </c>
      <c r="C63" s="335" t="s">
        <v>10</v>
      </c>
      <c r="D63" s="308">
        <f>'REMUNERACION_OCCIDENTE_ Directa'!D125</f>
        <v>17358483.629999999</v>
      </c>
      <c r="E63" s="309">
        <f>'REMUNERACION_OCCIDENTE_ Directa'!E125</f>
        <v>0</v>
      </c>
      <c r="G63" s="336">
        <f>'REMUNERACION_OCCIDENTE_ Directa'!G125</f>
        <v>0</v>
      </c>
      <c r="H63" s="310">
        <f>'REMUNERACION_OCCIDENTE_ Directa'!H125</f>
        <v>28857410.600000001</v>
      </c>
      <c r="I63" s="309">
        <f>'REMUNERACION_OCCIDENTE_ Directa'!I125</f>
        <v>0</v>
      </c>
      <c r="J63" s="309">
        <f>'REMUNERACION_OCCIDENTE_ Directa'!J125</f>
        <v>-1002751.39</v>
      </c>
      <c r="K63" s="309">
        <f>'REMUNERACION_OCCIDENTE_ Directa'!K125</f>
        <v>82340</v>
      </c>
      <c r="L63" s="309">
        <f>'REMUNERACION_OCCIDENTE_ Directa'!L125</f>
        <v>165648.60999999999</v>
      </c>
      <c r="O63" s="337"/>
      <c r="Q63" s="306"/>
    </row>
    <row r="64" spans="1:17" s="305" customFormat="1" ht="11.5" x14ac:dyDescent="0.25">
      <c r="B64" s="314">
        <v>2</v>
      </c>
      <c r="C64" s="338" t="s">
        <v>11</v>
      </c>
      <c r="D64" s="292">
        <f>'REMUNERACION_OCCIDENTE_ Directa'!D126</f>
        <v>79433109</v>
      </c>
      <c r="E64" s="288">
        <f>'REMUNERACION_OCCIDENTE_ Directa'!E126</f>
        <v>0</v>
      </c>
      <c r="G64" s="339">
        <f>'REMUNERACION_OCCIDENTE_ Directa'!G126</f>
        <v>111210</v>
      </c>
      <c r="H64" s="340">
        <f>'REMUNERACION_OCCIDENTE_ Directa'!H126</f>
        <v>87448610.169999987</v>
      </c>
      <c r="I64" s="288">
        <f>'REMUNERACION_OCCIDENTE_ Directa'!I126</f>
        <v>0</v>
      </c>
      <c r="J64" s="288">
        <f>'REMUNERACION_OCCIDENTE_ Directa'!J126</f>
        <v>-290750</v>
      </c>
      <c r="K64" s="288">
        <f>'REMUNERACION_OCCIDENTE_ Directa'!K126</f>
        <v>1370</v>
      </c>
      <c r="L64" s="288">
        <f>'REMUNERACION_OCCIDENTE_ Directa'!L126</f>
        <v>0</v>
      </c>
      <c r="O64" s="337"/>
      <c r="Q64" s="306"/>
    </row>
    <row r="65" spans="1:17" s="305" customFormat="1" ht="11.5" x14ac:dyDescent="0.25">
      <c r="B65" s="314">
        <v>3</v>
      </c>
      <c r="C65" s="338" t="s">
        <v>12</v>
      </c>
      <c r="D65" s="292">
        <f>'REMUNERACION_OCCIDENTE_ Directa'!D127</f>
        <v>14844502.92</v>
      </c>
      <c r="E65" s="288">
        <f>'REMUNERACION_OCCIDENTE_ Directa'!E127</f>
        <v>0</v>
      </c>
      <c r="G65" s="339">
        <f>'REMUNERACION_OCCIDENTE_ Directa'!G127</f>
        <v>0</v>
      </c>
      <c r="H65" s="340">
        <f>'REMUNERACION_OCCIDENTE_ Directa'!H127</f>
        <v>16553408.619999999</v>
      </c>
      <c r="I65" s="288">
        <f>'REMUNERACION_OCCIDENTE_ Directa'!I127</f>
        <v>0</v>
      </c>
      <c r="J65" s="288">
        <f>'REMUNERACION_OCCIDENTE_ Directa'!J127</f>
        <v>-306659.8</v>
      </c>
      <c r="K65" s="288">
        <f>'REMUNERACION_OCCIDENTE_ Directa'!K127</f>
        <v>0</v>
      </c>
      <c r="L65" s="288">
        <f>'REMUNERACION_OCCIDENTE_ Directa'!L127</f>
        <v>2343750.2000000002</v>
      </c>
      <c r="O65" s="337"/>
      <c r="Q65" s="306"/>
    </row>
    <row r="66" spans="1:17" s="305" customFormat="1" ht="11.5" x14ac:dyDescent="0.25">
      <c r="B66" s="314">
        <v>4</v>
      </c>
      <c r="C66" s="338" t="s">
        <v>13</v>
      </c>
      <c r="D66" s="292">
        <f>'REMUNERACION_OCCIDENTE_ Directa'!D128</f>
        <v>14631795.34</v>
      </c>
      <c r="E66" s="288">
        <f>'REMUNERACION_OCCIDENTE_ Directa'!E128</f>
        <v>0</v>
      </c>
      <c r="G66" s="339">
        <f>'REMUNERACION_OCCIDENTE_ Directa'!G128</f>
        <v>691194</v>
      </c>
      <c r="H66" s="340">
        <f>'REMUNERACION_OCCIDENTE_ Directa'!H128</f>
        <v>34178649.799999997</v>
      </c>
      <c r="I66" s="288">
        <f>'REMUNERACION_OCCIDENTE_ Directa'!I128</f>
        <v>0</v>
      </c>
      <c r="J66" s="288">
        <f>'REMUNERACION_OCCIDENTE_ Directa'!J128</f>
        <v>-3233428.34</v>
      </c>
      <c r="K66" s="288">
        <f>'REMUNERACION_OCCIDENTE_ Directa'!K128</f>
        <v>2209000</v>
      </c>
      <c r="L66" s="288">
        <f>'REMUNERACION_OCCIDENTE_ Directa'!L128</f>
        <v>14593375.66</v>
      </c>
      <c r="O66" s="337"/>
      <c r="Q66" s="306"/>
    </row>
    <row r="67" spans="1:17" s="305" customFormat="1" ht="11.5" x14ac:dyDescent="0.25">
      <c r="B67" s="341">
        <v>5</v>
      </c>
      <c r="C67" s="342" t="s">
        <v>14</v>
      </c>
      <c r="D67" s="292">
        <f>'REMUNERACION_OCCIDENTE_ Directa'!D129</f>
        <v>10604847.960000001</v>
      </c>
      <c r="E67" s="344">
        <f>'REMUNERACION_OCCIDENTE_ Directa'!E129</f>
        <v>0</v>
      </c>
      <c r="G67" s="339">
        <f>'REMUNERACION_OCCIDENTE_ Directa'!G129</f>
        <v>441849</v>
      </c>
      <c r="H67" s="340">
        <f>'REMUNERACION_OCCIDENTE_ Directa'!H129</f>
        <v>14307244.74</v>
      </c>
      <c r="I67" s="288">
        <f>'REMUNERACION_OCCIDENTE_ Directa'!I129</f>
        <v>0</v>
      </c>
      <c r="J67" s="288">
        <f>'REMUNERACION_OCCIDENTE_ Directa'!J129</f>
        <v>-1026775.53</v>
      </c>
      <c r="K67" s="288">
        <f>'REMUNERACION_OCCIDENTE_ Directa'!K129</f>
        <v>87550</v>
      </c>
      <c r="L67" s="288">
        <f>'REMUNERACION_OCCIDENTE_ Directa'!L129</f>
        <v>165773.47</v>
      </c>
      <c r="O67" s="337"/>
      <c r="Q67" s="306"/>
    </row>
    <row r="68" spans="1:17" s="305" customFormat="1" ht="12" thickBot="1" x14ac:dyDescent="0.3">
      <c r="B68" s="324" t="s">
        <v>89</v>
      </c>
      <c r="C68" s="345" t="s">
        <v>113</v>
      </c>
      <c r="D68" s="297">
        <f>'REMUNERACION_OCCIDENTE_ Directa'!D130</f>
        <v>0</v>
      </c>
      <c r="E68" s="289">
        <f>'REMUNERACION_OCCIDENTE_ Directa'!E130</f>
        <v>0</v>
      </c>
      <c r="G68" s="346">
        <f>'REMUNERACION_OCCIDENTE_ Directa'!G130</f>
        <v>0</v>
      </c>
      <c r="H68" s="347">
        <f>'REMUNERACION_OCCIDENTE_ Directa'!H130</f>
        <v>0</v>
      </c>
      <c r="I68" s="289">
        <f>'REMUNERACION_OCCIDENTE_ Directa'!I130</f>
        <v>0</v>
      </c>
      <c r="J68" s="289">
        <f>'REMUNERACION_OCCIDENTE_ Directa'!J130</f>
        <v>0</v>
      </c>
      <c r="K68" s="289">
        <f>'REMUNERACION_OCCIDENTE_ Directa'!K130</f>
        <v>0</v>
      </c>
      <c r="L68" s="289">
        <f>'REMUNERACION_OCCIDENTE_ Directa'!L130</f>
        <v>0</v>
      </c>
      <c r="O68" s="337"/>
      <c r="Q68" s="306"/>
    </row>
    <row r="69" spans="1:17" s="305" customFormat="1" ht="12" thickBot="1" x14ac:dyDescent="0.3">
      <c r="B69" s="348"/>
      <c r="C69" s="349" t="s">
        <v>2</v>
      </c>
      <c r="D69" s="350">
        <f>'REMUNERACION_OCCIDENTE_ Directa'!D131</f>
        <v>136872738.84999999</v>
      </c>
      <c r="E69" s="350">
        <f>'REMUNERACION_OCCIDENTE_ Directa'!E131</f>
        <v>0</v>
      </c>
      <c r="F69" s="351"/>
      <c r="G69" s="350">
        <f>'REMUNERACION_OCCIDENTE_ Directa'!G131</f>
        <v>1244253</v>
      </c>
      <c r="H69" s="350">
        <f>'REMUNERACION_OCCIDENTE_ Directa'!H131</f>
        <v>181345323.93000001</v>
      </c>
      <c r="I69" s="350">
        <f>'REMUNERACION_OCCIDENTE_ Directa'!I131</f>
        <v>0</v>
      </c>
      <c r="J69" s="350">
        <f>'REMUNERACION_OCCIDENTE_ Directa'!J131</f>
        <v>-5860365.0600000005</v>
      </c>
      <c r="K69" s="350">
        <f>'REMUNERACION_OCCIDENTE_ Directa'!K131</f>
        <v>2380260</v>
      </c>
      <c r="L69" s="350">
        <f>'REMUNERACION_OCCIDENTE_ Directa'!L131</f>
        <v>17268547.939999998</v>
      </c>
      <c r="M69" s="351"/>
      <c r="N69" s="351"/>
      <c r="O69" s="352"/>
      <c r="P69" s="329"/>
      <c r="Q69" s="306"/>
    </row>
    <row r="70" spans="1:17" s="1" customFormat="1" ht="11.5" x14ac:dyDescent="0.25">
      <c r="B70" s="2"/>
      <c r="C70" s="2"/>
      <c r="D70" s="448"/>
      <c r="Q70" s="4"/>
    </row>
    <row r="71" spans="1:17" s="1" customFormat="1" ht="11.5" x14ac:dyDescent="0.25">
      <c r="B71" s="2"/>
      <c r="C71" s="2"/>
      <c r="D71" s="448"/>
      <c r="Q71" s="4"/>
    </row>
    <row r="72" spans="1:17" s="1" customFormat="1" ht="11.5" x14ac:dyDescent="0.25">
      <c r="A72" s="52"/>
      <c r="B72" s="53"/>
      <c r="C72" s="53"/>
      <c r="D72" s="454"/>
      <c r="E72" s="454"/>
      <c r="F72" s="454"/>
      <c r="G72" s="454"/>
      <c r="H72" s="454"/>
      <c r="I72" s="454"/>
      <c r="J72" s="52"/>
      <c r="K72" s="454"/>
      <c r="L72" s="454"/>
      <c r="M72" s="454"/>
      <c r="N72" s="454"/>
      <c r="O72" s="454"/>
      <c r="P72" s="52"/>
      <c r="Q72" s="4"/>
    </row>
    <row r="74" spans="1:17" s="1" customFormat="1" ht="15.5" x14ac:dyDescent="0.35">
      <c r="B74" s="8"/>
      <c r="F74" s="58" t="s">
        <v>195</v>
      </c>
      <c r="G74" s="58"/>
      <c r="H74" s="59"/>
      <c r="I74" s="60"/>
      <c r="J74" s="59"/>
      <c r="K74" s="60"/>
      <c r="L74" s="60"/>
      <c r="O74" s="10"/>
      <c r="P74" s="2"/>
      <c r="Q74" s="4"/>
    </row>
    <row r="75" spans="1:17" s="1" customFormat="1" ht="12" thickBot="1" x14ac:dyDescent="0.3">
      <c r="B75" s="8"/>
      <c r="C75" s="2" t="s">
        <v>1</v>
      </c>
      <c r="D75" s="2" t="s">
        <v>1</v>
      </c>
      <c r="J75" s="1" t="s">
        <v>1</v>
      </c>
      <c r="O75" s="44"/>
      <c r="P75" s="2"/>
      <c r="Q75" s="4"/>
    </row>
    <row r="76" spans="1:17" s="1" customFormat="1" ht="62.25" customHeight="1" thickBot="1" x14ac:dyDescent="0.3">
      <c r="B76" s="11" t="s">
        <v>3</v>
      </c>
      <c r="C76" s="12" t="s">
        <v>9</v>
      </c>
      <c r="D76" s="12" t="s">
        <v>38</v>
      </c>
      <c r="E76" s="73" t="s">
        <v>48</v>
      </c>
      <c r="G76" s="104" t="s">
        <v>47</v>
      </c>
      <c r="H76" s="73" t="s">
        <v>56</v>
      </c>
      <c r="I76" s="73" t="s">
        <v>130</v>
      </c>
      <c r="J76" s="73" t="s">
        <v>172</v>
      </c>
      <c r="K76" s="73" t="s">
        <v>143</v>
      </c>
      <c r="L76" s="73" t="s">
        <v>144</v>
      </c>
      <c r="O76" s="44"/>
      <c r="P76" s="13"/>
      <c r="Q76" s="4"/>
    </row>
    <row r="77" spans="1:17" s="305" customFormat="1" ht="11.5" x14ac:dyDescent="0.25">
      <c r="B77" s="334">
        <v>1</v>
      </c>
      <c r="C77" s="335" t="s">
        <v>10</v>
      </c>
      <c r="D77" s="308">
        <f>'REMUNERACION_EAAB-CL'!D125</f>
        <v>0</v>
      </c>
      <c r="E77" s="309">
        <f>'REMUNERACION_EAAB-CL'!E125</f>
        <v>0</v>
      </c>
      <c r="G77" s="336">
        <f>'REMUNERACION_EAAB-CL'!G125</f>
        <v>0</v>
      </c>
      <c r="H77" s="310">
        <f>'REMUNERACION_EAAB-CL'!H125</f>
        <v>0</v>
      </c>
      <c r="I77" s="309">
        <f>'REMUNERACION_EAAB-CL'!I125</f>
        <v>0</v>
      </c>
      <c r="J77" s="309">
        <f>'REMUNERACION_EAAB-CL'!J125</f>
        <v>0</v>
      </c>
      <c r="K77" s="309">
        <f>'REMUNERACION_EAAB-CL'!K125</f>
        <v>0</v>
      </c>
      <c r="L77" s="309">
        <f>'REMUNERACION_EAAB-CL'!L125</f>
        <v>0</v>
      </c>
      <c r="O77" s="337"/>
      <c r="Q77" s="306"/>
    </row>
    <row r="78" spans="1:17" s="305" customFormat="1" ht="11.5" x14ac:dyDescent="0.25">
      <c r="B78" s="314">
        <v>2</v>
      </c>
      <c r="C78" s="338" t="s">
        <v>11</v>
      </c>
      <c r="D78" s="292">
        <f>'REMUNERACION_EAAB-CL'!D126</f>
        <v>0</v>
      </c>
      <c r="E78" s="288">
        <f>'REMUNERACION_EAAB-CL'!E126</f>
        <v>0</v>
      </c>
      <c r="G78" s="339">
        <f>'REMUNERACION_EAAB-CL'!G126</f>
        <v>0</v>
      </c>
      <c r="H78" s="340">
        <f>'REMUNERACION_EAAB-CL'!H126</f>
        <v>0</v>
      </c>
      <c r="I78" s="288">
        <f>'REMUNERACION_EAAB-CL'!I126</f>
        <v>0</v>
      </c>
      <c r="J78" s="288">
        <f>'REMUNERACION_EAAB-CL'!J126</f>
        <v>0</v>
      </c>
      <c r="K78" s="288">
        <f>'REMUNERACION_EAAB-CL'!K126</f>
        <v>0</v>
      </c>
      <c r="L78" s="288">
        <f>'REMUNERACION_EAAB-CL'!L126</f>
        <v>0</v>
      </c>
      <c r="O78" s="337"/>
      <c r="Q78" s="306"/>
    </row>
    <row r="79" spans="1:17" s="305" customFormat="1" ht="11.5" x14ac:dyDescent="0.25">
      <c r="B79" s="314">
        <v>3</v>
      </c>
      <c r="C79" s="338" t="s">
        <v>12</v>
      </c>
      <c r="D79" s="292">
        <f>'REMUNERACION_EAAB-CL'!D127</f>
        <v>0</v>
      </c>
      <c r="E79" s="288">
        <f>'REMUNERACION_EAAB-CL'!E127</f>
        <v>0</v>
      </c>
      <c r="G79" s="339">
        <f>'REMUNERACION_EAAB-CL'!G127</f>
        <v>0</v>
      </c>
      <c r="H79" s="340">
        <f>'REMUNERACION_EAAB-CL'!H127</f>
        <v>0</v>
      </c>
      <c r="I79" s="288">
        <f>'REMUNERACION_EAAB-CL'!I127</f>
        <v>0</v>
      </c>
      <c r="J79" s="288">
        <f>'REMUNERACION_EAAB-CL'!J127</f>
        <v>0</v>
      </c>
      <c r="K79" s="288">
        <f>'REMUNERACION_EAAB-CL'!K127</f>
        <v>0</v>
      </c>
      <c r="L79" s="288">
        <f>'REMUNERACION_EAAB-CL'!L127</f>
        <v>0</v>
      </c>
      <c r="O79" s="337"/>
      <c r="Q79" s="306"/>
    </row>
    <row r="80" spans="1:17" s="305" customFormat="1" ht="11.5" x14ac:dyDescent="0.25">
      <c r="B80" s="314">
        <v>4</v>
      </c>
      <c r="C80" s="338" t="s">
        <v>13</v>
      </c>
      <c r="D80" s="292">
        <f>'REMUNERACION_EAAB-CL'!D128</f>
        <v>0</v>
      </c>
      <c r="E80" s="288">
        <f>'REMUNERACION_EAAB-CL'!E128</f>
        <v>0</v>
      </c>
      <c r="G80" s="339">
        <f>'REMUNERACION_EAAB-CL'!G128</f>
        <v>0</v>
      </c>
      <c r="H80" s="340">
        <f>'REMUNERACION_EAAB-CL'!H128</f>
        <v>0</v>
      </c>
      <c r="I80" s="288">
        <f>'REMUNERACION_EAAB-CL'!I128</f>
        <v>0</v>
      </c>
      <c r="J80" s="288">
        <f>'REMUNERACION_EAAB-CL'!J128</f>
        <v>0</v>
      </c>
      <c r="K80" s="288">
        <f>'REMUNERACION_EAAB-CL'!K128</f>
        <v>0</v>
      </c>
      <c r="L80" s="288">
        <f>'REMUNERACION_EAAB-CL'!L128</f>
        <v>0</v>
      </c>
      <c r="O80" s="337"/>
      <c r="Q80" s="306"/>
    </row>
    <row r="81" spans="1:17" s="305" customFormat="1" ht="11.5" x14ac:dyDescent="0.25">
      <c r="B81" s="341">
        <v>5</v>
      </c>
      <c r="C81" s="342" t="s">
        <v>14</v>
      </c>
      <c r="D81" s="292">
        <f>'REMUNERACION_EAAB-CL'!D129</f>
        <v>0</v>
      </c>
      <c r="E81" s="344">
        <f>'REMUNERACION_EAAB-CL'!E129</f>
        <v>0</v>
      </c>
      <c r="G81" s="339">
        <f>'REMUNERACION_EAAB-CL'!G129</f>
        <v>0</v>
      </c>
      <c r="H81" s="340">
        <f>'REMUNERACION_EAAB-CL'!H129</f>
        <v>0</v>
      </c>
      <c r="I81" s="288">
        <f>'REMUNERACION_EAAB-CL'!I129</f>
        <v>0</v>
      </c>
      <c r="J81" s="288">
        <f>'REMUNERACION_EAAB-CL'!J129</f>
        <v>0</v>
      </c>
      <c r="K81" s="288">
        <f>'REMUNERACION_EAAB-CL'!K129</f>
        <v>0</v>
      </c>
      <c r="L81" s="288">
        <f>'REMUNERACION_EAAB-CL'!L129</f>
        <v>0</v>
      </c>
      <c r="O81" s="337"/>
      <c r="Q81" s="306"/>
    </row>
    <row r="82" spans="1:17" s="305" customFormat="1" ht="12" thickBot="1" x14ac:dyDescent="0.3">
      <c r="B82" s="324" t="s">
        <v>89</v>
      </c>
      <c r="C82" s="345" t="s">
        <v>113</v>
      </c>
      <c r="D82" s="297">
        <f>'REMUNERACION_EAAB-CL'!D130</f>
        <v>0</v>
      </c>
      <c r="E82" s="289">
        <f>'REMUNERACION_EAAB-CL'!E130</f>
        <v>0</v>
      </c>
      <c r="G82" s="346">
        <f>'REMUNERACION_EAAB-CL'!G130</f>
        <v>0</v>
      </c>
      <c r="H82" s="347">
        <f>'REMUNERACION_EAAB-CL'!H130</f>
        <v>0</v>
      </c>
      <c r="I82" s="289">
        <f>'REMUNERACION_EAAB-CL'!I130</f>
        <v>0</v>
      </c>
      <c r="J82" s="289">
        <f>'REMUNERACION_EAAB-CL'!J130</f>
        <v>0</v>
      </c>
      <c r="K82" s="289">
        <f>'REMUNERACION_EAAB-CL'!K130</f>
        <v>0</v>
      </c>
      <c r="L82" s="289">
        <f>'REMUNERACION_EAAB-CL'!L130</f>
        <v>0</v>
      </c>
      <c r="O82" s="337"/>
      <c r="Q82" s="306"/>
    </row>
    <row r="83" spans="1:17" s="305" customFormat="1" ht="12" thickBot="1" x14ac:dyDescent="0.3">
      <c r="B83" s="348"/>
      <c r="C83" s="349" t="s">
        <v>2</v>
      </c>
      <c r="D83" s="350">
        <f>'REMUNERACION_EAAB-CL'!D131</f>
        <v>0</v>
      </c>
      <c r="E83" s="350">
        <f>'REMUNERACION_EAAB-CL'!E131</f>
        <v>0</v>
      </c>
      <c r="F83" s="351"/>
      <c r="G83" s="350">
        <f>'REMUNERACION_EAAB-CL'!G131</f>
        <v>0</v>
      </c>
      <c r="H83" s="350">
        <f>'REMUNERACION_EAAB-CL'!H131</f>
        <v>0</v>
      </c>
      <c r="I83" s="350">
        <f>'REMUNERACION_EAAB-CL'!I131</f>
        <v>0</v>
      </c>
      <c r="J83" s="350">
        <f>'REMUNERACION_EAAB-CL'!J131</f>
        <v>0</v>
      </c>
      <c r="K83" s="350">
        <f>'REMUNERACION_EAAB-CL'!K131</f>
        <v>0</v>
      </c>
      <c r="L83" s="350">
        <f>'REMUNERACION_EAAB-CL'!L131</f>
        <v>0</v>
      </c>
      <c r="M83" s="351"/>
      <c r="N83" s="351"/>
      <c r="O83" s="352"/>
      <c r="P83" s="329"/>
      <c r="Q83" s="306"/>
    </row>
    <row r="84" spans="1:17" s="1" customFormat="1" ht="11.5" x14ac:dyDescent="0.25">
      <c r="B84" s="2"/>
      <c r="C84" s="2"/>
      <c r="D84" s="448"/>
      <c r="Q84" s="4"/>
    </row>
    <row r="85" spans="1:17" s="1" customFormat="1" ht="11.5" x14ac:dyDescent="0.25">
      <c r="B85" s="2"/>
      <c r="C85" s="2"/>
      <c r="D85" s="448"/>
      <c r="Q85" s="4"/>
    </row>
    <row r="86" spans="1:17" s="1" customFormat="1" ht="11.5" x14ac:dyDescent="0.25">
      <c r="A86" s="52"/>
      <c r="B86" s="53"/>
      <c r="C86" s="53"/>
      <c r="D86" s="454"/>
      <c r="E86" s="454"/>
      <c r="F86" s="454"/>
      <c r="G86" s="454"/>
      <c r="H86" s="454"/>
      <c r="I86" s="454"/>
      <c r="J86" s="52"/>
      <c r="K86" s="454"/>
      <c r="L86" s="454"/>
      <c r="M86" s="454"/>
      <c r="N86" s="454"/>
      <c r="O86" s="454"/>
      <c r="P86" s="52"/>
      <c r="Q86" s="4"/>
    </row>
    <row r="88" spans="1:17" ht="15.5" x14ac:dyDescent="0.35">
      <c r="F88" s="41" t="s">
        <v>191</v>
      </c>
    </row>
    <row r="89" spans="1:17" s="1" customFormat="1" ht="15.5" x14ac:dyDescent="0.35">
      <c r="B89" s="8"/>
      <c r="F89" s="41" t="s">
        <v>37</v>
      </c>
      <c r="G89" s="41"/>
      <c r="H89" s="2"/>
      <c r="J89" s="2"/>
      <c r="O89" s="10"/>
      <c r="P89" s="2"/>
      <c r="Q89" s="4"/>
    </row>
    <row r="90" spans="1:17" s="1" customFormat="1" ht="12" thickBot="1" x14ac:dyDescent="0.3">
      <c r="B90" s="8"/>
      <c r="C90" s="2" t="s">
        <v>1</v>
      </c>
      <c r="D90" s="2" t="s">
        <v>1</v>
      </c>
      <c r="J90" s="1" t="s">
        <v>1</v>
      </c>
      <c r="O90" s="44"/>
      <c r="P90" s="2"/>
      <c r="Q90" s="4"/>
    </row>
    <row r="91" spans="1:17" s="1" customFormat="1" ht="62.25" customHeight="1" thickBot="1" x14ac:dyDescent="0.3">
      <c r="B91" s="11" t="s">
        <v>3</v>
      </c>
      <c r="C91" s="12" t="s">
        <v>9</v>
      </c>
      <c r="D91" s="12" t="s">
        <v>38</v>
      </c>
      <c r="E91" s="73" t="s">
        <v>48</v>
      </c>
      <c r="G91" s="104" t="s">
        <v>47</v>
      </c>
      <c r="H91" s="73" t="s">
        <v>56</v>
      </c>
      <c r="I91" s="73" t="s">
        <v>130</v>
      </c>
      <c r="J91" s="73" t="s">
        <v>172</v>
      </c>
      <c r="K91" s="73" t="s">
        <v>143</v>
      </c>
      <c r="L91" s="73" t="s">
        <v>144</v>
      </c>
      <c r="O91" s="44"/>
      <c r="P91" s="13"/>
      <c r="Q91" s="4"/>
    </row>
    <row r="92" spans="1:17" s="305" customFormat="1" ht="11.5" x14ac:dyDescent="0.25">
      <c r="B92" s="334">
        <v>1</v>
      </c>
      <c r="C92" s="335" t="s">
        <v>10</v>
      </c>
      <c r="D92" s="308">
        <f>D6-(D21+D35+D49++D63+D77)</f>
        <v>0</v>
      </c>
      <c r="E92" s="308">
        <f>E6-(E21+E35+E49++E63+E77)</f>
        <v>0</v>
      </c>
      <c r="G92" s="336">
        <f>G6-(G21+G35+G49+G63+G77)</f>
        <v>0</v>
      </c>
      <c r="H92" s="336">
        <f t="shared" ref="H92:L92" si="0">H6-(H21+H35+H49+H63+H77)</f>
        <v>0</v>
      </c>
      <c r="I92" s="336">
        <f t="shared" si="0"/>
        <v>0</v>
      </c>
      <c r="J92" s="336">
        <f t="shared" si="0"/>
        <v>0</v>
      </c>
      <c r="K92" s="336">
        <f t="shared" si="0"/>
        <v>0</v>
      </c>
      <c r="L92" s="336">
        <f t="shared" si="0"/>
        <v>0</v>
      </c>
      <c r="O92" s="337"/>
      <c r="Q92" s="306"/>
    </row>
    <row r="93" spans="1:17" s="305" customFormat="1" ht="11.5" x14ac:dyDescent="0.25">
      <c r="B93" s="314">
        <v>2</v>
      </c>
      <c r="C93" s="338" t="s">
        <v>11</v>
      </c>
      <c r="D93" s="292">
        <f t="shared" ref="D93:E98" si="1">D7-(D22+D36+D50++D64+D78)</f>
        <v>0</v>
      </c>
      <c r="E93" s="292">
        <f t="shared" si="1"/>
        <v>0</v>
      </c>
      <c r="G93" s="339">
        <f t="shared" ref="G93:L98" si="2">G7-(G22+G36+G50+G64+G78)</f>
        <v>0</v>
      </c>
      <c r="H93" s="339">
        <f t="shared" si="2"/>
        <v>0</v>
      </c>
      <c r="I93" s="339">
        <f t="shared" si="2"/>
        <v>0</v>
      </c>
      <c r="J93" s="339">
        <f t="shared" si="2"/>
        <v>0</v>
      </c>
      <c r="K93" s="339">
        <f t="shared" si="2"/>
        <v>0</v>
      </c>
      <c r="L93" s="339">
        <f t="shared" si="2"/>
        <v>0</v>
      </c>
      <c r="O93" s="337"/>
      <c r="Q93" s="306"/>
    </row>
    <row r="94" spans="1:17" s="305" customFormat="1" ht="11.5" x14ac:dyDescent="0.25">
      <c r="B94" s="314">
        <v>3</v>
      </c>
      <c r="C94" s="338" t="s">
        <v>12</v>
      </c>
      <c r="D94" s="292">
        <f t="shared" si="1"/>
        <v>0</v>
      </c>
      <c r="E94" s="292">
        <f t="shared" si="1"/>
        <v>0</v>
      </c>
      <c r="G94" s="339">
        <f t="shared" si="2"/>
        <v>0</v>
      </c>
      <c r="H94" s="339">
        <f t="shared" si="2"/>
        <v>0</v>
      </c>
      <c r="I94" s="339">
        <f t="shared" si="2"/>
        <v>0</v>
      </c>
      <c r="J94" s="339">
        <f t="shared" si="2"/>
        <v>0</v>
      </c>
      <c r="K94" s="339">
        <f t="shared" si="2"/>
        <v>0</v>
      </c>
      <c r="L94" s="339">
        <f t="shared" si="2"/>
        <v>0</v>
      </c>
      <c r="O94" s="337"/>
      <c r="Q94" s="306"/>
    </row>
    <row r="95" spans="1:17" s="305" customFormat="1" ht="11.5" x14ac:dyDescent="0.25">
      <c r="B95" s="314">
        <v>4</v>
      </c>
      <c r="C95" s="338" t="s">
        <v>13</v>
      </c>
      <c r="D95" s="292">
        <f t="shared" si="1"/>
        <v>0</v>
      </c>
      <c r="E95" s="292">
        <f t="shared" si="1"/>
        <v>0</v>
      </c>
      <c r="G95" s="339">
        <f t="shared" si="2"/>
        <v>0</v>
      </c>
      <c r="H95" s="339">
        <f t="shared" si="2"/>
        <v>0</v>
      </c>
      <c r="I95" s="339">
        <f t="shared" si="2"/>
        <v>0</v>
      </c>
      <c r="J95" s="339">
        <f t="shared" si="2"/>
        <v>0</v>
      </c>
      <c r="K95" s="339">
        <f t="shared" si="2"/>
        <v>0</v>
      </c>
      <c r="L95" s="339">
        <f t="shared" si="2"/>
        <v>0</v>
      </c>
      <c r="O95" s="337"/>
      <c r="Q95" s="306"/>
    </row>
    <row r="96" spans="1:17" s="305" customFormat="1" ht="11.5" x14ac:dyDescent="0.25">
      <c r="B96" s="341">
        <v>5</v>
      </c>
      <c r="C96" s="342" t="s">
        <v>14</v>
      </c>
      <c r="D96" s="292">
        <f t="shared" si="1"/>
        <v>0</v>
      </c>
      <c r="E96" s="292">
        <f t="shared" si="1"/>
        <v>0</v>
      </c>
      <c r="G96" s="339">
        <f t="shared" si="2"/>
        <v>0</v>
      </c>
      <c r="H96" s="339">
        <f t="shared" si="2"/>
        <v>0</v>
      </c>
      <c r="I96" s="339">
        <f t="shared" si="2"/>
        <v>0</v>
      </c>
      <c r="J96" s="339">
        <f t="shared" si="2"/>
        <v>0</v>
      </c>
      <c r="K96" s="339">
        <f t="shared" si="2"/>
        <v>0</v>
      </c>
      <c r="L96" s="339">
        <f t="shared" si="2"/>
        <v>0</v>
      </c>
      <c r="O96" s="337"/>
      <c r="Q96" s="306"/>
    </row>
    <row r="97" spans="1:17" s="305" customFormat="1" ht="12" thickBot="1" x14ac:dyDescent="0.3">
      <c r="B97" s="324" t="s">
        <v>89</v>
      </c>
      <c r="C97" s="345" t="s">
        <v>113</v>
      </c>
      <c r="D97" s="297">
        <f t="shared" si="1"/>
        <v>0</v>
      </c>
      <c r="E97" s="297">
        <f t="shared" si="1"/>
        <v>0</v>
      </c>
      <c r="G97" s="346">
        <f t="shared" si="2"/>
        <v>0</v>
      </c>
      <c r="H97" s="346">
        <f t="shared" si="2"/>
        <v>0</v>
      </c>
      <c r="I97" s="346">
        <f t="shared" si="2"/>
        <v>0</v>
      </c>
      <c r="J97" s="346">
        <f t="shared" si="2"/>
        <v>0</v>
      </c>
      <c r="K97" s="346">
        <f t="shared" si="2"/>
        <v>0</v>
      </c>
      <c r="L97" s="346">
        <f t="shared" si="2"/>
        <v>0</v>
      </c>
      <c r="O97" s="337"/>
      <c r="Q97" s="306"/>
    </row>
    <row r="98" spans="1:17" s="305" customFormat="1" ht="12" thickBot="1" x14ac:dyDescent="0.3">
      <c r="B98" s="348"/>
      <c r="C98" s="349" t="s">
        <v>2</v>
      </c>
      <c r="D98" s="350">
        <f t="shared" si="1"/>
        <v>0</v>
      </c>
      <c r="E98" s="350">
        <f t="shared" si="1"/>
        <v>0</v>
      </c>
      <c r="F98" s="351"/>
      <c r="G98" s="350">
        <f t="shared" si="2"/>
        <v>0</v>
      </c>
      <c r="H98" s="350">
        <f t="shared" si="2"/>
        <v>0</v>
      </c>
      <c r="I98" s="350">
        <f t="shared" si="2"/>
        <v>0</v>
      </c>
      <c r="J98" s="350">
        <f t="shared" si="2"/>
        <v>0</v>
      </c>
      <c r="K98" s="350">
        <f t="shared" si="2"/>
        <v>0</v>
      </c>
      <c r="L98" s="350">
        <f t="shared" si="2"/>
        <v>0</v>
      </c>
      <c r="M98" s="351"/>
      <c r="N98" s="351"/>
      <c r="O98" s="352"/>
      <c r="P98" s="329"/>
      <c r="Q98" s="306"/>
    </row>
    <row r="99" spans="1:17" s="1" customFormat="1" ht="11.5" x14ac:dyDescent="0.25">
      <c r="B99" s="2"/>
      <c r="C99" s="2"/>
      <c r="D99" s="448"/>
      <c r="Q99" s="4"/>
    </row>
    <row r="100" spans="1:17" s="1" customFormat="1" ht="11.5" x14ac:dyDescent="0.25">
      <c r="B100" s="2"/>
      <c r="C100" s="2"/>
      <c r="D100" s="448"/>
      <c r="L100" s="1" t="s">
        <v>1</v>
      </c>
      <c r="Q100" s="4"/>
    </row>
    <row r="101" spans="1:17" s="1" customFormat="1" ht="11.5" x14ac:dyDescent="0.25">
      <c r="A101" s="52"/>
      <c r="B101" s="53"/>
      <c r="C101" s="53"/>
      <c r="D101" s="454"/>
      <c r="E101" s="454"/>
      <c r="F101" s="454"/>
      <c r="G101" s="454"/>
      <c r="H101" s="454"/>
      <c r="I101" s="454"/>
      <c r="J101" s="52"/>
      <c r="K101" s="454"/>
      <c r="L101" s="454"/>
      <c r="M101" s="454"/>
      <c r="N101" s="454"/>
      <c r="O101" s="454"/>
      <c r="P101" s="52"/>
      <c r="Q101" s="4"/>
    </row>
  </sheetData>
  <conditionalFormatting sqref="D92:E98 G92:L98">
    <cfRule type="cellIs" dxfId="0" priority="1" operator="notEqual">
      <formula>0</formula>
    </cfRule>
  </conditionalFormatting>
  <pageMargins left="0.7" right="0.7" top="0.75" bottom="0.75" header="0.3" footer="0.3"/>
  <pageSetup orientation="portrait" r:id="rId1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dimension ref="B1:I10"/>
  <sheetViews>
    <sheetView workbookViewId="0">
      <selection activeCell="F10" sqref="F10"/>
    </sheetView>
  </sheetViews>
  <sheetFormatPr baseColWidth="10" defaultRowHeight="12.5" x14ac:dyDescent="0.25"/>
  <cols>
    <col min="1" max="1" width="4.81640625" customWidth="1"/>
    <col min="2" max="2" width="10" customWidth="1"/>
    <col min="3" max="3" width="20.453125" bestFit="1" customWidth="1"/>
    <col min="4" max="4" width="17.1796875" customWidth="1"/>
    <col min="5" max="5" width="16.1796875" customWidth="1"/>
    <col min="6" max="6" width="21" bestFit="1" customWidth="1"/>
  </cols>
  <sheetData>
    <row r="1" spans="2:9" ht="13" thickBot="1" x14ac:dyDescent="0.3"/>
    <row r="2" spans="2:9" ht="15" thickBot="1" x14ac:dyDescent="0.4">
      <c r="C2" s="526">
        <v>2026072</v>
      </c>
      <c r="D2" s="527" t="s">
        <v>225</v>
      </c>
      <c r="E2" s="527" t="s">
        <v>202</v>
      </c>
      <c r="F2" s="143"/>
      <c r="G2" s="143"/>
      <c r="H2" s="143"/>
      <c r="I2" s="143"/>
    </row>
    <row r="3" spans="2:9" ht="14.5" x14ac:dyDescent="0.35">
      <c r="B3" s="577">
        <v>0</v>
      </c>
      <c r="C3" s="537" t="s">
        <v>203</v>
      </c>
      <c r="D3" s="528">
        <v>0</v>
      </c>
      <c r="E3" s="538">
        <v>0</v>
      </c>
      <c r="F3" s="529"/>
      <c r="G3" s="143"/>
      <c r="H3" s="143"/>
      <c r="I3" s="143"/>
    </row>
    <row r="4" spans="2:9" ht="14.5" x14ac:dyDescent="0.35">
      <c r="B4" s="578">
        <v>0</v>
      </c>
      <c r="C4" s="539" t="s">
        <v>203</v>
      </c>
      <c r="D4" s="530">
        <v>0</v>
      </c>
      <c r="E4" s="540"/>
      <c r="F4" s="532"/>
      <c r="G4" s="143"/>
      <c r="H4" s="143"/>
      <c r="I4" s="143"/>
    </row>
    <row r="5" spans="2:9" ht="14.5" x14ac:dyDescent="0.35">
      <c r="B5" s="578">
        <v>0</v>
      </c>
      <c r="C5" s="541" t="s">
        <v>204</v>
      </c>
      <c r="D5" s="542">
        <v>0</v>
      </c>
      <c r="E5" s="543">
        <v>0</v>
      </c>
      <c r="F5" s="532"/>
      <c r="G5" s="143"/>
      <c r="H5" s="143"/>
      <c r="I5" s="143"/>
    </row>
    <row r="6" spans="2:9" ht="15" thickBot="1" x14ac:dyDescent="0.4">
      <c r="B6" s="579">
        <v>0</v>
      </c>
      <c r="C6" s="541" t="s">
        <v>204</v>
      </c>
      <c r="D6" s="542">
        <v>0</v>
      </c>
      <c r="E6" s="544"/>
      <c r="F6" s="532"/>
      <c r="G6" s="143"/>
      <c r="H6" s="143"/>
      <c r="I6" s="143"/>
    </row>
    <row r="7" spans="2:9" ht="14.5" x14ac:dyDescent="0.35">
      <c r="B7" t="s">
        <v>1</v>
      </c>
      <c r="C7" s="545" t="s">
        <v>205</v>
      </c>
      <c r="D7" s="546">
        <v>68144618192</v>
      </c>
      <c r="E7" s="533">
        <v>68213380915</v>
      </c>
      <c r="F7" s="534" t="b">
        <v>1</v>
      </c>
      <c r="G7" s="143"/>
      <c r="H7" s="143"/>
      <c r="I7" s="143"/>
    </row>
    <row r="8" spans="2:9" ht="14.5" x14ac:dyDescent="0.35">
      <c r="C8" s="545" t="s">
        <v>328</v>
      </c>
      <c r="D8" s="546">
        <v>28645323</v>
      </c>
      <c r="E8" s="759"/>
      <c r="F8" s="534"/>
      <c r="G8" s="143"/>
      <c r="H8" s="143"/>
      <c r="I8" s="143"/>
    </row>
    <row r="9" spans="2:9" ht="14.5" x14ac:dyDescent="0.35">
      <c r="B9" t="s">
        <v>1</v>
      </c>
      <c r="C9" s="545" t="s">
        <v>206</v>
      </c>
      <c r="D9" s="546">
        <v>40117400</v>
      </c>
      <c r="E9" s="531"/>
      <c r="F9" s="532"/>
      <c r="G9" s="143"/>
      <c r="H9" s="143"/>
      <c r="I9" s="143"/>
    </row>
    <row r="10" spans="2:9" ht="15" thickBot="1" x14ac:dyDescent="0.4">
      <c r="C10" s="547" t="s">
        <v>207</v>
      </c>
      <c r="D10" s="535">
        <v>4284569052</v>
      </c>
      <c r="E10" s="535">
        <v>4284569052</v>
      </c>
      <c r="F10" s="536">
        <v>72497949967</v>
      </c>
      <c r="G10" s="143"/>
      <c r="H10" s="143"/>
      <c r="I10" s="143"/>
    </row>
  </sheetData>
  <printOptions horizontalCentered="1"/>
  <pageMargins left="0.31496062992125984" right="0.31496062992125984" top="0.74803149606299213" bottom="0.74803149606299213" header="0.31496062992125984" footer="0.31496062992125984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40</vt:i4>
      </vt:variant>
      <vt:variant>
        <vt:lpstr>Rangos con nombre</vt:lpstr>
      </vt:variant>
      <vt:variant>
        <vt:i4>1</vt:i4>
      </vt:variant>
    </vt:vector>
  </HeadingPairs>
  <TitlesOfParts>
    <vt:vector size="41" baseType="lpstr">
      <vt:lpstr>Recaudo EAAB Reciprocidad</vt:lpstr>
      <vt:lpstr>Recaudo ENEL</vt:lpstr>
      <vt:lpstr>Recaudo ENERBIT</vt:lpstr>
      <vt:lpstr>Recaudo EAAB + Ciud Limp</vt:lpstr>
      <vt:lpstr>Recaudo Directa Occidente</vt:lpstr>
      <vt:lpstr>REPORTE RECAUDO x BANCO</vt:lpstr>
      <vt:lpstr>ANT EXT-REV</vt:lpstr>
      <vt:lpstr>ANTICIPOS USUARIOS</vt:lpstr>
      <vt:lpstr>BCE SC POR FACT.</vt:lpstr>
      <vt:lpstr>Reporte Componentes R1</vt:lpstr>
      <vt:lpstr>Rem. Anticipos R2</vt:lpstr>
      <vt:lpstr>Reversion Pagos R4</vt:lpstr>
      <vt:lpstr>SALDOS POR NOTA</vt:lpstr>
      <vt:lpstr>RETRIBUCION NEGATIVA</vt:lpstr>
      <vt:lpstr>AJUSTES - SF-T</vt:lpstr>
      <vt:lpstr>INTERVENTORIA</vt:lpstr>
      <vt:lpstr>Informe AFaseo Recaudo 202607-2</vt:lpstr>
      <vt:lpstr>CONSOLIDADO_TOTAL RECAUDO</vt:lpstr>
      <vt:lpstr>VALIDACION_TOTAL</vt:lpstr>
      <vt:lpstr>GERENTES_TOTAL</vt:lpstr>
      <vt:lpstr>REMUNERACION Reciprocidad EAAB</vt:lpstr>
      <vt:lpstr>VALIDACION_RECIP</vt:lpstr>
      <vt:lpstr>GERENTES_Reciprocidad_ EAAB</vt:lpstr>
      <vt:lpstr>REMUNERACION_ENEL</vt:lpstr>
      <vt:lpstr>VALIDACION_ENEL</vt:lpstr>
      <vt:lpstr>GERENTES_ENEL</vt:lpstr>
      <vt:lpstr>REMUNERACION_ENERBIT</vt:lpstr>
      <vt:lpstr>VALIDACION_ENERBIT</vt:lpstr>
      <vt:lpstr>GERENTES_ENERBIT</vt:lpstr>
      <vt:lpstr>REMUNERACION_OCCIDENTE_ Directa</vt:lpstr>
      <vt:lpstr>VALIDACION_OCCIDENTE</vt:lpstr>
      <vt:lpstr>GERENTES_OCCIDENTE _ Directa</vt:lpstr>
      <vt:lpstr>REMUNERACION_EAAB-CL</vt:lpstr>
      <vt:lpstr>VALIDACION_EAAB-CL</vt:lpstr>
      <vt:lpstr>GERENTES_EAAB-CL</vt:lpstr>
      <vt:lpstr>DetRetri2026072</vt:lpstr>
      <vt:lpstr>DetValiRetri2026072</vt:lpstr>
      <vt:lpstr>Valida -Remunera</vt:lpstr>
      <vt:lpstr>Valida - Anticipos</vt:lpstr>
      <vt:lpstr>Valida - Control Recaudo</vt:lpstr>
      <vt:lpstr>PROMOAMBIENTAL_1</vt:lpstr>
    </vt:vector>
  </TitlesOfParts>
  <Company>SERVIGENERALES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mcalderonc</dc:creator>
  <cp:lastModifiedBy>Kevin Gomez</cp:lastModifiedBy>
  <cp:lastPrinted>2024-12-17T18:14:41Z</cp:lastPrinted>
  <dcterms:created xsi:type="dcterms:W3CDTF">2003-01-13T14:55:35Z</dcterms:created>
  <dcterms:modified xsi:type="dcterms:W3CDTF">2026-08-04T15:58:38Z</dcterms:modified>
</cp:coreProperties>
</file>