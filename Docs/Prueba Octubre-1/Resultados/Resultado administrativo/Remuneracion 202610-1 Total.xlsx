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Resultados/Resultado administrativo/"/>
    </mc:Choice>
  </mc:AlternateContent>
  <xr:revisionPtr revIDLastSave="0" documentId="13_ncr:1_{A76645A7-B582-4582-8021-1598AAD58FDE}" xr6:coauthVersionLast="47" xr6:coauthVersionMax="47" xr10:uidLastSave="{00000000-0000-0000-0000-000000000000}"/>
  <bookViews>
    <workbookView xWindow="-108" yWindow="-108" windowWidth="23256" windowHeight="12456" tabRatio="780" firstSheet="6" activeTab="10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10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101" sheetId="93" r:id="rId36"/>
    <sheet name="DetValiRetri202610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R1'!$A$5:$X$32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" i="59" l="1"/>
  <c r="AP213" i="55"/>
  <c r="AO213" i="55"/>
  <c r="AN213" i="55"/>
  <c r="AM213" i="55"/>
  <c r="AL213" i="55"/>
  <c r="AK213" i="55"/>
  <c r="AJ213" i="55"/>
  <c r="AI213" i="55"/>
  <c r="AH213" i="55"/>
  <c r="AG213" i="55"/>
  <c r="AF213" i="55"/>
  <c r="AE213" i="55"/>
  <c r="AD213" i="55"/>
  <c r="AC213" i="55"/>
  <c r="AB213" i="55"/>
  <c r="AA213" i="55"/>
  <c r="Z213" i="55"/>
  <c r="Y213" i="55"/>
  <c r="X213" i="55"/>
  <c r="W213" i="55"/>
  <c r="V213" i="55"/>
  <c r="U213" i="55"/>
  <c r="T213" i="55"/>
  <c r="S213" i="55"/>
  <c r="R213" i="55"/>
  <c r="Q213" i="55"/>
  <c r="P213" i="55"/>
  <c r="O213" i="55"/>
  <c r="N213" i="55"/>
  <c r="M213" i="55"/>
  <c r="L213" i="55"/>
  <c r="K213" i="55"/>
  <c r="J213" i="55"/>
  <c r="I213" i="55"/>
  <c r="H213" i="55"/>
  <c r="G213" i="55"/>
  <c r="F214" i="55"/>
  <c r="F213" i="55"/>
  <c r="G203" i="55"/>
  <c r="F204" i="55"/>
  <c r="F203" i="55"/>
  <c r="AP78" i="55"/>
  <c r="AO78" i="55"/>
  <c r="AN78" i="55"/>
  <c r="AM78" i="55"/>
  <c r="AL78" i="55"/>
  <c r="AK78" i="55"/>
  <c r="AJ78" i="55"/>
  <c r="AI78" i="55"/>
  <c r="AH78" i="55"/>
  <c r="AG78" i="55"/>
  <c r="AF78" i="55"/>
  <c r="AE78" i="55"/>
  <c r="AD78" i="55"/>
  <c r="AC78" i="55"/>
  <c r="AB78" i="55"/>
  <c r="AA78" i="55"/>
  <c r="Z78" i="55"/>
  <c r="Y78" i="55"/>
  <c r="X78" i="55"/>
  <c r="W78" i="55"/>
  <c r="V78" i="55"/>
  <c r="U78" i="55"/>
  <c r="T78" i="55"/>
  <c r="S78" i="55"/>
  <c r="R78" i="55"/>
  <c r="Q78" i="55"/>
  <c r="P78" i="55"/>
  <c r="O78" i="55"/>
  <c r="N78" i="55"/>
  <c r="M78" i="55"/>
  <c r="L78" i="55"/>
  <c r="K78" i="55"/>
  <c r="J78" i="55"/>
  <c r="I78" i="55"/>
  <c r="H78" i="55"/>
  <c r="G78" i="55"/>
  <c r="F78" i="55"/>
  <c r="F80" i="55"/>
  <c r="G80" i="55"/>
  <c r="F79" i="55"/>
  <c r="AP68" i="55"/>
  <c r="AO68" i="55"/>
  <c r="AN68" i="55"/>
  <c r="AM68" i="55"/>
  <c r="AL68" i="55"/>
  <c r="AK68" i="55"/>
  <c r="AJ68" i="55"/>
  <c r="AI68" i="55"/>
  <c r="AH68" i="55"/>
  <c r="AG68" i="55"/>
  <c r="AF68" i="55"/>
  <c r="AE68" i="55"/>
  <c r="AD68" i="55"/>
  <c r="AC68" i="55"/>
  <c r="AB68" i="55"/>
  <c r="AA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K68" i="55"/>
  <c r="J68" i="55"/>
  <c r="I68" i="55"/>
  <c r="H68" i="55"/>
  <c r="G68" i="55"/>
  <c r="F69" i="55"/>
  <c r="F68" i="55"/>
  <c r="G58" i="55"/>
  <c r="F58" i="55"/>
  <c r="F149" i="59"/>
  <c r="E150" i="59"/>
  <c r="E146" i="59"/>
  <c r="F158" i="59"/>
  <c r="E159" i="59"/>
  <c r="E158" i="59"/>
  <c r="F152" i="59"/>
  <c r="F146" i="59"/>
  <c r="R146" i="59"/>
  <c r="Q146" i="59"/>
  <c r="P146" i="59"/>
  <c r="O146" i="59"/>
  <c r="N146" i="59"/>
  <c r="M146" i="59"/>
  <c r="L146" i="59"/>
  <c r="K146" i="59"/>
  <c r="J146" i="59"/>
  <c r="I146" i="59"/>
  <c r="H146" i="59"/>
  <c r="G146" i="59"/>
  <c r="E147" i="59"/>
  <c r="F88" i="55"/>
  <c r="AP80" i="55"/>
  <c r="AO80" i="55"/>
  <c r="AN80" i="55"/>
  <c r="AM80" i="55"/>
  <c r="AL80" i="55"/>
  <c r="AK80" i="55"/>
  <c r="AJ80" i="55"/>
  <c r="AI80" i="55"/>
  <c r="AH80" i="55"/>
  <c r="AG80" i="55"/>
  <c r="AF80" i="55"/>
  <c r="AE80" i="55"/>
  <c r="AD80" i="55"/>
  <c r="AC80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F81" i="55"/>
  <c r="AP70" i="55"/>
  <c r="AO70" i="55"/>
  <c r="AN70" i="55"/>
  <c r="AM70" i="55"/>
  <c r="AL70" i="55"/>
  <c r="AK70" i="55"/>
  <c r="AJ70" i="55"/>
  <c r="AI70" i="55"/>
  <c r="AH70" i="55"/>
  <c r="AG70" i="55"/>
  <c r="AF70" i="55"/>
  <c r="AE70" i="55"/>
  <c r="AD70" i="55"/>
  <c r="AC70" i="55"/>
  <c r="AB70" i="55"/>
  <c r="AA70" i="55"/>
  <c r="Z70" i="55"/>
  <c r="Y70" i="55"/>
  <c r="X70" i="55"/>
  <c r="W70" i="55"/>
  <c r="V70" i="55"/>
  <c r="U70" i="55"/>
  <c r="T70" i="55"/>
  <c r="S70" i="55"/>
  <c r="R70" i="55"/>
  <c r="Q70" i="55"/>
  <c r="P70" i="55"/>
  <c r="O70" i="55"/>
  <c r="N70" i="55"/>
  <c r="M70" i="55"/>
  <c r="L70" i="55"/>
  <c r="K70" i="55"/>
  <c r="J70" i="55"/>
  <c r="I70" i="55"/>
  <c r="H70" i="55"/>
  <c r="G70" i="55"/>
  <c r="F71" i="55"/>
  <c r="F70" i="55"/>
  <c r="G60" i="55"/>
  <c r="F61" i="55"/>
  <c r="F60" i="55"/>
  <c r="F59" i="55"/>
  <c r="AP193" i="55"/>
  <c r="AO193" i="55"/>
  <c r="AN193" i="55"/>
  <c r="AM193" i="55"/>
  <c r="AL193" i="55"/>
  <c r="AK193" i="55"/>
  <c r="AJ193" i="55"/>
  <c r="AI193" i="55"/>
  <c r="AH193" i="55"/>
  <c r="AG193" i="55"/>
  <c r="AF193" i="55"/>
  <c r="AE193" i="55"/>
  <c r="AD193" i="55"/>
  <c r="AC193" i="55"/>
  <c r="AB193" i="55"/>
  <c r="AA193" i="55"/>
  <c r="Z193" i="55"/>
  <c r="Y193" i="55"/>
  <c r="X193" i="55"/>
  <c r="W193" i="55"/>
  <c r="V193" i="55"/>
  <c r="U193" i="55"/>
  <c r="T193" i="55"/>
  <c r="S193" i="55"/>
  <c r="R193" i="55"/>
  <c r="Q193" i="55"/>
  <c r="P193" i="55"/>
  <c r="O193" i="55"/>
  <c r="N193" i="55"/>
  <c r="M193" i="55"/>
  <c r="L193" i="55"/>
  <c r="K193" i="55"/>
  <c r="J193" i="55"/>
  <c r="I193" i="55"/>
  <c r="H193" i="55"/>
  <c r="G193" i="55"/>
  <c r="F194" i="55"/>
  <c r="F193" i="55"/>
  <c r="AA203" i="55"/>
  <c r="Z203" i="55"/>
  <c r="Y203" i="55"/>
  <c r="X203" i="55"/>
  <c r="W203" i="55"/>
  <c r="V203" i="55"/>
  <c r="U203" i="55"/>
  <c r="T203" i="55"/>
  <c r="S203" i="55"/>
  <c r="R203" i="55"/>
  <c r="Q203" i="55"/>
  <c r="P203" i="55"/>
  <c r="O203" i="55"/>
  <c r="N203" i="55"/>
  <c r="M203" i="55"/>
  <c r="L203" i="55"/>
  <c r="K203" i="55"/>
  <c r="J203" i="55"/>
  <c r="I203" i="55"/>
  <c r="H203" i="55"/>
  <c r="D343" i="61"/>
  <c r="R342" i="61"/>
  <c r="Q342" i="61"/>
  <c r="P342" i="61"/>
  <c r="O342" i="61"/>
  <c r="N342" i="61"/>
  <c r="M342" i="61"/>
  <c r="L342" i="61"/>
  <c r="K342" i="61"/>
  <c r="J342" i="61"/>
  <c r="I342" i="61"/>
  <c r="H342" i="61"/>
  <c r="G342" i="61"/>
  <c r="F342" i="61"/>
  <c r="E342" i="61"/>
  <c r="D342" i="61"/>
  <c r="E325" i="61"/>
  <c r="D326" i="61"/>
  <c r="D325" i="61"/>
  <c r="E316" i="61"/>
  <c r="D317" i="61"/>
  <c r="D316" i="61"/>
  <c r="E313" i="61"/>
  <c r="D314" i="61"/>
  <c r="D313" i="61"/>
  <c r="R199" i="61"/>
  <c r="Q199" i="61"/>
  <c r="P199" i="61"/>
  <c r="O199" i="61"/>
  <c r="N199" i="61"/>
  <c r="M199" i="61"/>
  <c r="L199" i="61"/>
  <c r="K199" i="61"/>
  <c r="J199" i="61"/>
  <c r="I199" i="61"/>
  <c r="H199" i="61"/>
  <c r="G199" i="61"/>
  <c r="F199" i="61"/>
  <c r="E199" i="61"/>
  <c r="D200" i="61"/>
  <c r="D199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1" i="61"/>
  <c r="D180" i="61"/>
  <c r="D174" i="61"/>
  <c r="E174" i="61"/>
  <c r="D175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E85" i="61"/>
  <c r="D86" i="61"/>
  <c r="D85" i="61"/>
  <c r="E79" i="61"/>
  <c r="D80" i="61"/>
  <c r="D79" i="61"/>
  <c r="E73" i="61"/>
  <c r="D74" i="61"/>
  <c r="D73" i="61"/>
  <c r="E152" i="59"/>
  <c r="R149" i="59"/>
  <c r="Q149" i="59"/>
  <c r="P149" i="59"/>
  <c r="O149" i="59"/>
  <c r="N149" i="59"/>
  <c r="M149" i="59"/>
  <c r="L149" i="59"/>
  <c r="K149" i="59"/>
  <c r="J149" i="59"/>
  <c r="I149" i="59"/>
  <c r="H149" i="59"/>
  <c r="G149" i="59"/>
  <c r="E43" i="59"/>
  <c r="F55" i="59"/>
  <c r="E55" i="59"/>
  <c r="F49" i="59"/>
  <c r="E50" i="59"/>
  <c r="E49" i="59"/>
  <c r="F43" i="59"/>
  <c r="AO533" i="55"/>
  <c r="AN533" i="55"/>
  <c r="AM533" i="55"/>
  <c r="AL533" i="55"/>
  <c r="AK533" i="55"/>
  <c r="AJ533" i="55"/>
  <c r="AI533" i="55"/>
  <c r="AH533" i="55"/>
  <c r="AG533" i="55"/>
  <c r="AF533" i="55"/>
  <c r="AE533" i="55"/>
  <c r="AD533" i="55"/>
  <c r="AC533" i="55"/>
  <c r="AB533" i="55"/>
  <c r="AA533" i="55"/>
  <c r="Z533" i="55"/>
  <c r="Y533" i="55"/>
  <c r="X533" i="55"/>
  <c r="W533" i="55"/>
  <c r="V533" i="55"/>
  <c r="U533" i="55"/>
  <c r="T533" i="55"/>
  <c r="S533" i="55"/>
  <c r="R533" i="55"/>
  <c r="Q533" i="55"/>
  <c r="P533" i="55"/>
  <c r="O533" i="55"/>
  <c r="N533" i="55"/>
  <c r="M533" i="55"/>
  <c r="L533" i="55"/>
  <c r="K533" i="55"/>
  <c r="J533" i="55"/>
  <c r="I533" i="55"/>
  <c r="H533" i="55"/>
  <c r="G533" i="55"/>
  <c r="F533" i="55"/>
  <c r="AO513" i="55"/>
  <c r="AN513" i="55"/>
  <c r="AM513" i="55"/>
  <c r="AL513" i="55"/>
  <c r="AK513" i="55"/>
  <c r="AJ513" i="55"/>
  <c r="AI513" i="55"/>
  <c r="AH513" i="55"/>
  <c r="AG513" i="55"/>
  <c r="AF513" i="55"/>
  <c r="AE513" i="55"/>
  <c r="AD513" i="55"/>
  <c r="AC513" i="55"/>
  <c r="AB513" i="55"/>
  <c r="AA513" i="55"/>
  <c r="Z513" i="55"/>
  <c r="Y513" i="55"/>
  <c r="X513" i="55"/>
  <c r="W513" i="55"/>
  <c r="V513" i="55"/>
  <c r="U513" i="55"/>
  <c r="T513" i="55"/>
  <c r="S513" i="55"/>
  <c r="R513" i="55"/>
  <c r="Q513" i="55"/>
  <c r="P513" i="55"/>
  <c r="O513" i="55"/>
  <c r="N513" i="55"/>
  <c r="M513" i="55"/>
  <c r="L513" i="55"/>
  <c r="K513" i="55"/>
  <c r="J513" i="55"/>
  <c r="I513" i="55"/>
  <c r="H513" i="55"/>
  <c r="G513" i="55"/>
  <c r="F513" i="55"/>
  <c r="AO523" i="55"/>
  <c r="AN523" i="55"/>
  <c r="AM523" i="55"/>
  <c r="AL523" i="55"/>
  <c r="AK523" i="55"/>
  <c r="AJ523" i="55"/>
  <c r="AI523" i="55"/>
  <c r="AH523" i="55"/>
  <c r="AG523" i="55"/>
  <c r="AF523" i="55"/>
  <c r="AE523" i="55"/>
  <c r="AD523" i="55"/>
  <c r="AC523" i="55"/>
  <c r="AB523" i="55"/>
  <c r="AA523" i="55"/>
  <c r="Z523" i="55"/>
  <c r="Y523" i="55"/>
  <c r="X523" i="55"/>
  <c r="W523" i="55"/>
  <c r="V523" i="55"/>
  <c r="U523" i="55"/>
  <c r="T523" i="55"/>
  <c r="S523" i="55"/>
  <c r="R523" i="55"/>
  <c r="Q523" i="55"/>
  <c r="P523" i="55"/>
  <c r="O523" i="55"/>
  <c r="N523" i="55"/>
  <c r="M523" i="55"/>
  <c r="L523" i="55"/>
  <c r="K523" i="55"/>
  <c r="J523" i="55"/>
  <c r="I523" i="55"/>
  <c r="H523" i="55"/>
  <c r="G523" i="55"/>
  <c r="F523" i="55"/>
  <c r="Z469" i="55"/>
  <c r="Y469" i="55"/>
  <c r="X469" i="55"/>
  <c r="W469" i="55"/>
  <c r="V469" i="55"/>
  <c r="U469" i="55"/>
  <c r="T469" i="55"/>
  <c r="S469" i="55"/>
  <c r="R469" i="55"/>
  <c r="Q469" i="55"/>
  <c r="P469" i="55"/>
  <c r="O469" i="55"/>
  <c r="N469" i="55"/>
  <c r="M469" i="55"/>
  <c r="L469" i="55"/>
  <c r="K469" i="55"/>
  <c r="J469" i="55"/>
  <c r="I469" i="55"/>
  <c r="H469" i="55"/>
  <c r="G469" i="55"/>
  <c r="F469" i="55"/>
  <c r="G461" i="55"/>
  <c r="F461" i="55"/>
  <c r="G459" i="55"/>
  <c r="F460" i="55"/>
  <c r="F459" i="55"/>
  <c r="G451" i="55"/>
  <c r="F452" i="55"/>
  <c r="F451" i="55"/>
  <c r="G449" i="55"/>
  <c r="F450" i="55"/>
  <c r="F449" i="55"/>
  <c r="Z446" i="55"/>
  <c r="Y446" i="55"/>
  <c r="X446" i="55"/>
  <c r="W446" i="55"/>
  <c r="V446" i="55"/>
  <c r="U446" i="55"/>
  <c r="T446" i="55"/>
  <c r="S446" i="55"/>
  <c r="R446" i="55"/>
  <c r="Q446" i="55"/>
  <c r="P446" i="55"/>
  <c r="O446" i="55"/>
  <c r="N446" i="55"/>
  <c r="M446" i="55"/>
  <c r="L446" i="55"/>
  <c r="K446" i="55"/>
  <c r="J446" i="55"/>
  <c r="I446" i="55"/>
  <c r="H446" i="55"/>
  <c r="G446" i="55"/>
  <c r="F447" i="55"/>
  <c r="F446" i="55"/>
  <c r="G441" i="55"/>
  <c r="F441" i="55"/>
  <c r="G439" i="55"/>
  <c r="F439" i="55"/>
  <c r="AO339" i="55"/>
  <c r="AN339" i="55"/>
  <c r="AM339" i="55"/>
  <c r="AL339" i="55"/>
  <c r="AK339" i="55"/>
  <c r="AJ339" i="55"/>
  <c r="AI339" i="55"/>
  <c r="AH339" i="55"/>
  <c r="AG339" i="55"/>
  <c r="AF339" i="55"/>
  <c r="AE339" i="55"/>
  <c r="AD339" i="55"/>
  <c r="AC339" i="55"/>
  <c r="AB339" i="55"/>
  <c r="AA339" i="55"/>
  <c r="Z339" i="55"/>
  <c r="Y339" i="55"/>
  <c r="X339" i="55"/>
  <c r="W339" i="55"/>
  <c r="V339" i="55"/>
  <c r="U339" i="55"/>
  <c r="T339" i="55"/>
  <c r="S339" i="55"/>
  <c r="R339" i="55"/>
  <c r="Q339" i="55"/>
  <c r="P339" i="55"/>
  <c r="O339" i="55"/>
  <c r="N339" i="55"/>
  <c r="M339" i="55"/>
  <c r="L339" i="55"/>
  <c r="K339" i="55"/>
  <c r="J339" i="55"/>
  <c r="I339" i="55"/>
  <c r="H339" i="55"/>
  <c r="G339" i="55"/>
  <c r="F339" i="55"/>
  <c r="AO329" i="55"/>
  <c r="AN329" i="55"/>
  <c r="AM329" i="55"/>
  <c r="AL329" i="55"/>
  <c r="AK329" i="55"/>
  <c r="AJ329" i="55"/>
  <c r="AI329" i="55"/>
  <c r="AH329" i="55"/>
  <c r="AG329" i="55"/>
  <c r="AF329" i="55"/>
  <c r="AE329" i="55"/>
  <c r="AD329" i="55"/>
  <c r="AC329" i="55"/>
  <c r="AB329" i="55"/>
  <c r="AA329" i="55"/>
  <c r="Z329" i="55"/>
  <c r="Y329" i="55"/>
  <c r="X329" i="55"/>
  <c r="W329" i="55"/>
  <c r="V329" i="55"/>
  <c r="U329" i="55"/>
  <c r="T329" i="55"/>
  <c r="S329" i="55"/>
  <c r="R329" i="55"/>
  <c r="Q329" i="55"/>
  <c r="P329" i="55"/>
  <c r="O329" i="55"/>
  <c r="N329" i="55"/>
  <c r="M329" i="55"/>
  <c r="L329" i="55"/>
  <c r="K329" i="55"/>
  <c r="J329" i="55"/>
  <c r="I329" i="55"/>
  <c r="H329" i="55"/>
  <c r="G329" i="55"/>
  <c r="F330" i="55"/>
  <c r="F329" i="55"/>
  <c r="F319" i="55"/>
  <c r="F221" i="55"/>
  <c r="F211" i="55"/>
  <c r="G201" i="55"/>
  <c r="F201" i="55"/>
  <c r="G191" i="55"/>
  <c r="F191" i="55"/>
  <c r="R31" i="95"/>
  <c r="R30" i="95"/>
  <c r="R29" i="95"/>
  <c r="R28" i="95"/>
  <c r="R27" i="95"/>
  <c r="R26" i="95"/>
  <c r="L13" i="22"/>
  <c r="L12" i="22"/>
  <c r="L11" i="22"/>
  <c r="L10" i="22"/>
  <c r="L9" i="22"/>
  <c r="F528" i="55"/>
  <c r="F524" i="55"/>
  <c r="F349" i="55"/>
  <c r="G319" i="55"/>
  <c r="AP60" i="55"/>
  <c r="AO60" i="55"/>
  <c r="AN60" i="55"/>
  <c r="AM60" i="55"/>
  <c r="AL60" i="55"/>
  <c r="AK60" i="55"/>
  <c r="AJ60" i="55"/>
  <c r="AI60" i="55"/>
  <c r="AH60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J60" i="55"/>
  <c r="I60" i="55"/>
  <c r="H60" i="55"/>
  <c r="O26" i="95"/>
  <c r="E56" i="59"/>
  <c r="T349" i="55"/>
  <c r="S349" i="55"/>
  <c r="R349" i="55"/>
  <c r="Q349" i="55"/>
  <c r="P349" i="55"/>
  <c r="O349" i="55"/>
  <c r="N349" i="55"/>
  <c r="M349" i="55"/>
  <c r="L349" i="55"/>
  <c r="K349" i="55"/>
  <c r="J349" i="55"/>
  <c r="I349" i="55"/>
  <c r="H349" i="55"/>
  <c r="G349" i="55"/>
  <c r="E319" i="61"/>
  <c r="D319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F534" i="55"/>
  <c r="T451" i="55"/>
  <c r="S451" i="55"/>
  <c r="R451" i="55"/>
  <c r="Q451" i="55"/>
  <c r="P451" i="55"/>
  <c r="O451" i="55"/>
  <c r="N451" i="55"/>
  <c r="M451" i="55"/>
  <c r="L451" i="55"/>
  <c r="K451" i="55"/>
  <c r="J451" i="55"/>
  <c r="I451" i="55"/>
  <c r="H451" i="55"/>
  <c r="F442" i="55"/>
  <c r="AO319" i="55"/>
  <c r="AN319" i="55"/>
  <c r="AM319" i="55"/>
  <c r="AL319" i="55"/>
  <c r="AK319" i="55"/>
  <c r="AJ319" i="55"/>
  <c r="AI319" i="55"/>
  <c r="AH319" i="55"/>
  <c r="AG319" i="55"/>
  <c r="AF319" i="55"/>
  <c r="AE319" i="55"/>
  <c r="AD319" i="55"/>
  <c r="AC319" i="55"/>
  <c r="AB319" i="55"/>
  <c r="AA319" i="55"/>
  <c r="Z319" i="55"/>
  <c r="Y319" i="55"/>
  <c r="X319" i="55"/>
  <c r="W319" i="55"/>
  <c r="V319" i="55"/>
  <c r="U319" i="55"/>
  <c r="T319" i="55"/>
  <c r="S319" i="55"/>
  <c r="R319" i="55"/>
  <c r="Q319" i="55"/>
  <c r="P319" i="55"/>
  <c r="O319" i="55"/>
  <c r="N319" i="55"/>
  <c r="M319" i="55"/>
  <c r="L319" i="55"/>
  <c r="K319" i="55"/>
  <c r="J319" i="55"/>
  <c r="I319" i="55"/>
  <c r="H319" i="55"/>
  <c r="F320" i="55"/>
  <c r="G211" i="55"/>
  <c r="F212" i="55"/>
  <c r="F202" i="55"/>
  <c r="AP88" i="55"/>
  <c r="AO88" i="55"/>
  <c r="AN88" i="55"/>
  <c r="AM88" i="55"/>
  <c r="AL88" i="55"/>
  <c r="AK88" i="55"/>
  <c r="AJ88" i="55"/>
  <c r="AI88" i="55"/>
  <c r="AH88" i="55"/>
  <c r="AG88" i="55"/>
  <c r="AF88" i="55"/>
  <c r="AE88" i="55"/>
  <c r="AD88" i="55"/>
  <c r="AC88" i="55"/>
  <c r="AB88" i="55"/>
  <c r="AA88" i="55"/>
  <c r="Z88" i="55"/>
  <c r="Y88" i="55"/>
  <c r="X88" i="55"/>
  <c r="W88" i="55"/>
  <c r="V88" i="55"/>
  <c r="U88" i="55"/>
  <c r="T88" i="55"/>
  <c r="S88" i="55"/>
  <c r="R88" i="55"/>
  <c r="Q88" i="55"/>
  <c r="P88" i="55"/>
  <c r="O88" i="55"/>
  <c r="N88" i="55"/>
  <c r="M88" i="55"/>
  <c r="L88" i="55"/>
  <c r="K88" i="55"/>
  <c r="J88" i="55"/>
  <c r="I88" i="55"/>
  <c r="H88" i="55"/>
  <c r="G88" i="55"/>
  <c r="AP58" i="55"/>
  <c r="AO58" i="55"/>
  <c r="AN58" i="55"/>
  <c r="AM58" i="55"/>
  <c r="AL58" i="55"/>
  <c r="AK58" i="55"/>
  <c r="AJ58" i="55"/>
  <c r="AI58" i="55"/>
  <c r="AH58" i="55"/>
  <c r="AG58" i="55"/>
  <c r="AF58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J58" i="55"/>
  <c r="I58" i="55"/>
  <c r="H58" i="55"/>
  <c r="AA201" i="55"/>
  <c r="Z201" i="55"/>
  <c r="Y201" i="55"/>
  <c r="X201" i="55"/>
  <c r="W201" i="55"/>
  <c r="V201" i="55"/>
  <c r="U201" i="55"/>
  <c r="T201" i="55"/>
  <c r="S201" i="55"/>
  <c r="R201" i="55"/>
  <c r="Q201" i="55"/>
  <c r="P201" i="55"/>
  <c r="O201" i="55"/>
  <c r="N201" i="55"/>
  <c r="M201" i="55"/>
  <c r="L201" i="55"/>
  <c r="K201" i="55"/>
  <c r="J201" i="55"/>
  <c r="I201" i="55"/>
  <c r="H201" i="55"/>
  <c r="E348" i="61"/>
  <c r="D349" i="61"/>
  <c r="D348" i="61"/>
  <c r="R325" i="61"/>
  <c r="Q325" i="61"/>
  <c r="P325" i="61"/>
  <c r="O325" i="61"/>
  <c r="N325" i="61"/>
  <c r="M325" i="61"/>
  <c r="L325" i="61"/>
  <c r="K325" i="61"/>
  <c r="J325" i="61"/>
  <c r="I325" i="61"/>
  <c r="H325" i="61"/>
  <c r="G325" i="61"/>
  <c r="F325" i="61"/>
  <c r="D320" i="61"/>
  <c r="R316" i="61"/>
  <c r="Q316" i="61"/>
  <c r="P316" i="61"/>
  <c r="O316" i="61"/>
  <c r="N316" i="61"/>
  <c r="M316" i="61"/>
  <c r="L316" i="61"/>
  <c r="K316" i="61"/>
  <c r="J316" i="61"/>
  <c r="I316" i="61"/>
  <c r="H316" i="61"/>
  <c r="G316" i="61"/>
  <c r="F316" i="61"/>
  <c r="R313" i="61"/>
  <c r="Q313" i="61"/>
  <c r="P313" i="61"/>
  <c r="O313" i="61"/>
  <c r="N313" i="61"/>
  <c r="M313" i="61"/>
  <c r="L313" i="61"/>
  <c r="K313" i="61"/>
  <c r="J313" i="61"/>
  <c r="I313" i="61"/>
  <c r="H313" i="61"/>
  <c r="G313" i="61"/>
  <c r="F313" i="61"/>
  <c r="E205" i="61"/>
  <c r="D206" i="61"/>
  <c r="D205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F440" i="55"/>
  <c r="C45" i="62"/>
  <c r="C14" i="98"/>
  <c r="C14" i="77"/>
  <c r="C8" i="36"/>
  <c r="AE29" i="97" l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R319" i="61"/>
  <c r="Q319" i="61"/>
  <c r="P319" i="61"/>
  <c r="O319" i="61"/>
  <c r="N319" i="61"/>
  <c r="M319" i="61"/>
  <c r="L319" i="61"/>
  <c r="K319" i="61"/>
  <c r="J319" i="61"/>
  <c r="I319" i="61"/>
  <c r="H319" i="61"/>
  <c r="G319" i="61"/>
  <c r="F319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E439" i="59"/>
  <c r="F438" i="59"/>
  <c r="E438" i="59"/>
  <c r="F432" i="59"/>
  <c r="E433" i="59"/>
  <c r="E432" i="59"/>
  <c r="F426" i="59"/>
  <c r="E427" i="59"/>
  <c r="E426" i="59"/>
  <c r="E366" i="59"/>
  <c r="R360" i="59"/>
  <c r="Q360" i="59"/>
  <c r="P360" i="59"/>
  <c r="O360" i="59"/>
  <c r="N360" i="59"/>
  <c r="M360" i="59"/>
  <c r="L360" i="59"/>
  <c r="K360" i="59"/>
  <c r="J360" i="59"/>
  <c r="I360" i="59"/>
  <c r="H360" i="59"/>
  <c r="G360" i="59"/>
  <c r="F360" i="59"/>
  <c r="E361" i="59"/>
  <c r="E360" i="59"/>
  <c r="F357" i="59"/>
  <c r="E358" i="59"/>
  <c r="E357" i="59"/>
  <c r="F354" i="59"/>
  <c r="E355" i="59"/>
  <c r="E354" i="59"/>
  <c r="R152" i="59"/>
  <c r="Q152" i="59"/>
  <c r="P152" i="59"/>
  <c r="O152" i="59"/>
  <c r="N152" i="59"/>
  <c r="M152" i="59"/>
  <c r="L152" i="59"/>
  <c r="K152" i="59"/>
  <c r="J152" i="59"/>
  <c r="I152" i="59"/>
  <c r="H152" i="59"/>
  <c r="G152" i="59"/>
  <c r="E153" i="59"/>
  <c r="F340" i="55"/>
  <c r="AP191" i="55"/>
  <c r="AO191" i="55"/>
  <c r="AN191" i="55"/>
  <c r="AM191" i="55"/>
  <c r="AL191" i="55"/>
  <c r="AK191" i="55"/>
  <c r="AJ191" i="55"/>
  <c r="AI191" i="55"/>
  <c r="AH191" i="55"/>
  <c r="AG191" i="55"/>
  <c r="AF191" i="55"/>
  <c r="AE191" i="55"/>
  <c r="AD191" i="55"/>
  <c r="AC191" i="55"/>
  <c r="AB191" i="55"/>
  <c r="AA191" i="55"/>
  <c r="Z191" i="55"/>
  <c r="Y191" i="55"/>
  <c r="X191" i="55"/>
  <c r="W191" i="55"/>
  <c r="V191" i="55"/>
  <c r="U191" i="55"/>
  <c r="T191" i="55"/>
  <c r="S191" i="55"/>
  <c r="R191" i="55"/>
  <c r="Q191" i="55"/>
  <c r="P191" i="55"/>
  <c r="O191" i="55"/>
  <c r="N191" i="55"/>
  <c r="M191" i="55"/>
  <c r="L191" i="55"/>
  <c r="K191" i="55"/>
  <c r="J191" i="55"/>
  <c r="I191" i="55"/>
  <c r="H19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G221" i="55"/>
  <c r="AA221" i="55"/>
  <c r="Z221" i="55"/>
  <c r="Y221" i="55"/>
  <c r="X221" i="55"/>
  <c r="W221" i="55"/>
  <c r="V221" i="55"/>
  <c r="U221" i="55"/>
  <c r="T221" i="55"/>
  <c r="S221" i="55"/>
  <c r="R221" i="55"/>
  <c r="Q221" i="55"/>
  <c r="P221" i="55"/>
  <c r="O221" i="55"/>
  <c r="N221" i="55"/>
  <c r="M221" i="55"/>
  <c r="L221" i="55"/>
  <c r="K221" i="55"/>
  <c r="J221" i="55"/>
  <c r="I221" i="55"/>
  <c r="H221" i="55"/>
  <c r="F27" i="62" l="1"/>
  <c r="AC10" i="97" l="1"/>
  <c r="L31" i="36"/>
  <c r="M31" i="36"/>
  <c r="N31" i="36"/>
  <c r="O31" i="36"/>
  <c r="K31" i="36"/>
  <c r="L12" i="79"/>
  <c r="L10" i="79"/>
  <c r="L11" i="79"/>
  <c r="L13" i="79"/>
  <c r="AO528" i="55"/>
  <c r="AN528" i="55"/>
  <c r="AM528" i="55"/>
  <c r="AL528" i="55"/>
  <c r="AK528" i="55"/>
  <c r="AJ528" i="55"/>
  <c r="AI528" i="55"/>
  <c r="AH528" i="55"/>
  <c r="AG528" i="55"/>
  <c r="AF528" i="55"/>
  <c r="AE528" i="55"/>
  <c r="AD528" i="55"/>
  <c r="AC528" i="55"/>
  <c r="AB528" i="55"/>
  <c r="AA528" i="55"/>
  <c r="Z528" i="55"/>
  <c r="Y528" i="55"/>
  <c r="X528" i="55"/>
  <c r="W528" i="55"/>
  <c r="V528" i="55"/>
  <c r="U528" i="55"/>
  <c r="T528" i="55"/>
  <c r="S528" i="55"/>
  <c r="R528" i="55"/>
  <c r="Q528" i="55"/>
  <c r="P528" i="55"/>
  <c r="O528" i="55"/>
  <c r="N528" i="55"/>
  <c r="M528" i="55"/>
  <c r="L528" i="55"/>
  <c r="K528" i="55"/>
  <c r="J528" i="55"/>
  <c r="I528" i="55"/>
  <c r="H528" i="55"/>
  <c r="G528" i="55"/>
  <c r="F529" i="55"/>
  <c r="F514" i="55"/>
  <c r="Z449" i="55" l="1"/>
  <c r="Y449" i="55"/>
  <c r="X449" i="55"/>
  <c r="W449" i="55"/>
  <c r="V449" i="55"/>
  <c r="U449" i="55"/>
  <c r="T449" i="55"/>
  <c r="S449" i="55"/>
  <c r="R449" i="55"/>
  <c r="Q449" i="55"/>
  <c r="P449" i="55"/>
  <c r="O449" i="55"/>
  <c r="N449" i="55"/>
  <c r="M449" i="55"/>
  <c r="L449" i="55"/>
  <c r="K449" i="55"/>
  <c r="J449" i="55"/>
  <c r="I449" i="55"/>
  <c r="H449" i="55"/>
  <c r="Z461" i="55"/>
  <c r="Y461" i="55"/>
  <c r="X461" i="55"/>
  <c r="W461" i="55"/>
  <c r="V461" i="55"/>
  <c r="U461" i="55"/>
  <c r="T461" i="55"/>
  <c r="S461" i="55"/>
  <c r="R461" i="55"/>
  <c r="Q461" i="55"/>
  <c r="P461" i="55"/>
  <c r="O461" i="55"/>
  <c r="N461" i="55"/>
  <c r="M461" i="55"/>
  <c r="L461" i="55"/>
  <c r="K461" i="55"/>
  <c r="J461" i="55"/>
  <c r="I461" i="55"/>
  <c r="H461" i="55"/>
  <c r="F462" i="55"/>
  <c r="AA441" i="55"/>
  <c r="Z441" i="55"/>
  <c r="Y441" i="55"/>
  <c r="X441" i="55"/>
  <c r="W441" i="55"/>
  <c r="V441" i="55"/>
  <c r="U441" i="55"/>
  <c r="T441" i="55"/>
  <c r="S441" i="55"/>
  <c r="R441" i="55"/>
  <c r="Q441" i="55"/>
  <c r="P441" i="55"/>
  <c r="O441" i="55"/>
  <c r="N441" i="55"/>
  <c r="M441" i="55"/>
  <c r="L441" i="55"/>
  <c r="K441" i="55"/>
  <c r="J441" i="55"/>
  <c r="I441" i="55"/>
  <c r="H441" i="55"/>
  <c r="F192" i="55"/>
  <c r="E146" i="22"/>
  <c r="E145" i="22"/>
  <c r="E144" i="22"/>
  <c r="E143" i="22"/>
  <c r="E142" i="22"/>
  <c r="C7" i="36"/>
  <c r="C6" i="36"/>
  <c r="C5" i="36"/>
  <c r="C4" i="36"/>
  <c r="C3" i="36"/>
  <c r="H17" i="62" l="1"/>
  <c r="C17" i="62"/>
  <c r="C3" i="70" l="1"/>
  <c r="N44" i="70"/>
  <c r="M44" i="70"/>
  <c r="N43" i="70"/>
  <c r="M43" i="70"/>
  <c r="M45" i="70" s="1"/>
  <c r="L4" i="70"/>
  <c r="K4" i="70"/>
  <c r="J4" i="70"/>
  <c r="I4" i="70"/>
  <c r="H4" i="70"/>
  <c r="G4" i="70"/>
  <c r="F4" i="70"/>
  <c r="E4" i="70"/>
  <c r="D4" i="70"/>
  <c r="E3" i="70"/>
  <c r="F3" i="70"/>
  <c r="G3" i="70"/>
  <c r="H3" i="70"/>
  <c r="I3" i="70"/>
  <c r="J3" i="70"/>
  <c r="K3" i="70"/>
  <c r="L3" i="70"/>
  <c r="D45" i="70"/>
  <c r="C45" i="70"/>
  <c r="D3" i="70"/>
  <c r="C4" i="70"/>
  <c r="C79" i="62"/>
  <c r="C78" i="62"/>
  <c r="C77" i="62"/>
  <c r="C76" i="62"/>
  <c r="C75" i="62"/>
  <c r="E75" i="62" s="1"/>
  <c r="I142" i="85" s="1"/>
  <c r="C73" i="62"/>
  <c r="C72" i="62"/>
  <c r="C71" i="62"/>
  <c r="C70" i="62"/>
  <c r="C69" i="62"/>
  <c r="C68" i="62"/>
  <c r="C67" i="62"/>
  <c r="C66" i="62"/>
  <c r="C65" i="62"/>
  <c r="C63" i="62"/>
  <c r="E63" i="62" s="1"/>
  <c r="I142" i="97" s="1"/>
  <c r="C62" i="62"/>
  <c r="C64" i="62"/>
  <c r="E64" i="62" s="1"/>
  <c r="I35" i="62"/>
  <c r="I34" i="62"/>
  <c r="I33" i="62"/>
  <c r="I32" i="62"/>
  <c r="I23" i="62"/>
  <c r="G17" i="62"/>
  <c r="G3" i="62"/>
  <c r="G2" i="62"/>
  <c r="H2" i="62"/>
  <c r="H54" i="9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E62" i="62" l="1"/>
  <c r="C81" i="62"/>
  <c r="D63" i="62"/>
  <c r="I143" i="75"/>
  <c r="I142" i="79"/>
  <c r="I142" i="22"/>
  <c r="D62" i="62"/>
  <c r="D64" i="62"/>
  <c r="N45" i="70"/>
  <c r="N4" i="70"/>
  <c r="G5" i="70"/>
  <c r="D5" i="70"/>
  <c r="F5" i="70"/>
  <c r="M4" i="70"/>
  <c r="N3" i="70"/>
  <c r="C5" i="70"/>
  <c r="E5" i="70"/>
  <c r="M3" i="70"/>
  <c r="D75" i="62"/>
  <c r="I36" i="62"/>
  <c r="I35" i="96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K8" i="98"/>
  <c r="F3" i="98"/>
  <c r="D8" i="98"/>
  <c r="C4" i="98"/>
  <c r="C5" i="98"/>
  <c r="C6" i="98"/>
  <c r="C7" i="98"/>
  <c r="C8" i="98"/>
  <c r="C3" i="98"/>
  <c r="E143" i="97"/>
  <c r="E144" i="97"/>
  <c r="E145" i="97"/>
  <c r="E146" i="97"/>
  <c r="E142" i="97"/>
  <c r="L25" i="56"/>
  <c r="L129" i="97" s="1"/>
  <c r="L53" i="91" s="1"/>
  <c r="L24" i="56"/>
  <c r="L128" i="97" s="1"/>
  <c r="L23" i="56"/>
  <c r="L127" i="97" s="1"/>
  <c r="L22" i="56"/>
  <c r="L126" i="97" s="1"/>
  <c r="L21" i="56"/>
  <c r="L125" i="97" s="1"/>
  <c r="L49" i="91" s="1"/>
  <c r="L16" i="56"/>
  <c r="K129" i="97" s="1"/>
  <c r="L15" i="56"/>
  <c r="K128" i="97" s="1"/>
  <c r="K52" i="91" s="1"/>
  <c r="L14" i="56"/>
  <c r="K127" i="97" s="1"/>
  <c r="L13" i="56"/>
  <c r="K126" i="97" s="1"/>
  <c r="L7" i="56"/>
  <c r="D129" i="97" s="1"/>
  <c r="L6" i="56"/>
  <c r="D128" i="97" s="1"/>
  <c r="L5" i="56"/>
  <c r="D127" i="97" s="1"/>
  <c r="D51" i="91" s="1"/>
  <c r="L4" i="56"/>
  <c r="D126" i="97" s="1"/>
  <c r="D50" i="91" s="1"/>
  <c r="L3" i="56"/>
  <c r="D125" i="97" s="1"/>
  <c r="D49" i="91" s="1"/>
  <c r="L12" i="56"/>
  <c r="K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I128" i="97"/>
  <c r="I126" i="97"/>
  <c r="AG107" i="97"/>
  <c r="AH107" i="97" s="1"/>
  <c r="AF107" i="97"/>
  <c r="AF63" i="90" s="1"/>
  <c r="AD107" i="97"/>
  <c r="L107" i="97"/>
  <c r="L105" i="97"/>
  <c r="L104" i="97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AD29" i="97"/>
  <c r="Z29" i="97"/>
  <c r="AB29" i="97"/>
  <c r="Z28" i="97"/>
  <c r="X26" i="97"/>
  <c r="U26" i="97"/>
  <c r="L108" i="97"/>
  <c r="Z12" i="97"/>
  <c r="Z11" i="97"/>
  <c r="L106" i="97"/>
  <c r="Z10" i="97"/>
  <c r="X7" i="97"/>
  <c r="U7" i="97"/>
  <c r="K7" i="97"/>
  <c r="Y7" i="97" s="1"/>
  <c r="G7" i="97"/>
  <c r="G102" i="97" s="1"/>
  <c r="V102" i="97" s="1"/>
  <c r="D7" i="97"/>
  <c r="D6" i="97"/>
  <c r="D25" i="97" s="1"/>
  <c r="N3" i="97"/>
  <c r="N60" i="97" s="1"/>
  <c r="AD60" i="97" s="1"/>
  <c r="L45" i="70"/>
  <c r="K45" i="70"/>
  <c r="K5" i="70"/>
  <c r="J45" i="70"/>
  <c r="I45" i="70"/>
  <c r="H45" i="70"/>
  <c r="G45" i="70"/>
  <c r="F45" i="70"/>
  <c r="E45" i="70"/>
  <c r="G55" i="62"/>
  <c r="E73" i="62" s="1"/>
  <c r="I146" i="97" s="1"/>
  <c r="G45" i="62"/>
  <c r="E71" i="62" s="1"/>
  <c r="I145" i="97" s="1"/>
  <c r="F6" i="98" s="1"/>
  <c r="G36" i="62"/>
  <c r="E68" i="62" s="1"/>
  <c r="I144" i="97" s="1"/>
  <c r="F5" i="98" s="1"/>
  <c r="G27" i="62"/>
  <c r="E66" i="62" s="1"/>
  <c r="I143" i="97" s="1"/>
  <c r="F4" i="98" s="1"/>
  <c r="I13" i="62"/>
  <c r="G4" i="62"/>
  <c r="G5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Z71" i="97"/>
  <c r="I33" i="99"/>
  <c r="I52" i="91"/>
  <c r="I31" i="99"/>
  <c r="I50" i="91"/>
  <c r="AD12" i="99"/>
  <c r="AD63" i="90"/>
  <c r="L12" i="99"/>
  <c r="L63" i="90"/>
  <c r="L10" i="99"/>
  <c r="L61" i="90"/>
  <c r="L9" i="99"/>
  <c r="L60" i="90"/>
  <c r="L13" i="99"/>
  <c r="L64" i="90"/>
  <c r="L11" i="99"/>
  <c r="L62" i="90"/>
  <c r="D102" i="97"/>
  <c r="D7" i="99" s="1"/>
  <c r="D45" i="97"/>
  <c r="F7" i="98"/>
  <c r="I147" i="97"/>
  <c r="F8" i="98" s="1"/>
  <c r="K30" i="99"/>
  <c r="K49" i="91"/>
  <c r="D71" i="62"/>
  <c r="D68" i="62"/>
  <c r="D66" i="62"/>
  <c r="G7" i="99"/>
  <c r="V7" i="99" s="1"/>
  <c r="G26" i="97"/>
  <c r="V26" i="97" s="1"/>
  <c r="D63" i="97"/>
  <c r="M7" i="98"/>
  <c r="M6" i="98"/>
  <c r="M3" i="98"/>
  <c r="M4" i="98"/>
  <c r="M5" i="98"/>
  <c r="E6" i="98"/>
  <c r="E3" i="98"/>
  <c r="E5" i="98"/>
  <c r="E7" i="98"/>
  <c r="E4" i="98"/>
  <c r="AC106" i="97"/>
  <c r="AC11" i="99" s="1"/>
  <c r="AD10" i="97"/>
  <c r="J12" i="99"/>
  <c r="J10" i="99"/>
  <c r="K53" i="91"/>
  <c r="K34" i="99"/>
  <c r="L50" i="91"/>
  <c r="L31" i="99"/>
  <c r="K51" i="91"/>
  <c r="K32" i="99"/>
  <c r="K50" i="91"/>
  <c r="K31" i="99"/>
  <c r="L51" i="91"/>
  <c r="L32" i="99"/>
  <c r="L52" i="91"/>
  <c r="L33" i="99"/>
  <c r="K33" i="99"/>
  <c r="L34" i="99"/>
  <c r="L30" i="99"/>
  <c r="E131" i="97"/>
  <c r="E54" i="91"/>
  <c r="L8" i="98"/>
  <c r="E35" i="99"/>
  <c r="L9" i="98"/>
  <c r="M22" i="36" s="1"/>
  <c r="D73" i="62"/>
  <c r="G6" i="62"/>
  <c r="D52" i="91"/>
  <c r="D33" i="99"/>
  <c r="K6" i="98"/>
  <c r="D53" i="91"/>
  <c r="D34" i="99"/>
  <c r="K7" i="98"/>
  <c r="K5" i="98"/>
  <c r="K4" i="98"/>
  <c r="K3" i="98"/>
  <c r="D30" i="99"/>
  <c r="D31" i="99"/>
  <c r="D32" i="99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K29" i="97"/>
  <c r="M29" i="97" s="1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E271" i="59"/>
  <c r="F265" i="59"/>
  <c r="E266" i="59"/>
  <c r="AD30" i="97" s="1"/>
  <c r="E265" i="59"/>
  <c r="F259" i="59"/>
  <c r="E260" i="59"/>
  <c r="E259" i="59"/>
  <c r="AD28" i="97"/>
  <c r="E44" i="59"/>
  <c r="AB11" i="97"/>
  <c r="AD11" i="97"/>
  <c r="F9" i="98" l="1"/>
  <c r="G22" i="36" s="1"/>
  <c r="L14" i="99"/>
  <c r="L45" i="99" s="1"/>
  <c r="C15" i="98"/>
  <c r="D22" i="36"/>
  <c r="AD98" i="97"/>
  <c r="N3" i="99"/>
  <c r="AD3" i="99" s="1"/>
  <c r="Y102" i="97"/>
  <c r="K7" i="99"/>
  <c r="Y7" i="99" s="1"/>
  <c r="J52" i="91"/>
  <c r="J33" i="99"/>
  <c r="J50" i="91"/>
  <c r="J31" i="99"/>
  <c r="K145" i="97"/>
  <c r="H52" i="91"/>
  <c r="H33" i="99"/>
  <c r="K146" i="97"/>
  <c r="H53" i="91"/>
  <c r="H34" i="99"/>
  <c r="K143" i="97"/>
  <c r="H50" i="91"/>
  <c r="H31" i="99"/>
  <c r="AC62" i="90"/>
  <c r="G61" i="90"/>
  <c r="G10" i="99"/>
  <c r="J145" i="97"/>
  <c r="G52" i="91"/>
  <c r="G33" i="99"/>
  <c r="D6" i="98"/>
  <c r="F61" i="90"/>
  <c r="F10" i="99"/>
  <c r="U63" i="90"/>
  <c r="U12" i="99"/>
  <c r="G63" i="90"/>
  <c r="G12" i="99"/>
  <c r="D61" i="90"/>
  <c r="D10" i="99"/>
  <c r="I4" i="98"/>
  <c r="AE63" i="90"/>
  <c r="AE12" i="99"/>
  <c r="AD105" i="97"/>
  <c r="AE61" i="90"/>
  <c r="AE10" i="99"/>
  <c r="J143" i="97"/>
  <c r="G50" i="91"/>
  <c r="G31" i="99"/>
  <c r="D4" i="98"/>
  <c r="J142" i="97"/>
  <c r="G49" i="91"/>
  <c r="G30" i="99"/>
  <c r="D3" i="98"/>
  <c r="F63" i="90"/>
  <c r="F12" i="99"/>
  <c r="J144" i="97"/>
  <c r="G51" i="91"/>
  <c r="D5" i="98"/>
  <c r="G32" i="99"/>
  <c r="AA61" i="90"/>
  <c r="AA10" i="99"/>
  <c r="N63" i="90"/>
  <c r="J6" i="98"/>
  <c r="N12" i="99"/>
  <c r="D63" i="90"/>
  <c r="D12" i="99"/>
  <c r="I6" i="98"/>
  <c r="U61" i="90"/>
  <c r="U10" i="99"/>
  <c r="AC63" i="90"/>
  <c r="AC12" i="99"/>
  <c r="H63" i="90"/>
  <c r="H12" i="99"/>
  <c r="Z63" i="90"/>
  <c r="Z12" i="99"/>
  <c r="I61" i="90"/>
  <c r="I10" i="99"/>
  <c r="W63" i="90"/>
  <c r="W12" i="99"/>
  <c r="V61" i="90"/>
  <c r="V10" i="99"/>
  <c r="I63" i="90"/>
  <c r="I12" i="99"/>
  <c r="J146" i="97"/>
  <c r="G53" i="91"/>
  <c r="D7" i="98"/>
  <c r="G34" i="99"/>
  <c r="X61" i="90"/>
  <c r="X10" i="99"/>
  <c r="X63" i="90"/>
  <c r="X12" i="99"/>
  <c r="Y61" i="90"/>
  <c r="Y10" i="99"/>
  <c r="W61" i="90"/>
  <c r="W10" i="99"/>
  <c r="AB61" i="90"/>
  <c r="AB10" i="99"/>
  <c r="Y63" i="90"/>
  <c r="Y12" i="99"/>
  <c r="AC61" i="90"/>
  <c r="AC10" i="99"/>
  <c r="E61" i="90"/>
  <c r="E10" i="99"/>
  <c r="AA63" i="90"/>
  <c r="AA12" i="99"/>
  <c r="V63" i="90"/>
  <c r="V12" i="99"/>
  <c r="N61" i="90"/>
  <c r="N10" i="99"/>
  <c r="J4" i="98"/>
  <c r="E63" i="90"/>
  <c r="E12" i="99"/>
  <c r="H61" i="90"/>
  <c r="H10" i="99"/>
  <c r="Z61" i="90"/>
  <c r="Z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G55" i="91" s="1"/>
  <c r="Z14" i="97"/>
  <c r="AD33" i="97"/>
  <c r="E272" i="59"/>
  <c r="AO459" i="55"/>
  <c r="AN459" i="55"/>
  <c r="AM459" i="55"/>
  <c r="AL459" i="55"/>
  <c r="AK459" i="55"/>
  <c r="AJ459" i="55"/>
  <c r="AI459" i="55"/>
  <c r="AH459" i="55"/>
  <c r="AG459" i="55"/>
  <c r="AF459" i="55"/>
  <c r="AE459" i="55"/>
  <c r="AD459" i="55"/>
  <c r="AC459" i="55"/>
  <c r="AB459" i="55"/>
  <c r="AA459" i="55"/>
  <c r="Z459" i="55"/>
  <c r="Y459" i="55"/>
  <c r="X459" i="55"/>
  <c r="W459" i="55"/>
  <c r="V459" i="55"/>
  <c r="U459" i="55"/>
  <c r="T459" i="55"/>
  <c r="S459" i="55"/>
  <c r="R459" i="55"/>
  <c r="Q459" i="55"/>
  <c r="P459" i="55"/>
  <c r="O459" i="55"/>
  <c r="N459" i="55"/>
  <c r="M459" i="55"/>
  <c r="L459" i="55"/>
  <c r="K459" i="55"/>
  <c r="J459" i="55"/>
  <c r="I459" i="55"/>
  <c r="H459" i="55"/>
  <c r="J147" i="97" l="1"/>
  <c r="M105" i="97"/>
  <c r="K61" i="90"/>
  <c r="AD61" i="90"/>
  <c r="AD10" i="99"/>
  <c r="AB63" i="90"/>
  <c r="AB12" i="99"/>
  <c r="AF105" i="97"/>
  <c r="AF61" i="90" s="1"/>
  <c r="M107" i="97"/>
  <c r="K63" i="90"/>
  <c r="AF11" i="97"/>
  <c r="AG11" i="97" s="1"/>
  <c r="AH11" i="97" s="1"/>
  <c r="K13" i="97"/>
  <c r="M13" i="97" s="1"/>
  <c r="O13" i="97" s="1"/>
  <c r="AB13" i="97"/>
  <c r="M52" i="97"/>
  <c r="O47" i="97"/>
  <c r="O105" i="97" l="1"/>
  <c r="M61" i="90"/>
  <c r="O107" i="97"/>
  <c r="O63" i="90" s="1"/>
  <c r="M63" i="90"/>
  <c r="AD68" i="97"/>
  <c r="O52" i="97"/>
  <c r="AG47" i="97"/>
  <c r="AD70" i="97"/>
  <c r="O61" i="90" l="1"/>
  <c r="AG105" i="97"/>
  <c r="AH105" i="97" s="1"/>
  <c r="AG52" i="97"/>
  <c r="AH52" i="97" s="1"/>
  <c r="AH47" i="97"/>
  <c r="AO439" i="55"/>
  <c r="AN439" i="55"/>
  <c r="AM439" i="55"/>
  <c r="AL439" i="55"/>
  <c r="AK439" i="55"/>
  <c r="AJ439" i="55"/>
  <c r="AI439" i="55"/>
  <c r="AH439" i="55"/>
  <c r="AG439" i="55"/>
  <c r="AF439" i="55"/>
  <c r="AE439" i="55"/>
  <c r="AD439" i="55"/>
  <c r="AC439" i="55"/>
  <c r="AB439" i="55"/>
  <c r="AA439" i="55"/>
  <c r="Z439" i="55"/>
  <c r="Y439" i="55"/>
  <c r="X439" i="55"/>
  <c r="W439" i="55"/>
  <c r="V439" i="55"/>
  <c r="U439" i="55"/>
  <c r="T439" i="55"/>
  <c r="S439" i="55"/>
  <c r="R439" i="55"/>
  <c r="Q439" i="55"/>
  <c r="P439" i="55"/>
  <c r="O439" i="55"/>
  <c r="N439" i="55"/>
  <c r="M439" i="55"/>
  <c r="L439" i="55"/>
  <c r="K439" i="55"/>
  <c r="J439" i="55"/>
  <c r="I439" i="55"/>
  <c r="H439" i="55"/>
  <c r="N14" i="97" l="1"/>
  <c r="U14" i="97"/>
  <c r="H14" i="97"/>
  <c r="V14" i="97"/>
  <c r="I14" i="97"/>
  <c r="W14" i="97"/>
  <c r="X14" i="97"/>
  <c r="Y14" i="97"/>
  <c r="F14" i="97"/>
  <c r="K9" i="97"/>
  <c r="G14" i="97"/>
  <c r="O27" i="95"/>
  <c r="O28" i="95"/>
  <c r="O29" i="95"/>
  <c r="O30" i="95"/>
  <c r="N31" i="95"/>
  <c r="O31" i="95" s="1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K14" i="97" l="1"/>
  <c r="M9" i="97"/>
  <c r="AC14" i="97"/>
  <c r="AA14" i="97"/>
  <c r="Y16" i="97"/>
  <c r="AB14" i="97"/>
  <c r="K32" i="9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AF14" i="97" l="1"/>
  <c r="AG9" i="97"/>
  <c r="AH9" i="97" l="1"/>
  <c r="AG14" i="97"/>
  <c r="AH14" i="97" s="1"/>
  <c r="F366" i="59" l="1"/>
  <c r="E367" i="59"/>
  <c r="F271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C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C50" i="22"/>
  <c r="AA47" i="22"/>
  <c r="AA49" i="22"/>
  <c r="AC47" i="22"/>
  <c r="AC49" i="22"/>
  <c r="AA50" i="22"/>
  <c r="L14" i="22"/>
  <c r="AH28" i="97" l="1"/>
  <c r="AC13" i="85"/>
  <c r="AA13" i="85"/>
  <c r="AC12" i="85" l="1"/>
  <c r="AA13" i="79"/>
  <c r="AA12" i="85"/>
  <c r="AC13" i="79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AB68" i="97" l="1"/>
  <c r="J127" i="97"/>
  <c r="G144" i="97"/>
  <c r="K68" i="97"/>
  <c r="M68" i="97" s="1"/>
  <c r="O68" i="97" s="1"/>
  <c r="R271" i="59"/>
  <c r="Q271" i="59"/>
  <c r="P271" i="59"/>
  <c r="O271" i="59"/>
  <c r="N271" i="59"/>
  <c r="M271" i="59"/>
  <c r="L271" i="59"/>
  <c r="K271" i="59"/>
  <c r="J271" i="59"/>
  <c r="I271" i="59"/>
  <c r="H271" i="59"/>
  <c r="G271" i="59"/>
  <c r="R265" i="59"/>
  <c r="Q265" i="59"/>
  <c r="P265" i="59"/>
  <c r="O265" i="59"/>
  <c r="N265" i="59"/>
  <c r="M265" i="59"/>
  <c r="L265" i="59"/>
  <c r="K265" i="59"/>
  <c r="J265" i="59"/>
  <c r="I265" i="59"/>
  <c r="H265" i="59"/>
  <c r="G265" i="59"/>
  <c r="R259" i="59"/>
  <c r="Q259" i="59"/>
  <c r="P259" i="59"/>
  <c r="O259" i="59"/>
  <c r="N259" i="59"/>
  <c r="M259" i="59"/>
  <c r="L259" i="59"/>
  <c r="K259" i="59"/>
  <c r="J259" i="59"/>
  <c r="I259" i="59"/>
  <c r="H259" i="59"/>
  <c r="G259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E8" i="98" s="1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H55" i="91" s="1"/>
  <c r="AC10" i="75"/>
  <c r="O30" i="97" l="1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G33" i="97" s="1"/>
  <c r="AH33" i="97" s="1"/>
  <c r="AA12" i="22"/>
  <c r="AC12" i="22"/>
  <c r="AH30" i="97" l="1"/>
  <c r="AB66" i="97"/>
  <c r="G142" i="97"/>
  <c r="J125" i="97"/>
  <c r="K66" i="97"/>
  <c r="AA104" i="97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J49" i="91" l="1"/>
  <c r="J30" i="99"/>
  <c r="AA60" i="90"/>
  <c r="AA9" i="99"/>
  <c r="AF66" i="97"/>
  <c r="M66" i="97"/>
  <c r="R348" i="61"/>
  <c r="Q348" i="61"/>
  <c r="P348" i="61"/>
  <c r="O348" i="61"/>
  <c r="N348" i="61"/>
  <c r="M348" i="61"/>
  <c r="L348" i="61"/>
  <c r="K348" i="61"/>
  <c r="J348" i="61"/>
  <c r="I348" i="61"/>
  <c r="H348" i="61"/>
  <c r="G348" i="61"/>
  <c r="F348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M8" i="98" s="1"/>
  <c r="U71" i="97"/>
  <c r="O66" i="97"/>
  <c r="I71" i="97"/>
  <c r="F71" i="97"/>
  <c r="AA10" i="85"/>
  <c r="J131" i="97" l="1"/>
  <c r="J55" i="91" s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C14" i="36"/>
  <c r="N8" i="98" l="1"/>
  <c r="AF71" i="97"/>
  <c r="O70" i="97"/>
  <c r="O71" i="97" s="1"/>
  <c r="M71" i="97"/>
  <c r="AH66" i="97"/>
  <c r="D362" i="61"/>
  <c r="R432" i="59"/>
  <c r="Q432" i="59"/>
  <c r="P432" i="59"/>
  <c r="O432" i="59"/>
  <c r="N432" i="59"/>
  <c r="M432" i="59"/>
  <c r="L432" i="59"/>
  <c r="K432" i="59"/>
  <c r="J432" i="59"/>
  <c r="I432" i="59"/>
  <c r="H432" i="59"/>
  <c r="G432" i="59"/>
  <c r="D33" i="58"/>
  <c r="D31" i="58"/>
  <c r="AG70" i="97" l="1"/>
  <c r="E130" i="22"/>
  <c r="C4" i="83"/>
  <c r="C5" i="83"/>
  <c r="C6" i="83"/>
  <c r="C7" i="83"/>
  <c r="C8" i="83"/>
  <c r="C3" i="83"/>
  <c r="E143" i="85"/>
  <c r="E144" i="85"/>
  <c r="E145" i="85"/>
  <c r="E146" i="85"/>
  <c r="E142" i="85"/>
  <c r="E130" i="85"/>
  <c r="C4" i="80"/>
  <c r="C5" i="80"/>
  <c r="C6" i="80"/>
  <c r="C7" i="80"/>
  <c r="C8" i="80"/>
  <c r="C3" i="80"/>
  <c r="E143" i="79"/>
  <c r="E144" i="79"/>
  <c r="E145" i="79"/>
  <c r="E146" i="79"/>
  <c r="E142" i="79"/>
  <c r="E130" i="79"/>
  <c r="C4" i="77"/>
  <c r="C5" i="77"/>
  <c r="C6" i="77"/>
  <c r="C7" i="77"/>
  <c r="C8" i="77"/>
  <c r="C3" i="77"/>
  <c r="E143" i="75"/>
  <c r="E144" i="75"/>
  <c r="E145" i="75"/>
  <c r="E146" i="75"/>
  <c r="E142" i="75"/>
  <c r="E130" i="75"/>
  <c r="AH70" i="97" l="1"/>
  <c r="AG71" i="97"/>
  <c r="AH71" i="97" s="1"/>
  <c r="U44" i="69" l="1"/>
  <c r="U25" i="69"/>
  <c r="U6" i="69"/>
  <c r="H7" i="64"/>
  <c r="H6" i="64"/>
  <c r="H5" i="64"/>
  <c r="H4" i="64"/>
  <c r="H3" i="64"/>
  <c r="H9" i="64" s="1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10" i="67"/>
  <c r="C11" i="67"/>
  <c r="C10" i="67"/>
  <c r="D62" i="68"/>
  <c r="C63" i="68"/>
  <c r="C62" i="68"/>
  <c r="D49" i="68"/>
  <c r="C50" i="68"/>
  <c r="C49" i="68"/>
  <c r="D36" i="68"/>
  <c r="C37" i="68"/>
  <c r="C36" i="68"/>
  <c r="D23" i="68"/>
  <c r="C24" i="68"/>
  <c r="C23" i="68"/>
  <c r="D10" i="68"/>
  <c r="C11" i="68"/>
  <c r="C10" i="68"/>
  <c r="R357" i="59"/>
  <c r="Q357" i="59"/>
  <c r="P357" i="59"/>
  <c r="O357" i="59"/>
  <c r="N357" i="59"/>
  <c r="M357" i="59"/>
  <c r="L357" i="59"/>
  <c r="K357" i="59"/>
  <c r="J357" i="59"/>
  <c r="I357" i="59"/>
  <c r="H357" i="59"/>
  <c r="G357" i="59"/>
  <c r="H10" i="64" l="1"/>
  <c r="F45" i="62"/>
  <c r="E69" i="62" s="1"/>
  <c r="I145" i="75" s="1"/>
  <c r="D69" i="62" l="1"/>
  <c r="AC32" i="22"/>
  <c r="E362" i="61"/>
  <c r="D363" i="61"/>
  <c r="AC66" i="22" l="1"/>
  <c r="F35" i="71"/>
  <c r="D101" i="22" l="1"/>
  <c r="D13" i="70"/>
  <c r="C13" i="70"/>
  <c r="D21" i="70" l="1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2" i="61"/>
  <c r="Q362" i="61"/>
  <c r="P362" i="61"/>
  <c r="O362" i="61"/>
  <c r="N362" i="61"/>
  <c r="M362" i="61"/>
  <c r="L362" i="61"/>
  <c r="K362" i="61"/>
  <c r="J362" i="61"/>
  <c r="I362" i="61"/>
  <c r="H362" i="61"/>
  <c r="G362" i="61"/>
  <c r="F362" i="61"/>
  <c r="R366" i="59"/>
  <c r="Q366" i="59"/>
  <c r="P366" i="59"/>
  <c r="O366" i="59"/>
  <c r="N366" i="59"/>
  <c r="M366" i="59"/>
  <c r="L366" i="59"/>
  <c r="K366" i="59"/>
  <c r="J366" i="59"/>
  <c r="I366" i="59"/>
  <c r="H366" i="59"/>
  <c r="G366" i="59"/>
  <c r="R354" i="59"/>
  <c r="Q354" i="59"/>
  <c r="P354" i="59"/>
  <c r="O354" i="59"/>
  <c r="N354" i="59"/>
  <c r="M354" i="59"/>
  <c r="L354" i="59"/>
  <c r="K354" i="59"/>
  <c r="J354" i="59"/>
  <c r="I354" i="59"/>
  <c r="H354" i="59"/>
  <c r="G354" i="59"/>
  <c r="G33" i="58" l="1"/>
  <c r="E69" i="66"/>
  <c r="E69" i="71"/>
  <c r="E69" i="58"/>
  <c r="F7" i="64" l="1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O36" i="67" l="1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O36" i="68"/>
  <c r="N36" i="68"/>
  <c r="M36" i="68"/>
  <c r="L36" i="68"/>
  <c r="K36" i="68"/>
  <c r="J36" i="68"/>
  <c r="I36" i="68"/>
  <c r="H36" i="68"/>
  <c r="G36" i="68"/>
  <c r="F36" i="68"/>
  <c r="E36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H45" i="62" l="1"/>
  <c r="E78" i="62" s="1"/>
  <c r="I145" i="85" s="1"/>
  <c r="D78" i="62" l="1"/>
  <c r="H27" i="62" l="1"/>
  <c r="E76" i="62" s="1"/>
  <c r="I143" i="85" s="1"/>
  <c r="D76" i="62" l="1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3" i="64"/>
  <c r="F9" i="64" l="1"/>
  <c r="F13" i="64" s="1"/>
  <c r="F12" i="64" l="1"/>
  <c r="C8" i="87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E67" i="62" s="1"/>
  <c r="I146" i="79" l="1"/>
  <c r="I144" i="79"/>
  <c r="D72" i="62"/>
  <c r="D67" i="62"/>
  <c r="N47" i="22"/>
  <c r="G125" i="22" s="1"/>
  <c r="I47" i="22"/>
  <c r="H47" i="22"/>
  <c r="G47" i="22"/>
  <c r="F47" i="22"/>
  <c r="K47" i="22" l="1"/>
  <c r="M47" i="22" s="1"/>
  <c r="O47" i="22" l="1"/>
  <c r="N51" i="22"/>
  <c r="I51" i="22"/>
  <c r="H51" i="22"/>
  <c r="G51" i="22"/>
  <c r="F51" i="22"/>
  <c r="E49" i="22"/>
  <c r="D49" i="22"/>
  <c r="D52" i="22" s="1"/>
  <c r="K51" i="22" l="1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O62" i="68"/>
  <c r="N62" i="68"/>
  <c r="M62" i="68"/>
  <c r="L62" i="68"/>
  <c r="K62" i="68"/>
  <c r="J62" i="68"/>
  <c r="I62" i="68"/>
  <c r="H62" i="68"/>
  <c r="G62" i="68"/>
  <c r="F62" i="68"/>
  <c r="E62" i="68"/>
  <c r="P49" i="68" l="1"/>
  <c r="O49" i="68"/>
  <c r="N49" i="68"/>
  <c r="M49" i="68"/>
  <c r="L49" i="68"/>
  <c r="K49" i="68"/>
  <c r="J49" i="68"/>
  <c r="I49" i="68"/>
  <c r="H49" i="68"/>
  <c r="G49" i="68"/>
  <c r="F49" i="68"/>
  <c r="E49" i="68"/>
  <c r="U6" i="88" l="1"/>
  <c r="U6" i="82"/>
  <c r="U6" i="81"/>
  <c r="U6" i="76"/>
  <c r="U6" i="39"/>
  <c r="F5" i="80" l="1"/>
  <c r="F7" i="80"/>
  <c r="F3" i="80"/>
  <c r="K87" i="75" l="1"/>
  <c r="M87" i="75" s="1"/>
  <c r="H36" i="62" l="1"/>
  <c r="E77" i="62" s="1"/>
  <c r="I144" i="22" l="1"/>
  <c r="I144" i="85"/>
  <c r="D77" i="62"/>
  <c r="N36" i="70"/>
  <c r="M36" i="70"/>
  <c r="N35" i="70"/>
  <c r="N20" i="70"/>
  <c r="M20" i="70"/>
  <c r="N19" i="70"/>
  <c r="M19" i="70"/>
  <c r="N11" i="70"/>
  <c r="M37" i="70" l="1"/>
  <c r="I52" i="62" l="1"/>
  <c r="H55" i="62"/>
  <c r="E79" i="62" s="1"/>
  <c r="I146" i="22" l="1"/>
  <c r="I146" i="85"/>
  <c r="D79" i="62"/>
  <c r="I54" i="62"/>
  <c r="I53" i="62"/>
  <c r="I51" i="62"/>
  <c r="J51" i="62" s="1"/>
  <c r="I44" i="62"/>
  <c r="I43" i="62"/>
  <c r="I42" i="62"/>
  <c r="I41" i="62"/>
  <c r="I26" i="62"/>
  <c r="I25" i="62"/>
  <c r="I24" i="62"/>
  <c r="I16" i="62"/>
  <c r="I15" i="62"/>
  <c r="I14" i="62"/>
  <c r="F55" i="62"/>
  <c r="E55" i="62"/>
  <c r="D55" i="62"/>
  <c r="E45" i="62"/>
  <c r="D45" i="62"/>
  <c r="E70" i="62"/>
  <c r="F36" i="62"/>
  <c r="E36" i="62"/>
  <c r="D36" i="62"/>
  <c r="E27" i="62"/>
  <c r="D27" i="62"/>
  <c r="C27" i="62"/>
  <c r="E65" i="62" s="1"/>
  <c r="I143" i="22" s="1"/>
  <c r="F17" i="62"/>
  <c r="E17" i="62"/>
  <c r="D17" i="62"/>
  <c r="I145" i="79" l="1"/>
  <c r="F6" i="80" s="1"/>
  <c r="I145" i="22"/>
  <c r="I143" i="79"/>
  <c r="I17" i="62"/>
  <c r="D70" i="62"/>
  <c r="D65" i="62"/>
  <c r="C3" i="56"/>
  <c r="I45" i="62"/>
  <c r="I27" i="62"/>
  <c r="I55" i="62"/>
  <c r="I147" i="22" l="1"/>
  <c r="F4" i="80"/>
  <c r="I147" i="79"/>
  <c r="O30" i="36" s="1"/>
  <c r="D31" i="66"/>
  <c r="E31" i="66"/>
  <c r="F31" i="66"/>
  <c r="G31" i="66"/>
  <c r="D33" i="66"/>
  <c r="E33" i="66"/>
  <c r="F33" i="66"/>
  <c r="G33" i="66"/>
  <c r="D35" i="66"/>
  <c r="E35" i="66"/>
  <c r="F35" i="66"/>
  <c r="G35" i="66"/>
  <c r="I35" i="66"/>
  <c r="J35" i="66"/>
  <c r="X125" i="90" l="1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3"/>
  <c r="C14" i="80"/>
  <c r="C9" i="36"/>
  <c r="L97" i="91" l="1"/>
  <c r="K97" i="91"/>
  <c r="J97" i="91"/>
  <c r="I97" i="91"/>
  <c r="G97" i="91"/>
  <c r="E96" i="91"/>
  <c r="H97" i="91"/>
  <c r="E95" i="91"/>
  <c r="E94" i="91"/>
  <c r="E93" i="91"/>
  <c r="E92" i="91"/>
  <c r="D97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J35" i="71"/>
  <c r="I35" i="71"/>
  <c r="G35" i="71"/>
  <c r="E35" i="71"/>
  <c r="D35" i="71"/>
  <c r="G33" i="71"/>
  <c r="F33" i="71"/>
  <c r="E33" i="71"/>
  <c r="D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68" i="85"/>
  <c r="F6" i="36" l="1"/>
  <c r="F3" i="36"/>
  <c r="F4" i="36"/>
  <c r="AA70" i="79"/>
  <c r="AA70" i="22"/>
  <c r="AC14" i="22" l="1"/>
  <c r="AC70" i="22"/>
  <c r="AC70" i="79"/>
  <c r="AC68" i="75"/>
  <c r="AC67" i="22" l="1"/>
  <c r="J27" i="62"/>
  <c r="F7" i="77" l="1"/>
  <c r="F6" i="77"/>
  <c r="F4" i="77"/>
  <c r="F3" i="77"/>
  <c r="AA70" i="85" l="1"/>
  <c r="AC32" i="85"/>
  <c r="AC70" i="85" l="1"/>
  <c r="AC69" i="75"/>
  <c r="AC67" i="75"/>
  <c r="Z349" i="55"/>
  <c r="Y349" i="55"/>
  <c r="X349" i="55"/>
  <c r="AA70" i="75" l="1"/>
  <c r="AC69" i="22" l="1"/>
  <c r="AA69" i="22"/>
  <c r="AA67" i="75"/>
  <c r="AA67" i="22"/>
  <c r="L29" i="70" l="1"/>
  <c r="K29" i="70"/>
  <c r="K6" i="70" s="1"/>
  <c r="J29" i="70"/>
  <c r="I29" i="70"/>
  <c r="H29" i="70"/>
  <c r="G29" i="70"/>
  <c r="G6" i="70" s="1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E13" i="69" l="1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AA89" i="97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108" i="97" l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9" i="80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108" i="22"/>
  <c r="AC107" i="22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22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K128" i="75" s="1"/>
  <c r="F14" i="56"/>
  <c r="K127" i="75" s="1"/>
  <c r="F13" i="56"/>
  <c r="K126" i="75" s="1"/>
  <c r="F12" i="56"/>
  <c r="K125" i="75" l="1"/>
  <c r="F17" i="56"/>
  <c r="K125" i="79"/>
  <c r="K34" i="76"/>
  <c r="K25" i="91"/>
  <c r="K33" i="76"/>
  <c r="K24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0" i="76" l="1"/>
  <c r="K36" i="76" s="1"/>
  <c r="K21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J5" i="70"/>
  <c r="J6" i="70" s="1"/>
  <c r="I5" i="70"/>
  <c r="I6" i="70" s="1"/>
  <c r="H5" i="70"/>
  <c r="H6" i="70" s="1"/>
  <c r="I6" i="62" l="1"/>
  <c r="D81" i="62" s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AE104" i="75" l="1"/>
  <c r="I17" i="56"/>
  <c r="I18" i="56" s="1"/>
  <c r="D145" i="97"/>
  <c r="L145" i="97" s="1"/>
  <c r="M145" i="97" s="1"/>
  <c r="D128" i="79"/>
  <c r="O33" i="36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G24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AA107" i="79"/>
  <c r="W105" i="79"/>
  <c r="AE107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145" i="79" l="1"/>
  <c r="D55" i="91"/>
  <c r="I31" i="36"/>
  <c r="P31" i="36" s="1"/>
  <c r="G143" i="22"/>
  <c r="J126" i="22"/>
  <c r="J7" i="91" s="1"/>
  <c r="L39" i="9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55" i="91" s="1"/>
  <c r="K36" i="99"/>
  <c r="K46" i="99" s="1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D24" i="36"/>
  <c r="D25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AF10" i="99" l="1"/>
  <c r="J94" i="91"/>
  <c r="J95" i="91"/>
  <c r="J96" i="91"/>
  <c r="J92" i="91"/>
  <c r="J93" i="91"/>
  <c r="H92" i="91"/>
  <c r="L46" i="99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L145" i="79"/>
  <c r="M145" i="79" s="1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AG10" i="99" l="1"/>
  <c r="AH10" i="99" s="1"/>
  <c r="J98" i="91"/>
  <c r="N33" i="36"/>
  <c r="L33" i="36"/>
  <c r="G69" i="91"/>
  <c r="K32" i="36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K33" i="36" l="1"/>
  <c r="AG71" i="85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87" i="97" s="1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89" i="79" l="1"/>
  <c r="G89" i="97"/>
  <c r="G108" i="97" s="1"/>
  <c r="G85" i="79"/>
  <c r="G104" i="79" s="1"/>
  <c r="G85" i="97"/>
  <c r="G11" i="99"/>
  <c r="G62" i="90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9" i="81" l="1"/>
  <c r="G43" i="90"/>
  <c r="G64" i="90"/>
  <c r="G13" i="99"/>
  <c r="G104" i="97"/>
  <c r="G90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109" i="97" l="1"/>
  <c r="G65" i="90" s="1"/>
  <c r="G9" i="99"/>
  <c r="G60" i="90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F6" i="39" l="1"/>
  <c r="AA30" i="69" l="1"/>
  <c r="Y30" i="69"/>
  <c r="X30" i="69"/>
  <c r="W30" i="69"/>
  <c r="V30" i="69"/>
  <c r="AD31" i="69" l="1"/>
  <c r="AA48" i="69" l="1"/>
  <c r="D30" i="76" l="1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A87" i="97" s="1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J89" i="79" l="1"/>
  <c r="J89" i="97"/>
  <c r="J108" i="97" s="1"/>
  <c r="J87" i="79"/>
  <c r="J87" i="97"/>
  <c r="Z89" i="79"/>
  <c r="Z108" i="79" s="1"/>
  <c r="Z89" i="97"/>
  <c r="Z108" i="97" s="1"/>
  <c r="Z87" i="79"/>
  <c r="Z106" i="79" s="1"/>
  <c r="Z87" i="97"/>
  <c r="Z106" i="97" s="1"/>
  <c r="Z85" i="79"/>
  <c r="Z85" i="97"/>
  <c r="N89" i="79"/>
  <c r="N89" i="97"/>
  <c r="N108" i="97" s="1"/>
  <c r="AA90" i="97"/>
  <c r="AA106" i="97"/>
  <c r="U108" i="97"/>
  <c r="X87" i="79"/>
  <c r="X106" i="79" s="1"/>
  <c r="X87" i="97"/>
  <c r="X106" i="97" s="1"/>
  <c r="AA87" i="79"/>
  <c r="AA106" i="79" s="1"/>
  <c r="AA87" i="22"/>
  <c r="AC106" i="79"/>
  <c r="AC106" i="22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88" i="22"/>
  <c r="AA107" i="22" s="1"/>
  <c r="J19" i="94" s="1"/>
  <c r="J27" i="94" s="1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87" i="97" s="1"/>
  <c r="E106" i="97" s="1"/>
  <c r="D30" i="69"/>
  <c r="K30" i="69" s="1"/>
  <c r="M30" i="69" s="1"/>
  <c r="AE29" i="69"/>
  <c r="AB30" i="69"/>
  <c r="Y47" i="69"/>
  <c r="E50" i="69"/>
  <c r="E88" i="22" s="1"/>
  <c r="E107" i="22" s="1"/>
  <c r="E47" i="69"/>
  <c r="AB28" i="69"/>
  <c r="D28" i="69"/>
  <c r="V51" i="69"/>
  <c r="V89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D107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C85" i="97" s="1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AA14" i="69"/>
  <c r="Z52" i="69"/>
  <c r="X14" i="69"/>
  <c r="H14" i="69"/>
  <c r="L14" i="69"/>
  <c r="U14" i="69"/>
  <c r="Z104" i="79" l="1"/>
  <c r="Z109" i="79" s="1"/>
  <c r="Z48" i="90" s="1"/>
  <c r="Z90" i="79"/>
  <c r="Z45" i="90"/>
  <c r="Z11" i="81"/>
  <c r="Z9" i="81"/>
  <c r="J13" i="99"/>
  <c r="J64" i="90"/>
  <c r="J106" i="97"/>
  <c r="J90" i="97"/>
  <c r="Z13" i="99"/>
  <c r="Z64" i="90"/>
  <c r="Z11" i="99"/>
  <c r="Z62" i="90"/>
  <c r="Z104" i="97"/>
  <c r="Z90" i="97"/>
  <c r="X11" i="81"/>
  <c r="X45" i="90"/>
  <c r="N13" i="99"/>
  <c r="J7" i="98"/>
  <c r="N64" i="90"/>
  <c r="AA109" i="97"/>
  <c r="AA65" i="90" s="1"/>
  <c r="AA11" i="99"/>
  <c r="AA62" i="90"/>
  <c r="U13" i="99"/>
  <c r="U64" i="90"/>
  <c r="X11" i="99"/>
  <c r="X62" i="90"/>
  <c r="E11" i="99"/>
  <c r="E62" i="90"/>
  <c r="Y85" i="79"/>
  <c r="Y104" i="79" s="1"/>
  <c r="Y85" i="97"/>
  <c r="E85" i="79"/>
  <c r="E104" i="79" s="1"/>
  <c r="E85" i="97"/>
  <c r="V108" i="97"/>
  <c r="H89" i="79"/>
  <c r="H89" i="97"/>
  <c r="W64" i="90"/>
  <c r="W13" i="99"/>
  <c r="E89" i="22"/>
  <c r="E89" i="97"/>
  <c r="E108" i="97" s="1"/>
  <c r="Y13" i="99"/>
  <c r="Y64" i="90"/>
  <c r="AE64" i="90"/>
  <c r="AD108" i="97"/>
  <c r="AE13" i="99"/>
  <c r="I89" i="79"/>
  <c r="I108" i="79" s="1"/>
  <c r="I89" i="97"/>
  <c r="I108" i="97" s="1"/>
  <c r="X13" i="99"/>
  <c r="X64" i="90"/>
  <c r="D89" i="22"/>
  <c r="H146" i="22" s="1"/>
  <c r="D89" i="97"/>
  <c r="K89" i="97" s="1"/>
  <c r="M89" i="97" s="1"/>
  <c r="O89" i="97" s="1"/>
  <c r="U87" i="79"/>
  <c r="U106" i="79" s="1"/>
  <c r="U87" i="97"/>
  <c r="H87" i="79"/>
  <c r="H106" i="79" s="1"/>
  <c r="H87" i="97"/>
  <c r="H106" i="97" s="1"/>
  <c r="W87" i="79"/>
  <c r="W106" i="79" s="1"/>
  <c r="W87" i="97"/>
  <c r="Y87" i="79"/>
  <c r="Y106" i="79" s="1"/>
  <c r="Y87" i="97"/>
  <c r="Y106" i="97" s="1"/>
  <c r="F87" i="79"/>
  <c r="F106" i="79" s="1"/>
  <c r="F87" i="97"/>
  <c r="AE87" i="79"/>
  <c r="AE106" i="79" s="1"/>
  <c r="AE87" i="97"/>
  <c r="V87" i="79"/>
  <c r="V106" i="79" s="1"/>
  <c r="V87" i="97"/>
  <c r="V106" i="97" s="1"/>
  <c r="V85" i="79"/>
  <c r="V104" i="79" s="1"/>
  <c r="V85" i="97"/>
  <c r="I85" i="79"/>
  <c r="I85" i="97"/>
  <c r="X85" i="79"/>
  <c r="X104" i="79" s="1"/>
  <c r="X85" i="97"/>
  <c r="U85" i="79"/>
  <c r="U85" i="97"/>
  <c r="H85" i="79"/>
  <c r="H104" i="79" s="1"/>
  <c r="H85" i="97"/>
  <c r="H104" i="97" s="1"/>
  <c r="W85" i="79"/>
  <c r="W104" i="79" s="1"/>
  <c r="W85" i="97"/>
  <c r="W104" i="97" s="1"/>
  <c r="AC104" i="97"/>
  <c r="AC90" i="97"/>
  <c r="AE85" i="79"/>
  <c r="AE104" i="79" s="1"/>
  <c r="AE85" i="97"/>
  <c r="AE104" i="97" s="1"/>
  <c r="F108" i="97"/>
  <c r="I87" i="79"/>
  <c r="I106" i="79" s="1"/>
  <c r="I87" i="97"/>
  <c r="I106" i="97" s="1"/>
  <c r="F85" i="79"/>
  <c r="F104" i="79" s="1"/>
  <c r="F85" i="97"/>
  <c r="F104" i="97" s="1"/>
  <c r="AD85" i="79"/>
  <c r="AD85" i="97"/>
  <c r="AD87" i="79"/>
  <c r="AD87" i="97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AC85" i="79"/>
  <c r="AC85" i="22"/>
  <c r="AC104" i="22" s="1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U107" i="85"/>
  <c r="Y86" i="22"/>
  <c r="Y105" i="85"/>
  <c r="Y86" i="75"/>
  <c r="Y105" i="75" s="1"/>
  <c r="F89" i="22"/>
  <c r="F108" i="85"/>
  <c r="F80" i="90" s="1"/>
  <c r="F89" i="79"/>
  <c r="AA104" i="22"/>
  <c r="X85" i="22"/>
  <c r="V86" i="22"/>
  <c r="V105" i="85"/>
  <c r="V86" i="75"/>
  <c r="V105" i="75" s="1"/>
  <c r="AA86" i="22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AA52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E33" i="69" l="1"/>
  <c r="Z43" i="90"/>
  <c r="Z14" i="81"/>
  <c r="J109" i="97"/>
  <c r="J65" i="90" s="1"/>
  <c r="J11" i="99"/>
  <c r="J14" i="99" s="1"/>
  <c r="J45" i="99" s="1"/>
  <c r="J62" i="90"/>
  <c r="Z109" i="97"/>
  <c r="Z65" i="90" s="1"/>
  <c r="Z9" i="99"/>
  <c r="Z14" i="99" s="1"/>
  <c r="Z60" i="90"/>
  <c r="E9" i="81"/>
  <c r="E43" i="90"/>
  <c r="F9" i="81"/>
  <c r="F43" i="90"/>
  <c r="Y9" i="81"/>
  <c r="Y43" i="90"/>
  <c r="H11" i="81"/>
  <c r="H45" i="90"/>
  <c r="W11" i="81"/>
  <c r="W45" i="90"/>
  <c r="Y11" i="81"/>
  <c r="Y45" i="90"/>
  <c r="AE11" i="81"/>
  <c r="AE45" i="90"/>
  <c r="V11" i="81"/>
  <c r="V45" i="90"/>
  <c r="V9" i="81"/>
  <c r="V43" i="90"/>
  <c r="I104" i="79"/>
  <c r="I109" i="79" s="1"/>
  <c r="I48" i="90" s="1"/>
  <c r="I90" i="79"/>
  <c r="X43" i="90"/>
  <c r="X9" i="81"/>
  <c r="U104" i="79"/>
  <c r="U90" i="79"/>
  <c r="H9" i="81"/>
  <c r="H43" i="90"/>
  <c r="W9" i="81"/>
  <c r="W43" i="90"/>
  <c r="AE9" i="81"/>
  <c r="AE43" i="90"/>
  <c r="I11" i="81"/>
  <c r="I45" i="90"/>
  <c r="Y104" i="97"/>
  <c r="Y90" i="97"/>
  <c r="AF85" i="97"/>
  <c r="E104" i="97"/>
  <c r="E90" i="97"/>
  <c r="V13" i="99"/>
  <c r="V64" i="90"/>
  <c r="H108" i="97"/>
  <c r="H109" i="97" s="1"/>
  <c r="H65" i="90" s="1"/>
  <c r="H90" i="97"/>
  <c r="E13" i="99"/>
  <c r="E64" i="90"/>
  <c r="AD13" i="99"/>
  <c r="AD64" i="90"/>
  <c r="I13" i="99"/>
  <c r="I64" i="90"/>
  <c r="D108" i="97"/>
  <c r="I129" i="97"/>
  <c r="H146" i="97"/>
  <c r="G7" i="98" s="1"/>
  <c r="H7" i="98" s="1"/>
  <c r="U106" i="97"/>
  <c r="AF87" i="97"/>
  <c r="H11" i="99"/>
  <c r="H62" i="90"/>
  <c r="W106" i="97"/>
  <c r="W109" i="97" s="1"/>
  <c r="W65" i="90" s="1"/>
  <c r="W90" i="97"/>
  <c r="Y11" i="99"/>
  <c r="Y62" i="90"/>
  <c r="F106" i="97"/>
  <c r="F109" i="97" s="1"/>
  <c r="F65" i="90" s="1"/>
  <c r="F90" i="97"/>
  <c r="AE106" i="97"/>
  <c r="AE109" i="97" s="1"/>
  <c r="AE65" i="90" s="1"/>
  <c r="AE90" i="97"/>
  <c r="V11" i="99"/>
  <c r="V62" i="90"/>
  <c r="V104" i="97"/>
  <c r="V90" i="97"/>
  <c r="I104" i="97"/>
  <c r="I90" i="97"/>
  <c r="X104" i="97"/>
  <c r="X90" i="97"/>
  <c r="U104" i="97"/>
  <c r="U90" i="97"/>
  <c r="H9" i="99"/>
  <c r="H60" i="90"/>
  <c r="W60" i="90"/>
  <c r="W9" i="99"/>
  <c r="AC109" i="97"/>
  <c r="AC65" i="90" s="1"/>
  <c r="AC9" i="99"/>
  <c r="AC60" i="90"/>
  <c r="AD104" i="97"/>
  <c r="AE9" i="99"/>
  <c r="AE60" i="90"/>
  <c r="F64" i="90"/>
  <c r="F13" i="99"/>
  <c r="I11" i="99"/>
  <c r="I62" i="90"/>
  <c r="F9" i="99"/>
  <c r="F60" i="90"/>
  <c r="AB11" i="99"/>
  <c r="AB62" i="90"/>
  <c r="AB104" i="97"/>
  <c r="D85" i="22"/>
  <c r="D85" i="97"/>
  <c r="AB89" i="79"/>
  <c r="AB89" i="97"/>
  <c r="AB90" i="97" s="1"/>
  <c r="D87" i="22"/>
  <c r="K87" i="22" s="1"/>
  <c r="D87" i="97"/>
  <c r="J5" i="98"/>
  <c r="N62" i="90"/>
  <c r="N11" i="99"/>
  <c r="N85" i="79"/>
  <c r="N104" i="79" s="1"/>
  <c r="N43" i="90" s="1"/>
  <c r="N85" i="97"/>
  <c r="AD89" i="79"/>
  <c r="AD90" i="79" s="1"/>
  <c r="AD89" i="97"/>
  <c r="AD90" i="97" s="1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AE109" i="79" s="1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26" i="90"/>
  <c r="AD108" i="85"/>
  <c r="AD80" i="90" s="1"/>
  <c r="H90" i="85"/>
  <c r="H104" i="85"/>
  <c r="H76" i="90" s="1"/>
  <c r="I13" i="8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I93" i="91" l="1"/>
  <c r="AC14" i="99"/>
  <c r="I43" i="90"/>
  <c r="I9" i="81"/>
  <c r="I14" i="81" s="1"/>
  <c r="I45" i="81" s="1"/>
  <c r="H144" i="22"/>
  <c r="U9" i="81"/>
  <c r="U14" i="81" s="1"/>
  <c r="U43" i="90"/>
  <c r="U109" i="79"/>
  <c r="U48" i="90" s="1"/>
  <c r="AB108" i="79"/>
  <c r="AF89" i="79"/>
  <c r="J3" i="80"/>
  <c r="N9" i="81"/>
  <c r="Y109" i="97"/>
  <c r="Y65" i="90" s="1"/>
  <c r="Y9" i="99"/>
  <c r="Y14" i="99" s="1"/>
  <c r="Y60" i="90"/>
  <c r="E109" i="97"/>
  <c r="E65" i="90" s="1"/>
  <c r="E9" i="99"/>
  <c r="E14" i="99" s="1"/>
  <c r="E60" i="90"/>
  <c r="H64" i="90"/>
  <c r="H13" i="99"/>
  <c r="H14" i="99" s="1"/>
  <c r="H45" i="99" s="1"/>
  <c r="D146" i="97"/>
  <c r="L146" i="97" s="1"/>
  <c r="M146" i="97" s="1"/>
  <c r="K108" i="97"/>
  <c r="I7" i="98"/>
  <c r="D13" i="99"/>
  <c r="D64" i="90"/>
  <c r="I34" i="99"/>
  <c r="I53" i="91"/>
  <c r="I96" i="91" s="1"/>
  <c r="U11" i="99"/>
  <c r="U62" i="90"/>
  <c r="W11" i="99"/>
  <c r="W14" i="99" s="1"/>
  <c r="W62" i="90"/>
  <c r="F62" i="90"/>
  <c r="F11" i="99"/>
  <c r="F14" i="99" s="1"/>
  <c r="F45" i="99" s="1"/>
  <c r="AE11" i="99"/>
  <c r="AE14" i="99" s="1"/>
  <c r="AE62" i="90"/>
  <c r="AD106" i="97"/>
  <c r="V109" i="97"/>
  <c r="V65" i="90" s="1"/>
  <c r="V9" i="99"/>
  <c r="V14" i="99" s="1"/>
  <c r="V60" i="90"/>
  <c r="I109" i="97"/>
  <c r="I65" i="90" s="1"/>
  <c r="I9" i="99"/>
  <c r="I14" i="99" s="1"/>
  <c r="I60" i="90"/>
  <c r="X109" i="97"/>
  <c r="X65" i="90" s="1"/>
  <c r="X60" i="90"/>
  <c r="X9" i="99"/>
  <c r="X14" i="99" s="1"/>
  <c r="U109" i="97"/>
  <c r="AF104" i="97"/>
  <c r="U9" i="99"/>
  <c r="U60" i="90"/>
  <c r="AD60" i="90"/>
  <c r="AD9" i="99"/>
  <c r="AB9" i="99"/>
  <c r="AB60" i="90"/>
  <c r="D104" i="97"/>
  <c r="K85" i="97"/>
  <c r="D90" i="97"/>
  <c r="I125" i="97"/>
  <c r="H142" i="97"/>
  <c r="AF89" i="97"/>
  <c r="AB108" i="97"/>
  <c r="AB109" i="97" s="1"/>
  <c r="AB65" i="90" s="1"/>
  <c r="D106" i="97"/>
  <c r="I127" i="97"/>
  <c r="K87" i="97"/>
  <c r="M87" i="97" s="1"/>
  <c r="O87" i="97" s="1"/>
  <c r="AG87" i="97" s="1"/>
  <c r="AH87" i="97" s="1"/>
  <c r="H144" i="97"/>
  <c r="G5" i="98" s="1"/>
  <c r="H5" i="98" s="1"/>
  <c r="N104" i="97"/>
  <c r="N90" i="97"/>
  <c r="Y92" i="97"/>
  <c r="G111" i="90"/>
  <c r="G112" i="90"/>
  <c r="G113" i="90"/>
  <c r="AA14" i="81"/>
  <c r="AA14" i="99"/>
  <c r="AE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09" i="22"/>
  <c r="AC14" i="90" s="1"/>
  <c r="AC9" i="39"/>
  <c r="AC14" i="39" s="1"/>
  <c r="V76" i="90"/>
  <c r="W26" i="90"/>
  <c r="W76" i="90"/>
  <c r="V47" i="90"/>
  <c r="W47" i="90"/>
  <c r="V26" i="90"/>
  <c r="H142" i="22"/>
  <c r="H147" i="22" s="1"/>
  <c r="AB90" i="79"/>
  <c r="D10" i="90"/>
  <c r="D111" i="90" s="1"/>
  <c r="G9" i="90"/>
  <c r="G110" i="90" s="1"/>
  <c r="K85" i="22"/>
  <c r="D90" i="22"/>
  <c r="I127" i="79"/>
  <c r="D106" i="79"/>
  <c r="D144" i="79" s="1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H142" i="79"/>
  <c r="G3" i="80" s="1"/>
  <c r="H3" i="80" s="1"/>
  <c r="K85" i="79"/>
  <c r="M85" i="79" s="1"/>
  <c r="O85" i="79" s="1"/>
  <c r="D104" i="79"/>
  <c r="AF85" i="79"/>
  <c r="G5" i="36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4" i="81" s="1"/>
  <c r="AE48" i="90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G9" i="76"/>
  <c r="G14" i="76" s="1"/>
  <c r="G109" i="75"/>
  <c r="G31" i="90" s="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I45" i="99" l="1"/>
  <c r="E45" i="99"/>
  <c r="U14" i="99"/>
  <c r="Y16" i="99" s="1"/>
  <c r="AB47" i="90"/>
  <c r="AB13" i="81"/>
  <c r="AG89" i="97"/>
  <c r="AH89" i="97" s="1"/>
  <c r="AF90" i="97"/>
  <c r="M108" i="97"/>
  <c r="K64" i="90"/>
  <c r="AD11" i="99"/>
  <c r="AD62" i="90"/>
  <c r="U65" i="90"/>
  <c r="Y111" i="97"/>
  <c r="AF60" i="90"/>
  <c r="D142" i="97"/>
  <c r="K104" i="97"/>
  <c r="D9" i="99"/>
  <c r="I3" i="98"/>
  <c r="D60" i="90"/>
  <c r="D109" i="97"/>
  <c r="M85" i="97"/>
  <c r="K90" i="97"/>
  <c r="I30" i="99"/>
  <c r="I49" i="91"/>
  <c r="I131" i="97"/>
  <c r="I55" i="91" s="1"/>
  <c r="G3" i="98"/>
  <c r="H147" i="97"/>
  <c r="G8" i="98" s="1"/>
  <c r="H8" i="98" s="1"/>
  <c r="O8" i="98" s="1"/>
  <c r="P8" i="98" s="1"/>
  <c r="AB13" i="99"/>
  <c r="AB14" i="99" s="1"/>
  <c r="AB64" i="90"/>
  <c r="AF108" i="97"/>
  <c r="D144" i="97"/>
  <c r="L144" i="97" s="1"/>
  <c r="M144" i="97" s="1"/>
  <c r="K106" i="97"/>
  <c r="I5" i="98"/>
  <c r="N5" i="98" s="1"/>
  <c r="O5" i="98" s="1"/>
  <c r="P5" i="98" s="1"/>
  <c r="D62" i="90"/>
  <c r="D11" i="99"/>
  <c r="K11" i="99" s="1"/>
  <c r="M11" i="99" s="1"/>
  <c r="O11" i="99" s="1"/>
  <c r="I32" i="99"/>
  <c r="I51" i="91"/>
  <c r="N109" i="97"/>
  <c r="J3" i="98"/>
  <c r="N9" i="99"/>
  <c r="N60" i="90"/>
  <c r="AD109" i="97"/>
  <c r="AD65" i="90" s="1"/>
  <c r="AF106" i="97"/>
  <c r="AC110" i="90"/>
  <c r="AC115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L144" i="79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D142" i="79"/>
  <c r="L142" i="79" s="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92" i="91" l="1"/>
  <c r="N110" i="90"/>
  <c r="I94" i="91"/>
  <c r="I36" i="99"/>
  <c r="I46" i="99" s="1"/>
  <c r="AF109" i="97"/>
  <c r="AF65" i="90" s="1"/>
  <c r="O108" i="97"/>
  <c r="M64" i="90"/>
  <c r="D147" i="97"/>
  <c r="L142" i="97"/>
  <c r="K109" i="97"/>
  <c r="K65" i="90" s="1"/>
  <c r="M104" i="97"/>
  <c r="K60" i="90"/>
  <c r="D65" i="90"/>
  <c r="D31" i="36"/>
  <c r="O85" i="97"/>
  <c r="M90" i="97"/>
  <c r="H3" i="98"/>
  <c r="H9" i="98" s="1"/>
  <c r="I22" i="36" s="1"/>
  <c r="G9" i="98"/>
  <c r="H22" i="36" s="1"/>
  <c r="AF64" i="90"/>
  <c r="M106" i="97"/>
  <c r="K62" i="90"/>
  <c r="N65" i="90"/>
  <c r="E31" i="36"/>
  <c r="AF62" i="90"/>
  <c r="N47" i="90"/>
  <c r="N14" i="99"/>
  <c r="N45" i="99" s="1"/>
  <c r="K9" i="99"/>
  <c r="D14" i="99"/>
  <c r="D45" i="99" s="1"/>
  <c r="N3" i="98"/>
  <c r="I9" i="98"/>
  <c r="J22" i="36" s="1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F31" i="36" l="1"/>
  <c r="G31" i="36" s="1"/>
  <c r="O64" i="90"/>
  <c r="AG108" i="97"/>
  <c r="AH108" i="97" s="1"/>
  <c r="I98" i="91"/>
  <c r="L147" i="97"/>
  <c r="M147" i="97" s="1"/>
  <c r="M142" i="97"/>
  <c r="M109" i="97"/>
  <c r="M65" i="90" s="1"/>
  <c r="O104" i="97"/>
  <c r="M60" i="90"/>
  <c r="AG85" i="97"/>
  <c r="O90" i="97"/>
  <c r="O106" i="97"/>
  <c r="M62" i="90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AG104" i="97" l="1"/>
  <c r="O109" i="97"/>
  <c r="O65" i="90" s="1"/>
  <c r="O60" i="90"/>
  <c r="AH85" i="97"/>
  <c r="AG90" i="97"/>
  <c r="AH90" i="97" s="1"/>
  <c r="AG106" i="97"/>
  <c r="AH106" i="97" s="1"/>
  <c r="O62" i="90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Q30" i="36"/>
  <c r="E33" i="36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H3" i="36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A108" i="22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26" i="93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AA105" i="22"/>
  <c r="E26" i="93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AD12" i="79"/>
  <c r="AF12" i="79" s="1"/>
  <c r="K12" i="79"/>
  <c r="M12" i="79" s="1"/>
  <c r="O12" i="79" s="1"/>
  <c r="AD10" i="22"/>
  <c r="AF10" i="22" s="1"/>
  <c r="J10" i="79"/>
  <c r="D69" i="91"/>
  <c r="I32" i="36"/>
  <c r="P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3" i="79"/>
  <c r="J108" i="79" s="1"/>
  <c r="AD13" i="22"/>
  <c r="AF13" i="22" s="1"/>
  <c r="J106" i="79"/>
  <c r="AD106" i="79" s="1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AA106" i="22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J47" i="90" l="1"/>
  <c r="AD108" i="79"/>
  <c r="J26" i="93"/>
  <c r="J35" i="93" s="1"/>
  <c r="K107" i="22"/>
  <c r="M107" i="22" s="1"/>
  <c r="AG12" i="79"/>
  <c r="AH12" i="79" s="1"/>
  <c r="J46" i="90"/>
  <c r="AD107" i="79"/>
  <c r="J12" i="81"/>
  <c r="K12" i="81" s="1"/>
  <c r="M12" i="81" s="1"/>
  <c r="O12" i="81" s="1"/>
  <c r="K107" i="79"/>
  <c r="J105" i="79"/>
  <c r="AD10" i="79"/>
  <c r="AF10" i="79" s="1"/>
  <c r="K10" i="79"/>
  <c r="M10" i="79" s="1"/>
  <c r="O10" i="79" s="1"/>
  <c r="E34" i="36"/>
  <c r="F34" i="36"/>
  <c r="L24" i="94"/>
  <c r="D27" i="91"/>
  <c r="D98" i="91" s="1"/>
  <c r="I29" i="36"/>
  <c r="P29" i="36" s="1"/>
  <c r="P33" i="36" s="1"/>
  <c r="Q32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9" i="90"/>
  <c r="J45" i="90"/>
  <c r="J11" i="81"/>
  <c r="K11" i="81" s="1"/>
  <c r="M11" i="81" s="1"/>
  <c r="O11" i="81" s="1"/>
  <c r="AF11" i="99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K9" i="79"/>
  <c r="M9" i="79" s="1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5" i="22"/>
  <c r="K24" i="93" s="1"/>
  <c r="K33" i="93" s="1"/>
  <c r="AD106" i="22"/>
  <c r="M18" i="94" s="1"/>
  <c r="M26" i="94" s="1"/>
  <c r="K106" i="22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AA109" i="22"/>
  <c r="J21" i="94" s="1"/>
  <c r="J29" i="94" s="1"/>
  <c r="N14" i="39"/>
  <c r="N44" i="39" s="1"/>
  <c r="AB13" i="39"/>
  <c r="U14" i="39"/>
  <c r="H9" i="36"/>
  <c r="I25" i="36" s="1"/>
  <c r="J25" i="36" l="1"/>
  <c r="J114" i="90"/>
  <c r="K26" i="93"/>
  <c r="K35" i="93" s="1"/>
  <c r="M107" i="79"/>
  <c r="K46" i="90"/>
  <c r="AF107" i="79"/>
  <c r="AD12" i="81"/>
  <c r="AF12" i="81" s="1"/>
  <c r="AG12" i="81" s="1"/>
  <c r="AH12" i="81" s="1"/>
  <c r="AD46" i="90"/>
  <c r="J113" i="90"/>
  <c r="K25" i="93"/>
  <c r="K34" i="93" s="1"/>
  <c r="M106" i="22"/>
  <c r="AG10" i="79"/>
  <c r="AH10" i="79" s="1"/>
  <c r="J44" i="90"/>
  <c r="J111" i="90" s="1"/>
  <c r="J10" i="81"/>
  <c r="K10" i="81" s="1"/>
  <c r="M10" i="81" s="1"/>
  <c r="O10" i="81" s="1"/>
  <c r="AD105" i="79"/>
  <c r="K105" i="79"/>
  <c r="AD29" i="90"/>
  <c r="AF107" i="75"/>
  <c r="J112" i="90"/>
  <c r="AG11" i="99"/>
  <c r="AH11" i="99" s="1"/>
  <c r="AD47" i="90"/>
  <c r="AF13" i="99"/>
  <c r="AG13" i="99" s="1"/>
  <c r="AH13" i="99" s="1"/>
  <c r="N29" i="94"/>
  <c r="L25" i="36"/>
  <c r="K25" i="36"/>
  <c r="I33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O107" i="22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108" i="79"/>
  <c r="AF47" i="90" s="1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K44" i="90"/>
  <c r="K111" i="90" s="1"/>
  <c r="M105" i="79"/>
  <c r="AF105" i="79"/>
  <c r="AD44" i="90"/>
  <c r="AD111" i="90" s="1"/>
  <c r="AD10" i="81"/>
  <c r="AF10" i="81" s="1"/>
  <c r="AG10" i="81" s="1"/>
  <c r="AH10" i="81" s="1"/>
  <c r="AD109" i="79"/>
  <c r="K114" i="90"/>
  <c r="AD114" i="90"/>
  <c r="K113" i="90"/>
  <c r="AD112" i="90"/>
  <c r="K112" i="90"/>
  <c r="J115" i="90"/>
  <c r="AD14" i="99"/>
  <c r="AF9" i="99"/>
  <c r="Q29" i="36"/>
  <c r="Q33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AF114" i="90"/>
  <c r="AF112" i="90"/>
  <c r="AF44" i="90"/>
  <c r="AF111" i="90" s="1"/>
  <c r="O105" i="79"/>
  <c r="M44" i="90"/>
  <c r="M111" i="90" s="1"/>
  <c r="AD48" i="90"/>
  <c r="AD115" i="90" s="1"/>
  <c r="AF46" i="90"/>
  <c r="AF113" i="90" s="1"/>
  <c r="M112" i="90"/>
  <c r="M114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09" i="79"/>
  <c r="AF48" i="90" s="1"/>
  <c r="AF115" i="90" s="1"/>
  <c r="AH9" i="99"/>
  <c r="AG14" i="99"/>
  <c r="AH14" i="99" s="1"/>
  <c r="M48" i="90"/>
  <c r="M115" i="90" s="1"/>
  <c r="AH108" i="22"/>
  <c r="O20" i="94"/>
  <c r="I28" i="94" s="1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5" i="81" l="1"/>
  <c r="O48" i="90"/>
  <c r="O115" i="90" s="1"/>
  <c r="AH105" i="79"/>
  <c r="AG44" i="90"/>
  <c r="AG111" i="90" s="1"/>
  <c r="AG114" i="90"/>
  <c r="AG110" i="90"/>
  <c r="AG112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<sst xmlns="http://schemas.openxmlformats.org/spreadsheetml/2006/main" count="7452" uniqueCount="345">
  <si>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</si>
  <si>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</si>
  <si>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</si>
  <si>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</si>
  <si>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</si>
  <si>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</si>
  <si>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</si>
  <si>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</si>
  <si>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</si>
  <si>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</si>
  <si>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</si>
  <si>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</si>
  <si>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</si>
  <si>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</si>
  <si>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</si>
  <si>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</si>
  <si>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</si>
  <si>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</si>
  <si>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</si>
  <si>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</si>
  <si>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</si>
  <si>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</si>
  <si>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</si>
  <si>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</si>
  <si>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</si>
  <si>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</si>
  <si>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</si>
  <si>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</si>
  <si>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</si>
  <si>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</si>
  <si>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</si>
  <si>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</si>
  <si>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</si>
  <si>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</si>
  <si>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</si>
  <si>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</si>
  <si>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</si>
  <si>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</si>
  <si>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</si>
  <si>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</si>
  <si>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</si>
  <si>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</si>
  <si>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</si>
  <si>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</si>
  <si>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</si>
  <si>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</si>
  <si>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</si>
  <si>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</si>
  <si>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</si>
  <si>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</si>
  <si>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</si>
  <si>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</si>
  <si>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</si>
  <si>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</si>
  <si>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</si>
  <si>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</si>
  <si>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</si>
  <si>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</si>
  <si>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</si>
  <si>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</si>
  <si>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</si>
  <si>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</si>
  <si>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</si>
  <si>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</si>
  <si>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</si>
  <si>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</si>
  <si>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</si>
  <si>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</si>
  <si>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</si>
  <si>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</si>
  <si>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</si>
  <si>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</si>
  <si>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</si>
  <si>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</si>
  <si>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</si>
  <si>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</si>
  <si>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</si>
  <si>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</si>
  <si>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</si>
  <si>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</si>
  <si>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</si>
  <si>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</si>
  <si>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</si>
  <si>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</si>
  <si>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</si>
  <si>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</si>
  <si>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</si>
  <si>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</si>
  <si>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</si>
  <si>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</si>
  <si>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</si>
  <si>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</si>
  <si>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</si>
  <si>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</si>
  <si>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</si>
  <si>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</si>
  <si>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</si>
  <si>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</si>
  <si>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</si>
  <si>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</si>
  <si>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</si>
  <si>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</si>
  <si>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</si>
  <si>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</si>
  <si>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</si>
  <si>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</si>
  <si>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</si>
  <si>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</si>
  <si>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</si>
  <si>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</si>
  <si>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</si>
  <si>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</si>
  <si>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</si>
  <si>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</si>
  <si>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</si>
  <si>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</si>
  <si>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</si>
  <si>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</si>
  <si>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</si>
  <si>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</si>
  <si>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</si>
  <si>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</si>
  <si>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</si>
  <si>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</si>
  <si>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</si>
  <si>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</si>
  <si>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</si>
  <si>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</si>
  <si>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</si>
  <si>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</si>
  <si>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</si>
  <si>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</si>
  <si>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</si>
  <si>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</si>
  <si>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</si>
  <si>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</si>
  <si>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</si>
  <si>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</si>
  <si>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</si>
  <si>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</si>
  <si>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</si>
  <si>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</si>
  <si>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</si>
  <si>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</si>
  <si>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</si>
  <si>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</si>
  <si>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</si>
  <si>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</si>
  <si>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</si>
  <si>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</si>
  <si>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</si>
  <si>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</si>
  <si>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</si>
  <si>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</si>
  <si>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</si>
  <si>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</si>
  <si>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</si>
  <si>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</si>
  <si>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</si>
  <si>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</si>
  <si>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</si>
  <si>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</si>
  <si>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</si>
  <si>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</si>
  <si>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</si>
  <si>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</si>
  <si>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</si>
  <si>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</si>
  <si>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</si>
  <si>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</si>
  <si>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</si>
  <si>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</si>
  <si>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</si>
  <si>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</si>
  <si>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</si>
  <si>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</si>
  <si>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</si>
  <si>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</si>
  <si>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</si>
  <si>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</si>
  <si>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</si>
  <si>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</si>
  <si>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</si>
  <si>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</si>
  <si>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</si>
  <si>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</si>
  <si>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</si>
  <si>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</si>
  <si>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</si>
  <si>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</si>
  <si>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</si>
  <si>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</si>
  <si>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</si>
  <si>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</si>
  <si>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</si>
  <si>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</si>
  <si>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</si>
  <si>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</si>
  <si>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</si>
  <si>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</si>
  <si>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</si>
  <si>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</si>
  <si>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</si>
  <si>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</si>
  <si>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</si>
  <si>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</si>
  <si>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</si>
  <si>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</si>
  <si>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</si>
  <si>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</si>
  <si>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</si>
  <si>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</si>
  <si>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</si>
  <si>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</si>
  <si>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</si>
  <si>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</si>
  <si>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</si>
  <si>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</si>
  <si>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</si>
  <si>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</si>
  <si>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</si>
  <si>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</si>
  <si>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</si>
  <si>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</si>
  <si>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</si>
  <si>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</si>
  <si>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</si>
  <si>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</si>
  <si>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</si>
  <si>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</si>
  <si>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</si>
  <si>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</si>
  <si>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</si>
  <si>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</si>
  <si>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</si>
  <si>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</si>
  <si>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</si>
  <si>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</si>
  <si>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</si>
  <si>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</si>
  <si>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</si>
  <si>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</si>
  <si>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</si>
  <si>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</si>
  <si>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</si>
  <si>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</si>
  <si>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</si>
  <si>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</si>
  <si>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</si>
  <si>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</si>
  <si>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</si>
  <si>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</si>
  <si>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</si>
  <si>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</si>
  <si>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</si>
  <si>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</si>
  <si>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</si>
  <si>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</si>
  <si>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</si>
  <si>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</si>
  <si>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</si>
  <si>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</si>
  <si>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</si>
  <si>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</si>
  <si>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</si>
  <si>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</si>
  <si>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</si>
  <si>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</si>
  <si>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</si>
  <si>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</si>
  <si>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</si>
  <si>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</si>
  <si>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</si>
  <si>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</si>
  <si>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</si>
  <si>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</si>
  <si>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</si>
  <si>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</si>
  <si>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</si>
  <si>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</si>
  <si>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</si>
  <si>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</si>
  <si>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</si>
  <si>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</si>
  <si>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</si>
  <si>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</si>
  <si>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</si>
  <si>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</si>
  <si>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</si>
  <si>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</si>
  <si>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</si>
  <si>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</si>
  <si>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</si>
  <si>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</si>
  <si>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</si>
  <si>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</si>
  <si>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</si>
  <si>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</si>
  <si>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</si>
  <si>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</si>
  <si>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</si>
  <si>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</si>
  <si>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</si>
  <si>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</si>
  <si>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</si>
  <si>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</si>
  <si>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</si>
  <si>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</si>
  <si>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</si>
  <si>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</si>
  <si>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</si>
  <si>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</si>
  <si>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</si>
  <si>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</si>
  <si>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</si>
  <si>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</si>
  <si>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</si>
  <si>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</si>
  <si>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</si>
  <si>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</si>
  <si>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</si>
  <si>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</si>
  <si>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</si>
  <si>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</si>
  <si>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</si>
  <si>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</si>
  <si>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</si>
  <si>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>REPORTE CONSOLIDADO DE REMUNERACION// ENERBIT</t>
  </si>
  <si>
    <t>REPORTE CONSOLIDADO DE ANTICIPOS -ENERBIT</t>
  </si>
  <si>
    <t>Recaudo ENERBIT - ASE 1</t>
  </si>
  <si>
    <t>Recaudo ENERBIT - ASE 2</t>
  </si>
  <si>
    <t>Recaudo ENERBIT - ASE 3</t>
  </si>
  <si>
    <t>Recaudo ENERBIT - ASE 4</t>
  </si>
  <si>
    <t>QUINCENA</t>
  </si>
  <si>
    <t>OJO/// DILIGENCIAR</t>
  </si>
  <si>
    <t>* Costos de Interventoría: REMUNERACIÓN 202604-1</t>
  </si>
  <si>
    <t>ok</t>
  </si>
  <si>
    <t>Exonera-Intereses Cte Financiac. Aseo</t>
  </si>
  <si>
    <t>ENEL / RECIP.</t>
  </si>
  <si>
    <t>A</t>
  </si>
  <si>
    <t>2026101</t>
  </si>
  <si>
    <t>17/10/2026</t>
  </si>
  <si>
    <t>07:59 PM</t>
  </si>
  <si>
    <t>01/10/2026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</si>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</sst>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;[Red]\-&quot;$&quot;\ #,##0"/>
    <numFmt numFmtId="165" formatCode="&quot;$&quot;\ #,##0.00;[Red]\-&quot;$&quot;\ #,##0.00"/>
    <numFmt numFmtId="166" formatCode="_-* #,##0_-;\-* #,##0_-;_-* &quot;-&quot;_-;_-@_-"/>
    <numFmt numFmtId="167" formatCode="_-* #,##0.00_-;\-* #,##0.00_-;_-* &quot;-&quot;??_-;_-@_-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0_-;\-* #,##0.0000000000_-;_-* &quot;-&quot;_-;_-@_-"/>
    <numFmt numFmtId="181" formatCode="_-* #,##0.0_-;\-* #,##0.0_-;_-* &quot;-&quot;??_-;_-@_-"/>
    <numFmt numFmtId="182" formatCode="#,##0.0000"/>
    <numFmt numFmtId="183" formatCode="#,##0.00_ ;[Red]\-#,##0.00\ "/>
    <numFmt numFmtId="184" formatCode="_-* #,##0.000_-;\-* #,##0.000_-;_-* &quot;-&quot;?_-;_-@_-"/>
    <numFmt numFmtId="185" formatCode="#,##0.00000000000000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7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7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7" fontId="19" fillId="0" borderId="0" applyFont="0" applyFill="0" applyBorder="0" applyAlignment="0" applyProtection="0"/>
    <xf numFmtId="167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6" fontId="47" fillId="0" borderId="0" applyFont="0" applyFill="0" applyBorder="0" applyAlignment="0" applyProtection="0"/>
    <xf numFmtId="167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0" fontId="63" fillId="0" borderId="0"/>
    <xf numFmtId="167" fontId="64" fillId="0" borderId="0" applyFont="0" applyFill="0" applyBorder="0" applyAlignment="0" applyProtection="0"/>
    <xf numFmtId="0" fontId="19" fillId="0" borderId="0"/>
    <xf numFmtId="0" fontId="65" fillId="0" borderId="0"/>
  </cellStyleXfs>
  <cellXfs count="779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7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6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6" fontId="41" fillId="38" borderId="20" xfId="2601" applyFont="1" applyFill="1" applyBorder="1" applyAlignment="1">
      <alignment horizontal="center"/>
    </xf>
    <xf numFmtId="166" fontId="41" fillId="38" borderId="45" xfId="2601" applyFont="1" applyFill="1" applyBorder="1" applyAlignment="1">
      <alignment horizontal="center"/>
    </xf>
    <xf numFmtId="167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7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6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166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6" fontId="22" fillId="40" borderId="34" xfId="2604" applyFont="1" applyFill="1" applyBorder="1" applyAlignment="1">
      <alignment horizontal="center"/>
    </xf>
    <xf numFmtId="166" fontId="22" fillId="40" borderId="20" xfId="2604" applyFont="1" applyFill="1" applyBorder="1" applyAlignment="1">
      <alignment horizontal="center"/>
    </xf>
    <xf numFmtId="166" fontId="22" fillId="40" borderId="45" xfId="2604" applyFont="1" applyFill="1" applyBorder="1" applyAlignment="1">
      <alignment horizontal="center"/>
    </xf>
    <xf numFmtId="166" fontId="22" fillId="0" borderId="0" xfId="2604" applyFont="1" applyAlignment="1">
      <alignment horizontal="center"/>
    </xf>
    <xf numFmtId="166" fontId="0" fillId="0" borderId="21" xfId="2604" applyFont="1" applyBorder="1"/>
    <xf numFmtId="166" fontId="0" fillId="0" borderId="15" xfId="2604" applyFont="1" applyBorder="1"/>
    <xf numFmtId="166" fontId="0" fillId="0" borderId="4" xfId="2604" applyFont="1" applyBorder="1"/>
    <xf numFmtId="166" fontId="0" fillId="0" borderId="41" xfId="2604" applyFont="1" applyBorder="1"/>
    <xf numFmtId="166" fontId="0" fillId="0" borderId="22" xfId="2604" applyFont="1" applyBorder="1"/>
    <xf numFmtId="166" fontId="0" fillId="0" borderId="16" xfId="2604" applyFont="1" applyBorder="1"/>
    <xf numFmtId="166" fontId="0" fillId="0" borderId="3" xfId="2604" applyFont="1" applyBorder="1"/>
    <xf numFmtId="166" fontId="0" fillId="0" borderId="49" xfId="2604" applyFont="1" applyBorder="1"/>
    <xf numFmtId="166" fontId="0" fillId="0" borderId="23" xfId="2604" applyFont="1" applyBorder="1" applyAlignment="1">
      <alignment horizontal="right"/>
    </xf>
    <xf numFmtId="166" fontId="0" fillId="0" borderId="17" xfId="2604" applyFont="1" applyBorder="1"/>
    <xf numFmtId="166" fontId="0" fillId="0" borderId="18" xfId="2604" applyFont="1" applyBorder="1"/>
    <xf numFmtId="166" fontId="0" fillId="0" borderId="46" xfId="2604" applyFont="1" applyBorder="1"/>
    <xf numFmtId="166" fontId="22" fillId="40" borderId="11" xfId="2604" applyFont="1" applyFill="1" applyBorder="1"/>
    <xf numFmtId="166" fontId="22" fillId="40" borderId="57" xfId="2604" applyFont="1" applyFill="1" applyBorder="1" applyAlignment="1">
      <alignment horizontal="center"/>
    </xf>
    <xf numFmtId="166" fontId="22" fillId="40" borderId="65" xfId="2604" applyFont="1" applyFill="1" applyBorder="1" applyAlignment="1">
      <alignment horizontal="center"/>
    </xf>
    <xf numFmtId="0" fontId="22" fillId="0" borderId="0" xfId="2" applyFont="1"/>
    <xf numFmtId="166" fontId="0" fillId="0" borderId="54" xfId="2604" applyFont="1" applyBorder="1"/>
    <xf numFmtId="166" fontId="0" fillId="0" borderId="40" xfId="2604" applyFont="1" applyBorder="1"/>
    <xf numFmtId="166" fontId="0" fillId="0" borderId="52" xfId="2604" applyFont="1" applyBorder="1"/>
    <xf numFmtId="166" fontId="0" fillId="0" borderId="55" xfId="2604" applyFont="1" applyBorder="1"/>
    <xf numFmtId="166" fontId="0" fillId="0" borderId="68" xfId="2604" applyFont="1" applyBorder="1" applyAlignment="1">
      <alignment horizontal="right"/>
    </xf>
    <xf numFmtId="166" fontId="0" fillId="40" borderId="17" xfId="2604" applyFont="1" applyFill="1" applyBorder="1"/>
    <xf numFmtId="166" fontId="0" fillId="40" borderId="18" xfId="2604" applyFont="1" applyFill="1" applyBorder="1"/>
    <xf numFmtId="166" fontId="0" fillId="40" borderId="46" xfId="2604" applyFont="1" applyFill="1" applyBorder="1"/>
    <xf numFmtId="166" fontId="22" fillId="40" borderId="13" xfId="2604" applyFont="1" applyFill="1" applyBorder="1"/>
    <xf numFmtId="166" fontId="22" fillId="39" borderId="19" xfId="2604" applyFont="1" applyFill="1" applyBorder="1" applyAlignment="1">
      <alignment horizontal="center"/>
    </xf>
    <xf numFmtId="166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6" fontId="0" fillId="0" borderId="59" xfId="2604" applyFont="1" applyBorder="1"/>
    <xf numFmtId="166" fontId="0" fillId="0" borderId="60" xfId="2604" applyFont="1" applyBorder="1"/>
    <xf numFmtId="166" fontId="22" fillId="39" borderId="19" xfId="2604" applyFont="1" applyFill="1" applyBorder="1"/>
    <xf numFmtId="166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6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6" fontId="0" fillId="0" borderId="3" xfId="2601" applyFont="1" applyBorder="1" applyAlignment="1">
      <alignment vertical="top"/>
    </xf>
    <xf numFmtId="166" fontId="0" fillId="0" borderId="3" xfId="2601" applyFont="1" applyBorder="1"/>
    <xf numFmtId="166" fontId="0" fillId="51" borderId="3" xfId="2601" applyFont="1" applyFill="1" applyBorder="1" applyAlignment="1">
      <alignment vertical="top"/>
    </xf>
    <xf numFmtId="166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6" fontId="0" fillId="0" borderId="3" xfId="0" applyNumberFormat="1" applyBorder="1"/>
    <xf numFmtId="166" fontId="22" fillId="0" borderId="3" xfId="0" applyNumberFormat="1" applyFont="1" applyBorder="1"/>
    <xf numFmtId="166" fontId="0" fillId="34" borderId="0" xfId="0" applyNumberFormat="1" applyFill="1"/>
    <xf numFmtId="166" fontId="19" fillId="0" borderId="63" xfId="0" applyNumberFormat="1" applyFont="1" applyBorder="1"/>
    <xf numFmtId="166" fontId="0" fillId="0" borderId="58" xfId="0" applyNumberFormat="1" applyBorder="1"/>
    <xf numFmtId="166" fontId="22" fillId="0" borderId="19" xfId="0" applyNumberFormat="1" applyFont="1" applyBorder="1"/>
    <xf numFmtId="166" fontId="22" fillId="0" borderId="20" xfId="0" applyNumberFormat="1" applyFont="1" applyBorder="1"/>
    <xf numFmtId="166" fontId="22" fillId="0" borderId="45" xfId="0" applyNumberFormat="1" applyFont="1" applyBorder="1"/>
    <xf numFmtId="166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6" fontId="22" fillId="0" borderId="16" xfId="0" applyNumberFormat="1" applyFont="1" applyBorder="1"/>
    <xf numFmtId="166" fontId="22" fillId="0" borderId="59" xfId="0" applyNumberFormat="1" applyFont="1" applyBorder="1"/>
    <xf numFmtId="166" fontId="22" fillId="0" borderId="60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166" fontId="0" fillId="0" borderId="15" xfId="2604" applyFont="1" applyFill="1" applyBorder="1"/>
    <xf numFmtId="166" fontId="0" fillId="0" borderId="16" xfId="2604" applyFont="1" applyFill="1" applyBorder="1"/>
    <xf numFmtId="166" fontId="0" fillId="0" borderId="17" xfId="2604" applyFont="1" applyFill="1" applyBorder="1"/>
    <xf numFmtId="166" fontId="0" fillId="0" borderId="0" xfId="2604" applyFont="1" applyFill="1"/>
    <xf numFmtId="166" fontId="0" fillId="0" borderId="51" xfId="2604" applyFont="1" applyFill="1" applyBorder="1"/>
    <xf numFmtId="166" fontId="0" fillId="0" borderId="4" xfId="2604" applyFont="1" applyFill="1" applyBorder="1"/>
    <xf numFmtId="166" fontId="0" fillId="0" borderId="3" xfId="2604" applyFont="1" applyFill="1" applyBorder="1"/>
    <xf numFmtId="166" fontId="0" fillId="45" borderId="23" xfId="2604" applyFont="1" applyFill="1" applyBorder="1" applyAlignment="1">
      <alignment horizontal="right"/>
    </xf>
    <xf numFmtId="166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6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7" fontId="25" fillId="0" borderId="22" xfId="2599" applyFont="1" applyBorder="1"/>
    <xf numFmtId="167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6" fontId="0" fillId="37" borderId="0" xfId="2604" applyFont="1" applyFill="1"/>
    <xf numFmtId="0" fontId="0" fillId="37" borderId="0" xfId="0" applyFill="1" applyAlignment="1">
      <alignment horizontal="center"/>
    </xf>
    <xf numFmtId="166" fontId="0" fillId="37" borderId="0" xfId="2601" applyFont="1" applyFill="1"/>
    <xf numFmtId="167" fontId="0" fillId="37" borderId="0" xfId="0" applyNumberFormat="1" applyFill="1"/>
    <xf numFmtId="166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6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6" fontId="41" fillId="38" borderId="19" xfId="2601" applyFont="1" applyFill="1" applyBorder="1" applyAlignment="1">
      <alignment horizontal="center"/>
    </xf>
    <xf numFmtId="166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6" fontId="0" fillId="55" borderId="18" xfId="2601" applyFont="1" applyFill="1" applyBorder="1"/>
    <xf numFmtId="166" fontId="41" fillId="55" borderId="51" xfId="2601" applyFont="1" applyFill="1" applyBorder="1" applyAlignment="1">
      <alignment horizontal="left"/>
    </xf>
    <xf numFmtId="166" fontId="0" fillId="55" borderId="57" xfId="2601" applyFont="1" applyFill="1" applyBorder="1"/>
    <xf numFmtId="166" fontId="41" fillId="55" borderId="16" xfId="2601" applyFont="1" applyFill="1" applyBorder="1" applyAlignment="1">
      <alignment horizontal="left"/>
    </xf>
    <xf numFmtId="166" fontId="0" fillId="55" borderId="4" xfId="2601" applyFont="1" applyFill="1" applyBorder="1"/>
    <xf numFmtId="166" fontId="41" fillId="54" borderId="16" xfId="2601" applyFont="1" applyFill="1" applyBorder="1" applyAlignment="1">
      <alignment horizontal="left"/>
    </xf>
    <xf numFmtId="166" fontId="0" fillId="54" borderId="58" xfId="2601" applyFont="1" applyFill="1" applyBorder="1"/>
    <xf numFmtId="166" fontId="0" fillId="54" borderId="4" xfId="2601" applyFont="1" applyFill="1" applyBorder="1"/>
    <xf numFmtId="166" fontId="41" fillId="0" borderId="16" xfId="2601" applyFont="1" applyFill="1" applyBorder="1" applyAlignment="1">
      <alignment horizontal="left"/>
    </xf>
    <xf numFmtId="166" fontId="0" fillId="0" borderId="3" xfId="2601" applyFont="1" applyFill="1" applyBorder="1"/>
    <xf numFmtId="166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6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6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7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9" xfId="2604" applyNumberFormat="1" applyFont="1" applyFill="1" applyBorder="1"/>
    <xf numFmtId="173" fontId="0" fillId="0" borderId="46" xfId="2604" applyNumberFormat="1" applyFont="1" applyBorder="1"/>
    <xf numFmtId="180" fontId="0" fillId="34" borderId="0" xfId="2601" applyNumberFormat="1" applyFont="1" applyFill="1"/>
    <xf numFmtId="181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2" fontId="65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6" fontId="0" fillId="0" borderId="0" xfId="2601" applyFont="1" applyAlignment="1">
      <alignment horizontal="right"/>
    </xf>
    <xf numFmtId="183" fontId="0" fillId="0" borderId="0" xfId="0" applyNumberFormat="1"/>
    <xf numFmtId="183" fontId="22" fillId="0" borderId="0" xfId="0" applyNumberFormat="1" applyFont="1"/>
    <xf numFmtId="183" fontId="0" fillId="0" borderId="0" xfId="0" applyNumberFormat="1" applyAlignment="1">
      <alignment vertical="top"/>
    </xf>
    <xf numFmtId="183" fontId="19" fillId="36" borderId="0" xfId="0" applyNumberFormat="1" applyFont="1" applyFill="1" applyAlignment="1">
      <alignment vertical="top"/>
    </xf>
    <xf numFmtId="183" fontId="19" fillId="0" borderId="0" xfId="0" applyNumberFormat="1" applyFont="1" applyAlignment="1">
      <alignment vertical="top"/>
    </xf>
    <xf numFmtId="183" fontId="0" fillId="55" borderId="0" xfId="0" applyNumberFormat="1" applyFill="1"/>
    <xf numFmtId="183" fontId="0" fillId="55" borderId="0" xfId="0" applyNumberFormat="1" applyFill="1" applyAlignment="1">
      <alignment vertical="top"/>
    </xf>
    <xf numFmtId="183" fontId="0" fillId="54" borderId="0" xfId="0" applyNumberFormat="1" applyFill="1"/>
    <xf numFmtId="183" fontId="0" fillId="54" borderId="0" xfId="0" applyNumberFormat="1" applyFill="1" applyAlignment="1">
      <alignment vertical="top"/>
    </xf>
    <xf numFmtId="183" fontId="0" fillId="38" borderId="0" xfId="0" applyNumberFormat="1" applyFill="1"/>
    <xf numFmtId="183" fontId="0" fillId="38" borderId="0" xfId="0" applyNumberFormat="1" applyFill="1" applyAlignment="1">
      <alignment vertical="top"/>
    </xf>
    <xf numFmtId="183" fontId="19" fillId="38" borderId="0" xfId="0" applyNumberFormat="1" applyFont="1" applyFill="1" applyAlignment="1">
      <alignment vertical="top"/>
    </xf>
    <xf numFmtId="183" fontId="0" fillId="33" borderId="0" xfId="0" applyNumberFormat="1" applyFill="1" applyAlignment="1">
      <alignment vertical="top"/>
    </xf>
    <xf numFmtId="183" fontId="19" fillId="33" borderId="0" xfId="0" applyNumberFormat="1" applyFont="1" applyFill="1" applyAlignment="1">
      <alignment vertical="top"/>
    </xf>
    <xf numFmtId="183" fontId="0" fillId="41" borderId="0" xfId="0" applyNumberFormat="1" applyFill="1" applyAlignment="1">
      <alignment vertical="top"/>
    </xf>
    <xf numFmtId="183" fontId="0" fillId="41" borderId="0" xfId="0" applyNumberFormat="1" applyFill="1"/>
    <xf numFmtId="183" fontId="0" fillId="46" borderId="0" xfId="0" applyNumberFormat="1" applyFill="1" applyAlignment="1">
      <alignment vertical="top"/>
    </xf>
    <xf numFmtId="183" fontId="0" fillId="39" borderId="0" xfId="0" applyNumberFormat="1" applyFill="1" applyAlignment="1">
      <alignment vertical="top"/>
    </xf>
    <xf numFmtId="183" fontId="0" fillId="48" borderId="0" xfId="0" applyNumberFormat="1" applyFill="1" applyAlignment="1">
      <alignment vertical="top"/>
    </xf>
    <xf numFmtId="183" fontId="0" fillId="37" borderId="0" xfId="0" applyNumberFormat="1" applyFill="1"/>
    <xf numFmtId="183" fontId="19" fillId="54" borderId="0" xfId="0" applyNumberFormat="1" applyFont="1" applyFill="1" applyAlignment="1">
      <alignment vertical="top"/>
    </xf>
    <xf numFmtId="183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4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185" fontId="65" fillId="0" borderId="3" xfId="2617" applyNumberFormat="1" applyBorder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2" fontId="0" fillId="0" borderId="0" xfId="0" applyNumberFormat="1"/>
    <xf numFmtId="186" fontId="65" fillId="0" borderId="3" xfId="2617" applyNumberFormat="1" applyBorder="1"/>
    <xf numFmtId="0" fontId="68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6" fontId="55" fillId="59" borderId="72" xfId="2604" applyFont="1" applyFill="1" applyBorder="1"/>
    <xf numFmtId="166" fontId="55" fillId="59" borderId="43" xfId="2604" applyFont="1" applyFill="1" applyBorder="1"/>
    <xf numFmtId="166" fontId="55" fillId="0" borderId="43" xfId="2604" applyFont="1" applyFill="1" applyBorder="1"/>
    <xf numFmtId="166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6" fontId="55" fillId="59" borderId="55" xfId="2604" applyFont="1" applyFill="1" applyBorder="1"/>
    <xf numFmtId="166" fontId="55" fillId="59" borderId="22" xfId="2604" applyFont="1" applyFill="1" applyBorder="1"/>
    <xf numFmtId="166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6" fontId="55" fillId="59" borderId="78" xfId="2604" applyFont="1" applyFill="1" applyBorder="1"/>
    <xf numFmtId="166" fontId="55" fillId="59" borderId="23" xfId="2604" applyFont="1" applyFill="1" applyBorder="1"/>
    <xf numFmtId="166" fontId="55" fillId="0" borderId="23" xfId="2604" applyFont="1" applyFill="1" applyBorder="1"/>
    <xf numFmtId="166" fontId="55" fillId="0" borderId="79" xfId="2604" applyFont="1" applyFill="1" applyBorder="1"/>
    <xf numFmtId="172" fontId="62" fillId="36" borderId="11" xfId="2604" applyNumberFormat="1" applyFont="1" applyFill="1" applyBorder="1"/>
    <xf numFmtId="166" fontId="62" fillId="59" borderId="11" xfId="2604" applyFont="1" applyFill="1" applyBorder="1"/>
    <xf numFmtId="166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6" fontId="55" fillId="36" borderId="41" xfId="2604" applyFont="1" applyFill="1" applyBorder="1"/>
    <xf numFmtId="166" fontId="55" fillId="36" borderId="49" xfId="2604" applyFont="1" applyFill="1" applyBorder="1"/>
    <xf numFmtId="166" fontId="19" fillId="0" borderId="3" xfId="2604" applyFont="1" applyBorder="1"/>
    <xf numFmtId="166" fontId="55" fillId="36" borderId="46" xfId="2604" applyFont="1" applyFill="1" applyBorder="1"/>
    <xf numFmtId="166" fontId="19" fillId="0" borderId="3" xfId="2604" applyFont="1" applyFill="1" applyBorder="1"/>
    <xf numFmtId="166" fontId="62" fillId="36" borderId="11" xfId="2604" applyFont="1" applyFill="1" applyBorder="1"/>
    <xf numFmtId="166" fontId="22" fillId="0" borderId="3" xfId="2604" applyFont="1" applyBorder="1"/>
    <xf numFmtId="168" fontId="0" fillId="0" borderId="0" xfId="2598" applyNumberFormat="1" applyFont="1"/>
    <xf numFmtId="166" fontId="0" fillId="34" borderId="3" xfId="0" applyNumberFormat="1" applyFill="1" applyBorder="1"/>
    <xf numFmtId="183" fontId="0" fillId="47" borderId="0" xfId="0" applyNumberFormat="1" applyFill="1"/>
    <xf numFmtId="183" fontId="0" fillId="47" borderId="0" xfId="0" applyNumberFormat="1" applyFill="1" applyAlignment="1">
      <alignment vertical="top"/>
    </xf>
    <xf numFmtId="183" fontId="19" fillId="47" borderId="0" xfId="0" applyNumberFormat="1" applyFont="1" applyFill="1" applyAlignment="1">
      <alignment vertical="top"/>
    </xf>
    <xf numFmtId="166" fontId="65" fillId="0" borderId="0" xfId="2617" applyNumberFormat="1"/>
    <xf numFmtId="166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83" fontId="19" fillId="46" borderId="0" xfId="0" applyNumberFormat="1" applyFont="1" applyFill="1" applyAlignment="1">
      <alignment vertical="top"/>
    </xf>
    <xf numFmtId="193" fontId="65" fillId="0" borderId="3" xfId="2617" applyNumberFormat="1" applyBorder="1"/>
    <xf numFmtId="194" fontId="0" fillId="0" borderId="3" xfId="0" applyNumberFormat="1" applyBorder="1"/>
    <xf numFmtId="166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4" fontId="19" fillId="0" borderId="0" xfId="0" applyNumberFormat="1" applyFont="1" applyAlignment="1">
      <alignment vertical="top" wrapText="1"/>
    </xf>
    <xf numFmtId="4" fontId="19" fillId="33" borderId="0" xfId="0" applyNumberFormat="1" applyFont="1" applyFill="1" applyAlignment="1">
      <alignment vertical="top"/>
    </xf>
    <xf numFmtId="0" fontId="22" fillId="0" borderId="0" xfId="0" applyFont="1" applyAlignment="1">
      <alignment horizontal="center" vertical="center"/>
    </xf>
    <xf numFmtId="183" fontId="0" fillId="53" borderId="0" xfId="0" applyNumberFormat="1" applyFill="1" applyAlignment="1">
      <alignment vertical="top"/>
    </xf>
    <xf numFmtId="183" fontId="0" fillId="0" borderId="0" xfId="0" applyNumberFormat="1" applyAlignment="1">
      <alignment horizontal="center" vertical="center"/>
    </xf>
    <xf numFmtId="183" fontId="22" fillId="0" borderId="0" xfId="0" applyNumberFormat="1" applyFont="1" applyAlignment="1">
      <alignment horizontal="center" vertical="center"/>
    </xf>
    <xf numFmtId="0" fontId="0" fillId="52" borderId="0" xfId="0" applyFill="1"/>
    <xf numFmtId="167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6" fontId="22" fillId="0" borderId="0" xfId="2604" applyFont="1" applyAlignment="1"/>
    <xf numFmtId="166" fontId="0" fillId="0" borderId="0" xfId="2604" applyFont="1" applyAlignment="1"/>
    <xf numFmtId="0" fontId="0" fillId="34" borderId="0" xfId="0" applyFill="1" applyAlignment="1">
      <alignment horizontal="right"/>
    </xf>
    <xf numFmtId="0" fontId="71" fillId="0" borderId="0" xfId="0" applyFont="1"/>
    <xf numFmtId="0" fontId="0" fillId="53" borderId="3" xfId="0" applyFill="1" applyBorder="1"/>
    <xf numFmtId="0" fontId="0" fillId="61" borderId="3" xfId="0" applyFill="1" applyBorder="1"/>
    <xf numFmtId="166" fontId="0" fillId="61" borderId="3" xfId="2601" applyFont="1" applyFill="1" applyBorder="1"/>
    <xf numFmtId="166" fontId="0" fillId="53" borderId="3" xfId="2601" applyFont="1" applyFill="1" applyBorder="1"/>
    <xf numFmtId="166" fontId="0" fillId="61" borderId="3" xfId="0" applyNumberFormat="1" applyFill="1" applyBorder="1"/>
    <xf numFmtId="166" fontId="0" fillId="53" borderId="3" xfId="0" applyNumberFormat="1" applyFill="1" applyBorder="1"/>
    <xf numFmtId="0" fontId="0" fillId="62" borderId="0" xfId="0" applyFill="1"/>
    <xf numFmtId="166" fontId="0" fillId="0" borderId="63" xfId="2601" applyFont="1" applyBorder="1"/>
    <xf numFmtId="4" fontId="19" fillId="38" borderId="0" xfId="0" applyNumberFormat="1" applyFont="1" applyFill="1" applyAlignment="1">
      <alignment vertical="top"/>
    </xf>
    <xf numFmtId="0" fontId="19" fillId="38" borderId="0" xfId="0" applyFont="1" applyFill="1" applyAlignment="1">
      <alignment vertical="top"/>
    </xf>
    <xf numFmtId="0" fontId="68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 wrapText="1"/>
    </xf>
    <xf numFmtId="0" fontId="0" fillId="51" borderId="0" xfId="0" applyFill="1"/>
    <xf numFmtId="0" fontId="0" fillId="51" borderId="0" xfId="0" applyFill="1" applyAlignment="1">
      <alignment vertical="top"/>
    </xf>
    <xf numFmtId="4" fontId="19" fillId="51" borderId="0" xfId="0" applyNumberFormat="1" applyFont="1" applyFill="1" applyAlignment="1">
      <alignment vertical="top"/>
    </xf>
    <xf numFmtId="4" fontId="0" fillId="51" borderId="0" xfId="0" applyNumberFormat="1" applyFill="1" applyAlignment="1">
      <alignment vertical="top"/>
    </xf>
    <xf numFmtId="183" fontId="0" fillId="33" borderId="0" xfId="0" applyNumberFormat="1" applyFill="1"/>
    <xf numFmtId="166" fontId="19" fillId="51" borderId="0" xfId="2604" applyFont="1" applyFill="1"/>
    <xf numFmtId="0" fontId="62" fillId="63" borderId="53" xfId="0" applyFont="1" applyFill="1" applyBorder="1" applyAlignment="1">
      <alignment horizontal="center" vertical="center"/>
    </xf>
    <xf numFmtId="166" fontId="0" fillId="0" borderId="11" xfId="2601" applyFont="1" applyBorder="1" applyAlignment="1">
      <alignment horizontal="center"/>
    </xf>
    <xf numFmtId="166" fontId="0" fillId="55" borderId="40" xfId="2601" applyFont="1" applyFill="1" applyBorder="1"/>
    <xf numFmtId="166" fontId="0" fillId="0" borderId="65" xfId="2601" applyFont="1" applyBorder="1"/>
    <xf numFmtId="166" fontId="0" fillId="55" borderId="3" xfId="2601" applyFont="1" applyFill="1" applyBorder="1"/>
    <xf numFmtId="166" fontId="0" fillId="0" borderId="64" xfId="2601" applyFont="1" applyBorder="1"/>
    <xf numFmtId="166" fontId="0" fillId="54" borderId="3" xfId="2601" applyFont="1" applyFill="1" applyBorder="1"/>
    <xf numFmtId="166" fontId="0" fillId="0" borderId="58" xfId="2601" applyFont="1" applyBorder="1"/>
    <xf numFmtId="166" fontId="41" fillId="34" borderId="64" xfId="2601" applyFont="1" applyFill="1" applyBorder="1"/>
    <xf numFmtId="166" fontId="0" fillId="0" borderId="4" xfId="2601" applyFont="1" applyBorder="1"/>
    <xf numFmtId="166" fontId="41" fillId="34" borderId="81" xfId="2601" applyFont="1" applyFill="1" applyBorder="1"/>
    <xf numFmtId="183" fontId="19" fillId="39" borderId="0" xfId="0" applyNumberFormat="1" applyFont="1" applyFill="1" applyAlignment="1">
      <alignment vertical="top"/>
    </xf>
    <xf numFmtId="166" fontId="22" fillId="0" borderId="49" xfId="0" applyNumberFormat="1" applyFont="1" applyBorder="1"/>
    <xf numFmtId="182" fontId="66" fillId="0" borderId="3" xfId="2617" applyNumberFormat="1" applyFont="1" applyBorder="1"/>
    <xf numFmtId="182" fontId="65" fillId="0" borderId="3" xfId="2617" applyNumberFormat="1" applyBorder="1"/>
    <xf numFmtId="0" fontId="62" fillId="34" borderId="11" xfId="0" applyFont="1" applyFill="1" applyBorder="1" applyAlignment="1">
      <alignment horizontal="center" vertical="center"/>
    </xf>
    <xf numFmtId="0" fontId="0" fillId="61" borderId="0" xfId="0" applyFill="1"/>
    <xf numFmtId="0" fontId="0" fillId="61" borderId="0" xfId="0" applyFill="1" applyAlignment="1">
      <alignment vertical="top"/>
    </xf>
    <xf numFmtId="4" fontId="19" fillId="61" borderId="0" xfId="0" applyNumberFormat="1" applyFont="1" applyFill="1" applyAlignment="1">
      <alignment vertical="top"/>
    </xf>
    <xf numFmtId="4" fontId="0" fillId="61" borderId="0" xfId="0" applyNumberFormat="1" applyFill="1" applyAlignment="1">
      <alignment vertical="top"/>
    </xf>
    <xf numFmtId="0" fontId="19" fillId="54" borderId="0" xfId="0" applyFont="1" applyFill="1"/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 vertical="center"/>
    </xf>
    <xf numFmtId="0" fontId="56" fillId="0" borderId="0" xfId="0" applyFont="1" applyAlignment="1">
      <alignment horizontal="center"/>
    </xf>
    <xf numFmtId="183" fontId="22" fillId="34" borderId="0" xfId="0" applyNumberFormat="1" applyFont="1" applyFill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3" fontId="22" fillId="0" borderId="0" xfId="0" applyNumberFormat="1" applyFont="1" applyAlignment="1">
      <alignment horizontal="center" vertical="center"/>
    </xf>
    <xf numFmtId="183" fontId="22" fillId="0" borderId="0" xfId="0" applyNumberFormat="1" applyFont="1" applyAlignment="1">
      <alignment horizontal="center" vertical="center" wrapText="1"/>
    </xf>
    <xf numFmtId="166" fontId="62" fillId="0" borderId="5" xfId="0" applyNumberFormat="1" applyFont="1" applyBorder="1" applyAlignment="1">
      <alignment horizontal="center"/>
    </xf>
    <xf numFmtId="166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FFFF00"/>
      <color rgb="FF9ACDD4"/>
      <color rgb="FF00FF99"/>
      <color rgb="FFCC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1</xdr:row>
      <xdr:rowOff>85725</xdr:rowOff>
    </xdr:from>
    <xdr:to>
      <xdr:col>19</xdr:col>
      <xdr:colOff>857250</xdr:colOff>
      <xdr:row>6</xdr:row>
      <xdr:rowOff>67237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85725</xdr:rowOff>
    </xdr:from>
    <xdr:to>
      <xdr:col>19</xdr:col>
      <xdr:colOff>828675</xdr:colOff>
      <xdr:row>44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7350" y="80581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85495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495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26" sqref="I26"/>
    </sheetView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5.21875" style="167" customWidth="1"/>
    <col min="5" max="5" width="20.44140625" style="167" customWidth="1"/>
    <col min="6" max="6" width="15.21875" style="167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6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6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6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6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6"/>
    </row>
    <row r="8" spans="2:13" ht="13.8" thickBot="1" x14ac:dyDescent="0.3">
      <c r="C8" s="182" t="s">
        <v>89</v>
      </c>
      <c r="D8" s="183"/>
      <c r="E8" s="184"/>
      <c r="F8" s="184"/>
      <c r="G8" s="185"/>
      <c r="J8" s="726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6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4" priority="5" operator="notEqual">
      <formula>TRUE</formula>
    </cfRule>
  </conditionalFormatting>
  <conditionalFormatting sqref="D33:G33">
    <cfRule type="cellIs" dxfId="103" priority="4" operator="notEqual">
      <formula>TRUE</formula>
    </cfRule>
  </conditionalFormatting>
  <conditionalFormatting sqref="D35:G35">
    <cfRule type="cellIs" dxfId="102" priority="3" operator="notEqual">
      <formula>TRUE</formula>
    </cfRule>
  </conditionalFormatting>
  <conditionalFormatting sqref="I35:J35">
    <cfRule type="cellIs" dxfId="10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I26" sqref="I26"/>
    </sheetView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4.7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ht="12.6" customHeight="1" x14ac:dyDescent="0.25">
      <c r="C3" s="174">
        <v>1</v>
      </c>
      <c r="D3" s="175">
        <v>14382259562</v>
      </c>
      <c r="E3" s="176">
        <v>305702</v>
      </c>
      <c r="F3" s="176">
        <v>0</v>
      </c>
      <c r="G3" s="177">
        <v>0</v>
      </c>
      <c r="J3" s="726"/>
    </row>
    <row r="4" spans="2:13" ht="12.6" customHeight="1" x14ac:dyDescent="0.25">
      <c r="C4" s="178">
        <v>2</v>
      </c>
      <c r="D4" s="179">
        <v>10247752463</v>
      </c>
      <c r="E4" s="180">
        <v>198695</v>
      </c>
      <c r="F4" s="180">
        <v>0</v>
      </c>
      <c r="G4" s="181">
        <v>0</v>
      </c>
      <c r="J4" s="726"/>
    </row>
    <row r="5" spans="2:13" ht="12.6" customHeight="1" x14ac:dyDescent="0.25">
      <c r="C5" s="178">
        <v>3</v>
      </c>
      <c r="D5" s="179">
        <v>8348318512</v>
      </c>
      <c r="E5" s="180">
        <v>195122</v>
      </c>
      <c r="F5" s="180">
        <v>0</v>
      </c>
      <c r="G5" s="181">
        <v>0</v>
      </c>
      <c r="J5" s="726"/>
    </row>
    <row r="6" spans="2:13" ht="12.6" customHeight="1" x14ac:dyDescent="0.25">
      <c r="C6" s="178">
        <v>4</v>
      </c>
      <c r="D6" s="179">
        <v>9859647946</v>
      </c>
      <c r="E6" s="180">
        <v>172571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7125653520</v>
      </c>
      <c r="E7" s="180">
        <v>137028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49963632003</v>
      </c>
      <c r="E9" s="186">
        <v>1009118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128684600</v>
      </c>
      <c r="E12" s="176">
        <v>2090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60162560</v>
      </c>
      <c r="E13" s="180">
        <v>1233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58639078</v>
      </c>
      <c r="E14" s="180">
        <v>1146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72782190</v>
      </c>
      <c r="E15" s="180">
        <v>1190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122557965</v>
      </c>
      <c r="E16" s="180">
        <v>2207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442826393</v>
      </c>
      <c r="E18" s="186">
        <v>7866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14510944162</v>
      </c>
      <c r="E21" s="176">
        <v>307792</v>
      </c>
      <c r="F21" s="176">
        <v>0</v>
      </c>
      <c r="G21" s="177">
        <v>0</v>
      </c>
      <c r="I21" s="175">
        <v>14510944162</v>
      </c>
      <c r="J21" s="177">
        <v>307792</v>
      </c>
    </row>
    <row r="22" spans="1:11" s="167" customFormat="1" ht="12.6" customHeight="1" x14ac:dyDescent="0.25">
      <c r="B22"/>
      <c r="C22" s="178">
        <v>2</v>
      </c>
      <c r="D22" s="179">
        <v>10307915023</v>
      </c>
      <c r="E22" s="180">
        <v>199928</v>
      </c>
      <c r="F22" s="180">
        <v>0</v>
      </c>
      <c r="G22" s="181">
        <v>0</v>
      </c>
      <c r="I22" s="179">
        <v>10307915023</v>
      </c>
      <c r="J22" s="181">
        <v>199928</v>
      </c>
    </row>
    <row r="23" spans="1:11" s="167" customFormat="1" ht="12.6" customHeight="1" x14ac:dyDescent="0.25">
      <c r="B23"/>
      <c r="C23" s="178">
        <v>3</v>
      </c>
      <c r="D23" s="179">
        <v>8406957590</v>
      </c>
      <c r="E23" s="180">
        <v>196268</v>
      </c>
      <c r="F23" s="180">
        <v>0</v>
      </c>
      <c r="G23" s="181">
        <v>0</v>
      </c>
      <c r="I23" s="179">
        <v>8406957590</v>
      </c>
      <c r="J23" s="181">
        <v>196268</v>
      </c>
    </row>
    <row r="24" spans="1:11" s="167" customFormat="1" ht="12.6" customHeight="1" x14ac:dyDescent="0.25">
      <c r="B24"/>
      <c r="C24" s="178">
        <v>4</v>
      </c>
      <c r="D24" s="179">
        <v>9932430136</v>
      </c>
      <c r="E24" s="180">
        <v>173761</v>
      </c>
      <c r="F24" s="180">
        <v>0</v>
      </c>
      <c r="G24" s="181">
        <v>0</v>
      </c>
      <c r="I24" s="179">
        <v>9932430136</v>
      </c>
      <c r="J24" s="181">
        <v>173761</v>
      </c>
    </row>
    <row r="25" spans="1:11" s="167" customFormat="1" ht="12.6" customHeight="1" x14ac:dyDescent="0.25">
      <c r="B25"/>
      <c r="C25" s="178">
        <v>5</v>
      </c>
      <c r="D25" s="179">
        <v>7248211485</v>
      </c>
      <c r="E25" s="180">
        <v>139235</v>
      </c>
      <c r="F25" s="180">
        <v>0</v>
      </c>
      <c r="G25" s="181">
        <v>0</v>
      </c>
      <c r="I25" s="179">
        <v>7248211485</v>
      </c>
      <c r="J25" s="181">
        <v>139235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50406458396</v>
      </c>
      <c r="E27" s="186">
        <v>1016984</v>
      </c>
      <c r="F27" s="186">
        <v>0</v>
      </c>
      <c r="G27" s="186">
        <v>0</v>
      </c>
      <c r="I27" s="204">
        <v>50406458396</v>
      </c>
      <c r="J27" s="205">
        <v>1016984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0" priority="5" operator="notEqual">
      <formula>TRUE</formula>
    </cfRule>
  </conditionalFormatting>
  <conditionalFormatting sqref="D33:G33">
    <cfRule type="cellIs" dxfId="99" priority="4" operator="notEqual">
      <formula>TRUE</formula>
    </cfRule>
  </conditionalFormatting>
  <conditionalFormatting sqref="D35:G35">
    <cfRule type="cellIs" dxfId="98" priority="3" operator="notEqual">
      <formula>TRUE</formula>
    </cfRule>
  </conditionalFormatting>
  <conditionalFormatting sqref="I35:J35">
    <cfRule type="cellIs" dxfId="97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26" sqref="I26"/>
    </sheetView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4.7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6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6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6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140424760</v>
      </c>
      <c r="E7" s="180">
        <v>2998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140424760</v>
      </c>
      <c r="E9" s="186">
        <v>2998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140424760</v>
      </c>
      <c r="E25" s="180">
        <v>2998</v>
      </c>
      <c r="F25" s="180">
        <v>0</v>
      </c>
      <c r="G25" s="181">
        <v>0</v>
      </c>
      <c r="I25" s="179">
        <v>140424760</v>
      </c>
      <c r="J25" s="181">
        <v>2998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140424760</v>
      </c>
      <c r="E27" s="186">
        <v>2998</v>
      </c>
      <c r="F27" s="186">
        <v>0</v>
      </c>
      <c r="G27" s="186">
        <v>0</v>
      </c>
      <c r="I27" s="204">
        <v>140424760</v>
      </c>
      <c r="J27" s="205">
        <v>2998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6" priority="4" operator="notEqual">
      <formula>TRUE</formula>
    </cfRule>
  </conditionalFormatting>
  <conditionalFormatting sqref="D33:G33">
    <cfRule type="cellIs" dxfId="95" priority="3" operator="notEqual">
      <formula>TRUE</formula>
    </cfRule>
  </conditionalFormatting>
  <conditionalFormatting sqref="D35:G35">
    <cfRule type="cellIs" dxfId="94" priority="2" operator="notEqual">
      <formula>TRUE</formula>
    </cfRule>
  </conditionalFormatting>
  <conditionalFormatting sqref="I35:J35">
    <cfRule type="cellIs" dxfId="93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/>
  </sheetViews>
  <sheetFormatPr baseColWidth="10" defaultColWidth="11.44140625" defaultRowHeight="13.2" x14ac:dyDescent="0.25"/>
  <cols>
    <col min="1" max="1" width="2.21875" style="213" customWidth="1"/>
    <col min="2" max="2" width="25" style="213" bestFit="1" customWidth="1"/>
    <col min="3" max="3" width="4.77734375" style="213" bestFit="1" customWidth="1"/>
    <col min="4" max="4" width="13.77734375" style="167" bestFit="1" customWidth="1"/>
    <col min="5" max="5" width="19" style="167" bestFit="1" customWidth="1"/>
    <col min="6" max="6" width="13.77734375" style="167" bestFit="1" customWidth="1"/>
    <col min="7" max="7" width="19" style="167" bestFit="1" customWidth="1"/>
    <col min="8" max="8" width="3.77734375" style="167" customWidth="1"/>
    <col min="9" max="9" width="20" style="167" bestFit="1" customWidth="1"/>
    <col min="10" max="10" width="26.5546875" style="167" bestFit="1" customWidth="1"/>
    <col min="11" max="13" width="19.777343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2" priority="5" operator="notEqual">
      <formula>TRUE</formula>
    </cfRule>
  </conditionalFormatting>
  <conditionalFormatting sqref="D33:G33">
    <cfRule type="cellIs" dxfId="91" priority="4" operator="notEqual">
      <formula>TRUE</formula>
    </cfRule>
  </conditionalFormatting>
  <conditionalFormatting sqref="D35:G35">
    <cfRule type="cellIs" dxfId="90" priority="3" operator="notEqual">
      <formula>TRUE</formula>
    </cfRule>
  </conditionalFormatting>
  <conditionalFormatting sqref="I35:J35">
    <cfRule type="cellIs" dxfId="89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I26" sqref="I26"/>
    </sheetView>
  </sheetViews>
  <sheetFormatPr baseColWidth="10" defaultColWidth="11.44140625" defaultRowHeight="13.2" x14ac:dyDescent="0.25"/>
  <cols>
    <col min="1" max="1" width="2.21875" style="166" customWidth="1"/>
    <col min="2" max="2" width="12.77734375" style="166" bestFit="1" customWidth="1"/>
    <col min="3" max="3" width="7.21875" style="166" customWidth="1"/>
    <col min="4" max="4" width="15.21875" style="167" customWidth="1"/>
    <col min="5" max="5" width="20.44140625" style="167" customWidth="1"/>
    <col min="6" max="6" width="15.21875" style="167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x14ac:dyDescent="0.25">
      <c r="C3" s="174">
        <v>1</v>
      </c>
      <c r="D3" s="279">
        <v>322739090</v>
      </c>
      <c r="E3" s="176">
        <v>1616</v>
      </c>
      <c r="F3" s="176">
        <v>0</v>
      </c>
      <c r="G3" s="177">
        <v>0</v>
      </c>
      <c r="J3" s="726"/>
    </row>
    <row r="4" spans="2:13" x14ac:dyDescent="0.25">
      <c r="C4" s="178">
        <v>2</v>
      </c>
      <c r="D4" s="280">
        <v>839789795</v>
      </c>
      <c r="E4" s="180">
        <v>3964</v>
      </c>
      <c r="F4" s="180">
        <v>0</v>
      </c>
      <c r="G4" s="181">
        <v>0</v>
      </c>
      <c r="J4" s="726"/>
    </row>
    <row r="5" spans="2:13" x14ac:dyDescent="0.25">
      <c r="C5" s="178">
        <v>3</v>
      </c>
      <c r="D5" s="280">
        <v>417500887</v>
      </c>
      <c r="E5" s="180">
        <v>1376</v>
      </c>
      <c r="F5" s="180">
        <v>0</v>
      </c>
      <c r="G5" s="181">
        <v>0</v>
      </c>
      <c r="J5" s="726"/>
    </row>
    <row r="6" spans="2:13" x14ac:dyDescent="0.25">
      <c r="C6" s="178">
        <v>4</v>
      </c>
      <c r="D6" s="280">
        <v>481464262</v>
      </c>
      <c r="E6" s="180">
        <v>2591</v>
      </c>
      <c r="F6" s="180">
        <v>0</v>
      </c>
      <c r="G6" s="181">
        <v>0</v>
      </c>
    </row>
    <row r="7" spans="2:13" x14ac:dyDescent="0.25">
      <c r="C7" s="178">
        <v>5</v>
      </c>
      <c r="D7" s="280">
        <v>168793421</v>
      </c>
      <c r="E7" s="180">
        <v>1160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81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2230287455</v>
      </c>
      <c r="E9" s="186">
        <v>10707</v>
      </c>
      <c r="F9" s="186">
        <v>0</v>
      </c>
      <c r="G9" s="186">
        <v>0</v>
      </c>
    </row>
    <row r="10" spans="2:13" ht="13.8" thickBot="1" x14ac:dyDescent="0.3">
      <c r="D10" s="282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3">
        <v>48127653</v>
      </c>
      <c r="E12" s="191">
        <v>74</v>
      </c>
      <c r="F12" s="191">
        <v>0</v>
      </c>
      <c r="G12" s="192">
        <v>0</v>
      </c>
    </row>
    <row r="13" spans="2:13" x14ac:dyDescent="0.25">
      <c r="C13" s="193">
        <v>2</v>
      </c>
      <c r="D13" s="280">
        <v>132160935</v>
      </c>
      <c r="E13" s="180">
        <v>54</v>
      </c>
      <c r="F13" s="180">
        <v>0</v>
      </c>
      <c r="G13" s="181">
        <v>0</v>
      </c>
    </row>
    <row r="14" spans="2:13" x14ac:dyDescent="0.25">
      <c r="C14" s="193">
        <v>3</v>
      </c>
      <c r="D14" s="280">
        <v>19609348</v>
      </c>
      <c r="E14" s="180">
        <v>11</v>
      </c>
      <c r="F14" s="180">
        <v>0</v>
      </c>
      <c r="G14" s="181">
        <v>0</v>
      </c>
    </row>
    <row r="15" spans="2:13" x14ac:dyDescent="0.25">
      <c r="C15" s="193">
        <v>4</v>
      </c>
      <c r="D15" s="280">
        <v>118198907</v>
      </c>
      <c r="E15" s="180">
        <v>9</v>
      </c>
      <c r="F15" s="180">
        <v>0</v>
      </c>
      <c r="G15" s="181">
        <v>0</v>
      </c>
    </row>
    <row r="16" spans="2:13" x14ac:dyDescent="0.25">
      <c r="C16" s="193">
        <v>5</v>
      </c>
      <c r="D16" s="280">
        <v>7112332</v>
      </c>
      <c r="E16" s="180">
        <v>27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325209175</v>
      </c>
      <c r="E18" s="198">
        <v>175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9">
        <v>370866743</v>
      </c>
      <c r="E21" s="284">
        <v>1690</v>
      </c>
      <c r="F21" s="176">
        <v>0</v>
      </c>
      <c r="G21" s="177">
        <v>0</v>
      </c>
      <c r="I21" s="175">
        <v>370866743</v>
      </c>
      <c r="J21" s="177">
        <v>1690</v>
      </c>
    </row>
    <row r="22" spans="1:13" s="167" customFormat="1" x14ac:dyDescent="0.25">
      <c r="B22" s="166"/>
      <c r="C22" s="178">
        <v>2</v>
      </c>
      <c r="D22" s="280">
        <v>971950730</v>
      </c>
      <c r="E22" s="285">
        <v>4018</v>
      </c>
      <c r="F22" s="180">
        <v>0</v>
      </c>
      <c r="G22" s="181">
        <v>0</v>
      </c>
      <c r="I22" s="179">
        <v>971950730</v>
      </c>
      <c r="J22" s="181">
        <v>4018</v>
      </c>
    </row>
    <row r="23" spans="1:13" s="167" customFormat="1" x14ac:dyDescent="0.25">
      <c r="B23" s="166"/>
      <c r="C23" s="178">
        <v>3</v>
      </c>
      <c r="D23" s="280">
        <v>437110235</v>
      </c>
      <c r="E23" s="285">
        <v>1387</v>
      </c>
      <c r="F23" s="180">
        <v>0</v>
      </c>
      <c r="G23" s="181">
        <v>0</v>
      </c>
      <c r="I23" s="179">
        <v>437110235</v>
      </c>
      <c r="J23" s="181">
        <v>1387</v>
      </c>
    </row>
    <row r="24" spans="1:13" s="167" customFormat="1" x14ac:dyDescent="0.25">
      <c r="B24" s="166"/>
      <c r="C24" s="178">
        <v>4</v>
      </c>
      <c r="D24" s="280">
        <v>599663169</v>
      </c>
      <c r="E24" s="285">
        <v>2600</v>
      </c>
      <c r="F24" s="180">
        <v>0</v>
      </c>
      <c r="G24" s="181">
        <v>0</v>
      </c>
      <c r="I24" s="179">
        <v>599663169</v>
      </c>
      <c r="J24" s="181">
        <v>2600</v>
      </c>
    </row>
    <row r="25" spans="1:13" s="167" customFormat="1" x14ac:dyDescent="0.25">
      <c r="B25" s="166"/>
      <c r="C25" s="178">
        <v>5</v>
      </c>
      <c r="D25" s="280">
        <v>175905753</v>
      </c>
      <c r="E25" s="285">
        <v>1187</v>
      </c>
      <c r="F25" s="180">
        <v>0</v>
      </c>
      <c r="G25" s="181">
        <v>0</v>
      </c>
      <c r="I25" s="179">
        <v>175905753</v>
      </c>
      <c r="J25" s="181">
        <v>1187</v>
      </c>
    </row>
    <row r="26" spans="1:13" ht="13.8" thickBot="1" x14ac:dyDescent="0.3">
      <c r="C26" s="286" t="s">
        <v>89</v>
      </c>
      <c r="D26" s="287">
        <v>0</v>
      </c>
      <c r="E26" s="285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2555496630</v>
      </c>
      <c r="E27" s="186">
        <v>10882</v>
      </c>
      <c r="F27" s="186">
        <v>0</v>
      </c>
      <c r="G27" s="186">
        <v>0</v>
      </c>
      <c r="I27" s="204">
        <v>2555496630</v>
      </c>
      <c r="J27" s="205">
        <v>10882</v>
      </c>
    </row>
    <row r="29" spans="1:13" customFormat="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8" priority="5" operator="notEqual">
      <formula>TRUE</formula>
    </cfRule>
  </conditionalFormatting>
  <conditionalFormatting sqref="D33:G33">
    <cfRule type="cellIs" dxfId="87" priority="4" operator="notEqual">
      <formula>TRUE</formula>
    </cfRule>
  </conditionalFormatting>
  <conditionalFormatting sqref="D35:G35">
    <cfRule type="cellIs" dxfId="86" priority="3" operator="notEqual">
      <formula>TRUE</formula>
    </cfRule>
  </conditionalFormatting>
  <conditionalFormatting sqref="I35:J35">
    <cfRule type="cellIs" dxfId="85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"/>
  <sheetViews>
    <sheetView zoomScale="90" zoomScaleNormal="90" workbookViewId="0">
      <selection activeCell="I26" sqref="I26"/>
    </sheetView>
  </sheetViews>
  <sheetFormatPr baseColWidth="10" defaultRowHeight="13.2" x14ac:dyDescent="0.25"/>
  <cols>
    <col min="1" max="1" width="6" customWidth="1"/>
    <col min="2" max="2" width="47.77734375" bestFit="1" customWidth="1"/>
    <col min="3" max="9" width="22.77734375" customWidth="1"/>
    <col min="10" max="10" width="17.777343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324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50300863011.870003</v>
      </c>
      <c r="D2" s="249">
        <f t="shared" ref="D2:F2" si="0">D13+D23+D32+D41+D51</f>
        <v>0</v>
      </c>
      <c r="E2" s="249">
        <f t="shared" si="0"/>
        <v>0</v>
      </c>
      <c r="F2" s="249">
        <f t="shared" si="0"/>
        <v>0</v>
      </c>
      <c r="G2" s="249">
        <f>G13+G23+G32+G41+G51</f>
        <v>139510580</v>
      </c>
      <c r="H2" s="249">
        <f>H13+H23+H32+H41+H51</f>
        <v>2448056228.5500002</v>
      </c>
      <c r="I2" s="250">
        <f>SUM(C2:H2)</f>
        <v>52888429820.420006</v>
      </c>
    </row>
    <row r="3" spans="1:10" x14ac:dyDescent="0.25">
      <c r="B3" t="s">
        <v>98</v>
      </c>
      <c r="C3" s="249">
        <f>C14+C24+C33+C42+C52</f>
        <v>108311160.13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>G14+G24+G33+G42+G52</f>
        <v>914180</v>
      </c>
      <c r="H3" s="249">
        <f t="shared" si="1"/>
        <v>61958868.189999998</v>
      </c>
      <c r="I3" s="250">
        <f>SUM(C3:H3)</f>
        <v>171184208.31999999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2">G15+G25+G34+G43+G53</f>
        <v>0</v>
      </c>
      <c r="H4" s="249">
        <f t="shared" si="1"/>
        <v>45481533.259999998</v>
      </c>
      <c r="I4" s="250">
        <f>SUM(C4:H4)</f>
        <v>45481533.259999998</v>
      </c>
    </row>
    <row r="5" spans="1:10" x14ac:dyDescent="0.25">
      <c r="B5" t="s">
        <v>168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3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50409174172</v>
      </c>
      <c r="D6" s="250">
        <f t="shared" ref="D6:H6" si="4">SUM(D2:D5)</f>
        <v>0</v>
      </c>
      <c r="E6" s="250">
        <f t="shared" si="4"/>
        <v>0</v>
      </c>
      <c r="F6" s="250">
        <f t="shared" si="4"/>
        <v>0</v>
      </c>
      <c r="G6" s="250">
        <f>SUM(G2:G5)</f>
        <v>140424760</v>
      </c>
      <c r="H6" s="250">
        <f t="shared" si="4"/>
        <v>2555496630.0000005</v>
      </c>
      <c r="I6" s="250">
        <f>SUM(I2:I5)</f>
        <v>53105095562.000008</v>
      </c>
    </row>
    <row r="7" spans="1:10" x14ac:dyDescent="0.25">
      <c r="C7" s="251" t="b">
        <f>C6=(C17+C27+C36+C45+C55)</f>
        <v>1</v>
      </c>
      <c r="D7" s="251" t="b">
        <f t="shared" ref="D7:H7" si="5">D6=(D17+D27+D36+D45+D55)</f>
        <v>1</v>
      </c>
      <c r="E7" s="251" t="b">
        <f t="shared" si="5"/>
        <v>1</v>
      </c>
      <c r="F7" s="251" t="b">
        <f t="shared" si="5"/>
        <v>1</v>
      </c>
      <c r="G7" s="251"/>
      <c r="H7" s="251" t="b">
        <f t="shared" si="5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324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14481337615</v>
      </c>
      <c r="D13" s="244"/>
      <c r="E13" s="244"/>
      <c r="F13" s="244"/>
      <c r="G13" s="244"/>
      <c r="H13" s="244">
        <v>351466052.77999997</v>
      </c>
      <c r="I13" s="246">
        <f>SUM(C13:H13)</f>
        <v>14832803667.780001</v>
      </c>
      <c r="J13" s="251" t="b">
        <f>SUM(C13:H13)=I13</f>
        <v>1</v>
      </c>
    </row>
    <row r="14" spans="1:10" x14ac:dyDescent="0.25">
      <c r="B14" s="89" t="s">
        <v>98</v>
      </c>
      <c r="C14" s="244">
        <v>29606547</v>
      </c>
      <c r="D14" s="244"/>
      <c r="E14" s="244"/>
      <c r="F14" s="244"/>
      <c r="G14" s="244"/>
      <c r="H14" s="244">
        <v>17250690.219999999</v>
      </c>
      <c r="I14" s="246">
        <f t="shared" ref="I14:I16" si="6">SUM(C14:H14)</f>
        <v>46857237.219999999</v>
      </c>
      <c r="J14" s="251" t="b">
        <f t="shared" ref="J14:J17" si="7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2150000</v>
      </c>
      <c r="I15" s="246">
        <f t="shared" si="6"/>
        <v>2150000</v>
      </c>
      <c r="J15" s="251" t="b">
        <f t="shared" si="7"/>
        <v>1</v>
      </c>
    </row>
    <row r="16" spans="1:10" x14ac:dyDescent="0.25">
      <c r="B16" t="s">
        <v>168</v>
      </c>
      <c r="C16" s="244">
        <v>0</v>
      </c>
      <c r="D16" s="244"/>
      <c r="E16" s="244"/>
      <c r="F16" s="244"/>
      <c r="G16" s="244"/>
      <c r="H16" s="244"/>
      <c r="I16" s="246">
        <f t="shared" si="6"/>
        <v>0</v>
      </c>
      <c r="J16" s="251" t="b">
        <f t="shared" si="7"/>
        <v>1</v>
      </c>
    </row>
    <row r="17" spans="2:11" x14ac:dyDescent="0.25">
      <c r="B17" s="89" t="s">
        <v>70</v>
      </c>
      <c r="C17" s="244">
        <f>SUM(C13:C16)</f>
        <v>14510944162</v>
      </c>
      <c r="D17" s="244">
        <f t="shared" ref="D17:F17" si="8">SUM(D13:D16)</f>
        <v>0</v>
      </c>
      <c r="E17" s="244">
        <f t="shared" si="8"/>
        <v>0</v>
      </c>
      <c r="F17" s="244">
        <f t="shared" si="8"/>
        <v>0</v>
      </c>
      <c r="G17" s="244">
        <f>SUM(G13:G16)</f>
        <v>0</v>
      </c>
      <c r="H17" s="244">
        <f>SUM(H13:H16)</f>
        <v>370866743</v>
      </c>
      <c r="I17" s="247">
        <f>SUM(I13:I16)</f>
        <v>14881810905</v>
      </c>
      <c r="J17" s="251" t="b">
        <f t="shared" si="7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324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10286935425.870001</v>
      </c>
      <c r="D23" s="244"/>
      <c r="E23" s="244">
        <v>0</v>
      </c>
      <c r="F23" s="244">
        <v>0</v>
      </c>
      <c r="G23" s="244"/>
      <c r="H23" s="244">
        <v>924037603.38999999</v>
      </c>
      <c r="I23" s="246">
        <f>SUM(C23:H23)</f>
        <v>11210973029.26</v>
      </c>
      <c r="J23" s="251" t="b">
        <f t="shared" ref="J23:J26" si="9">SUM(C23:H23)=I23</f>
        <v>1</v>
      </c>
    </row>
    <row r="24" spans="2:11" x14ac:dyDescent="0.25">
      <c r="B24" s="89" t="s">
        <v>98</v>
      </c>
      <c r="C24" s="244">
        <v>22325147.129999999</v>
      </c>
      <c r="D24" s="244"/>
      <c r="E24" s="244">
        <v>0</v>
      </c>
      <c r="F24" s="244">
        <v>0</v>
      </c>
      <c r="G24" s="244"/>
      <c r="H24" s="244">
        <v>29950514.969999999</v>
      </c>
      <c r="I24" s="246">
        <f t="shared" ref="I24:I26" si="10">SUM(C24:H24)</f>
        <v>52275662.099999994</v>
      </c>
      <c r="J24" s="251" t="b">
        <f t="shared" si="9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17962611.640000001</v>
      </c>
      <c r="I25" s="246">
        <f t="shared" si="10"/>
        <v>17962611.640000001</v>
      </c>
      <c r="J25" s="251" t="b">
        <f t="shared" si="9"/>
        <v>1</v>
      </c>
    </row>
    <row r="26" spans="2:11" x14ac:dyDescent="0.25">
      <c r="B26" s="89" t="s">
        <v>168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0"/>
        <v>0</v>
      </c>
      <c r="J26" s="251" t="b">
        <f t="shared" si="9"/>
        <v>1</v>
      </c>
    </row>
    <row r="27" spans="2:11" x14ac:dyDescent="0.25">
      <c r="B27" s="89" t="s">
        <v>70</v>
      </c>
      <c r="C27" s="244">
        <f>SUM(C23:C26)</f>
        <v>10309260573</v>
      </c>
      <c r="D27" s="244">
        <f t="shared" ref="D27:E27" si="11">SUM(D23:D26)</f>
        <v>0</v>
      </c>
      <c r="E27" s="244">
        <f t="shared" si="11"/>
        <v>0</v>
      </c>
      <c r="F27" s="244">
        <f>SUM(F23:F26)</f>
        <v>0</v>
      </c>
      <c r="G27" s="244">
        <f>SUM(G23:G26)</f>
        <v>0</v>
      </c>
      <c r="H27" s="244">
        <f>SUM(H23:H26)</f>
        <v>971950730</v>
      </c>
      <c r="I27" s="247">
        <f>SUM(I23:I26)</f>
        <v>11281211303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324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8398576932</v>
      </c>
      <c r="D32" s="244"/>
      <c r="E32" s="244"/>
      <c r="F32" s="244">
        <v>0</v>
      </c>
      <c r="G32" s="244"/>
      <c r="H32" s="244">
        <v>431521625.29000002</v>
      </c>
      <c r="I32" s="246">
        <f>SUM(C32:H32)</f>
        <v>8830098557.2900009</v>
      </c>
      <c r="J32" s="251" t="b">
        <f>SUM(C32:H32)=I32</f>
        <v>1</v>
      </c>
    </row>
    <row r="33" spans="2:10" x14ac:dyDescent="0.25">
      <c r="B33" s="89" t="s">
        <v>98</v>
      </c>
      <c r="C33" s="244">
        <v>8845080</v>
      </c>
      <c r="D33" s="244"/>
      <c r="E33" s="244"/>
      <c r="F33" s="244">
        <v>0</v>
      </c>
      <c r="G33" s="244"/>
      <c r="H33" s="244">
        <v>4909289</v>
      </c>
      <c r="I33" s="246">
        <f>SUM(C33:H33)</f>
        <v>13754369</v>
      </c>
      <c r="J33" s="251" t="b">
        <f t="shared" ref="J33:J36" si="12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679320.71</v>
      </c>
      <c r="I34" s="246">
        <f>SUM(C34:H34)</f>
        <v>679320.71</v>
      </c>
      <c r="J34" s="251" t="b">
        <f t="shared" si="12"/>
        <v>1</v>
      </c>
    </row>
    <row r="35" spans="2:10" x14ac:dyDescent="0.25">
      <c r="B35" s="89" t="s">
        <v>168</v>
      </c>
      <c r="C35" s="244">
        <v>0</v>
      </c>
      <c r="D35" s="244"/>
      <c r="E35" s="244"/>
      <c r="F35" s="244">
        <v>0</v>
      </c>
      <c r="G35" s="244"/>
      <c r="H35" s="244"/>
      <c r="I35" s="246">
        <f>SUM(C35:H35)</f>
        <v>0</v>
      </c>
      <c r="J35" s="251" t="b">
        <f t="shared" si="12"/>
        <v>1</v>
      </c>
    </row>
    <row r="36" spans="2:10" x14ac:dyDescent="0.25">
      <c r="B36" s="89" t="s">
        <v>70</v>
      </c>
      <c r="C36" s="244">
        <f>SUM(C32:C35)</f>
        <v>8407422012</v>
      </c>
      <c r="D36" s="244">
        <f t="shared" ref="D36:G36" si="13">SUM(D32:D35)</f>
        <v>0</v>
      </c>
      <c r="E36" s="244">
        <f t="shared" si="13"/>
        <v>0</v>
      </c>
      <c r="F36" s="244">
        <f t="shared" si="13"/>
        <v>0</v>
      </c>
      <c r="G36" s="244">
        <f t="shared" si="13"/>
        <v>0</v>
      </c>
      <c r="H36" s="244">
        <f>SUM(H32:H35)</f>
        <v>437110235</v>
      </c>
      <c r="I36" s="247">
        <f>SUM(I32:I35)</f>
        <v>8844532247</v>
      </c>
      <c r="J36" s="251" t="b">
        <f t="shared" si="12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324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9890363914</v>
      </c>
      <c r="D41" s="244"/>
      <c r="E41" s="244">
        <v>0</v>
      </c>
      <c r="F41" s="244">
        <v>0</v>
      </c>
      <c r="G41" s="244"/>
      <c r="H41" s="244">
        <v>567677879.85000002</v>
      </c>
      <c r="I41" s="246">
        <f t="shared" ref="I41:I44" si="14">SUM(C41:H41)</f>
        <v>10458041793.85</v>
      </c>
      <c r="J41" s="251" t="b">
        <f>SUM(C41:H41)=I41</f>
        <v>1</v>
      </c>
    </row>
    <row r="42" spans="2:10" x14ac:dyDescent="0.25">
      <c r="B42" s="89" t="s">
        <v>98</v>
      </c>
      <c r="C42" s="244">
        <v>42284806</v>
      </c>
      <c r="D42" s="244"/>
      <c r="E42" s="244">
        <v>0</v>
      </c>
      <c r="F42" s="244">
        <v>0</v>
      </c>
      <c r="G42" s="244"/>
      <c r="H42" s="244">
        <v>7416134</v>
      </c>
      <c r="I42" s="246">
        <f t="shared" si="14"/>
        <v>49700940</v>
      </c>
      <c r="J42" s="251" t="b">
        <f t="shared" ref="J42:J45" si="15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24569155.149999999</v>
      </c>
      <c r="I43" s="246">
        <f t="shared" si="14"/>
        <v>24569155.149999999</v>
      </c>
      <c r="J43" s="251" t="b">
        <f t="shared" si="15"/>
        <v>1</v>
      </c>
    </row>
    <row r="44" spans="2:10" x14ac:dyDescent="0.25">
      <c r="B44" s="89" t="s">
        <v>168</v>
      </c>
      <c r="C44" s="244"/>
      <c r="D44" s="244"/>
      <c r="E44" s="244"/>
      <c r="F44" s="244">
        <v>0</v>
      </c>
      <c r="G44" s="244"/>
      <c r="H44" s="244"/>
      <c r="I44" s="246">
        <f t="shared" si="14"/>
        <v>0</v>
      </c>
      <c r="J44" s="251" t="b">
        <f t="shared" si="15"/>
        <v>1</v>
      </c>
    </row>
    <row r="45" spans="2:10" x14ac:dyDescent="0.25">
      <c r="B45" s="89" t="s">
        <v>70</v>
      </c>
      <c r="C45" s="244">
        <f>SUM(C41:C44)</f>
        <v>9932648720</v>
      </c>
      <c r="D45" s="244">
        <f t="shared" ref="D45:E45" si="16">SUM(D41:D44)</f>
        <v>0</v>
      </c>
      <c r="E45" s="244">
        <f t="shared" si="16"/>
        <v>0</v>
      </c>
      <c r="F45" s="244">
        <f>SUM(F41:F44)</f>
        <v>0</v>
      </c>
      <c r="G45" s="244">
        <f>SUM(G41:G44)</f>
        <v>0</v>
      </c>
      <c r="H45" s="244">
        <f>SUM(H41:H44)</f>
        <v>599663169</v>
      </c>
      <c r="I45" s="247">
        <f>SUM(I41:I44)</f>
        <v>10532311889</v>
      </c>
      <c r="J45" s="251" t="b">
        <f t="shared" si="15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324</v>
      </c>
      <c r="H50" s="89" t="s">
        <v>119</v>
      </c>
      <c r="I50" s="89" t="s">
        <v>70</v>
      </c>
    </row>
    <row r="51" spans="2:10" x14ac:dyDescent="0.25">
      <c r="B51" t="s">
        <v>97</v>
      </c>
      <c r="C51" s="582">
        <v>7243649125</v>
      </c>
      <c r="D51" s="244"/>
      <c r="E51" s="244"/>
      <c r="F51" s="244"/>
      <c r="G51" s="244">
        <v>139510580</v>
      </c>
      <c r="H51" s="582">
        <v>173353067.24000001</v>
      </c>
      <c r="I51" s="246">
        <f t="shared" ref="I51:I54" si="17">SUM(C51:H51)</f>
        <v>7556512772.2399998</v>
      </c>
      <c r="J51" s="251" t="b">
        <f>SUM(C51:H51)=I51</f>
        <v>1</v>
      </c>
    </row>
    <row r="52" spans="2:10" ht="11.55" customHeight="1" x14ac:dyDescent="0.25">
      <c r="B52" s="89" t="s">
        <v>98</v>
      </c>
      <c r="C52" s="582">
        <v>5249580</v>
      </c>
      <c r="D52" s="244"/>
      <c r="E52" s="244"/>
      <c r="F52" s="244"/>
      <c r="G52" s="244">
        <v>914180</v>
      </c>
      <c r="H52" s="582">
        <v>2432240</v>
      </c>
      <c r="I52" s="246">
        <f>SUM(C52:H52)</f>
        <v>8596000</v>
      </c>
      <c r="J52" s="251" t="b">
        <f t="shared" ref="J52:J55" si="18">SUM(C52:H52)=I52</f>
        <v>1</v>
      </c>
    </row>
    <row r="53" spans="2:10" x14ac:dyDescent="0.25">
      <c r="B53" s="89" t="s">
        <v>131</v>
      </c>
      <c r="C53" s="582">
        <v>0</v>
      </c>
      <c r="D53" s="244"/>
      <c r="E53" s="244"/>
      <c r="F53" s="244"/>
      <c r="G53" s="244">
        <v>0</v>
      </c>
      <c r="H53" s="582">
        <v>120445.75999999999</v>
      </c>
      <c r="I53" s="246">
        <f t="shared" si="17"/>
        <v>120445.75999999999</v>
      </c>
      <c r="J53" s="251" t="b">
        <f t="shared" si="18"/>
        <v>1</v>
      </c>
    </row>
    <row r="54" spans="2:10" x14ac:dyDescent="0.25">
      <c r="B54" s="89" t="s">
        <v>168</v>
      </c>
      <c r="C54" s="244">
        <v>0</v>
      </c>
      <c r="D54" s="244"/>
      <c r="E54" s="244"/>
      <c r="F54" s="244"/>
      <c r="G54" s="244"/>
      <c r="H54" s="244"/>
      <c r="I54" s="246">
        <f t="shared" si="17"/>
        <v>0</v>
      </c>
      <c r="J54" s="251" t="b">
        <f t="shared" si="18"/>
        <v>1</v>
      </c>
    </row>
    <row r="55" spans="2:10" x14ac:dyDescent="0.25">
      <c r="B55" s="89" t="s">
        <v>70</v>
      </c>
      <c r="C55" s="244">
        <f>SUM(C51:C54)</f>
        <v>7248898705</v>
      </c>
      <c r="D55" s="244">
        <f t="shared" ref="D55:G55" si="19">SUM(D51:D54)</f>
        <v>0</v>
      </c>
      <c r="E55" s="244">
        <f t="shared" si="19"/>
        <v>0</v>
      </c>
      <c r="F55" s="244">
        <f t="shared" si="19"/>
        <v>0</v>
      </c>
      <c r="G55" s="244">
        <f t="shared" si="19"/>
        <v>140424760</v>
      </c>
      <c r="H55" s="244">
        <f>SUM(H51:H54)</f>
        <v>175905753</v>
      </c>
      <c r="I55" s="247">
        <f>SUM(I51:I54)</f>
        <v>7565229218</v>
      </c>
      <c r="J55" s="251" t="b">
        <f t="shared" si="18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27" t="s">
        <v>333</v>
      </c>
      <c r="C59" s="209">
        <v>1</v>
      </c>
      <c r="D59" s="728" t="s">
        <v>334</v>
      </c>
      <c r="H59" s="143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30" t="s">
        <v>206</v>
      </c>
      <c r="C62" s="731">
        <f>IF($C$59=1,'Recaudo ENEL'!D21,'Recaudo ENEL'!F21)</f>
        <v>14510944162</v>
      </c>
      <c r="D62" s="730" t="b">
        <f>C17=C62</f>
        <v>1</v>
      </c>
      <c r="E62" s="733">
        <f>C17-C62</f>
        <v>0</v>
      </c>
      <c r="F62" s="212"/>
    </row>
    <row r="63" spans="2:10" x14ac:dyDescent="0.25">
      <c r="B63" s="730" t="s">
        <v>329</v>
      </c>
      <c r="C63" s="731">
        <f>IF($C$59=1,'Recaudo ENERBIT'!D21,'Recaudo ENERBIT'!F21)</f>
        <v>0</v>
      </c>
      <c r="D63" s="730" t="b">
        <f>G17=C63</f>
        <v>1</v>
      </c>
      <c r="E63" s="733">
        <f>G17-C63</f>
        <v>0</v>
      </c>
    </row>
    <row r="64" spans="2:10" x14ac:dyDescent="0.25">
      <c r="B64" s="729" t="s">
        <v>208</v>
      </c>
      <c r="C64" s="732">
        <f>IF($C$59=1,'Recaudo EAAB Reciprocidad'!D22,'Recaudo EAAB Reciprocidad'!F22)</f>
        <v>0</v>
      </c>
      <c r="D64" s="729" t="b">
        <f>F27=C64</f>
        <v>1</v>
      </c>
      <c r="E64" s="734">
        <f>F27-C64</f>
        <v>0</v>
      </c>
      <c r="H64" s="143"/>
    </row>
    <row r="65" spans="2:7" x14ac:dyDescent="0.25">
      <c r="B65" s="729" t="s">
        <v>322</v>
      </c>
      <c r="C65" s="732">
        <f>IF($C$59=1,'Recaudo ENEL'!D22,'Recaudo ENEL'!F22)</f>
        <v>10307915023</v>
      </c>
      <c r="D65" s="729" t="b">
        <f>C27=C65</f>
        <v>0</v>
      </c>
      <c r="E65" s="734">
        <f>C27-C65</f>
        <v>1345550</v>
      </c>
      <c r="F65" s="142" t="s">
        <v>336</v>
      </c>
    </row>
    <row r="66" spans="2:7" x14ac:dyDescent="0.25">
      <c r="B66" s="729" t="s">
        <v>330</v>
      </c>
      <c r="C66" s="732">
        <f>IF($C$59=1,'Recaudo ENERBIT'!D22,'Recaudo ENERBIT'!F22)</f>
        <v>0</v>
      </c>
      <c r="D66" s="729" t="b">
        <f>G27=C66</f>
        <v>1</v>
      </c>
      <c r="E66" s="734">
        <f>G27-C66</f>
        <v>0</v>
      </c>
    </row>
    <row r="67" spans="2:7" x14ac:dyDescent="0.25">
      <c r="B67" s="730" t="s">
        <v>210</v>
      </c>
      <c r="C67" s="731">
        <f>IF($C$59=1,'Recaudo ENEL'!D23,'Recaudo ENEL'!F23)</f>
        <v>8406957590</v>
      </c>
      <c r="D67" s="730" t="b">
        <f>C36=C67</f>
        <v>0</v>
      </c>
      <c r="E67" s="733">
        <f>C36-C67</f>
        <v>464422</v>
      </c>
      <c r="F67" s="142" t="s">
        <v>336</v>
      </c>
    </row>
    <row r="68" spans="2:7" x14ac:dyDescent="0.25">
      <c r="B68" s="730" t="s">
        <v>331</v>
      </c>
      <c r="C68" s="731">
        <f>IF($C$59=1,'Recaudo ENERBIT'!D23,'Recaudo ENERBIT'!F23)</f>
        <v>0</v>
      </c>
      <c r="D68" s="730" t="b">
        <f>G36=C68</f>
        <v>1</v>
      </c>
      <c r="E68" s="733">
        <f>G36-C68</f>
        <v>0</v>
      </c>
    </row>
    <row r="69" spans="2:7" x14ac:dyDescent="0.25">
      <c r="B69" s="729" t="s">
        <v>209</v>
      </c>
      <c r="C69" s="732">
        <f>IF($C$59=1,'Recaudo EAAB Reciprocidad'!D24,'Recaudo EAAB Reciprocidad'!F24)</f>
        <v>0</v>
      </c>
      <c r="D69" s="729" t="b">
        <f>F45=C69</f>
        <v>1</v>
      </c>
      <c r="E69" s="734">
        <f>F45-C69</f>
        <v>0</v>
      </c>
    </row>
    <row r="70" spans="2:7" x14ac:dyDescent="0.25">
      <c r="B70" s="729" t="s">
        <v>323</v>
      </c>
      <c r="C70" s="732">
        <f>IF($C$59=1,'Recaudo ENEL'!D24,'Recaudo ENEL'!F24)</f>
        <v>9932430136</v>
      </c>
      <c r="D70" s="729" t="b">
        <f>C45=C70</f>
        <v>0</v>
      </c>
      <c r="E70" s="734">
        <f>C45-C70</f>
        <v>218584</v>
      </c>
      <c r="F70" s="142" t="s">
        <v>336</v>
      </c>
    </row>
    <row r="71" spans="2:7" x14ac:dyDescent="0.25">
      <c r="B71" s="729" t="s">
        <v>332</v>
      </c>
      <c r="C71" s="732">
        <f>IF($C$59=1,'Recaudo ENERBIT'!D24,'Recaudo ENERBIT'!F24)</f>
        <v>0</v>
      </c>
      <c r="D71" s="729" t="b">
        <f>G45=C71</f>
        <v>1</v>
      </c>
      <c r="E71" s="734">
        <f>G45-C71</f>
        <v>0</v>
      </c>
    </row>
    <row r="72" spans="2:7" x14ac:dyDescent="0.25">
      <c r="B72" s="730" t="s">
        <v>207</v>
      </c>
      <c r="C72" s="731">
        <f>IF($C$59=1,'Recaudo ENEL'!D25,'Recaudo ENEL'!F25)</f>
        <v>7248211485</v>
      </c>
      <c r="D72" s="730" t="b">
        <f>C55=C72</f>
        <v>0</v>
      </c>
      <c r="E72" s="733">
        <f>C55-C72</f>
        <v>687220</v>
      </c>
      <c r="F72" s="142" t="s">
        <v>336</v>
      </c>
    </row>
    <row r="73" spans="2:7" x14ac:dyDescent="0.25">
      <c r="B73" s="730" t="s">
        <v>325</v>
      </c>
      <c r="C73" s="731">
        <f>IF($C$59=1,'Recaudo ENERBIT'!D25,'Recaudo ENERBIT'!F25)</f>
        <v>140424760</v>
      </c>
      <c r="D73" s="730" t="b">
        <f>G55=C73</f>
        <v>1</v>
      </c>
      <c r="E73" s="733">
        <f>G55-C73</f>
        <v>0</v>
      </c>
    </row>
    <row r="74" spans="2:7" x14ac:dyDescent="0.25">
      <c r="C74" s="143"/>
    </row>
    <row r="75" spans="2:7" x14ac:dyDescent="0.25">
      <c r="B75" s="730" t="s">
        <v>259</v>
      </c>
      <c r="C75" s="731">
        <f>IF($C$59=1,'Recaudo Directa Occidente'!D21,'Recaudo Directa Occidente'!F21)</f>
        <v>370866743</v>
      </c>
      <c r="D75" s="730" t="b">
        <f>C75=H17</f>
        <v>1</v>
      </c>
      <c r="E75" s="733">
        <f>H17-C75</f>
        <v>0</v>
      </c>
      <c r="F75" s="593"/>
      <c r="G75" s="593"/>
    </row>
    <row r="76" spans="2:7" x14ac:dyDescent="0.25">
      <c r="B76" s="729" t="s">
        <v>260</v>
      </c>
      <c r="C76" s="732">
        <f>IF($C$59=1,'Recaudo Directa Occidente'!D22,'Recaudo Directa Occidente'!F22)</f>
        <v>971950730</v>
      </c>
      <c r="D76" s="729" t="b">
        <f>C76=H27</f>
        <v>1</v>
      </c>
      <c r="E76" s="734">
        <f>H27-C76</f>
        <v>0</v>
      </c>
    </row>
    <row r="77" spans="2:7" x14ac:dyDescent="0.25">
      <c r="B77" s="730" t="s">
        <v>261</v>
      </c>
      <c r="C77" s="731">
        <f>IF($C$59=1,'Recaudo Directa Occidente'!D23,'Recaudo Directa Occidente'!F23)</f>
        <v>437110235</v>
      </c>
      <c r="D77" s="730" t="b">
        <f>C77=H36</f>
        <v>1</v>
      </c>
      <c r="E77" s="733">
        <f>H36-C77</f>
        <v>0</v>
      </c>
      <c r="F77" s="212"/>
      <c r="G77" s="212"/>
    </row>
    <row r="78" spans="2:7" x14ac:dyDescent="0.25">
      <c r="B78" s="729" t="s">
        <v>262</v>
      </c>
      <c r="C78" s="732">
        <f>IF($C$59=1,'Recaudo Directa Occidente'!D24,'Recaudo Directa Occidente'!F24)</f>
        <v>599663169</v>
      </c>
      <c r="D78" s="729" t="b">
        <f>C78=H45</f>
        <v>1</v>
      </c>
      <c r="E78" s="734">
        <f>H45-C78</f>
        <v>0</v>
      </c>
    </row>
    <row r="79" spans="2:7" x14ac:dyDescent="0.25">
      <c r="B79" s="730" t="s">
        <v>263</v>
      </c>
      <c r="C79" s="731">
        <f>IF($C$59=1,'Recaudo Directa Occidente'!D25,'Recaudo Directa Occidente'!F25)</f>
        <v>175905753</v>
      </c>
      <c r="D79" s="730" t="b">
        <f>C79=H55</f>
        <v>1</v>
      </c>
      <c r="E79" s="733">
        <f>H55-C79</f>
        <v>0</v>
      </c>
    </row>
    <row r="81" spans="2:4" x14ac:dyDescent="0.25">
      <c r="B81" s="209" t="s">
        <v>52</v>
      </c>
      <c r="C81" s="251">
        <f>SUM(C62:C79)</f>
        <v>53102379786</v>
      </c>
      <c r="D81" s="209" t="b">
        <f>C81=(I6-SUM(E62:E79))</f>
        <v>1</v>
      </c>
    </row>
  </sheetData>
  <phoneticPr fontId="21" type="noConversion"/>
  <conditionalFormatting sqref="D81">
    <cfRule type="cellIs" dxfId="84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L5" sqref="L5"/>
    </sheetView>
  </sheetViews>
  <sheetFormatPr baseColWidth="10" defaultRowHeight="13.2" x14ac:dyDescent="0.25"/>
  <cols>
    <col min="1" max="1" width="3.44140625" customWidth="1"/>
    <col min="2" max="2" width="20.77734375" bestFit="1" customWidth="1"/>
    <col min="3" max="3" width="13.21875" bestFit="1" customWidth="1"/>
    <col min="4" max="6" width="12.77734375" bestFit="1" customWidth="1"/>
    <col min="7" max="7" width="12.5546875" customWidth="1"/>
    <col min="8" max="14" width="12.77734375" bestFit="1" customWidth="1"/>
    <col min="16" max="16" width="12.77734375" bestFit="1" customWidth="1"/>
  </cols>
  <sheetData>
    <row r="1" spans="1:16" ht="13.8" thickBot="1" x14ac:dyDescent="0.3">
      <c r="C1" s="772" t="s">
        <v>99</v>
      </c>
      <c r="D1" s="772"/>
      <c r="E1" s="772" t="s">
        <v>100</v>
      </c>
      <c r="F1" s="772"/>
      <c r="G1" s="772" t="s">
        <v>101</v>
      </c>
      <c r="H1" s="772"/>
      <c r="I1" s="772" t="s">
        <v>102</v>
      </c>
      <c r="J1" s="772"/>
      <c r="K1" s="772" t="s">
        <v>103</v>
      </c>
      <c r="L1" s="772"/>
      <c r="M1" s="772" t="s">
        <v>2</v>
      </c>
      <c r="N1" s="772"/>
    </row>
    <row r="2" spans="1:16" x14ac:dyDescent="0.25">
      <c r="C2" s="210" t="s">
        <v>149</v>
      </c>
      <c r="D2" s="210" t="s">
        <v>150</v>
      </c>
      <c r="E2" s="210" t="s">
        <v>149</v>
      </c>
      <c r="F2" s="210" t="s">
        <v>150</v>
      </c>
      <c r="G2" s="210" t="s">
        <v>149</v>
      </c>
      <c r="H2" s="210" t="s">
        <v>150</v>
      </c>
      <c r="I2" s="210" t="s">
        <v>149</v>
      </c>
      <c r="J2" s="210" t="s">
        <v>150</v>
      </c>
      <c r="K2" s="210" t="s">
        <v>149</v>
      </c>
      <c r="L2" s="210" t="s">
        <v>150</v>
      </c>
      <c r="M2" s="258" t="s">
        <v>149</v>
      </c>
      <c r="N2" s="259" t="s">
        <v>150</v>
      </c>
    </row>
    <row r="3" spans="1:16" x14ac:dyDescent="0.25">
      <c r="B3" s="210" t="s">
        <v>151</v>
      </c>
      <c r="C3" s="249">
        <f t="shared" ref="C3:E4" si="0">C11+C19+C27+C35+C43</f>
        <v>648870</v>
      </c>
      <c r="D3" s="249">
        <f t="shared" si="0"/>
        <v>-3833780</v>
      </c>
      <c r="E3" s="249">
        <f t="shared" si="0"/>
        <v>9704974</v>
      </c>
      <c r="F3" s="249">
        <f t="shared" ref="F3:L3" si="1">F11+F19+F27+F35+F43</f>
        <v>-21803648.449999999</v>
      </c>
      <c r="G3" s="249">
        <f t="shared" si="1"/>
        <v>0</v>
      </c>
      <c r="H3" s="249">
        <f t="shared" si="1"/>
        <v>-2259272</v>
      </c>
      <c r="I3" s="249">
        <f t="shared" si="1"/>
        <v>21557177</v>
      </c>
      <c r="J3" s="249">
        <f t="shared" si="1"/>
        <v>-41558585.399999999</v>
      </c>
      <c r="K3" s="249">
        <f t="shared" si="1"/>
        <v>0</v>
      </c>
      <c r="L3" s="249">
        <f t="shared" si="1"/>
        <v>-3964157</v>
      </c>
      <c r="M3" s="260">
        <f>C3+E3+G3+I3+K3</f>
        <v>31911021</v>
      </c>
      <c r="N3" s="759">
        <f>D3+F3+H3+J3+L3</f>
        <v>-73419442.849999994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253">
        <f t="shared" si="0"/>
        <v>0</v>
      </c>
      <c r="D4" s="253">
        <f t="shared" si="0"/>
        <v>0</v>
      </c>
      <c r="E4" s="253">
        <f t="shared" si="0"/>
        <v>6055989</v>
      </c>
      <c r="F4" s="253">
        <f t="shared" ref="F4:L4" si="2">F12+F20+F28+F36+F44</f>
        <v>-255254.55</v>
      </c>
      <c r="G4" s="253">
        <f t="shared" si="2"/>
        <v>0</v>
      </c>
      <c r="H4" s="253">
        <f t="shared" si="2"/>
        <v>0</v>
      </c>
      <c r="I4" s="253">
        <f t="shared" si="2"/>
        <v>19678542</v>
      </c>
      <c r="J4" s="253">
        <f t="shared" si="2"/>
        <v>-1258817.5999999999</v>
      </c>
      <c r="K4" s="253">
        <f t="shared" si="2"/>
        <v>0</v>
      </c>
      <c r="L4" s="253">
        <f t="shared" si="2"/>
        <v>-41240</v>
      </c>
      <c r="M4" s="261">
        <f>C4+E4+G4+I4+K4</f>
        <v>25734531</v>
      </c>
      <c r="N4" s="262">
        <f>D4+F4+H4+J4+L4</f>
        <v>-1555312.15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4">
        <f>SUM(C3:C4)</f>
        <v>648870</v>
      </c>
      <c r="D5" s="254">
        <f t="shared" ref="D5:G5" si="3">SUM(D3:D4)</f>
        <v>-3833780</v>
      </c>
      <c r="E5" s="254">
        <f t="shared" si="3"/>
        <v>15760963</v>
      </c>
      <c r="F5" s="254">
        <f t="shared" si="3"/>
        <v>-22058903</v>
      </c>
      <c r="G5" s="254">
        <f t="shared" si="3"/>
        <v>0</v>
      </c>
      <c r="H5" s="255">
        <f t="shared" ref="H5:L5" si="4">SUM(H3:H4)</f>
        <v>-2259272</v>
      </c>
      <c r="I5" s="255">
        <f t="shared" si="4"/>
        <v>41235719</v>
      </c>
      <c r="J5" s="255">
        <f t="shared" si="4"/>
        <v>-42817403</v>
      </c>
      <c r="K5" s="255">
        <f>SUM(K3:K4)</f>
        <v>0</v>
      </c>
      <c r="L5" s="257">
        <f t="shared" si="4"/>
        <v>-4005397</v>
      </c>
      <c r="M5" s="254">
        <f t="shared" ref="M5" si="5">SUM(M3:M4)</f>
        <v>57645552</v>
      </c>
      <c r="N5" s="256">
        <f>SUM(N3:N4)</f>
        <v>-74974755</v>
      </c>
    </row>
    <row r="6" spans="1:16" x14ac:dyDescent="0.25">
      <c r="C6" s="209" t="b">
        <f>C5=(C13+C21+C29+C37+C45)</f>
        <v>1</v>
      </c>
      <c r="D6" s="209" t="b">
        <f t="shared" ref="D6:N6" si="6">D5=(D13+D21+D29+D37+D45)</f>
        <v>1</v>
      </c>
      <c r="E6" s="209" t="b">
        <f t="shared" si="6"/>
        <v>1</v>
      </c>
      <c r="F6" s="209" t="b">
        <f t="shared" si="6"/>
        <v>1</v>
      </c>
      <c r="G6" s="209" t="b">
        <f t="shared" si="6"/>
        <v>1</v>
      </c>
      <c r="H6" s="209" t="b">
        <f t="shared" si="6"/>
        <v>1</v>
      </c>
      <c r="I6" s="209" t="b">
        <f t="shared" si="6"/>
        <v>1</v>
      </c>
      <c r="J6" s="209" t="b">
        <f t="shared" si="6"/>
        <v>1</v>
      </c>
      <c r="K6" s="209" t="b">
        <f t="shared" si="6"/>
        <v>1</v>
      </c>
      <c r="L6" s="209" t="b">
        <f t="shared" si="6"/>
        <v>1</v>
      </c>
      <c r="M6" s="209" t="b">
        <f t="shared" si="6"/>
        <v>1</v>
      </c>
      <c r="N6" s="209" t="b">
        <f t="shared" si="6"/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2" t="s">
        <v>99</v>
      </c>
      <c r="D9" s="772"/>
      <c r="E9" s="772" t="s">
        <v>100</v>
      </c>
      <c r="F9" s="772"/>
      <c r="G9" s="772" t="s">
        <v>101</v>
      </c>
      <c r="H9" s="772"/>
      <c r="I9" s="772" t="s">
        <v>102</v>
      </c>
      <c r="J9" s="772"/>
      <c r="K9" s="772" t="s">
        <v>103</v>
      </c>
      <c r="L9" s="772"/>
      <c r="M9" s="772" t="s">
        <v>2</v>
      </c>
      <c r="N9" s="772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134910</v>
      </c>
      <c r="D11" s="245">
        <v>-134910</v>
      </c>
      <c r="E11" s="245">
        <v>464154</v>
      </c>
      <c r="F11" s="245">
        <v>-945063</v>
      </c>
      <c r="G11" s="245">
        <v>0</v>
      </c>
      <c r="H11" s="245">
        <v>0</v>
      </c>
      <c r="I11" s="245">
        <v>850737</v>
      </c>
      <c r="J11" s="245">
        <v>-1371252</v>
      </c>
      <c r="K11" s="244">
        <v>0</v>
      </c>
      <c r="L11" s="245">
        <v>0</v>
      </c>
      <c r="M11" s="249">
        <f>C11+E11+G11+I11+K11</f>
        <v>1449801</v>
      </c>
      <c r="N11" s="245">
        <f>D11+F11+H11+J11+L11</f>
        <v>-2451225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529459</v>
      </c>
      <c r="F12" s="245">
        <v>-48550</v>
      </c>
      <c r="G12" s="245">
        <v>0</v>
      </c>
      <c r="H12" s="245">
        <v>0</v>
      </c>
      <c r="I12" s="245">
        <v>606286</v>
      </c>
      <c r="J12" s="245">
        <v>-85771</v>
      </c>
      <c r="K12" s="244">
        <v>0</v>
      </c>
      <c r="L12" s="245">
        <v>0</v>
      </c>
      <c r="M12" s="249">
        <f>C12+E12+G12+I12+K12</f>
        <v>1135745</v>
      </c>
      <c r="N12" s="245">
        <f>D12+F12+H12+J12+L12</f>
        <v>-134321</v>
      </c>
    </row>
    <row r="13" spans="1:16" x14ac:dyDescent="0.25">
      <c r="B13" s="211" t="s">
        <v>2</v>
      </c>
      <c r="C13" s="249">
        <f>SUM(C11:C12)</f>
        <v>134910</v>
      </c>
      <c r="D13" s="249">
        <f t="shared" ref="D13:N13" si="7">SUM(D11:D12)</f>
        <v>-134910</v>
      </c>
      <c r="E13" s="249">
        <f t="shared" si="7"/>
        <v>993613</v>
      </c>
      <c r="F13" s="249">
        <f t="shared" si="7"/>
        <v>-993613</v>
      </c>
      <c r="G13" s="249">
        <f>SUM(G11:G12)</f>
        <v>0</v>
      </c>
      <c r="H13" s="249">
        <f>SUM(H11:H12)</f>
        <v>0</v>
      </c>
      <c r="I13" s="249">
        <f t="shared" si="7"/>
        <v>1457023</v>
      </c>
      <c r="J13" s="249">
        <f t="shared" si="7"/>
        <v>-1457023</v>
      </c>
      <c r="K13" s="249">
        <f t="shared" si="7"/>
        <v>0</v>
      </c>
      <c r="L13" s="249">
        <f t="shared" si="7"/>
        <v>0</v>
      </c>
      <c r="M13" s="249">
        <f t="shared" si="7"/>
        <v>2585546</v>
      </c>
      <c r="N13" s="249">
        <f t="shared" si="7"/>
        <v>-2585546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2" t="s">
        <v>99</v>
      </c>
      <c r="D17" s="772"/>
      <c r="E17" s="772" t="s">
        <v>100</v>
      </c>
      <c r="F17" s="772"/>
      <c r="G17" s="772" t="s">
        <v>101</v>
      </c>
      <c r="H17" s="772"/>
      <c r="I17" s="772" t="s">
        <v>102</v>
      </c>
      <c r="J17" s="772"/>
      <c r="K17" s="772" t="s">
        <v>103</v>
      </c>
      <c r="L17" s="772"/>
      <c r="M17" s="772" t="s">
        <v>2</v>
      </c>
      <c r="N17" s="772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309350</v>
      </c>
      <c r="J19" s="245">
        <v>-554080</v>
      </c>
      <c r="K19" s="244">
        <v>0</v>
      </c>
      <c r="L19" s="245">
        <v>0</v>
      </c>
      <c r="M19" s="245">
        <f>C19+E19+G19+I19+K19</f>
        <v>309350</v>
      </c>
      <c r="N19" s="245">
        <f>D19+F19+H19+J19+L19</f>
        <v>-554080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244730</v>
      </c>
      <c r="J20" s="538">
        <v>0</v>
      </c>
      <c r="K20" s="244">
        <v>0</v>
      </c>
      <c r="L20" s="245">
        <v>0</v>
      </c>
      <c r="M20" s="245">
        <f>C20+E20+G20+I20+K20</f>
        <v>244730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8">SUM(D19:D20)</f>
        <v>0</v>
      </c>
      <c r="E21" s="249">
        <f t="shared" si="8"/>
        <v>0</v>
      </c>
      <c r="F21" s="249">
        <f t="shared" si="8"/>
        <v>0</v>
      </c>
      <c r="G21" s="249">
        <f t="shared" si="8"/>
        <v>0</v>
      </c>
      <c r="H21" s="249">
        <f t="shared" si="8"/>
        <v>0</v>
      </c>
      <c r="I21" s="249">
        <f t="shared" si="8"/>
        <v>554080</v>
      </c>
      <c r="J21" s="249">
        <f t="shared" si="8"/>
        <v>-554080</v>
      </c>
      <c r="K21" s="249">
        <f t="shared" si="8"/>
        <v>0</v>
      </c>
      <c r="L21" s="249">
        <f t="shared" si="8"/>
        <v>0</v>
      </c>
      <c r="M21" s="249">
        <f>C21+E21+G21+I21+K21</f>
        <v>554080</v>
      </c>
      <c r="N21" s="249">
        <f t="shared" ref="N21" si="9">SUM(N19:N20)</f>
        <v>-554080</v>
      </c>
    </row>
    <row r="24" spans="2:14" ht="14.4" x14ac:dyDescent="0.3">
      <c r="B24" s="208" t="s">
        <v>154</v>
      </c>
      <c r="C24" s="209"/>
    </row>
    <row r="25" spans="2:14" x14ac:dyDescent="0.25">
      <c r="C25" s="772" t="s">
        <v>99</v>
      </c>
      <c r="D25" s="772"/>
      <c r="E25" s="772" t="s">
        <v>100</v>
      </c>
      <c r="F25" s="772"/>
      <c r="G25" s="772" t="s">
        <v>101</v>
      </c>
      <c r="H25" s="772"/>
      <c r="I25" s="772" t="s">
        <v>102</v>
      </c>
      <c r="J25" s="772"/>
      <c r="K25" s="772" t="s">
        <v>103</v>
      </c>
      <c r="L25" s="772"/>
      <c r="M25" s="772" t="s">
        <v>2</v>
      </c>
      <c r="N25" s="772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10">SUM(C27:C28)</f>
        <v>0</v>
      </c>
      <c r="D29" s="249">
        <f t="shared" si="10"/>
        <v>0</v>
      </c>
      <c r="E29" s="249">
        <f t="shared" si="10"/>
        <v>0</v>
      </c>
      <c r="F29" s="249">
        <f t="shared" si="10"/>
        <v>0</v>
      </c>
      <c r="G29" s="249">
        <f t="shared" si="10"/>
        <v>0</v>
      </c>
      <c r="H29" s="249">
        <f t="shared" si="10"/>
        <v>0</v>
      </c>
      <c r="I29" s="249">
        <f t="shared" si="10"/>
        <v>0</v>
      </c>
      <c r="J29" s="249">
        <f t="shared" si="10"/>
        <v>0</v>
      </c>
      <c r="K29" s="249">
        <f t="shared" si="10"/>
        <v>0</v>
      </c>
      <c r="L29" s="249">
        <f t="shared" si="10"/>
        <v>0</v>
      </c>
      <c r="M29" s="249">
        <f t="shared" si="10"/>
        <v>0</v>
      </c>
      <c r="N29" s="249">
        <f t="shared" si="10"/>
        <v>0</v>
      </c>
    </row>
    <row r="32" spans="2:14" x14ac:dyDescent="0.25">
      <c r="B32" s="209" t="s">
        <v>155</v>
      </c>
    </row>
    <row r="33" spans="2:14" x14ac:dyDescent="0.25">
      <c r="C33" s="772" t="s">
        <v>99</v>
      </c>
      <c r="D33" s="772"/>
      <c r="E33" s="772" t="s">
        <v>100</v>
      </c>
      <c r="F33" s="772"/>
      <c r="G33" s="772" t="s">
        <v>101</v>
      </c>
      <c r="H33" s="772"/>
      <c r="I33" s="772" t="s">
        <v>102</v>
      </c>
      <c r="J33" s="772"/>
      <c r="K33" s="772" t="s">
        <v>103</v>
      </c>
      <c r="L33" s="772"/>
      <c r="M33" s="772" t="s">
        <v>2</v>
      </c>
      <c r="N33" s="772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513960</v>
      </c>
      <c r="D35" s="245">
        <v>-3698870</v>
      </c>
      <c r="E35" s="245">
        <v>9240820</v>
      </c>
      <c r="F35" s="245">
        <v>-20858585.449999999</v>
      </c>
      <c r="G35" s="245">
        <v>0</v>
      </c>
      <c r="H35" s="245">
        <v>-2259272</v>
      </c>
      <c r="I35" s="245">
        <v>20397090</v>
      </c>
      <c r="J35" s="245">
        <v>-39633253.399999999</v>
      </c>
      <c r="K35" s="244">
        <v>0</v>
      </c>
      <c r="L35" s="245">
        <v>-3964157</v>
      </c>
      <c r="M35" s="245">
        <f>C35+E35+G35+I35+K35</f>
        <v>30151870</v>
      </c>
      <c r="N35" s="245">
        <f>D35+F35+H35+J35+L35</f>
        <v>-70414137.849999994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5526530</v>
      </c>
      <c r="F36" s="245">
        <v>-206704.55</v>
      </c>
      <c r="G36" s="245">
        <v>0</v>
      </c>
      <c r="H36" s="245">
        <v>0</v>
      </c>
      <c r="I36" s="245">
        <v>18827526</v>
      </c>
      <c r="J36" s="245">
        <v>-1173046.5999999999</v>
      </c>
      <c r="K36" s="244">
        <v>0</v>
      </c>
      <c r="L36" s="245">
        <v>-41240</v>
      </c>
      <c r="M36" s="245">
        <f>C36+E36+G36+I36+K36</f>
        <v>24354056</v>
      </c>
      <c r="N36" s="245">
        <f>D36+F36+H36+J36+L36</f>
        <v>-1420991.15</v>
      </c>
    </row>
    <row r="37" spans="2:14" x14ac:dyDescent="0.25">
      <c r="B37" s="211" t="s">
        <v>2</v>
      </c>
      <c r="C37" s="249">
        <f>SUM(C35:C36)</f>
        <v>513960</v>
      </c>
      <c r="D37" s="249">
        <f t="shared" ref="D37:L37" si="11">SUM(D35:D36)</f>
        <v>-3698870</v>
      </c>
      <c r="E37" s="249">
        <f t="shared" si="11"/>
        <v>14767350</v>
      </c>
      <c r="F37" s="249">
        <f t="shared" si="11"/>
        <v>-21065290</v>
      </c>
      <c r="G37" s="249">
        <f t="shared" si="11"/>
        <v>0</v>
      </c>
      <c r="H37" s="249">
        <f t="shared" si="11"/>
        <v>-2259272</v>
      </c>
      <c r="I37" s="249">
        <f t="shared" si="11"/>
        <v>39224616</v>
      </c>
      <c r="J37" s="249">
        <f t="shared" si="11"/>
        <v>-40806300</v>
      </c>
      <c r="K37" s="249">
        <f t="shared" si="11"/>
        <v>0</v>
      </c>
      <c r="L37" s="249">
        <f t="shared" si="11"/>
        <v>-4005397</v>
      </c>
      <c r="M37" s="249">
        <f>SUM(M35:M36)</f>
        <v>54505926</v>
      </c>
      <c r="N37" s="249">
        <f t="shared" ref="N37" si="12">SUM(N35:N36)</f>
        <v>-71835129</v>
      </c>
    </row>
    <row r="39" spans="2:14" x14ac:dyDescent="0.25">
      <c r="L39" s="212"/>
    </row>
    <row r="40" spans="2:14" x14ac:dyDescent="0.25">
      <c r="B40" s="735" t="s">
        <v>324</v>
      </c>
    </row>
    <row r="41" spans="2:14" x14ac:dyDescent="0.25">
      <c r="C41" s="772" t="s">
        <v>99</v>
      </c>
      <c r="D41" s="772"/>
      <c r="E41" s="772" t="s">
        <v>100</v>
      </c>
      <c r="F41" s="772"/>
      <c r="G41" s="772" t="s">
        <v>101</v>
      </c>
      <c r="H41" s="772"/>
      <c r="I41" s="772" t="s">
        <v>102</v>
      </c>
      <c r="J41" s="772"/>
      <c r="K41" s="772" t="s">
        <v>103</v>
      </c>
      <c r="L41" s="772"/>
      <c r="M41" s="772" t="s">
        <v>2</v>
      </c>
      <c r="N41" s="772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>SUM(D43:D44)</f>
        <v>0</v>
      </c>
      <c r="E45" s="249">
        <f t="shared" ref="E45:J45" si="13">SUM(E43:E44)</f>
        <v>0</v>
      </c>
      <c r="F45" s="249">
        <f t="shared" si="13"/>
        <v>0</v>
      </c>
      <c r="G45" s="249">
        <f t="shared" si="13"/>
        <v>0</v>
      </c>
      <c r="H45" s="249">
        <f t="shared" si="13"/>
        <v>0</v>
      </c>
      <c r="I45" s="249">
        <f t="shared" si="13"/>
        <v>0</v>
      </c>
      <c r="J45" s="249">
        <f t="shared" si="13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77734375" bestFit="1" customWidth="1"/>
    <col min="4" max="4" width="1.77734375" style="238" customWidth="1"/>
    <col min="5" max="5" width="14.77734375" customWidth="1"/>
    <col min="6" max="6" width="15.77734375" bestFit="1" customWidth="1"/>
    <col min="7" max="7" width="1.77734375" style="238" customWidth="1"/>
    <col min="8" max="8" width="9.21875" customWidth="1"/>
    <col min="9" max="9" width="15.77734375" bestFit="1" customWidth="1"/>
    <col min="10" max="10" width="1.77734375" style="238" customWidth="1"/>
    <col min="11" max="11" width="14.21875" customWidth="1"/>
    <col min="12" max="12" width="17.44140625" customWidth="1"/>
    <col min="13" max="13" width="1.77734375" style="238" customWidth="1"/>
    <col min="14" max="14" width="14.21875" customWidth="1"/>
    <col min="15" max="15" width="17.44140625" customWidth="1"/>
    <col min="16" max="16" width="1.77734375" style="238" customWidth="1"/>
    <col min="17" max="17" width="20.21875" customWidth="1"/>
    <col min="18" max="18" width="15.777343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s="142" t="s">
        <v>160</v>
      </c>
      <c r="H1" t="s">
        <v>155</v>
      </c>
      <c r="K1" s="721" t="s">
        <v>324</v>
      </c>
      <c r="L1" s="721"/>
      <c r="N1" t="s">
        <v>119</v>
      </c>
      <c r="Q1" t="s">
        <v>165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46857237.219999999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29606547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17250690.219999999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52275662.099999994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22325147.129999999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29950514.969999999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13754369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8845080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4909289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49700940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42284806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7416134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8596000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5249580</v>
      </c>
      <c r="K7" s="19">
        <v>5</v>
      </c>
      <c r="L7" s="15">
        <f>'REPORTE RECAUDO x BANCO'!G52</f>
        <v>914180</v>
      </c>
      <c r="N7" s="19">
        <v>5</v>
      </c>
      <c r="O7" s="15">
        <f>'REPORTE RECAUDO x BANCO'!H52</f>
        <v>2432240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171184208.31999999</v>
      </c>
      <c r="E8" s="21"/>
      <c r="F8" s="47">
        <f>SUM(F3:F7)</f>
        <v>0</v>
      </c>
      <c r="H8" s="21"/>
      <c r="I8" s="47">
        <f>SUM(I3:I7)</f>
        <v>108311160.13</v>
      </c>
      <c r="K8" s="21"/>
      <c r="L8" s="47">
        <f>SUM(L3:L7)</f>
        <v>914180</v>
      </c>
      <c r="N8" s="21"/>
      <c r="O8" s="47">
        <f>SUM(O3:O7)</f>
        <v>61958868.189999998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EXT-REV'!A12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6055989</v>
      </c>
      <c r="E13" s="16">
        <v>2</v>
      </c>
      <c r="F13" s="15">
        <f>'ANT EXT-REV'!E20</f>
        <v>0</v>
      </c>
      <c r="H13" s="16">
        <v>2</v>
      </c>
      <c r="I13" s="15">
        <f>'ANT EXT-REV'!E36</f>
        <v>5526530</v>
      </c>
      <c r="K13" s="16">
        <v>2</v>
      </c>
      <c r="L13" s="15">
        <f>'ANT EXT-REV'!E44</f>
        <v>0</v>
      </c>
      <c r="N13" s="16">
        <v>2</v>
      </c>
      <c r="O13" s="15">
        <f>'ANT EXT-REV'!E12</f>
        <v>529459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19678542</v>
      </c>
      <c r="E15" s="16">
        <v>4</v>
      </c>
      <c r="F15" s="15">
        <f>'ANT EXT-REV'!I20</f>
        <v>244730</v>
      </c>
      <c r="H15" s="16">
        <v>4</v>
      </c>
      <c r="I15" s="15">
        <f>'ANT EXT-REV'!I36</f>
        <v>18827526</v>
      </c>
      <c r="K15" s="16">
        <v>4</v>
      </c>
      <c r="L15" s="15">
        <f>'ANT EXT-REV'!I44</f>
        <v>0</v>
      </c>
      <c r="N15" s="16">
        <v>4</v>
      </c>
      <c r="O15" s="15">
        <f>'ANT EXT-REV'!I12</f>
        <v>606286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25734531</v>
      </c>
      <c r="E17" s="21"/>
      <c r="F17" s="47">
        <f>SUM(F12:F16)</f>
        <v>244730</v>
      </c>
      <c r="H17" s="21"/>
      <c r="I17" s="47">
        <f>SUM(I12:I16)</f>
        <v>24354056</v>
      </c>
      <c r="K17" s="21"/>
      <c r="L17" s="47">
        <f>SUM(L12:L16)</f>
        <v>0</v>
      </c>
      <c r="N17" s="21"/>
      <c r="O17" s="47">
        <f>SUM(O12:O16)</f>
        <v>1135745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169</v>
      </c>
      <c r="E20" s="11" t="s">
        <v>3</v>
      </c>
      <c r="F20" s="12" t="s">
        <v>169</v>
      </c>
      <c r="H20" s="11" t="s">
        <v>3</v>
      </c>
      <c r="I20" s="12" t="s">
        <v>169</v>
      </c>
      <c r="K20" s="11" t="s">
        <v>3</v>
      </c>
      <c r="L20" s="12" t="s">
        <v>169</v>
      </c>
      <c r="N20" s="11" t="s">
        <v>3</v>
      </c>
      <c r="O20" s="12" t="s">
        <v>169</v>
      </c>
      <c r="Q20" s="11" t="s">
        <v>3</v>
      </c>
      <c r="R20" s="12" t="s">
        <v>169</v>
      </c>
      <c r="T20" s="142" t="s">
        <v>170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-255254.55</v>
      </c>
      <c r="E22" s="16">
        <v>2</v>
      </c>
      <c r="F22" s="15">
        <f>'ANT EXT-REV'!F20</f>
        <v>0</v>
      </c>
      <c r="H22" s="16">
        <v>2</v>
      </c>
      <c r="I22" s="15">
        <f>'ANT EXT-REV'!F36</f>
        <v>-206704.55</v>
      </c>
      <c r="K22" s="16">
        <v>2</v>
      </c>
      <c r="L22" s="15">
        <f>'ANT EXT-REV'!F44</f>
        <v>0</v>
      </c>
      <c r="N22" s="16">
        <v>2</v>
      </c>
      <c r="O22" s="15">
        <f>'ANT EXT-REV'!F12</f>
        <v>-48550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-1258817.5999999999</v>
      </c>
      <c r="E24" s="16">
        <v>4</v>
      </c>
      <c r="F24" s="15">
        <f>'ANT EXT-REV'!J20</f>
        <v>0</v>
      </c>
      <c r="H24" s="16">
        <v>4</v>
      </c>
      <c r="I24" s="15">
        <f>'ANT EXT-REV'!J36</f>
        <v>-1173046.5999999999</v>
      </c>
      <c r="K24" s="16">
        <v>4</v>
      </c>
      <c r="L24" s="15">
        <f>'ANT EXT-REV'!J44</f>
        <v>0</v>
      </c>
      <c r="N24" s="16">
        <v>4</v>
      </c>
      <c r="O24" s="15">
        <f>'ANT EXT-REV'!J12</f>
        <v>-85771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-41240</v>
      </c>
      <c r="E25" s="19">
        <v>5</v>
      </c>
      <c r="F25" s="15">
        <f>'ANT EXT-REV'!L20</f>
        <v>0</v>
      </c>
      <c r="H25" s="19">
        <v>5</v>
      </c>
      <c r="I25" s="15">
        <f>'ANT EXT-REV'!L36</f>
        <v>-41240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-1555312.15</v>
      </c>
      <c r="E26" s="21"/>
      <c r="F26" s="47">
        <f t="shared" ref="F26" si="1">SUM(F21:F25)</f>
        <v>0</v>
      </c>
      <c r="H26" s="21"/>
      <c r="I26" s="47">
        <f t="shared" ref="I26" si="2">SUM(I21:I25)</f>
        <v>-1420991.15</v>
      </c>
      <c r="K26" s="21"/>
      <c r="L26" s="47">
        <f t="shared" ref="L26:O26" si="3">SUM(L21:L25)</f>
        <v>0</v>
      </c>
      <c r="N26" s="21"/>
      <c r="O26" s="47">
        <f t="shared" si="3"/>
        <v>-134321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35"/>
  <sheetViews>
    <sheetView zoomScaleNormal="100" workbookViewId="0">
      <selection activeCell="D9" sqref="D9"/>
    </sheetView>
  </sheetViews>
  <sheetFormatPr baseColWidth="10" defaultRowHeight="13.2" x14ac:dyDescent="0.25"/>
  <cols>
    <col min="3" max="3" width="11.44140625" style="123"/>
    <col min="4" max="4" width="19.21875" customWidth="1"/>
    <col min="5" max="5" width="18.21875" customWidth="1"/>
    <col min="6" max="7" width="18" customWidth="1"/>
    <col min="8" max="8" width="27.77734375" customWidth="1"/>
    <col min="9" max="9" width="33.5546875" customWidth="1"/>
  </cols>
  <sheetData>
    <row r="1" spans="1:10" ht="13.8" thickBot="1" x14ac:dyDescent="0.3">
      <c r="H1" s="505" t="s">
        <v>1</v>
      </c>
    </row>
    <row r="2" spans="1:10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500"/>
      <c r="H2" s="504" t="s">
        <v>196</v>
      </c>
    </row>
    <row r="3" spans="1:10" x14ac:dyDescent="0.25">
      <c r="C3" s="126">
        <v>1</v>
      </c>
      <c r="D3" s="584">
        <v>-1328072948.0999999</v>
      </c>
      <c r="E3" s="584">
        <v>3482023776.2600002</v>
      </c>
      <c r="F3" s="585">
        <f>D3+E3</f>
        <v>2153950828.1600003</v>
      </c>
      <c r="G3" s="501"/>
      <c r="H3" s="604">
        <f>DetRetri2026101!J9</f>
        <v>2153950828</v>
      </c>
      <c r="I3" s="278">
        <f>F3-H3</f>
        <v>0.16000032424926758</v>
      </c>
    </row>
    <row r="4" spans="1:10" x14ac:dyDescent="0.25">
      <c r="C4" s="124">
        <v>2</v>
      </c>
      <c r="D4" s="594">
        <v>-6051831964.4499998</v>
      </c>
      <c r="E4" s="594">
        <v>1834686437.54</v>
      </c>
      <c r="F4" s="585">
        <f>D4+E4</f>
        <v>-4217145526.9099998</v>
      </c>
      <c r="G4" s="501"/>
      <c r="H4" s="605">
        <f>DetRetri2026101!J10</f>
        <v>-4217145527</v>
      </c>
      <c r="I4" s="278">
        <f t="shared" ref="I4:I7" si="0">F4-H4</f>
        <v>9.0000152587890625E-2</v>
      </c>
    </row>
    <row r="5" spans="1:10" x14ac:dyDescent="0.25">
      <c r="C5" s="124">
        <v>3</v>
      </c>
      <c r="D5" s="594">
        <v>-3105003372.71</v>
      </c>
      <c r="E5" s="594">
        <v>1816197035.6199999</v>
      </c>
      <c r="F5" s="586">
        <f>D5+E5</f>
        <v>-1288806337.0900002</v>
      </c>
      <c r="G5" s="501"/>
      <c r="H5" s="605">
        <f>DetRetri2026101!J11</f>
        <v>-1288806337</v>
      </c>
      <c r="I5" s="278">
        <f t="shared" si="0"/>
        <v>-9.0000152587890625E-2</v>
      </c>
    </row>
    <row r="6" spans="1:10" x14ac:dyDescent="0.25">
      <c r="C6" s="124">
        <v>4</v>
      </c>
      <c r="D6" s="594">
        <v>-369325603.57999998</v>
      </c>
      <c r="E6" s="594">
        <v>430857557.26999998</v>
      </c>
      <c r="F6" s="585">
        <f>D6+E6</f>
        <v>61531953.689999998</v>
      </c>
      <c r="G6" s="501"/>
      <c r="H6" s="605">
        <f>DetRetri2026101!J12</f>
        <v>61531954</v>
      </c>
      <c r="I6" s="278">
        <f t="shared" si="0"/>
        <v>-0.31000000238418579</v>
      </c>
    </row>
    <row r="7" spans="1:10" ht="13.8" thickBot="1" x14ac:dyDescent="0.3">
      <c r="C7" s="125">
        <v>5</v>
      </c>
      <c r="D7" s="595">
        <v>-2387606939.3099999</v>
      </c>
      <c r="E7" s="595">
        <v>1141133844.9000001</v>
      </c>
      <c r="F7" s="587">
        <f>D7+E7</f>
        <v>-1246473094.4099998</v>
      </c>
      <c r="G7" s="501"/>
      <c r="H7" s="606">
        <f>DetRetri2026101!J13</f>
        <v>-1246473094</v>
      </c>
      <c r="I7" s="278">
        <f t="shared" si="0"/>
        <v>-0.40999984741210938</v>
      </c>
    </row>
    <row r="8" spans="1:10" ht="13.8" thickBot="1" x14ac:dyDescent="0.3">
      <c r="D8" s="144"/>
      <c r="E8" s="144"/>
      <c r="F8" s="144"/>
      <c r="G8" s="502"/>
      <c r="H8" s="143"/>
      <c r="I8" s="278"/>
    </row>
    <row r="9" spans="1:10" ht="13.8" thickBot="1" x14ac:dyDescent="0.3">
      <c r="D9" s="144"/>
      <c r="E9" s="144"/>
      <c r="F9" s="265">
        <f>SUM(F3:F7)</f>
        <v>-4536942176.5599995</v>
      </c>
      <c r="G9" s="501"/>
      <c r="H9" s="607">
        <f>SUM(H3:H7)</f>
        <v>-4536942176</v>
      </c>
      <c r="I9" s="278">
        <f>F9-H9</f>
        <v>-0.55999946594238281</v>
      </c>
    </row>
    <row r="10" spans="1:10" ht="13.8" thickBot="1" x14ac:dyDescent="0.3">
      <c r="D10" s="144"/>
      <c r="E10" s="144"/>
      <c r="F10" s="144"/>
      <c r="G10" s="502"/>
      <c r="H10" s="267" t="b">
        <f>H9=DetRetri2026101!J14</f>
        <v>1</v>
      </c>
    </row>
    <row r="11" spans="1:10" ht="13.8" thickBot="1" x14ac:dyDescent="0.3">
      <c r="D11" s="266">
        <f>SUM(D3:D7)</f>
        <v>-13241840828.149998</v>
      </c>
      <c r="E11" s="266">
        <f t="shared" ref="E11" si="1">SUM(E3:E7)</f>
        <v>8704898651.5900002</v>
      </c>
      <c r="F11" s="266">
        <f>SUM(D3:E7)</f>
        <v>-4536942176.5599995</v>
      </c>
      <c r="G11" s="503"/>
      <c r="H11" s="144"/>
    </row>
    <row r="12" spans="1:10" x14ac:dyDescent="0.25">
      <c r="D12" s="144"/>
      <c r="E12" s="144"/>
      <c r="F12" s="267" t="b">
        <f>ROUND(F11,2)=ROUND(F9,2)</f>
        <v>1</v>
      </c>
      <c r="H12" s="144"/>
    </row>
    <row r="13" spans="1:10" x14ac:dyDescent="0.25">
      <c r="D13" s="144"/>
      <c r="E13" s="144"/>
      <c r="F13" s="588">
        <f>ROUND(F11,2)-ROUND(F9,2)</f>
        <v>0</v>
      </c>
      <c r="G13" s="502"/>
      <c r="H13" s="144"/>
    </row>
    <row r="14" spans="1:10" x14ac:dyDescent="0.25">
      <c r="H14" s="143"/>
      <c r="I14" s="137"/>
    </row>
    <row r="15" spans="1:10" x14ac:dyDescent="0.25">
      <c r="H15" s="143"/>
      <c r="I15" s="137"/>
    </row>
    <row r="16" spans="1:10" x14ac:dyDescent="0.25">
      <c r="A16" s="238"/>
      <c r="B16" s="238"/>
      <c r="C16" s="497"/>
      <c r="D16" s="238"/>
      <c r="E16" s="238"/>
      <c r="F16" s="238"/>
      <c r="G16" s="238"/>
      <c r="H16" s="498"/>
      <c r="I16" s="499"/>
      <c r="J16" s="238"/>
    </row>
    <row r="17" spans="4:9" ht="13.8" thickBot="1" x14ac:dyDescent="0.3">
      <c r="D17" s="268"/>
      <c r="E17" s="268"/>
      <c r="F17" s="268"/>
      <c r="G17" s="268"/>
      <c r="H17" s="143"/>
      <c r="I17" s="137"/>
    </row>
    <row r="18" spans="4:9" ht="15" thickBot="1" x14ac:dyDescent="0.35">
      <c r="D18" s="127" t="s">
        <v>3</v>
      </c>
      <c r="E18" s="506" t="s">
        <v>195</v>
      </c>
      <c r="F18" s="510" t="s">
        <v>199</v>
      </c>
      <c r="G18" s="129" t="s">
        <v>198</v>
      </c>
      <c r="H18" s="511" t="s">
        <v>197</v>
      </c>
      <c r="I18" s="137"/>
    </row>
    <row r="19" spans="4:9" x14ac:dyDescent="0.25">
      <c r="D19" s="512">
        <v>1</v>
      </c>
      <c r="E19" s="515">
        <f>'CONSOLIDADO_TOTAL RECAUDO'!J104</f>
        <v>2153950828.1600003</v>
      </c>
      <c r="F19" s="516" t="b">
        <f>E19=F3</f>
        <v>1</v>
      </c>
      <c r="G19" s="516" t="b">
        <f>E19=H3</f>
        <v>0</v>
      </c>
      <c r="H19" s="517">
        <f>E19-H3</f>
        <v>0.16000032424926758</v>
      </c>
      <c r="I19" s="137"/>
    </row>
    <row r="20" spans="4:9" x14ac:dyDescent="0.25">
      <c r="D20" s="513">
        <v>2</v>
      </c>
      <c r="E20" s="518">
        <f>'CONSOLIDADO_TOTAL RECAUDO'!J105</f>
        <v>-4217145526.9099998</v>
      </c>
      <c r="F20" s="507" t="b">
        <f t="shared" ref="F20:F23" si="2">E20=F4</f>
        <v>1</v>
      </c>
      <c r="G20" s="507" t="b">
        <f t="shared" ref="G20:G23" si="3">E20=H4</f>
        <v>0</v>
      </c>
      <c r="H20" s="263">
        <f t="shared" ref="H20:H23" si="4">E20-H4</f>
        <v>9.0000152587890625E-2</v>
      </c>
      <c r="I20" s="137"/>
    </row>
    <row r="21" spans="4:9" x14ac:dyDescent="0.25">
      <c r="D21" s="513">
        <v>3</v>
      </c>
      <c r="E21" s="518">
        <f>'CONSOLIDADO_TOTAL RECAUDO'!J106</f>
        <v>-1288806337.0900002</v>
      </c>
      <c r="F21" s="507" t="b">
        <f t="shared" si="2"/>
        <v>1</v>
      </c>
      <c r="G21" s="507" t="b">
        <f t="shared" si="3"/>
        <v>0</v>
      </c>
      <c r="H21" s="263">
        <f t="shared" si="4"/>
        <v>-9.0000152587890625E-2</v>
      </c>
    </row>
    <row r="22" spans="4:9" x14ac:dyDescent="0.25">
      <c r="D22" s="513">
        <v>4</v>
      </c>
      <c r="E22" s="518">
        <f>'CONSOLIDADO_TOTAL RECAUDO'!J107</f>
        <v>61531953.689999998</v>
      </c>
      <c r="F22" s="507" t="b">
        <f t="shared" si="2"/>
        <v>1</v>
      </c>
      <c r="G22" s="507" t="b">
        <f t="shared" si="3"/>
        <v>0</v>
      </c>
      <c r="H22" s="263">
        <f t="shared" si="4"/>
        <v>-0.31000000238418579</v>
      </c>
    </row>
    <row r="23" spans="4:9" ht="13.8" thickBot="1" x14ac:dyDescent="0.3">
      <c r="D23" s="514">
        <v>5</v>
      </c>
      <c r="E23" s="519">
        <f>'CONSOLIDADO_TOTAL RECAUDO'!J108</f>
        <v>-1246473094.4099998</v>
      </c>
      <c r="F23" s="520" t="b">
        <f t="shared" si="2"/>
        <v>1</v>
      </c>
      <c r="G23" s="520" t="b">
        <f t="shared" si="3"/>
        <v>0</v>
      </c>
      <c r="H23" s="264">
        <f t="shared" si="4"/>
        <v>-0.40999984741210938</v>
      </c>
    </row>
    <row r="24" spans="4:9" ht="13.8" thickBot="1" x14ac:dyDescent="0.3">
      <c r="E24" s="266">
        <f>SUM(E19:E23)</f>
        <v>-4536942176.5599995</v>
      </c>
      <c r="F24" s="508" t="b">
        <f>E24=F9</f>
        <v>1</v>
      </c>
      <c r="G24" s="509" t="b">
        <f>E24=H9</f>
        <v>0</v>
      </c>
      <c r="H24" s="265">
        <f>E24-H9</f>
        <v>-0.55999946594238281</v>
      </c>
    </row>
    <row r="26" spans="4:9" x14ac:dyDescent="0.25">
      <c r="F26" s="137"/>
    </row>
    <row r="28" spans="4:9" x14ac:dyDescent="0.25">
      <c r="F28" s="268"/>
    </row>
    <row r="29" spans="4:9" x14ac:dyDescent="0.25">
      <c r="F29" s="268"/>
    </row>
    <row r="30" spans="4:9" x14ac:dyDescent="0.25">
      <c r="F30" s="268"/>
    </row>
    <row r="31" spans="4:9" x14ac:dyDescent="0.25">
      <c r="F31" s="268"/>
    </row>
    <row r="32" spans="4:9" x14ac:dyDescent="0.25">
      <c r="F32" s="268"/>
    </row>
    <row r="33" spans="6:7" x14ac:dyDescent="0.25">
      <c r="F33" s="268"/>
    </row>
    <row r="34" spans="6:7" x14ac:dyDescent="0.25">
      <c r="F34" s="268"/>
      <c r="G34" s="137"/>
    </row>
    <row r="35" spans="6:7" x14ac:dyDescent="0.25">
      <c r="F35" s="268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45"/>
  <sheetViews>
    <sheetView topLeftCell="T1" zoomScale="90" zoomScaleNormal="90" workbookViewId="0">
      <pane ySplit="5" topLeftCell="A94" activePane="bottomLeft" state="frozen"/>
      <selection activeCell="A6" sqref="A6"/>
      <selection pane="bottomLeft" activeCell="A6" sqref="A6"/>
    </sheetView>
  </sheetViews>
  <sheetFormatPr baseColWidth="10" defaultRowHeight="13.2" x14ac:dyDescent="0.25"/>
  <cols>
    <col min="1" max="1" width="13.77734375" customWidth="1"/>
    <col min="2" max="2" width="16.77734375" customWidth="1"/>
    <col min="3" max="3" width="15.77734375" bestFit="1" customWidth="1"/>
    <col min="4" max="4" width="16.77734375" bestFit="1" customWidth="1"/>
    <col min="5" max="5" width="17" bestFit="1" customWidth="1"/>
    <col min="6" max="6" width="17.44140625" bestFit="1" customWidth="1"/>
    <col min="7" max="7" width="16.77734375" bestFit="1" customWidth="1"/>
    <col min="8" max="8" width="16.21875" bestFit="1" customWidth="1"/>
    <col min="9" max="9" width="19.21875" customWidth="1"/>
    <col min="10" max="10" width="17" customWidth="1"/>
    <col min="11" max="11" width="17.21875" bestFit="1" customWidth="1"/>
    <col min="12" max="12" width="22.44140625" bestFit="1" customWidth="1"/>
    <col min="13" max="13" width="16.777343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21875" customWidth="1"/>
    <col min="18" max="18" width="17.21875" customWidth="1"/>
    <col min="19" max="19" width="24" customWidth="1"/>
    <col min="20" max="22" width="23.77734375" customWidth="1"/>
    <col min="23" max="24" width="20" bestFit="1" customWidth="1"/>
    <col min="25" max="25" width="18.77734375" customWidth="1"/>
    <col min="26" max="26" width="14.21875" bestFit="1" customWidth="1"/>
  </cols>
  <sheetData>
    <row r="1" spans="1:26" x14ac:dyDescent="0.25">
      <c r="F1" s="630"/>
    </row>
    <row r="3" spans="1:26" s="238" customFormat="1" x14ac:dyDescent="0.25"/>
    <row r="4" spans="1:26" ht="13.5" customHeight="1" x14ac:dyDescent="0.25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172</v>
      </c>
      <c r="V5" s="89" t="s">
        <v>221</v>
      </c>
      <c r="W5" s="89" t="s">
        <v>172</v>
      </c>
      <c r="X5" t="s">
        <v>172</v>
      </c>
      <c r="Y5" s="89" t="s">
        <v>135</v>
      </c>
      <c r="Z5" s="89" t="s">
        <v>166</v>
      </c>
    </row>
    <row r="6" spans="1:26" ht="12.75" customHeight="1" x14ac:dyDescent="0.25">
      <c r="E6" s="89" t="s">
        <v>72</v>
      </c>
      <c r="F6" s="373">
        <v>-2015.07</v>
      </c>
      <c r="G6" s="90">
        <v>-122.1</v>
      </c>
      <c r="H6" s="90">
        <v>-51.87</v>
      </c>
      <c r="I6" s="90">
        <v>-22.65</v>
      </c>
      <c r="J6" s="90">
        <v>-369.44</v>
      </c>
      <c r="K6" s="90">
        <v>-23.88</v>
      </c>
      <c r="L6" s="90">
        <v>0</v>
      </c>
      <c r="M6" s="90">
        <v>-209.4</v>
      </c>
      <c r="N6" s="90">
        <v>-175.25</v>
      </c>
      <c r="O6" s="90">
        <v>-699.55</v>
      </c>
      <c r="P6" s="90">
        <v>-301.98</v>
      </c>
      <c r="Q6" s="90">
        <v>-38.950000000000003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6" customHeight="1" x14ac:dyDescent="0.25">
      <c r="D7" t="s">
        <v>156</v>
      </c>
      <c r="E7" s="89" t="s">
        <v>70</v>
      </c>
      <c r="F7" s="373">
        <v>-2015.07</v>
      </c>
      <c r="G7" s="90">
        <v>-122.1</v>
      </c>
      <c r="H7" s="90">
        <v>-51.87</v>
      </c>
      <c r="I7" s="90">
        <v>-22.65</v>
      </c>
      <c r="J7" s="90">
        <v>-369.44</v>
      </c>
      <c r="K7" s="90">
        <v>-23.88</v>
      </c>
      <c r="L7" s="90">
        <v>0</v>
      </c>
      <c r="M7" s="90">
        <v>-209.4</v>
      </c>
      <c r="N7" s="90">
        <v>-175.25</v>
      </c>
      <c r="O7" s="90">
        <v>-699.55</v>
      </c>
      <c r="P7" s="90">
        <v>-301.98</v>
      </c>
      <c r="Q7" s="90">
        <v>-38.950000000000003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288" customFormat="1" ht="12.75" customHeight="1" x14ac:dyDescent="0.25">
      <c r="C8" s="288" t="s">
        <v>155</v>
      </c>
      <c r="D8" s="288" t="s">
        <v>70</v>
      </c>
      <c r="E8" s="229"/>
      <c r="F8" s="229">
        <v>-2015.07</v>
      </c>
      <c r="G8" s="230">
        <v>-122.1</v>
      </c>
      <c r="H8" s="230">
        <v>-51.87</v>
      </c>
      <c r="I8" s="230">
        <v>-22.65</v>
      </c>
      <c r="J8" s="230">
        <v>-369.44</v>
      </c>
      <c r="K8" s="230">
        <v>-23.88</v>
      </c>
      <c r="L8" s="230">
        <v>0</v>
      </c>
      <c r="M8" s="230">
        <v>-209.4</v>
      </c>
      <c r="N8" s="230">
        <v>-175.25</v>
      </c>
      <c r="O8" s="230">
        <v>-699.55</v>
      </c>
      <c r="P8" s="230">
        <v>-301.98</v>
      </c>
      <c r="Q8" s="230">
        <v>-38.950000000000003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0</v>
      </c>
      <c r="X8" s="230">
        <v>0</v>
      </c>
      <c r="Y8" s="230">
        <v>0</v>
      </c>
      <c r="Z8" s="230">
        <v>0</v>
      </c>
    </row>
    <row r="9" spans="1:26" ht="12.75" customHeight="1" x14ac:dyDescent="0.25">
      <c r="B9" t="s">
        <v>112</v>
      </c>
      <c r="C9" s="89" t="s">
        <v>70</v>
      </c>
      <c r="D9" s="89"/>
      <c r="F9" s="90">
        <v>-2015.07</v>
      </c>
      <c r="G9" s="90">
        <v>-122.1</v>
      </c>
      <c r="H9" s="90">
        <v>-51.87</v>
      </c>
      <c r="I9" s="90">
        <v>-22.65</v>
      </c>
      <c r="J9" s="90">
        <v>-369.44</v>
      </c>
      <c r="K9" s="90">
        <v>-23.88</v>
      </c>
      <c r="L9" s="90">
        <v>0</v>
      </c>
      <c r="M9" s="90">
        <v>-209.4</v>
      </c>
      <c r="N9" s="90">
        <v>-175.25</v>
      </c>
      <c r="O9" s="90">
        <v>-699.55</v>
      </c>
      <c r="P9" s="90">
        <v>-301.98</v>
      </c>
      <c r="Q9" s="90">
        <v>-38.950000000000003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s="460" customFormat="1" x14ac:dyDescent="0.25">
      <c r="A10" s="460" t="s">
        <v>185</v>
      </c>
      <c r="B10" s="461" t="s">
        <v>70</v>
      </c>
      <c r="C10" s="461"/>
      <c r="F10" s="462">
        <v>-2015.07</v>
      </c>
      <c r="G10" s="462">
        <v>-122.1</v>
      </c>
      <c r="H10" s="462">
        <v>-51.87</v>
      </c>
      <c r="I10" s="462">
        <v>-22.65</v>
      </c>
      <c r="J10" s="462">
        <v>-369.44</v>
      </c>
      <c r="K10" s="462">
        <v>-23.88</v>
      </c>
      <c r="L10" s="462">
        <v>0</v>
      </c>
      <c r="M10" s="462">
        <v>-209.4</v>
      </c>
      <c r="N10" s="462">
        <v>-175.25</v>
      </c>
      <c r="O10" s="462">
        <v>-699.55</v>
      </c>
      <c r="P10" s="462">
        <v>-301.98</v>
      </c>
      <c r="Q10" s="462">
        <v>-38.950000000000003</v>
      </c>
      <c r="R10" s="462">
        <v>0</v>
      </c>
      <c r="S10" s="462">
        <v>0</v>
      </c>
      <c r="T10" s="462">
        <v>0</v>
      </c>
      <c r="U10" s="462">
        <v>0</v>
      </c>
      <c r="V10" s="462">
        <v>0</v>
      </c>
      <c r="W10" s="462">
        <v>0</v>
      </c>
      <c r="X10" s="462">
        <v>0</v>
      </c>
      <c r="Y10" s="462">
        <v>0</v>
      </c>
      <c r="Z10" s="462">
        <v>0</v>
      </c>
    </row>
    <row r="11" spans="1:26" ht="12.75" customHeight="1" x14ac:dyDescent="0.25">
      <c r="E11" s="89" t="s">
        <v>72</v>
      </c>
      <c r="F11" s="373">
        <v>543996.54</v>
      </c>
      <c r="G11" s="90">
        <v>23503.13</v>
      </c>
      <c r="H11" s="90">
        <v>13266.51</v>
      </c>
      <c r="I11" s="90">
        <v>6965.01</v>
      </c>
      <c r="J11" s="90">
        <v>119922.22</v>
      </c>
      <c r="K11" s="90">
        <v>5285.43</v>
      </c>
      <c r="L11" s="90">
        <v>0</v>
      </c>
      <c r="M11" s="90">
        <v>46363.01</v>
      </c>
      <c r="N11" s="90">
        <v>44625.42</v>
      </c>
      <c r="O11" s="90">
        <v>211250.82</v>
      </c>
      <c r="P11" s="90">
        <v>64191.45</v>
      </c>
      <c r="Q11" s="90">
        <v>8623.4599999999991</v>
      </c>
      <c r="R11" s="90">
        <v>0.08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1:26" ht="12.75" customHeight="1" x14ac:dyDescent="0.25">
      <c r="E12" s="89" t="s">
        <v>81</v>
      </c>
      <c r="F12" s="373">
        <v>2063.1</v>
      </c>
      <c r="G12" s="90">
        <v>86.78</v>
      </c>
      <c r="H12" s="90">
        <v>48.91</v>
      </c>
      <c r="I12" s="90">
        <v>25.71</v>
      </c>
      <c r="J12" s="90">
        <v>441.75</v>
      </c>
      <c r="K12" s="90">
        <v>20.420000000000002</v>
      </c>
      <c r="L12" s="90">
        <v>0</v>
      </c>
      <c r="M12" s="90">
        <v>179.53</v>
      </c>
      <c r="N12" s="90">
        <v>172.72</v>
      </c>
      <c r="O12" s="90">
        <v>816.93</v>
      </c>
      <c r="P12" s="90">
        <v>236.94</v>
      </c>
      <c r="Q12" s="90">
        <v>33.409999999999997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ht="12.75" customHeight="1" x14ac:dyDescent="0.25">
      <c r="D13" t="s">
        <v>156</v>
      </c>
      <c r="E13" s="89" t="s">
        <v>70</v>
      </c>
      <c r="F13" s="373">
        <v>546059.64</v>
      </c>
      <c r="G13" s="90">
        <v>23589.91</v>
      </c>
      <c r="H13" s="90">
        <v>13315.42</v>
      </c>
      <c r="I13" s="90">
        <v>6990.72</v>
      </c>
      <c r="J13" s="90">
        <v>120363.97</v>
      </c>
      <c r="K13" s="90">
        <v>5305.85</v>
      </c>
      <c r="L13" s="90">
        <v>0</v>
      </c>
      <c r="M13" s="90">
        <v>46542.54</v>
      </c>
      <c r="N13" s="90">
        <v>44798.14</v>
      </c>
      <c r="O13" s="90">
        <v>212067.75</v>
      </c>
      <c r="P13" s="90">
        <v>64428.39</v>
      </c>
      <c r="Q13" s="90">
        <v>8656.8700000000008</v>
      </c>
      <c r="R13" s="90">
        <v>0.08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s="288" customFormat="1" ht="12.75" customHeight="1" x14ac:dyDescent="0.25">
      <c r="C14" s="288" t="s">
        <v>155</v>
      </c>
      <c r="D14" s="288" t="s">
        <v>70</v>
      </c>
      <c r="E14" s="229"/>
      <c r="F14" s="229">
        <v>546059.64</v>
      </c>
      <c r="G14" s="230">
        <v>23589.91</v>
      </c>
      <c r="H14" s="230">
        <v>13315.42</v>
      </c>
      <c r="I14" s="230">
        <v>6990.72</v>
      </c>
      <c r="J14" s="230">
        <v>120363.97</v>
      </c>
      <c r="K14" s="230">
        <v>5305.85</v>
      </c>
      <c r="L14" s="230">
        <v>0</v>
      </c>
      <c r="M14" s="230">
        <v>46542.54</v>
      </c>
      <c r="N14" s="230">
        <v>44798.14</v>
      </c>
      <c r="O14" s="230">
        <v>212067.75</v>
      </c>
      <c r="P14" s="230">
        <v>64428.39</v>
      </c>
      <c r="Q14" s="230">
        <v>8656.8700000000008</v>
      </c>
      <c r="R14" s="230">
        <v>0.08</v>
      </c>
      <c r="S14" s="230">
        <v>0</v>
      </c>
      <c r="T14" s="230">
        <v>0</v>
      </c>
      <c r="U14" s="230">
        <v>0</v>
      </c>
      <c r="V14" s="230">
        <v>0</v>
      </c>
      <c r="W14" s="230">
        <v>0</v>
      </c>
      <c r="X14" s="230">
        <v>0</v>
      </c>
      <c r="Y14" s="230">
        <v>0</v>
      </c>
      <c r="Z14" s="230">
        <v>0</v>
      </c>
    </row>
    <row r="15" spans="1:26" ht="12.75" customHeight="1" x14ac:dyDescent="0.25">
      <c r="E15" s="89" t="s">
        <v>72</v>
      </c>
      <c r="F15" s="373">
        <v>89870.51</v>
      </c>
      <c r="G15" s="90">
        <v>5626.37</v>
      </c>
      <c r="H15" s="90">
        <v>3138.96</v>
      </c>
      <c r="I15" s="90">
        <v>1667.33</v>
      </c>
      <c r="J15" s="90">
        <v>21034.12</v>
      </c>
      <c r="K15" s="90">
        <v>519.02</v>
      </c>
      <c r="L15" s="90">
        <v>0</v>
      </c>
      <c r="M15" s="90">
        <v>4552.92</v>
      </c>
      <c r="N15" s="90">
        <v>6472.07</v>
      </c>
      <c r="O15" s="90">
        <v>30640.84</v>
      </c>
      <c r="P15" s="90">
        <v>15366.98</v>
      </c>
      <c r="Q15" s="90">
        <v>846.86</v>
      </c>
      <c r="R15" s="90">
        <v>5.04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1:26" ht="12.75" customHeight="1" x14ac:dyDescent="0.25">
      <c r="E16" s="89" t="s">
        <v>81</v>
      </c>
      <c r="F16" s="373">
        <v>116.92</v>
      </c>
      <c r="G16" s="90">
        <v>7.31</v>
      </c>
      <c r="H16" s="90">
        <v>4.09</v>
      </c>
      <c r="I16" s="90">
        <v>2.17</v>
      </c>
      <c r="J16" s="90">
        <v>27.38</v>
      </c>
      <c r="K16" s="90">
        <v>0.67</v>
      </c>
      <c r="L16" s="90">
        <v>0</v>
      </c>
      <c r="M16" s="90">
        <v>5.91</v>
      </c>
      <c r="N16" s="90">
        <v>8.4700000000000006</v>
      </c>
      <c r="O16" s="90">
        <v>39.840000000000003</v>
      </c>
      <c r="P16" s="90">
        <v>19.98</v>
      </c>
      <c r="Q16" s="90">
        <v>1.1000000000000001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2:26" ht="12.75" customHeight="1" x14ac:dyDescent="0.25">
      <c r="D17" t="s">
        <v>87</v>
      </c>
      <c r="E17" s="89" t="s">
        <v>70</v>
      </c>
      <c r="F17" s="373">
        <v>89987.43</v>
      </c>
      <c r="G17" s="90">
        <v>5633.68</v>
      </c>
      <c r="H17" s="90">
        <v>3143.05</v>
      </c>
      <c r="I17" s="90">
        <v>1669.5</v>
      </c>
      <c r="J17" s="90">
        <v>21061.5</v>
      </c>
      <c r="K17" s="90">
        <v>519.69000000000005</v>
      </c>
      <c r="L17" s="90">
        <v>0</v>
      </c>
      <c r="M17" s="90">
        <v>4558.83</v>
      </c>
      <c r="N17" s="90">
        <v>6480.54</v>
      </c>
      <c r="O17" s="90">
        <v>30680.68</v>
      </c>
      <c r="P17" s="90">
        <v>15386.96</v>
      </c>
      <c r="Q17" s="90">
        <v>847.96</v>
      </c>
      <c r="R17" s="90">
        <v>5.04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</row>
    <row r="18" spans="2:26" s="94" customFormat="1" ht="12.75" customHeight="1" x14ac:dyDescent="0.25">
      <c r="C18" s="101" t="s">
        <v>119</v>
      </c>
      <c r="D18" s="101" t="s">
        <v>70</v>
      </c>
      <c r="F18" s="93">
        <v>89987.43</v>
      </c>
      <c r="G18" s="93">
        <v>5633.68</v>
      </c>
      <c r="H18" s="93">
        <v>3143.05</v>
      </c>
      <c r="I18" s="93">
        <v>1669.5</v>
      </c>
      <c r="J18" s="93">
        <v>21061.5</v>
      </c>
      <c r="K18" s="93">
        <v>519.69000000000005</v>
      </c>
      <c r="L18" s="93">
        <v>0</v>
      </c>
      <c r="M18" s="93">
        <v>4558.83</v>
      </c>
      <c r="N18" s="93">
        <v>6480.54</v>
      </c>
      <c r="O18" s="93">
        <v>30680.68</v>
      </c>
      <c r="P18" s="93">
        <v>15386.96</v>
      </c>
      <c r="Q18" s="93">
        <v>847.96</v>
      </c>
      <c r="R18" s="93">
        <v>5.04</v>
      </c>
      <c r="S18" s="93">
        <v>0</v>
      </c>
      <c r="T18" s="93">
        <v>0</v>
      </c>
      <c r="U18" s="93">
        <v>0</v>
      </c>
      <c r="V18" s="93">
        <v>0</v>
      </c>
      <c r="W18" s="93">
        <v>0</v>
      </c>
      <c r="X18" s="93">
        <v>0</v>
      </c>
      <c r="Y18" s="93">
        <v>0</v>
      </c>
      <c r="Z18" s="93">
        <v>0</v>
      </c>
    </row>
    <row r="19" spans="2:26" s="380" customFormat="1" ht="12.75" customHeight="1" x14ac:dyDescent="0.25">
      <c r="B19" s="380" t="s">
        <v>122</v>
      </c>
      <c r="C19" s="380" t="s">
        <v>70</v>
      </c>
      <c r="F19" s="380">
        <v>636047.06999999995</v>
      </c>
      <c r="G19" s="380">
        <v>29223.59</v>
      </c>
      <c r="H19" s="380">
        <v>16458.47</v>
      </c>
      <c r="I19" s="380">
        <v>8660.2199999999993</v>
      </c>
      <c r="J19" s="380">
        <v>141425.47</v>
      </c>
      <c r="K19" s="380">
        <v>5825.54</v>
      </c>
      <c r="L19" s="380">
        <v>0</v>
      </c>
      <c r="M19" s="380">
        <v>51101.37</v>
      </c>
      <c r="N19" s="380">
        <v>51278.68</v>
      </c>
      <c r="O19" s="380">
        <v>242748.43</v>
      </c>
      <c r="P19" s="380">
        <v>79815.350000000006</v>
      </c>
      <c r="Q19" s="380">
        <v>9504.83</v>
      </c>
      <c r="R19" s="380">
        <v>5.12</v>
      </c>
      <c r="S19" s="380">
        <v>0</v>
      </c>
      <c r="T19" s="380">
        <v>0</v>
      </c>
      <c r="U19" s="380">
        <v>0</v>
      </c>
      <c r="V19" s="380">
        <v>0</v>
      </c>
      <c r="W19" s="380">
        <v>0</v>
      </c>
      <c r="X19" s="380">
        <v>0</v>
      </c>
      <c r="Y19" s="380">
        <v>0</v>
      </c>
      <c r="Z19" s="380">
        <v>0</v>
      </c>
    </row>
    <row r="20" spans="2:26" ht="12.75" customHeight="1" x14ac:dyDescent="0.25">
      <c r="E20" s="89" t="s">
        <v>72</v>
      </c>
      <c r="F20" s="373">
        <v>17732826240.02</v>
      </c>
      <c r="G20" s="90">
        <v>808116076.44000006</v>
      </c>
      <c r="H20" s="90">
        <v>450181450.91000003</v>
      </c>
      <c r="I20" s="90">
        <v>239639703.56</v>
      </c>
      <c r="J20" s="90">
        <v>4717289422.5</v>
      </c>
      <c r="K20" s="90">
        <v>157316530.83000001</v>
      </c>
      <c r="L20" s="90">
        <v>9937432.2400000002</v>
      </c>
      <c r="M20" s="90">
        <v>1381411069.8</v>
      </c>
      <c r="N20" s="90">
        <v>1302863540.5899999</v>
      </c>
      <c r="O20" s="90">
        <v>6210343115.9099998</v>
      </c>
      <c r="P20" s="90">
        <v>2198936535.1700001</v>
      </c>
      <c r="Q20" s="90">
        <v>256815605.87</v>
      </c>
      <c r="R20" s="90">
        <v>-24243.8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2:26" ht="12.75" customHeight="1" x14ac:dyDescent="0.25">
      <c r="E21" s="89" t="s">
        <v>81</v>
      </c>
      <c r="F21" s="90">
        <v>2121030.59</v>
      </c>
      <c r="G21" s="90">
        <v>114429.04</v>
      </c>
      <c r="H21" s="90">
        <v>59031.07</v>
      </c>
      <c r="I21" s="90">
        <v>30884.79</v>
      </c>
      <c r="J21" s="90">
        <v>467332.66</v>
      </c>
      <c r="K21" s="90">
        <v>20333.36</v>
      </c>
      <c r="L21" s="90">
        <v>491.86</v>
      </c>
      <c r="M21" s="90">
        <v>178752.52</v>
      </c>
      <c r="N21" s="90">
        <v>163509.31</v>
      </c>
      <c r="O21" s="90">
        <v>744605.58</v>
      </c>
      <c r="P21" s="90">
        <v>308414.05</v>
      </c>
      <c r="Q21" s="90">
        <v>33078.85</v>
      </c>
      <c r="R21" s="90">
        <v>18.46</v>
      </c>
      <c r="S21" s="90">
        <v>19.47</v>
      </c>
      <c r="T21" s="90">
        <v>236.47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-106.9</v>
      </c>
    </row>
    <row r="22" spans="2:26" ht="12.75" customHeight="1" x14ac:dyDescent="0.25">
      <c r="D22" t="s">
        <v>156</v>
      </c>
      <c r="E22" s="89" t="s">
        <v>70</v>
      </c>
      <c r="F22" s="89">
        <v>17734947270.610001</v>
      </c>
      <c r="G22" s="90">
        <v>808230505.48000002</v>
      </c>
      <c r="H22" s="90">
        <v>450240481.98000002</v>
      </c>
      <c r="I22" s="90">
        <v>239670588.34999999</v>
      </c>
      <c r="J22" s="90">
        <v>4717756755.1599998</v>
      </c>
      <c r="K22" s="90">
        <v>157336864.19</v>
      </c>
      <c r="L22" s="90">
        <v>9937924.0999999996</v>
      </c>
      <c r="M22" s="90">
        <v>1381589822.3199999</v>
      </c>
      <c r="N22" s="90">
        <v>1303027049.9000001</v>
      </c>
      <c r="O22" s="90">
        <v>6211087721.4899998</v>
      </c>
      <c r="P22" s="90">
        <v>2199244949.2199998</v>
      </c>
      <c r="Q22" s="90">
        <v>256848684.72</v>
      </c>
      <c r="R22" s="90">
        <v>-24225.34</v>
      </c>
      <c r="S22" s="90">
        <v>19.47</v>
      </c>
      <c r="T22" s="90">
        <v>236.47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-106.9</v>
      </c>
    </row>
    <row r="23" spans="2:26" s="288" customFormat="1" ht="12.75" customHeight="1" x14ac:dyDescent="0.25">
      <c r="C23" s="288" t="s">
        <v>155</v>
      </c>
      <c r="D23" s="288" t="s">
        <v>70</v>
      </c>
      <c r="E23" s="229"/>
      <c r="F23" s="229">
        <v>17734947270.610001</v>
      </c>
      <c r="G23" s="230">
        <v>808230505.48000002</v>
      </c>
      <c r="H23" s="230">
        <v>450240481.98000002</v>
      </c>
      <c r="I23" s="230">
        <v>239670588.34999999</v>
      </c>
      <c r="J23" s="230">
        <v>4717756755.1599998</v>
      </c>
      <c r="K23" s="230">
        <v>157336864.19</v>
      </c>
      <c r="L23" s="230">
        <v>9937924.0999999996</v>
      </c>
      <c r="M23" s="230">
        <v>1381589822.3199999</v>
      </c>
      <c r="N23" s="230">
        <v>1303027049.9000001</v>
      </c>
      <c r="O23" s="230">
        <v>6211087721.4899998</v>
      </c>
      <c r="P23" s="230">
        <v>2199244949.2199998</v>
      </c>
      <c r="Q23" s="230">
        <v>256848684.72</v>
      </c>
      <c r="R23" s="230">
        <v>-24225.34</v>
      </c>
      <c r="S23" s="230">
        <v>19.47</v>
      </c>
      <c r="T23" s="230">
        <v>236.47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Z23" s="230">
        <v>-106.9</v>
      </c>
    </row>
    <row r="24" spans="2:26" ht="12.75" customHeight="1" x14ac:dyDescent="0.25">
      <c r="E24" s="89" t="s">
        <v>72</v>
      </c>
      <c r="F24" s="89">
        <v>27812533.989999998</v>
      </c>
      <c r="G24" s="90">
        <v>3127682.62</v>
      </c>
      <c r="H24" s="90">
        <v>1787750.62</v>
      </c>
      <c r="I24" s="90">
        <v>994482.9</v>
      </c>
      <c r="J24" s="90">
        <v>3900132.39</v>
      </c>
      <c r="K24" s="90">
        <v>128394.64</v>
      </c>
      <c r="L24" s="90">
        <v>65261.43</v>
      </c>
      <c r="M24" s="90">
        <v>1108739.27</v>
      </c>
      <c r="N24" s="90">
        <v>1377785.37</v>
      </c>
      <c r="O24" s="90">
        <v>6585392.25</v>
      </c>
      <c r="P24" s="90">
        <v>8526230.0600000005</v>
      </c>
      <c r="Q24" s="90">
        <v>210777.87</v>
      </c>
      <c r="R24" s="90">
        <v>-95.43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2:26" ht="12.75" customHeight="1" x14ac:dyDescent="0.25">
      <c r="E25" s="89" t="s">
        <v>81</v>
      </c>
      <c r="F25" s="90">
        <v>52627</v>
      </c>
      <c r="G25" s="90">
        <v>3905.72</v>
      </c>
      <c r="H25" s="90">
        <v>2108.89</v>
      </c>
      <c r="I25" s="90">
        <v>1129.02</v>
      </c>
      <c r="J25" s="90">
        <v>9194.6</v>
      </c>
      <c r="K25" s="90">
        <v>397.89</v>
      </c>
      <c r="L25" s="90">
        <v>0</v>
      </c>
      <c r="M25" s="90">
        <v>3497.21</v>
      </c>
      <c r="N25" s="90">
        <v>3710.89</v>
      </c>
      <c r="O25" s="90">
        <v>17365.580000000002</v>
      </c>
      <c r="P25" s="90">
        <v>10667.02</v>
      </c>
      <c r="Q25" s="90">
        <v>649.71</v>
      </c>
      <c r="R25" s="90">
        <v>0.42</v>
      </c>
      <c r="S25" s="90">
        <v>-0.01</v>
      </c>
      <c r="T25" s="90">
        <v>0.06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2:26" ht="12.75" customHeight="1" x14ac:dyDescent="0.25">
      <c r="D26" s="89" t="s">
        <v>82</v>
      </c>
      <c r="E26" s="89" t="s">
        <v>70</v>
      </c>
      <c r="F26" s="90">
        <v>27865160.989999998</v>
      </c>
      <c r="G26" s="90">
        <v>3131588.34</v>
      </c>
      <c r="H26" s="90">
        <v>1789859.51</v>
      </c>
      <c r="I26" s="90">
        <v>995611.92</v>
      </c>
      <c r="J26" s="90">
        <v>3909326.99</v>
      </c>
      <c r="K26" s="90">
        <v>128792.53</v>
      </c>
      <c r="L26" s="90">
        <v>65261.43</v>
      </c>
      <c r="M26" s="90">
        <v>1112236.48</v>
      </c>
      <c r="N26" s="90">
        <v>1381496.26</v>
      </c>
      <c r="O26" s="90">
        <v>6602757.8300000001</v>
      </c>
      <c r="P26" s="90">
        <v>8536897.0800000001</v>
      </c>
      <c r="Q26" s="90">
        <v>211427.58</v>
      </c>
      <c r="R26" s="90">
        <v>-95.01</v>
      </c>
      <c r="S26" s="90">
        <v>-0.01</v>
      </c>
      <c r="T26" s="90">
        <v>0.06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2:26" ht="12.75" customHeight="1" x14ac:dyDescent="0.25">
      <c r="E27" s="89" t="s">
        <v>72</v>
      </c>
      <c r="F27" s="90">
        <v>38733807.130000003</v>
      </c>
      <c r="G27" s="90">
        <v>3039800.25</v>
      </c>
      <c r="H27" s="90">
        <v>1655044.15</v>
      </c>
      <c r="I27" s="90">
        <v>884056.68</v>
      </c>
      <c r="J27" s="90">
        <v>6291646.5300000003</v>
      </c>
      <c r="K27" s="90">
        <v>298351.07</v>
      </c>
      <c r="L27" s="90">
        <v>43507.62</v>
      </c>
      <c r="M27" s="90">
        <v>2623588.83</v>
      </c>
      <c r="N27" s="90">
        <v>2661210.63</v>
      </c>
      <c r="O27" s="90">
        <v>12473941.439999999</v>
      </c>
      <c r="P27" s="90">
        <v>8276273.9800000004</v>
      </c>
      <c r="Q27" s="90">
        <v>486783.55</v>
      </c>
      <c r="R27" s="90">
        <v>-397.6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2:26" ht="12.75" customHeight="1" x14ac:dyDescent="0.25">
      <c r="E28" s="89" t="s">
        <v>81</v>
      </c>
      <c r="F28" s="90">
        <v>103423.02</v>
      </c>
      <c r="G28" s="90">
        <v>5231.83</v>
      </c>
      <c r="H28" s="90">
        <v>2620.7800000000002</v>
      </c>
      <c r="I28" s="90">
        <v>1432.53</v>
      </c>
      <c r="J28" s="90">
        <v>22089.08</v>
      </c>
      <c r="K28" s="90">
        <v>1012.15</v>
      </c>
      <c r="L28" s="90">
        <v>0</v>
      </c>
      <c r="M28" s="90">
        <v>8840.42</v>
      </c>
      <c r="N28" s="90">
        <v>8284.39</v>
      </c>
      <c r="O28" s="90">
        <v>37991.279999999999</v>
      </c>
      <c r="P28" s="90">
        <v>14270.12</v>
      </c>
      <c r="Q28" s="90">
        <v>1651.75</v>
      </c>
      <c r="R28" s="90">
        <v>-1.34</v>
      </c>
      <c r="S28" s="90">
        <v>0</v>
      </c>
      <c r="T28" s="90">
        <v>0.03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2:26" ht="12.75" customHeight="1" x14ac:dyDescent="0.25">
      <c r="D29" s="89" t="s">
        <v>86</v>
      </c>
      <c r="E29" s="89" t="s">
        <v>70</v>
      </c>
      <c r="F29" s="90">
        <v>38837230.149999999</v>
      </c>
      <c r="G29" s="90">
        <v>3045032.08</v>
      </c>
      <c r="H29" s="90">
        <v>1657664.93</v>
      </c>
      <c r="I29" s="90">
        <v>885489.21</v>
      </c>
      <c r="J29" s="90">
        <v>6313735.6100000003</v>
      </c>
      <c r="K29" s="90">
        <v>299363.21999999997</v>
      </c>
      <c r="L29" s="90">
        <v>43507.62</v>
      </c>
      <c r="M29" s="90">
        <v>2632429.25</v>
      </c>
      <c r="N29" s="90">
        <v>2669495.02</v>
      </c>
      <c r="O29" s="90">
        <v>12511932.720000001</v>
      </c>
      <c r="P29" s="90">
        <v>8290544.0999999996</v>
      </c>
      <c r="Q29" s="90">
        <v>488435.3</v>
      </c>
      <c r="R29" s="90">
        <v>-398.94</v>
      </c>
      <c r="S29" s="90">
        <v>0</v>
      </c>
      <c r="T29" s="90">
        <v>0.03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</row>
    <row r="30" spans="2:26" ht="12.75" customHeight="1" x14ac:dyDescent="0.25">
      <c r="C30" s="89"/>
      <c r="D30" s="89"/>
      <c r="E30" t="s">
        <v>72</v>
      </c>
      <c r="F30" s="90">
        <v>222891664.53999999</v>
      </c>
      <c r="G30" s="90">
        <v>27345006.719999999</v>
      </c>
      <c r="H30" s="90">
        <v>15201201.24</v>
      </c>
      <c r="I30" s="90">
        <v>8089797.8899999997</v>
      </c>
      <c r="J30" s="90">
        <v>28735245.640000001</v>
      </c>
      <c r="K30" s="90">
        <v>729515.15</v>
      </c>
      <c r="L30" s="90">
        <v>9878361.2400000002</v>
      </c>
      <c r="M30" s="90">
        <v>6370953.3399999999</v>
      </c>
      <c r="N30" s="90">
        <v>8839869.5800000001</v>
      </c>
      <c r="O30" s="90">
        <v>41844064.079999998</v>
      </c>
      <c r="P30" s="90">
        <v>74669973.010000005</v>
      </c>
      <c r="Q30" s="90">
        <v>1190722.6200000001</v>
      </c>
      <c r="R30" s="90">
        <v>-3045.97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2:26" ht="12.75" customHeight="1" x14ac:dyDescent="0.25">
      <c r="B31" s="89"/>
      <c r="C31" s="89"/>
      <c r="E31" t="s">
        <v>81</v>
      </c>
      <c r="F31" s="90">
        <v>650065.1</v>
      </c>
      <c r="G31" s="90">
        <v>54025.13</v>
      </c>
      <c r="H31" s="90">
        <v>28815.72</v>
      </c>
      <c r="I31" s="90">
        <v>15452.4</v>
      </c>
      <c r="J31" s="90">
        <v>131416.37</v>
      </c>
      <c r="K31" s="90">
        <v>3462.06</v>
      </c>
      <c r="L31" s="90">
        <v>6638.64</v>
      </c>
      <c r="M31" s="90">
        <v>30369.24</v>
      </c>
      <c r="N31" s="90">
        <v>40871.660000000003</v>
      </c>
      <c r="O31" s="90">
        <v>186410.2</v>
      </c>
      <c r="P31" s="90">
        <v>147007.48000000001</v>
      </c>
      <c r="Q31" s="90">
        <v>5632.59</v>
      </c>
      <c r="R31" s="90">
        <v>-36.4</v>
      </c>
      <c r="S31" s="90">
        <v>0.01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</row>
    <row r="32" spans="2:26" ht="12.75" customHeight="1" x14ac:dyDescent="0.25">
      <c r="C32" s="89"/>
      <c r="D32" s="89" t="s">
        <v>87</v>
      </c>
      <c r="E32" t="s">
        <v>70</v>
      </c>
      <c r="F32" s="90">
        <v>223541729.63999999</v>
      </c>
      <c r="G32" s="90">
        <v>27399031.850000001</v>
      </c>
      <c r="H32" s="90">
        <v>15230016.960000001</v>
      </c>
      <c r="I32" s="90">
        <v>8105250.29</v>
      </c>
      <c r="J32" s="90">
        <v>28866662.010000002</v>
      </c>
      <c r="K32" s="90">
        <v>732977.21</v>
      </c>
      <c r="L32" s="90">
        <v>9884999.8800000008</v>
      </c>
      <c r="M32" s="90">
        <v>6401322.5800000001</v>
      </c>
      <c r="N32" s="90">
        <v>8880741.2400000002</v>
      </c>
      <c r="O32" s="90">
        <v>42030474.280000001</v>
      </c>
      <c r="P32" s="90">
        <v>74816980.489999995</v>
      </c>
      <c r="Q32" s="90">
        <v>1196355.21</v>
      </c>
      <c r="R32" s="90">
        <v>-3082.37</v>
      </c>
      <c r="S32" s="90">
        <v>0.01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26" s="94" customFormat="1" ht="12.75" customHeight="1" x14ac:dyDescent="0.25">
      <c r="C33" s="101" t="s">
        <v>119</v>
      </c>
      <c r="D33" s="101" t="s">
        <v>70</v>
      </c>
      <c r="F33" s="93">
        <v>290244120.77999997</v>
      </c>
      <c r="G33" s="93">
        <v>33575652.270000003</v>
      </c>
      <c r="H33" s="93">
        <v>18677541.399999999</v>
      </c>
      <c r="I33" s="93">
        <v>9986351.4199999999</v>
      </c>
      <c r="J33" s="93">
        <v>39089724.609999999</v>
      </c>
      <c r="K33" s="93">
        <v>1161132.96</v>
      </c>
      <c r="L33" s="93">
        <v>9993768.9299999997</v>
      </c>
      <c r="M33" s="93">
        <v>10145988.310000001</v>
      </c>
      <c r="N33" s="93">
        <v>12931732.52</v>
      </c>
      <c r="O33" s="93">
        <v>61145164.829999998</v>
      </c>
      <c r="P33" s="93">
        <v>91644421.670000002</v>
      </c>
      <c r="Q33" s="93">
        <v>1896218.09</v>
      </c>
      <c r="R33" s="93">
        <v>-3576.32</v>
      </c>
      <c r="S33" s="93">
        <v>0</v>
      </c>
      <c r="T33" s="93">
        <v>0.09</v>
      </c>
      <c r="U33" s="93">
        <v>0</v>
      </c>
      <c r="V33" s="93">
        <v>0</v>
      </c>
      <c r="W33" s="93">
        <v>0</v>
      </c>
      <c r="X33" s="93">
        <v>0</v>
      </c>
      <c r="Y33" s="93">
        <v>0</v>
      </c>
      <c r="Z33" s="93">
        <v>0</v>
      </c>
    </row>
    <row r="34" spans="1:26" s="226" customFormat="1" ht="12.75" customHeight="1" x14ac:dyDescent="0.25">
      <c r="B34" s="98" t="s">
        <v>112</v>
      </c>
      <c r="C34" s="98" t="s">
        <v>70</v>
      </c>
      <c r="F34" s="100">
        <v>18025191391.389999</v>
      </c>
      <c r="G34" s="100">
        <v>841806157.75</v>
      </c>
      <c r="H34" s="100">
        <v>468918023.38</v>
      </c>
      <c r="I34" s="100">
        <v>249656939.77000001</v>
      </c>
      <c r="J34" s="100">
        <v>4756846479.7700005</v>
      </c>
      <c r="K34" s="100">
        <v>158497997.15000001</v>
      </c>
      <c r="L34" s="100">
        <v>19931693.030000001</v>
      </c>
      <c r="M34" s="100">
        <v>1391735810.6300001</v>
      </c>
      <c r="N34" s="100">
        <v>1315958782.4200001</v>
      </c>
      <c r="O34" s="100">
        <v>6272232886.3199997</v>
      </c>
      <c r="P34" s="100">
        <v>2290889370.8899999</v>
      </c>
      <c r="Q34" s="100">
        <v>258744902.81</v>
      </c>
      <c r="R34" s="100">
        <v>-27801.66</v>
      </c>
      <c r="S34" s="100">
        <v>19.47</v>
      </c>
      <c r="T34" s="100">
        <v>236.56</v>
      </c>
      <c r="U34" s="100">
        <v>0</v>
      </c>
      <c r="V34" s="100">
        <v>0</v>
      </c>
      <c r="W34" s="100">
        <v>0</v>
      </c>
      <c r="X34" s="100">
        <v>0</v>
      </c>
      <c r="Y34" s="100">
        <v>0</v>
      </c>
      <c r="Z34" s="100">
        <v>-106.9</v>
      </c>
    </row>
    <row r="35" spans="1:26" ht="12.75" customHeight="1" x14ac:dyDescent="0.25">
      <c r="A35" t="s">
        <v>78</v>
      </c>
      <c r="B35" t="s">
        <v>70</v>
      </c>
      <c r="E35" s="89"/>
      <c r="F35" s="89">
        <v>18025827438.459999</v>
      </c>
      <c r="G35" s="90">
        <v>841835381.34000003</v>
      </c>
      <c r="H35" s="90">
        <v>468934481.85000002</v>
      </c>
      <c r="I35" s="90">
        <v>249665599.99000001</v>
      </c>
      <c r="J35" s="90">
        <v>4756987905.2399998</v>
      </c>
      <c r="K35" s="90">
        <v>158503822.69</v>
      </c>
      <c r="L35" s="90">
        <v>19931693.030000001</v>
      </c>
      <c r="M35" s="90">
        <v>1391786912</v>
      </c>
      <c r="N35" s="90">
        <v>1316010061.0999999</v>
      </c>
      <c r="O35" s="90">
        <v>6272475634.75</v>
      </c>
      <c r="P35" s="90">
        <v>2290969186.2399998</v>
      </c>
      <c r="Q35" s="90">
        <v>258754407.63999999</v>
      </c>
      <c r="R35" s="90">
        <v>-27796.54</v>
      </c>
      <c r="S35" s="90">
        <v>19.47</v>
      </c>
      <c r="T35" s="90">
        <v>236.56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-106.9</v>
      </c>
    </row>
    <row r="36" spans="1:26" ht="12.75" customHeight="1" x14ac:dyDescent="0.25">
      <c r="E36" s="89" t="s">
        <v>73</v>
      </c>
      <c r="F36" s="386">
        <v>-32099.64</v>
      </c>
      <c r="G36" s="90">
        <v>-1182.8</v>
      </c>
      <c r="H36" s="90">
        <v>-661.02</v>
      </c>
      <c r="I36" s="90">
        <v>-350.52</v>
      </c>
      <c r="J36" s="90">
        <v>-6245.62</v>
      </c>
      <c r="K36" s="90">
        <v>-344.7</v>
      </c>
      <c r="L36" s="90">
        <v>0</v>
      </c>
      <c r="M36" s="90">
        <v>-3023.82</v>
      </c>
      <c r="N36" s="90">
        <v>-2892.68</v>
      </c>
      <c r="O36" s="90">
        <v>-13605.48</v>
      </c>
      <c r="P36" s="90">
        <v>-3230.56</v>
      </c>
      <c r="Q36" s="90">
        <v>-562.44000000000005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12.75" customHeight="1" x14ac:dyDescent="0.25">
      <c r="D37" t="s">
        <v>156</v>
      </c>
      <c r="E37" s="89" t="s">
        <v>70</v>
      </c>
      <c r="F37" s="386">
        <v>-32099.64</v>
      </c>
      <c r="G37" s="90">
        <v>-1182.8</v>
      </c>
      <c r="H37" s="90">
        <v>-661.02</v>
      </c>
      <c r="I37" s="90">
        <v>-350.52</v>
      </c>
      <c r="J37" s="90">
        <v>-6245.62</v>
      </c>
      <c r="K37" s="90">
        <v>-344.7</v>
      </c>
      <c r="L37" s="90">
        <v>0</v>
      </c>
      <c r="M37" s="90">
        <v>-3023.82</v>
      </c>
      <c r="N37" s="90">
        <v>-2892.68</v>
      </c>
      <c r="O37" s="90">
        <v>-13605.48</v>
      </c>
      <c r="P37" s="90">
        <v>-3230.56</v>
      </c>
      <c r="Q37" s="90">
        <v>-562.44000000000005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s="288" customFormat="1" ht="12.75" customHeight="1" x14ac:dyDescent="0.25">
      <c r="C38" s="288" t="s">
        <v>155</v>
      </c>
      <c r="D38" s="288" t="s">
        <v>70</v>
      </c>
      <c r="E38" s="229"/>
      <c r="F38" s="229">
        <v>-32099.64</v>
      </c>
      <c r="G38" s="230">
        <v>-1182.8</v>
      </c>
      <c r="H38" s="230">
        <v>-661.02</v>
      </c>
      <c r="I38" s="230">
        <v>-350.52</v>
      </c>
      <c r="J38" s="230">
        <v>-6245.62</v>
      </c>
      <c r="K38" s="230">
        <v>-344.7</v>
      </c>
      <c r="L38" s="230">
        <v>0</v>
      </c>
      <c r="M38" s="230">
        <v>-3023.82</v>
      </c>
      <c r="N38" s="230">
        <v>-2892.68</v>
      </c>
      <c r="O38" s="230">
        <v>-13605.48</v>
      </c>
      <c r="P38" s="230">
        <v>-3230.56</v>
      </c>
      <c r="Q38" s="230">
        <v>-562.44000000000005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Z38" s="230">
        <v>0</v>
      </c>
    </row>
    <row r="39" spans="1:26" ht="12.75" customHeight="1" x14ac:dyDescent="0.25">
      <c r="E39" s="89" t="s">
        <v>73</v>
      </c>
      <c r="F39" s="386">
        <v>44922.57</v>
      </c>
      <c r="G39" s="90">
        <v>2812.56</v>
      </c>
      <c r="H39" s="90">
        <v>1569.13</v>
      </c>
      <c r="I39" s="90">
        <v>833.5</v>
      </c>
      <c r="J39" s="90">
        <v>10514.48</v>
      </c>
      <c r="K39" s="90">
        <v>259.45999999999998</v>
      </c>
      <c r="L39" s="90">
        <v>0</v>
      </c>
      <c r="M39" s="90">
        <v>2275.96</v>
      </c>
      <c r="N39" s="90">
        <v>3235.33</v>
      </c>
      <c r="O39" s="90">
        <v>15317.02</v>
      </c>
      <c r="P39" s="90">
        <v>7681.79</v>
      </c>
      <c r="Q39" s="90">
        <v>423.34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D40" t="s">
        <v>87</v>
      </c>
      <c r="E40" s="89" t="s">
        <v>70</v>
      </c>
      <c r="F40" s="386">
        <v>44922.57</v>
      </c>
      <c r="G40" s="90">
        <v>2812.56</v>
      </c>
      <c r="H40" s="90">
        <v>1569.13</v>
      </c>
      <c r="I40" s="90">
        <v>833.5</v>
      </c>
      <c r="J40" s="90">
        <v>10514.48</v>
      </c>
      <c r="K40" s="90">
        <v>259.45999999999998</v>
      </c>
      <c r="L40" s="90">
        <v>0</v>
      </c>
      <c r="M40" s="90">
        <v>2275.96</v>
      </c>
      <c r="N40" s="90">
        <v>3235.33</v>
      </c>
      <c r="O40" s="90">
        <v>15317.02</v>
      </c>
      <c r="P40" s="90">
        <v>7681.79</v>
      </c>
      <c r="Q40" s="90">
        <v>423.34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94" customFormat="1" ht="12.75" customHeight="1" x14ac:dyDescent="0.25">
      <c r="C41" s="101" t="s">
        <v>119</v>
      </c>
      <c r="D41" s="101" t="s">
        <v>70</v>
      </c>
      <c r="F41" s="93">
        <v>44922.57</v>
      </c>
      <c r="G41" s="93">
        <v>2812.56</v>
      </c>
      <c r="H41" s="93">
        <v>1569.13</v>
      </c>
      <c r="I41" s="93">
        <v>833.5</v>
      </c>
      <c r="J41" s="93">
        <v>10514.48</v>
      </c>
      <c r="K41" s="93">
        <v>259.45999999999998</v>
      </c>
      <c r="L41" s="93">
        <v>0</v>
      </c>
      <c r="M41" s="93">
        <v>2275.96</v>
      </c>
      <c r="N41" s="93">
        <v>3235.33</v>
      </c>
      <c r="O41" s="93">
        <v>15317.02</v>
      </c>
      <c r="P41" s="93">
        <v>7681.79</v>
      </c>
      <c r="Q41" s="93">
        <v>423.34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  <c r="Z41" s="93">
        <v>0</v>
      </c>
    </row>
    <row r="42" spans="1:26" s="380" customFormat="1" ht="12.75" customHeight="1" x14ac:dyDescent="0.25">
      <c r="B42" s="380" t="s">
        <v>122</v>
      </c>
      <c r="C42" s="380" t="s">
        <v>70</v>
      </c>
      <c r="F42" s="380">
        <v>12822.93</v>
      </c>
      <c r="G42" s="380">
        <v>1629.76</v>
      </c>
      <c r="H42" s="380">
        <v>908.11</v>
      </c>
      <c r="I42" s="380">
        <v>482.98</v>
      </c>
      <c r="J42" s="380">
        <v>4268.8599999999997</v>
      </c>
      <c r="K42" s="380">
        <v>-85.24</v>
      </c>
      <c r="L42" s="380">
        <v>0</v>
      </c>
      <c r="M42" s="380">
        <v>-747.86</v>
      </c>
      <c r="N42" s="380">
        <v>342.65</v>
      </c>
      <c r="O42" s="380">
        <v>1711.54</v>
      </c>
      <c r="P42" s="380">
        <v>4451.2299999999996</v>
      </c>
      <c r="Q42" s="380">
        <v>-139.1</v>
      </c>
      <c r="R42" s="380">
        <v>0</v>
      </c>
      <c r="S42" s="380">
        <v>0</v>
      </c>
      <c r="T42" s="380">
        <v>0</v>
      </c>
      <c r="U42" s="380">
        <v>0</v>
      </c>
      <c r="V42" s="380">
        <v>0</v>
      </c>
      <c r="W42" s="380">
        <v>0</v>
      </c>
      <c r="X42" s="380">
        <v>0</v>
      </c>
      <c r="Y42" s="380">
        <v>0</v>
      </c>
      <c r="Z42" s="380">
        <v>0</v>
      </c>
    </row>
    <row r="43" spans="1:26" ht="12.75" customHeight="1" x14ac:dyDescent="0.25">
      <c r="E43" s="89" t="s">
        <v>73</v>
      </c>
      <c r="F43" s="386">
        <v>-3253607640.54</v>
      </c>
      <c r="G43" s="90">
        <v>-91345711.129999995</v>
      </c>
      <c r="H43" s="90">
        <v>-50905404.25</v>
      </c>
      <c r="I43" s="90">
        <v>-27078428.510000002</v>
      </c>
      <c r="J43" s="90">
        <v>-964341301.80999994</v>
      </c>
      <c r="K43" s="90">
        <v>-31681532.859999999</v>
      </c>
      <c r="L43" s="90">
        <v>0</v>
      </c>
      <c r="M43" s="90">
        <v>-278071694.94999999</v>
      </c>
      <c r="N43" s="90">
        <v>-261997794.74000001</v>
      </c>
      <c r="O43" s="90">
        <v>-1250263678.55</v>
      </c>
      <c r="P43" s="90">
        <v>-246232158.99000001</v>
      </c>
      <c r="Q43" s="90">
        <v>-51689934.75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D44" t="s">
        <v>156</v>
      </c>
      <c r="E44" s="89" t="s">
        <v>70</v>
      </c>
      <c r="F44" s="386">
        <v>-3253607640.54</v>
      </c>
      <c r="G44" s="90">
        <v>-91345711.129999995</v>
      </c>
      <c r="H44" s="90">
        <v>-50905404.25</v>
      </c>
      <c r="I44" s="90">
        <v>-27078428.510000002</v>
      </c>
      <c r="J44" s="90">
        <v>-964341301.80999994</v>
      </c>
      <c r="K44" s="90">
        <v>-31681532.859999999</v>
      </c>
      <c r="L44" s="90">
        <v>0</v>
      </c>
      <c r="M44" s="90">
        <v>-278071694.94999999</v>
      </c>
      <c r="N44" s="90">
        <v>-261997794.74000001</v>
      </c>
      <c r="O44" s="90">
        <v>-1250263678.55</v>
      </c>
      <c r="P44" s="90">
        <v>-246232158.99000001</v>
      </c>
      <c r="Q44" s="90">
        <v>-51689934.75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s="288" customFormat="1" ht="12.75" customHeight="1" x14ac:dyDescent="0.25">
      <c r="C45" s="288" t="s">
        <v>155</v>
      </c>
      <c r="D45" s="288" t="s">
        <v>70</v>
      </c>
      <c r="E45" s="229"/>
      <c r="F45" s="229">
        <v>-3253607640.54</v>
      </c>
      <c r="G45" s="230">
        <v>-91345711.129999995</v>
      </c>
      <c r="H45" s="230">
        <v>-50905404.25</v>
      </c>
      <c r="I45" s="230">
        <v>-27078428.510000002</v>
      </c>
      <c r="J45" s="230">
        <v>-964341301.80999994</v>
      </c>
      <c r="K45" s="230">
        <v>-31681532.859999999</v>
      </c>
      <c r="L45" s="230">
        <v>0</v>
      </c>
      <c r="M45" s="230">
        <v>-278071694.94999999</v>
      </c>
      <c r="N45" s="230">
        <v>-261997794.74000001</v>
      </c>
      <c r="O45" s="230">
        <v>-1250263678.55</v>
      </c>
      <c r="P45" s="230">
        <v>-246232158.99000001</v>
      </c>
      <c r="Q45" s="230">
        <v>-51689934.75</v>
      </c>
      <c r="R45" s="230">
        <v>0</v>
      </c>
      <c r="S45" s="230">
        <v>0</v>
      </c>
      <c r="T45" s="230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</row>
    <row r="46" spans="1:26" ht="12.75" customHeight="1" x14ac:dyDescent="0.25">
      <c r="D46" s="89"/>
      <c r="E46" s="89" t="s">
        <v>73</v>
      </c>
      <c r="F46" s="90">
        <v>13423599.01</v>
      </c>
      <c r="G46" s="90">
        <v>2490552.75</v>
      </c>
      <c r="H46" s="90">
        <v>1387405.41</v>
      </c>
      <c r="I46" s="90">
        <v>737634.79</v>
      </c>
      <c r="J46" s="90">
        <v>631013.34</v>
      </c>
      <c r="K46" s="90">
        <v>16984.560000000001</v>
      </c>
      <c r="L46" s="90">
        <v>0</v>
      </c>
      <c r="M46" s="90">
        <v>150899.5</v>
      </c>
      <c r="N46" s="90">
        <v>207661.14</v>
      </c>
      <c r="O46" s="90">
        <v>966790.95</v>
      </c>
      <c r="P46" s="90">
        <v>6806944.5599999996</v>
      </c>
      <c r="Q46" s="90">
        <v>27712.01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1:26" ht="12.75" customHeight="1" x14ac:dyDescent="0.25">
      <c r="D47" t="s">
        <v>82</v>
      </c>
      <c r="E47" s="89" t="s">
        <v>70</v>
      </c>
      <c r="F47" s="90">
        <v>13423599.01</v>
      </c>
      <c r="G47" s="90">
        <v>2490552.75</v>
      </c>
      <c r="H47" s="90">
        <v>1387405.41</v>
      </c>
      <c r="I47" s="90">
        <v>737634.79</v>
      </c>
      <c r="J47" s="90">
        <v>631013.34</v>
      </c>
      <c r="K47" s="90">
        <v>16984.560000000001</v>
      </c>
      <c r="L47" s="90">
        <v>0</v>
      </c>
      <c r="M47" s="90">
        <v>150899.5</v>
      </c>
      <c r="N47" s="90">
        <v>207661.14</v>
      </c>
      <c r="O47" s="90">
        <v>966790.95</v>
      </c>
      <c r="P47" s="90">
        <v>6806944.5599999996</v>
      </c>
      <c r="Q47" s="90">
        <v>27712.01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1:26" ht="12.75" customHeight="1" x14ac:dyDescent="0.25">
      <c r="D48" s="89"/>
      <c r="E48" s="89" t="s">
        <v>73</v>
      </c>
      <c r="F48" s="90">
        <v>-325150.37</v>
      </c>
      <c r="G48" s="90">
        <v>488590.2</v>
      </c>
      <c r="H48" s="90">
        <v>270618.03999999998</v>
      </c>
      <c r="I48" s="90">
        <v>137804.15</v>
      </c>
      <c r="J48" s="90">
        <v>-905950.9</v>
      </c>
      <c r="K48" s="90">
        <v>-31107.48</v>
      </c>
      <c r="L48" s="90">
        <v>0</v>
      </c>
      <c r="M48" s="90">
        <v>-273355.90999999997</v>
      </c>
      <c r="N48" s="90">
        <v>-212055.38</v>
      </c>
      <c r="O48" s="90">
        <v>-1075613.98</v>
      </c>
      <c r="P48" s="90">
        <v>1326676.22</v>
      </c>
      <c r="Q48" s="90">
        <v>-50755.33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42" ht="12.75" customHeight="1" x14ac:dyDescent="0.25">
      <c r="D49" t="s">
        <v>86</v>
      </c>
      <c r="E49" s="89" t="s">
        <v>70</v>
      </c>
      <c r="F49" s="90">
        <v>-325150.37</v>
      </c>
      <c r="G49" s="90">
        <v>488590.2</v>
      </c>
      <c r="H49" s="90">
        <v>270618.03999999998</v>
      </c>
      <c r="I49" s="90">
        <v>137804.15</v>
      </c>
      <c r="J49" s="90">
        <v>-905950.9</v>
      </c>
      <c r="K49" s="90">
        <v>-31107.48</v>
      </c>
      <c r="L49" s="90">
        <v>0</v>
      </c>
      <c r="M49" s="90">
        <v>-273355.90999999997</v>
      </c>
      <c r="N49" s="90">
        <v>-212055.38</v>
      </c>
      <c r="O49" s="90">
        <v>-1075613.98</v>
      </c>
      <c r="P49" s="90">
        <v>1326676.22</v>
      </c>
      <c r="Q49" s="90">
        <v>-50755.33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42" ht="12.75" customHeight="1" x14ac:dyDescent="0.25">
      <c r="D50" s="89"/>
      <c r="E50" s="89" t="s">
        <v>73</v>
      </c>
      <c r="F50" s="90">
        <v>50273483.359999999</v>
      </c>
      <c r="G50" s="90">
        <v>8795896.6199999992</v>
      </c>
      <c r="H50" s="90">
        <v>4922970.59</v>
      </c>
      <c r="I50" s="90">
        <v>2633606.2200000002</v>
      </c>
      <c r="J50" s="90">
        <v>2971274.25</v>
      </c>
      <c r="K50" s="90">
        <v>89779.5</v>
      </c>
      <c r="L50" s="90">
        <v>0</v>
      </c>
      <c r="M50" s="90">
        <v>777804.41</v>
      </c>
      <c r="N50" s="90">
        <v>1027778.27</v>
      </c>
      <c r="O50" s="90">
        <v>4888775.6500000004</v>
      </c>
      <c r="P50" s="90">
        <v>24019519.449999999</v>
      </c>
      <c r="Q50" s="90">
        <v>146078.39999999999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42" ht="12.75" customHeight="1" x14ac:dyDescent="0.25">
      <c r="C51" s="89"/>
      <c r="D51" s="89" t="s">
        <v>87</v>
      </c>
      <c r="E51" t="s">
        <v>70</v>
      </c>
      <c r="F51" s="90">
        <v>50273483.359999999</v>
      </c>
      <c r="G51" s="90">
        <v>8795896.6199999992</v>
      </c>
      <c r="H51" s="90">
        <v>4922970.59</v>
      </c>
      <c r="I51" s="90">
        <v>2633606.2200000002</v>
      </c>
      <c r="J51" s="90">
        <v>2971274.25</v>
      </c>
      <c r="K51" s="90">
        <v>89779.5</v>
      </c>
      <c r="L51" s="90">
        <v>0</v>
      </c>
      <c r="M51" s="90">
        <v>777804.41</v>
      </c>
      <c r="N51" s="90">
        <v>1027778.27</v>
      </c>
      <c r="O51" s="90">
        <v>4888775.6500000004</v>
      </c>
      <c r="P51" s="90">
        <v>24019519.449999999</v>
      </c>
      <c r="Q51" s="90">
        <v>146078.39999999999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42" s="94" customFormat="1" ht="12.75" customHeight="1" x14ac:dyDescent="0.25">
      <c r="C52" s="101" t="s">
        <v>119</v>
      </c>
      <c r="D52" s="101" t="s">
        <v>70</v>
      </c>
      <c r="F52" s="93">
        <v>63371932</v>
      </c>
      <c r="G52" s="93">
        <v>11775039.57</v>
      </c>
      <c r="H52" s="93">
        <v>6580994.04</v>
      </c>
      <c r="I52" s="93">
        <v>3509045.16</v>
      </c>
      <c r="J52" s="93">
        <v>2696336.69</v>
      </c>
      <c r="K52" s="93">
        <v>75656.58</v>
      </c>
      <c r="L52" s="93">
        <v>0</v>
      </c>
      <c r="M52" s="93">
        <v>655348</v>
      </c>
      <c r="N52" s="93">
        <v>1023384.03</v>
      </c>
      <c r="O52" s="93">
        <v>4779952.62</v>
      </c>
      <c r="P52" s="93">
        <v>32153140.23</v>
      </c>
      <c r="Q52" s="93">
        <v>123035.08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  <c r="Z52" s="93">
        <v>0</v>
      </c>
    </row>
    <row r="53" spans="1:42" s="226" customFormat="1" ht="12.75" customHeight="1" x14ac:dyDescent="0.25">
      <c r="B53" s="98" t="s">
        <v>112</v>
      </c>
      <c r="C53" s="98" t="s">
        <v>70</v>
      </c>
      <c r="F53" s="100">
        <v>-3190235708.54</v>
      </c>
      <c r="G53" s="100">
        <v>-79570671.560000002</v>
      </c>
      <c r="H53" s="100">
        <v>-44324410.210000001</v>
      </c>
      <c r="I53" s="100">
        <v>-23569383.350000001</v>
      </c>
      <c r="J53" s="100">
        <v>-961644965.12</v>
      </c>
      <c r="K53" s="100">
        <v>-31605876.280000001</v>
      </c>
      <c r="L53" s="100">
        <v>0</v>
      </c>
      <c r="M53" s="100">
        <v>-277416346.94999999</v>
      </c>
      <c r="N53" s="100">
        <v>-260974410.71000001</v>
      </c>
      <c r="O53" s="100">
        <v>-1245483725.9300001</v>
      </c>
      <c r="P53" s="100">
        <v>-214079018.75999999</v>
      </c>
      <c r="Q53" s="100">
        <v>-51566899.670000002</v>
      </c>
      <c r="R53" s="100">
        <v>0</v>
      </c>
      <c r="S53" s="100">
        <v>0</v>
      </c>
      <c r="T53" s="100">
        <v>0</v>
      </c>
      <c r="U53" s="100">
        <v>0</v>
      </c>
      <c r="V53" s="100">
        <v>0</v>
      </c>
      <c r="W53" s="100">
        <v>0</v>
      </c>
      <c r="X53" s="100">
        <v>0</v>
      </c>
      <c r="Y53" s="100">
        <v>0</v>
      </c>
      <c r="Z53" s="100">
        <v>0</v>
      </c>
    </row>
    <row r="54" spans="1:42" ht="12.75" customHeight="1" x14ac:dyDescent="0.25">
      <c r="A54" s="89" t="s">
        <v>79</v>
      </c>
      <c r="B54" t="s">
        <v>70</v>
      </c>
      <c r="F54" s="90">
        <v>-3190222885.6100001</v>
      </c>
      <c r="G54" s="90">
        <v>-79569041.799999997</v>
      </c>
      <c r="H54" s="90">
        <v>-44323502.100000001</v>
      </c>
      <c r="I54" s="90">
        <v>-23568900.370000001</v>
      </c>
      <c r="J54" s="90">
        <v>-961640696.25999999</v>
      </c>
      <c r="K54" s="90">
        <v>-31605961.52</v>
      </c>
      <c r="L54" s="90">
        <v>0</v>
      </c>
      <c r="M54" s="90">
        <v>-277417094.81</v>
      </c>
      <c r="N54" s="90">
        <v>-260974068.06</v>
      </c>
      <c r="O54" s="90">
        <v>-1245482014.3900001</v>
      </c>
      <c r="P54" s="90">
        <v>-214074567.53</v>
      </c>
      <c r="Q54" s="90">
        <v>-51567038.770000003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</row>
    <row r="55" spans="1:42" ht="12.75" customHeight="1" x14ac:dyDescent="0.25">
      <c r="A55" s="89" t="s">
        <v>70</v>
      </c>
      <c r="F55" s="90">
        <v>14835602537.780001</v>
      </c>
      <c r="G55" s="90">
        <v>762266217.44000006</v>
      </c>
      <c r="H55" s="90">
        <v>424610927.88</v>
      </c>
      <c r="I55" s="90">
        <v>226096676.97</v>
      </c>
      <c r="J55" s="90">
        <v>3795346839.54</v>
      </c>
      <c r="K55" s="90">
        <v>126897837.29000001</v>
      </c>
      <c r="L55" s="90">
        <v>19931693.030000001</v>
      </c>
      <c r="M55" s="90">
        <v>1114369607.79</v>
      </c>
      <c r="N55" s="90">
        <v>1055035817.79</v>
      </c>
      <c r="O55" s="90">
        <v>5026992920.8100004</v>
      </c>
      <c r="P55" s="90">
        <v>2076894316.73</v>
      </c>
      <c r="Q55" s="90">
        <v>207187329.91999999</v>
      </c>
      <c r="R55" s="90">
        <v>-27796.54</v>
      </c>
      <c r="S55" s="90">
        <v>19.47</v>
      </c>
      <c r="T55">
        <v>236.56</v>
      </c>
      <c r="U55">
        <v>0</v>
      </c>
      <c r="V55">
        <v>0</v>
      </c>
      <c r="W55">
        <v>0</v>
      </c>
      <c r="X55" s="90">
        <v>0</v>
      </c>
      <c r="Y55" s="90">
        <v>0</v>
      </c>
      <c r="Z55">
        <v>-106.9</v>
      </c>
    </row>
    <row r="56" spans="1:42" ht="12.75" customHeight="1" x14ac:dyDescent="0.25">
      <c r="A56" s="89"/>
      <c r="D56" s="143"/>
      <c r="E56" s="137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X56" s="90"/>
      <c r="Y56" s="90"/>
    </row>
    <row r="57" spans="1:42" ht="12.75" customHeight="1" x14ac:dyDescent="0.25">
      <c r="A57" s="89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42" ht="12.75" customHeight="1" x14ac:dyDescent="0.25">
      <c r="C58" s="768" t="s">
        <v>2</v>
      </c>
      <c r="D58" s="769" t="s">
        <v>132</v>
      </c>
      <c r="E58" s="98" t="s">
        <v>70</v>
      </c>
      <c r="F58" s="100">
        <f>F34+F53+F9-L9-L34</f>
        <v>14815021974.749998</v>
      </c>
      <c r="G58" s="100">
        <f>G34+G9</f>
        <v>841806035.64999998</v>
      </c>
      <c r="H58" s="100">
        <f t="shared" ref="H58:AP58" si="0">H34+H9</f>
        <v>468917971.50999999</v>
      </c>
      <c r="I58" s="100">
        <f t="shared" si="0"/>
        <v>249656917.12</v>
      </c>
      <c r="J58" s="100">
        <f t="shared" si="0"/>
        <v>4756846110.3300009</v>
      </c>
      <c r="K58" s="100">
        <f t="shared" si="0"/>
        <v>158497973.27000001</v>
      </c>
      <c r="L58" s="100">
        <f t="shared" si="0"/>
        <v>19931693.030000001</v>
      </c>
      <c r="M58" s="100">
        <f t="shared" si="0"/>
        <v>1391735601.23</v>
      </c>
      <c r="N58" s="100">
        <f t="shared" si="0"/>
        <v>1315958607.1700001</v>
      </c>
      <c r="O58" s="100">
        <f t="shared" si="0"/>
        <v>6272232186.7699995</v>
      </c>
      <c r="P58" s="100">
        <f t="shared" si="0"/>
        <v>2290889068.9099998</v>
      </c>
      <c r="Q58" s="100">
        <f t="shared" si="0"/>
        <v>258744863.86000001</v>
      </c>
      <c r="R58" s="100">
        <f t="shared" si="0"/>
        <v>-27801.66</v>
      </c>
      <c r="S58" s="100">
        <f t="shared" si="0"/>
        <v>19.47</v>
      </c>
      <c r="T58" s="100">
        <f t="shared" si="0"/>
        <v>236.56</v>
      </c>
      <c r="U58" s="100">
        <f t="shared" si="0"/>
        <v>0</v>
      </c>
      <c r="V58" s="100">
        <f t="shared" si="0"/>
        <v>0</v>
      </c>
      <c r="W58" s="100">
        <f t="shared" si="0"/>
        <v>0</v>
      </c>
      <c r="X58" s="100">
        <f t="shared" si="0"/>
        <v>0</v>
      </c>
      <c r="Y58" s="100">
        <f t="shared" si="0"/>
        <v>0</v>
      </c>
      <c r="Z58" s="100">
        <f t="shared" si="0"/>
        <v>-106.9</v>
      </c>
      <c r="AA58" s="100">
        <f t="shared" si="0"/>
        <v>0</v>
      </c>
      <c r="AB58" s="100">
        <f t="shared" si="0"/>
        <v>0</v>
      </c>
      <c r="AC58" s="100">
        <f t="shared" si="0"/>
        <v>0</v>
      </c>
      <c r="AD58" s="100">
        <f t="shared" si="0"/>
        <v>0</v>
      </c>
      <c r="AE58" s="100">
        <f t="shared" si="0"/>
        <v>0</v>
      </c>
      <c r="AF58" s="100">
        <f t="shared" si="0"/>
        <v>0</v>
      </c>
      <c r="AG58" s="100">
        <f t="shared" si="0"/>
        <v>0</v>
      </c>
      <c r="AH58" s="100">
        <f t="shared" si="0"/>
        <v>0</v>
      </c>
      <c r="AI58" s="100">
        <f t="shared" si="0"/>
        <v>0</v>
      </c>
      <c r="AJ58" s="100">
        <f t="shared" si="0"/>
        <v>0</v>
      </c>
      <c r="AK58" s="100">
        <f t="shared" si="0"/>
        <v>0</v>
      </c>
      <c r="AL58" s="100">
        <f t="shared" si="0"/>
        <v>0</v>
      </c>
      <c r="AM58" s="100">
        <f t="shared" si="0"/>
        <v>0</v>
      </c>
      <c r="AN58" s="100">
        <f t="shared" si="0"/>
        <v>0</v>
      </c>
      <c r="AO58" s="100">
        <f t="shared" si="0"/>
        <v>0</v>
      </c>
      <c r="AP58" s="100">
        <f t="shared" si="0"/>
        <v>0</v>
      </c>
    </row>
    <row r="59" spans="1:42" ht="12.75" customHeight="1" x14ac:dyDescent="0.25">
      <c r="C59" s="768"/>
      <c r="D59" s="769"/>
      <c r="E59" s="98" t="s">
        <v>73</v>
      </c>
      <c r="F59" s="100">
        <f>F53</f>
        <v>-3190235708.54</v>
      </c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42" ht="12.75" customHeight="1" x14ac:dyDescent="0.25">
      <c r="C60" s="768"/>
      <c r="D60" s="769" t="s">
        <v>133</v>
      </c>
      <c r="E60" s="233" t="s">
        <v>70</v>
      </c>
      <c r="F60" s="234">
        <f>F42+F19-L19</f>
        <v>648870</v>
      </c>
      <c r="G60" s="234">
        <f>G19</f>
        <v>29223.59</v>
      </c>
      <c r="H60" s="234">
        <f t="shared" ref="H60:AP60" si="1">H19</f>
        <v>16458.47</v>
      </c>
      <c r="I60" s="234">
        <f t="shared" si="1"/>
        <v>8660.2199999999993</v>
      </c>
      <c r="J60" s="234">
        <f t="shared" si="1"/>
        <v>141425.47</v>
      </c>
      <c r="K60" s="234">
        <f t="shared" si="1"/>
        <v>5825.54</v>
      </c>
      <c r="L60" s="234">
        <f t="shared" si="1"/>
        <v>0</v>
      </c>
      <c r="M60" s="234">
        <f t="shared" si="1"/>
        <v>51101.37</v>
      </c>
      <c r="N60" s="234">
        <f t="shared" si="1"/>
        <v>51278.68</v>
      </c>
      <c r="O60" s="234">
        <f t="shared" si="1"/>
        <v>242748.43</v>
      </c>
      <c r="P60" s="234">
        <f t="shared" si="1"/>
        <v>79815.350000000006</v>
      </c>
      <c r="Q60" s="234">
        <f t="shared" si="1"/>
        <v>9504.83</v>
      </c>
      <c r="R60" s="234">
        <f t="shared" si="1"/>
        <v>5.12</v>
      </c>
      <c r="S60" s="234">
        <f t="shared" si="1"/>
        <v>0</v>
      </c>
      <c r="T60" s="234">
        <f t="shared" si="1"/>
        <v>0</v>
      </c>
      <c r="U60" s="234">
        <f t="shared" si="1"/>
        <v>0</v>
      </c>
      <c r="V60" s="234">
        <f t="shared" si="1"/>
        <v>0</v>
      </c>
      <c r="W60" s="234">
        <f t="shared" si="1"/>
        <v>0</v>
      </c>
      <c r="X60" s="234">
        <f t="shared" si="1"/>
        <v>0</v>
      </c>
      <c r="Y60" s="234">
        <f t="shared" si="1"/>
        <v>0</v>
      </c>
      <c r="Z60" s="234">
        <f t="shared" si="1"/>
        <v>0</v>
      </c>
      <c r="AA60" s="234">
        <f t="shared" si="1"/>
        <v>0</v>
      </c>
      <c r="AB60" s="234">
        <f t="shared" si="1"/>
        <v>0</v>
      </c>
      <c r="AC60" s="234">
        <f t="shared" si="1"/>
        <v>0</v>
      </c>
      <c r="AD60" s="234">
        <f t="shared" si="1"/>
        <v>0</v>
      </c>
      <c r="AE60" s="234">
        <f t="shared" si="1"/>
        <v>0</v>
      </c>
      <c r="AF60" s="234">
        <f t="shared" si="1"/>
        <v>0</v>
      </c>
      <c r="AG60" s="234">
        <f t="shared" si="1"/>
        <v>0</v>
      </c>
      <c r="AH60" s="234">
        <f t="shared" si="1"/>
        <v>0</v>
      </c>
      <c r="AI60" s="234">
        <f t="shared" si="1"/>
        <v>0</v>
      </c>
      <c r="AJ60" s="234">
        <f t="shared" si="1"/>
        <v>0</v>
      </c>
      <c r="AK60" s="234">
        <f t="shared" si="1"/>
        <v>0</v>
      </c>
      <c r="AL60" s="234">
        <f t="shared" si="1"/>
        <v>0</v>
      </c>
      <c r="AM60" s="234">
        <f t="shared" si="1"/>
        <v>0</v>
      </c>
      <c r="AN60" s="234">
        <f t="shared" si="1"/>
        <v>0</v>
      </c>
      <c r="AO60" s="234">
        <f t="shared" si="1"/>
        <v>0</v>
      </c>
      <c r="AP60" s="234">
        <f t="shared" si="1"/>
        <v>0</v>
      </c>
    </row>
    <row r="61" spans="1:42" ht="12.75" customHeight="1" x14ac:dyDescent="0.25">
      <c r="C61" s="768"/>
      <c r="D61" s="769"/>
      <c r="E61" s="233" t="s">
        <v>73</v>
      </c>
      <c r="F61" s="234">
        <f>F42</f>
        <v>12822.93</v>
      </c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</row>
    <row r="62" spans="1:42" ht="12.75" customHeight="1" x14ac:dyDescent="0.25">
      <c r="A62" s="89"/>
      <c r="C62" s="97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42" ht="12.75" customHeight="1" x14ac:dyDescent="0.25">
      <c r="C63" s="768" t="s">
        <v>160</v>
      </c>
      <c r="D63" s="769" t="s">
        <v>132</v>
      </c>
      <c r="E63" s="223" t="s">
        <v>70</v>
      </c>
      <c r="F63" s="225">
        <v>0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5">
        <v>0</v>
      </c>
      <c r="O63" s="225">
        <v>0</v>
      </c>
      <c r="P63" s="225">
        <v>0</v>
      </c>
      <c r="Q63" s="225">
        <v>0</v>
      </c>
      <c r="R63" s="225">
        <v>0</v>
      </c>
      <c r="S63" s="225">
        <v>0</v>
      </c>
      <c r="T63" s="225">
        <v>0</v>
      </c>
      <c r="U63" s="225">
        <v>0</v>
      </c>
      <c r="V63" s="225">
        <v>0</v>
      </c>
      <c r="W63" s="225">
        <v>0</v>
      </c>
      <c r="X63" s="225">
        <v>0</v>
      </c>
      <c r="Y63" s="225">
        <v>0</v>
      </c>
      <c r="Z63" s="225">
        <v>0</v>
      </c>
      <c r="AA63" s="225">
        <v>0</v>
      </c>
      <c r="AB63" s="225">
        <v>0</v>
      </c>
      <c r="AC63" s="225">
        <v>0</v>
      </c>
      <c r="AD63" s="225">
        <v>0</v>
      </c>
      <c r="AE63" s="225">
        <v>0</v>
      </c>
      <c r="AF63" s="225">
        <v>0</v>
      </c>
      <c r="AG63" s="225">
        <v>0</v>
      </c>
      <c r="AH63" s="225">
        <v>0</v>
      </c>
      <c r="AI63" s="225">
        <v>0</v>
      </c>
      <c r="AJ63" s="225">
        <v>0</v>
      </c>
      <c r="AK63" s="225">
        <v>0</v>
      </c>
      <c r="AL63" s="225">
        <v>0</v>
      </c>
      <c r="AM63" s="225">
        <v>0</v>
      </c>
      <c r="AN63" s="225">
        <v>0</v>
      </c>
      <c r="AO63" s="225">
        <v>0</v>
      </c>
      <c r="AP63" s="225">
        <v>0</v>
      </c>
    </row>
    <row r="64" spans="1:42" ht="12.75" customHeight="1" x14ac:dyDescent="0.25">
      <c r="C64" s="768"/>
      <c r="D64" s="769"/>
      <c r="E64" s="223" t="s">
        <v>73</v>
      </c>
      <c r="F64" s="225">
        <v>0</v>
      </c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42" ht="12.75" customHeight="1" x14ac:dyDescent="0.25">
      <c r="C65" s="768"/>
      <c r="D65" s="769" t="s">
        <v>133</v>
      </c>
      <c r="E65" s="227" t="s">
        <v>70</v>
      </c>
      <c r="F65" s="228">
        <v>0</v>
      </c>
      <c r="G65" s="228">
        <v>0</v>
      </c>
      <c r="H65" s="228">
        <v>0</v>
      </c>
      <c r="I65" s="228">
        <v>0</v>
      </c>
      <c r="J65" s="228">
        <v>0</v>
      </c>
      <c r="K65" s="228">
        <v>0</v>
      </c>
      <c r="L65" s="228">
        <v>0</v>
      </c>
      <c r="M65" s="228">
        <v>0</v>
      </c>
      <c r="N65" s="228">
        <v>0</v>
      </c>
      <c r="O65" s="228">
        <v>0</v>
      </c>
      <c r="P65" s="228">
        <v>0</v>
      </c>
      <c r="Q65" s="228">
        <v>0</v>
      </c>
      <c r="R65" s="228">
        <v>0</v>
      </c>
      <c r="S65" s="228">
        <v>0</v>
      </c>
      <c r="T65" s="228">
        <v>0</v>
      </c>
      <c r="U65" s="228">
        <v>0</v>
      </c>
      <c r="V65" s="228">
        <v>0</v>
      </c>
      <c r="W65" s="228">
        <v>0</v>
      </c>
      <c r="X65" s="228">
        <v>0</v>
      </c>
      <c r="Y65" s="228">
        <v>0</v>
      </c>
      <c r="Z65" s="228">
        <v>0</v>
      </c>
      <c r="AA65" s="228">
        <v>0</v>
      </c>
      <c r="AB65" s="228">
        <v>0</v>
      </c>
      <c r="AC65" s="228">
        <v>0</v>
      </c>
      <c r="AD65" s="228">
        <v>0</v>
      </c>
      <c r="AE65" s="228">
        <v>0</v>
      </c>
      <c r="AF65" s="228">
        <v>0</v>
      </c>
      <c r="AG65" s="228">
        <v>0</v>
      </c>
      <c r="AH65" s="228">
        <v>0</v>
      </c>
      <c r="AI65" s="228">
        <v>0</v>
      </c>
      <c r="AJ65" s="228">
        <v>0</v>
      </c>
      <c r="AK65" s="228">
        <v>0</v>
      </c>
      <c r="AL65" s="228">
        <v>0</v>
      </c>
      <c r="AM65" s="228">
        <v>0</v>
      </c>
      <c r="AN65" s="228">
        <v>0</v>
      </c>
      <c r="AO65" s="228">
        <v>0</v>
      </c>
      <c r="AP65" s="228">
        <v>0</v>
      </c>
    </row>
    <row r="66" spans="1:42" ht="12.75" customHeight="1" x14ac:dyDescent="0.25">
      <c r="C66" s="768"/>
      <c r="D66" s="769"/>
      <c r="E66" s="227" t="s">
        <v>73</v>
      </c>
      <c r="F66" s="228">
        <v>0</v>
      </c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</row>
    <row r="67" spans="1:42" ht="12.75" customHeight="1" x14ac:dyDescent="0.25">
      <c r="A67" s="89"/>
      <c r="C67" s="97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42" ht="12.75" customHeight="1" x14ac:dyDescent="0.25">
      <c r="C68" s="768" t="s">
        <v>155</v>
      </c>
      <c r="D68" s="769" t="s">
        <v>132</v>
      </c>
      <c r="E68" s="221" t="s">
        <v>70</v>
      </c>
      <c r="F68" s="222">
        <f>F45+F23+F8-L8-L23</f>
        <v>14471399690.9</v>
      </c>
      <c r="G68" s="222">
        <f>G23+G8</f>
        <v>808230383.38</v>
      </c>
      <c r="H68" s="222">
        <f t="shared" ref="H68:AP68" si="2">H23+H8</f>
        <v>450240430.11000001</v>
      </c>
      <c r="I68" s="222">
        <f t="shared" si="2"/>
        <v>239670565.69999999</v>
      </c>
      <c r="J68" s="222">
        <f t="shared" si="2"/>
        <v>4717756385.7200003</v>
      </c>
      <c r="K68" s="222">
        <f t="shared" si="2"/>
        <v>157336840.31</v>
      </c>
      <c r="L68" s="222">
        <f t="shared" si="2"/>
        <v>9937924.0999999996</v>
      </c>
      <c r="M68" s="222">
        <f t="shared" si="2"/>
        <v>1381589612.9199998</v>
      </c>
      <c r="N68" s="222">
        <f t="shared" si="2"/>
        <v>1303026874.6500001</v>
      </c>
      <c r="O68" s="222">
        <f t="shared" si="2"/>
        <v>6211087021.9399996</v>
      </c>
      <c r="P68" s="222">
        <f t="shared" si="2"/>
        <v>2199244647.2399998</v>
      </c>
      <c r="Q68" s="222">
        <f t="shared" si="2"/>
        <v>256848645.77000001</v>
      </c>
      <c r="R68" s="222">
        <f t="shared" si="2"/>
        <v>-24225.34</v>
      </c>
      <c r="S68" s="222">
        <f t="shared" si="2"/>
        <v>19.47</v>
      </c>
      <c r="T68" s="222">
        <f t="shared" si="2"/>
        <v>236.47</v>
      </c>
      <c r="U68" s="222">
        <f t="shared" si="2"/>
        <v>0</v>
      </c>
      <c r="V68" s="222">
        <f t="shared" si="2"/>
        <v>0</v>
      </c>
      <c r="W68" s="222">
        <f t="shared" si="2"/>
        <v>0</v>
      </c>
      <c r="X68" s="222">
        <f t="shared" si="2"/>
        <v>0</v>
      </c>
      <c r="Y68" s="222">
        <f t="shared" si="2"/>
        <v>0</v>
      </c>
      <c r="Z68" s="222">
        <f t="shared" si="2"/>
        <v>-106.9</v>
      </c>
      <c r="AA68" s="222">
        <f t="shared" si="2"/>
        <v>0</v>
      </c>
      <c r="AB68" s="222">
        <f t="shared" si="2"/>
        <v>0</v>
      </c>
      <c r="AC68" s="222">
        <f t="shared" si="2"/>
        <v>0</v>
      </c>
      <c r="AD68" s="222">
        <f t="shared" si="2"/>
        <v>0</v>
      </c>
      <c r="AE68" s="222">
        <f t="shared" si="2"/>
        <v>0</v>
      </c>
      <c r="AF68" s="222">
        <f t="shared" si="2"/>
        <v>0</v>
      </c>
      <c r="AG68" s="222">
        <f t="shared" si="2"/>
        <v>0</v>
      </c>
      <c r="AH68" s="222">
        <f t="shared" si="2"/>
        <v>0</v>
      </c>
      <c r="AI68" s="222">
        <f t="shared" si="2"/>
        <v>0</v>
      </c>
      <c r="AJ68" s="222">
        <f t="shared" si="2"/>
        <v>0</v>
      </c>
      <c r="AK68" s="222">
        <f t="shared" si="2"/>
        <v>0</v>
      </c>
      <c r="AL68" s="222">
        <f t="shared" si="2"/>
        <v>0</v>
      </c>
      <c r="AM68" s="222">
        <f t="shared" si="2"/>
        <v>0</v>
      </c>
      <c r="AN68" s="222">
        <f t="shared" si="2"/>
        <v>0</v>
      </c>
      <c r="AO68" s="222">
        <f t="shared" si="2"/>
        <v>0</v>
      </c>
      <c r="AP68" s="222">
        <f t="shared" si="2"/>
        <v>0</v>
      </c>
    </row>
    <row r="69" spans="1:42" ht="12.75" customHeight="1" x14ac:dyDescent="0.25">
      <c r="C69" s="768"/>
      <c r="D69" s="769"/>
      <c r="E69" s="221" t="s">
        <v>73</v>
      </c>
      <c r="F69" s="222">
        <f>F45</f>
        <v>-3253607640.54</v>
      </c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spans="1:42" ht="12.75" customHeight="1" x14ac:dyDescent="0.25">
      <c r="B70" s="150"/>
      <c r="C70" s="768"/>
      <c r="D70" s="769" t="s">
        <v>133</v>
      </c>
      <c r="E70" s="229" t="s">
        <v>70</v>
      </c>
      <c r="F70" s="230">
        <f>F38+F14-L14</f>
        <v>513960</v>
      </c>
      <c r="G70" s="230">
        <f>G14</f>
        <v>23589.91</v>
      </c>
      <c r="H70" s="230">
        <f t="shared" ref="H70:AP70" si="3">H14</f>
        <v>13315.42</v>
      </c>
      <c r="I70" s="230">
        <f t="shared" si="3"/>
        <v>6990.72</v>
      </c>
      <c r="J70" s="230">
        <f t="shared" si="3"/>
        <v>120363.97</v>
      </c>
      <c r="K70" s="230">
        <f t="shared" si="3"/>
        <v>5305.85</v>
      </c>
      <c r="L70" s="230">
        <f t="shared" si="3"/>
        <v>0</v>
      </c>
      <c r="M70" s="230">
        <f t="shared" si="3"/>
        <v>46542.54</v>
      </c>
      <c r="N70" s="230">
        <f t="shared" si="3"/>
        <v>44798.14</v>
      </c>
      <c r="O70" s="230">
        <f t="shared" si="3"/>
        <v>212067.75</v>
      </c>
      <c r="P70" s="230">
        <f t="shared" si="3"/>
        <v>64428.39</v>
      </c>
      <c r="Q70" s="230">
        <f t="shared" si="3"/>
        <v>8656.8700000000008</v>
      </c>
      <c r="R70" s="230">
        <f t="shared" si="3"/>
        <v>0.08</v>
      </c>
      <c r="S70" s="230">
        <f t="shared" si="3"/>
        <v>0</v>
      </c>
      <c r="T70" s="230">
        <f t="shared" si="3"/>
        <v>0</v>
      </c>
      <c r="U70" s="230">
        <f t="shared" si="3"/>
        <v>0</v>
      </c>
      <c r="V70" s="230">
        <f t="shared" si="3"/>
        <v>0</v>
      </c>
      <c r="W70" s="230">
        <f t="shared" si="3"/>
        <v>0</v>
      </c>
      <c r="X70" s="230">
        <f t="shared" si="3"/>
        <v>0</v>
      </c>
      <c r="Y70" s="230">
        <f t="shared" si="3"/>
        <v>0</v>
      </c>
      <c r="Z70" s="230">
        <f t="shared" si="3"/>
        <v>0</v>
      </c>
      <c r="AA70" s="230">
        <f t="shared" si="3"/>
        <v>0</v>
      </c>
      <c r="AB70" s="230">
        <f t="shared" si="3"/>
        <v>0</v>
      </c>
      <c r="AC70" s="230">
        <f t="shared" si="3"/>
        <v>0</v>
      </c>
      <c r="AD70" s="230">
        <f t="shared" si="3"/>
        <v>0</v>
      </c>
      <c r="AE70" s="230">
        <f t="shared" si="3"/>
        <v>0</v>
      </c>
      <c r="AF70" s="230">
        <f t="shared" si="3"/>
        <v>0</v>
      </c>
      <c r="AG70" s="230">
        <f t="shared" si="3"/>
        <v>0</v>
      </c>
      <c r="AH70" s="230">
        <f t="shared" si="3"/>
        <v>0</v>
      </c>
      <c r="AI70" s="230">
        <f t="shared" si="3"/>
        <v>0</v>
      </c>
      <c r="AJ70" s="230">
        <f t="shared" si="3"/>
        <v>0</v>
      </c>
      <c r="AK70" s="230">
        <f t="shared" si="3"/>
        <v>0</v>
      </c>
      <c r="AL70" s="230">
        <f t="shared" si="3"/>
        <v>0</v>
      </c>
      <c r="AM70" s="230">
        <f t="shared" si="3"/>
        <v>0</v>
      </c>
      <c r="AN70" s="230">
        <f t="shared" si="3"/>
        <v>0</v>
      </c>
      <c r="AO70" s="230">
        <f t="shared" si="3"/>
        <v>0</v>
      </c>
      <c r="AP70" s="230">
        <f t="shared" si="3"/>
        <v>0</v>
      </c>
    </row>
    <row r="71" spans="1:42" ht="12.75" customHeight="1" x14ac:dyDescent="0.25">
      <c r="B71" s="150"/>
      <c r="C71" s="768"/>
      <c r="D71" s="769"/>
      <c r="E71" s="229" t="s">
        <v>73</v>
      </c>
      <c r="F71" s="230">
        <f>F38</f>
        <v>-32099.64</v>
      </c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</row>
    <row r="72" spans="1:42" ht="12.75" customHeight="1" x14ac:dyDescent="0.25">
      <c r="A72" s="89"/>
      <c r="C72" s="97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spans="1:42" ht="12.75" customHeight="1" x14ac:dyDescent="0.25">
      <c r="C73" s="771" t="s">
        <v>324</v>
      </c>
      <c r="D73" s="769" t="s">
        <v>132</v>
      </c>
      <c r="E73" s="375" t="s">
        <v>70</v>
      </c>
      <c r="F73" s="376">
        <v>0</v>
      </c>
      <c r="G73" s="376">
        <v>0</v>
      </c>
      <c r="H73" s="376">
        <v>0</v>
      </c>
      <c r="I73" s="376">
        <v>0</v>
      </c>
      <c r="J73" s="376">
        <v>0</v>
      </c>
      <c r="K73" s="376">
        <v>0</v>
      </c>
      <c r="L73" s="376">
        <v>0</v>
      </c>
      <c r="M73" s="376">
        <v>0</v>
      </c>
      <c r="N73" s="376">
        <v>0</v>
      </c>
      <c r="O73" s="376">
        <v>0</v>
      </c>
      <c r="P73" s="376">
        <v>0</v>
      </c>
      <c r="Q73" s="376">
        <v>0</v>
      </c>
      <c r="R73" s="376">
        <v>0</v>
      </c>
      <c r="S73" s="376">
        <v>0</v>
      </c>
      <c r="T73" s="376">
        <v>0</v>
      </c>
      <c r="U73" s="376">
        <v>0</v>
      </c>
      <c r="V73" s="376">
        <v>0</v>
      </c>
      <c r="W73" s="376">
        <v>0</v>
      </c>
      <c r="X73" s="376">
        <v>0</v>
      </c>
      <c r="Y73" s="376">
        <v>0</v>
      </c>
      <c r="Z73" s="376">
        <v>0</v>
      </c>
      <c r="AA73" s="376">
        <v>0</v>
      </c>
      <c r="AB73" s="376">
        <v>0</v>
      </c>
      <c r="AC73" s="376">
        <v>0</v>
      </c>
      <c r="AD73" s="376">
        <v>0</v>
      </c>
      <c r="AE73" s="376">
        <v>0</v>
      </c>
      <c r="AF73" s="376">
        <v>0</v>
      </c>
      <c r="AG73" s="376">
        <v>0</v>
      </c>
      <c r="AH73" s="376">
        <v>0</v>
      </c>
      <c r="AI73" s="376">
        <v>0</v>
      </c>
      <c r="AJ73" s="376">
        <v>0</v>
      </c>
      <c r="AK73" s="376">
        <v>0</v>
      </c>
      <c r="AL73" s="376">
        <v>0</v>
      </c>
      <c r="AM73" s="376">
        <v>0</v>
      </c>
      <c r="AN73" s="376">
        <v>0</v>
      </c>
      <c r="AO73" s="376">
        <v>0</v>
      </c>
    </row>
    <row r="74" spans="1:42" ht="12.75" customHeight="1" x14ac:dyDescent="0.25">
      <c r="C74" s="771"/>
      <c r="D74" s="769"/>
      <c r="E74" s="375" t="s">
        <v>73</v>
      </c>
      <c r="F74" s="376">
        <v>0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1"/>
      <c r="D75" s="769" t="s">
        <v>133</v>
      </c>
      <c r="E75" s="242" t="s">
        <v>70</v>
      </c>
      <c r="F75" s="243">
        <v>0</v>
      </c>
      <c r="G75" s="243">
        <v>0</v>
      </c>
      <c r="H75" s="243">
        <v>0</v>
      </c>
      <c r="I75" s="243">
        <v>0</v>
      </c>
      <c r="J75" s="243">
        <v>0</v>
      </c>
      <c r="K75" s="243">
        <v>0</v>
      </c>
      <c r="L75" s="243">
        <v>0</v>
      </c>
      <c r="M75" s="243">
        <v>0</v>
      </c>
      <c r="N75" s="243">
        <v>0</v>
      </c>
      <c r="O75" s="243">
        <v>0</v>
      </c>
      <c r="P75" s="243">
        <v>0</v>
      </c>
      <c r="Q75" s="243">
        <v>0</v>
      </c>
      <c r="R75" s="243">
        <v>0</v>
      </c>
      <c r="S75" s="243">
        <v>0</v>
      </c>
      <c r="T75" s="243">
        <v>0</v>
      </c>
      <c r="U75" s="243">
        <v>0</v>
      </c>
      <c r="V75" s="243">
        <v>0</v>
      </c>
      <c r="W75" s="243">
        <v>0</v>
      </c>
      <c r="X75" s="243">
        <v>0</v>
      </c>
      <c r="Y75" s="243">
        <v>0</v>
      </c>
      <c r="Z75" s="243">
        <v>0</v>
      </c>
      <c r="AA75" s="243">
        <v>0</v>
      </c>
      <c r="AB75" s="243">
        <v>0</v>
      </c>
      <c r="AC75" s="243">
        <v>0</v>
      </c>
      <c r="AD75" s="243">
        <v>0</v>
      </c>
      <c r="AE75" s="243">
        <v>0</v>
      </c>
      <c r="AF75" s="243">
        <v>0</v>
      </c>
      <c r="AG75" s="243">
        <v>0</v>
      </c>
      <c r="AH75" s="243">
        <v>0</v>
      </c>
      <c r="AI75" s="243">
        <v>0</v>
      </c>
      <c r="AJ75" s="243">
        <v>0</v>
      </c>
      <c r="AK75" s="243">
        <v>0</v>
      </c>
      <c r="AL75" s="243">
        <v>0</v>
      </c>
      <c r="AM75" s="243">
        <v>0</v>
      </c>
      <c r="AN75" s="243">
        <v>0</v>
      </c>
      <c r="AO75" s="243">
        <v>0</v>
      </c>
    </row>
    <row r="76" spans="1:42" ht="12.75" customHeight="1" x14ac:dyDescent="0.25">
      <c r="C76" s="771"/>
      <c r="D76" s="769"/>
      <c r="E76" s="242" t="s">
        <v>73</v>
      </c>
      <c r="F76" s="243"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</row>
    <row r="77" spans="1:42" ht="12.75" customHeight="1" x14ac:dyDescent="0.25">
      <c r="A77" s="89"/>
      <c r="C77" s="97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 spans="1:42" ht="12.75" customHeight="1" x14ac:dyDescent="0.25">
      <c r="C78" s="768" t="s">
        <v>119</v>
      </c>
      <c r="D78" s="769" t="s">
        <v>132</v>
      </c>
      <c r="E78" s="101" t="s">
        <v>70</v>
      </c>
      <c r="F78" s="93">
        <f>F52+F33-L33</f>
        <v>343622283.84999996</v>
      </c>
      <c r="G78" s="93">
        <f>G33</f>
        <v>33575652.270000003</v>
      </c>
      <c r="H78" s="93">
        <f t="shared" ref="H78:AP78" si="4">H33</f>
        <v>18677541.399999999</v>
      </c>
      <c r="I78" s="93">
        <f t="shared" si="4"/>
        <v>9986351.4199999999</v>
      </c>
      <c r="J78" s="93">
        <f t="shared" si="4"/>
        <v>39089724.609999999</v>
      </c>
      <c r="K78" s="93">
        <f t="shared" si="4"/>
        <v>1161132.96</v>
      </c>
      <c r="L78" s="93">
        <f t="shared" si="4"/>
        <v>9993768.9299999997</v>
      </c>
      <c r="M78" s="93">
        <f t="shared" si="4"/>
        <v>10145988.310000001</v>
      </c>
      <c r="N78" s="93">
        <f t="shared" si="4"/>
        <v>12931732.52</v>
      </c>
      <c r="O78" s="93">
        <f t="shared" si="4"/>
        <v>61145164.829999998</v>
      </c>
      <c r="P78" s="93">
        <f t="shared" si="4"/>
        <v>91644421.670000002</v>
      </c>
      <c r="Q78" s="93">
        <f t="shared" si="4"/>
        <v>1896218.09</v>
      </c>
      <c r="R78" s="93">
        <f t="shared" si="4"/>
        <v>-3576.32</v>
      </c>
      <c r="S78" s="93">
        <f t="shared" si="4"/>
        <v>0</v>
      </c>
      <c r="T78" s="93">
        <f t="shared" si="4"/>
        <v>0.09</v>
      </c>
      <c r="U78" s="93">
        <f t="shared" si="4"/>
        <v>0</v>
      </c>
      <c r="V78" s="93">
        <f t="shared" si="4"/>
        <v>0</v>
      </c>
      <c r="W78" s="93">
        <f t="shared" si="4"/>
        <v>0</v>
      </c>
      <c r="X78" s="93">
        <f t="shared" si="4"/>
        <v>0</v>
      </c>
      <c r="Y78" s="93">
        <f t="shared" si="4"/>
        <v>0</v>
      </c>
      <c r="Z78" s="93">
        <f t="shared" si="4"/>
        <v>0</v>
      </c>
      <c r="AA78" s="93">
        <f t="shared" si="4"/>
        <v>0</v>
      </c>
      <c r="AB78" s="93">
        <f t="shared" si="4"/>
        <v>0</v>
      </c>
      <c r="AC78" s="93">
        <f t="shared" si="4"/>
        <v>0</v>
      </c>
      <c r="AD78" s="93">
        <f t="shared" si="4"/>
        <v>0</v>
      </c>
      <c r="AE78" s="93">
        <f t="shared" si="4"/>
        <v>0</v>
      </c>
      <c r="AF78" s="93">
        <f t="shared" si="4"/>
        <v>0</v>
      </c>
      <c r="AG78" s="93">
        <f t="shared" si="4"/>
        <v>0</v>
      </c>
      <c r="AH78" s="93">
        <f t="shared" si="4"/>
        <v>0</v>
      </c>
      <c r="AI78" s="93">
        <f t="shared" si="4"/>
        <v>0</v>
      </c>
      <c r="AJ78" s="93">
        <f t="shared" si="4"/>
        <v>0</v>
      </c>
      <c r="AK78" s="93">
        <f t="shared" si="4"/>
        <v>0</v>
      </c>
      <c r="AL78" s="93">
        <f t="shared" si="4"/>
        <v>0</v>
      </c>
      <c r="AM78" s="93">
        <f t="shared" si="4"/>
        <v>0</v>
      </c>
      <c r="AN78" s="93">
        <f t="shared" si="4"/>
        <v>0</v>
      </c>
      <c r="AO78" s="93">
        <f t="shared" si="4"/>
        <v>0</v>
      </c>
      <c r="AP78" s="93">
        <f t="shared" si="4"/>
        <v>0</v>
      </c>
    </row>
    <row r="79" spans="1:42" ht="12.75" customHeight="1" x14ac:dyDescent="0.25">
      <c r="C79" s="768"/>
      <c r="D79" s="769"/>
      <c r="E79" s="101" t="s">
        <v>73</v>
      </c>
      <c r="F79" s="93">
        <f>F52</f>
        <v>63371932</v>
      </c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68"/>
      <c r="D80" s="769" t="s">
        <v>133</v>
      </c>
      <c r="E80" s="235" t="s">
        <v>70</v>
      </c>
      <c r="F80" s="236">
        <f>F41+F18-L18</f>
        <v>134910</v>
      </c>
      <c r="G80" s="236">
        <f>G18</f>
        <v>5633.68</v>
      </c>
      <c r="H80" s="236">
        <f t="shared" ref="H80:AP80" si="5">H18</f>
        <v>3143.05</v>
      </c>
      <c r="I80" s="236">
        <f t="shared" si="5"/>
        <v>1669.5</v>
      </c>
      <c r="J80" s="236">
        <f t="shared" si="5"/>
        <v>21061.5</v>
      </c>
      <c r="K80" s="236">
        <f t="shared" si="5"/>
        <v>519.69000000000005</v>
      </c>
      <c r="L80" s="236">
        <f t="shared" si="5"/>
        <v>0</v>
      </c>
      <c r="M80" s="236">
        <f t="shared" si="5"/>
        <v>4558.83</v>
      </c>
      <c r="N80" s="236">
        <f t="shared" si="5"/>
        <v>6480.54</v>
      </c>
      <c r="O80" s="236">
        <f t="shared" si="5"/>
        <v>30680.68</v>
      </c>
      <c r="P80" s="236">
        <f t="shared" si="5"/>
        <v>15386.96</v>
      </c>
      <c r="Q80" s="236">
        <f t="shared" si="5"/>
        <v>847.96</v>
      </c>
      <c r="R80" s="236">
        <f t="shared" si="5"/>
        <v>5.04</v>
      </c>
      <c r="S80" s="236">
        <f t="shared" si="5"/>
        <v>0</v>
      </c>
      <c r="T80" s="236">
        <f t="shared" si="5"/>
        <v>0</v>
      </c>
      <c r="U80" s="236">
        <f t="shared" si="5"/>
        <v>0</v>
      </c>
      <c r="V80" s="236">
        <f t="shared" si="5"/>
        <v>0</v>
      </c>
      <c r="W80" s="236">
        <f t="shared" si="5"/>
        <v>0</v>
      </c>
      <c r="X80" s="236">
        <f t="shared" si="5"/>
        <v>0</v>
      </c>
      <c r="Y80" s="236">
        <f t="shared" si="5"/>
        <v>0</v>
      </c>
      <c r="Z80" s="236">
        <f t="shared" si="5"/>
        <v>0</v>
      </c>
      <c r="AA80" s="236">
        <f t="shared" si="5"/>
        <v>0</v>
      </c>
      <c r="AB80" s="236">
        <f t="shared" si="5"/>
        <v>0</v>
      </c>
      <c r="AC80" s="236">
        <f t="shared" si="5"/>
        <v>0</v>
      </c>
      <c r="AD80" s="236">
        <f t="shared" si="5"/>
        <v>0</v>
      </c>
      <c r="AE80" s="236">
        <f t="shared" si="5"/>
        <v>0</v>
      </c>
      <c r="AF80" s="236">
        <f t="shared" si="5"/>
        <v>0</v>
      </c>
      <c r="AG80" s="236">
        <f t="shared" si="5"/>
        <v>0</v>
      </c>
      <c r="AH80" s="236">
        <f t="shared" si="5"/>
        <v>0</v>
      </c>
      <c r="AI80" s="236">
        <f t="shared" si="5"/>
        <v>0</v>
      </c>
      <c r="AJ80" s="236">
        <f t="shared" si="5"/>
        <v>0</v>
      </c>
      <c r="AK80" s="236">
        <f t="shared" si="5"/>
        <v>0</v>
      </c>
      <c r="AL80" s="236">
        <f t="shared" si="5"/>
        <v>0</v>
      </c>
      <c r="AM80" s="236">
        <f t="shared" si="5"/>
        <v>0</v>
      </c>
      <c r="AN80" s="236">
        <f t="shared" si="5"/>
        <v>0</v>
      </c>
      <c r="AO80" s="236">
        <f t="shared" si="5"/>
        <v>0</v>
      </c>
      <c r="AP80" s="236">
        <f t="shared" si="5"/>
        <v>0</v>
      </c>
    </row>
    <row r="81" spans="1:42" ht="12.75" customHeight="1" x14ac:dyDescent="0.25">
      <c r="C81" s="768"/>
      <c r="D81" s="769"/>
      <c r="E81" s="235" t="s">
        <v>73</v>
      </c>
      <c r="F81" s="236">
        <f>F41</f>
        <v>44922.57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spans="1:42" ht="12.75" customHeight="1" x14ac:dyDescent="0.25">
      <c r="A82" s="89"/>
      <c r="C82" s="97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</row>
    <row r="83" spans="1:42" ht="12.75" customHeight="1" x14ac:dyDescent="0.25">
      <c r="C83" s="770" t="s">
        <v>161</v>
      </c>
      <c r="D83" s="769" t="s">
        <v>132</v>
      </c>
      <c r="E83" s="231" t="s">
        <v>70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X83" s="232">
        <v>0</v>
      </c>
      <c r="Y83" s="232">
        <v>0</v>
      </c>
      <c r="Z83" s="232">
        <v>0</v>
      </c>
      <c r="AA83" s="232">
        <v>0</v>
      </c>
      <c r="AB83" s="232">
        <v>0</v>
      </c>
      <c r="AC83" s="232">
        <v>0</v>
      </c>
      <c r="AD83" s="232">
        <v>0</v>
      </c>
      <c r="AE83" s="232">
        <v>0</v>
      </c>
      <c r="AF83" s="232">
        <v>0</v>
      </c>
      <c r="AG83" s="232">
        <v>0</v>
      </c>
      <c r="AH83" s="232">
        <v>0</v>
      </c>
      <c r="AI83" s="232">
        <v>0</v>
      </c>
      <c r="AJ83" s="232">
        <v>0</v>
      </c>
      <c r="AK83" s="232">
        <v>0</v>
      </c>
      <c r="AL83" s="232">
        <v>0</v>
      </c>
      <c r="AM83" s="232">
        <v>0</v>
      </c>
      <c r="AN83" s="232">
        <v>0</v>
      </c>
      <c r="AO83" s="232">
        <v>0</v>
      </c>
      <c r="AP83" s="232">
        <v>0</v>
      </c>
    </row>
    <row r="84" spans="1:42" ht="12.75" customHeight="1" x14ac:dyDescent="0.25">
      <c r="C84" s="770"/>
      <c r="D84" s="769"/>
      <c r="E84" s="231" t="s">
        <v>73</v>
      </c>
      <c r="F84" s="232">
        <v>0</v>
      </c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0"/>
      <c r="D85" s="769" t="s">
        <v>133</v>
      </c>
      <c r="E85" s="148" t="s">
        <v>70</v>
      </c>
      <c r="F85" s="149">
        <v>0</v>
      </c>
      <c r="G85" s="149">
        <v>0</v>
      </c>
      <c r="H85" s="149">
        <v>0</v>
      </c>
      <c r="I85" s="149">
        <v>0</v>
      </c>
      <c r="J85" s="149">
        <v>0</v>
      </c>
      <c r="K85" s="149">
        <v>0</v>
      </c>
      <c r="L85" s="149">
        <v>0</v>
      </c>
      <c r="M85" s="149">
        <v>0</v>
      </c>
      <c r="N85" s="149">
        <v>0</v>
      </c>
      <c r="O85" s="149">
        <v>0</v>
      </c>
      <c r="P85" s="149">
        <v>0</v>
      </c>
      <c r="Q85" s="149">
        <v>0</v>
      </c>
      <c r="R85" s="149">
        <v>0</v>
      </c>
      <c r="S85" s="149">
        <v>0</v>
      </c>
      <c r="T85" s="149">
        <v>0</v>
      </c>
      <c r="U85" s="149">
        <v>0</v>
      </c>
      <c r="V85" s="149">
        <v>0</v>
      </c>
      <c r="W85" s="149">
        <v>0</v>
      </c>
      <c r="X85" s="149">
        <v>0</v>
      </c>
      <c r="Y85" s="149">
        <v>0</v>
      </c>
      <c r="Z85" s="149">
        <v>0</v>
      </c>
      <c r="AA85" s="149">
        <v>0</v>
      </c>
      <c r="AB85" s="149">
        <v>0</v>
      </c>
      <c r="AC85" s="149">
        <v>0</v>
      </c>
      <c r="AD85" s="149">
        <v>0</v>
      </c>
      <c r="AE85" s="149">
        <v>0</v>
      </c>
      <c r="AF85" s="149">
        <v>0</v>
      </c>
      <c r="AG85" s="149">
        <v>0</v>
      </c>
      <c r="AH85" s="149">
        <v>0</v>
      </c>
      <c r="AI85" s="149">
        <v>0</v>
      </c>
      <c r="AJ85" s="149">
        <v>0</v>
      </c>
      <c r="AK85" s="149">
        <v>0</v>
      </c>
      <c r="AL85" s="149">
        <v>0</v>
      </c>
      <c r="AM85" s="149">
        <v>0</v>
      </c>
      <c r="AN85" s="149">
        <v>0</v>
      </c>
      <c r="AO85" s="149">
        <v>0</v>
      </c>
      <c r="AP85" s="149">
        <v>0</v>
      </c>
    </row>
    <row r="86" spans="1:42" ht="12.75" customHeight="1" x14ac:dyDescent="0.25">
      <c r="C86" s="770"/>
      <c r="D86" s="769"/>
      <c r="E86" s="148" t="s">
        <v>73</v>
      </c>
      <c r="F86" s="149"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</row>
    <row r="87" spans="1:42" ht="12.75" customHeight="1" x14ac:dyDescent="0.25">
      <c r="C87" s="390"/>
      <c r="D87" s="220"/>
      <c r="E87" s="89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</row>
    <row r="88" spans="1:42" ht="12.75" customHeight="1" x14ac:dyDescent="0.25">
      <c r="D88" s="460" t="s">
        <v>185</v>
      </c>
      <c r="E88" s="461" t="s">
        <v>70</v>
      </c>
      <c r="F88" s="462">
        <f t="shared" ref="F88:AP88" si="6">F10</f>
        <v>-2015.07</v>
      </c>
      <c r="G88" s="462">
        <f t="shared" si="6"/>
        <v>-122.1</v>
      </c>
      <c r="H88" s="462">
        <f t="shared" si="6"/>
        <v>-51.87</v>
      </c>
      <c r="I88" s="462">
        <f t="shared" si="6"/>
        <v>-22.65</v>
      </c>
      <c r="J88" s="462">
        <f t="shared" si="6"/>
        <v>-369.44</v>
      </c>
      <c r="K88" s="462">
        <f t="shared" si="6"/>
        <v>-23.88</v>
      </c>
      <c r="L88" s="462">
        <f t="shared" si="6"/>
        <v>0</v>
      </c>
      <c r="M88" s="462">
        <f t="shared" si="6"/>
        <v>-209.4</v>
      </c>
      <c r="N88" s="462">
        <f t="shared" si="6"/>
        <v>-175.25</v>
      </c>
      <c r="O88" s="462">
        <f t="shared" si="6"/>
        <v>-699.55</v>
      </c>
      <c r="P88" s="462">
        <f t="shared" si="6"/>
        <v>-301.98</v>
      </c>
      <c r="Q88" s="462">
        <f t="shared" si="6"/>
        <v>-38.950000000000003</v>
      </c>
      <c r="R88" s="462">
        <f t="shared" si="6"/>
        <v>0</v>
      </c>
      <c r="S88" s="462">
        <f t="shared" si="6"/>
        <v>0</v>
      </c>
      <c r="T88" s="462">
        <f t="shared" si="6"/>
        <v>0</v>
      </c>
      <c r="U88" s="462">
        <f t="shared" si="6"/>
        <v>0</v>
      </c>
      <c r="V88" s="462">
        <f t="shared" si="6"/>
        <v>0</v>
      </c>
      <c r="W88" s="462">
        <f t="shared" si="6"/>
        <v>0</v>
      </c>
      <c r="X88" s="462">
        <f t="shared" si="6"/>
        <v>0</v>
      </c>
      <c r="Y88" s="462">
        <f t="shared" si="6"/>
        <v>0</v>
      </c>
      <c r="Z88" s="462">
        <f t="shared" si="6"/>
        <v>0</v>
      </c>
      <c r="AA88" s="462">
        <f t="shared" si="6"/>
        <v>0</v>
      </c>
      <c r="AB88" s="462">
        <f t="shared" si="6"/>
        <v>0</v>
      </c>
      <c r="AC88" s="462">
        <f t="shared" si="6"/>
        <v>0</v>
      </c>
      <c r="AD88" s="462">
        <f t="shared" si="6"/>
        <v>0</v>
      </c>
      <c r="AE88" s="462">
        <f t="shared" si="6"/>
        <v>0</v>
      </c>
      <c r="AF88" s="462">
        <f t="shared" si="6"/>
        <v>0</v>
      </c>
      <c r="AG88" s="462">
        <f t="shared" si="6"/>
        <v>0</v>
      </c>
      <c r="AH88" s="462">
        <f t="shared" si="6"/>
        <v>0</v>
      </c>
      <c r="AI88" s="462">
        <f t="shared" si="6"/>
        <v>0</v>
      </c>
      <c r="AJ88" s="462">
        <f t="shared" si="6"/>
        <v>0</v>
      </c>
      <c r="AK88" s="462">
        <f t="shared" si="6"/>
        <v>0</v>
      </c>
      <c r="AL88" s="462">
        <f t="shared" si="6"/>
        <v>0</v>
      </c>
      <c r="AM88" s="462">
        <f t="shared" si="6"/>
        <v>0</v>
      </c>
      <c r="AN88" s="462">
        <f t="shared" si="6"/>
        <v>0</v>
      </c>
      <c r="AO88" s="462">
        <f t="shared" si="6"/>
        <v>0</v>
      </c>
      <c r="AP88" s="462">
        <f t="shared" si="6"/>
        <v>0</v>
      </c>
    </row>
    <row r="89" spans="1:42" ht="12.75" customHeight="1" x14ac:dyDescent="0.25">
      <c r="C89" s="390"/>
      <c r="D89" s="220"/>
      <c r="E89" s="89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</row>
    <row r="90" spans="1:42" s="238" customFormat="1" ht="12.75" customHeight="1" x14ac:dyDescent="0.25">
      <c r="B90" s="239"/>
      <c r="C90" s="239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</row>
    <row r="91" spans="1:42" ht="12" customHeight="1" x14ac:dyDescent="0.25">
      <c r="A91" s="89"/>
      <c r="B91" s="97" t="s">
        <v>75</v>
      </c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</row>
    <row r="92" spans="1:42" ht="12.75" customHeight="1" x14ac:dyDescent="0.25">
      <c r="F92" s="89" t="s">
        <v>70</v>
      </c>
      <c r="G92" s="89" t="s">
        <v>64</v>
      </c>
      <c r="H92" s="89" t="s">
        <v>65</v>
      </c>
      <c r="I92" s="218" t="s">
        <v>164</v>
      </c>
      <c r="J92" s="89" t="s">
        <v>69</v>
      </c>
      <c r="K92" s="89" t="s">
        <v>68</v>
      </c>
      <c r="L92" s="89" t="s">
        <v>71</v>
      </c>
      <c r="M92" s="89" t="s">
        <v>66</v>
      </c>
      <c r="N92" s="89" t="s">
        <v>63</v>
      </c>
      <c r="O92" s="89" t="s">
        <v>61</v>
      </c>
      <c r="P92" s="89" t="s">
        <v>62</v>
      </c>
      <c r="Q92" s="89" t="s">
        <v>67</v>
      </c>
      <c r="R92" s="89" t="s">
        <v>77</v>
      </c>
      <c r="S92" s="89" t="s">
        <v>80</v>
      </c>
      <c r="T92" s="89" t="s">
        <v>135</v>
      </c>
      <c r="U92" s="89" t="s">
        <v>172</v>
      </c>
      <c r="V92" s="89" t="s">
        <v>221</v>
      </c>
      <c r="W92" s="89" t="s">
        <v>172</v>
      </c>
      <c r="X92" t="s">
        <v>172</v>
      </c>
      <c r="Y92" s="89" t="s">
        <v>135</v>
      </c>
      <c r="Z92" s="89" t="s">
        <v>166</v>
      </c>
    </row>
    <row r="93" spans="1:42" ht="12.75" customHeight="1" x14ac:dyDescent="0.25">
      <c r="E93" t="s">
        <v>72</v>
      </c>
      <c r="F93" s="386">
        <v>-221284.53</v>
      </c>
      <c r="G93" s="89">
        <v>-19000.060000000001</v>
      </c>
      <c r="H93" s="89">
        <v>-8071.66</v>
      </c>
      <c r="I93" s="657">
        <v>-3524.84</v>
      </c>
      <c r="J93" s="89">
        <v>-43884.29</v>
      </c>
      <c r="K93" s="89">
        <v>-1875.37</v>
      </c>
      <c r="L93" s="89">
        <v>0</v>
      </c>
      <c r="M93" s="89">
        <v>-16450.29</v>
      </c>
      <c r="N93" s="89">
        <v>-20625.78</v>
      </c>
      <c r="O93" s="89">
        <v>-69263.490000000005</v>
      </c>
      <c r="P93" s="89">
        <v>-35528.629999999997</v>
      </c>
      <c r="Q93" s="89">
        <v>-3060.12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>
        <v>0</v>
      </c>
      <c r="Y93" s="89">
        <v>0</v>
      </c>
      <c r="Z93" s="89">
        <v>0</v>
      </c>
    </row>
    <row r="94" spans="1:42" ht="12.75" customHeight="1" x14ac:dyDescent="0.25">
      <c r="D94" t="s">
        <v>156</v>
      </c>
      <c r="E94" t="s">
        <v>70</v>
      </c>
      <c r="F94" s="386">
        <v>-221284.53</v>
      </c>
      <c r="G94" s="89">
        <v>-19000.060000000001</v>
      </c>
      <c r="H94" s="89">
        <v>-8071.66</v>
      </c>
      <c r="I94" s="657">
        <v>-3524.84</v>
      </c>
      <c r="J94" s="89">
        <v>-43884.29</v>
      </c>
      <c r="K94" s="89">
        <v>-1875.37</v>
      </c>
      <c r="L94" s="89">
        <v>0</v>
      </c>
      <c r="M94" s="89">
        <v>-16450.29</v>
      </c>
      <c r="N94" s="89">
        <v>-20625.78</v>
      </c>
      <c r="O94" s="89">
        <v>-69263.490000000005</v>
      </c>
      <c r="P94" s="89">
        <v>-35528.629999999997</v>
      </c>
      <c r="Q94" s="89">
        <v>-3060.12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>
        <v>0</v>
      </c>
      <c r="Y94" s="89">
        <v>0</v>
      </c>
      <c r="Z94" s="89">
        <v>0</v>
      </c>
    </row>
    <row r="95" spans="1:42" s="648" customFormat="1" ht="12.75" customHeight="1" x14ac:dyDescent="0.25">
      <c r="C95" s="648" t="s">
        <v>155</v>
      </c>
      <c r="D95" s="648" t="s">
        <v>70</v>
      </c>
      <c r="F95" s="738">
        <v>-221284.53</v>
      </c>
      <c r="G95" s="649">
        <v>-19000.060000000001</v>
      </c>
      <c r="H95" s="649">
        <v>-8071.66</v>
      </c>
      <c r="I95" s="739">
        <v>-3524.84</v>
      </c>
      <c r="J95" s="649">
        <v>-43884.29</v>
      </c>
      <c r="K95" s="649">
        <v>-1875.37</v>
      </c>
      <c r="L95" s="649">
        <v>0</v>
      </c>
      <c r="M95" s="649">
        <v>-16450.29</v>
      </c>
      <c r="N95" s="649">
        <v>-20625.78</v>
      </c>
      <c r="O95" s="649">
        <v>-69263.490000000005</v>
      </c>
      <c r="P95" s="649">
        <v>-35528.629999999997</v>
      </c>
      <c r="Q95" s="649">
        <v>-3060.12</v>
      </c>
      <c r="R95" s="649">
        <v>0</v>
      </c>
      <c r="S95" s="649">
        <v>0</v>
      </c>
      <c r="T95" s="649">
        <v>0</v>
      </c>
      <c r="U95" s="649">
        <v>0</v>
      </c>
      <c r="V95" s="649">
        <v>0</v>
      </c>
      <c r="W95" s="649">
        <v>0</v>
      </c>
      <c r="X95" s="648">
        <v>0</v>
      </c>
      <c r="Y95" s="649">
        <v>0</v>
      </c>
      <c r="Z95" s="649">
        <v>0</v>
      </c>
    </row>
    <row r="96" spans="1:42" ht="12.6" customHeight="1" x14ac:dyDescent="0.25">
      <c r="C96" s="89"/>
      <c r="D96" s="89"/>
      <c r="E96" t="s">
        <v>72</v>
      </c>
      <c r="F96" s="90">
        <v>-22430.12</v>
      </c>
      <c r="G96" s="90">
        <v>-1950.96</v>
      </c>
      <c r="H96" s="90">
        <v>-828.84</v>
      </c>
      <c r="I96" s="90">
        <v>-361.97</v>
      </c>
      <c r="J96" s="90">
        <v>-4553.51</v>
      </c>
      <c r="K96" s="90">
        <v>-187.61</v>
      </c>
      <c r="L96" s="90">
        <v>0</v>
      </c>
      <c r="M96" s="90">
        <v>-1645.8</v>
      </c>
      <c r="N96" s="90">
        <v>-2063.04</v>
      </c>
      <c r="O96" s="90">
        <v>-6929.61</v>
      </c>
      <c r="P96" s="90">
        <v>-3602.61</v>
      </c>
      <c r="Q96" s="90">
        <v>-306.17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1:26" ht="12.75" customHeight="1" x14ac:dyDescent="0.25">
      <c r="D97" t="s">
        <v>86</v>
      </c>
      <c r="E97" t="s">
        <v>70</v>
      </c>
      <c r="F97" s="386">
        <v>-22430.12</v>
      </c>
      <c r="G97" s="89">
        <v>-1950.96</v>
      </c>
      <c r="H97" s="89">
        <v>-828.84</v>
      </c>
      <c r="I97" s="657">
        <v>-361.97</v>
      </c>
      <c r="J97" s="89">
        <v>-4553.51</v>
      </c>
      <c r="K97" s="89">
        <v>-187.61</v>
      </c>
      <c r="L97" s="89">
        <v>0</v>
      </c>
      <c r="M97" s="89">
        <v>-1645.8</v>
      </c>
      <c r="N97" s="89">
        <v>-2063.04</v>
      </c>
      <c r="O97" s="89">
        <v>-6929.61</v>
      </c>
      <c r="P97" s="89">
        <v>-3602.61</v>
      </c>
      <c r="Q97" s="89">
        <v>-306.17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>
        <v>0</v>
      </c>
      <c r="Y97" s="89">
        <v>0</v>
      </c>
      <c r="Z97" s="89">
        <v>0</v>
      </c>
    </row>
    <row r="98" spans="1:26" s="94" customFormat="1" ht="12.75" customHeight="1" x14ac:dyDescent="0.25">
      <c r="C98" s="94" t="s">
        <v>119</v>
      </c>
      <c r="D98" s="94" t="s">
        <v>70</v>
      </c>
      <c r="E98" s="101"/>
      <c r="F98" s="93">
        <v>-22430.12</v>
      </c>
      <c r="G98" s="93">
        <v>-1950.96</v>
      </c>
      <c r="H98" s="93">
        <v>-828.84</v>
      </c>
      <c r="I98" s="93">
        <v>-361.97</v>
      </c>
      <c r="J98" s="93">
        <v>-4553.51</v>
      </c>
      <c r="K98" s="93">
        <v>-187.61</v>
      </c>
      <c r="L98" s="93">
        <v>0</v>
      </c>
      <c r="M98" s="93">
        <v>-1645.8</v>
      </c>
      <c r="N98" s="93">
        <v>-2063.04</v>
      </c>
      <c r="O98" s="93">
        <v>-6929.61</v>
      </c>
      <c r="P98" s="93">
        <v>-3602.61</v>
      </c>
      <c r="Q98" s="93">
        <v>-306.17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4">
        <v>0</v>
      </c>
      <c r="Y98" s="94">
        <v>0</v>
      </c>
      <c r="Z98" s="94">
        <v>0</v>
      </c>
    </row>
    <row r="99" spans="1:26" ht="12.75" customHeight="1" x14ac:dyDescent="0.25">
      <c r="B99" t="s">
        <v>112</v>
      </c>
      <c r="C99" t="s">
        <v>70</v>
      </c>
      <c r="E99" s="89"/>
      <c r="F99" s="90">
        <v>-243714.65</v>
      </c>
      <c r="G99" s="90">
        <v>-20951.02</v>
      </c>
      <c r="H99" s="90">
        <v>-8900.5</v>
      </c>
      <c r="I99" s="90">
        <v>-3886.81</v>
      </c>
      <c r="J99" s="90">
        <v>-48437.8</v>
      </c>
      <c r="K99" s="90">
        <v>-2062.98</v>
      </c>
      <c r="L99" s="90">
        <v>0</v>
      </c>
      <c r="M99" s="90">
        <v>-18096.09</v>
      </c>
      <c r="N99" s="90">
        <v>-22688.82</v>
      </c>
      <c r="O99" s="90">
        <v>-76193.100000000006</v>
      </c>
      <c r="P99" s="90">
        <v>-39131.24</v>
      </c>
      <c r="Q99" s="90">
        <v>-3366.29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1:26" s="460" customFormat="1" x14ac:dyDescent="0.25">
      <c r="A100" s="460" t="s">
        <v>185</v>
      </c>
      <c r="B100" s="461" t="s">
        <v>70</v>
      </c>
      <c r="C100" s="461"/>
      <c r="F100" s="462">
        <v>-243714.65</v>
      </c>
      <c r="G100" s="462">
        <v>-20951.02</v>
      </c>
      <c r="H100" s="462">
        <v>-8900.5</v>
      </c>
      <c r="I100" s="462">
        <v>-3886.81</v>
      </c>
      <c r="J100" s="462">
        <v>-48437.8</v>
      </c>
      <c r="K100" s="462">
        <v>-2062.98</v>
      </c>
      <c r="L100" s="462">
        <v>0</v>
      </c>
      <c r="M100" s="462">
        <v>-18096.09</v>
      </c>
      <c r="N100" s="462">
        <v>-22688.82</v>
      </c>
      <c r="O100" s="462">
        <v>-76193.100000000006</v>
      </c>
      <c r="P100" s="462">
        <v>-39131.24</v>
      </c>
      <c r="Q100" s="462">
        <v>-3366.29</v>
      </c>
      <c r="R100" s="462">
        <v>0</v>
      </c>
      <c r="S100" s="462">
        <v>0</v>
      </c>
      <c r="T100" s="462">
        <v>0</v>
      </c>
      <c r="U100" s="462">
        <v>0</v>
      </c>
      <c r="V100" s="462">
        <v>0</v>
      </c>
      <c r="W100" s="462">
        <v>0</v>
      </c>
      <c r="X100" s="462">
        <v>0</v>
      </c>
      <c r="Y100" s="462">
        <v>0</v>
      </c>
      <c r="Z100" s="462">
        <v>0</v>
      </c>
    </row>
    <row r="101" spans="1:26" ht="12.75" customHeight="1" x14ac:dyDescent="0.25">
      <c r="E101" s="89" t="s">
        <v>72</v>
      </c>
      <c r="F101" s="373">
        <v>10824948.140000001</v>
      </c>
      <c r="G101" s="90">
        <v>599182.03</v>
      </c>
      <c r="H101" s="90">
        <v>337540.82</v>
      </c>
      <c r="I101" s="90">
        <v>180499.34</v>
      </c>
      <c r="J101" s="90">
        <v>2716624.41</v>
      </c>
      <c r="K101" s="90">
        <v>72704.94</v>
      </c>
      <c r="L101" s="90">
        <v>0</v>
      </c>
      <c r="M101" s="90">
        <v>637761.97</v>
      </c>
      <c r="N101" s="90">
        <v>850902.17</v>
      </c>
      <c r="O101" s="90">
        <v>4118632.15</v>
      </c>
      <c r="P101" s="90">
        <v>1191361.2</v>
      </c>
      <c r="Q101" s="90">
        <v>119849.06</v>
      </c>
      <c r="R101" s="90">
        <v>-109.95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>
        <v>0</v>
      </c>
      <c r="Y101">
        <v>0</v>
      </c>
      <c r="Z101">
        <v>0</v>
      </c>
    </row>
    <row r="102" spans="1:26" ht="12.75" customHeight="1" x14ac:dyDescent="0.25">
      <c r="E102" s="89" t="s">
        <v>81</v>
      </c>
      <c r="F102" s="373">
        <v>262991.94</v>
      </c>
      <c r="G102" s="90">
        <v>20187.32</v>
      </c>
      <c r="H102" s="90">
        <v>11399.94</v>
      </c>
      <c r="I102" s="90">
        <v>6057.06</v>
      </c>
      <c r="J102" s="90">
        <v>60641.69</v>
      </c>
      <c r="K102" s="90">
        <v>1509.5</v>
      </c>
      <c r="L102" s="90">
        <v>0</v>
      </c>
      <c r="M102" s="90">
        <v>13242.77</v>
      </c>
      <c r="N102" s="90">
        <v>18648.2</v>
      </c>
      <c r="O102" s="90">
        <v>88493.41</v>
      </c>
      <c r="P102" s="90">
        <v>40335.120000000003</v>
      </c>
      <c r="Q102" s="90">
        <v>2478.59</v>
      </c>
      <c r="R102" s="90">
        <v>-1.7</v>
      </c>
      <c r="S102" s="90">
        <v>0.04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1:26" ht="12.75" customHeight="1" x14ac:dyDescent="0.25">
      <c r="D103" t="s">
        <v>156</v>
      </c>
      <c r="E103" s="89" t="s">
        <v>70</v>
      </c>
      <c r="F103" s="373">
        <v>11087940.08</v>
      </c>
      <c r="G103" s="90">
        <v>619369.35</v>
      </c>
      <c r="H103" s="90">
        <v>348940.76</v>
      </c>
      <c r="I103" s="90">
        <v>186556.4</v>
      </c>
      <c r="J103" s="90">
        <v>2777266.1</v>
      </c>
      <c r="K103" s="90">
        <v>74214.44</v>
      </c>
      <c r="L103" s="90">
        <v>0</v>
      </c>
      <c r="M103" s="90">
        <v>651004.74</v>
      </c>
      <c r="N103" s="90">
        <v>869550.37</v>
      </c>
      <c r="O103" s="90">
        <v>4207125.5599999996</v>
      </c>
      <c r="P103" s="90">
        <v>1231696.32</v>
      </c>
      <c r="Q103" s="90">
        <v>122327.65</v>
      </c>
      <c r="R103" s="90">
        <v>-111.65</v>
      </c>
      <c r="S103" s="90">
        <v>0.04</v>
      </c>
      <c r="T103" s="90">
        <v>0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0</v>
      </c>
    </row>
    <row r="104" spans="1:26" s="648" customFormat="1" ht="12.75" customHeight="1" x14ac:dyDescent="0.25">
      <c r="C104" s="648" t="s">
        <v>155</v>
      </c>
      <c r="D104" s="648" t="s">
        <v>70</v>
      </c>
      <c r="F104" s="738">
        <v>11087940.08</v>
      </c>
      <c r="G104" s="649">
        <v>619369.35</v>
      </c>
      <c r="H104" s="649">
        <v>348940.76</v>
      </c>
      <c r="I104" s="739">
        <v>186556.4</v>
      </c>
      <c r="J104" s="649">
        <v>2777266.1</v>
      </c>
      <c r="K104" s="649">
        <v>74214.44</v>
      </c>
      <c r="L104" s="649">
        <v>0</v>
      </c>
      <c r="M104" s="649">
        <v>651004.74</v>
      </c>
      <c r="N104" s="649">
        <v>869550.37</v>
      </c>
      <c r="O104" s="649">
        <v>4207125.5599999996</v>
      </c>
      <c r="P104" s="649">
        <v>1231696.32</v>
      </c>
      <c r="Q104" s="649">
        <v>122327.65</v>
      </c>
      <c r="R104" s="649">
        <v>-111.65</v>
      </c>
      <c r="S104" s="649">
        <v>0.04</v>
      </c>
      <c r="T104" s="649">
        <v>0</v>
      </c>
      <c r="U104" s="649">
        <v>0</v>
      </c>
      <c r="V104" s="649">
        <v>0</v>
      </c>
      <c r="W104" s="649">
        <v>0</v>
      </c>
      <c r="X104" s="648">
        <v>0</v>
      </c>
      <c r="Y104" s="649">
        <v>0</v>
      </c>
      <c r="Z104" s="649">
        <v>0</v>
      </c>
    </row>
    <row r="105" spans="1:26" ht="12.75" customHeight="1" x14ac:dyDescent="0.25">
      <c r="E105" s="89" t="s">
        <v>72</v>
      </c>
      <c r="F105" s="373">
        <v>21770</v>
      </c>
      <c r="G105" s="90">
        <v>1004.16</v>
      </c>
      <c r="H105" s="90">
        <v>566.95000000000005</v>
      </c>
      <c r="I105" s="90">
        <v>297.5</v>
      </c>
      <c r="J105" s="90">
        <v>6117.42</v>
      </c>
      <c r="K105" s="90">
        <v>195.92</v>
      </c>
      <c r="L105" s="90">
        <v>0</v>
      </c>
      <c r="M105" s="90">
        <v>1718.59</v>
      </c>
      <c r="N105" s="90">
        <v>1666.39</v>
      </c>
      <c r="O105" s="90">
        <v>7890.73</v>
      </c>
      <c r="P105" s="90">
        <v>1993.69</v>
      </c>
      <c r="Q105" s="90">
        <v>319.64999999999998</v>
      </c>
      <c r="R105" s="90">
        <v>-1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>
        <v>0</v>
      </c>
      <c r="Y105">
        <v>0</v>
      </c>
      <c r="Z105">
        <v>0</v>
      </c>
    </row>
    <row r="106" spans="1:26" ht="12.75" customHeight="1" x14ac:dyDescent="0.25">
      <c r="D106" t="s">
        <v>82</v>
      </c>
      <c r="E106" s="89" t="s">
        <v>70</v>
      </c>
      <c r="F106" s="373">
        <v>21770</v>
      </c>
      <c r="G106" s="90">
        <v>1004.16</v>
      </c>
      <c r="H106" s="90">
        <v>566.95000000000005</v>
      </c>
      <c r="I106" s="90">
        <v>297.5</v>
      </c>
      <c r="J106" s="90">
        <v>6117.42</v>
      </c>
      <c r="K106" s="90">
        <v>195.92</v>
      </c>
      <c r="L106" s="90">
        <v>0</v>
      </c>
      <c r="M106" s="90">
        <v>1718.59</v>
      </c>
      <c r="N106" s="90">
        <v>1666.39</v>
      </c>
      <c r="O106" s="90">
        <v>7890.73</v>
      </c>
      <c r="P106" s="90">
        <v>1993.69</v>
      </c>
      <c r="Q106" s="90">
        <v>319.64999999999998</v>
      </c>
      <c r="R106" s="90">
        <v>-1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1:26" ht="12.75" customHeight="1" x14ac:dyDescent="0.25">
      <c r="E107" s="89" t="s">
        <v>72</v>
      </c>
      <c r="F107" s="373">
        <v>642782.27</v>
      </c>
      <c r="G107" s="90">
        <v>31379.48</v>
      </c>
      <c r="H107" s="90">
        <v>17705.740000000002</v>
      </c>
      <c r="I107" s="90">
        <v>9385.9500000000007</v>
      </c>
      <c r="J107" s="90">
        <v>152267.07999999999</v>
      </c>
      <c r="K107" s="90">
        <v>4852.1499999999996</v>
      </c>
      <c r="L107" s="90">
        <v>0</v>
      </c>
      <c r="M107" s="90">
        <v>42562.720000000001</v>
      </c>
      <c r="N107" s="90">
        <v>54528.92</v>
      </c>
      <c r="O107" s="90">
        <v>260815.06</v>
      </c>
      <c r="P107" s="90">
        <v>61357.46</v>
      </c>
      <c r="Q107" s="90">
        <v>7916.7</v>
      </c>
      <c r="R107" s="90">
        <v>11.01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0</v>
      </c>
    </row>
    <row r="108" spans="1:26" ht="12.75" customHeight="1" x14ac:dyDescent="0.25">
      <c r="E108" s="89" t="s">
        <v>81</v>
      </c>
      <c r="F108" s="373">
        <v>1590.27</v>
      </c>
      <c r="G108" s="90">
        <v>84.26</v>
      </c>
      <c r="H108" s="90">
        <v>47.65</v>
      </c>
      <c r="I108" s="90">
        <v>25.29</v>
      </c>
      <c r="J108" s="90">
        <v>415.91</v>
      </c>
      <c r="K108" s="90">
        <v>10.199999999999999</v>
      </c>
      <c r="L108" s="90">
        <v>0</v>
      </c>
      <c r="M108" s="90">
        <v>89.36</v>
      </c>
      <c r="N108" s="90">
        <v>128.29</v>
      </c>
      <c r="O108" s="90">
        <v>603.23</v>
      </c>
      <c r="P108" s="90">
        <v>169.46</v>
      </c>
      <c r="Q108" s="90">
        <v>16.61</v>
      </c>
      <c r="R108" s="90">
        <v>0.01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0</v>
      </c>
    </row>
    <row r="109" spans="1:26" ht="12.75" customHeight="1" x14ac:dyDescent="0.25">
      <c r="D109" t="s">
        <v>86</v>
      </c>
      <c r="E109" s="89" t="s">
        <v>70</v>
      </c>
      <c r="F109" s="373">
        <v>644372.54</v>
      </c>
      <c r="G109" s="90">
        <v>31463.74</v>
      </c>
      <c r="H109" s="90">
        <v>17753.39</v>
      </c>
      <c r="I109" s="90">
        <v>9411.24</v>
      </c>
      <c r="J109" s="90">
        <v>152682.99</v>
      </c>
      <c r="K109" s="90">
        <v>4862.3500000000004</v>
      </c>
      <c r="L109" s="90">
        <v>0</v>
      </c>
      <c r="M109" s="90">
        <v>42652.08</v>
      </c>
      <c r="N109" s="90">
        <v>54657.21</v>
      </c>
      <c r="O109" s="90">
        <v>261418.29</v>
      </c>
      <c r="P109" s="90">
        <v>61526.92</v>
      </c>
      <c r="Q109" s="90">
        <v>7933.31</v>
      </c>
      <c r="R109" s="90">
        <v>11.02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1:26" s="94" customFormat="1" ht="12.75" customHeight="1" x14ac:dyDescent="0.25">
      <c r="C110" s="94" t="s">
        <v>119</v>
      </c>
      <c r="D110" s="94" t="s">
        <v>70</v>
      </c>
      <c r="E110" s="101"/>
      <c r="F110" s="93">
        <v>666142.54</v>
      </c>
      <c r="G110" s="93">
        <v>32467.9</v>
      </c>
      <c r="H110" s="93">
        <v>18320.34</v>
      </c>
      <c r="I110" s="93">
        <v>9708.74</v>
      </c>
      <c r="J110" s="93">
        <v>158800.41</v>
      </c>
      <c r="K110" s="93">
        <v>5058.2700000000004</v>
      </c>
      <c r="L110" s="93">
        <v>0</v>
      </c>
      <c r="M110" s="93">
        <v>44370.67</v>
      </c>
      <c r="N110" s="93">
        <v>56323.6</v>
      </c>
      <c r="O110" s="93">
        <v>269309.02</v>
      </c>
      <c r="P110" s="93">
        <v>63520.61</v>
      </c>
      <c r="Q110" s="93">
        <v>8252.9599999999991</v>
      </c>
      <c r="R110" s="93">
        <v>10.02</v>
      </c>
      <c r="S110" s="93">
        <v>0</v>
      </c>
      <c r="T110" s="93">
        <v>0</v>
      </c>
      <c r="U110" s="93">
        <v>0</v>
      </c>
      <c r="V110" s="93">
        <v>0</v>
      </c>
      <c r="W110" s="93">
        <v>0</v>
      </c>
      <c r="X110" s="94">
        <v>0</v>
      </c>
      <c r="Y110" s="94">
        <v>0</v>
      </c>
      <c r="Z110" s="94">
        <v>0</v>
      </c>
    </row>
    <row r="111" spans="1:26" s="763" customFormat="1" ht="12.75" customHeight="1" x14ac:dyDescent="0.25">
      <c r="B111" s="763" t="s">
        <v>122</v>
      </c>
      <c r="C111" s="763" t="s">
        <v>70</v>
      </c>
      <c r="E111" s="764"/>
      <c r="F111" s="765">
        <v>11754082.619999999</v>
      </c>
      <c r="G111" s="766">
        <v>651837.25</v>
      </c>
      <c r="H111" s="766">
        <v>367261.1</v>
      </c>
      <c r="I111" s="766">
        <v>196265.14</v>
      </c>
      <c r="J111" s="766">
        <v>2936066.51</v>
      </c>
      <c r="K111" s="766">
        <v>79272.710000000006</v>
      </c>
      <c r="L111" s="766">
        <v>0</v>
      </c>
      <c r="M111" s="766">
        <v>695375.41</v>
      </c>
      <c r="N111" s="766">
        <v>925873.97</v>
      </c>
      <c r="O111" s="766">
        <v>4476434.58</v>
      </c>
      <c r="P111" s="766">
        <v>1295216.93</v>
      </c>
      <c r="Q111" s="766">
        <v>130580.61</v>
      </c>
      <c r="R111" s="766">
        <v>-101.63</v>
      </c>
      <c r="S111" s="766">
        <v>0.04</v>
      </c>
      <c r="T111" s="766">
        <v>0</v>
      </c>
      <c r="U111" s="766">
        <v>0</v>
      </c>
      <c r="V111" s="766">
        <v>0</v>
      </c>
      <c r="W111" s="766">
        <v>0</v>
      </c>
      <c r="X111" s="763">
        <v>0</v>
      </c>
      <c r="Y111" s="763">
        <v>0</v>
      </c>
      <c r="Z111" s="763">
        <v>0</v>
      </c>
    </row>
    <row r="112" spans="1:26" ht="12.75" customHeight="1" x14ac:dyDescent="0.25">
      <c r="E112" s="89" t="s">
        <v>72</v>
      </c>
      <c r="F112" s="373">
        <v>13661750351.16</v>
      </c>
      <c r="G112" s="90">
        <v>755832638.63</v>
      </c>
      <c r="H112" s="90">
        <v>419095291.18000001</v>
      </c>
      <c r="I112" s="90">
        <v>222514274.02000001</v>
      </c>
      <c r="J112" s="90">
        <v>3449879902.6599998</v>
      </c>
      <c r="K112" s="90">
        <v>123342297.84999999</v>
      </c>
      <c r="L112" s="90">
        <v>6720393.9500000002</v>
      </c>
      <c r="M112" s="90">
        <v>1081480634.25</v>
      </c>
      <c r="N112" s="90">
        <v>1028957638.3200001</v>
      </c>
      <c r="O112" s="90">
        <v>4892762286.4499998</v>
      </c>
      <c r="P112" s="90">
        <v>1479803087.01</v>
      </c>
      <c r="Q112" s="90">
        <v>201381222.78999999</v>
      </c>
      <c r="R112" s="90">
        <v>-19315.95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0</v>
      </c>
    </row>
    <row r="113" spans="1:26" ht="12.75" customHeight="1" x14ac:dyDescent="0.25">
      <c r="E113" s="89" t="s">
        <v>81</v>
      </c>
      <c r="F113" s="373">
        <v>43503310.090000004</v>
      </c>
      <c r="G113" s="90">
        <v>5204775.18</v>
      </c>
      <c r="H113" s="90">
        <v>2452189.2599999998</v>
      </c>
      <c r="I113" s="90">
        <v>1088195.3899999999</v>
      </c>
      <c r="J113" s="90">
        <v>7935008.8600000003</v>
      </c>
      <c r="K113" s="90">
        <v>278098.06</v>
      </c>
      <c r="L113" s="90">
        <v>1669.26</v>
      </c>
      <c r="M113" s="90">
        <v>2439581.44</v>
      </c>
      <c r="N113" s="90">
        <v>2815332.62</v>
      </c>
      <c r="O113" s="90">
        <v>10614690.380000001</v>
      </c>
      <c r="P113" s="90">
        <v>10213915.619999999</v>
      </c>
      <c r="Q113" s="90">
        <v>453845.12</v>
      </c>
      <c r="R113" s="90">
        <v>6057.83</v>
      </c>
      <c r="S113" s="90">
        <v>-48.93</v>
      </c>
      <c r="T113" s="90">
        <v>0.4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-0.4</v>
      </c>
    </row>
    <row r="114" spans="1:26" ht="12.75" customHeight="1" x14ac:dyDescent="0.25">
      <c r="D114" t="s">
        <v>156</v>
      </c>
      <c r="E114" s="89" t="s">
        <v>70</v>
      </c>
      <c r="F114" s="373">
        <v>13705253661.25</v>
      </c>
      <c r="G114" s="90">
        <v>761037413.80999994</v>
      </c>
      <c r="H114" s="90">
        <v>421547480.44</v>
      </c>
      <c r="I114" s="90">
        <v>223602469.41</v>
      </c>
      <c r="J114" s="90">
        <v>3457814911.52</v>
      </c>
      <c r="K114" s="90">
        <v>123620395.91</v>
      </c>
      <c r="L114" s="90">
        <v>6722063.21</v>
      </c>
      <c r="M114" s="90">
        <v>1083920215.6900001</v>
      </c>
      <c r="N114" s="90">
        <v>1031772970.9400001</v>
      </c>
      <c r="O114" s="90">
        <v>4903376976.8299999</v>
      </c>
      <c r="P114" s="90">
        <v>1490017002.6300001</v>
      </c>
      <c r="Q114" s="90">
        <v>201835067.91</v>
      </c>
      <c r="R114" s="90">
        <v>-13258.12</v>
      </c>
      <c r="S114" s="90">
        <v>-48.93</v>
      </c>
      <c r="T114" s="90">
        <v>0.4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-0.4</v>
      </c>
    </row>
    <row r="115" spans="1:26" s="648" customFormat="1" ht="12.75" customHeight="1" x14ac:dyDescent="0.25">
      <c r="C115" s="648" t="s">
        <v>155</v>
      </c>
      <c r="D115" s="648" t="s">
        <v>70</v>
      </c>
      <c r="E115" s="649"/>
      <c r="F115" s="737">
        <v>13705253661.25</v>
      </c>
      <c r="G115" s="650">
        <v>761037413.80999994</v>
      </c>
      <c r="H115" s="650">
        <v>421547480.44</v>
      </c>
      <c r="I115" s="650">
        <v>223602469.41</v>
      </c>
      <c r="J115" s="650">
        <v>3457814911.52</v>
      </c>
      <c r="K115" s="650">
        <v>123620395.91</v>
      </c>
      <c r="L115" s="650">
        <v>6722063.21</v>
      </c>
      <c r="M115" s="650">
        <v>1083920215.6900001</v>
      </c>
      <c r="N115" s="650">
        <v>1031772970.9400001</v>
      </c>
      <c r="O115" s="650">
        <v>4903376976.8299999</v>
      </c>
      <c r="P115" s="650">
        <v>1490017002.6300001</v>
      </c>
      <c r="Q115" s="650">
        <v>201835067.91</v>
      </c>
      <c r="R115" s="650">
        <v>-13258.12</v>
      </c>
      <c r="S115" s="650">
        <v>-48.93</v>
      </c>
      <c r="T115" s="650">
        <v>0.4</v>
      </c>
      <c r="U115" s="650">
        <v>0</v>
      </c>
      <c r="V115" s="650">
        <v>0</v>
      </c>
      <c r="W115" s="650">
        <v>0</v>
      </c>
      <c r="X115" s="648">
        <v>0</v>
      </c>
      <c r="Y115" s="648">
        <v>0</v>
      </c>
      <c r="Z115" s="648">
        <v>-0.4</v>
      </c>
    </row>
    <row r="116" spans="1:26" ht="12.75" customHeight="1" x14ac:dyDescent="0.25">
      <c r="C116" s="89"/>
      <c r="D116" s="89"/>
      <c r="E116" t="s">
        <v>72</v>
      </c>
      <c r="F116" s="90">
        <v>181427435.33000001</v>
      </c>
      <c r="G116" s="90">
        <v>10584510.26</v>
      </c>
      <c r="H116" s="90">
        <v>5916459.9100000001</v>
      </c>
      <c r="I116" s="90">
        <v>3152733.94</v>
      </c>
      <c r="J116" s="90">
        <v>46302519.359999999</v>
      </c>
      <c r="K116" s="90">
        <v>1141535.98</v>
      </c>
      <c r="L116" s="90">
        <v>0</v>
      </c>
      <c r="M116" s="90">
        <v>10044923.300000001</v>
      </c>
      <c r="N116" s="90">
        <v>14090686.25</v>
      </c>
      <c r="O116" s="90">
        <v>67406988.810000002</v>
      </c>
      <c r="P116" s="90">
        <v>20914641.48</v>
      </c>
      <c r="Q116" s="90">
        <v>1872781.11</v>
      </c>
      <c r="R116" s="90">
        <v>-345.07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C117" s="89"/>
      <c r="D117" s="89"/>
      <c r="E117" t="s">
        <v>81</v>
      </c>
      <c r="F117" s="90">
        <v>1706030.45</v>
      </c>
      <c r="G117" s="90">
        <v>137098.35999999999</v>
      </c>
      <c r="H117" s="90">
        <v>75640.070000000007</v>
      </c>
      <c r="I117" s="90">
        <v>40699.370000000003</v>
      </c>
      <c r="J117" s="90">
        <v>376089.2</v>
      </c>
      <c r="K117" s="90">
        <v>9777.2900000000009</v>
      </c>
      <c r="L117" s="90">
        <v>0</v>
      </c>
      <c r="M117" s="90">
        <v>85995.13</v>
      </c>
      <c r="N117" s="90">
        <v>119953.19</v>
      </c>
      <c r="O117" s="90">
        <v>571427.47</v>
      </c>
      <c r="P117" s="90">
        <v>273296.95</v>
      </c>
      <c r="Q117" s="90">
        <v>16055.78</v>
      </c>
      <c r="R117" s="90">
        <v>-2.36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0</v>
      </c>
    </row>
    <row r="118" spans="1:26" ht="12.75" customHeight="1" x14ac:dyDescent="0.25">
      <c r="D118" t="s">
        <v>82</v>
      </c>
      <c r="E118" s="89" t="s">
        <v>70</v>
      </c>
      <c r="F118" s="90">
        <v>183133465.78</v>
      </c>
      <c r="G118" s="90">
        <v>10721608.619999999</v>
      </c>
      <c r="H118" s="90">
        <v>5992099.9800000004</v>
      </c>
      <c r="I118" s="90">
        <v>3193433.31</v>
      </c>
      <c r="J118" s="90">
        <v>46678608.560000002</v>
      </c>
      <c r="K118" s="90">
        <v>1151313.27</v>
      </c>
      <c r="L118" s="90">
        <v>0</v>
      </c>
      <c r="M118" s="90">
        <v>10130918.43</v>
      </c>
      <c r="N118" s="90">
        <v>14210639.439999999</v>
      </c>
      <c r="O118" s="90">
        <v>67978416.280000001</v>
      </c>
      <c r="P118" s="90">
        <v>21187938.43</v>
      </c>
      <c r="Q118" s="90">
        <v>1888836.89</v>
      </c>
      <c r="R118" s="90">
        <v>-347.43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1:26" ht="12.75" customHeight="1" x14ac:dyDescent="0.25">
      <c r="E119" s="89" t="s">
        <v>72</v>
      </c>
      <c r="F119" s="90">
        <v>142761958.62</v>
      </c>
      <c r="G119" s="90">
        <v>12211948.939999999</v>
      </c>
      <c r="H119" s="90">
        <v>6104267.8399999999</v>
      </c>
      <c r="I119" s="90">
        <v>3105854.09</v>
      </c>
      <c r="J119" s="90">
        <v>29450189.600000001</v>
      </c>
      <c r="K119" s="90">
        <v>882623.55</v>
      </c>
      <c r="L119" s="90">
        <v>153000</v>
      </c>
      <c r="M119" s="90">
        <v>8402166.1199999992</v>
      </c>
      <c r="N119" s="90">
        <v>10201837.970000001</v>
      </c>
      <c r="O119" s="90">
        <v>46509870.380000003</v>
      </c>
      <c r="P119" s="90">
        <v>24294699.300000001</v>
      </c>
      <c r="Q119" s="90">
        <v>1445692.59</v>
      </c>
      <c r="R119" s="90">
        <v>-191.76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0</v>
      </c>
    </row>
    <row r="120" spans="1:26" ht="12.75" customHeight="1" x14ac:dyDescent="0.25">
      <c r="D120" s="89"/>
      <c r="E120" s="89" t="s">
        <v>81</v>
      </c>
      <c r="F120" s="90">
        <v>10391426.359999999</v>
      </c>
      <c r="G120" s="90">
        <v>1454368.35</v>
      </c>
      <c r="H120" s="90">
        <v>688820.37</v>
      </c>
      <c r="I120" s="90">
        <v>324516.98</v>
      </c>
      <c r="J120" s="90">
        <v>1671330.74</v>
      </c>
      <c r="K120" s="90">
        <v>52566.14</v>
      </c>
      <c r="L120" s="90">
        <v>3749.78</v>
      </c>
      <c r="M120" s="90">
        <v>453600.98</v>
      </c>
      <c r="N120" s="90">
        <v>558588.54</v>
      </c>
      <c r="O120" s="90">
        <v>2214574.42</v>
      </c>
      <c r="P120" s="90">
        <v>2883484.82</v>
      </c>
      <c r="Q120" s="90">
        <v>85817.21</v>
      </c>
      <c r="R120" s="90">
        <v>7.31</v>
      </c>
      <c r="S120" s="90">
        <v>0.93</v>
      </c>
      <c r="T120" s="90">
        <v>0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-0.21</v>
      </c>
    </row>
    <row r="121" spans="1:26" ht="12.75" customHeight="1" x14ac:dyDescent="0.25">
      <c r="D121" t="s">
        <v>86</v>
      </c>
      <c r="E121" s="89" t="s">
        <v>70</v>
      </c>
      <c r="F121" s="90">
        <v>153153384.97999999</v>
      </c>
      <c r="G121" s="90">
        <v>13666317.289999999</v>
      </c>
      <c r="H121" s="90">
        <v>6793088.21</v>
      </c>
      <c r="I121" s="90">
        <v>3430371.07</v>
      </c>
      <c r="J121" s="90">
        <v>31121520.34</v>
      </c>
      <c r="K121" s="90">
        <v>935189.69</v>
      </c>
      <c r="L121" s="90">
        <v>156749.78</v>
      </c>
      <c r="M121" s="90">
        <v>8855767.0999999996</v>
      </c>
      <c r="N121" s="90">
        <v>10760426.51</v>
      </c>
      <c r="O121" s="90">
        <v>48724444.799999997</v>
      </c>
      <c r="P121" s="90">
        <v>27178184.120000001</v>
      </c>
      <c r="Q121" s="90">
        <v>1531509.8</v>
      </c>
      <c r="R121" s="90">
        <v>-184.45</v>
      </c>
      <c r="S121" s="90">
        <v>0.93</v>
      </c>
      <c r="T121" s="90">
        <v>0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-0.21</v>
      </c>
    </row>
    <row r="122" spans="1:26" ht="12.75" customHeight="1" x14ac:dyDescent="0.25">
      <c r="E122" s="89" t="s">
        <v>72</v>
      </c>
      <c r="F122" s="90">
        <v>431976797.81999999</v>
      </c>
      <c r="G122" s="90">
        <v>82660193.609999999</v>
      </c>
      <c r="H122" s="90">
        <v>46275318.25</v>
      </c>
      <c r="I122" s="90">
        <v>24557510.260000002</v>
      </c>
      <c r="J122" s="90">
        <v>36957419.270000003</v>
      </c>
      <c r="K122" s="90">
        <v>895809.73</v>
      </c>
      <c r="L122" s="90">
        <v>2914000</v>
      </c>
      <c r="M122" s="90">
        <v>7873505.9100000001</v>
      </c>
      <c r="N122" s="90">
        <v>11116337.92</v>
      </c>
      <c r="O122" s="90">
        <v>53167553.159999996</v>
      </c>
      <c r="P122" s="90">
        <v>164093920.88</v>
      </c>
      <c r="Q122" s="90">
        <v>1465643.88</v>
      </c>
      <c r="R122" s="90">
        <v>-415.05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D123" s="89"/>
      <c r="E123" s="89" t="s">
        <v>81</v>
      </c>
      <c r="F123" s="90">
        <v>23157610.32</v>
      </c>
      <c r="G123" s="90">
        <v>5189724.5199999996</v>
      </c>
      <c r="H123" s="90">
        <v>2863845.82</v>
      </c>
      <c r="I123" s="90">
        <v>1529755.86</v>
      </c>
      <c r="J123" s="90">
        <v>1096539.75</v>
      </c>
      <c r="K123" s="90">
        <v>27121.51</v>
      </c>
      <c r="L123" s="90">
        <v>41522.82</v>
      </c>
      <c r="M123" s="90">
        <v>236988.67</v>
      </c>
      <c r="N123" s="90">
        <v>318251.21000000002</v>
      </c>
      <c r="O123" s="90">
        <v>1500767.57</v>
      </c>
      <c r="P123" s="90">
        <v>10365083.59</v>
      </c>
      <c r="Q123" s="90">
        <v>44268.21</v>
      </c>
      <c r="R123" s="90">
        <v>0.39</v>
      </c>
      <c r="S123" s="90">
        <v>-56259.6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87</v>
      </c>
      <c r="E124" s="89" t="s">
        <v>70</v>
      </c>
      <c r="F124" s="90">
        <v>455134408.13999999</v>
      </c>
      <c r="G124" s="90">
        <v>87849918.129999995</v>
      </c>
      <c r="H124" s="90">
        <v>49139164.07</v>
      </c>
      <c r="I124" s="90">
        <v>26087266.120000001</v>
      </c>
      <c r="J124" s="90">
        <v>38053959.020000003</v>
      </c>
      <c r="K124" s="90">
        <v>922931.24</v>
      </c>
      <c r="L124" s="90">
        <v>2955522.82</v>
      </c>
      <c r="M124" s="90">
        <v>8110494.5800000001</v>
      </c>
      <c r="N124" s="90">
        <v>11434589.130000001</v>
      </c>
      <c r="O124" s="90">
        <v>54668320.729999997</v>
      </c>
      <c r="P124" s="90">
        <v>174459004.47</v>
      </c>
      <c r="Q124" s="90">
        <v>1509912.09</v>
      </c>
      <c r="R124" s="90">
        <v>-414.66</v>
      </c>
      <c r="S124" s="90">
        <v>-56259.6</v>
      </c>
      <c r="T124" s="90">
        <v>0</v>
      </c>
      <c r="U124" s="90">
        <v>0</v>
      </c>
      <c r="V124" s="90">
        <v>0</v>
      </c>
      <c r="W124" s="90">
        <v>0</v>
      </c>
      <c r="X124">
        <v>0</v>
      </c>
      <c r="Y124">
        <v>0</v>
      </c>
      <c r="Z124">
        <v>0</v>
      </c>
    </row>
    <row r="125" spans="1:26" s="94" customFormat="1" ht="12.75" customHeight="1" x14ac:dyDescent="0.25">
      <c r="C125" s="94" t="s">
        <v>119</v>
      </c>
      <c r="D125" s="94" t="s">
        <v>70</v>
      </c>
      <c r="E125" s="101"/>
      <c r="F125" s="93">
        <v>791421258.89999998</v>
      </c>
      <c r="G125" s="93">
        <v>112237844.04000001</v>
      </c>
      <c r="H125" s="93">
        <v>61924352.259999998</v>
      </c>
      <c r="I125" s="93">
        <v>32711070.5</v>
      </c>
      <c r="J125" s="93">
        <v>115854087.92</v>
      </c>
      <c r="K125" s="93">
        <v>3009434.2</v>
      </c>
      <c r="L125" s="93">
        <v>3112272.6</v>
      </c>
      <c r="M125" s="93">
        <v>27097180.109999999</v>
      </c>
      <c r="N125" s="93">
        <v>36405655.079999998</v>
      </c>
      <c r="O125" s="93">
        <v>171371181.81</v>
      </c>
      <c r="P125" s="93">
        <v>222825127.02000001</v>
      </c>
      <c r="Q125" s="93">
        <v>4930258.78</v>
      </c>
      <c r="R125" s="93">
        <v>-946.54</v>
      </c>
      <c r="S125" s="93">
        <v>-56258.67</v>
      </c>
      <c r="T125" s="93">
        <v>0</v>
      </c>
      <c r="U125" s="93">
        <v>0</v>
      </c>
      <c r="V125" s="93">
        <v>0</v>
      </c>
      <c r="W125" s="93">
        <v>0</v>
      </c>
      <c r="X125" s="94">
        <v>0</v>
      </c>
      <c r="Y125" s="94">
        <v>0</v>
      </c>
      <c r="Z125" s="94">
        <v>-0.21</v>
      </c>
    </row>
    <row r="126" spans="1:26" s="226" customFormat="1" ht="12.75" customHeight="1" x14ac:dyDescent="0.25">
      <c r="B126" s="98" t="s">
        <v>112</v>
      </c>
      <c r="C126" s="98" t="s">
        <v>70</v>
      </c>
      <c r="F126" s="100">
        <v>14496674920.15</v>
      </c>
      <c r="G126" s="100">
        <v>873275257.85000002</v>
      </c>
      <c r="H126" s="100">
        <v>483471832.69999999</v>
      </c>
      <c r="I126" s="100">
        <v>256313539.91</v>
      </c>
      <c r="J126" s="100">
        <v>3573668999.4400001</v>
      </c>
      <c r="K126" s="100">
        <v>126629830.11</v>
      </c>
      <c r="L126" s="100">
        <v>9834335.8100000005</v>
      </c>
      <c r="M126" s="100">
        <v>1111017395.8</v>
      </c>
      <c r="N126" s="100">
        <v>1068178626.02</v>
      </c>
      <c r="O126" s="100">
        <v>5074748158.6400003</v>
      </c>
      <c r="P126" s="100">
        <v>1712842129.6500001</v>
      </c>
      <c r="Q126" s="100">
        <v>206765326.69</v>
      </c>
      <c r="R126" s="100">
        <v>-14204.66</v>
      </c>
      <c r="S126" s="100">
        <v>-56307.6</v>
      </c>
      <c r="T126" s="100">
        <v>0.4</v>
      </c>
      <c r="U126" s="100">
        <v>0</v>
      </c>
      <c r="V126" s="100">
        <v>0</v>
      </c>
      <c r="W126" s="100">
        <v>0</v>
      </c>
      <c r="X126" s="226">
        <v>0</v>
      </c>
      <c r="Y126" s="226">
        <v>0</v>
      </c>
      <c r="Z126" s="226">
        <v>-0.61</v>
      </c>
    </row>
    <row r="127" spans="1:26" ht="12.75" customHeight="1" x14ac:dyDescent="0.25">
      <c r="A127" t="s">
        <v>78</v>
      </c>
      <c r="B127" s="89" t="s">
        <v>70</v>
      </c>
      <c r="C127" s="89"/>
      <c r="F127" s="90">
        <v>14508429002.77</v>
      </c>
      <c r="G127" s="90">
        <v>873927095.10000002</v>
      </c>
      <c r="H127" s="90">
        <v>483839093.80000001</v>
      </c>
      <c r="I127" s="90">
        <v>256509805.05000001</v>
      </c>
      <c r="J127" s="90">
        <v>3576605065.9499998</v>
      </c>
      <c r="K127" s="90">
        <v>126709102.81999999</v>
      </c>
      <c r="L127" s="90">
        <v>9834335.8100000005</v>
      </c>
      <c r="M127" s="90">
        <v>1111712771.21</v>
      </c>
      <c r="N127" s="90">
        <v>1069104499.99</v>
      </c>
      <c r="O127" s="90">
        <v>5079224593.2200003</v>
      </c>
      <c r="P127" s="90">
        <v>1714137346.5799999</v>
      </c>
      <c r="Q127" s="90">
        <v>206895907.30000001</v>
      </c>
      <c r="R127" s="90">
        <v>-14306.29</v>
      </c>
      <c r="S127" s="90">
        <v>-56307.56</v>
      </c>
      <c r="T127" s="90">
        <v>0.4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-0.61</v>
      </c>
    </row>
    <row r="128" spans="1:26" ht="12.75" customHeight="1" x14ac:dyDescent="0.25">
      <c r="B128" s="89"/>
      <c r="C128" s="89"/>
      <c r="E128" t="s">
        <v>73</v>
      </c>
      <c r="F128" s="373">
        <v>-1847120.08</v>
      </c>
      <c r="G128" s="90">
        <v>-41622.42</v>
      </c>
      <c r="H128" s="90">
        <v>-23430.87</v>
      </c>
      <c r="I128" s="90">
        <v>-12462.7</v>
      </c>
      <c r="J128" s="90">
        <v>-536355.47</v>
      </c>
      <c r="K128" s="90">
        <v>-14426.8</v>
      </c>
      <c r="L128" s="90">
        <v>0</v>
      </c>
      <c r="M128" s="90">
        <v>-126553.75</v>
      </c>
      <c r="N128" s="90">
        <v>-170997.82</v>
      </c>
      <c r="O128" s="90">
        <v>-815702.14</v>
      </c>
      <c r="P128" s="90">
        <v>-82029.149999999994</v>
      </c>
      <c r="Q128" s="90">
        <v>-23538.959999999999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2:26" ht="12.75" customHeight="1" x14ac:dyDescent="0.25">
      <c r="B129" s="89"/>
      <c r="C129" s="89"/>
      <c r="D129" t="s">
        <v>156</v>
      </c>
      <c r="E129" t="s">
        <v>70</v>
      </c>
      <c r="F129" s="373">
        <v>-1847120.08</v>
      </c>
      <c r="G129" s="90">
        <v>-41622.42</v>
      </c>
      <c r="H129" s="90">
        <v>-23430.87</v>
      </c>
      <c r="I129" s="90">
        <v>-12462.7</v>
      </c>
      <c r="J129" s="90">
        <v>-536355.47</v>
      </c>
      <c r="K129" s="90">
        <v>-14426.8</v>
      </c>
      <c r="L129" s="90">
        <v>0</v>
      </c>
      <c r="M129" s="90">
        <v>-126553.75</v>
      </c>
      <c r="N129" s="90">
        <v>-170997.82</v>
      </c>
      <c r="O129" s="90">
        <v>-815702.14</v>
      </c>
      <c r="P129" s="90">
        <v>-82029.149999999994</v>
      </c>
      <c r="Q129" s="90">
        <v>-23538.959999999999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2:26" s="648" customFormat="1" ht="12.75" customHeight="1" x14ac:dyDescent="0.25">
      <c r="C130" s="648" t="s">
        <v>155</v>
      </c>
      <c r="D130" s="648" t="s">
        <v>70</v>
      </c>
      <c r="F130" s="738">
        <v>-1847120.08</v>
      </c>
      <c r="G130" s="649">
        <v>-41622.42</v>
      </c>
      <c r="H130" s="649">
        <v>-23430.87</v>
      </c>
      <c r="I130" s="739">
        <v>-12462.7</v>
      </c>
      <c r="J130" s="649">
        <v>-536355.47</v>
      </c>
      <c r="K130" s="649">
        <v>-14426.8</v>
      </c>
      <c r="L130" s="649">
        <v>0</v>
      </c>
      <c r="M130" s="649">
        <v>-126553.75</v>
      </c>
      <c r="N130" s="649">
        <v>-170997.82</v>
      </c>
      <c r="O130" s="649">
        <v>-815702.14</v>
      </c>
      <c r="P130" s="649">
        <v>-82029.149999999994</v>
      </c>
      <c r="Q130" s="649">
        <v>-23538.959999999999</v>
      </c>
      <c r="R130" s="649">
        <v>0</v>
      </c>
      <c r="S130" s="649">
        <v>0</v>
      </c>
      <c r="T130" s="649">
        <v>0</v>
      </c>
      <c r="U130" s="649">
        <v>0</v>
      </c>
      <c r="V130" s="649">
        <v>0</v>
      </c>
      <c r="W130" s="649">
        <v>0</v>
      </c>
      <c r="X130" s="648">
        <v>0</v>
      </c>
      <c r="Y130" s="649">
        <v>0</v>
      </c>
      <c r="Z130" s="649">
        <v>0</v>
      </c>
    </row>
    <row r="131" spans="2:26" ht="12.75" customHeight="1" x14ac:dyDescent="0.25">
      <c r="B131" s="89"/>
      <c r="C131" s="89"/>
      <c r="E131" t="s">
        <v>73</v>
      </c>
      <c r="F131" s="373">
        <v>-201988.54</v>
      </c>
      <c r="G131" s="90">
        <v>-8468.4</v>
      </c>
      <c r="H131" s="90">
        <v>-4779.72</v>
      </c>
      <c r="I131" s="90">
        <v>-2537.71</v>
      </c>
      <c r="J131" s="90">
        <v>-48035.81</v>
      </c>
      <c r="K131" s="90">
        <v>-1399.98</v>
      </c>
      <c r="L131" s="90">
        <v>0</v>
      </c>
      <c r="M131" s="90">
        <v>-12280.41</v>
      </c>
      <c r="N131" s="90">
        <v>-18374.759999999998</v>
      </c>
      <c r="O131" s="90">
        <v>-88315.61</v>
      </c>
      <c r="P131" s="90">
        <v>-15511.98</v>
      </c>
      <c r="Q131" s="90">
        <v>-2284.16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2:26" ht="12.75" customHeight="1" x14ac:dyDescent="0.25">
      <c r="B132" s="89"/>
      <c r="C132" s="89"/>
      <c r="D132" t="s">
        <v>86</v>
      </c>
      <c r="E132" t="s">
        <v>70</v>
      </c>
      <c r="F132" s="373">
        <v>-201988.54</v>
      </c>
      <c r="G132" s="90">
        <v>-8468.4</v>
      </c>
      <c r="H132" s="90">
        <v>-4779.72</v>
      </c>
      <c r="I132" s="90">
        <v>-2537.71</v>
      </c>
      <c r="J132" s="90">
        <v>-48035.81</v>
      </c>
      <c r="K132" s="90">
        <v>-1399.98</v>
      </c>
      <c r="L132" s="90">
        <v>0</v>
      </c>
      <c r="M132" s="90">
        <v>-12280.41</v>
      </c>
      <c r="N132" s="90">
        <v>-18374.759999999998</v>
      </c>
      <c r="O132" s="90">
        <v>-88315.61</v>
      </c>
      <c r="P132" s="90">
        <v>-15511.98</v>
      </c>
      <c r="Q132" s="90">
        <v>-2284.16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2:26" s="94" customFormat="1" ht="12.75" customHeight="1" x14ac:dyDescent="0.25">
      <c r="C133" s="94" t="s">
        <v>119</v>
      </c>
      <c r="D133" s="94" t="s">
        <v>70</v>
      </c>
      <c r="E133" s="101"/>
      <c r="F133" s="93">
        <v>-201988.54</v>
      </c>
      <c r="G133" s="93">
        <v>-8468.4</v>
      </c>
      <c r="H133" s="93">
        <v>-4779.72</v>
      </c>
      <c r="I133" s="93">
        <v>-2537.71</v>
      </c>
      <c r="J133" s="93">
        <v>-48035.81</v>
      </c>
      <c r="K133" s="93">
        <v>-1399.98</v>
      </c>
      <c r="L133" s="93">
        <v>0</v>
      </c>
      <c r="M133" s="93">
        <v>-12280.41</v>
      </c>
      <c r="N133" s="93">
        <v>-18374.759999999998</v>
      </c>
      <c r="O133" s="93">
        <v>-88315.61</v>
      </c>
      <c r="P133" s="93">
        <v>-15511.98</v>
      </c>
      <c r="Q133" s="93">
        <v>-2284.16</v>
      </c>
      <c r="R133" s="93">
        <v>0</v>
      </c>
      <c r="S133" s="93">
        <v>0</v>
      </c>
      <c r="T133" s="93">
        <v>0</v>
      </c>
      <c r="U133" s="93">
        <v>0</v>
      </c>
      <c r="V133" s="93">
        <v>0</v>
      </c>
      <c r="W133" s="93">
        <v>0</v>
      </c>
      <c r="X133" s="94">
        <v>0</v>
      </c>
      <c r="Y133" s="94">
        <v>0</v>
      </c>
      <c r="Z133" s="94">
        <v>0</v>
      </c>
    </row>
    <row r="134" spans="2:26" s="763" customFormat="1" ht="12.75" customHeight="1" x14ac:dyDescent="0.25">
      <c r="B134" s="764" t="s">
        <v>122</v>
      </c>
      <c r="C134" s="764" t="s">
        <v>70</v>
      </c>
      <c r="F134" s="765">
        <v>-2049108.62</v>
      </c>
      <c r="G134" s="766">
        <v>-50090.82</v>
      </c>
      <c r="H134" s="766">
        <v>-28210.59</v>
      </c>
      <c r="I134" s="766">
        <v>-15000.41</v>
      </c>
      <c r="J134" s="766">
        <v>-584391.28</v>
      </c>
      <c r="K134" s="766">
        <v>-15826.78</v>
      </c>
      <c r="L134" s="766">
        <v>0</v>
      </c>
      <c r="M134" s="766">
        <v>-138834.16</v>
      </c>
      <c r="N134" s="766">
        <v>-189372.58</v>
      </c>
      <c r="O134" s="766">
        <v>-904017.75</v>
      </c>
      <c r="P134" s="766">
        <v>-97541.13</v>
      </c>
      <c r="Q134" s="766">
        <v>-25823.119999999999</v>
      </c>
      <c r="R134" s="766">
        <v>0</v>
      </c>
      <c r="S134" s="766">
        <v>0</v>
      </c>
      <c r="T134" s="766">
        <v>0</v>
      </c>
      <c r="U134" s="766">
        <v>0</v>
      </c>
      <c r="V134" s="766">
        <v>0</v>
      </c>
      <c r="W134" s="766">
        <v>0</v>
      </c>
      <c r="X134" s="763">
        <v>0</v>
      </c>
      <c r="Y134" s="763">
        <v>0</v>
      </c>
      <c r="Z134" s="763">
        <v>0</v>
      </c>
    </row>
    <row r="135" spans="2:26" ht="12.75" customHeight="1" x14ac:dyDescent="0.25">
      <c r="D135" s="89"/>
      <c r="E135" s="89" t="s">
        <v>73</v>
      </c>
      <c r="F135" s="373">
        <v>-3418096950.8499999</v>
      </c>
      <c r="G135" s="90">
        <v>-80551589.049999997</v>
      </c>
      <c r="H135" s="90">
        <v>-44758246.609999999</v>
      </c>
      <c r="I135" s="90">
        <v>-23754776.07</v>
      </c>
      <c r="J135" s="90">
        <v>-998699664.63999999</v>
      </c>
      <c r="K135" s="90">
        <v>-35677156.359999999</v>
      </c>
      <c r="L135" s="90">
        <v>0</v>
      </c>
      <c r="M135" s="90">
        <v>-312988590.06999999</v>
      </c>
      <c r="N135" s="90">
        <v>-297678949.49000001</v>
      </c>
      <c r="O135" s="90">
        <v>-1416154010.96</v>
      </c>
      <c r="P135" s="90">
        <v>-149621658.44</v>
      </c>
      <c r="Q135" s="90">
        <v>-58212309.159999996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2:26" ht="12.75" customHeight="1" x14ac:dyDescent="0.25">
      <c r="D136" s="89" t="s">
        <v>156</v>
      </c>
      <c r="E136" s="89" t="s">
        <v>70</v>
      </c>
      <c r="F136" s="373">
        <v>-3418096950.8499999</v>
      </c>
      <c r="G136" s="90">
        <v>-80551589.049999997</v>
      </c>
      <c r="H136" s="90">
        <v>-44758246.609999999</v>
      </c>
      <c r="I136" s="90">
        <v>-23754776.07</v>
      </c>
      <c r="J136" s="90">
        <v>-998699664.63999999</v>
      </c>
      <c r="K136" s="90">
        <v>-35677156.359999999</v>
      </c>
      <c r="L136" s="90">
        <v>0</v>
      </c>
      <c r="M136" s="90">
        <v>-312988590.06999999</v>
      </c>
      <c r="N136" s="90">
        <v>-297678949.49000001</v>
      </c>
      <c r="O136" s="90">
        <v>-1416154010.96</v>
      </c>
      <c r="P136" s="90">
        <v>-149621658.44</v>
      </c>
      <c r="Q136" s="90">
        <v>-58212309.159999996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2:26" s="648" customFormat="1" ht="12.75" customHeight="1" x14ac:dyDescent="0.25">
      <c r="C137" s="648" t="s">
        <v>155</v>
      </c>
      <c r="D137" s="649" t="s">
        <v>70</v>
      </c>
      <c r="E137" s="649"/>
      <c r="F137" s="737">
        <v>-3418096950.8499999</v>
      </c>
      <c r="G137" s="650">
        <v>-80551589.049999997</v>
      </c>
      <c r="H137" s="650">
        <v>-44758246.609999999</v>
      </c>
      <c r="I137" s="650">
        <v>-23754776.07</v>
      </c>
      <c r="J137" s="650">
        <v>-998699664.63999999</v>
      </c>
      <c r="K137" s="650">
        <v>-35677156.359999999</v>
      </c>
      <c r="L137" s="650">
        <v>0</v>
      </c>
      <c r="M137" s="650">
        <v>-312988590.06999999</v>
      </c>
      <c r="N137" s="650">
        <v>-297678949.49000001</v>
      </c>
      <c r="O137" s="650">
        <v>-1416154010.96</v>
      </c>
      <c r="P137" s="650">
        <v>-149621658.44</v>
      </c>
      <c r="Q137" s="650">
        <v>-58212309.159999996</v>
      </c>
      <c r="R137" s="650">
        <v>0</v>
      </c>
      <c r="S137" s="650">
        <v>0</v>
      </c>
      <c r="T137" s="650">
        <v>0</v>
      </c>
      <c r="U137" s="650">
        <v>0</v>
      </c>
      <c r="V137" s="650">
        <v>0</v>
      </c>
      <c r="W137" s="650">
        <v>0</v>
      </c>
      <c r="X137" s="648">
        <v>0</v>
      </c>
      <c r="Y137" s="648">
        <v>0</v>
      </c>
      <c r="Z137" s="648">
        <v>0</v>
      </c>
    </row>
    <row r="138" spans="2:26" ht="12.75" customHeight="1" x14ac:dyDescent="0.25">
      <c r="E138" s="89" t="s">
        <v>73</v>
      </c>
      <c r="F138" s="90">
        <v>-31088475.780000001</v>
      </c>
      <c r="G138" s="90">
        <v>-571585.5</v>
      </c>
      <c r="H138" s="90">
        <v>-323201.34999999998</v>
      </c>
      <c r="I138" s="90">
        <v>-169745.15</v>
      </c>
      <c r="J138" s="90">
        <v>-9735003.8800000008</v>
      </c>
      <c r="K138" s="90">
        <v>-231454.24</v>
      </c>
      <c r="L138" s="90">
        <v>0</v>
      </c>
      <c r="M138" s="90">
        <v>-2030358.96</v>
      </c>
      <c r="N138" s="90">
        <v>-2877942.98</v>
      </c>
      <c r="O138" s="90">
        <v>-13713070.220000001</v>
      </c>
      <c r="P138" s="90">
        <v>-1058460.3500000001</v>
      </c>
      <c r="Q138" s="90">
        <v>-377653.15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2:26" ht="12.75" customHeight="1" x14ac:dyDescent="0.25">
      <c r="D139" s="89" t="s">
        <v>82</v>
      </c>
      <c r="E139" s="89" t="s">
        <v>70</v>
      </c>
      <c r="F139" s="90">
        <v>-31088475.780000001</v>
      </c>
      <c r="G139" s="90">
        <v>-571585.5</v>
      </c>
      <c r="H139" s="90">
        <v>-323201.34999999998</v>
      </c>
      <c r="I139" s="90">
        <v>-169745.15</v>
      </c>
      <c r="J139" s="90">
        <v>-9735003.8800000008</v>
      </c>
      <c r="K139" s="90">
        <v>-231454.24</v>
      </c>
      <c r="L139" s="90">
        <v>0</v>
      </c>
      <c r="M139" s="90">
        <v>-2030358.96</v>
      </c>
      <c r="N139" s="90">
        <v>-2877942.98</v>
      </c>
      <c r="O139" s="90">
        <v>-13713070.220000001</v>
      </c>
      <c r="P139" s="90">
        <v>-1058460.3500000001</v>
      </c>
      <c r="Q139" s="90">
        <v>-377653.15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2:26" ht="12.75" customHeight="1" x14ac:dyDescent="0.25">
      <c r="E140" s="89" t="s">
        <v>73</v>
      </c>
      <c r="F140" s="90">
        <v>-14182098.83</v>
      </c>
      <c r="G140" s="90">
        <v>1047560.36</v>
      </c>
      <c r="H140" s="90">
        <v>426887.4</v>
      </c>
      <c r="I140" s="90">
        <v>174177.04</v>
      </c>
      <c r="J140" s="90">
        <v>-6027627.3300000001</v>
      </c>
      <c r="K140" s="90">
        <v>-184901.07</v>
      </c>
      <c r="L140" s="90">
        <v>0</v>
      </c>
      <c r="M140" s="90">
        <v>-1611487.73</v>
      </c>
      <c r="N140" s="90">
        <v>-1961629.86</v>
      </c>
      <c r="O140" s="90">
        <v>-8029657.6100000003</v>
      </c>
      <c r="P140" s="90">
        <v>2286263.23</v>
      </c>
      <c r="Q140" s="90">
        <v>-301683.26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2:26" ht="12.75" customHeight="1" x14ac:dyDescent="0.25">
      <c r="D141" s="89" t="s">
        <v>86</v>
      </c>
      <c r="E141" s="89" t="s">
        <v>70</v>
      </c>
      <c r="F141" s="90">
        <v>-14182098.83</v>
      </c>
      <c r="G141" s="90">
        <v>1047560.36</v>
      </c>
      <c r="H141" s="90">
        <v>426887.4</v>
      </c>
      <c r="I141" s="90">
        <v>174177.04</v>
      </c>
      <c r="J141" s="90">
        <v>-6027627.3300000001</v>
      </c>
      <c r="K141" s="90">
        <v>-184901.07</v>
      </c>
      <c r="L141" s="90">
        <v>0</v>
      </c>
      <c r="M141" s="90">
        <v>-1611487.73</v>
      </c>
      <c r="N141" s="90">
        <v>-1961629.86</v>
      </c>
      <c r="O141" s="90">
        <v>-8029657.6100000003</v>
      </c>
      <c r="P141" s="90">
        <v>2286263.23</v>
      </c>
      <c r="Q141" s="90">
        <v>-301683.26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2:26" ht="12.75" customHeight="1" x14ac:dyDescent="0.25">
      <c r="E142" s="89" t="s">
        <v>73</v>
      </c>
      <c r="F142" s="90">
        <v>195871960.86000001</v>
      </c>
      <c r="G142" s="90">
        <v>49845911.240000002</v>
      </c>
      <c r="H142" s="90">
        <v>28086644.109999999</v>
      </c>
      <c r="I142" s="90">
        <v>14936846.68</v>
      </c>
      <c r="J142" s="90">
        <v>1502048.34</v>
      </c>
      <c r="K142" s="90">
        <v>29601.67</v>
      </c>
      <c r="L142" s="90">
        <v>0</v>
      </c>
      <c r="M142" s="90">
        <v>250884.17</v>
      </c>
      <c r="N142" s="90">
        <v>327364.28999999998</v>
      </c>
      <c r="O142" s="90">
        <v>1552212.7</v>
      </c>
      <c r="P142" s="90">
        <v>99292242.280000001</v>
      </c>
      <c r="Q142" s="90">
        <v>48205.38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2:26" ht="12.75" customHeight="1" x14ac:dyDescent="0.25">
      <c r="D143" s="89" t="s">
        <v>87</v>
      </c>
      <c r="E143" s="89" t="s">
        <v>70</v>
      </c>
      <c r="F143" s="90">
        <v>195871960.86000001</v>
      </c>
      <c r="G143" s="90">
        <v>49845911.240000002</v>
      </c>
      <c r="H143" s="90">
        <v>28086644.109999999</v>
      </c>
      <c r="I143" s="90">
        <v>14936846.68</v>
      </c>
      <c r="J143" s="90">
        <v>1502048.34</v>
      </c>
      <c r="K143" s="90">
        <v>29601.67</v>
      </c>
      <c r="L143" s="90">
        <v>0</v>
      </c>
      <c r="M143" s="90">
        <v>250884.17</v>
      </c>
      <c r="N143" s="90">
        <v>327364.28999999998</v>
      </c>
      <c r="O143" s="90">
        <v>1552212.7</v>
      </c>
      <c r="P143" s="90">
        <v>99292242.280000001</v>
      </c>
      <c r="Q143" s="90">
        <v>48205.38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2:26" s="94" customFormat="1" ht="12.75" customHeight="1" x14ac:dyDescent="0.25">
      <c r="C144" s="101" t="s">
        <v>119</v>
      </c>
      <c r="D144" s="101" t="s">
        <v>70</v>
      </c>
      <c r="F144" s="93">
        <v>150601386.25</v>
      </c>
      <c r="G144" s="93">
        <v>50321886.100000001</v>
      </c>
      <c r="H144" s="93">
        <v>28190330.16</v>
      </c>
      <c r="I144" s="93">
        <v>14941278.57</v>
      </c>
      <c r="J144" s="93">
        <v>-14260582.869999999</v>
      </c>
      <c r="K144" s="93">
        <v>-386753.64</v>
      </c>
      <c r="L144" s="93">
        <v>0</v>
      </c>
      <c r="M144" s="93">
        <v>-3390962.52</v>
      </c>
      <c r="N144" s="93">
        <v>-4512208.55</v>
      </c>
      <c r="O144" s="93">
        <v>-20190515.129999999</v>
      </c>
      <c r="P144" s="93">
        <v>100520045.16</v>
      </c>
      <c r="Q144" s="93">
        <v>-631131.03</v>
      </c>
      <c r="R144" s="93">
        <v>0</v>
      </c>
      <c r="S144" s="93">
        <v>0</v>
      </c>
      <c r="T144" s="93">
        <v>0</v>
      </c>
      <c r="U144" s="93">
        <v>0</v>
      </c>
      <c r="V144" s="93">
        <v>0</v>
      </c>
      <c r="W144" s="93">
        <v>0</v>
      </c>
      <c r="X144" s="94">
        <v>0</v>
      </c>
      <c r="Y144" s="94">
        <v>0</v>
      </c>
      <c r="Z144" s="94">
        <v>0</v>
      </c>
    </row>
    <row r="145" spans="1:26" s="226" customFormat="1" ht="12.75" customHeight="1" x14ac:dyDescent="0.25">
      <c r="B145" s="98" t="s">
        <v>112</v>
      </c>
      <c r="C145" s="98" t="s">
        <v>70</v>
      </c>
      <c r="F145" s="100">
        <v>-3267495564.5999999</v>
      </c>
      <c r="G145" s="100">
        <v>-30229702.949999999</v>
      </c>
      <c r="H145" s="100">
        <v>-16567916.449999999</v>
      </c>
      <c r="I145" s="100">
        <v>-8813497.5</v>
      </c>
      <c r="J145" s="100">
        <v>-1012960247.51</v>
      </c>
      <c r="K145" s="100">
        <v>-36063910</v>
      </c>
      <c r="L145" s="100">
        <v>0</v>
      </c>
      <c r="M145" s="100">
        <v>-316379552.58999997</v>
      </c>
      <c r="N145" s="100">
        <v>-302191158.04000002</v>
      </c>
      <c r="O145" s="100">
        <v>-1436344526.0899999</v>
      </c>
      <c r="P145" s="100">
        <v>-49101613.280000001</v>
      </c>
      <c r="Q145" s="100">
        <v>-58843440.189999998</v>
      </c>
      <c r="R145" s="100">
        <v>0</v>
      </c>
      <c r="S145" s="100">
        <v>0</v>
      </c>
      <c r="T145" s="100">
        <v>0</v>
      </c>
      <c r="U145" s="100">
        <v>0</v>
      </c>
      <c r="V145" s="100">
        <v>0</v>
      </c>
      <c r="W145" s="100">
        <v>0</v>
      </c>
      <c r="X145" s="226">
        <v>0</v>
      </c>
      <c r="Y145" s="226">
        <v>0</v>
      </c>
      <c r="Z145" s="226">
        <v>0</v>
      </c>
    </row>
    <row r="146" spans="1:26" ht="12.75" customHeight="1" x14ac:dyDescent="0.25">
      <c r="A146" s="89" t="s">
        <v>79</v>
      </c>
      <c r="B146" s="89" t="s">
        <v>70</v>
      </c>
      <c r="F146" s="90">
        <v>-3269544673.2199998</v>
      </c>
      <c r="G146" s="90">
        <v>-30279793.77</v>
      </c>
      <c r="H146" s="90">
        <v>-16596127.039999999</v>
      </c>
      <c r="I146" s="90">
        <v>-8828497.9100000001</v>
      </c>
      <c r="J146" s="90">
        <v>-1013544638.79</v>
      </c>
      <c r="K146" s="90">
        <v>-36079736.780000001</v>
      </c>
      <c r="L146" s="90">
        <v>0</v>
      </c>
      <c r="M146" s="90">
        <v>-316518386.75</v>
      </c>
      <c r="N146" s="90">
        <v>-302380530.62</v>
      </c>
      <c r="O146" s="90">
        <v>-1437248543.8399999</v>
      </c>
      <c r="P146" s="90">
        <v>-49199154.409999996</v>
      </c>
      <c r="Q146" s="90">
        <v>-58869263.310000002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>
        <v>0</v>
      </c>
      <c r="Y146">
        <v>0</v>
      </c>
      <c r="Z146">
        <v>0</v>
      </c>
    </row>
    <row r="147" spans="1:26" ht="12.75" customHeight="1" x14ac:dyDescent="0.25">
      <c r="A147" s="89" t="s">
        <v>70</v>
      </c>
      <c r="F147" s="90">
        <v>11238640614.9</v>
      </c>
      <c r="G147" s="90">
        <v>843626350.30999994</v>
      </c>
      <c r="H147" s="90">
        <v>467234066.25999999</v>
      </c>
      <c r="I147" s="90">
        <v>247677420.33000001</v>
      </c>
      <c r="J147" s="90">
        <v>2563011989.3600001</v>
      </c>
      <c r="K147" s="90">
        <v>90627303.060000002</v>
      </c>
      <c r="L147" s="90">
        <v>9834335.8100000005</v>
      </c>
      <c r="M147" s="90">
        <v>795176288.37</v>
      </c>
      <c r="N147" s="90">
        <v>766701280.54999995</v>
      </c>
      <c r="O147" s="90">
        <v>3641899856.2800002</v>
      </c>
      <c r="P147" s="90">
        <v>1664899060.9300001</v>
      </c>
      <c r="Q147" s="90">
        <v>148023277.69999999</v>
      </c>
      <c r="R147" s="90">
        <v>-14306.29</v>
      </c>
      <c r="S147" s="90">
        <v>-56307.56</v>
      </c>
      <c r="T147" s="90">
        <v>0.4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-0.61</v>
      </c>
    </row>
    <row r="148" spans="1:26" ht="12.75" customHeight="1" x14ac:dyDescent="0.25">
      <c r="A148" s="89"/>
      <c r="D148" s="89"/>
      <c r="E148" s="89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26" ht="12.75" customHeight="1" x14ac:dyDescent="0.25">
      <c r="A149" s="89"/>
      <c r="C149" s="89"/>
      <c r="D149" s="89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26" ht="12.75" hidden="1" customHeight="1" x14ac:dyDescent="0.25">
      <c r="A150" s="89"/>
      <c r="E150" s="89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26" ht="12.75" hidden="1" customHeight="1" x14ac:dyDescent="0.25">
      <c r="A151" s="89"/>
      <c r="D151" s="89"/>
      <c r="E151" s="89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26" ht="12.75" hidden="1" customHeight="1" x14ac:dyDescent="0.25">
      <c r="A152" s="89"/>
      <c r="E152" s="89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26" ht="12.75" hidden="1" customHeight="1" x14ac:dyDescent="0.25">
      <c r="A153" s="89"/>
      <c r="D153" s="89"/>
      <c r="E153" s="89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26" ht="12.75" hidden="1" customHeight="1" x14ac:dyDescent="0.25">
      <c r="A154" s="89"/>
      <c r="E154" s="89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26" ht="12.75" hidden="1" customHeight="1" x14ac:dyDescent="0.25">
      <c r="A155" s="89"/>
      <c r="D155" s="89"/>
      <c r="E155" s="89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26" ht="12.75" hidden="1" customHeight="1" x14ac:dyDescent="0.25">
      <c r="A156" s="89"/>
      <c r="C156" s="89"/>
      <c r="D156" s="89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26" ht="12.75" hidden="1" customHeight="1" x14ac:dyDescent="0.25">
      <c r="A157" s="89"/>
      <c r="B157" s="89"/>
      <c r="C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26" ht="12.75" hidden="1" customHeight="1" x14ac:dyDescent="0.25">
      <c r="A158" s="89"/>
      <c r="B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26" ht="12.75" hidden="1" customHeight="1" x14ac:dyDescent="0.25">
      <c r="A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26" ht="12.75" hidden="1" customHeight="1" x14ac:dyDescent="0.25">
      <c r="A160" s="89"/>
      <c r="B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42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42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42" ht="12.75" hidden="1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42" ht="12.75" hidden="1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42" ht="12.75" hidden="1" customHeight="1" x14ac:dyDescent="0.25">
      <c r="A181" s="89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1:42" ht="12.75" hidden="1" customHeight="1" x14ac:dyDescent="0.25">
      <c r="A182" s="89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42" ht="12.75" hidden="1" customHeight="1" x14ac:dyDescent="0.25">
      <c r="A183" s="89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1:42" ht="12.75" hidden="1" customHeight="1" x14ac:dyDescent="0.25">
      <c r="A184" s="89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42" ht="12.75" hidden="1" customHeight="1" x14ac:dyDescent="0.25">
      <c r="A185" s="89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42" ht="12.75" hidden="1" customHeight="1" x14ac:dyDescent="0.25">
      <c r="A186" s="89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42" ht="12.75" hidden="1" customHeight="1" x14ac:dyDescent="0.25">
      <c r="A187" s="89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42" ht="12.75" hidden="1" customHeight="1" x14ac:dyDescent="0.25">
      <c r="A188" s="89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1:42" ht="12.75" customHeight="1" x14ac:dyDescent="0.25">
      <c r="A189" s="89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1:42" ht="12.75" customHeight="1" x14ac:dyDescent="0.25">
      <c r="A190" s="89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42" ht="12.75" customHeight="1" x14ac:dyDescent="0.25">
      <c r="C191" s="768" t="s">
        <v>2</v>
      </c>
      <c r="D191" s="769" t="s">
        <v>132</v>
      </c>
      <c r="E191" s="98" t="s">
        <v>70</v>
      </c>
      <c r="F191" s="100">
        <f>F126+F145-L126+F99-L99</f>
        <v>11219101305.09</v>
      </c>
      <c r="G191" s="100">
        <f t="shared" ref="G191:AP191" si="7">G126+G99</f>
        <v>873254306.83000004</v>
      </c>
      <c r="H191" s="100">
        <f t="shared" si="7"/>
        <v>483462932.19999999</v>
      </c>
      <c r="I191" s="100">
        <f t="shared" si="7"/>
        <v>256309653.09999999</v>
      </c>
      <c r="J191" s="100">
        <f t="shared" si="7"/>
        <v>3573620561.6399999</v>
      </c>
      <c r="K191" s="100">
        <f t="shared" si="7"/>
        <v>126627767.13</v>
      </c>
      <c r="L191" s="100">
        <f t="shared" si="7"/>
        <v>9834335.8100000005</v>
      </c>
      <c r="M191" s="100">
        <f t="shared" si="7"/>
        <v>1110999299.71</v>
      </c>
      <c r="N191" s="100">
        <f t="shared" si="7"/>
        <v>1068155937.1999999</v>
      </c>
      <c r="O191" s="100">
        <f t="shared" si="7"/>
        <v>5074671965.54</v>
      </c>
      <c r="P191" s="100">
        <f t="shared" si="7"/>
        <v>1712802998.4100001</v>
      </c>
      <c r="Q191" s="100">
        <f t="shared" si="7"/>
        <v>206761960.40000001</v>
      </c>
      <c r="R191" s="100">
        <f t="shared" si="7"/>
        <v>-14204.66</v>
      </c>
      <c r="S191" s="100">
        <f t="shared" si="7"/>
        <v>-56307.6</v>
      </c>
      <c r="T191" s="100">
        <f t="shared" si="7"/>
        <v>0.4</v>
      </c>
      <c r="U191" s="100">
        <f t="shared" si="7"/>
        <v>0</v>
      </c>
      <c r="V191" s="100">
        <f t="shared" si="7"/>
        <v>0</v>
      </c>
      <c r="W191" s="100">
        <f t="shared" si="7"/>
        <v>0</v>
      </c>
      <c r="X191" s="100">
        <f t="shared" si="7"/>
        <v>0</v>
      </c>
      <c r="Y191" s="100">
        <f t="shared" si="7"/>
        <v>0</v>
      </c>
      <c r="Z191" s="100">
        <f t="shared" si="7"/>
        <v>-0.61</v>
      </c>
      <c r="AA191" s="100">
        <f t="shared" si="7"/>
        <v>0</v>
      </c>
      <c r="AB191" s="100">
        <f t="shared" si="7"/>
        <v>0</v>
      </c>
      <c r="AC191" s="100">
        <f t="shared" si="7"/>
        <v>0</v>
      </c>
      <c r="AD191" s="100">
        <f t="shared" si="7"/>
        <v>0</v>
      </c>
      <c r="AE191" s="100">
        <f t="shared" si="7"/>
        <v>0</v>
      </c>
      <c r="AF191" s="100">
        <f t="shared" si="7"/>
        <v>0</v>
      </c>
      <c r="AG191" s="100">
        <f t="shared" si="7"/>
        <v>0</v>
      </c>
      <c r="AH191" s="100">
        <f t="shared" si="7"/>
        <v>0</v>
      </c>
      <c r="AI191" s="100">
        <f t="shared" si="7"/>
        <v>0</v>
      </c>
      <c r="AJ191" s="100">
        <f t="shared" si="7"/>
        <v>0</v>
      </c>
      <c r="AK191" s="100">
        <f t="shared" si="7"/>
        <v>0</v>
      </c>
      <c r="AL191" s="100">
        <f t="shared" si="7"/>
        <v>0</v>
      </c>
      <c r="AM191" s="100">
        <f t="shared" si="7"/>
        <v>0</v>
      </c>
      <c r="AN191" s="100">
        <f t="shared" si="7"/>
        <v>0</v>
      </c>
      <c r="AO191" s="100">
        <f t="shared" si="7"/>
        <v>0</v>
      </c>
      <c r="AP191" s="100">
        <f t="shared" si="7"/>
        <v>0</v>
      </c>
    </row>
    <row r="192" spans="1:42" ht="12.75" customHeight="1" x14ac:dyDescent="0.25">
      <c r="C192" s="768"/>
      <c r="D192" s="769"/>
      <c r="E192" s="98" t="s">
        <v>73</v>
      </c>
      <c r="F192" s="100">
        <f>F145</f>
        <v>-3267495564.5999999</v>
      </c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customHeight="1" x14ac:dyDescent="0.25">
      <c r="C193" s="768"/>
      <c r="D193" s="769" t="s">
        <v>133</v>
      </c>
      <c r="E193" s="233" t="s">
        <v>70</v>
      </c>
      <c r="F193" s="234">
        <f>F134+F111-L111</f>
        <v>9704974</v>
      </c>
      <c r="G193" s="234">
        <f>G111</f>
        <v>651837.25</v>
      </c>
      <c r="H193" s="234">
        <f t="shared" ref="H193:AP193" si="8">H111</f>
        <v>367261.1</v>
      </c>
      <c r="I193" s="234">
        <f t="shared" si="8"/>
        <v>196265.14</v>
      </c>
      <c r="J193" s="234">
        <f t="shared" si="8"/>
        <v>2936066.51</v>
      </c>
      <c r="K193" s="234">
        <f t="shared" si="8"/>
        <v>79272.710000000006</v>
      </c>
      <c r="L193" s="234">
        <f t="shared" si="8"/>
        <v>0</v>
      </c>
      <c r="M193" s="234">
        <f t="shared" si="8"/>
        <v>695375.41</v>
      </c>
      <c r="N193" s="234">
        <f t="shared" si="8"/>
        <v>925873.97</v>
      </c>
      <c r="O193" s="234">
        <f t="shared" si="8"/>
        <v>4476434.58</v>
      </c>
      <c r="P193" s="234">
        <f t="shared" si="8"/>
        <v>1295216.93</v>
      </c>
      <c r="Q193" s="234">
        <f t="shared" si="8"/>
        <v>130580.61</v>
      </c>
      <c r="R193" s="234">
        <f t="shared" si="8"/>
        <v>-101.63</v>
      </c>
      <c r="S193" s="234">
        <f t="shared" si="8"/>
        <v>0.04</v>
      </c>
      <c r="T193" s="234">
        <f t="shared" si="8"/>
        <v>0</v>
      </c>
      <c r="U193" s="234">
        <f t="shared" si="8"/>
        <v>0</v>
      </c>
      <c r="V193" s="234">
        <f t="shared" si="8"/>
        <v>0</v>
      </c>
      <c r="W193" s="234">
        <f t="shared" si="8"/>
        <v>0</v>
      </c>
      <c r="X193" s="234">
        <f t="shared" si="8"/>
        <v>0</v>
      </c>
      <c r="Y193" s="234">
        <f t="shared" si="8"/>
        <v>0</v>
      </c>
      <c r="Z193" s="234">
        <f t="shared" si="8"/>
        <v>0</v>
      </c>
      <c r="AA193" s="234">
        <f t="shared" si="8"/>
        <v>0</v>
      </c>
      <c r="AB193" s="234">
        <f t="shared" si="8"/>
        <v>0</v>
      </c>
      <c r="AC193" s="234">
        <f t="shared" si="8"/>
        <v>0</v>
      </c>
      <c r="AD193" s="234">
        <f t="shared" si="8"/>
        <v>0</v>
      </c>
      <c r="AE193" s="234">
        <f t="shared" si="8"/>
        <v>0</v>
      </c>
      <c r="AF193" s="234">
        <f t="shared" si="8"/>
        <v>0</v>
      </c>
      <c r="AG193" s="234">
        <f t="shared" si="8"/>
        <v>0</v>
      </c>
      <c r="AH193" s="234">
        <f t="shared" si="8"/>
        <v>0</v>
      </c>
      <c r="AI193" s="234">
        <f t="shared" si="8"/>
        <v>0</v>
      </c>
      <c r="AJ193" s="234">
        <f t="shared" si="8"/>
        <v>0</v>
      </c>
      <c r="AK193" s="234">
        <f t="shared" si="8"/>
        <v>0</v>
      </c>
      <c r="AL193" s="234">
        <f t="shared" si="8"/>
        <v>0</v>
      </c>
      <c r="AM193" s="234">
        <f t="shared" si="8"/>
        <v>0</v>
      </c>
      <c r="AN193" s="234">
        <f t="shared" si="8"/>
        <v>0</v>
      </c>
      <c r="AO193" s="234">
        <f t="shared" si="8"/>
        <v>0</v>
      </c>
      <c r="AP193" s="234">
        <f t="shared" si="8"/>
        <v>0</v>
      </c>
    </row>
    <row r="194" spans="1:42" ht="12.75" customHeight="1" x14ac:dyDescent="0.25">
      <c r="C194" s="768"/>
      <c r="D194" s="769"/>
      <c r="E194" s="233" t="s">
        <v>73</v>
      </c>
      <c r="F194" s="234">
        <f>F134</f>
        <v>-2049108.62</v>
      </c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1:42" ht="12.75" customHeight="1" x14ac:dyDescent="0.25">
      <c r="A195" s="89"/>
      <c r="C195" s="97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customHeight="1" x14ac:dyDescent="0.25">
      <c r="C196" s="768" t="s">
        <v>160</v>
      </c>
      <c r="D196" s="769" t="s">
        <v>132</v>
      </c>
      <c r="E196" s="223" t="s">
        <v>70</v>
      </c>
      <c r="F196" s="225">
        <v>0</v>
      </c>
      <c r="G196" s="225">
        <v>0</v>
      </c>
      <c r="H196" s="225">
        <v>0</v>
      </c>
      <c r="I196" s="225">
        <v>0</v>
      </c>
      <c r="J196" s="225">
        <v>0</v>
      </c>
      <c r="K196" s="225">
        <v>0</v>
      </c>
      <c r="L196" s="225">
        <v>0</v>
      </c>
      <c r="M196" s="225">
        <v>0</v>
      </c>
      <c r="N196" s="225">
        <v>0</v>
      </c>
      <c r="O196" s="225">
        <v>0</v>
      </c>
      <c r="P196" s="225">
        <v>0</v>
      </c>
      <c r="Q196" s="225">
        <v>0</v>
      </c>
      <c r="R196" s="225">
        <v>0</v>
      </c>
      <c r="S196" s="225">
        <v>0</v>
      </c>
      <c r="T196" s="225">
        <v>0</v>
      </c>
      <c r="U196" s="225">
        <v>0</v>
      </c>
      <c r="V196" s="225">
        <v>0</v>
      </c>
      <c r="W196" s="225">
        <v>0</v>
      </c>
      <c r="X196" s="225">
        <v>0</v>
      </c>
      <c r="Y196" s="225">
        <v>0</v>
      </c>
      <c r="Z196" s="225">
        <v>0</v>
      </c>
      <c r="AA196" s="225">
        <v>0</v>
      </c>
      <c r="AB196" s="225">
        <v>0</v>
      </c>
      <c r="AC196" s="225">
        <v>0</v>
      </c>
      <c r="AD196" s="225">
        <v>0</v>
      </c>
      <c r="AE196" s="225">
        <v>0</v>
      </c>
      <c r="AF196" s="225">
        <v>0</v>
      </c>
      <c r="AG196" s="225">
        <v>0</v>
      </c>
      <c r="AH196" s="225">
        <v>0</v>
      </c>
      <c r="AI196" s="225">
        <v>0</v>
      </c>
      <c r="AJ196" s="225">
        <v>0</v>
      </c>
      <c r="AK196" s="225">
        <v>0</v>
      </c>
      <c r="AL196" s="225">
        <v>0</v>
      </c>
      <c r="AM196" s="225">
        <v>0</v>
      </c>
      <c r="AN196" s="225">
        <v>0</v>
      </c>
      <c r="AO196" s="225">
        <v>0</v>
      </c>
      <c r="AP196" s="225">
        <v>0</v>
      </c>
    </row>
    <row r="197" spans="1:42" ht="12.75" customHeight="1" x14ac:dyDescent="0.25">
      <c r="C197" s="768"/>
      <c r="D197" s="769"/>
      <c r="E197" s="223" t="s">
        <v>73</v>
      </c>
      <c r="F197" s="225">
        <v>0</v>
      </c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1:42" ht="12.75" customHeight="1" x14ac:dyDescent="0.25">
      <c r="C198" s="768"/>
      <c r="D198" s="769" t="s">
        <v>133</v>
      </c>
      <c r="E198" s="227" t="s">
        <v>70</v>
      </c>
      <c r="F198" s="228">
        <v>0</v>
      </c>
      <c r="G198" s="228">
        <v>0</v>
      </c>
      <c r="H198" s="228">
        <v>0</v>
      </c>
      <c r="I198" s="228">
        <v>0</v>
      </c>
      <c r="J198" s="228">
        <v>0</v>
      </c>
      <c r="K198" s="228">
        <v>0</v>
      </c>
      <c r="L198" s="228">
        <v>0</v>
      </c>
      <c r="M198" s="228">
        <v>0</v>
      </c>
      <c r="N198" s="228">
        <v>0</v>
      </c>
      <c r="O198" s="228">
        <v>0</v>
      </c>
      <c r="P198" s="228">
        <v>0</v>
      </c>
      <c r="Q198" s="228">
        <v>0</v>
      </c>
      <c r="R198" s="228">
        <v>0</v>
      </c>
      <c r="S198" s="228">
        <v>0</v>
      </c>
      <c r="T198" s="228">
        <v>0</v>
      </c>
      <c r="U198" s="228">
        <v>0</v>
      </c>
      <c r="V198" s="228">
        <v>0</v>
      </c>
      <c r="W198" s="228">
        <v>0</v>
      </c>
      <c r="X198" s="228">
        <v>0</v>
      </c>
      <c r="Y198" s="228">
        <v>0</v>
      </c>
      <c r="Z198" s="228">
        <v>0</v>
      </c>
      <c r="AA198" s="228">
        <v>0</v>
      </c>
      <c r="AB198" s="228">
        <v>0</v>
      </c>
      <c r="AC198" s="228">
        <v>0</v>
      </c>
      <c r="AD198" s="228">
        <v>0</v>
      </c>
      <c r="AE198" s="228">
        <v>0</v>
      </c>
      <c r="AF198" s="228">
        <v>0</v>
      </c>
      <c r="AG198" s="228">
        <v>0</v>
      </c>
      <c r="AH198" s="228">
        <v>0</v>
      </c>
      <c r="AI198" s="228">
        <v>0</v>
      </c>
      <c r="AJ198" s="228">
        <v>0</v>
      </c>
      <c r="AK198" s="228">
        <v>0</v>
      </c>
      <c r="AL198" s="228">
        <v>0</v>
      </c>
      <c r="AM198" s="228">
        <v>0</v>
      </c>
      <c r="AN198" s="228">
        <v>0</v>
      </c>
      <c r="AO198" s="228">
        <v>0</v>
      </c>
      <c r="AP198" s="228">
        <v>0</v>
      </c>
    </row>
    <row r="199" spans="1:42" ht="12.75" customHeight="1" x14ac:dyDescent="0.25">
      <c r="C199" s="768"/>
      <c r="D199" s="769"/>
      <c r="E199" s="227" t="s">
        <v>73</v>
      </c>
      <c r="F199" s="228">
        <v>0</v>
      </c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</row>
    <row r="200" spans="1:42" ht="12.75" customHeight="1" x14ac:dyDescent="0.25">
      <c r="A200" s="89"/>
      <c r="C200" s="97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customHeight="1" x14ac:dyDescent="0.25">
      <c r="C201" s="768" t="s">
        <v>155</v>
      </c>
      <c r="D201" s="769" t="s">
        <v>132</v>
      </c>
      <c r="E201" s="221" t="s">
        <v>70</v>
      </c>
      <c r="F201" s="222">
        <f>F137+F115+F95-L95-L115</f>
        <v>10280213362.66</v>
      </c>
      <c r="G201" s="222">
        <f t="shared" ref="G201:AA201" si="9">G115+G95</f>
        <v>761018413.75</v>
      </c>
      <c r="H201" s="222">
        <f t="shared" si="9"/>
        <v>421539408.77999997</v>
      </c>
      <c r="I201" s="222">
        <f t="shared" si="9"/>
        <v>223598944.56999999</v>
      </c>
      <c r="J201" s="222">
        <f t="shared" si="9"/>
        <v>3457771027.23</v>
      </c>
      <c r="K201" s="222">
        <f t="shared" si="9"/>
        <v>123618520.53999999</v>
      </c>
      <c r="L201" s="222">
        <f t="shared" si="9"/>
        <v>6722063.21</v>
      </c>
      <c r="M201" s="222">
        <f t="shared" si="9"/>
        <v>1083903765.4000001</v>
      </c>
      <c r="N201" s="222">
        <f t="shared" si="9"/>
        <v>1031752345.1600001</v>
      </c>
      <c r="O201" s="222">
        <f t="shared" si="9"/>
        <v>4903307713.3400002</v>
      </c>
      <c r="P201" s="222">
        <f t="shared" si="9"/>
        <v>1489981474</v>
      </c>
      <c r="Q201" s="222">
        <f t="shared" si="9"/>
        <v>201832007.78999999</v>
      </c>
      <c r="R201" s="222">
        <f t="shared" si="9"/>
        <v>-13258.12</v>
      </c>
      <c r="S201" s="222">
        <f t="shared" si="9"/>
        <v>-48.93</v>
      </c>
      <c r="T201" s="222">
        <f t="shared" si="9"/>
        <v>0.4</v>
      </c>
      <c r="U201" s="222">
        <f t="shared" si="9"/>
        <v>0</v>
      </c>
      <c r="V201" s="222">
        <f t="shared" si="9"/>
        <v>0</v>
      </c>
      <c r="W201" s="222">
        <f t="shared" si="9"/>
        <v>0</v>
      </c>
      <c r="X201" s="222">
        <f t="shared" si="9"/>
        <v>0</v>
      </c>
      <c r="Y201" s="222">
        <f t="shared" si="9"/>
        <v>0</v>
      </c>
      <c r="Z201" s="222">
        <f t="shared" si="9"/>
        <v>-0.4</v>
      </c>
      <c r="AA201" s="222">
        <f t="shared" si="9"/>
        <v>0</v>
      </c>
    </row>
    <row r="202" spans="1:42" ht="12.75" customHeight="1" x14ac:dyDescent="0.25">
      <c r="C202" s="768"/>
      <c r="D202" s="769"/>
      <c r="E202" s="221" t="s">
        <v>73</v>
      </c>
      <c r="F202" s="222">
        <f>F137</f>
        <v>-3418096950.8499999</v>
      </c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spans="1:42" ht="12.75" customHeight="1" x14ac:dyDescent="0.25">
      <c r="C203" s="768"/>
      <c r="D203" s="769" t="s">
        <v>133</v>
      </c>
      <c r="E203" s="229" t="s">
        <v>70</v>
      </c>
      <c r="F203" s="230">
        <f>F130+F104-L104</f>
        <v>9240820</v>
      </c>
      <c r="G203" s="230">
        <f>G104</f>
        <v>619369.35</v>
      </c>
      <c r="H203" s="230">
        <f t="shared" ref="H203:AA203" si="10">H104</f>
        <v>348940.76</v>
      </c>
      <c r="I203" s="230">
        <f t="shared" si="10"/>
        <v>186556.4</v>
      </c>
      <c r="J203" s="230">
        <f t="shared" si="10"/>
        <v>2777266.1</v>
      </c>
      <c r="K203" s="230">
        <f t="shared" si="10"/>
        <v>74214.44</v>
      </c>
      <c r="L203" s="230">
        <f t="shared" si="10"/>
        <v>0</v>
      </c>
      <c r="M203" s="230">
        <f t="shared" si="10"/>
        <v>651004.74</v>
      </c>
      <c r="N203" s="230">
        <f t="shared" si="10"/>
        <v>869550.37</v>
      </c>
      <c r="O203" s="230">
        <f t="shared" si="10"/>
        <v>4207125.5599999996</v>
      </c>
      <c r="P203" s="230">
        <f t="shared" si="10"/>
        <v>1231696.32</v>
      </c>
      <c r="Q203" s="230">
        <f t="shared" si="10"/>
        <v>122327.65</v>
      </c>
      <c r="R203" s="230">
        <f t="shared" si="10"/>
        <v>-111.65</v>
      </c>
      <c r="S203" s="230">
        <f t="shared" si="10"/>
        <v>0.04</v>
      </c>
      <c r="T203" s="230">
        <f t="shared" si="10"/>
        <v>0</v>
      </c>
      <c r="U203" s="230">
        <f t="shared" si="10"/>
        <v>0</v>
      </c>
      <c r="V203" s="230">
        <f t="shared" si="10"/>
        <v>0</v>
      </c>
      <c r="W203" s="230">
        <f t="shared" si="10"/>
        <v>0</v>
      </c>
      <c r="X203" s="230">
        <f t="shared" si="10"/>
        <v>0</v>
      </c>
      <c r="Y203" s="230">
        <f t="shared" si="10"/>
        <v>0</v>
      </c>
      <c r="Z203" s="230">
        <f t="shared" si="10"/>
        <v>0</v>
      </c>
      <c r="AA203" s="230">
        <f t="shared" si="10"/>
        <v>0</v>
      </c>
    </row>
    <row r="204" spans="1:42" ht="12.75" customHeight="1" x14ac:dyDescent="0.25">
      <c r="C204" s="768"/>
      <c r="D204" s="769"/>
      <c r="E204" s="229" t="s">
        <v>73</v>
      </c>
      <c r="F204" s="230">
        <f>F130</f>
        <v>-1847120.08</v>
      </c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</row>
    <row r="205" spans="1:42" ht="12.75" customHeight="1" x14ac:dyDescent="0.25">
      <c r="A205" s="89"/>
      <c r="C205" s="97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1:42" ht="12.75" customHeight="1" x14ac:dyDescent="0.25">
      <c r="C206" s="771" t="s">
        <v>324</v>
      </c>
      <c r="D206" s="769" t="s">
        <v>132</v>
      </c>
      <c r="E206" s="375" t="s">
        <v>70</v>
      </c>
      <c r="F206" s="376">
        <v>0</v>
      </c>
      <c r="G206" s="376">
        <v>0</v>
      </c>
      <c r="H206" s="376">
        <v>0</v>
      </c>
      <c r="I206" s="376">
        <v>0</v>
      </c>
      <c r="J206" s="376">
        <v>0</v>
      </c>
      <c r="K206" s="376">
        <v>0</v>
      </c>
      <c r="L206" s="376">
        <v>0</v>
      </c>
      <c r="M206" s="376">
        <v>0</v>
      </c>
      <c r="N206" s="376">
        <v>0</v>
      </c>
      <c r="O206" s="376">
        <v>0</v>
      </c>
      <c r="P206" s="376">
        <v>0</v>
      </c>
      <c r="Q206" s="376">
        <v>0</v>
      </c>
      <c r="R206" s="376">
        <v>0</v>
      </c>
      <c r="S206" s="376">
        <v>0</v>
      </c>
      <c r="T206" s="376">
        <v>0</v>
      </c>
      <c r="U206" s="376">
        <v>0</v>
      </c>
      <c r="V206" s="376">
        <v>0</v>
      </c>
      <c r="W206" s="376">
        <v>0</v>
      </c>
      <c r="X206" s="376">
        <v>0</v>
      </c>
      <c r="Y206" s="376">
        <v>0</v>
      </c>
      <c r="Z206" s="376">
        <v>0</v>
      </c>
      <c r="AA206" s="376">
        <v>0</v>
      </c>
      <c r="AB206" s="376">
        <v>0</v>
      </c>
      <c r="AC206" s="376">
        <v>0</v>
      </c>
      <c r="AD206" s="376">
        <v>0</v>
      </c>
      <c r="AE206" s="376">
        <v>0</v>
      </c>
      <c r="AF206" s="376">
        <v>0</v>
      </c>
      <c r="AG206" s="376">
        <v>0</v>
      </c>
      <c r="AH206" s="376">
        <v>0</v>
      </c>
      <c r="AI206" s="376">
        <v>0</v>
      </c>
      <c r="AJ206" s="376">
        <v>0</v>
      </c>
      <c r="AK206" s="376">
        <v>0</v>
      </c>
      <c r="AL206" s="376">
        <v>0</v>
      </c>
      <c r="AM206" s="376">
        <v>0</v>
      </c>
      <c r="AN206" s="376">
        <v>0</v>
      </c>
      <c r="AO206" s="376">
        <v>0</v>
      </c>
    </row>
    <row r="207" spans="1:42" ht="12.75" customHeight="1" x14ac:dyDescent="0.25">
      <c r="C207" s="771"/>
      <c r="D207" s="769"/>
      <c r="E207" s="375" t="s">
        <v>73</v>
      </c>
      <c r="F207" s="376">
        <v>0</v>
      </c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 spans="1:42" ht="12.75" customHeight="1" x14ac:dyDescent="0.25">
      <c r="C208" s="771"/>
      <c r="D208" s="769" t="s">
        <v>133</v>
      </c>
      <c r="E208" s="242" t="s">
        <v>70</v>
      </c>
      <c r="F208" s="243">
        <v>0</v>
      </c>
      <c r="G208" s="243">
        <v>0</v>
      </c>
      <c r="H208" s="243">
        <v>0</v>
      </c>
      <c r="I208" s="243">
        <v>0</v>
      </c>
      <c r="J208" s="243">
        <v>0</v>
      </c>
      <c r="K208" s="243">
        <v>0</v>
      </c>
      <c r="L208" s="243">
        <v>0</v>
      </c>
      <c r="M208" s="243">
        <v>0</v>
      </c>
      <c r="N208" s="243">
        <v>0</v>
      </c>
      <c r="O208" s="243">
        <v>0</v>
      </c>
      <c r="P208" s="243">
        <v>0</v>
      </c>
      <c r="Q208" s="243">
        <v>0</v>
      </c>
      <c r="R208" s="243">
        <v>0</v>
      </c>
      <c r="S208" s="243">
        <v>0</v>
      </c>
      <c r="T208" s="243">
        <v>0</v>
      </c>
      <c r="U208" s="243">
        <v>0</v>
      </c>
      <c r="V208" s="243">
        <v>0</v>
      </c>
      <c r="W208" s="243">
        <v>0</v>
      </c>
      <c r="X208" s="243">
        <v>0</v>
      </c>
      <c r="Y208" s="243">
        <v>0</v>
      </c>
      <c r="Z208" s="243">
        <v>0</v>
      </c>
      <c r="AA208" s="243">
        <v>0</v>
      </c>
      <c r="AB208" s="243">
        <v>0</v>
      </c>
      <c r="AC208" s="243">
        <v>0</v>
      </c>
      <c r="AD208" s="243">
        <v>0</v>
      </c>
      <c r="AE208" s="243">
        <v>0</v>
      </c>
      <c r="AF208" s="243">
        <v>0</v>
      </c>
      <c r="AG208" s="243">
        <v>0</v>
      </c>
      <c r="AH208" s="243">
        <v>0</v>
      </c>
      <c r="AI208" s="243">
        <v>0</v>
      </c>
      <c r="AJ208" s="243">
        <v>0</v>
      </c>
      <c r="AK208" s="243">
        <v>0</v>
      </c>
      <c r="AL208" s="243">
        <v>0</v>
      </c>
      <c r="AM208" s="243">
        <v>0</v>
      </c>
      <c r="AN208" s="243">
        <v>0</v>
      </c>
      <c r="AO208" s="243">
        <v>0</v>
      </c>
    </row>
    <row r="209" spans="1:42" ht="12.75" customHeight="1" x14ac:dyDescent="0.25">
      <c r="C209" s="771"/>
      <c r="D209" s="769"/>
      <c r="E209" s="242" t="s">
        <v>73</v>
      </c>
      <c r="F209" s="243">
        <v>0</v>
      </c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1:42" ht="12.75" customHeight="1" x14ac:dyDescent="0.25">
      <c r="A210" s="89"/>
      <c r="C210" s="97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spans="1:42" ht="12.75" customHeight="1" x14ac:dyDescent="0.25">
      <c r="C211" s="768" t="s">
        <v>119</v>
      </c>
      <c r="D211" s="769" t="s">
        <v>132</v>
      </c>
      <c r="E211" s="101" t="s">
        <v>70</v>
      </c>
      <c r="F211" s="93">
        <f>F144+F125+F98-L98-L125</f>
        <v>938887942.42999995</v>
      </c>
      <c r="G211" s="93">
        <f t="shared" ref="G211:AP211" si="11">G125+G98</f>
        <v>112235893.08000001</v>
      </c>
      <c r="H211" s="93">
        <f t="shared" si="11"/>
        <v>61923523.419999994</v>
      </c>
      <c r="I211" s="93">
        <f t="shared" si="11"/>
        <v>32710708.530000001</v>
      </c>
      <c r="J211" s="93">
        <f t="shared" si="11"/>
        <v>115849534.41</v>
      </c>
      <c r="K211" s="93">
        <f t="shared" si="11"/>
        <v>3009246.5900000003</v>
      </c>
      <c r="L211" s="93">
        <f t="shared" si="11"/>
        <v>3112272.6</v>
      </c>
      <c r="M211" s="93">
        <f t="shared" si="11"/>
        <v>27095534.309999999</v>
      </c>
      <c r="N211" s="93">
        <f t="shared" si="11"/>
        <v>36403592.039999999</v>
      </c>
      <c r="O211" s="93">
        <f t="shared" si="11"/>
        <v>171364252.19999999</v>
      </c>
      <c r="P211" s="93">
        <f t="shared" si="11"/>
        <v>222821524.41</v>
      </c>
      <c r="Q211" s="93">
        <f t="shared" si="11"/>
        <v>4929952.6100000003</v>
      </c>
      <c r="R211" s="93">
        <f t="shared" si="11"/>
        <v>-946.54</v>
      </c>
      <c r="S211" s="93">
        <f t="shared" si="11"/>
        <v>-56258.67</v>
      </c>
      <c r="T211" s="93">
        <f t="shared" si="11"/>
        <v>0</v>
      </c>
      <c r="U211" s="93">
        <f t="shared" si="11"/>
        <v>0</v>
      </c>
      <c r="V211" s="93">
        <f t="shared" si="11"/>
        <v>0</v>
      </c>
      <c r="W211" s="93">
        <f t="shared" si="11"/>
        <v>0</v>
      </c>
      <c r="X211" s="93">
        <f t="shared" si="11"/>
        <v>0</v>
      </c>
      <c r="Y211" s="93">
        <f t="shared" si="11"/>
        <v>0</v>
      </c>
      <c r="Z211" s="93">
        <f t="shared" si="11"/>
        <v>-0.21</v>
      </c>
      <c r="AA211" s="93">
        <f t="shared" si="11"/>
        <v>0</v>
      </c>
      <c r="AB211" s="93">
        <f t="shared" si="11"/>
        <v>0</v>
      </c>
      <c r="AC211" s="93">
        <f t="shared" si="11"/>
        <v>0</v>
      </c>
      <c r="AD211" s="93">
        <f t="shared" si="11"/>
        <v>0</v>
      </c>
      <c r="AE211" s="93">
        <f t="shared" si="11"/>
        <v>0</v>
      </c>
      <c r="AF211" s="93">
        <f t="shared" si="11"/>
        <v>0</v>
      </c>
      <c r="AG211" s="93">
        <f t="shared" si="11"/>
        <v>0</v>
      </c>
      <c r="AH211" s="93">
        <f t="shared" si="11"/>
        <v>0</v>
      </c>
      <c r="AI211" s="93">
        <f t="shared" si="11"/>
        <v>0</v>
      </c>
      <c r="AJ211" s="93">
        <f t="shared" si="11"/>
        <v>0</v>
      </c>
      <c r="AK211" s="93">
        <f t="shared" si="11"/>
        <v>0</v>
      </c>
      <c r="AL211" s="93">
        <f t="shared" si="11"/>
        <v>0</v>
      </c>
      <c r="AM211" s="93">
        <f t="shared" si="11"/>
        <v>0</v>
      </c>
      <c r="AN211" s="93">
        <f t="shared" si="11"/>
        <v>0</v>
      </c>
      <c r="AO211" s="93">
        <f t="shared" si="11"/>
        <v>0</v>
      </c>
      <c r="AP211" s="93">
        <f t="shared" si="11"/>
        <v>0</v>
      </c>
    </row>
    <row r="212" spans="1:42" ht="12.75" customHeight="1" x14ac:dyDescent="0.25">
      <c r="C212" s="768"/>
      <c r="D212" s="769"/>
      <c r="E212" s="101" t="s">
        <v>73</v>
      </c>
      <c r="F212" s="93">
        <f>F144</f>
        <v>150601386.25</v>
      </c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42" ht="12.75" customHeight="1" x14ac:dyDescent="0.25">
      <c r="C213" s="768"/>
      <c r="D213" s="769" t="s">
        <v>133</v>
      </c>
      <c r="E213" s="235" t="s">
        <v>70</v>
      </c>
      <c r="F213" s="236">
        <f>F133+F110-L110</f>
        <v>464154</v>
      </c>
      <c r="G213" s="236">
        <f>G110</f>
        <v>32467.9</v>
      </c>
      <c r="H213" s="236">
        <f t="shared" ref="H213:AP213" si="12">H110</f>
        <v>18320.34</v>
      </c>
      <c r="I213" s="236">
        <f t="shared" si="12"/>
        <v>9708.74</v>
      </c>
      <c r="J213" s="236">
        <f t="shared" si="12"/>
        <v>158800.41</v>
      </c>
      <c r="K213" s="236">
        <f t="shared" si="12"/>
        <v>5058.2700000000004</v>
      </c>
      <c r="L213" s="236">
        <f t="shared" si="12"/>
        <v>0</v>
      </c>
      <c r="M213" s="236">
        <f t="shared" si="12"/>
        <v>44370.67</v>
      </c>
      <c r="N213" s="236">
        <f t="shared" si="12"/>
        <v>56323.6</v>
      </c>
      <c r="O213" s="236">
        <f t="shared" si="12"/>
        <v>269309.02</v>
      </c>
      <c r="P213" s="236">
        <f t="shared" si="12"/>
        <v>63520.61</v>
      </c>
      <c r="Q213" s="236">
        <f t="shared" si="12"/>
        <v>8252.9599999999991</v>
      </c>
      <c r="R213" s="236">
        <f t="shared" si="12"/>
        <v>10.02</v>
      </c>
      <c r="S213" s="236">
        <f t="shared" si="12"/>
        <v>0</v>
      </c>
      <c r="T213" s="236">
        <f t="shared" si="12"/>
        <v>0</v>
      </c>
      <c r="U213" s="236">
        <f t="shared" si="12"/>
        <v>0</v>
      </c>
      <c r="V213" s="236">
        <f t="shared" si="12"/>
        <v>0</v>
      </c>
      <c r="W213" s="236">
        <f t="shared" si="12"/>
        <v>0</v>
      </c>
      <c r="X213" s="236">
        <f t="shared" si="12"/>
        <v>0</v>
      </c>
      <c r="Y213" s="236">
        <f t="shared" si="12"/>
        <v>0</v>
      </c>
      <c r="Z213" s="236">
        <f t="shared" si="12"/>
        <v>0</v>
      </c>
      <c r="AA213" s="236">
        <f t="shared" si="12"/>
        <v>0</v>
      </c>
      <c r="AB213" s="236">
        <f t="shared" si="12"/>
        <v>0</v>
      </c>
      <c r="AC213" s="236">
        <f t="shared" si="12"/>
        <v>0</v>
      </c>
      <c r="AD213" s="236">
        <f t="shared" si="12"/>
        <v>0</v>
      </c>
      <c r="AE213" s="236">
        <f t="shared" si="12"/>
        <v>0</v>
      </c>
      <c r="AF213" s="236">
        <f t="shared" si="12"/>
        <v>0</v>
      </c>
      <c r="AG213" s="236">
        <f t="shared" si="12"/>
        <v>0</v>
      </c>
      <c r="AH213" s="236">
        <f t="shared" si="12"/>
        <v>0</v>
      </c>
      <c r="AI213" s="236">
        <f t="shared" si="12"/>
        <v>0</v>
      </c>
      <c r="AJ213" s="236">
        <f t="shared" si="12"/>
        <v>0</v>
      </c>
      <c r="AK213" s="236">
        <f t="shared" si="12"/>
        <v>0</v>
      </c>
      <c r="AL213" s="236">
        <f t="shared" si="12"/>
        <v>0</v>
      </c>
      <c r="AM213" s="236">
        <f t="shared" si="12"/>
        <v>0</v>
      </c>
      <c r="AN213" s="236">
        <f t="shared" si="12"/>
        <v>0</v>
      </c>
      <c r="AO213" s="236">
        <f t="shared" si="12"/>
        <v>0</v>
      </c>
      <c r="AP213" s="236">
        <f t="shared" si="12"/>
        <v>0</v>
      </c>
    </row>
    <row r="214" spans="1:42" ht="12.75" customHeight="1" x14ac:dyDescent="0.25">
      <c r="C214" s="768"/>
      <c r="D214" s="769"/>
      <c r="E214" s="235" t="s">
        <v>73</v>
      </c>
      <c r="F214" s="236">
        <f>F133</f>
        <v>-201988.54</v>
      </c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</row>
    <row r="215" spans="1:42" ht="12.75" customHeight="1" x14ac:dyDescent="0.25">
      <c r="A215" s="89"/>
      <c r="C215" s="97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42" ht="12.75" customHeight="1" x14ac:dyDescent="0.25">
      <c r="C216" s="770" t="s">
        <v>161</v>
      </c>
      <c r="D216" s="769" t="s">
        <v>132</v>
      </c>
      <c r="E216" s="231" t="s">
        <v>70</v>
      </c>
      <c r="F216" s="232">
        <v>0</v>
      </c>
      <c r="G216" s="232">
        <v>0</v>
      </c>
      <c r="H216" s="232">
        <v>0</v>
      </c>
      <c r="I216" s="232">
        <v>0</v>
      </c>
      <c r="J216" s="232">
        <v>0</v>
      </c>
      <c r="K216" s="232">
        <v>0</v>
      </c>
      <c r="L216" s="232">
        <v>0</v>
      </c>
      <c r="M216" s="232">
        <v>0</v>
      </c>
      <c r="N216" s="232">
        <v>0</v>
      </c>
      <c r="O216" s="232">
        <v>0</v>
      </c>
      <c r="P216" s="232">
        <v>0</v>
      </c>
      <c r="Q216" s="232">
        <v>0</v>
      </c>
      <c r="R216" s="232">
        <v>0</v>
      </c>
      <c r="S216" s="232">
        <v>0</v>
      </c>
      <c r="T216" s="232">
        <v>0</v>
      </c>
      <c r="U216" s="232">
        <v>0</v>
      </c>
      <c r="V216" s="232">
        <v>0</v>
      </c>
      <c r="W216" s="232">
        <v>0</v>
      </c>
      <c r="X216" s="232">
        <v>0</v>
      </c>
      <c r="Y216" s="232"/>
      <c r="Z216" s="232">
        <v>0</v>
      </c>
      <c r="AA216" s="232">
        <v>0</v>
      </c>
      <c r="AB216" s="232">
        <v>0</v>
      </c>
      <c r="AC216" s="232">
        <v>0</v>
      </c>
      <c r="AD216" s="232">
        <v>0</v>
      </c>
      <c r="AE216" s="232">
        <v>0</v>
      </c>
      <c r="AF216" s="232">
        <v>0</v>
      </c>
      <c r="AG216" s="232">
        <v>0</v>
      </c>
      <c r="AH216" s="232">
        <v>0</v>
      </c>
      <c r="AI216" s="232">
        <v>0</v>
      </c>
      <c r="AJ216" s="232">
        <v>0</v>
      </c>
      <c r="AK216" s="232">
        <v>0</v>
      </c>
      <c r="AL216" s="232">
        <v>0</v>
      </c>
      <c r="AM216" s="232">
        <v>0</v>
      </c>
      <c r="AN216" s="232">
        <v>0</v>
      </c>
      <c r="AO216" s="232">
        <v>0</v>
      </c>
      <c r="AP216" s="232">
        <v>0</v>
      </c>
    </row>
    <row r="217" spans="1:42" ht="12.75" customHeight="1" x14ac:dyDescent="0.25">
      <c r="C217" s="770"/>
      <c r="D217" s="769"/>
      <c r="E217" s="231" t="s">
        <v>73</v>
      </c>
      <c r="F217" s="232">
        <v>0</v>
      </c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42" ht="12.75" customHeight="1" x14ac:dyDescent="0.25">
      <c r="C218" s="770"/>
      <c r="E218" s="148" t="s">
        <v>70</v>
      </c>
      <c r="F218" s="149">
        <v>0</v>
      </c>
      <c r="G218" s="149">
        <v>0</v>
      </c>
      <c r="H218" s="149">
        <v>0</v>
      </c>
      <c r="I218" s="149">
        <v>0</v>
      </c>
      <c r="J218" s="149">
        <v>0</v>
      </c>
      <c r="K218" s="149">
        <v>0</v>
      </c>
      <c r="L218" s="149">
        <v>0</v>
      </c>
      <c r="M218" s="149">
        <v>0</v>
      </c>
      <c r="N218" s="149">
        <v>0</v>
      </c>
      <c r="O218" s="149">
        <v>0</v>
      </c>
      <c r="P218" s="149">
        <v>0</v>
      </c>
      <c r="Q218" s="149">
        <v>0</v>
      </c>
      <c r="R218" s="149">
        <v>0</v>
      </c>
      <c r="S218" s="149">
        <v>0</v>
      </c>
      <c r="T218" s="149">
        <v>0</v>
      </c>
      <c r="U218" s="149">
        <v>0</v>
      </c>
      <c r="V218" s="149">
        <v>0</v>
      </c>
      <c r="W218" s="149">
        <v>0</v>
      </c>
      <c r="X218" s="149">
        <v>0</v>
      </c>
      <c r="Y218" s="149">
        <v>0</v>
      </c>
      <c r="Z218" s="149">
        <v>0</v>
      </c>
      <c r="AA218" s="149">
        <v>0</v>
      </c>
    </row>
    <row r="219" spans="1:42" ht="12.75" customHeight="1" x14ac:dyDescent="0.25">
      <c r="C219" s="770"/>
      <c r="D219" s="220" t="s">
        <v>132</v>
      </c>
      <c r="E219" s="148" t="s">
        <v>73</v>
      </c>
      <c r="F219" s="149">
        <v>0</v>
      </c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</row>
    <row r="220" spans="1:42" ht="12.75" customHeight="1" x14ac:dyDescent="0.25">
      <c r="C220" s="390"/>
      <c r="D220" s="220"/>
      <c r="E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</row>
    <row r="221" spans="1:42" ht="12.75" customHeight="1" x14ac:dyDescent="0.25">
      <c r="D221" s="460" t="s">
        <v>185</v>
      </c>
      <c r="E221" s="461" t="s">
        <v>70</v>
      </c>
      <c r="F221" s="462">
        <f t="shared" ref="F221:AA221" si="13">F100</f>
        <v>-243714.65</v>
      </c>
      <c r="G221" s="462">
        <f t="shared" si="13"/>
        <v>-20951.02</v>
      </c>
      <c r="H221" s="462">
        <f t="shared" si="13"/>
        <v>-8900.5</v>
      </c>
      <c r="I221" s="462">
        <f t="shared" si="13"/>
        <v>-3886.81</v>
      </c>
      <c r="J221" s="462">
        <f t="shared" si="13"/>
        <v>-48437.8</v>
      </c>
      <c r="K221" s="462">
        <f t="shared" si="13"/>
        <v>-2062.98</v>
      </c>
      <c r="L221" s="462">
        <f t="shared" si="13"/>
        <v>0</v>
      </c>
      <c r="M221" s="462">
        <f t="shared" si="13"/>
        <v>-18096.09</v>
      </c>
      <c r="N221" s="462">
        <f t="shared" si="13"/>
        <v>-22688.82</v>
      </c>
      <c r="O221" s="462">
        <f t="shared" si="13"/>
        <v>-76193.100000000006</v>
      </c>
      <c r="P221" s="462">
        <f t="shared" si="13"/>
        <v>-39131.24</v>
      </c>
      <c r="Q221" s="462">
        <f t="shared" si="13"/>
        <v>-3366.29</v>
      </c>
      <c r="R221" s="462">
        <f t="shared" si="13"/>
        <v>0</v>
      </c>
      <c r="S221" s="462">
        <f t="shared" si="13"/>
        <v>0</v>
      </c>
      <c r="T221" s="462">
        <f t="shared" si="13"/>
        <v>0</v>
      </c>
      <c r="U221" s="462">
        <f t="shared" si="13"/>
        <v>0</v>
      </c>
      <c r="V221" s="462">
        <f t="shared" si="13"/>
        <v>0</v>
      </c>
      <c r="W221" s="462">
        <f t="shared" si="13"/>
        <v>0</v>
      </c>
      <c r="X221" s="462">
        <f t="shared" si="13"/>
        <v>0</v>
      </c>
      <c r="Y221" s="462">
        <f t="shared" si="13"/>
        <v>0</v>
      </c>
      <c r="Z221" s="462">
        <f t="shared" si="13"/>
        <v>0</v>
      </c>
      <c r="AA221" s="462">
        <f t="shared" si="13"/>
        <v>0</v>
      </c>
    </row>
    <row r="222" spans="1:42" ht="12.75" customHeight="1" x14ac:dyDescent="0.25">
      <c r="C222" s="390"/>
      <c r="D222" s="220"/>
      <c r="E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42" s="238" customFormat="1" ht="12.75" customHeight="1" x14ac:dyDescent="0.25">
      <c r="D223" s="239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</row>
    <row r="224" spans="1:42" ht="12.75" customHeight="1" x14ac:dyDescent="0.25">
      <c r="A224" s="89"/>
      <c r="B224" s="97" t="s">
        <v>76</v>
      </c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26" ht="12.75" customHeight="1" x14ac:dyDescent="0.25">
      <c r="F225" s="89" t="s">
        <v>70</v>
      </c>
      <c r="G225" s="89" t="s">
        <v>64</v>
      </c>
      <c r="H225" s="89" t="s">
        <v>65</v>
      </c>
      <c r="I225" s="218" t="s">
        <v>164</v>
      </c>
      <c r="J225" s="89" t="s">
        <v>69</v>
      </c>
      <c r="K225" s="89" t="s">
        <v>68</v>
      </c>
      <c r="L225" s="89" t="s">
        <v>71</v>
      </c>
      <c r="M225" s="89" t="s">
        <v>66</v>
      </c>
      <c r="N225" s="89" t="s">
        <v>63</v>
      </c>
      <c r="O225" s="89" t="s">
        <v>61</v>
      </c>
      <c r="P225" s="89" t="s">
        <v>62</v>
      </c>
      <c r="Q225" s="89" t="s">
        <v>67</v>
      </c>
      <c r="R225" s="89" t="s">
        <v>77</v>
      </c>
      <c r="S225" s="89" t="s">
        <v>80</v>
      </c>
      <c r="T225" s="89" t="s">
        <v>135</v>
      </c>
      <c r="U225" s="89" t="s">
        <v>172</v>
      </c>
      <c r="V225" s="89" t="s">
        <v>221</v>
      </c>
      <c r="W225" s="89" t="s">
        <v>172</v>
      </c>
      <c r="X225" t="s">
        <v>172</v>
      </c>
      <c r="Y225" s="89" t="s">
        <v>337</v>
      </c>
      <c r="Z225" t="s">
        <v>166</v>
      </c>
    </row>
    <row r="226" spans="1:26" ht="12.75" customHeight="1" x14ac:dyDescent="0.25">
      <c r="E226" s="89" t="s">
        <v>72</v>
      </c>
      <c r="F226" s="373">
        <v>-558.04999999999995</v>
      </c>
      <c r="G226" s="90">
        <v>-36.43</v>
      </c>
      <c r="H226" s="90">
        <v>-15.48</v>
      </c>
      <c r="I226" s="90">
        <v>-6.76</v>
      </c>
      <c r="J226" s="90">
        <v>-123.14</v>
      </c>
      <c r="K226" s="90">
        <v>-4.99</v>
      </c>
      <c r="L226" s="90">
        <v>0</v>
      </c>
      <c r="M226" s="90">
        <v>-43.78</v>
      </c>
      <c r="N226" s="90">
        <v>-55.99</v>
      </c>
      <c r="O226" s="90">
        <v>-184.32</v>
      </c>
      <c r="P226" s="90">
        <v>-79.02</v>
      </c>
      <c r="Q226" s="90">
        <v>-8.14</v>
      </c>
      <c r="R226" s="90">
        <v>0</v>
      </c>
      <c r="S226" s="90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ht="12.75" customHeight="1" x14ac:dyDescent="0.25">
      <c r="D227" t="s">
        <v>156</v>
      </c>
      <c r="E227" s="89" t="s">
        <v>70</v>
      </c>
      <c r="F227" s="373">
        <v>-558.04999999999995</v>
      </c>
      <c r="G227" s="90">
        <v>-36.43</v>
      </c>
      <c r="H227" s="90">
        <v>-15.48</v>
      </c>
      <c r="I227" s="90">
        <v>-6.76</v>
      </c>
      <c r="J227" s="90">
        <v>-123.14</v>
      </c>
      <c r="K227" s="90">
        <v>-4.99</v>
      </c>
      <c r="L227" s="90">
        <v>0</v>
      </c>
      <c r="M227" s="90">
        <v>-43.78</v>
      </c>
      <c r="N227" s="90">
        <v>-55.99</v>
      </c>
      <c r="O227" s="90">
        <v>-184.32</v>
      </c>
      <c r="P227" s="90">
        <v>-79.02</v>
      </c>
      <c r="Q227" s="90">
        <v>-8.14</v>
      </c>
      <c r="R227" s="90">
        <v>0</v>
      </c>
      <c r="S227" s="90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s="288" customFormat="1" ht="12.75" customHeight="1" x14ac:dyDescent="0.25">
      <c r="C228" s="288" t="s">
        <v>155</v>
      </c>
      <c r="D228" s="288" t="s">
        <v>70</v>
      </c>
      <c r="E228" s="229"/>
      <c r="F228" s="229">
        <v>-558.04999999999995</v>
      </c>
      <c r="G228" s="230">
        <v>-36.43</v>
      </c>
      <c r="H228" s="230">
        <v>-15.48</v>
      </c>
      <c r="I228" s="230">
        <v>-6.76</v>
      </c>
      <c r="J228" s="230">
        <v>-123.14</v>
      </c>
      <c r="K228" s="230">
        <v>-4.99</v>
      </c>
      <c r="L228" s="230">
        <v>0</v>
      </c>
      <c r="M228" s="230">
        <v>-43.78</v>
      </c>
      <c r="N228" s="230">
        <v>-55.99</v>
      </c>
      <c r="O228" s="230">
        <v>-184.32</v>
      </c>
      <c r="P228" s="230">
        <v>-79.02</v>
      </c>
      <c r="Q228" s="230">
        <v>-8.14</v>
      </c>
      <c r="R228" s="230">
        <v>0</v>
      </c>
      <c r="S228" s="230">
        <v>0</v>
      </c>
      <c r="T228" s="230">
        <v>0</v>
      </c>
      <c r="U228" s="230">
        <v>0</v>
      </c>
      <c r="V228" s="230">
        <v>0</v>
      </c>
      <c r="W228" s="230">
        <v>0</v>
      </c>
      <c r="X228" s="230">
        <v>0</v>
      </c>
      <c r="Y228" s="230">
        <v>0</v>
      </c>
      <c r="Z228" s="230">
        <v>0</v>
      </c>
    </row>
    <row r="229" spans="1:26" ht="12.75" customHeight="1" x14ac:dyDescent="0.25">
      <c r="B229" t="s">
        <v>112</v>
      </c>
      <c r="C229" t="s">
        <v>70</v>
      </c>
      <c r="E229" s="89"/>
      <c r="F229" s="373">
        <v>-558.04999999999995</v>
      </c>
      <c r="G229" s="90">
        <v>-36.43</v>
      </c>
      <c r="H229" s="90">
        <v>-15.48</v>
      </c>
      <c r="I229" s="90">
        <v>-6.76</v>
      </c>
      <c r="J229" s="90">
        <v>-123.14</v>
      </c>
      <c r="K229" s="90">
        <v>-4.99</v>
      </c>
      <c r="L229" s="90">
        <v>0</v>
      </c>
      <c r="M229" s="90">
        <v>-43.78</v>
      </c>
      <c r="N229" s="90">
        <v>-55.99</v>
      </c>
      <c r="O229" s="90">
        <v>-184.32</v>
      </c>
      <c r="P229" s="90">
        <v>-79.02</v>
      </c>
      <c r="Q229" s="90">
        <v>-8.14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s="460" customFormat="1" ht="12.75" customHeight="1" x14ac:dyDescent="0.25">
      <c r="A230" s="460" t="s">
        <v>185</v>
      </c>
      <c r="B230" s="460" t="s">
        <v>70</v>
      </c>
      <c r="F230" s="460">
        <v>-558.04999999999995</v>
      </c>
      <c r="G230" s="460">
        <v>-36.43</v>
      </c>
      <c r="H230" s="460">
        <v>-15.48</v>
      </c>
      <c r="I230" s="460">
        <v>-6.76</v>
      </c>
      <c r="J230" s="460">
        <v>-123.14</v>
      </c>
      <c r="K230" s="460">
        <v>-4.99</v>
      </c>
      <c r="L230" s="460">
        <v>0</v>
      </c>
      <c r="M230" s="460">
        <v>-43.78</v>
      </c>
      <c r="N230" s="460">
        <v>-55.99</v>
      </c>
      <c r="O230" s="460">
        <v>-184.32</v>
      </c>
      <c r="P230" s="460">
        <v>-79.02</v>
      </c>
      <c r="Q230" s="460">
        <v>-8.14</v>
      </c>
      <c r="R230" s="460">
        <v>0</v>
      </c>
      <c r="S230" s="460">
        <v>0</v>
      </c>
      <c r="T230" s="460">
        <v>0</v>
      </c>
      <c r="U230" s="460">
        <v>0</v>
      </c>
      <c r="V230" s="460">
        <v>0</v>
      </c>
      <c r="W230" s="460">
        <v>0</v>
      </c>
      <c r="X230" s="460">
        <v>0</v>
      </c>
      <c r="Y230" s="460">
        <v>0</v>
      </c>
      <c r="Z230" s="460">
        <v>0</v>
      </c>
    </row>
    <row r="231" spans="1:26" ht="12.75" customHeight="1" x14ac:dyDescent="0.25">
      <c r="E231" s="89" t="s">
        <v>72</v>
      </c>
      <c r="F231" s="373">
        <v>9719750244.8199997</v>
      </c>
      <c r="G231" s="90">
        <v>518985297.01999998</v>
      </c>
      <c r="H231" s="90">
        <v>289013100.16000003</v>
      </c>
      <c r="I231" s="90">
        <v>153714080.84</v>
      </c>
      <c r="J231" s="90">
        <v>2405209535.5500002</v>
      </c>
      <c r="K231" s="90">
        <v>86280652.689999998</v>
      </c>
      <c r="L231" s="90">
        <v>14487413.710000001</v>
      </c>
      <c r="M231" s="90">
        <v>757500669.33000004</v>
      </c>
      <c r="N231" s="90">
        <v>717156253.16999996</v>
      </c>
      <c r="O231" s="90">
        <v>3407243450.5100002</v>
      </c>
      <c r="P231" s="90">
        <v>1229371624.98</v>
      </c>
      <c r="Q231" s="90">
        <v>140870667.74000001</v>
      </c>
      <c r="R231" s="90">
        <v>-82500.88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ht="12.75" customHeight="1" x14ac:dyDescent="0.25">
      <c r="E232" s="89" t="s">
        <v>81</v>
      </c>
      <c r="F232" s="373">
        <v>6460238.2999999998</v>
      </c>
      <c r="G232" s="90">
        <v>500475.93</v>
      </c>
      <c r="H232" s="90">
        <v>267595.03999999998</v>
      </c>
      <c r="I232" s="90">
        <v>141148.85</v>
      </c>
      <c r="J232" s="90">
        <v>1409060.29</v>
      </c>
      <c r="K232" s="90">
        <v>52892.7</v>
      </c>
      <c r="L232" s="90">
        <v>6692.14</v>
      </c>
      <c r="M232" s="90">
        <v>464137.12</v>
      </c>
      <c r="N232" s="90">
        <v>433080.35</v>
      </c>
      <c r="O232" s="90">
        <v>1921331.41</v>
      </c>
      <c r="P232" s="90">
        <v>1177481.7</v>
      </c>
      <c r="Q232" s="90">
        <v>86340.22</v>
      </c>
      <c r="R232" s="90">
        <v>1.44</v>
      </c>
      <c r="S232" s="90">
        <v>-0.43</v>
      </c>
      <c r="T232">
        <v>1.54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t="12.75" customHeight="1" x14ac:dyDescent="0.25">
      <c r="D233" t="s">
        <v>156</v>
      </c>
      <c r="E233" s="89" t="s">
        <v>70</v>
      </c>
      <c r="F233" s="90">
        <v>9726210483.1200008</v>
      </c>
      <c r="G233" s="90">
        <v>519485772.94999999</v>
      </c>
      <c r="H233" s="90">
        <v>289280695.19999999</v>
      </c>
      <c r="I233" s="90">
        <v>153855229.69</v>
      </c>
      <c r="J233" s="90">
        <v>2406618595.8400002</v>
      </c>
      <c r="K233" s="90">
        <v>86333545.390000001</v>
      </c>
      <c r="L233" s="90">
        <v>14494105.85</v>
      </c>
      <c r="M233" s="90">
        <v>757964806.45000005</v>
      </c>
      <c r="N233" s="90">
        <v>717589333.51999998</v>
      </c>
      <c r="O233" s="90">
        <v>3409164781.9200001</v>
      </c>
      <c r="P233" s="90">
        <v>1230549106.6800001</v>
      </c>
      <c r="Q233" s="90">
        <v>140957007.96000001</v>
      </c>
      <c r="R233" s="90">
        <v>-82499.44</v>
      </c>
      <c r="S233" s="90">
        <v>-0.43</v>
      </c>
      <c r="T233">
        <v>1.54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s="288" customFormat="1" ht="12.75" customHeight="1" x14ac:dyDescent="0.25">
      <c r="C234" s="288" t="s">
        <v>155</v>
      </c>
      <c r="D234" s="288" t="s">
        <v>70</v>
      </c>
      <c r="E234" s="229"/>
      <c r="F234" s="229">
        <v>9726210483.1200008</v>
      </c>
      <c r="G234" s="230">
        <v>519485772.94999999</v>
      </c>
      <c r="H234" s="230">
        <v>289280695.19999999</v>
      </c>
      <c r="I234" s="230">
        <v>153855229.69</v>
      </c>
      <c r="J234" s="230">
        <v>2406618595.8400002</v>
      </c>
      <c r="K234" s="230">
        <v>86333545.390000001</v>
      </c>
      <c r="L234" s="230">
        <v>14494105.85</v>
      </c>
      <c r="M234" s="230">
        <v>757964806.45000005</v>
      </c>
      <c r="N234" s="230">
        <v>717589333.51999998</v>
      </c>
      <c r="O234" s="230">
        <v>3409164781.9200001</v>
      </c>
      <c r="P234" s="230">
        <v>1230549106.6800001</v>
      </c>
      <c r="Q234" s="230">
        <v>140957007.96000001</v>
      </c>
      <c r="R234" s="230">
        <v>-82499.44</v>
      </c>
      <c r="S234" s="230">
        <v>-0.43</v>
      </c>
      <c r="T234" s="230">
        <v>1.54</v>
      </c>
      <c r="U234" s="230">
        <v>0</v>
      </c>
      <c r="V234" s="230">
        <v>0</v>
      </c>
      <c r="W234" s="230">
        <v>0</v>
      </c>
      <c r="X234" s="230">
        <v>0</v>
      </c>
      <c r="Y234" s="230">
        <v>0</v>
      </c>
      <c r="Z234" s="230">
        <v>0</v>
      </c>
    </row>
    <row r="235" spans="1:26" ht="12.75" customHeight="1" x14ac:dyDescent="0.25">
      <c r="E235" s="89" t="s">
        <v>72</v>
      </c>
      <c r="F235" s="90">
        <v>27893217.32</v>
      </c>
      <c r="G235" s="90">
        <v>2081012.49</v>
      </c>
      <c r="H235" s="90">
        <v>1155536.0900000001</v>
      </c>
      <c r="I235" s="90">
        <v>617410.02</v>
      </c>
      <c r="J235" s="90">
        <v>6000571.4100000001</v>
      </c>
      <c r="K235" s="90">
        <v>162410.15</v>
      </c>
      <c r="L235" s="90">
        <v>120000</v>
      </c>
      <c r="M235" s="90">
        <v>1429718.63</v>
      </c>
      <c r="N235" s="90">
        <v>1933171.8</v>
      </c>
      <c r="O235" s="90">
        <v>9206584.2100000009</v>
      </c>
      <c r="P235" s="90">
        <v>4919256.99</v>
      </c>
      <c r="Q235" s="90">
        <v>267301.82</v>
      </c>
      <c r="R235" s="90">
        <v>243.71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ht="12.75" customHeight="1" x14ac:dyDescent="0.25">
      <c r="E236" s="89" t="s">
        <v>81</v>
      </c>
      <c r="F236" s="90">
        <v>154599.57999999999</v>
      </c>
      <c r="G236" s="90">
        <v>10824.74</v>
      </c>
      <c r="H236" s="90">
        <v>6004.38</v>
      </c>
      <c r="I236" s="90">
        <v>3208.77</v>
      </c>
      <c r="J236" s="90">
        <v>34776.93</v>
      </c>
      <c r="K236" s="90">
        <v>950.03</v>
      </c>
      <c r="L236" s="90">
        <v>0</v>
      </c>
      <c r="M236" s="90">
        <v>8342.33</v>
      </c>
      <c r="N236" s="90">
        <v>11217.5</v>
      </c>
      <c r="O236" s="90">
        <v>52265.65</v>
      </c>
      <c r="P236" s="90">
        <v>25462.6</v>
      </c>
      <c r="Q236" s="90">
        <v>1550.04</v>
      </c>
      <c r="R236" s="90">
        <v>-3.48</v>
      </c>
      <c r="S236" s="90">
        <v>0.09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ht="12.75" customHeight="1" x14ac:dyDescent="0.25">
      <c r="D237" s="89" t="s">
        <v>82</v>
      </c>
      <c r="E237" s="89" t="s">
        <v>70</v>
      </c>
      <c r="F237" s="90">
        <v>28047816.899999999</v>
      </c>
      <c r="G237" s="90">
        <v>2091837.23</v>
      </c>
      <c r="H237" s="90">
        <v>1161540.47</v>
      </c>
      <c r="I237" s="90">
        <v>620618.79</v>
      </c>
      <c r="J237" s="90">
        <v>6035348.3399999999</v>
      </c>
      <c r="K237" s="90">
        <v>163360.18</v>
      </c>
      <c r="L237" s="90">
        <v>120000</v>
      </c>
      <c r="M237" s="90">
        <v>1438060.96</v>
      </c>
      <c r="N237" s="90">
        <v>1944389.3</v>
      </c>
      <c r="O237" s="90">
        <v>9258849.8599999994</v>
      </c>
      <c r="P237" s="90">
        <v>4944719.59</v>
      </c>
      <c r="Q237" s="90">
        <v>268851.86</v>
      </c>
      <c r="R237" s="90">
        <v>240.23</v>
      </c>
      <c r="S237" s="90">
        <v>0.09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ht="12.75" customHeight="1" x14ac:dyDescent="0.25">
      <c r="D238" s="89"/>
      <c r="E238" s="89" t="s">
        <v>72</v>
      </c>
      <c r="F238" s="90">
        <v>29974838.109999999</v>
      </c>
      <c r="G238" s="90">
        <v>4371957.34</v>
      </c>
      <c r="H238" s="90">
        <v>2385801.56</v>
      </c>
      <c r="I238" s="90">
        <v>1257846.1000000001</v>
      </c>
      <c r="J238" s="90">
        <v>3214417.44</v>
      </c>
      <c r="K238" s="90">
        <v>135193.76999999999</v>
      </c>
      <c r="L238" s="90">
        <v>535353.18999999994</v>
      </c>
      <c r="M238" s="90">
        <v>1184512.71</v>
      </c>
      <c r="N238" s="90">
        <v>1156651.8899999999</v>
      </c>
      <c r="O238" s="90">
        <v>5194600.59</v>
      </c>
      <c r="P238" s="90">
        <v>10318301.26</v>
      </c>
      <c r="Q238" s="90">
        <v>220225.91</v>
      </c>
      <c r="R238" s="90">
        <v>-23.65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ht="12.75" customHeight="1" x14ac:dyDescent="0.25">
      <c r="E239" s="89" t="s">
        <v>81</v>
      </c>
      <c r="F239" s="90">
        <v>753903.19</v>
      </c>
      <c r="G239" s="90">
        <v>75688.100000000006</v>
      </c>
      <c r="H239" s="90">
        <v>39256.080000000002</v>
      </c>
      <c r="I239" s="90">
        <v>17189.55</v>
      </c>
      <c r="J239" s="90">
        <v>111623.91</v>
      </c>
      <c r="K239" s="90">
        <v>7618.41</v>
      </c>
      <c r="L239" s="90">
        <v>0</v>
      </c>
      <c r="M239" s="90">
        <v>66787.320000000007</v>
      </c>
      <c r="N239" s="90">
        <v>57030.81</v>
      </c>
      <c r="O239" s="90">
        <v>195601.23</v>
      </c>
      <c r="P239" s="90">
        <v>170673.94</v>
      </c>
      <c r="Q239" s="90">
        <v>12428.53</v>
      </c>
      <c r="R239" s="90">
        <v>13.62</v>
      </c>
      <c r="S239" s="90">
        <v>-8.35</v>
      </c>
      <c r="T239">
        <v>0.04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ht="12.75" customHeight="1" x14ac:dyDescent="0.25">
      <c r="D240" s="89" t="s">
        <v>86</v>
      </c>
      <c r="E240" s="89" t="s">
        <v>70</v>
      </c>
      <c r="F240" s="90">
        <v>30728741.300000001</v>
      </c>
      <c r="G240" s="90">
        <v>4447645.4400000004</v>
      </c>
      <c r="H240" s="90">
        <v>2425057.64</v>
      </c>
      <c r="I240" s="90">
        <v>1275035.6499999999</v>
      </c>
      <c r="J240" s="90">
        <v>3326041.35</v>
      </c>
      <c r="K240" s="90">
        <v>142812.18</v>
      </c>
      <c r="L240" s="90">
        <v>535353.18999999994</v>
      </c>
      <c r="M240" s="90">
        <v>1251300.03</v>
      </c>
      <c r="N240" s="90">
        <v>1213682.7</v>
      </c>
      <c r="O240" s="90">
        <v>5390201.8200000003</v>
      </c>
      <c r="P240" s="90">
        <v>10488975.199999999</v>
      </c>
      <c r="Q240" s="90">
        <v>232654.44</v>
      </c>
      <c r="R240" s="90">
        <v>-10.029999999999999</v>
      </c>
      <c r="S240" s="90">
        <v>-8.35</v>
      </c>
      <c r="T240">
        <v>0.04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ht="12.75" customHeight="1" x14ac:dyDescent="0.25">
      <c r="E241" s="89" t="s">
        <v>72</v>
      </c>
      <c r="F241" s="90">
        <v>226728731.69999999</v>
      </c>
      <c r="G241" s="90">
        <v>42828311.229999997</v>
      </c>
      <c r="H241" s="90">
        <v>24273629.100000001</v>
      </c>
      <c r="I241" s="90">
        <v>12708424.33</v>
      </c>
      <c r="J241" s="90">
        <v>12928902.76</v>
      </c>
      <c r="K241" s="90">
        <v>341568.52</v>
      </c>
      <c r="L241" s="90">
        <v>4088350.02</v>
      </c>
      <c r="M241" s="90">
        <v>3004870.82</v>
      </c>
      <c r="N241" s="90">
        <v>4237775.21</v>
      </c>
      <c r="O241" s="90">
        <v>20284611.449999999</v>
      </c>
      <c r="P241" s="90">
        <v>101468705.94</v>
      </c>
      <c r="Q241" s="90">
        <v>563016.39</v>
      </c>
      <c r="R241" s="90">
        <v>565.92999999999995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t="12.75" customHeight="1" x14ac:dyDescent="0.25">
      <c r="E242" s="89" t="s">
        <v>81</v>
      </c>
      <c r="F242" s="90">
        <v>1206617.6299999999</v>
      </c>
      <c r="G242" s="90">
        <v>195527.8</v>
      </c>
      <c r="H242" s="90">
        <v>126581.95</v>
      </c>
      <c r="I242" s="90">
        <v>58497.16</v>
      </c>
      <c r="J242" s="90">
        <v>112774.52</v>
      </c>
      <c r="K242" s="90">
        <v>2729.26</v>
      </c>
      <c r="L242" s="90">
        <v>67908.600000000006</v>
      </c>
      <c r="M242" s="90">
        <v>23708.58</v>
      </c>
      <c r="N242" s="90">
        <v>33699.53</v>
      </c>
      <c r="O242" s="90">
        <v>157605.82</v>
      </c>
      <c r="P242" s="90">
        <v>464745.83</v>
      </c>
      <c r="Q242" s="90">
        <v>4452.93</v>
      </c>
      <c r="R242" s="90">
        <v>-1.56</v>
      </c>
      <c r="S242" s="90">
        <v>-41612.79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t="12.75" customHeight="1" x14ac:dyDescent="0.25">
      <c r="D243" s="89" t="s">
        <v>87</v>
      </c>
      <c r="E243" s="89" t="s">
        <v>70</v>
      </c>
      <c r="F243" s="90">
        <v>227935349.33000001</v>
      </c>
      <c r="G243" s="90">
        <v>43023839.030000001</v>
      </c>
      <c r="H243" s="90">
        <v>24400211.050000001</v>
      </c>
      <c r="I243" s="90">
        <v>12766921.49</v>
      </c>
      <c r="J243" s="90">
        <v>13041677.279999999</v>
      </c>
      <c r="K243" s="90">
        <v>344297.78</v>
      </c>
      <c r="L243" s="90">
        <v>4156258.62</v>
      </c>
      <c r="M243" s="90">
        <v>3028579.4</v>
      </c>
      <c r="N243" s="90">
        <v>4271474.74</v>
      </c>
      <c r="O243" s="90">
        <v>20442217.27</v>
      </c>
      <c r="P243" s="90">
        <v>101933451.77</v>
      </c>
      <c r="Q243" s="90">
        <v>567469.31999999995</v>
      </c>
      <c r="R243" s="90">
        <v>564.37</v>
      </c>
      <c r="S243" s="90">
        <v>-41612.79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s="94" customFormat="1" ht="12.75" customHeight="1" x14ac:dyDescent="0.25">
      <c r="C244" s="101" t="s">
        <v>119</v>
      </c>
      <c r="D244" s="101" t="s">
        <v>70</v>
      </c>
      <c r="F244" s="93">
        <v>286711907.52999997</v>
      </c>
      <c r="G244" s="93">
        <v>49563321.700000003</v>
      </c>
      <c r="H244" s="93">
        <v>27986809.16</v>
      </c>
      <c r="I244" s="93">
        <v>14662575.93</v>
      </c>
      <c r="J244" s="93">
        <v>22403066.969999999</v>
      </c>
      <c r="K244" s="93">
        <v>650470.14</v>
      </c>
      <c r="L244" s="93">
        <v>4811611.8099999996</v>
      </c>
      <c r="M244" s="93">
        <v>5717940.3899999997</v>
      </c>
      <c r="N244" s="93">
        <v>7429546.7400000002</v>
      </c>
      <c r="O244" s="93">
        <v>35091268.950000003</v>
      </c>
      <c r="P244" s="93">
        <v>117367146.56</v>
      </c>
      <c r="Q244" s="93">
        <v>1068975.6200000001</v>
      </c>
      <c r="R244" s="93">
        <v>794.57</v>
      </c>
      <c r="S244" s="93">
        <v>-41621.050000000003</v>
      </c>
      <c r="T244" s="94">
        <v>0.04</v>
      </c>
      <c r="U244" s="94">
        <v>0</v>
      </c>
      <c r="V244" s="94">
        <v>0</v>
      </c>
      <c r="W244" s="94">
        <v>0</v>
      </c>
      <c r="X244" s="94">
        <v>0</v>
      </c>
      <c r="Y244" s="94">
        <v>0</v>
      </c>
      <c r="Z244" s="94">
        <v>0</v>
      </c>
    </row>
    <row r="245" spans="1:26" s="226" customFormat="1" ht="12.75" customHeight="1" x14ac:dyDescent="0.25">
      <c r="B245" s="98" t="s">
        <v>112</v>
      </c>
      <c r="C245" s="98" t="s">
        <v>70</v>
      </c>
      <c r="F245" s="100">
        <v>10012922390.65</v>
      </c>
      <c r="G245" s="100">
        <v>569049094.64999998</v>
      </c>
      <c r="H245" s="100">
        <v>317267504.36000001</v>
      </c>
      <c r="I245" s="100">
        <v>168517805.62</v>
      </c>
      <c r="J245" s="100">
        <v>2429021662.8099999</v>
      </c>
      <c r="K245" s="100">
        <v>86984015.530000001</v>
      </c>
      <c r="L245" s="100">
        <v>19305717.66</v>
      </c>
      <c r="M245" s="100">
        <v>763682746.84000003</v>
      </c>
      <c r="N245" s="100">
        <v>725018880.25999999</v>
      </c>
      <c r="O245" s="100">
        <v>3444256050.8699999</v>
      </c>
      <c r="P245" s="100">
        <v>1347916253.24</v>
      </c>
      <c r="Q245" s="100">
        <v>142025983.58000001</v>
      </c>
      <c r="R245" s="100">
        <v>-81704.87</v>
      </c>
      <c r="S245" s="100">
        <v>-41621.480000000003</v>
      </c>
      <c r="T245" s="226">
        <v>1.58</v>
      </c>
      <c r="U245" s="226">
        <v>0</v>
      </c>
      <c r="V245" s="226">
        <v>0</v>
      </c>
      <c r="W245" s="226">
        <v>0</v>
      </c>
      <c r="X245" s="226">
        <v>0</v>
      </c>
      <c r="Y245" s="226">
        <v>0</v>
      </c>
      <c r="Z245" s="226">
        <v>0</v>
      </c>
    </row>
    <row r="246" spans="1:26" ht="12.75" customHeight="1" x14ac:dyDescent="0.25">
      <c r="A246" s="89" t="s">
        <v>78</v>
      </c>
      <c r="B246" s="89" t="s">
        <v>70</v>
      </c>
      <c r="F246" s="90">
        <v>10012922390.65</v>
      </c>
      <c r="G246" s="90">
        <v>569049094.64999998</v>
      </c>
      <c r="H246" s="90">
        <v>317267504.36000001</v>
      </c>
      <c r="I246" s="90">
        <v>168517805.62</v>
      </c>
      <c r="J246" s="90">
        <v>2429021662.8099999</v>
      </c>
      <c r="K246" s="90">
        <v>86984015.530000001</v>
      </c>
      <c r="L246" s="90">
        <v>19305717.66</v>
      </c>
      <c r="M246" s="90">
        <v>763682746.84000003</v>
      </c>
      <c r="N246" s="90">
        <v>725018880.25999999</v>
      </c>
      <c r="O246" s="90">
        <v>3444256050.8699999</v>
      </c>
      <c r="P246" s="90">
        <v>1347916253.24</v>
      </c>
      <c r="Q246" s="90">
        <v>142025983.58000001</v>
      </c>
      <c r="R246" s="90">
        <v>-81704.87</v>
      </c>
      <c r="S246" s="90">
        <v>-41621.480000000003</v>
      </c>
      <c r="T246">
        <v>1.58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t="12.75" customHeight="1" x14ac:dyDescent="0.25">
      <c r="E247" s="89" t="s">
        <v>73</v>
      </c>
      <c r="F247" s="373">
        <v>-1327632993.0699999</v>
      </c>
      <c r="G247" s="90">
        <v>-8564985.7699999996</v>
      </c>
      <c r="H247" s="90">
        <v>-4774987.63</v>
      </c>
      <c r="I247" s="90">
        <v>-2523218.8199999998</v>
      </c>
      <c r="J247" s="90">
        <v>-408268306.70999998</v>
      </c>
      <c r="K247" s="90">
        <v>-14887976.699999999</v>
      </c>
      <c r="L247" s="90">
        <v>0</v>
      </c>
      <c r="M247" s="90">
        <v>-130597681.34</v>
      </c>
      <c r="N247" s="90">
        <v>-124131146.83</v>
      </c>
      <c r="O247" s="90">
        <v>-589163703.41999996</v>
      </c>
      <c r="P247" s="90">
        <v>-20430834.859999999</v>
      </c>
      <c r="Q247" s="90">
        <v>-24290150.989999998</v>
      </c>
      <c r="R247" s="90">
        <v>0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D248" t="s">
        <v>156</v>
      </c>
      <c r="E248" s="89" t="s">
        <v>70</v>
      </c>
      <c r="F248" s="373">
        <v>-1327632993.0699999</v>
      </c>
      <c r="G248" s="90">
        <v>-8564985.7699999996</v>
      </c>
      <c r="H248" s="90">
        <v>-4774987.63</v>
      </c>
      <c r="I248" s="90">
        <v>-2523218.8199999998</v>
      </c>
      <c r="J248" s="90">
        <v>-408268306.70999998</v>
      </c>
      <c r="K248" s="90">
        <v>-14887976.699999999</v>
      </c>
      <c r="L248" s="90">
        <v>0</v>
      </c>
      <c r="M248" s="90">
        <v>-130597681.34</v>
      </c>
      <c r="N248" s="90">
        <v>-124131146.83</v>
      </c>
      <c r="O248" s="90">
        <v>-589163703.41999996</v>
      </c>
      <c r="P248" s="90">
        <v>-20430834.859999999</v>
      </c>
      <c r="Q248" s="90">
        <v>-24290150.989999998</v>
      </c>
      <c r="R248" s="90">
        <v>0</v>
      </c>
      <c r="S248" s="90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s="288" customFormat="1" ht="12.75" customHeight="1" x14ac:dyDescent="0.25">
      <c r="C249" s="288" t="s">
        <v>155</v>
      </c>
      <c r="D249" s="288" t="s">
        <v>70</v>
      </c>
      <c r="E249" s="229"/>
      <c r="F249" s="229">
        <v>-1327632993.0699999</v>
      </c>
      <c r="G249" s="230">
        <v>-8564985.7699999996</v>
      </c>
      <c r="H249" s="230">
        <v>-4774987.63</v>
      </c>
      <c r="I249" s="230">
        <v>-2523218.8199999998</v>
      </c>
      <c r="J249" s="230">
        <v>-408268306.70999998</v>
      </c>
      <c r="K249" s="230">
        <v>-14887976.699999999</v>
      </c>
      <c r="L249" s="230">
        <v>0</v>
      </c>
      <c r="M249" s="230">
        <v>-130597681.34</v>
      </c>
      <c r="N249" s="230">
        <v>-124131146.83</v>
      </c>
      <c r="O249" s="230">
        <v>-589163703.41999996</v>
      </c>
      <c r="P249" s="230">
        <v>-20430834.859999999</v>
      </c>
      <c r="Q249" s="230">
        <v>-24290150.989999998</v>
      </c>
      <c r="R249" s="230">
        <v>0</v>
      </c>
      <c r="S249" s="230">
        <v>0</v>
      </c>
      <c r="T249" s="230">
        <v>0</v>
      </c>
      <c r="U249" s="230">
        <v>0</v>
      </c>
      <c r="V249" s="230">
        <v>0</v>
      </c>
      <c r="W249" s="230">
        <v>0</v>
      </c>
      <c r="X249" s="230">
        <v>0</v>
      </c>
      <c r="Y249" s="230">
        <v>0</v>
      </c>
      <c r="Z249" s="230">
        <v>0</v>
      </c>
    </row>
    <row r="250" spans="1:26" ht="12.75" customHeight="1" x14ac:dyDescent="0.25">
      <c r="D250" s="89"/>
      <c r="E250" s="89" t="s">
        <v>73</v>
      </c>
      <c r="F250" s="90">
        <v>2828333.1</v>
      </c>
      <c r="G250" s="90">
        <v>743180.49</v>
      </c>
      <c r="H250" s="90">
        <v>414441.74</v>
      </c>
      <c r="I250" s="90">
        <v>221023.81</v>
      </c>
      <c r="J250" s="90">
        <v>-139031.15</v>
      </c>
      <c r="K250" s="90">
        <v>-2208.44</v>
      </c>
      <c r="L250" s="90">
        <v>0</v>
      </c>
      <c r="M250" s="90">
        <v>-20313.72</v>
      </c>
      <c r="N250" s="90">
        <v>-24977.48</v>
      </c>
      <c r="O250" s="90">
        <v>-121230.75</v>
      </c>
      <c r="P250" s="90">
        <v>1761052.74</v>
      </c>
      <c r="Q250" s="90">
        <v>-3604.14</v>
      </c>
      <c r="R250" s="90">
        <v>0</v>
      </c>
      <c r="S250" s="9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ht="12.75" customHeight="1" x14ac:dyDescent="0.25">
      <c r="D251" t="s">
        <v>82</v>
      </c>
      <c r="E251" s="89" t="s">
        <v>70</v>
      </c>
      <c r="F251" s="90">
        <v>2828333.1</v>
      </c>
      <c r="G251" s="90">
        <v>743180.49</v>
      </c>
      <c r="H251" s="90">
        <v>414441.74</v>
      </c>
      <c r="I251" s="90">
        <v>221023.81</v>
      </c>
      <c r="J251" s="90">
        <v>-139031.15</v>
      </c>
      <c r="K251" s="90">
        <v>-2208.44</v>
      </c>
      <c r="L251" s="90">
        <v>0</v>
      </c>
      <c r="M251" s="90">
        <v>-20313.72</v>
      </c>
      <c r="N251" s="90">
        <v>-24977.48</v>
      </c>
      <c r="O251" s="90">
        <v>-121230.75</v>
      </c>
      <c r="P251" s="90">
        <v>1761052.74</v>
      </c>
      <c r="Q251" s="90">
        <v>-3604.14</v>
      </c>
      <c r="R251" s="90">
        <v>0</v>
      </c>
      <c r="S251" s="90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t="12.75" customHeight="1" x14ac:dyDescent="0.25">
      <c r="D252" s="89"/>
      <c r="E252" s="89" t="s">
        <v>73</v>
      </c>
      <c r="F252" s="90">
        <v>10204619.699999999</v>
      </c>
      <c r="G252" s="90">
        <v>2328991.14</v>
      </c>
      <c r="H252" s="90">
        <v>1287297.82</v>
      </c>
      <c r="I252" s="90">
        <v>679570.49</v>
      </c>
      <c r="J252" s="90">
        <v>102278.14</v>
      </c>
      <c r="K252" s="90">
        <v>4415.71</v>
      </c>
      <c r="L252" s="90">
        <v>0</v>
      </c>
      <c r="M252" s="90">
        <v>39056.980000000003</v>
      </c>
      <c r="N252" s="90">
        <v>58210.36</v>
      </c>
      <c r="O252" s="90">
        <v>188950.98</v>
      </c>
      <c r="P252" s="90">
        <v>5508643.75</v>
      </c>
      <c r="Q252" s="90">
        <v>7204.33</v>
      </c>
      <c r="R252" s="90">
        <v>0</v>
      </c>
      <c r="S252" s="90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t="12.75" customHeight="1" x14ac:dyDescent="0.25">
      <c r="D253" t="s">
        <v>86</v>
      </c>
      <c r="E253" s="89" t="s">
        <v>70</v>
      </c>
      <c r="F253" s="90">
        <v>10204619.699999999</v>
      </c>
      <c r="G253" s="90">
        <v>2328991.14</v>
      </c>
      <c r="H253" s="90">
        <v>1287297.82</v>
      </c>
      <c r="I253" s="90">
        <v>679570.49</v>
      </c>
      <c r="J253" s="90">
        <v>102278.14</v>
      </c>
      <c r="K253" s="90">
        <v>4415.71</v>
      </c>
      <c r="L253" s="90">
        <v>0</v>
      </c>
      <c r="M253" s="90">
        <v>39056.980000000003</v>
      </c>
      <c r="N253" s="90">
        <v>58210.36</v>
      </c>
      <c r="O253" s="90">
        <v>188950.98</v>
      </c>
      <c r="P253" s="90">
        <v>5508643.75</v>
      </c>
      <c r="Q253" s="90">
        <v>7204.33</v>
      </c>
      <c r="R253" s="90">
        <v>0</v>
      </c>
      <c r="S253" s="90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t="12.75" customHeight="1" x14ac:dyDescent="0.25">
      <c r="D254" s="89"/>
      <c r="E254" s="89" t="s">
        <v>73</v>
      </c>
      <c r="F254" s="90">
        <v>132456085.67</v>
      </c>
      <c r="G254" s="90">
        <v>30585428.239999998</v>
      </c>
      <c r="H254" s="90">
        <v>17048992.600000001</v>
      </c>
      <c r="I254" s="90">
        <v>9062837.0399999991</v>
      </c>
      <c r="J254" s="90">
        <v>1058444.68</v>
      </c>
      <c r="K254" s="90">
        <v>25732.85</v>
      </c>
      <c r="L254" s="90">
        <v>0</v>
      </c>
      <c r="M254" s="90">
        <v>227727.21</v>
      </c>
      <c r="N254" s="90">
        <v>319819.03999999998</v>
      </c>
      <c r="O254" s="90">
        <v>1520655.55</v>
      </c>
      <c r="P254" s="90">
        <v>72564464.719999999</v>
      </c>
      <c r="Q254" s="90">
        <v>41983.74</v>
      </c>
      <c r="R254" s="90">
        <v>0</v>
      </c>
      <c r="S254" s="90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ht="12.75" customHeight="1" x14ac:dyDescent="0.25">
      <c r="C255" s="89"/>
      <c r="D255" s="89" t="s">
        <v>87</v>
      </c>
      <c r="E255" t="s">
        <v>70</v>
      </c>
      <c r="F255" s="90">
        <v>132456085.67</v>
      </c>
      <c r="G255" s="90">
        <v>30585428.239999998</v>
      </c>
      <c r="H255" s="90">
        <v>17048992.600000001</v>
      </c>
      <c r="I255" s="90">
        <v>9062837.0399999991</v>
      </c>
      <c r="J255" s="90">
        <v>1058444.68</v>
      </c>
      <c r="K255" s="90">
        <v>25732.85</v>
      </c>
      <c r="L255" s="90">
        <v>0</v>
      </c>
      <c r="M255" s="90">
        <v>227727.21</v>
      </c>
      <c r="N255" s="90">
        <v>319819.03999999998</v>
      </c>
      <c r="O255" s="90">
        <v>1520655.55</v>
      </c>
      <c r="P255" s="90">
        <v>72564464.719999999</v>
      </c>
      <c r="Q255" s="90">
        <v>41983.74</v>
      </c>
      <c r="R255" s="90">
        <v>0</v>
      </c>
      <c r="S255" s="90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s="94" customFormat="1" ht="12.75" customHeight="1" x14ac:dyDescent="0.25">
      <c r="C256" s="101" t="s">
        <v>119</v>
      </c>
      <c r="D256" s="101" t="s">
        <v>70</v>
      </c>
      <c r="F256" s="93">
        <v>145489038.47</v>
      </c>
      <c r="G256" s="93">
        <v>33657599.869999997</v>
      </c>
      <c r="H256" s="93">
        <v>18750732.16</v>
      </c>
      <c r="I256" s="93">
        <v>9963431.3399999999</v>
      </c>
      <c r="J256" s="93">
        <v>1021691.67</v>
      </c>
      <c r="K256" s="93">
        <v>27940.12</v>
      </c>
      <c r="L256" s="93">
        <v>0</v>
      </c>
      <c r="M256" s="93">
        <v>246470.47</v>
      </c>
      <c r="N256" s="93">
        <v>353051.92</v>
      </c>
      <c r="O256" s="93">
        <v>1588375.78</v>
      </c>
      <c r="P256" s="93">
        <v>79834161.209999993</v>
      </c>
      <c r="Q256" s="93">
        <v>45583.93</v>
      </c>
      <c r="R256" s="93">
        <v>0</v>
      </c>
      <c r="S256" s="93">
        <v>0</v>
      </c>
      <c r="T256" s="94">
        <v>0</v>
      </c>
      <c r="U256" s="94">
        <v>0</v>
      </c>
      <c r="V256" s="94">
        <v>0</v>
      </c>
      <c r="W256" s="94">
        <v>0</v>
      </c>
      <c r="X256" s="94">
        <v>0</v>
      </c>
      <c r="Y256" s="94">
        <v>0</v>
      </c>
      <c r="Z256" s="94">
        <v>0</v>
      </c>
    </row>
    <row r="257" spans="1:26" s="226" customFormat="1" ht="12.75" customHeight="1" x14ac:dyDescent="0.25">
      <c r="A257" s="98"/>
      <c r="B257" s="98" t="s">
        <v>112</v>
      </c>
      <c r="C257" s="226" t="s">
        <v>70</v>
      </c>
      <c r="F257" s="100">
        <v>-1182143954.5999999</v>
      </c>
      <c r="G257" s="100">
        <v>25092614.100000001</v>
      </c>
      <c r="H257" s="100">
        <v>13975744.529999999</v>
      </c>
      <c r="I257" s="100">
        <v>7440212.5199999996</v>
      </c>
      <c r="J257" s="100">
        <v>-407246615.04000002</v>
      </c>
      <c r="K257" s="100">
        <v>-14860036.58</v>
      </c>
      <c r="L257" s="100">
        <v>0</v>
      </c>
      <c r="M257" s="100">
        <v>-130351210.87</v>
      </c>
      <c r="N257" s="100">
        <v>-123778094.91</v>
      </c>
      <c r="O257" s="100">
        <v>-587575327.63999999</v>
      </c>
      <c r="P257" s="100">
        <v>59403326.350000001</v>
      </c>
      <c r="Q257" s="100">
        <v>-24244567.059999999</v>
      </c>
      <c r="R257" s="100">
        <v>0</v>
      </c>
      <c r="S257" s="100">
        <v>0</v>
      </c>
      <c r="T257" s="226">
        <v>0</v>
      </c>
      <c r="U257" s="226">
        <v>0</v>
      </c>
      <c r="V257" s="226">
        <v>0</v>
      </c>
      <c r="W257" s="226">
        <v>0</v>
      </c>
      <c r="X257" s="226">
        <v>0</v>
      </c>
      <c r="Y257" s="226">
        <v>0</v>
      </c>
      <c r="Z257" s="226">
        <v>0</v>
      </c>
    </row>
    <row r="258" spans="1:26" ht="12.75" customHeight="1" x14ac:dyDescent="0.25">
      <c r="A258" s="89" t="s">
        <v>79</v>
      </c>
      <c r="B258" t="s">
        <v>70</v>
      </c>
      <c r="F258" s="90">
        <v>-1182143954.5999999</v>
      </c>
      <c r="G258" s="90">
        <v>25092614.100000001</v>
      </c>
      <c r="H258" s="90">
        <v>13975744.529999999</v>
      </c>
      <c r="I258" s="90">
        <v>7440212.5199999996</v>
      </c>
      <c r="J258" s="90">
        <v>-407246615.04000002</v>
      </c>
      <c r="K258" s="90">
        <v>-14860036.58</v>
      </c>
      <c r="L258" s="90">
        <v>0</v>
      </c>
      <c r="M258" s="90">
        <v>-130351210.87</v>
      </c>
      <c r="N258" s="90">
        <v>-123778094.91</v>
      </c>
      <c r="O258" s="90">
        <v>-587575327.63999999</v>
      </c>
      <c r="P258" s="90">
        <v>59403326.350000001</v>
      </c>
      <c r="Q258" s="90">
        <v>-24244567.059999999</v>
      </c>
      <c r="R258" s="90">
        <v>0</v>
      </c>
      <c r="S258" s="90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A259" t="s">
        <v>70</v>
      </c>
      <c r="E259" s="89"/>
      <c r="F259" s="90">
        <v>8830777878</v>
      </c>
      <c r="G259" s="90">
        <v>594141672.32000005</v>
      </c>
      <c r="H259" s="90">
        <v>331243233.41000003</v>
      </c>
      <c r="I259" s="90">
        <v>175958011.38</v>
      </c>
      <c r="J259" s="90">
        <v>2021774924.6300001</v>
      </c>
      <c r="K259" s="90">
        <v>72123973.959999993</v>
      </c>
      <c r="L259" s="90">
        <v>19305717.66</v>
      </c>
      <c r="M259" s="90">
        <v>633331492.19000006</v>
      </c>
      <c r="N259" s="90">
        <v>601240729.36000001</v>
      </c>
      <c r="O259" s="90">
        <v>2856680538.9099998</v>
      </c>
      <c r="P259" s="90">
        <v>1407319500.5699999</v>
      </c>
      <c r="Q259" s="90">
        <v>117781408.38</v>
      </c>
      <c r="R259" s="90">
        <v>-81704.87</v>
      </c>
      <c r="S259" s="90">
        <v>-41621.480000000003</v>
      </c>
      <c r="T259" s="150">
        <v>1.58</v>
      </c>
      <c r="U259" s="150">
        <v>0</v>
      </c>
      <c r="V259" s="150">
        <v>0</v>
      </c>
      <c r="W259" s="150">
        <v>0</v>
      </c>
      <c r="X259">
        <v>0</v>
      </c>
      <c r="Y259">
        <v>0</v>
      </c>
      <c r="Z259">
        <v>0</v>
      </c>
    </row>
    <row r="260" spans="1:26" ht="12.75" hidden="1" customHeight="1" x14ac:dyDescent="0.25">
      <c r="A260" s="89"/>
      <c r="B260" s="89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26" ht="12.75" hidden="1" customHeight="1" x14ac:dyDescent="0.25">
      <c r="E261" s="89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 spans="1:26" ht="12.75" hidden="1" customHeight="1" x14ac:dyDescent="0.25">
      <c r="D262" s="89"/>
      <c r="E262" s="89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 spans="1:26" ht="12.75" hidden="1" customHeight="1" x14ac:dyDescent="0.25">
      <c r="D263" s="89"/>
      <c r="E263" s="89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26" ht="12.75" hidden="1" customHeight="1" x14ac:dyDescent="0.25">
      <c r="E264" s="89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 spans="1:26" ht="12.75" hidden="1" customHeight="1" x14ac:dyDescent="0.25">
      <c r="D265" s="89"/>
      <c r="E265" s="89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26" ht="12.75" hidden="1" customHeight="1" x14ac:dyDescent="0.25">
      <c r="E266" s="89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1:26" ht="12.75" hidden="1" customHeight="1" x14ac:dyDescent="0.25">
      <c r="D267" s="89"/>
      <c r="E267" s="89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1:26" ht="12.75" hidden="1" customHeight="1" x14ac:dyDescent="0.25">
      <c r="E268" s="89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6" ht="12.75" hidden="1" customHeight="1" x14ac:dyDescent="0.25">
      <c r="D269" s="89"/>
      <c r="E269" s="89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1:26" ht="12.75" hidden="1" customHeight="1" x14ac:dyDescent="0.25">
      <c r="C270" s="89"/>
      <c r="D270" s="89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26" ht="12.75" hidden="1" customHeight="1" x14ac:dyDescent="0.25">
      <c r="E271" s="89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1:26" ht="12.75" hidden="1" customHeight="1" x14ac:dyDescent="0.25">
      <c r="D272" s="89"/>
      <c r="E272" s="89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1:23" ht="12.75" hidden="1" customHeight="1" x14ac:dyDescent="0.25">
      <c r="E273" s="89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23" ht="12.75" hidden="1" customHeight="1" x14ac:dyDescent="0.25">
      <c r="D274" s="89"/>
      <c r="E274" s="89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1:23" ht="12.75" hidden="1" customHeight="1" x14ac:dyDescent="0.25">
      <c r="C275" s="89"/>
      <c r="D275" s="8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23" ht="12.75" hidden="1" customHeight="1" x14ac:dyDescent="0.25">
      <c r="B276" s="89"/>
      <c r="C276" s="8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1:23" ht="12.75" hidden="1" customHeight="1" x14ac:dyDescent="0.25">
      <c r="A277" s="89"/>
      <c r="B277" s="8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1:23" ht="12.75" hidden="1" customHeight="1" x14ac:dyDescent="0.25">
      <c r="A278" s="8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23" ht="12.75" hidden="1" customHeight="1" x14ac:dyDescent="0.25">
      <c r="A279" s="8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1:23" ht="12.75" hidden="1" customHeight="1" x14ac:dyDescent="0.25">
      <c r="A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3" ht="12.75" hidden="1" customHeight="1" x14ac:dyDescent="0.25">
      <c r="A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3" ht="12.75" hidden="1" customHeight="1" x14ac:dyDescent="0.25">
      <c r="A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3" ht="12.75" hidden="1" customHeight="1" x14ac:dyDescent="0.25">
      <c r="A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150"/>
      <c r="U283" s="150"/>
      <c r="V283" s="150"/>
      <c r="W283" s="150"/>
    </row>
    <row r="284" spans="1:23" ht="12.75" hidden="1" customHeight="1" x14ac:dyDescent="0.25">
      <c r="A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150"/>
      <c r="U284" s="150"/>
      <c r="V284" s="150"/>
      <c r="W284" s="150"/>
    </row>
    <row r="285" spans="1:23" ht="12.75" hidden="1" customHeight="1" x14ac:dyDescent="0.25">
      <c r="A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150"/>
      <c r="U285" s="150"/>
      <c r="V285" s="150"/>
      <c r="W285" s="150"/>
    </row>
    <row r="286" spans="1:23" ht="12.75" hidden="1" customHeight="1" x14ac:dyDescent="0.25">
      <c r="A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150"/>
      <c r="U286" s="150"/>
      <c r="V286" s="150"/>
      <c r="W286" s="150"/>
    </row>
    <row r="287" spans="1:23" ht="12.75" hidden="1" customHeight="1" x14ac:dyDescent="0.25">
      <c r="A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150"/>
      <c r="U287" s="150"/>
      <c r="V287" s="150"/>
      <c r="W287" s="150"/>
    </row>
    <row r="288" spans="1:23" ht="12.75" hidden="1" customHeight="1" x14ac:dyDescent="0.25">
      <c r="A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150"/>
      <c r="U288" s="150"/>
      <c r="V288" s="150"/>
      <c r="W288" s="150"/>
    </row>
    <row r="289" spans="1:23" ht="12.75" hidden="1" customHeight="1" x14ac:dyDescent="0.25">
      <c r="A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150"/>
      <c r="U289" s="150"/>
      <c r="V289" s="150"/>
      <c r="W289" s="150"/>
    </row>
    <row r="290" spans="1:23" ht="12.75" hidden="1" customHeight="1" x14ac:dyDescent="0.25">
      <c r="A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150"/>
      <c r="U290" s="150"/>
      <c r="V290" s="150"/>
      <c r="W290" s="150"/>
    </row>
    <row r="291" spans="1:23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150"/>
      <c r="U291" s="150"/>
      <c r="V291" s="150"/>
      <c r="W291" s="150"/>
    </row>
    <row r="292" spans="1:23" ht="12.75" hidden="1" customHeight="1" x14ac:dyDescent="0.25">
      <c r="A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150"/>
      <c r="U292" s="150"/>
      <c r="V292" s="150"/>
      <c r="W292" s="150"/>
    </row>
    <row r="293" spans="1:23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150"/>
      <c r="U293" s="150"/>
      <c r="V293" s="150"/>
      <c r="W293" s="150"/>
    </row>
    <row r="294" spans="1:23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150"/>
      <c r="U294" s="150"/>
      <c r="V294" s="150"/>
      <c r="W294" s="150"/>
    </row>
    <row r="295" spans="1:23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150"/>
      <c r="U295" s="150"/>
      <c r="V295" s="150"/>
      <c r="W295" s="150"/>
    </row>
    <row r="296" spans="1:23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150"/>
      <c r="U296" s="150"/>
      <c r="V296" s="150"/>
      <c r="W296" s="150"/>
    </row>
    <row r="297" spans="1:23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150"/>
      <c r="U297" s="150"/>
      <c r="V297" s="150"/>
      <c r="W297" s="15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150"/>
      <c r="U298" s="150"/>
      <c r="V298" s="150"/>
      <c r="W298" s="15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150"/>
      <c r="U299" s="150"/>
      <c r="V299" s="150"/>
      <c r="W299" s="15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150"/>
      <c r="U300" s="150"/>
      <c r="V300" s="150"/>
      <c r="W300" s="15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150"/>
      <c r="U301" s="150"/>
      <c r="V301" s="150"/>
      <c r="W301" s="15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150"/>
      <c r="U302" s="150"/>
      <c r="V302" s="150"/>
      <c r="W302" s="15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41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41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41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41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41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41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41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41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41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41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41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41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41" ht="12.75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41" ht="12.75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41" ht="12.75" customHeight="1" x14ac:dyDescent="0.25">
      <c r="C319" s="768" t="s">
        <v>2</v>
      </c>
      <c r="D319" s="769" t="s">
        <v>132</v>
      </c>
      <c r="E319" s="98" t="s">
        <v>70</v>
      </c>
      <c r="F319" s="100">
        <f>F245+F257+F229-L229-L245</f>
        <v>8811472160.3400002</v>
      </c>
      <c r="G319" s="100">
        <f t="shared" ref="G319:AO319" si="14">G245+G229</f>
        <v>569049058.22000003</v>
      </c>
      <c r="H319" s="100">
        <f t="shared" si="14"/>
        <v>317267488.88</v>
      </c>
      <c r="I319" s="100">
        <f t="shared" si="14"/>
        <v>168517798.86000001</v>
      </c>
      <c r="J319" s="100">
        <f t="shared" si="14"/>
        <v>2429021539.6700001</v>
      </c>
      <c r="K319" s="100">
        <f t="shared" si="14"/>
        <v>86984010.540000007</v>
      </c>
      <c r="L319" s="100">
        <f t="shared" si="14"/>
        <v>19305717.66</v>
      </c>
      <c r="M319" s="100">
        <f t="shared" si="14"/>
        <v>763682703.06000006</v>
      </c>
      <c r="N319" s="100">
        <f t="shared" si="14"/>
        <v>725018824.26999998</v>
      </c>
      <c r="O319" s="100">
        <f t="shared" si="14"/>
        <v>3444255866.5499997</v>
      </c>
      <c r="P319" s="100">
        <f t="shared" si="14"/>
        <v>1347916174.22</v>
      </c>
      <c r="Q319" s="100">
        <f t="shared" si="14"/>
        <v>142025975.44000003</v>
      </c>
      <c r="R319" s="100">
        <f t="shared" si="14"/>
        <v>-81704.87</v>
      </c>
      <c r="S319" s="100">
        <f t="shared" si="14"/>
        <v>-41621.480000000003</v>
      </c>
      <c r="T319" s="100">
        <f t="shared" si="14"/>
        <v>1.58</v>
      </c>
      <c r="U319" s="100">
        <f t="shared" si="14"/>
        <v>0</v>
      </c>
      <c r="V319" s="100">
        <f t="shared" si="14"/>
        <v>0</v>
      </c>
      <c r="W319" s="100">
        <f t="shared" si="14"/>
        <v>0</v>
      </c>
      <c r="X319" s="100">
        <f t="shared" si="14"/>
        <v>0</v>
      </c>
      <c r="Y319" s="100">
        <f t="shared" si="14"/>
        <v>0</v>
      </c>
      <c r="Z319" s="100">
        <f t="shared" si="14"/>
        <v>0</v>
      </c>
      <c r="AA319" s="100">
        <f t="shared" si="14"/>
        <v>0</v>
      </c>
      <c r="AB319" s="100">
        <f t="shared" si="14"/>
        <v>0</v>
      </c>
      <c r="AC319" s="100">
        <f t="shared" si="14"/>
        <v>0</v>
      </c>
      <c r="AD319" s="100">
        <f t="shared" si="14"/>
        <v>0</v>
      </c>
      <c r="AE319" s="100">
        <f t="shared" si="14"/>
        <v>0</v>
      </c>
      <c r="AF319" s="100">
        <f t="shared" si="14"/>
        <v>0</v>
      </c>
      <c r="AG319" s="100">
        <f t="shared" si="14"/>
        <v>0</v>
      </c>
      <c r="AH319" s="100">
        <f t="shared" si="14"/>
        <v>0</v>
      </c>
      <c r="AI319" s="100">
        <f t="shared" si="14"/>
        <v>0</v>
      </c>
      <c r="AJ319" s="100">
        <f t="shared" si="14"/>
        <v>0</v>
      </c>
      <c r="AK319" s="100">
        <f t="shared" si="14"/>
        <v>0</v>
      </c>
      <c r="AL319" s="100">
        <f t="shared" si="14"/>
        <v>0</v>
      </c>
      <c r="AM319" s="100">
        <f t="shared" si="14"/>
        <v>0</v>
      </c>
      <c r="AN319" s="100">
        <f t="shared" si="14"/>
        <v>0</v>
      </c>
      <c r="AO319" s="100">
        <f t="shared" si="14"/>
        <v>0</v>
      </c>
    </row>
    <row r="320" spans="1:41" ht="12.75" customHeight="1" x14ac:dyDescent="0.25">
      <c r="C320" s="768"/>
      <c r="D320" s="769"/>
      <c r="E320" s="98" t="s">
        <v>73</v>
      </c>
      <c r="F320" s="100">
        <f>F257</f>
        <v>-1182143954.5999999</v>
      </c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1" ht="12.75" customHeight="1" x14ac:dyDescent="0.25">
      <c r="A321" s="90"/>
      <c r="C321" s="768"/>
      <c r="D321" s="769" t="s">
        <v>133</v>
      </c>
      <c r="E321" s="233" t="s">
        <v>70</v>
      </c>
      <c r="F321" s="234">
        <v>0</v>
      </c>
      <c r="G321" s="234">
        <v>0</v>
      </c>
      <c r="H321" s="234">
        <v>0</v>
      </c>
      <c r="I321" s="234">
        <v>0</v>
      </c>
      <c r="J321" s="234">
        <v>0</v>
      </c>
      <c r="K321" s="234">
        <v>0</v>
      </c>
      <c r="L321" s="234">
        <v>0</v>
      </c>
      <c r="M321" s="234">
        <v>0</v>
      </c>
      <c r="N321" s="234">
        <v>0</v>
      </c>
      <c r="O321" s="234">
        <v>0</v>
      </c>
      <c r="P321" s="234">
        <v>0</v>
      </c>
      <c r="Q321" s="234">
        <v>0</v>
      </c>
      <c r="R321" s="234">
        <v>0</v>
      </c>
      <c r="S321" s="234">
        <v>0</v>
      </c>
      <c r="T321" s="234">
        <v>0</v>
      </c>
      <c r="U321" s="234">
        <v>0</v>
      </c>
      <c r="V321" s="234">
        <v>0</v>
      </c>
      <c r="W321" s="234">
        <v>0</v>
      </c>
      <c r="X321" s="234">
        <v>0</v>
      </c>
      <c r="Y321" s="234">
        <v>0</v>
      </c>
      <c r="Z321" s="234">
        <v>0</v>
      </c>
      <c r="AA321" s="234">
        <v>0</v>
      </c>
      <c r="AB321" s="234">
        <v>0</v>
      </c>
      <c r="AC321" s="234">
        <v>0</v>
      </c>
      <c r="AD321" s="234">
        <v>0</v>
      </c>
      <c r="AE321" s="234">
        <v>0</v>
      </c>
      <c r="AF321" s="234">
        <v>0</v>
      </c>
      <c r="AG321" s="234">
        <v>0</v>
      </c>
      <c r="AH321" s="234">
        <v>0</v>
      </c>
      <c r="AI321" s="234">
        <v>0</v>
      </c>
      <c r="AJ321" s="234">
        <v>0</v>
      </c>
      <c r="AK321" s="234">
        <v>0</v>
      </c>
      <c r="AL321" s="234">
        <v>0</v>
      </c>
      <c r="AM321" s="234">
        <v>0</v>
      </c>
      <c r="AN321" s="234">
        <v>0</v>
      </c>
      <c r="AO321" s="234">
        <v>0</v>
      </c>
    </row>
    <row r="322" spans="1:41" ht="12.75" customHeight="1" x14ac:dyDescent="0.25">
      <c r="C322" s="768"/>
      <c r="D322" s="769"/>
      <c r="E322" s="233" t="s">
        <v>73</v>
      </c>
      <c r="F322" s="234">
        <v>0</v>
      </c>
      <c r="G322" s="373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</row>
    <row r="323" spans="1:41" ht="12.75" customHeight="1" x14ac:dyDescent="0.25">
      <c r="A323" s="89"/>
      <c r="C323" s="97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</row>
    <row r="324" spans="1:41" ht="12.75" customHeight="1" x14ac:dyDescent="0.25">
      <c r="C324" s="768" t="s">
        <v>160</v>
      </c>
      <c r="D324" s="769" t="s">
        <v>132</v>
      </c>
      <c r="E324" s="223" t="s">
        <v>70</v>
      </c>
      <c r="F324" s="225">
        <v>0</v>
      </c>
      <c r="G324" s="225">
        <v>0</v>
      </c>
      <c r="H324" s="225">
        <v>0</v>
      </c>
      <c r="I324" s="225">
        <v>0</v>
      </c>
      <c r="J324" s="225">
        <v>0</v>
      </c>
      <c r="K324" s="225">
        <v>0</v>
      </c>
      <c r="L324" s="225">
        <v>0</v>
      </c>
      <c r="M324" s="225">
        <v>0</v>
      </c>
      <c r="N324" s="225">
        <v>0</v>
      </c>
      <c r="O324" s="225">
        <v>0</v>
      </c>
      <c r="P324" s="225">
        <v>0</v>
      </c>
      <c r="Q324" s="225">
        <v>0</v>
      </c>
      <c r="R324" s="225">
        <v>0</v>
      </c>
      <c r="S324" s="225">
        <v>0</v>
      </c>
      <c r="T324" s="225">
        <v>0</v>
      </c>
      <c r="U324" s="225"/>
      <c r="V324" s="225"/>
      <c r="W324" s="225"/>
      <c r="X324" s="225">
        <v>0</v>
      </c>
      <c r="Y324" s="225">
        <v>0</v>
      </c>
      <c r="Z324" s="225">
        <v>0</v>
      </c>
      <c r="AA324" s="225">
        <v>0</v>
      </c>
      <c r="AB324" s="225">
        <v>0</v>
      </c>
      <c r="AC324" s="225">
        <v>0</v>
      </c>
      <c r="AD324" s="225">
        <v>0</v>
      </c>
      <c r="AE324" s="225">
        <v>0</v>
      </c>
      <c r="AF324" s="225">
        <v>0</v>
      </c>
      <c r="AG324" s="225">
        <v>0</v>
      </c>
      <c r="AH324" s="225">
        <v>0</v>
      </c>
      <c r="AI324" s="225">
        <v>0</v>
      </c>
      <c r="AJ324" s="225">
        <v>0</v>
      </c>
      <c r="AK324" s="225">
        <v>0</v>
      </c>
      <c r="AL324" s="225">
        <v>0</v>
      </c>
      <c r="AM324" s="225">
        <v>0</v>
      </c>
      <c r="AN324" s="225">
        <v>0</v>
      </c>
      <c r="AO324" s="225">
        <v>0</v>
      </c>
    </row>
    <row r="325" spans="1:41" ht="12.75" customHeight="1" x14ac:dyDescent="0.25">
      <c r="C325" s="768"/>
      <c r="D325" s="769"/>
      <c r="E325" s="223" t="s">
        <v>73</v>
      </c>
      <c r="F325" s="225">
        <v>0</v>
      </c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 spans="1:41" ht="12.75" customHeight="1" x14ac:dyDescent="0.25">
      <c r="C326" s="768"/>
      <c r="D326" s="769" t="s">
        <v>133</v>
      </c>
      <c r="E326" s="227" t="s">
        <v>70</v>
      </c>
      <c r="F326" s="228">
        <v>0</v>
      </c>
      <c r="G326" s="228">
        <v>0</v>
      </c>
      <c r="H326" s="228">
        <v>0</v>
      </c>
      <c r="I326" s="228">
        <v>0</v>
      </c>
      <c r="J326" s="228">
        <v>0</v>
      </c>
      <c r="K326" s="228">
        <v>0</v>
      </c>
      <c r="L326" s="228">
        <v>0</v>
      </c>
      <c r="M326" s="228">
        <v>0</v>
      </c>
      <c r="N326" s="228">
        <v>0</v>
      </c>
      <c r="O326" s="228">
        <v>0</v>
      </c>
      <c r="P326" s="228">
        <v>0</v>
      </c>
      <c r="Q326" s="228">
        <v>0</v>
      </c>
      <c r="R326" s="228">
        <v>0</v>
      </c>
      <c r="S326" s="228">
        <v>0</v>
      </c>
      <c r="T326" s="228">
        <v>0</v>
      </c>
      <c r="U326" s="228"/>
      <c r="V326" s="228"/>
      <c r="W326" s="228"/>
      <c r="X326" s="228">
        <v>0</v>
      </c>
      <c r="Y326" s="228">
        <v>0</v>
      </c>
      <c r="Z326" s="228">
        <v>0</v>
      </c>
      <c r="AA326" s="228">
        <v>0</v>
      </c>
      <c r="AB326" s="228">
        <v>0</v>
      </c>
      <c r="AC326" s="228">
        <v>0</v>
      </c>
      <c r="AD326" s="228">
        <v>0</v>
      </c>
      <c r="AE326" s="228">
        <v>0</v>
      </c>
      <c r="AF326" s="228">
        <v>0</v>
      </c>
      <c r="AG326" s="228">
        <v>0</v>
      </c>
      <c r="AH326" s="228">
        <v>0</v>
      </c>
      <c r="AI326" s="228">
        <v>0</v>
      </c>
      <c r="AJ326" s="228">
        <v>0</v>
      </c>
      <c r="AK326" s="228">
        <v>0</v>
      </c>
      <c r="AL326" s="228">
        <v>0</v>
      </c>
      <c r="AM326" s="228">
        <v>0</v>
      </c>
      <c r="AN326" s="228">
        <v>0</v>
      </c>
      <c r="AO326" s="228">
        <v>0</v>
      </c>
    </row>
    <row r="327" spans="1:41" ht="12.75" customHeight="1" x14ac:dyDescent="0.25">
      <c r="C327" s="768"/>
      <c r="D327" s="769"/>
      <c r="E327" s="227" t="s">
        <v>73</v>
      </c>
      <c r="F327" s="228">
        <v>0</v>
      </c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</row>
    <row r="328" spans="1:41" ht="12.75" customHeight="1" x14ac:dyDescent="0.25">
      <c r="A328" s="89"/>
      <c r="C328" s="97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</row>
    <row r="329" spans="1:41" ht="12.75" customHeight="1" x14ac:dyDescent="0.25">
      <c r="C329" s="768" t="s">
        <v>155</v>
      </c>
      <c r="D329" s="769" t="s">
        <v>132</v>
      </c>
      <c r="E329" s="221" t="s">
        <v>70</v>
      </c>
      <c r="F329" s="222">
        <f>F249+F234+F228-L228-L234</f>
        <v>8384082826.1500006</v>
      </c>
      <c r="G329" s="222">
        <f>G234+G228</f>
        <v>519485736.51999998</v>
      </c>
      <c r="H329" s="222">
        <f t="shared" ref="H329:AO329" si="15">H234+H228</f>
        <v>289280679.71999997</v>
      </c>
      <c r="I329" s="222">
        <f t="shared" si="15"/>
        <v>153855222.93000001</v>
      </c>
      <c r="J329" s="222">
        <f t="shared" si="15"/>
        <v>2406618472.7000003</v>
      </c>
      <c r="K329" s="222">
        <f t="shared" si="15"/>
        <v>86333540.400000006</v>
      </c>
      <c r="L329" s="222">
        <f t="shared" si="15"/>
        <v>14494105.85</v>
      </c>
      <c r="M329" s="222">
        <f t="shared" si="15"/>
        <v>757964762.67000008</v>
      </c>
      <c r="N329" s="222">
        <f t="shared" si="15"/>
        <v>717589277.52999997</v>
      </c>
      <c r="O329" s="222">
        <f t="shared" si="15"/>
        <v>3409164597.5999999</v>
      </c>
      <c r="P329" s="222">
        <f t="shared" si="15"/>
        <v>1230549027.6600001</v>
      </c>
      <c r="Q329" s="222">
        <f t="shared" si="15"/>
        <v>140956999.82000002</v>
      </c>
      <c r="R329" s="222">
        <f t="shared" si="15"/>
        <v>-82499.44</v>
      </c>
      <c r="S329" s="222">
        <f t="shared" si="15"/>
        <v>-0.43</v>
      </c>
      <c r="T329" s="222">
        <f t="shared" si="15"/>
        <v>1.54</v>
      </c>
      <c r="U329" s="222">
        <f t="shared" si="15"/>
        <v>0</v>
      </c>
      <c r="V329" s="222">
        <f t="shared" si="15"/>
        <v>0</v>
      </c>
      <c r="W329" s="222">
        <f t="shared" si="15"/>
        <v>0</v>
      </c>
      <c r="X329" s="222">
        <f t="shared" si="15"/>
        <v>0</v>
      </c>
      <c r="Y329" s="222">
        <f t="shared" si="15"/>
        <v>0</v>
      </c>
      <c r="Z329" s="222">
        <f t="shared" si="15"/>
        <v>0</v>
      </c>
      <c r="AA329" s="222">
        <f t="shared" si="15"/>
        <v>0</v>
      </c>
      <c r="AB329" s="222">
        <f t="shared" si="15"/>
        <v>0</v>
      </c>
      <c r="AC329" s="222">
        <f t="shared" si="15"/>
        <v>0</v>
      </c>
      <c r="AD329" s="222">
        <f t="shared" si="15"/>
        <v>0</v>
      </c>
      <c r="AE329" s="222">
        <f t="shared" si="15"/>
        <v>0</v>
      </c>
      <c r="AF329" s="222">
        <f t="shared" si="15"/>
        <v>0</v>
      </c>
      <c r="AG329" s="222">
        <f t="shared" si="15"/>
        <v>0</v>
      </c>
      <c r="AH329" s="222">
        <f t="shared" si="15"/>
        <v>0</v>
      </c>
      <c r="AI329" s="222">
        <f t="shared" si="15"/>
        <v>0</v>
      </c>
      <c r="AJ329" s="222">
        <f t="shared" si="15"/>
        <v>0</v>
      </c>
      <c r="AK329" s="222">
        <f t="shared" si="15"/>
        <v>0</v>
      </c>
      <c r="AL329" s="222">
        <f t="shared" si="15"/>
        <v>0</v>
      </c>
      <c r="AM329" s="222">
        <f t="shared" si="15"/>
        <v>0</v>
      </c>
      <c r="AN329" s="222">
        <f t="shared" si="15"/>
        <v>0</v>
      </c>
      <c r="AO329" s="222">
        <f t="shared" si="15"/>
        <v>0</v>
      </c>
    </row>
    <row r="330" spans="1:41" ht="12.75" customHeight="1" x14ac:dyDescent="0.25">
      <c r="C330" s="768"/>
      <c r="D330" s="769"/>
      <c r="E330" s="221" t="s">
        <v>73</v>
      </c>
      <c r="F330" s="222">
        <f>F249</f>
        <v>-1327632993.0699999</v>
      </c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</row>
    <row r="331" spans="1:41" ht="12.75" customHeight="1" x14ac:dyDescent="0.25">
      <c r="C331" s="768"/>
      <c r="D331" s="769" t="s">
        <v>133</v>
      </c>
      <c r="E331" s="229" t="s">
        <v>70</v>
      </c>
      <c r="F331" s="230">
        <v>0</v>
      </c>
      <c r="G331" s="230">
        <v>0</v>
      </c>
      <c r="H331" s="230">
        <v>0</v>
      </c>
      <c r="I331" s="230">
        <v>0</v>
      </c>
      <c r="J331" s="230">
        <v>0</v>
      </c>
      <c r="K331" s="230">
        <v>0</v>
      </c>
      <c r="L331" s="230">
        <v>0</v>
      </c>
      <c r="M331" s="230">
        <v>0</v>
      </c>
      <c r="N331" s="230">
        <v>0</v>
      </c>
      <c r="O331" s="230">
        <v>0</v>
      </c>
      <c r="P331" s="230">
        <v>0</v>
      </c>
      <c r="Q331" s="230">
        <v>0</v>
      </c>
      <c r="R331" s="230">
        <v>0</v>
      </c>
      <c r="S331" s="230">
        <v>0</v>
      </c>
      <c r="T331" s="230">
        <v>0</v>
      </c>
      <c r="U331" s="230">
        <v>0</v>
      </c>
      <c r="V331" s="230">
        <v>0</v>
      </c>
      <c r="W331" s="230">
        <v>0</v>
      </c>
      <c r="X331" s="230">
        <v>0</v>
      </c>
      <c r="Y331" s="230">
        <v>0</v>
      </c>
      <c r="Z331" s="230">
        <v>0</v>
      </c>
      <c r="AA331" s="230">
        <v>0</v>
      </c>
      <c r="AB331" s="230">
        <v>0</v>
      </c>
      <c r="AC331" s="230">
        <v>0</v>
      </c>
      <c r="AD331" s="230">
        <v>0</v>
      </c>
      <c r="AE331" s="230">
        <v>0</v>
      </c>
      <c r="AF331" s="230">
        <v>0</v>
      </c>
      <c r="AG331" s="230">
        <v>0</v>
      </c>
      <c r="AH331" s="230">
        <v>0</v>
      </c>
      <c r="AI331" s="230">
        <v>0</v>
      </c>
      <c r="AJ331" s="230">
        <v>0</v>
      </c>
      <c r="AK331" s="230">
        <v>0</v>
      </c>
      <c r="AL331" s="230">
        <v>0</v>
      </c>
      <c r="AM331" s="230">
        <v>0</v>
      </c>
      <c r="AN331" s="230">
        <v>0</v>
      </c>
      <c r="AO331" s="230">
        <v>0</v>
      </c>
    </row>
    <row r="332" spans="1:41" ht="12.75" customHeight="1" x14ac:dyDescent="0.25">
      <c r="C332" s="768"/>
      <c r="D332" s="769"/>
      <c r="E332" s="229" t="s">
        <v>73</v>
      </c>
      <c r="F332" s="230">
        <v>0</v>
      </c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</row>
    <row r="333" spans="1:41" ht="12.75" customHeight="1" x14ac:dyDescent="0.25">
      <c r="A333" s="89"/>
      <c r="C333" s="97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</row>
    <row r="334" spans="1:41" ht="12.75" customHeight="1" x14ac:dyDescent="0.25">
      <c r="C334" s="771" t="s">
        <v>324</v>
      </c>
      <c r="D334" s="769" t="s">
        <v>132</v>
      </c>
      <c r="E334" s="375" t="s">
        <v>70</v>
      </c>
      <c r="F334" s="376">
        <v>0</v>
      </c>
      <c r="G334" s="376">
        <v>0</v>
      </c>
      <c r="H334" s="376">
        <v>0</v>
      </c>
      <c r="I334" s="376">
        <v>0</v>
      </c>
      <c r="J334" s="376">
        <v>0</v>
      </c>
      <c r="K334" s="376">
        <v>0</v>
      </c>
      <c r="L334" s="376">
        <v>0</v>
      </c>
      <c r="M334" s="376">
        <v>0</v>
      </c>
      <c r="N334" s="376">
        <v>0</v>
      </c>
      <c r="O334" s="376">
        <v>0</v>
      </c>
      <c r="P334" s="376">
        <v>0</v>
      </c>
      <c r="Q334" s="376">
        <v>0</v>
      </c>
      <c r="R334" s="376">
        <v>0</v>
      </c>
      <c r="S334" s="376">
        <v>0</v>
      </c>
      <c r="T334" s="376">
        <v>0</v>
      </c>
      <c r="U334" s="376">
        <v>0</v>
      </c>
      <c r="V334" s="376">
        <v>0</v>
      </c>
      <c r="W334" s="376">
        <v>0</v>
      </c>
      <c r="X334" s="376">
        <v>0</v>
      </c>
      <c r="Y334" s="376">
        <v>0</v>
      </c>
      <c r="Z334" s="376">
        <v>0</v>
      </c>
      <c r="AA334" s="376">
        <v>0</v>
      </c>
      <c r="AB334" s="376">
        <v>0</v>
      </c>
      <c r="AC334" s="376">
        <v>0</v>
      </c>
      <c r="AD334" s="376">
        <v>0</v>
      </c>
      <c r="AE334" s="376">
        <v>0</v>
      </c>
      <c r="AF334" s="376">
        <v>0</v>
      </c>
      <c r="AG334" s="376">
        <v>0</v>
      </c>
      <c r="AH334" s="376">
        <v>0</v>
      </c>
      <c r="AI334" s="376">
        <v>0</v>
      </c>
      <c r="AJ334" s="376">
        <v>0</v>
      </c>
      <c r="AK334" s="376">
        <v>0</v>
      </c>
      <c r="AL334" s="376">
        <v>0</v>
      </c>
      <c r="AM334" s="376">
        <v>0</v>
      </c>
      <c r="AN334" s="376">
        <v>0</v>
      </c>
      <c r="AO334" s="376">
        <v>0</v>
      </c>
    </row>
    <row r="335" spans="1:41" ht="12.75" customHeight="1" x14ac:dyDescent="0.25">
      <c r="C335" s="771"/>
      <c r="D335" s="769"/>
      <c r="E335" s="375" t="s">
        <v>73</v>
      </c>
      <c r="F335" s="376">
        <v>0</v>
      </c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</row>
    <row r="336" spans="1:41" ht="12.75" customHeight="1" x14ac:dyDescent="0.25">
      <c r="C336" s="771"/>
      <c r="D336" s="769" t="s">
        <v>133</v>
      </c>
      <c r="E336" s="242" t="s">
        <v>70</v>
      </c>
      <c r="F336" s="243">
        <v>0</v>
      </c>
      <c r="G336" s="243">
        <v>0</v>
      </c>
      <c r="H336" s="243">
        <v>0</v>
      </c>
      <c r="I336" s="243">
        <v>0</v>
      </c>
      <c r="J336" s="243">
        <v>0</v>
      </c>
      <c r="K336" s="243">
        <v>0</v>
      </c>
      <c r="L336" s="243">
        <v>0</v>
      </c>
      <c r="M336" s="243">
        <v>0</v>
      </c>
      <c r="N336" s="243">
        <v>0</v>
      </c>
      <c r="O336" s="243">
        <v>0</v>
      </c>
      <c r="P336" s="243">
        <v>0</v>
      </c>
      <c r="Q336" s="243">
        <v>0</v>
      </c>
      <c r="R336" s="243">
        <v>0</v>
      </c>
      <c r="S336" s="243">
        <v>0</v>
      </c>
      <c r="T336" s="243">
        <v>0</v>
      </c>
      <c r="U336" s="243">
        <v>0</v>
      </c>
      <c r="V336" s="243">
        <v>0</v>
      </c>
      <c r="W336" s="243">
        <v>0</v>
      </c>
      <c r="X336" s="243">
        <v>0</v>
      </c>
      <c r="Y336" s="243">
        <v>0</v>
      </c>
      <c r="Z336" s="243">
        <v>0</v>
      </c>
      <c r="AA336" s="243">
        <v>0</v>
      </c>
      <c r="AB336" s="243">
        <v>0</v>
      </c>
      <c r="AC336" s="243">
        <v>0</v>
      </c>
      <c r="AD336" s="243">
        <v>0</v>
      </c>
      <c r="AE336" s="243">
        <v>0</v>
      </c>
      <c r="AF336" s="243">
        <v>0</v>
      </c>
      <c r="AG336" s="243">
        <v>0</v>
      </c>
      <c r="AH336" s="243">
        <v>0</v>
      </c>
      <c r="AI336" s="243">
        <v>0</v>
      </c>
      <c r="AJ336" s="243">
        <v>0</v>
      </c>
      <c r="AK336" s="243">
        <v>0</v>
      </c>
      <c r="AL336" s="243">
        <v>0</v>
      </c>
      <c r="AM336" s="243">
        <v>0</v>
      </c>
      <c r="AN336" s="243">
        <v>0</v>
      </c>
      <c r="AO336" s="243">
        <v>0</v>
      </c>
    </row>
    <row r="337" spans="1:41" ht="12.75" customHeight="1" x14ac:dyDescent="0.25">
      <c r="C337" s="771"/>
      <c r="D337" s="769"/>
      <c r="E337" s="242" t="s">
        <v>73</v>
      </c>
      <c r="F337" s="243">
        <v>0</v>
      </c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</row>
    <row r="338" spans="1:41" ht="12.75" customHeight="1" x14ac:dyDescent="0.25">
      <c r="A338" s="89"/>
      <c r="C338" s="97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</row>
    <row r="339" spans="1:41" ht="12.75" customHeight="1" x14ac:dyDescent="0.25">
      <c r="C339" s="768" t="s">
        <v>119</v>
      </c>
      <c r="D339" s="769" t="s">
        <v>132</v>
      </c>
      <c r="E339" s="101" t="s">
        <v>70</v>
      </c>
      <c r="F339" s="93">
        <f>F256+F244-L244</f>
        <v>427389334.19</v>
      </c>
      <c r="G339" s="93">
        <f>G244</f>
        <v>49563321.700000003</v>
      </c>
      <c r="H339" s="93">
        <f t="shared" ref="H339:AO339" si="16">H244</f>
        <v>27986809.16</v>
      </c>
      <c r="I339" s="93">
        <f t="shared" si="16"/>
        <v>14662575.93</v>
      </c>
      <c r="J339" s="93">
        <f t="shared" si="16"/>
        <v>22403066.969999999</v>
      </c>
      <c r="K339" s="93">
        <f t="shared" si="16"/>
        <v>650470.14</v>
      </c>
      <c r="L339" s="93">
        <f t="shared" si="16"/>
        <v>4811611.8099999996</v>
      </c>
      <c r="M339" s="93">
        <f t="shared" si="16"/>
        <v>5717940.3899999997</v>
      </c>
      <c r="N339" s="93">
        <f t="shared" si="16"/>
        <v>7429546.7400000002</v>
      </c>
      <c r="O339" s="93">
        <f t="shared" si="16"/>
        <v>35091268.950000003</v>
      </c>
      <c r="P339" s="93">
        <f t="shared" si="16"/>
        <v>117367146.56</v>
      </c>
      <c r="Q339" s="93">
        <f t="shared" si="16"/>
        <v>1068975.6200000001</v>
      </c>
      <c r="R339" s="93">
        <f t="shared" si="16"/>
        <v>794.57</v>
      </c>
      <c r="S339" s="93">
        <f t="shared" si="16"/>
        <v>-41621.050000000003</v>
      </c>
      <c r="T339" s="93">
        <f t="shared" si="16"/>
        <v>0.04</v>
      </c>
      <c r="U339" s="93">
        <f t="shared" si="16"/>
        <v>0</v>
      </c>
      <c r="V339" s="93">
        <f t="shared" si="16"/>
        <v>0</v>
      </c>
      <c r="W339" s="93">
        <f t="shared" si="16"/>
        <v>0</v>
      </c>
      <c r="X339" s="93">
        <f t="shared" si="16"/>
        <v>0</v>
      </c>
      <c r="Y339" s="93">
        <f t="shared" si="16"/>
        <v>0</v>
      </c>
      <c r="Z339" s="93">
        <f t="shared" si="16"/>
        <v>0</v>
      </c>
      <c r="AA339" s="93">
        <f t="shared" si="16"/>
        <v>0</v>
      </c>
      <c r="AB339" s="93">
        <f t="shared" si="16"/>
        <v>0</v>
      </c>
      <c r="AC339" s="93">
        <f t="shared" si="16"/>
        <v>0</v>
      </c>
      <c r="AD339" s="93">
        <f t="shared" si="16"/>
        <v>0</v>
      </c>
      <c r="AE339" s="93">
        <f t="shared" si="16"/>
        <v>0</v>
      </c>
      <c r="AF339" s="93">
        <f t="shared" si="16"/>
        <v>0</v>
      </c>
      <c r="AG339" s="93">
        <f t="shared" si="16"/>
        <v>0</v>
      </c>
      <c r="AH339" s="93">
        <f t="shared" si="16"/>
        <v>0</v>
      </c>
      <c r="AI339" s="93">
        <f t="shared" si="16"/>
        <v>0</v>
      </c>
      <c r="AJ339" s="93">
        <f t="shared" si="16"/>
        <v>0</v>
      </c>
      <c r="AK339" s="93">
        <f t="shared" si="16"/>
        <v>0</v>
      </c>
      <c r="AL339" s="93">
        <f t="shared" si="16"/>
        <v>0</v>
      </c>
      <c r="AM339" s="93">
        <f t="shared" si="16"/>
        <v>0</v>
      </c>
      <c r="AN339" s="93">
        <f t="shared" si="16"/>
        <v>0</v>
      </c>
      <c r="AO339" s="93">
        <f t="shared" si="16"/>
        <v>0</v>
      </c>
    </row>
    <row r="340" spans="1:41" ht="12.75" customHeight="1" x14ac:dyDescent="0.25">
      <c r="C340" s="768"/>
      <c r="D340" s="769"/>
      <c r="E340" s="101" t="s">
        <v>73</v>
      </c>
      <c r="F340" s="93">
        <f>F256</f>
        <v>145489038.47</v>
      </c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</row>
    <row r="341" spans="1:41" ht="12.75" customHeight="1" x14ac:dyDescent="0.25">
      <c r="C341" s="768"/>
      <c r="D341" s="769" t="s">
        <v>133</v>
      </c>
      <c r="E341" s="235" t="s">
        <v>70</v>
      </c>
      <c r="F341" s="236">
        <v>0</v>
      </c>
      <c r="G341" s="236">
        <v>0</v>
      </c>
      <c r="H341" s="236">
        <v>0</v>
      </c>
      <c r="I341" s="236">
        <v>0</v>
      </c>
      <c r="J341" s="236">
        <v>0</v>
      </c>
      <c r="K341" s="236">
        <v>0</v>
      </c>
      <c r="L341" s="236">
        <v>0</v>
      </c>
      <c r="M341" s="236">
        <v>0</v>
      </c>
      <c r="N341" s="236">
        <v>0</v>
      </c>
      <c r="O341" s="236">
        <v>0</v>
      </c>
      <c r="P341" s="236">
        <v>0</v>
      </c>
      <c r="Q341" s="236">
        <v>0</v>
      </c>
      <c r="R341" s="236">
        <v>0</v>
      </c>
      <c r="S341" s="236">
        <v>0</v>
      </c>
      <c r="T341" s="236">
        <v>0</v>
      </c>
      <c r="U341" s="236">
        <v>0</v>
      </c>
      <c r="V341" s="236">
        <v>0</v>
      </c>
      <c r="W341" s="236">
        <v>0</v>
      </c>
      <c r="X341" s="236">
        <v>0</v>
      </c>
      <c r="Y341" s="236">
        <v>0</v>
      </c>
      <c r="Z341" s="236">
        <v>0</v>
      </c>
      <c r="AA341" s="236">
        <v>0</v>
      </c>
      <c r="AB341" s="236">
        <v>0</v>
      </c>
      <c r="AC341" s="236">
        <v>0</v>
      </c>
      <c r="AD341" s="236">
        <v>0</v>
      </c>
      <c r="AE341" s="236">
        <v>0</v>
      </c>
      <c r="AF341" s="236">
        <v>0</v>
      </c>
      <c r="AG341" s="236">
        <v>0</v>
      </c>
      <c r="AH341" s="236">
        <v>0</v>
      </c>
      <c r="AI341" s="236">
        <v>0</v>
      </c>
      <c r="AJ341" s="236">
        <v>0</v>
      </c>
      <c r="AK341" s="236">
        <v>0</v>
      </c>
      <c r="AL341" s="236">
        <v>0</v>
      </c>
      <c r="AM341" s="236">
        <v>0</v>
      </c>
      <c r="AN341" s="236">
        <v>0</v>
      </c>
      <c r="AO341" s="236">
        <v>0</v>
      </c>
    </row>
    <row r="342" spans="1:41" ht="12.75" customHeight="1" x14ac:dyDescent="0.25">
      <c r="C342" s="768"/>
      <c r="D342" s="769"/>
      <c r="E342" s="235" t="s">
        <v>73</v>
      </c>
      <c r="F342" s="236">
        <v>0</v>
      </c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</row>
    <row r="343" spans="1:41" ht="12.75" customHeight="1" x14ac:dyDescent="0.25">
      <c r="A343" s="89"/>
      <c r="C343" s="97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</row>
    <row r="344" spans="1:41" ht="12.75" customHeight="1" x14ac:dyDescent="0.25">
      <c r="C344" s="770" t="s">
        <v>161</v>
      </c>
      <c r="D344" s="769" t="s">
        <v>132</v>
      </c>
      <c r="E344" s="231" t="s">
        <v>70</v>
      </c>
      <c r="F344" s="232">
        <v>0</v>
      </c>
      <c r="G344" s="232">
        <v>0</v>
      </c>
      <c r="H344" s="232">
        <v>0</v>
      </c>
      <c r="I344" s="232">
        <v>0</v>
      </c>
      <c r="J344" s="232">
        <v>0</v>
      </c>
      <c r="K344" s="232">
        <v>0</v>
      </c>
      <c r="L344" s="232">
        <v>0</v>
      </c>
      <c r="M344" s="232">
        <v>0</v>
      </c>
      <c r="N344" s="232">
        <v>0</v>
      </c>
      <c r="O344" s="232">
        <v>0</v>
      </c>
      <c r="P344" s="232">
        <v>0</v>
      </c>
      <c r="Q344" s="232">
        <v>0</v>
      </c>
      <c r="R344" s="232">
        <v>0</v>
      </c>
      <c r="S344" s="232">
        <v>0</v>
      </c>
      <c r="T344" s="232">
        <v>0</v>
      </c>
      <c r="U344" s="232"/>
      <c r="V344" s="232"/>
      <c r="W344" s="232"/>
      <c r="X344" s="232">
        <v>0</v>
      </c>
      <c r="Y344" s="232">
        <v>0</v>
      </c>
      <c r="Z344" s="232">
        <v>0</v>
      </c>
      <c r="AA344" s="232">
        <v>0</v>
      </c>
      <c r="AB344" s="232">
        <v>0</v>
      </c>
      <c r="AC344" s="232">
        <v>0</v>
      </c>
      <c r="AD344" s="232">
        <v>0</v>
      </c>
      <c r="AE344" s="232">
        <v>0</v>
      </c>
      <c r="AF344" s="232">
        <v>0</v>
      </c>
      <c r="AG344" s="232">
        <v>0</v>
      </c>
      <c r="AH344" s="232">
        <v>0</v>
      </c>
      <c r="AI344" s="232">
        <v>0</v>
      </c>
      <c r="AJ344" s="232">
        <v>0</v>
      </c>
      <c r="AK344" s="232">
        <v>0</v>
      </c>
      <c r="AL344" s="232">
        <v>0</v>
      </c>
      <c r="AM344" s="232">
        <v>0</v>
      </c>
      <c r="AN344" s="232">
        <v>0</v>
      </c>
      <c r="AO344" s="232">
        <v>0</v>
      </c>
    </row>
    <row r="345" spans="1:41" ht="12.75" customHeight="1" x14ac:dyDescent="0.25">
      <c r="C345" s="770"/>
      <c r="D345" s="769"/>
      <c r="E345" s="231" t="s">
        <v>73</v>
      </c>
      <c r="F345" s="232">
        <v>0</v>
      </c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</row>
    <row r="346" spans="1:41" ht="12.75" customHeight="1" x14ac:dyDescent="0.25">
      <c r="C346" s="770"/>
      <c r="D346" s="769" t="s">
        <v>133</v>
      </c>
      <c r="E346" s="148" t="s">
        <v>70</v>
      </c>
      <c r="F346" s="149">
        <v>0</v>
      </c>
      <c r="G346" s="149">
        <v>0</v>
      </c>
      <c r="H346" s="149">
        <v>0</v>
      </c>
      <c r="I346" s="149">
        <v>0</v>
      </c>
      <c r="J346" s="149">
        <v>0</v>
      </c>
      <c r="K346" s="149">
        <v>0</v>
      </c>
      <c r="L346" s="149">
        <v>0</v>
      </c>
      <c r="M346" s="149">
        <v>0</v>
      </c>
      <c r="N346" s="149">
        <v>0</v>
      </c>
      <c r="O346" s="149">
        <v>0</v>
      </c>
      <c r="P346" s="149">
        <v>0</v>
      </c>
      <c r="Q346" s="149">
        <v>0</v>
      </c>
      <c r="R346" s="149">
        <v>0</v>
      </c>
      <c r="S346" s="149">
        <v>0</v>
      </c>
      <c r="T346" s="149">
        <v>0</v>
      </c>
      <c r="U346" s="149"/>
      <c r="V346" s="149"/>
      <c r="W346" s="149"/>
      <c r="X346" s="149">
        <v>0</v>
      </c>
      <c r="Y346" s="149">
        <v>0</v>
      </c>
      <c r="Z346" s="149">
        <v>0</v>
      </c>
      <c r="AA346" s="149">
        <v>0</v>
      </c>
      <c r="AB346" s="149">
        <v>0</v>
      </c>
      <c r="AC346" s="149">
        <v>0</v>
      </c>
      <c r="AD346" s="149">
        <v>0</v>
      </c>
      <c r="AE346" s="149">
        <v>0</v>
      </c>
      <c r="AF346" s="149">
        <v>0</v>
      </c>
      <c r="AG346" s="149">
        <v>0</v>
      </c>
      <c r="AH346" s="149">
        <v>0</v>
      </c>
      <c r="AI346" s="149">
        <v>0</v>
      </c>
      <c r="AJ346" s="149">
        <v>0</v>
      </c>
      <c r="AK346" s="149">
        <v>0</v>
      </c>
      <c r="AL346" s="149">
        <v>0</v>
      </c>
      <c r="AM346" s="149">
        <v>0</v>
      </c>
      <c r="AN346" s="149">
        <v>0</v>
      </c>
      <c r="AO346" s="149">
        <v>0</v>
      </c>
    </row>
    <row r="347" spans="1:41" ht="12.75" customHeight="1" x14ac:dyDescent="0.25">
      <c r="C347" s="770"/>
      <c r="D347" s="769"/>
      <c r="E347" s="148" t="s">
        <v>73</v>
      </c>
      <c r="F347" s="149">
        <v>0</v>
      </c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</row>
    <row r="348" spans="1:41" ht="12.75" customHeight="1" x14ac:dyDescent="0.25">
      <c r="C348" s="390"/>
      <c r="D348" s="220"/>
      <c r="E348" s="89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41" ht="12.75" customHeight="1" x14ac:dyDescent="0.25">
      <c r="D349" s="460" t="s">
        <v>185</v>
      </c>
      <c r="E349" s="461" t="s">
        <v>70</v>
      </c>
      <c r="F349" s="462">
        <f t="shared" ref="F349:T349" si="17">F230</f>
        <v>-558.04999999999995</v>
      </c>
      <c r="G349" s="462">
        <f t="shared" si="17"/>
        <v>-36.43</v>
      </c>
      <c r="H349" s="462">
        <f t="shared" si="17"/>
        <v>-15.48</v>
      </c>
      <c r="I349" s="462">
        <f t="shared" si="17"/>
        <v>-6.76</v>
      </c>
      <c r="J349" s="462">
        <f t="shared" si="17"/>
        <v>-123.14</v>
      </c>
      <c r="K349" s="462">
        <f t="shared" si="17"/>
        <v>-4.99</v>
      </c>
      <c r="L349" s="462">
        <f t="shared" si="17"/>
        <v>0</v>
      </c>
      <c r="M349" s="462">
        <f t="shared" si="17"/>
        <v>-43.78</v>
      </c>
      <c r="N349" s="462">
        <f t="shared" si="17"/>
        <v>-55.99</v>
      </c>
      <c r="O349" s="462">
        <f t="shared" si="17"/>
        <v>-184.32</v>
      </c>
      <c r="P349" s="462">
        <f t="shared" si="17"/>
        <v>-79.02</v>
      </c>
      <c r="Q349" s="462">
        <f t="shared" si="17"/>
        <v>-8.14</v>
      </c>
      <c r="R349" s="462">
        <f t="shared" si="17"/>
        <v>0</v>
      </c>
      <c r="S349" s="462">
        <f t="shared" si="17"/>
        <v>0</v>
      </c>
      <c r="T349" s="462">
        <f t="shared" si="17"/>
        <v>0</v>
      </c>
      <c r="U349" s="462"/>
      <c r="V349" s="462"/>
      <c r="W349" s="462"/>
      <c r="X349" s="462" t="e">
        <f>#REF!</f>
        <v>#REF!</v>
      </c>
      <c r="Y349" s="462" t="e">
        <f>#REF!</f>
        <v>#REF!</v>
      </c>
      <c r="Z349" s="462" t="e">
        <f>#REF!</f>
        <v>#REF!</v>
      </c>
    </row>
    <row r="350" spans="1:41" ht="12.75" customHeight="1" x14ac:dyDescent="0.25">
      <c r="C350" s="390"/>
      <c r="D350" s="220"/>
      <c r="E350" s="89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</row>
    <row r="351" spans="1:41" s="238" customFormat="1" ht="12.75" customHeight="1" x14ac:dyDescent="0.25">
      <c r="D351" s="239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</row>
    <row r="352" spans="1:41" ht="12.75" customHeight="1" x14ac:dyDescent="0.25">
      <c r="A352" s="89"/>
      <c r="B352" s="97" t="s">
        <v>88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26" ht="12.75" customHeight="1" x14ac:dyDescent="0.25">
      <c r="A353" s="142"/>
      <c r="F353" s="89" t="s">
        <v>70</v>
      </c>
      <c r="G353" s="89" t="s">
        <v>64</v>
      </c>
      <c r="H353" s="89" t="s">
        <v>65</v>
      </c>
      <c r="I353" s="218" t="s">
        <v>164</v>
      </c>
      <c r="J353" s="89" t="s">
        <v>69</v>
      </c>
      <c r="K353" s="89" t="s">
        <v>68</v>
      </c>
      <c r="L353" s="89" t="s">
        <v>71</v>
      </c>
      <c r="M353" s="89" t="s">
        <v>66</v>
      </c>
      <c r="N353" s="89" t="s">
        <v>63</v>
      </c>
      <c r="O353" s="89" t="s">
        <v>61</v>
      </c>
      <c r="P353" s="89" t="s">
        <v>62</v>
      </c>
      <c r="Q353" s="89" t="s">
        <v>67</v>
      </c>
      <c r="R353" s="89" t="s">
        <v>77</v>
      </c>
      <c r="S353" s="89" t="s">
        <v>80</v>
      </c>
      <c r="T353" t="s">
        <v>135</v>
      </c>
      <c r="U353" t="s">
        <v>172</v>
      </c>
      <c r="V353" t="s">
        <v>221</v>
      </c>
      <c r="W353" t="s">
        <v>172</v>
      </c>
      <c r="X353" t="s">
        <v>172</v>
      </c>
      <c r="Y353" s="89" t="s">
        <v>135</v>
      </c>
      <c r="Z353" t="s">
        <v>166</v>
      </c>
    </row>
    <row r="354" spans="1:26" ht="12.75" customHeight="1" x14ac:dyDescent="0.25">
      <c r="E354" s="89" t="s">
        <v>72</v>
      </c>
      <c r="F354" s="373">
        <v>-10060.290000000001</v>
      </c>
      <c r="G354" s="90">
        <v>-815.13</v>
      </c>
      <c r="H354" s="90">
        <v>-346.29</v>
      </c>
      <c r="I354" s="90">
        <v>-151.22999999999999</v>
      </c>
      <c r="J354" s="90">
        <v>-1859.88</v>
      </c>
      <c r="K354" s="90">
        <v>-75.75</v>
      </c>
      <c r="L354" s="90">
        <v>0</v>
      </c>
      <c r="M354" s="90">
        <v>-664.38</v>
      </c>
      <c r="N354" s="90">
        <v>-844.83</v>
      </c>
      <c r="O354" s="90">
        <v>-3102.12</v>
      </c>
      <c r="P354" s="90">
        <v>-2077.08</v>
      </c>
      <c r="Q354" s="90">
        <v>-123.6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90">
        <v>0</v>
      </c>
      <c r="Z354">
        <v>0</v>
      </c>
    </row>
    <row r="355" spans="1:26" ht="12.75" customHeight="1" x14ac:dyDescent="0.25">
      <c r="D355" t="s">
        <v>156</v>
      </c>
      <c r="E355" s="89" t="s">
        <v>70</v>
      </c>
      <c r="F355" s="715">
        <v>-10060.290000000001</v>
      </c>
      <c r="G355" s="90">
        <v>-815.13</v>
      </c>
      <c r="H355" s="90">
        <v>-346.29</v>
      </c>
      <c r="I355" s="90">
        <v>-151.22999999999999</v>
      </c>
      <c r="J355" s="90">
        <v>-1859.88</v>
      </c>
      <c r="K355" s="90">
        <v>-75.75</v>
      </c>
      <c r="L355" s="90">
        <v>0</v>
      </c>
      <c r="M355" s="90">
        <v>-664.38</v>
      </c>
      <c r="N355" s="90">
        <v>-844.83</v>
      </c>
      <c r="O355" s="90">
        <v>-3102.12</v>
      </c>
      <c r="P355" s="90">
        <v>-2077.08</v>
      </c>
      <c r="Q355" s="90">
        <v>-123.6</v>
      </c>
      <c r="R355" s="90">
        <v>0</v>
      </c>
      <c r="S355" s="90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90">
        <v>0</v>
      </c>
      <c r="Z355">
        <v>0</v>
      </c>
    </row>
    <row r="356" spans="1:26" s="648" customFormat="1" ht="12.75" customHeight="1" x14ac:dyDescent="0.25">
      <c r="C356" s="648" t="s">
        <v>155</v>
      </c>
      <c r="D356" s="648" t="s">
        <v>70</v>
      </c>
      <c r="E356" s="649"/>
      <c r="F356" s="740">
        <v>-10060.290000000001</v>
      </c>
      <c r="G356" s="650">
        <v>-815.13</v>
      </c>
      <c r="H356" s="650">
        <v>-346.29</v>
      </c>
      <c r="I356" s="650">
        <v>-151.22999999999999</v>
      </c>
      <c r="J356" s="650">
        <v>-1859.88</v>
      </c>
      <c r="K356" s="650">
        <v>-75.75</v>
      </c>
      <c r="L356" s="650">
        <v>0</v>
      </c>
      <c r="M356" s="650">
        <v>-664.38</v>
      </c>
      <c r="N356" s="650">
        <v>-844.83</v>
      </c>
      <c r="O356" s="650">
        <v>-3102.12</v>
      </c>
      <c r="P356" s="650">
        <v>-2077.08</v>
      </c>
      <c r="Q356" s="650">
        <v>-123.6</v>
      </c>
      <c r="R356" s="650">
        <v>0</v>
      </c>
      <c r="S356" s="650">
        <v>0</v>
      </c>
      <c r="T356" s="648">
        <v>0</v>
      </c>
      <c r="U356" s="648">
        <v>0</v>
      </c>
      <c r="V356" s="648">
        <v>0</v>
      </c>
      <c r="W356" s="648">
        <v>0</v>
      </c>
      <c r="X356" s="648">
        <v>0</v>
      </c>
      <c r="Y356" s="650">
        <v>0</v>
      </c>
      <c r="Z356" s="648">
        <v>0</v>
      </c>
    </row>
    <row r="357" spans="1:26" ht="12.75" customHeight="1" x14ac:dyDescent="0.25">
      <c r="E357" s="89" t="s">
        <v>72</v>
      </c>
      <c r="F357" s="373">
        <v>-20120.650000000001</v>
      </c>
      <c r="G357" s="90">
        <v>-1630.32</v>
      </c>
      <c r="H357" s="90">
        <v>-692.62</v>
      </c>
      <c r="I357" s="90">
        <v>-302.45999999999998</v>
      </c>
      <c r="J357" s="90">
        <v>-3719.74</v>
      </c>
      <c r="K357" s="90">
        <v>-151.47</v>
      </c>
      <c r="L357" s="90">
        <v>0</v>
      </c>
      <c r="M357" s="90">
        <v>-1328.8</v>
      </c>
      <c r="N357" s="90">
        <v>-1689.69</v>
      </c>
      <c r="O357" s="90">
        <v>-6204.18</v>
      </c>
      <c r="P357" s="90">
        <v>-4154.22</v>
      </c>
      <c r="Q357" s="90">
        <v>-247.15</v>
      </c>
      <c r="R357" s="90">
        <v>0</v>
      </c>
      <c r="S357" s="90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90">
        <v>0</v>
      </c>
      <c r="Z357">
        <v>0</v>
      </c>
    </row>
    <row r="358" spans="1:26" ht="12.75" customHeight="1" x14ac:dyDescent="0.25">
      <c r="D358" t="s">
        <v>86</v>
      </c>
      <c r="E358" s="89" t="s">
        <v>70</v>
      </c>
      <c r="F358" s="373">
        <v>-20120.650000000001</v>
      </c>
      <c r="G358" s="90">
        <v>-1630.32</v>
      </c>
      <c r="H358" s="90">
        <v>-692.62</v>
      </c>
      <c r="I358" s="90">
        <v>-302.45999999999998</v>
      </c>
      <c r="J358" s="90">
        <v>-3719.74</v>
      </c>
      <c r="K358" s="90">
        <v>-151.47</v>
      </c>
      <c r="L358" s="90">
        <v>0</v>
      </c>
      <c r="M358" s="90">
        <v>-1328.8</v>
      </c>
      <c r="N358" s="90">
        <v>-1689.69</v>
      </c>
      <c r="O358" s="90">
        <v>-6204.18</v>
      </c>
      <c r="P358" s="90">
        <v>-4154.22</v>
      </c>
      <c r="Q358" s="90">
        <v>-247.15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90">
        <v>0</v>
      </c>
      <c r="Z358">
        <v>0</v>
      </c>
    </row>
    <row r="359" spans="1:26" s="94" customFormat="1" ht="12.75" customHeight="1" x14ac:dyDescent="0.25">
      <c r="C359" s="94" t="s">
        <v>119</v>
      </c>
      <c r="D359" s="94" t="s">
        <v>70</v>
      </c>
      <c r="E359" s="101"/>
      <c r="F359" s="716">
        <v>-20120.650000000001</v>
      </c>
      <c r="G359" s="93">
        <v>-1630.32</v>
      </c>
      <c r="H359" s="93">
        <v>-692.62</v>
      </c>
      <c r="I359" s="93">
        <v>-302.45999999999998</v>
      </c>
      <c r="J359" s="93">
        <v>-3719.74</v>
      </c>
      <c r="K359" s="93">
        <v>-151.47</v>
      </c>
      <c r="L359" s="93">
        <v>0</v>
      </c>
      <c r="M359" s="93">
        <v>-1328.8</v>
      </c>
      <c r="N359" s="93">
        <v>-1689.69</v>
      </c>
      <c r="O359" s="93">
        <v>-6204.18</v>
      </c>
      <c r="P359" s="93">
        <v>-4154.22</v>
      </c>
      <c r="Q359" s="93">
        <v>-247.15</v>
      </c>
      <c r="R359" s="93">
        <v>0</v>
      </c>
      <c r="S359" s="93">
        <v>0</v>
      </c>
      <c r="T359" s="94">
        <v>0</v>
      </c>
      <c r="U359" s="94">
        <v>0</v>
      </c>
      <c r="V359" s="94">
        <v>0</v>
      </c>
      <c r="W359" s="94">
        <v>0</v>
      </c>
      <c r="X359" s="94">
        <v>0</v>
      </c>
      <c r="Y359" s="93">
        <v>0</v>
      </c>
      <c r="Z359" s="94">
        <v>0</v>
      </c>
    </row>
    <row r="360" spans="1:26" ht="12.75" customHeight="1" x14ac:dyDescent="0.25">
      <c r="B360" t="s">
        <v>112</v>
      </c>
      <c r="C360" t="s">
        <v>70</v>
      </c>
      <c r="E360" s="89"/>
      <c r="F360" s="373">
        <v>-30180.94</v>
      </c>
      <c r="G360" s="90">
        <v>-2445.4499999999998</v>
      </c>
      <c r="H360" s="90">
        <v>-1038.9100000000001</v>
      </c>
      <c r="I360" s="90">
        <v>-453.69</v>
      </c>
      <c r="J360" s="90">
        <v>-5579.62</v>
      </c>
      <c r="K360" s="90">
        <v>-227.22</v>
      </c>
      <c r="L360" s="90">
        <v>0</v>
      </c>
      <c r="M360" s="90">
        <v>-1993.18</v>
      </c>
      <c r="N360" s="90">
        <v>-2534.52</v>
      </c>
      <c r="O360" s="90">
        <v>-9306.2999999999993</v>
      </c>
      <c r="P360" s="90">
        <v>-6231.3</v>
      </c>
      <c r="Q360" s="90">
        <v>-370.75</v>
      </c>
      <c r="R360" s="90">
        <v>0</v>
      </c>
      <c r="S360" s="9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90">
        <v>0</v>
      </c>
      <c r="Z360">
        <v>0</v>
      </c>
    </row>
    <row r="361" spans="1:26" s="460" customFormat="1" x14ac:dyDescent="0.25">
      <c r="A361" s="460" t="s">
        <v>185</v>
      </c>
      <c r="B361" s="461" t="s">
        <v>70</v>
      </c>
      <c r="C361" s="461"/>
      <c r="F361" s="462">
        <v>-30180.94</v>
      </c>
      <c r="G361" s="462">
        <v>-2445.4499999999998</v>
      </c>
      <c r="H361" s="462">
        <v>-1038.9100000000001</v>
      </c>
      <c r="I361" s="462">
        <v>-453.69</v>
      </c>
      <c r="J361" s="462">
        <v>-5579.62</v>
      </c>
      <c r="K361" s="462">
        <v>-227.22</v>
      </c>
      <c r="L361" s="462">
        <v>0</v>
      </c>
      <c r="M361" s="462">
        <v>-1993.18</v>
      </c>
      <c r="N361" s="462">
        <v>-2534.52</v>
      </c>
      <c r="O361" s="462">
        <v>-9306.2999999999993</v>
      </c>
      <c r="P361" s="462">
        <v>-6231.3</v>
      </c>
      <c r="Q361" s="462">
        <v>-370.75</v>
      </c>
      <c r="R361" s="462">
        <v>0</v>
      </c>
      <c r="S361" s="462">
        <v>0</v>
      </c>
      <c r="T361" s="462">
        <v>0</v>
      </c>
      <c r="U361" s="462">
        <v>0</v>
      </c>
      <c r="V361" s="462">
        <v>0</v>
      </c>
      <c r="W361" s="462">
        <v>0</v>
      </c>
      <c r="X361" s="462">
        <v>0</v>
      </c>
      <c r="Y361" s="462">
        <v>0</v>
      </c>
      <c r="Z361" s="462">
        <v>0</v>
      </c>
    </row>
    <row r="362" spans="1:26" ht="12.75" customHeight="1" x14ac:dyDescent="0.25">
      <c r="E362" s="89" t="s">
        <v>72</v>
      </c>
      <c r="F362" s="90">
        <v>21516420.77</v>
      </c>
      <c r="G362" s="90">
        <v>1187856.8999999999</v>
      </c>
      <c r="H362" s="90">
        <v>672668.72</v>
      </c>
      <c r="I362" s="90">
        <v>361871.85</v>
      </c>
      <c r="J362" s="90">
        <v>4876831.8099999996</v>
      </c>
      <c r="K362" s="90">
        <v>142932.10999999999</v>
      </c>
      <c r="L362" s="90">
        <v>0</v>
      </c>
      <c r="M362" s="90">
        <v>1245557.08</v>
      </c>
      <c r="N362" s="90">
        <v>1552579.42</v>
      </c>
      <c r="O362" s="90">
        <v>8062220.2000000002</v>
      </c>
      <c r="P362" s="90">
        <v>3179277.73</v>
      </c>
      <c r="Q362" s="90">
        <v>234628.28</v>
      </c>
      <c r="R362" s="90">
        <v>-3.33</v>
      </c>
      <c r="S362" s="90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90">
        <v>0</v>
      </c>
      <c r="Z362">
        <v>0</v>
      </c>
    </row>
    <row r="363" spans="1:26" ht="12.75" customHeight="1" x14ac:dyDescent="0.25">
      <c r="E363" s="89" t="s">
        <v>81</v>
      </c>
      <c r="F363" s="90">
        <v>441546.2</v>
      </c>
      <c r="G363" s="90">
        <v>39387.96</v>
      </c>
      <c r="H363" s="90">
        <v>18717.47</v>
      </c>
      <c r="I363" s="90">
        <v>7974.72</v>
      </c>
      <c r="J363" s="90">
        <v>82320.37</v>
      </c>
      <c r="K363" s="90">
        <v>3080.74</v>
      </c>
      <c r="L363" s="90">
        <v>0</v>
      </c>
      <c r="M363" s="90">
        <v>27025.34</v>
      </c>
      <c r="N363" s="90">
        <v>34166.400000000001</v>
      </c>
      <c r="O363" s="90">
        <v>122337.49</v>
      </c>
      <c r="P363" s="90">
        <v>101507.62</v>
      </c>
      <c r="Q363" s="90">
        <v>5028.05</v>
      </c>
      <c r="R363" s="90">
        <v>0.04</v>
      </c>
      <c r="S363" s="9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90">
        <v>0</v>
      </c>
      <c r="Z363">
        <v>0</v>
      </c>
    </row>
    <row r="364" spans="1:26" ht="12.75" customHeight="1" x14ac:dyDescent="0.25">
      <c r="D364" t="s">
        <v>156</v>
      </c>
      <c r="E364" s="89" t="s">
        <v>70</v>
      </c>
      <c r="F364" s="90">
        <v>21957966.969999999</v>
      </c>
      <c r="G364" s="90">
        <v>1227244.8600000001</v>
      </c>
      <c r="H364" s="90">
        <v>691386.19</v>
      </c>
      <c r="I364" s="90">
        <v>369846.57</v>
      </c>
      <c r="J364" s="90">
        <v>4959152.18</v>
      </c>
      <c r="K364" s="90">
        <v>146012.85</v>
      </c>
      <c r="L364" s="90">
        <v>0</v>
      </c>
      <c r="M364" s="90">
        <v>1272582.42</v>
      </c>
      <c r="N364" s="90">
        <v>1586745.82</v>
      </c>
      <c r="O364" s="90">
        <v>8184557.6900000004</v>
      </c>
      <c r="P364" s="90">
        <v>3280785.35</v>
      </c>
      <c r="Q364" s="90">
        <v>239656.33</v>
      </c>
      <c r="R364" s="90">
        <v>-3.29</v>
      </c>
      <c r="S364" s="9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90">
        <v>0</v>
      </c>
      <c r="Z364">
        <v>0</v>
      </c>
    </row>
    <row r="365" spans="1:26" s="648" customFormat="1" ht="12.75" customHeight="1" x14ac:dyDescent="0.25">
      <c r="C365" s="648" t="s">
        <v>155</v>
      </c>
      <c r="D365" s="648" t="s">
        <v>70</v>
      </c>
      <c r="E365" s="649"/>
      <c r="F365" s="740">
        <v>21957966.969999999</v>
      </c>
      <c r="G365" s="650">
        <v>1227244.8600000001</v>
      </c>
      <c r="H365" s="650">
        <v>691386.19</v>
      </c>
      <c r="I365" s="650">
        <v>369846.57</v>
      </c>
      <c r="J365" s="650">
        <v>4959152.18</v>
      </c>
      <c r="K365" s="650">
        <v>146012.85</v>
      </c>
      <c r="L365" s="650">
        <v>0</v>
      </c>
      <c r="M365" s="650">
        <v>1272582.42</v>
      </c>
      <c r="N365" s="650">
        <v>1586745.82</v>
      </c>
      <c r="O365" s="650">
        <v>8184557.6900000004</v>
      </c>
      <c r="P365" s="650">
        <v>3280785.35</v>
      </c>
      <c r="Q365" s="650">
        <v>239656.33</v>
      </c>
      <c r="R365" s="650">
        <v>-3.29</v>
      </c>
      <c r="S365" s="650">
        <v>0</v>
      </c>
      <c r="T365" s="648">
        <v>0</v>
      </c>
      <c r="U365" s="648">
        <v>0</v>
      </c>
      <c r="V365" s="648">
        <v>0</v>
      </c>
      <c r="W365" s="648">
        <v>0</v>
      </c>
      <c r="X365" s="648">
        <v>0</v>
      </c>
      <c r="Y365" s="650">
        <v>0</v>
      </c>
      <c r="Z365" s="648">
        <v>0</v>
      </c>
    </row>
    <row r="366" spans="1:26" ht="12.75" customHeight="1" x14ac:dyDescent="0.25">
      <c r="E366" s="89" t="s">
        <v>72</v>
      </c>
      <c r="F366" s="90">
        <v>269250.42</v>
      </c>
      <c r="G366" s="90">
        <v>11640.67</v>
      </c>
      <c r="H366" s="90">
        <v>6539.65</v>
      </c>
      <c r="I366" s="90">
        <v>3462.31</v>
      </c>
      <c r="J366" s="90">
        <v>34147.99</v>
      </c>
      <c r="K366" s="90">
        <v>2728.6</v>
      </c>
      <c r="L366" s="90">
        <v>0</v>
      </c>
      <c r="M366" s="90">
        <v>23935.17</v>
      </c>
      <c r="N366" s="90">
        <v>24673.09</v>
      </c>
      <c r="O366" s="90">
        <v>126745.31</v>
      </c>
      <c r="P366" s="90">
        <v>30932.12</v>
      </c>
      <c r="Q366" s="90">
        <v>4451.93</v>
      </c>
      <c r="R366" s="90">
        <v>-6.42</v>
      </c>
      <c r="S366" s="9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90">
        <v>0</v>
      </c>
      <c r="Z366">
        <v>0</v>
      </c>
    </row>
    <row r="367" spans="1:26" ht="12.75" customHeight="1" x14ac:dyDescent="0.25">
      <c r="E367" s="89" t="s">
        <v>81</v>
      </c>
      <c r="F367" s="373">
        <v>2364.25</v>
      </c>
      <c r="G367" s="90">
        <v>134.94</v>
      </c>
      <c r="H367" s="90">
        <v>75.89</v>
      </c>
      <c r="I367" s="90">
        <v>40.21</v>
      </c>
      <c r="J367" s="90">
        <v>655.11</v>
      </c>
      <c r="K367" s="90">
        <v>17.62</v>
      </c>
      <c r="L367" s="90">
        <v>0</v>
      </c>
      <c r="M367" s="90">
        <v>154.5</v>
      </c>
      <c r="N367" s="90">
        <v>202.63</v>
      </c>
      <c r="O367" s="90">
        <v>695.36</v>
      </c>
      <c r="P367" s="90">
        <v>359.29</v>
      </c>
      <c r="Q367" s="90">
        <v>28.76</v>
      </c>
      <c r="R367" s="90">
        <v>-0.06</v>
      </c>
      <c r="S367" s="90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90">
        <v>0</v>
      </c>
      <c r="Z367">
        <v>0</v>
      </c>
    </row>
    <row r="368" spans="1:26" ht="12.75" customHeight="1" x14ac:dyDescent="0.25">
      <c r="D368" t="s">
        <v>115</v>
      </c>
      <c r="E368" s="89" t="s">
        <v>70</v>
      </c>
      <c r="F368" s="90">
        <v>271614.67</v>
      </c>
      <c r="G368" s="90">
        <v>11775.61</v>
      </c>
      <c r="H368" s="90">
        <v>6615.54</v>
      </c>
      <c r="I368" s="90">
        <v>3502.52</v>
      </c>
      <c r="J368" s="90">
        <v>34803.1</v>
      </c>
      <c r="K368" s="90">
        <v>2746.22</v>
      </c>
      <c r="L368" s="90">
        <v>0</v>
      </c>
      <c r="M368" s="90">
        <v>24089.67</v>
      </c>
      <c r="N368" s="90">
        <v>24875.72</v>
      </c>
      <c r="O368" s="90">
        <v>127440.67</v>
      </c>
      <c r="P368" s="90">
        <v>31291.41</v>
      </c>
      <c r="Q368" s="90">
        <v>4480.6899999999996</v>
      </c>
      <c r="R368" s="90">
        <v>-6.48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90">
        <v>0</v>
      </c>
      <c r="Z368">
        <v>0</v>
      </c>
    </row>
    <row r="369" spans="2:26" ht="12.75" customHeight="1" x14ac:dyDescent="0.25">
      <c r="E369" s="89" t="s">
        <v>72</v>
      </c>
      <c r="F369" s="90">
        <v>84970</v>
      </c>
      <c r="G369" s="90">
        <v>2339.92</v>
      </c>
      <c r="H369" s="90">
        <v>1244.8399999999999</v>
      </c>
      <c r="I369" s="90">
        <v>1230.9000000000001</v>
      </c>
      <c r="J369" s="90">
        <v>18888.68</v>
      </c>
      <c r="K369" s="90">
        <v>959</v>
      </c>
      <c r="L369" s="90">
        <v>0</v>
      </c>
      <c r="M369" s="90">
        <v>3672.68</v>
      </c>
      <c r="N369" s="90">
        <v>6952.02</v>
      </c>
      <c r="O369" s="90">
        <v>42280.75</v>
      </c>
      <c r="P369" s="90">
        <v>5836.55</v>
      </c>
      <c r="Q369" s="90">
        <v>1564.66</v>
      </c>
      <c r="R369" s="90">
        <v>0</v>
      </c>
      <c r="S369" s="90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90">
        <v>0</v>
      </c>
      <c r="Z369">
        <v>0</v>
      </c>
    </row>
    <row r="370" spans="2:26" ht="12.75" customHeight="1" x14ac:dyDescent="0.25">
      <c r="D370" t="s">
        <v>118</v>
      </c>
      <c r="E370" s="89" t="s">
        <v>70</v>
      </c>
      <c r="F370" s="90">
        <v>84970</v>
      </c>
      <c r="G370" s="90">
        <v>2339.92</v>
      </c>
      <c r="H370" s="90">
        <v>1244.8399999999999</v>
      </c>
      <c r="I370" s="90">
        <v>1230.9000000000001</v>
      </c>
      <c r="J370" s="90">
        <v>18888.68</v>
      </c>
      <c r="K370" s="90">
        <v>959</v>
      </c>
      <c r="L370" s="90">
        <v>0</v>
      </c>
      <c r="M370" s="90">
        <v>3672.68</v>
      </c>
      <c r="N370" s="90">
        <v>6952.02</v>
      </c>
      <c r="O370" s="90">
        <v>42280.75</v>
      </c>
      <c r="P370" s="90">
        <v>5836.55</v>
      </c>
      <c r="Q370" s="90">
        <v>1564.66</v>
      </c>
      <c r="R370" s="90">
        <v>0</v>
      </c>
      <c r="S370" s="9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90">
        <v>0</v>
      </c>
      <c r="Z370">
        <v>0</v>
      </c>
    </row>
    <row r="371" spans="2:26" s="224" customFormat="1" ht="12.75" customHeight="1" x14ac:dyDescent="0.25">
      <c r="C371" s="223" t="s">
        <v>120</v>
      </c>
      <c r="D371" s="223" t="s">
        <v>70</v>
      </c>
      <c r="F371" s="225">
        <v>356584.67</v>
      </c>
      <c r="G371" s="225">
        <v>14115.53</v>
      </c>
      <c r="H371" s="225">
        <v>7860.38</v>
      </c>
      <c r="I371" s="225">
        <v>4733.42</v>
      </c>
      <c r="J371" s="225">
        <v>53691.78</v>
      </c>
      <c r="K371" s="225">
        <v>3705.22</v>
      </c>
      <c r="L371" s="225">
        <v>0</v>
      </c>
      <c r="M371" s="225">
        <v>27762.35</v>
      </c>
      <c r="N371" s="225">
        <v>31827.74</v>
      </c>
      <c r="O371" s="225">
        <v>169721.42</v>
      </c>
      <c r="P371" s="225">
        <v>37127.96</v>
      </c>
      <c r="Q371" s="225">
        <v>6045.35</v>
      </c>
      <c r="R371" s="225">
        <v>-6.48</v>
      </c>
      <c r="S371" s="225">
        <v>0</v>
      </c>
      <c r="T371" s="224">
        <v>0</v>
      </c>
      <c r="U371" s="224">
        <v>0</v>
      </c>
      <c r="V371" s="224">
        <v>0</v>
      </c>
      <c r="W371" s="224">
        <v>0</v>
      </c>
      <c r="X371" s="224">
        <v>0</v>
      </c>
      <c r="Y371" s="225">
        <v>0</v>
      </c>
      <c r="Z371" s="224">
        <v>0</v>
      </c>
    </row>
    <row r="372" spans="2:26" ht="12.75" customHeight="1" x14ac:dyDescent="0.25">
      <c r="E372" s="89" t="s">
        <v>72</v>
      </c>
      <c r="F372" s="715">
        <v>463014.86</v>
      </c>
      <c r="G372" s="90">
        <v>25280.16</v>
      </c>
      <c r="H372" s="90">
        <v>14101.02</v>
      </c>
      <c r="I372" s="90">
        <v>7491.65</v>
      </c>
      <c r="J372" s="90">
        <v>106488.08</v>
      </c>
      <c r="K372" s="90">
        <v>3860.16</v>
      </c>
      <c r="L372" s="90">
        <v>0</v>
      </c>
      <c r="M372" s="90">
        <v>33861.06</v>
      </c>
      <c r="N372" s="90">
        <v>32145.55</v>
      </c>
      <c r="O372" s="90">
        <v>166557.78</v>
      </c>
      <c r="P372" s="90">
        <v>66934.600000000006</v>
      </c>
      <c r="Q372" s="90">
        <v>6298.09</v>
      </c>
      <c r="R372" s="90">
        <v>-3.29</v>
      </c>
      <c r="S372" s="90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90">
        <v>0</v>
      </c>
      <c r="Z372">
        <v>0</v>
      </c>
    </row>
    <row r="373" spans="2:26" ht="12.75" customHeight="1" x14ac:dyDescent="0.25">
      <c r="D373" t="s">
        <v>82</v>
      </c>
      <c r="E373" s="89" t="s">
        <v>70</v>
      </c>
      <c r="F373" s="715">
        <v>463014.86</v>
      </c>
      <c r="G373" s="90">
        <v>25280.16</v>
      </c>
      <c r="H373" s="90">
        <v>14101.02</v>
      </c>
      <c r="I373" s="90">
        <v>7491.65</v>
      </c>
      <c r="J373" s="90">
        <v>106488.08</v>
      </c>
      <c r="K373" s="90">
        <v>3860.16</v>
      </c>
      <c r="L373" s="90">
        <v>0</v>
      </c>
      <c r="M373" s="90">
        <v>33861.06</v>
      </c>
      <c r="N373" s="90">
        <v>32145.55</v>
      </c>
      <c r="O373" s="90">
        <v>166557.78</v>
      </c>
      <c r="P373" s="90">
        <v>66934.600000000006</v>
      </c>
      <c r="Q373" s="90">
        <v>6298.09</v>
      </c>
      <c r="R373" s="90">
        <v>-3.29</v>
      </c>
      <c r="S373" s="90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90">
        <v>0</v>
      </c>
      <c r="Z373">
        <v>0</v>
      </c>
    </row>
    <row r="374" spans="2:26" ht="12.75" customHeight="1" x14ac:dyDescent="0.25">
      <c r="E374" s="89" t="s">
        <v>72</v>
      </c>
      <c r="F374" s="373">
        <v>246993.84</v>
      </c>
      <c r="G374" s="90">
        <v>11800.76</v>
      </c>
      <c r="H374" s="90">
        <v>6274.55</v>
      </c>
      <c r="I374" s="90">
        <v>3485.2</v>
      </c>
      <c r="J374" s="90">
        <v>60372.89</v>
      </c>
      <c r="K374" s="90">
        <v>1884.56</v>
      </c>
      <c r="L374" s="90">
        <v>0</v>
      </c>
      <c r="M374" s="90">
        <v>16531.349999999999</v>
      </c>
      <c r="N374" s="90">
        <v>18311.72</v>
      </c>
      <c r="O374" s="90">
        <v>93908.52</v>
      </c>
      <c r="P374" s="90">
        <v>31345.47</v>
      </c>
      <c r="Q374" s="90">
        <v>3074.81</v>
      </c>
      <c r="R374" s="90">
        <v>4.01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2:26" ht="12.75" customHeight="1" x14ac:dyDescent="0.25">
      <c r="C375" s="89"/>
      <c r="D375" s="89"/>
      <c r="E375" t="s">
        <v>81</v>
      </c>
      <c r="F375" s="90">
        <v>182</v>
      </c>
      <c r="G375" s="90">
        <v>10.86</v>
      </c>
      <c r="H375" s="90">
        <v>6.08</v>
      </c>
      <c r="I375" s="90">
        <v>3.22</v>
      </c>
      <c r="J375" s="90">
        <v>42.07</v>
      </c>
      <c r="K375" s="90">
        <v>1.43</v>
      </c>
      <c r="L375" s="90">
        <v>0</v>
      </c>
      <c r="M375" s="90">
        <v>12.51</v>
      </c>
      <c r="N375" s="90">
        <v>12.16</v>
      </c>
      <c r="O375" s="90">
        <v>62.61</v>
      </c>
      <c r="P375" s="90">
        <v>28.74</v>
      </c>
      <c r="Q375" s="90">
        <v>2.3199999999999998</v>
      </c>
      <c r="R375" s="90">
        <v>0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2:26" ht="12.75" customHeight="1" x14ac:dyDescent="0.25">
      <c r="D376" t="s">
        <v>86</v>
      </c>
      <c r="E376" s="89" t="s">
        <v>70</v>
      </c>
      <c r="F376" s="373">
        <v>247175.84</v>
      </c>
      <c r="G376" s="90">
        <v>11811.62</v>
      </c>
      <c r="H376" s="90">
        <v>6280.63</v>
      </c>
      <c r="I376" s="90">
        <v>3488.42</v>
      </c>
      <c r="J376" s="90">
        <v>60414.96</v>
      </c>
      <c r="K376" s="90">
        <v>1885.99</v>
      </c>
      <c r="L376" s="90">
        <v>0</v>
      </c>
      <c r="M376" s="90">
        <v>16543.86</v>
      </c>
      <c r="N376" s="90">
        <v>18323.88</v>
      </c>
      <c r="O376" s="90">
        <v>93971.13</v>
      </c>
      <c r="P376" s="90">
        <v>31374.21</v>
      </c>
      <c r="Q376" s="90">
        <v>3077.13</v>
      </c>
      <c r="R376" s="90">
        <v>4.01</v>
      </c>
      <c r="S376" s="90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90">
        <v>0</v>
      </c>
      <c r="Z376">
        <v>0</v>
      </c>
    </row>
    <row r="377" spans="2:26" ht="12.75" customHeight="1" x14ac:dyDescent="0.25">
      <c r="E377" s="89" t="s">
        <v>72</v>
      </c>
      <c r="F377" s="373">
        <v>6840</v>
      </c>
      <c r="G377" s="90">
        <v>305.47000000000003</v>
      </c>
      <c r="H377" s="90">
        <v>170.21</v>
      </c>
      <c r="I377" s="90">
        <v>90.52</v>
      </c>
      <c r="J377" s="90">
        <v>1618.16</v>
      </c>
      <c r="K377" s="90">
        <v>61.86</v>
      </c>
      <c r="L377" s="90">
        <v>0</v>
      </c>
      <c r="M377" s="90">
        <v>542.61</v>
      </c>
      <c r="N377" s="90">
        <v>505.61</v>
      </c>
      <c r="O377" s="90">
        <v>2635.85</v>
      </c>
      <c r="P377" s="90">
        <v>808.79</v>
      </c>
      <c r="Q377" s="90">
        <v>100.92</v>
      </c>
      <c r="R377" s="90">
        <v>0</v>
      </c>
      <c r="S377" s="90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90">
        <v>0</v>
      </c>
      <c r="Z377">
        <v>0</v>
      </c>
    </row>
    <row r="378" spans="2:26" ht="12.75" customHeight="1" x14ac:dyDescent="0.25">
      <c r="D378" t="s">
        <v>87</v>
      </c>
      <c r="E378" s="89" t="s">
        <v>70</v>
      </c>
      <c r="F378" s="373">
        <v>6840</v>
      </c>
      <c r="G378" s="90">
        <v>305.47000000000003</v>
      </c>
      <c r="H378" s="90">
        <v>170.21</v>
      </c>
      <c r="I378" s="90">
        <v>90.52</v>
      </c>
      <c r="J378" s="90">
        <v>1618.16</v>
      </c>
      <c r="K378" s="90">
        <v>61.86</v>
      </c>
      <c r="L378" s="90">
        <v>0</v>
      </c>
      <c r="M378" s="90">
        <v>542.61</v>
      </c>
      <c r="N378" s="90">
        <v>505.61</v>
      </c>
      <c r="O378" s="90">
        <v>2635.85</v>
      </c>
      <c r="P378" s="90">
        <v>808.79</v>
      </c>
      <c r="Q378" s="90">
        <v>100.92</v>
      </c>
      <c r="R378" s="90">
        <v>0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2:26" s="94" customFormat="1" ht="12.75" customHeight="1" x14ac:dyDescent="0.25">
      <c r="C379" s="94" t="s">
        <v>119</v>
      </c>
      <c r="D379" s="94" t="s">
        <v>70</v>
      </c>
      <c r="E379" s="101"/>
      <c r="F379" s="716">
        <v>717030.7</v>
      </c>
      <c r="G379" s="93">
        <v>37397.25</v>
      </c>
      <c r="H379" s="93">
        <v>20551.86</v>
      </c>
      <c r="I379" s="93">
        <v>11070.59</v>
      </c>
      <c r="J379" s="93">
        <v>168521.2</v>
      </c>
      <c r="K379" s="93">
        <v>5808.01</v>
      </c>
      <c r="L379" s="93">
        <v>0</v>
      </c>
      <c r="M379" s="93">
        <v>50947.53</v>
      </c>
      <c r="N379" s="93">
        <v>50975.040000000001</v>
      </c>
      <c r="O379" s="93">
        <v>263164.76</v>
      </c>
      <c r="P379" s="93">
        <v>99117.6</v>
      </c>
      <c r="Q379" s="93">
        <v>9476.14</v>
      </c>
      <c r="R379" s="93">
        <v>0.72</v>
      </c>
      <c r="S379" s="93">
        <v>0</v>
      </c>
      <c r="T379" s="94">
        <v>0</v>
      </c>
      <c r="U379" s="94">
        <v>0</v>
      </c>
      <c r="V379" s="94">
        <v>0</v>
      </c>
      <c r="W379" s="94">
        <v>0</v>
      </c>
      <c r="X379" s="94">
        <v>0</v>
      </c>
      <c r="Y379" s="93">
        <v>0</v>
      </c>
      <c r="Z379" s="94">
        <v>0</v>
      </c>
    </row>
    <row r="380" spans="2:26" s="380" customFormat="1" ht="12.75" customHeight="1" x14ac:dyDescent="0.25">
      <c r="B380" s="380" t="s">
        <v>122</v>
      </c>
      <c r="C380" s="380" t="s">
        <v>70</v>
      </c>
      <c r="E380" s="378"/>
      <c r="F380" s="706">
        <v>23031582.34</v>
      </c>
      <c r="G380" s="379">
        <v>1278757.6399999999</v>
      </c>
      <c r="H380" s="379">
        <v>719798.43</v>
      </c>
      <c r="I380" s="379">
        <v>385650.58</v>
      </c>
      <c r="J380" s="379">
        <v>5181365.16</v>
      </c>
      <c r="K380" s="379">
        <v>155526.07999999999</v>
      </c>
      <c r="L380" s="379">
        <v>0</v>
      </c>
      <c r="M380" s="379">
        <v>1351292.3</v>
      </c>
      <c r="N380" s="379">
        <v>1669548.6</v>
      </c>
      <c r="O380" s="379">
        <v>8617443.8699999992</v>
      </c>
      <c r="P380" s="379">
        <v>3417030.91</v>
      </c>
      <c r="Q380" s="379">
        <v>255177.82</v>
      </c>
      <c r="R380" s="379">
        <v>-9.0500000000000007</v>
      </c>
      <c r="S380" s="379">
        <v>0</v>
      </c>
      <c r="T380" s="380">
        <v>0</v>
      </c>
      <c r="U380" s="380">
        <v>0</v>
      </c>
      <c r="V380" s="380">
        <v>0</v>
      </c>
      <c r="W380" s="380">
        <v>0</v>
      </c>
      <c r="X380" s="380">
        <v>0</v>
      </c>
      <c r="Y380" s="379">
        <v>0</v>
      </c>
      <c r="Z380" s="380">
        <v>0</v>
      </c>
    </row>
    <row r="381" spans="2:26" ht="12.75" customHeight="1" x14ac:dyDescent="0.25">
      <c r="E381" s="89" t="s">
        <v>72</v>
      </c>
      <c r="F381" s="373">
        <v>10316487786.870001</v>
      </c>
      <c r="G381" s="90">
        <v>551410765.36000001</v>
      </c>
      <c r="H381" s="90">
        <v>306071016.31999999</v>
      </c>
      <c r="I381" s="90">
        <v>162886184.72999999</v>
      </c>
      <c r="J381" s="90">
        <v>2329299417.8800001</v>
      </c>
      <c r="K381" s="90">
        <v>87707938.069999993</v>
      </c>
      <c r="L381" s="90">
        <v>7966940.6799999997</v>
      </c>
      <c r="M381" s="90">
        <v>768910877</v>
      </c>
      <c r="N381" s="90">
        <v>728042856.77999997</v>
      </c>
      <c r="O381" s="90">
        <v>3771216101</v>
      </c>
      <c r="P381" s="90">
        <v>1459609708.27</v>
      </c>
      <c r="Q381" s="90">
        <v>143334380.06</v>
      </c>
      <c r="R381" s="90">
        <v>31600.720000000001</v>
      </c>
      <c r="S381" s="90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90">
        <v>0</v>
      </c>
      <c r="Z381">
        <v>0</v>
      </c>
    </row>
    <row r="382" spans="2:26" ht="12.75" customHeight="1" x14ac:dyDescent="0.25">
      <c r="E382" s="89" t="s">
        <v>81</v>
      </c>
      <c r="F382" s="373">
        <v>14880353.09</v>
      </c>
      <c r="G382" s="90">
        <v>1291438.8600000001</v>
      </c>
      <c r="H382" s="90">
        <v>568599.13</v>
      </c>
      <c r="I382" s="90">
        <v>235313.36</v>
      </c>
      <c r="J382" s="90">
        <v>3045375.22</v>
      </c>
      <c r="K382" s="90">
        <v>110392.5</v>
      </c>
      <c r="L382" s="90">
        <v>5432.15</v>
      </c>
      <c r="M382" s="90">
        <v>965801.91</v>
      </c>
      <c r="N382" s="90">
        <v>1108998.81</v>
      </c>
      <c r="O382" s="90">
        <v>3895953.74</v>
      </c>
      <c r="P382" s="90">
        <v>3472640.95</v>
      </c>
      <c r="Q382" s="90">
        <v>180195.77</v>
      </c>
      <c r="R382" s="90">
        <v>21.46</v>
      </c>
      <c r="S382" s="90">
        <v>10.26</v>
      </c>
      <c r="T382">
        <v>178.97</v>
      </c>
      <c r="U382">
        <v>0</v>
      </c>
      <c r="V382">
        <v>0</v>
      </c>
      <c r="W382">
        <v>0</v>
      </c>
      <c r="X382">
        <v>0</v>
      </c>
      <c r="Y382" s="90">
        <v>0</v>
      </c>
      <c r="Z382">
        <v>0</v>
      </c>
    </row>
    <row r="383" spans="2:26" ht="12.75" customHeight="1" x14ac:dyDescent="0.25">
      <c r="D383" t="s">
        <v>156</v>
      </c>
      <c r="E383" s="89" t="s">
        <v>70</v>
      </c>
      <c r="F383" s="373">
        <v>10331368139.959999</v>
      </c>
      <c r="G383" s="90">
        <v>552702204.22000003</v>
      </c>
      <c r="H383" s="90">
        <v>306639615.44999999</v>
      </c>
      <c r="I383" s="90">
        <v>163121498.09</v>
      </c>
      <c r="J383" s="90">
        <v>2332344793.0999999</v>
      </c>
      <c r="K383" s="90">
        <v>87818330.569999993</v>
      </c>
      <c r="L383" s="90">
        <v>7972372.8300000001</v>
      </c>
      <c r="M383" s="90">
        <v>769876678.90999997</v>
      </c>
      <c r="N383" s="90">
        <v>729151855.59000003</v>
      </c>
      <c r="O383" s="90">
        <v>3775112054.7399998</v>
      </c>
      <c r="P383" s="90">
        <v>1463082349.22</v>
      </c>
      <c r="Q383" s="90">
        <v>143514575.83000001</v>
      </c>
      <c r="R383" s="90">
        <v>31622.18</v>
      </c>
      <c r="S383" s="90">
        <v>10.26</v>
      </c>
      <c r="T383">
        <v>178.97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2:26" s="648" customFormat="1" ht="12.75" customHeight="1" x14ac:dyDescent="0.25">
      <c r="C384" s="648" t="s">
        <v>155</v>
      </c>
      <c r="D384" s="648" t="s">
        <v>70</v>
      </c>
      <c r="E384" s="649"/>
      <c r="F384" s="737">
        <v>10331368139.959999</v>
      </c>
      <c r="G384" s="650">
        <v>552702204.22000003</v>
      </c>
      <c r="H384" s="650">
        <v>306639615.44999999</v>
      </c>
      <c r="I384" s="650">
        <v>163121498.09</v>
      </c>
      <c r="J384" s="650">
        <v>2332344793.0999999</v>
      </c>
      <c r="K384" s="650">
        <v>87818330.569999993</v>
      </c>
      <c r="L384" s="650">
        <v>7972372.8300000001</v>
      </c>
      <c r="M384" s="650">
        <v>769876678.90999997</v>
      </c>
      <c r="N384" s="650">
        <v>729151855.59000003</v>
      </c>
      <c r="O384" s="650">
        <v>3775112054.7399998</v>
      </c>
      <c r="P384" s="650">
        <v>1463082349.22</v>
      </c>
      <c r="Q384" s="650">
        <v>143514575.83000001</v>
      </c>
      <c r="R384" s="650">
        <v>31622.18</v>
      </c>
      <c r="S384" s="650">
        <v>10.26</v>
      </c>
      <c r="T384" s="648">
        <v>178.97</v>
      </c>
      <c r="U384" s="648">
        <v>0</v>
      </c>
      <c r="V384" s="648">
        <v>0</v>
      </c>
      <c r="W384" s="648">
        <v>0</v>
      </c>
      <c r="X384" s="648">
        <v>0</v>
      </c>
      <c r="Y384" s="650">
        <v>0</v>
      </c>
      <c r="Z384" s="648">
        <v>0</v>
      </c>
    </row>
    <row r="385" spans="1:26" ht="12.75" customHeight="1" x14ac:dyDescent="0.25">
      <c r="E385" s="89" t="s">
        <v>72</v>
      </c>
      <c r="F385" s="90">
        <v>81379741.219999999</v>
      </c>
      <c r="G385" s="90">
        <v>4722303.37</v>
      </c>
      <c r="H385" s="90">
        <v>2646611.7000000002</v>
      </c>
      <c r="I385" s="90">
        <v>1407817.53</v>
      </c>
      <c r="J385" s="90">
        <v>18853588.34</v>
      </c>
      <c r="K385" s="90">
        <v>467107.75</v>
      </c>
      <c r="L385" s="90">
        <v>0</v>
      </c>
      <c r="M385" s="90">
        <v>4106797.95</v>
      </c>
      <c r="N385" s="90">
        <v>5801684.7000000002</v>
      </c>
      <c r="O385" s="90">
        <v>30089094.289999999</v>
      </c>
      <c r="P385" s="90">
        <v>12512820.199999999</v>
      </c>
      <c r="Q385" s="90">
        <v>771613.08</v>
      </c>
      <c r="R385" s="90">
        <v>302.31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s="90">
        <v>0</v>
      </c>
      <c r="Z385">
        <v>0</v>
      </c>
    </row>
    <row r="386" spans="1:26" ht="12.75" customHeight="1" x14ac:dyDescent="0.25">
      <c r="D386" s="89"/>
      <c r="E386" s="89" t="s">
        <v>81</v>
      </c>
      <c r="F386" s="90">
        <v>237061.36</v>
      </c>
      <c r="G386" s="90">
        <v>14686.74</v>
      </c>
      <c r="H386" s="90">
        <v>8302.6200000000008</v>
      </c>
      <c r="I386" s="90">
        <v>4392.62</v>
      </c>
      <c r="J386" s="90">
        <v>59679.69</v>
      </c>
      <c r="K386" s="90">
        <v>1483.67</v>
      </c>
      <c r="L386" s="90">
        <v>0</v>
      </c>
      <c r="M386" s="90">
        <v>13041.16</v>
      </c>
      <c r="N386" s="90">
        <v>18748.86</v>
      </c>
      <c r="O386" s="90">
        <v>75101.78</v>
      </c>
      <c r="P386" s="90">
        <v>39197.67</v>
      </c>
      <c r="Q386" s="90">
        <v>2426.36</v>
      </c>
      <c r="R386" s="90">
        <v>0.19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90">
        <v>0</v>
      </c>
      <c r="Z386">
        <v>0</v>
      </c>
    </row>
    <row r="387" spans="1:26" ht="12.75" customHeight="1" x14ac:dyDescent="0.25">
      <c r="D387" t="s">
        <v>82</v>
      </c>
      <c r="E387" s="89" t="s">
        <v>70</v>
      </c>
      <c r="F387" s="90">
        <v>81616802.579999998</v>
      </c>
      <c r="G387" s="90">
        <v>4736990.1100000003</v>
      </c>
      <c r="H387" s="90">
        <v>2654914.3199999998</v>
      </c>
      <c r="I387" s="90">
        <v>1412210.15</v>
      </c>
      <c r="J387" s="90">
        <v>18913268.030000001</v>
      </c>
      <c r="K387" s="90">
        <v>468591.42</v>
      </c>
      <c r="L387" s="90">
        <v>0</v>
      </c>
      <c r="M387" s="90">
        <v>4119839.11</v>
      </c>
      <c r="N387" s="90">
        <v>5820433.5599999996</v>
      </c>
      <c r="O387" s="90">
        <v>30164196.07</v>
      </c>
      <c r="P387" s="90">
        <v>12552017.869999999</v>
      </c>
      <c r="Q387" s="90">
        <v>774039.44</v>
      </c>
      <c r="R387" s="90">
        <v>302.5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0</v>
      </c>
    </row>
    <row r="388" spans="1:26" ht="12.75" customHeight="1" x14ac:dyDescent="0.25">
      <c r="E388" s="89" t="s">
        <v>72</v>
      </c>
      <c r="F388" s="90">
        <v>123815339.8</v>
      </c>
      <c r="G388" s="90">
        <v>13083650.439999999</v>
      </c>
      <c r="H388" s="90">
        <v>6977296.5199999996</v>
      </c>
      <c r="I388" s="90">
        <v>3555256.33</v>
      </c>
      <c r="J388" s="90">
        <v>18058334.600000001</v>
      </c>
      <c r="K388" s="90">
        <v>677891.2</v>
      </c>
      <c r="L388" s="90">
        <v>143000</v>
      </c>
      <c r="M388" s="90">
        <v>5823200.0599999996</v>
      </c>
      <c r="N388" s="90">
        <v>6623739.1399999997</v>
      </c>
      <c r="O388" s="90">
        <v>33350465.379999999</v>
      </c>
      <c r="P388" s="90">
        <v>34405951.420000002</v>
      </c>
      <c r="Q388" s="90">
        <v>1116521.45</v>
      </c>
      <c r="R388" s="90">
        <v>33.26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0</v>
      </c>
    </row>
    <row r="389" spans="1:26" ht="12.75" customHeight="1" x14ac:dyDescent="0.25">
      <c r="D389" s="89"/>
      <c r="E389" s="89" t="s">
        <v>81</v>
      </c>
      <c r="F389" s="90">
        <v>11888953.220000001</v>
      </c>
      <c r="G389" s="90">
        <v>1382334.62</v>
      </c>
      <c r="H389" s="90">
        <v>599210.31999999995</v>
      </c>
      <c r="I389" s="90">
        <v>234416.44</v>
      </c>
      <c r="J389" s="90">
        <v>1808866.08</v>
      </c>
      <c r="K389" s="90">
        <v>73046.039999999994</v>
      </c>
      <c r="L389" s="90">
        <v>3054.63</v>
      </c>
      <c r="M389" s="90">
        <v>638850.88</v>
      </c>
      <c r="N389" s="90">
        <v>745059.17</v>
      </c>
      <c r="O389" s="90">
        <v>2600585.61</v>
      </c>
      <c r="P389" s="90">
        <v>3684297.02</v>
      </c>
      <c r="Q389" s="90">
        <v>119221.63</v>
      </c>
      <c r="R389" s="90">
        <v>10.58</v>
      </c>
      <c r="S389" s="90">
        <v>-0.04</v>
      </c>
      <c r="T389">
        <v>0.24</v>
      </c>
      <c r="U389">
        <v>0</v>
      </c>
      <c r="V389">
        <v>0</v>
      </c>
      <c r="W389">
        <v>0</v>
      </c>
      <c r="X389">
        <v>0</v>
      </c>
      <c r="Y389" s="90">
        <v>0</v>
      </c>
      <c r="Z389">
        <v>0</v>
      </c>
    </row>
    <row r="390" spans="1:26" ht="12.75" customHeight="1" x14ac:dyDescent="0.25">
      <c r="C390" s="89"/>
      <c r="D390" s="89" t="s">
        <v>86</v>
      </c>
      <c r="E390" t="s">
        <v>70</v>
      </c>
      <c r="F390" s="90">
        <v>135704293.02000001</v>
      </c>
      <c r="G390" s="90">
        <v>14465985.060000001</v>
      </c>
      <c r="H390" s="90">
        <v>7576506.8399999999</v>
      </c>
      <c r="I390" s="90">
        <v>3789672.77</v>
      </c>
      <c r="J390" s="90">
        <v>19867200.68</v>
      </c>
      <c r="K390" s="90">
        <v>750937.24</v>
      </c>
      <c r="L390" s="90">
        <v>146054.63</v>
      </c>
      <c r="M390" s="90">
        <v>6462050.9400000004</v>
      </c>
      <c r="N390" s="90">
        <v>7368798.3099999996</v>
      </c>
      <c r="O390" s="90">
        <v>35951050.990000002</v>
      </c>
      <c r="P390" s="90">
        <v>38090248.439999998</v>
      </c>
      <c r="Q390" s="90">
        <v>1235743.08</v>
      </c>
      <c r="R390" s="90">
        <v>43.84</v>
      </c>
      <c r="S390" s="90">
        <v>-0.04</v>
      </c>
      <c r="T390">
        <v>0.24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1:26" ht="12.75" customHeight="1" x14ac:dyDescent="0.25">
      <c r="B391" s="89"/>
      <c r="C391" s="89"/>
      <c r="E391" t="s">
        <v>72</v>
      </c>
      <c r="F391" s="90">
        <v>225325086.63999999</v>
      </c>
      <c r="G391" s="90">
        <v>32280074.969999999</v>
      </c>
      <c r="H391" s="90">
        <v>18033624.829999998</v>
      </c>
      <c r="I391" s="90">
        <v>10242953.199999999</v>
      </c>
      <c r="J391" s="90">
        <v>24927907.390000001</v>
      </c>
      <c r="K391" s="90">
        <v>611466.27</v>
      </c>
      <c r="L391" s="90">
        <v>523000</v>
      </c>
      <c r="M391" s="90">
        <v>5328219.47</v>
      </c>
      <c r="N391" s="90">
        <v>7544034.5700000003</v>
      </c>
      <c r="O391" s="90">
        <v>39147230.219999999</v>
      </c>
      <c r="P391" s="90">
        <v>85688215.909999996</v>
      </c>
      <c r="Q391" s="90">
        <v>998385.79</v>
      </c>
      <c r="R391" s="90">
        <v>-25.98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90">
        <v>0</v>
      </c>
      <c r="Z391">
        <v>0</v>
      </c>
    </row>
    <row r="392" spans="1:26" ht="12.75" customHeight="1" x14ac:dyDescent="0.25">
      <c r="A392" s="89"/>
      <c r="B392" s="89"/>
      <c r="E392" t="s">
        <v>81</v>
      </c>
      <c r="F392" s="90">
        <v>2618329.0099999998</v>
      </c>
      <c r="G392" s="90">
        <v>487188.88</v>
      </c>
      <c r="H392" s="90">
        <v>271849.21000000002</v>
      </c>
      <c r="I392" s="90">
        <v>157080.72</v>
      </c>
      <c r="J392" s="90">
        <v>137850.53</v>
      </c>
      <c r="K392" s="90">
        <v>3387.41</v>
      </c>
      <c r="L392" s="90">
        <v>1708.12</v>
      </c>
      <c r="M392" s="90">
        <v>29672.42</v>
      </c>
      <c r="N392" s="90">
        <v>41675.72</v>
      </c>
      <c r="O392" s="90">
        <v>181009.44</v>
      </c>
      <c r="P392" s="90">
        <v>1301375.06</v>
      </c>
      <c r="Q392" s="90">
        <v>5531.69</v>
      </c>
      <c r="R392" s="90">
        <v>-0.19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0</v>
      </c>
    </row>
    <row r="393" spans="1:26" ht="12.75" customHeight="1" x14ac:dyDescent="0.25">
      <c r="A393" s="89"/>
      <c r="B393" s="89"/>
      <c r="D393" t="s">
        <v>87</v>
      </c>
      <c r="E393" t="s">
        <v>70</v>
      </c>
      <c r="F393" s="373">
        <v>227943415.65000001</v>
      </c>
      <c r="G393" s="90">
        <v>32767263.850000001</v>
      </c>
      <c r="H393" s="90">
        <v>18305474.039999999</v>
      </c>
      <c r="I393" s="90">
        <v>10400033.92</v>
      </c>
      <c r="J393" s="90">
        <v>25065757.920000002</v>
      </c>
      <c r="K393" s="90">
        <v>614853.68000000005</v>
      </c>
      <c r="L393" s="90">
        <v>524708.12</v>
      </c>
      <c r="M393" s="90">
        <v>5357891.8899999997</v>
      </c>
      <c r="N393" s="90">
        <v>7585710.29</v>
      </c>
      <c r="O393" s="90">
        <v>39328239.659999996</v>
      </c>
      <c r="P393" s="90">
        <v>86989590.969999999</v>
      </c>
      <c r="Q393" s="90">
        <v>1003917.48</v>
      </c>
      <c r="R393" s="90">
        <v>-26.17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1:26" s="94" customFormat="1" ht="12.75" customHeight="1" x14ac:dyDescent="0.25">
      <c r="C394" s="101" t="s">
        <v>119</v>
      </c>
      <c r="D394" s="101" t="s">
        <v>70</v>
      </c>
      <c r="F394" s="93">
        <v>445264511.25</v>
      </c>
      <c r="G394" s="93">
        <v>51970239.020000003</v>
      </c>
      <c r="H394" s="93">
        <v>28536895.199999999</v>
      </c>
      <c r="I394" s="93">
        <v>15601916.84</v>
      </c>
      <c r="J394" s="93">
        <v>63846226.630000003</v>
      </c>
      <c r="K394" s="93">
        <v>1834382.34</v>
      </c>
      <c r="L394" s="93">
        <v>670762.75</v>
      </c>
      <c r="M394" s="93">
        <v>15939781.939999999</v>
      </c>
      <c r="N394" s="93">
        <v>20774942.16</v>
      </c>
      <c r="O394" s="93">
        <v>105443486.72</v>
      </c>
      <c r="P394" s="93">
        <v>137631857.28</v>
      </c>
      <c r="Q394" s="93">
        <v>3013700</v>
      </c>
      <c r="R394" s="93">
        <v>320.17</v>
      </c>
      <c r="S394" s="93">
        <v>-0.04</v>
      </c>
      <c r="T394" s="94">
        <v>0.24</v>
      </c>
      <c r="U394" s="94">
        <v>0</v>
      </c>
      <c r="V394" s="94">
        <v>0</v>
      </c>
      <c r="W394" s="94">
        <v>0</v>
      </c>
      <c r="X394" s="94">
        <v>0</v>
      </c>
      <c r="Y394" s="93">
        <v>0</v>
      </c>
      <c r="Z394" s="94">
        <v>0</v>
      </c>
    </row>
    <row r="395" spans="1:26" s="226" customFormat="1" ht="12.75" customHeight="1" x14ac:dyDescent="0.25">
      <c r="B395" s="98" t="s">
        <v>112</v>
      </c>
      <c r="C395" s="98" t="s">
        <v>70</v>
      </c>
      <c r="F395" s="100">
        <v>10776632651.209999</v>
      </c>
      <c r="G395" s="100">
        <v>604672443.24000001</v>
      </c>
      <c r="H395" s="100">
        <v>335176510.64999998</v>
      </c>
      <c r="I395" s="100">
        <v>178723414.93000001</v>
      </c>
      <c r="J395" s="100">
        <v>2396191019.73</v>
      </c>
      <c r="K395" s="100">
        <v>89652712.909999996</v>
      </c>
      <c r="L395" s="100">
        <v>8643135.5800000001</v>
      </c>
      <c r="M395" s="100">
        <v>785816460.85000002</v>
      </c>
      <c r="N395" s="100">
        <v>749926797.75</v>
      </c>
      <c r="O395" s="100">
        <v>3880555541.46</v>
      </c>
      <c r="P395" s="100">
        <v>1600714206.5</v>
      </c>
      <c r="Q395" s="100">
        <v>146528275.83000001</v>
      </c>
      <c r="R395" s="100">
        <v>31942.35</v>
      </c>
      <c r="S395" s="100">
        <v>10.220000000000001</v>
      </c>
      <c r="T395" s="226">
        <v>179.21</v>
      </c>
      <c r="U395" s="226">
        <v>0</v>
      </c>
      <c r="V395" s="226">
        <v>0</v>
      </c>
      <c r="W395" s="226">
        <v>0</v>
      </c>
      <c r="X395" s="226">
        <v>0</v>
      </c>
      <c r="Y395" s="100">
        <v>0</v>
      </c>
      <c r="Z395" s="226">
        <v>0</v>
      </c>
    </row>
    <row r="396" spans="1:26" ht="12" customHeight="1" x14ac:dyDescent="0.25">
      <c r="A396" s="89" t="s">
        <v>78</v>
      </c>
      <c r="B396" s="89" t="s">
        <v>70</v>
      </c>
      <c r="F396" s="373">
        <v>10799664233.549999</v>
      </c>
      <c r="G396" s="90">
        <v>605951200.88</v>
      </c>
      <c r="H396" s="90">
        <v>335896309.07999998</v>
      </c>
      <c r="I396" s="90">
        <v>179109065.50999999</v>
      </c>
      <c r="J396" s="90">
        <v>2401372384.8899999</v>
      </c>
      <c r="K396" s="90">
        <v>89808238.989999995</v>
      </c>
      <c r="L396" s="90">
        <v>8643135.5800000001</v>
      </c>
      <c r="M396" s="90">
        <v>787167753.14999998</v>
      </c>
      <c r="N396" s="90">
        <v>751596346.35000002</v>
      </c>
      <c r="O396" s="90">
        <v>3889172985.3299999</v>
      </c>
      <c r="P396" s="90">
        <v>1604131237.4100001</v>
      </c>
      <c r="Q396" s="90">
        <v>146783453.65000001</v>
      </c>
      <c r="R396" s="90">
        <v>31933.3</v>
      </c>
      <c r="S396" s="90">
        <v>10.220000000000001</v>
      </c>
      <c r="T396">
        <v>179.21</v>
      </c>
      <c r="U396">
        <v>0</v>
      </c>
      <c r="V396">
        <v>0</v>
      </c>
      <c r="W396">
        <v>0</v>
      </c>
      <c r="X396">
        <v>0</v>
      </c>
      <c r="Y396" s="90">
        <v>0</v>
      </c>
      <c r="Z396">
        <v>0</v>
      </c>
    </row>
    <row r="397" spans="1:26" ht="12.75" customHeight="1" x14ac:dyDescent="0.25">
      <c r="E397" s="89" t="s">
        <v>73</v>
      </c>
      <c r="F397" s="90">
        <v>-1560876.97</v>
      </c>
      <c r="G397" s="90">
        <v>53550.42</v>
      </c>
      <c r="H397" s="90">
        <v>32933.96</v>
      </c>
      <c r="I397" s="90">
        <v>16175.09</v>
      </c>
      <c r="J397" s="90">
        <v>-562935.19999999995</v>
      </c>
      <c r="K397" s="90">
        <v>-14226.03</v>
      </c>
      <c r="L397" s="90">
        <v>0</v>
      </c>
      <c r="M397" s="90">
        <v>-124687.29</v>
      </c>
      <c r="N397" s="90">
        <v>-176501.79</v>
      </c>
      <c r="O397" s="90">
        <v>-906716.15</v>
      </c>
      <c r="P397" s="90">
        <v>144859.4</v>
      </c>
      <c r="Q397" s="90">
        <v>-23329.38</v>
      </c>
      <c r="R397" s="90">
        <v>0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1:26" ht="12.75" customHeight="1" x14ac:dyDescent="0.25">
      <c r="D398" t="s">
        <v>156</v>
      </c>
      <c r="E398" s="89" t="s">
        <v>70</v>
      </c>
      <c r="F398" s="90">
        <v>-1560876.97</v>
      </c>
      <c r="G398" s="90">
        <v>53550.42</v>
      </c>
      <c r="H398" s="90">
        <v>32933.96</v>
      </c>
      <c r="I398" s="90">
        <v>16175.09</v>
      </c>
      <c r="J398" s="90">
        <v>-562935.19999999995</v>
      </c>
      <c r="K398" s="90">
        <v>-14226.03</v>
      </c>
      <c r="L398" s="90">
        <v>0</v>
      </c>
      <c r="M398" s="90">
        <v>-124687.29</v>
      </c>
      <c r="N398" s="90">
        <v>-176501.79</v>
      </c>
      <c r="O398" s="90">
        <v>-906716.15</v>
      </c>
      <c r="P398" s="90">
        <v>144859.4</v>
      </c>
      <c r="Q398" s="90">
        <v>-23329.38</v>
      </c>
      <c r="R398" s="90">
        <v>0</v>
      </c>
      <c r="S398" s="90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1:26" s="648" customFormat="1" ht="12.75" customHeight="1" x14ac:dyDescent="0.25">
      <c r="C399" s="648" t="s">
        <v>155</v>
      </c>
      <c r="D399" s="648" t="s">
        <v>70</v>
      </c>
      <c r="E399" s="649"/>
      <c r="F399" s="737">
        <v>-1560876.97</v>
      </c>
      <c r="G399" s="650">
        <v>53550.42</v>
      </c>
      <c r="H399" s="650">
        <v>32933.96</v>
      </c>
      <c r="I399" s="650">
        <v>16175.09</v>
      </c>
      <c r="J399" s="650">
        <v>-562935.19999999995</v>
      </c>
      <c r="K399" s="650">
        <v>-14226.03</v>
      </c>
      <c r="L399" s="650">
        <v>0</v>
      </c>
      <c r="M399" s="650">
        <v>-124687.29</v>
      </c>
      <c r="N399" s="650">
        <v>-176501.79</v>
      </c>
      <c r="O399" s="650">
        <v>-906716.15</v>
      </c>
      <c r="P399" s="650">
        <v>144859.4</v>
      </c>
      <c r="Q399" s="650">
        <v>-23329.38</v>
      </c>
      <c r="R399" s="650">
        <v>0</v>
      </c>
      <c r="S399" s="650">
        <v>0</v>
      </c>
      <c r="T399" s="648">
        <v>0</v>
      </c>
      <c r="U399" s="648">
        <v>0</v>
      </c>
      <c r="V399" s="648">
        <v>0</v>
      </c>
      <c r="W399" s="648">
        <v>0</v>
      </c>
      <c r="X399" s="648">
        <v>0</v>
      </c>
      <c r="Y399" s="650">
        <v>0</v>
      </c>
      <c r="Z399" s="648">
        <v>0</v>
      </c>
    </row>
    <row r="400" spans="1:26" ht="12.75" customHeight="1" x14ac:dyDescent="0.25">
      <c r="E400" s="89" t="s">
        <v>73</v>
      </c>
      <c r="F400" s="90">
        <v>-47234.67</v>
      </c>
      <c r="G400" s="90">
        <v>-1088.25</v>
      </c>
      <c r="H400" s="90">
        <v>-614.85</v>
      </c>
      <c r="I400" s="90">
        <v>-324.42</v>
      </c>
      <c r="J400" s="90">
        <v>-8085.25</v>
      </c>
      <c r="K400" s="90">
        <v>-505.96</v>
      </c>
      <c r="L400" s="90">
        <v>0</v>
      </c>
      <c r="M400" s="90">
        <v>-4438.2299999999996</v>
      </c>
      <c r="N400" s="90">
        <v>-4643.5200000000004</v>
      </c>
      <c r="O400" s="90">
        <v>-23810.720000000001</v>
      </c>
      <c r="P400" s="90">
        <v>-2897.96</v>
      </c>
      <c r="Q400" s="90">
        <v>-825.51</v>
      </c>
      <c r="R400" s="90">
        <v>0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0</v>
      </c>
    </row>
    <row r="401" spans="2:26" ht="12.75" customHeight="1" x14ac:dyDescent="0.25">
      <c r="D401" t="s">
        <v>115</v>
      </c>
      <c r="E401" s="89" t="s">
        <v>70</v>
      </c>
      <c r="F401" s="90">
        <v>-47234.67</v>
      </c>
      <c r="G401" s="90">
        <v>-1088.25</v>
      </c>
      <c r="H401" s="90">
        <v>-614.85</v>
      </c>
      <c r="I401" s="90">
        <v>-324.42</v>
      </c>
      <c r="J401" s="90">
        <v>-8085.25</v>
      </c>
      <c r="K401" s="90">
        <v>-505.96</v>
      </c>
      <c r="L401" s="90">
        <v>0</v>
      </c>
      <c r="M401" s="90">
        <v>-4438.2299999999996</v>
      </c>
      <c r="N401" s="90">
        <v>-4643.5200000000004</v>
      </c>
      <c r="O401" s="90">
        <v>-23810.720000000001</v>
      </c>
      <c r="P401" s="90">
        <v>-2897.96</v>
      </c>
      <c r="Q401" s="90">
        <v>-825.51</v>
      </c>
      <c r="R401" s="90">
        <v>0</v>
      </c>
      <c r="S401" s="90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90">
        <v>0</v>
      </c>
      <c r="Z401">
        <v>0</v>
      </c>
    </row>
    <row r="402" spans="2:26" s="224" customFormat="1" ht="12.75" customHeight="1" x14ac:dyDescent="0.25">
      <c r="C402" s="223" t="s">
        <v>120</v>
      </c>
      <c r="D402" s="223" t="s">
        <v>70</v>
      </c>
      <c r="F402" s="225">
        <v>-47234.67</v>
      </c>
      <c r="G402" s="225">
        <v>-1088.25</v>
      </c>
      <c r="H402" s="225">
        <v>-614.85</v>
      </c>
      <c r="I402" s="225">
        <v>-324.42</v>
      </c>
      <c r="J402" s="225">
        <v>-8085.25</v>
      </c>
      <c r="K402" s="225">
        <v>-505.96</v>
      </c>
      <c r="L402" s="225">
        <v>0</v>
      </c>
      <c r="M402" s="225">
        <v>-4438.2299999999996</v>
      </c>
      <c r="N402" s="225">
        <v>-4643.5200000000004</v>
      </c>
      <c r="O402" s="225">
        <v>-23810.720000000001</v>
      </c>
      <c r="P402" s="225">
        <v>-2897.96</v>
      </c>
      <c r="Q402" s="225">
        <v>-825.51</v>
      </c>
      <c r="R402" s="225">
        <v>0</v>
      </c>
      <c r="S402" s="225">
        <v>0</v>
      </c>
      <c r="T402" s="224">
        <v>0</v>
      </c>
      <c r="U402" s="224">
        <v>0</v>
      </c>
      <c r="V402" s="224">
        <v>0</v>
      </c>
      <c r="W402" s="224">
        <v>0</v>
      </c>
      <c r="X402" s="224">
        <v>0</v>
      </c>
      <c r="Y402" s="225">
        <v>0</v>
      </c>
      <c r="Z402" s="224">
        <v>0</v>
      </c>
    </row>
    <row r="403" spans="2:26" ht="12.75" customHeight="1" x14ac:dyDescent="0.25">
      <c r="E403" s="89" t="s">
        <v>73</v>
      </c>
      <c r="F403" s="373">
        <v>37555.14</v>
      </c>
      <c r="G403" s="90">
        <v>4039.08</v>
      </c>
      <c r="H403" s="90">
        <v>2258.1</v>
      </c>
      <c r="I403" s="90">
        <v>1196.98</v>
      </c>
      <c r="J403" s="90">
        <v>6201.71</v>
      </c>
      <c r="K403" s="90">
        <v>205</v>
      </c>
      <c r="L403" s="90">
        <v>0</v>
      </c>
      <c r="M403" s="90">
        <v>1798.22</v>
      </c>
      <c r="N403" s="90">
        <v>1765.23</v>
      </c>
      <c r="O403" s="90">
        <v>9062.01</v>
      </c>
      <c r="P403" s="90">
        <v>10694.35</v>
      </c>
      <c r="Q403" s="90">
        <v>334.46</v>
      </c>
      <c r="R403" s="90">
        <v>0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2:26" ht="12.75" customHeight="1" x14ac:dyDescent="0.25">
      <c r="D404" t="s">
        <v>82</v>
      </c>
      <c r="E404" s="89" t="s">
        <v>70</v>
      </c>
      <c r="F404" s="373">
        <v>37555.14</v>
      </c>
      <c r="G404" s="90">
        <v>4039.08</v>
      </c>
      <c r="H404" s="90">
        <v>2258.1</v>
      </c>
      <c r="I404" s="90">
        <v>1196.98</v>
      </c>
      <c r="J404" s="90">
        <v>6201.71</v>
      </c>
      <c r="K404" s="90">
        <v>205</v>
      </c>
      <c r="L404" s="90">
        <v>0</v>
      </c>
      <c r="M404" s="90">
        <v>1798.22</v>
      </c>
      <c r="N404" s="90">
        <v>1765.23</v>
      </c>
      <c r="O404" s="90">
        <v>9062.01</v>
      </c>
      <c r="P404" s="90">
        <v>10694.35</v>
      </c>
      <c r="Q404" s="90">
        <v>334.46</v>
      </c>
      <c r="R404" s="90">
        <v>0</v>
      </c>
      <c r="S404" s="90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2:26" ht="12.75" customHeight="1" x14ac:dyDescent="0.25">
      <c r="E405" s="89" t="s">
        <v>73</v>
      </c>
      <c r="F405" s="373">
        <v>96151.16</v>
      </c>
      <c r="G405" s="90">
        <v>6725.46</v>
      </c>
      <c r="H405" s="90">
        <v>3475.84</v>
      </c>
      <c r="I405" s="90">
        <v>1916.48</v>
      </c>
      <c r="J405" s="90">
        <v>21986.42</v>
      </c>
      <c r="K405" s="90">
        <v>512.83000000000004</v>
      </c>
      <c r="L405" s="90">
        <v>0</v>
      </c>
      <c r="M405" s="90">
        <v>4498.28</v>
      </c>
      <c r="N405" s="90">
        <v>6333.74</v>
      </c>
      <c r="O405" s="90">
        <v>31922.75</v>
      </c>
      <c r="P405" s="90">
        <v>17942.669999999998</v>
      </c>
      <c r="Q405" s="90">
        <v>836.69</v>
      </c>
      <c r="R405" s="90">
        <v>0</v>
      </c>
      <c r="S405" s="90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2:26" ht="12.75" customHeight="1" x14ac:dyDescent="0.25">
      <c r="D406" s="89" t="s">
        <v>86</v>
      </c>
      <c r="E406" s="89" t="s">
        <v>70</v>
      </c>
      <c r="F406" s="90">
        <v>96151.16</v>
      </c>
      <c r="G406" s="90">
        <v>6725.46</v>
      </c>
      <c r="H406" s="90">
        <v>3475.84</v>
      </c>
      <c r="I406" s="90">
        <v>1916.48</v>
      </c>
      <c r="J406" s="90">
        <v>21986.42</v>
      </c>
      <c r="K406" s="90">
        <v>512.83000000000004</v>
      </c>
      <c r="L406" s="90">
        <v>0</v>
      </c>
      <c r="M406" s="90">
        <v>4498.28</v>
      </c>
      <c r="N406" s="90">
        <v>6333.74</v>
      </c>
      <c r="O406" s="90">
        <v>31922.75</v>
      </c>
      <c r="P406" s="90">
        <v>17942.669999999998</v>
      </c>
      <c r="Q406" s="90">
        <v>836.69</v>
      </c>
      <c r="R406" s="90">
        <v>0</v>
      </c>
      <c r="S406" s="90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90">
        <v>0</v>
      </c>
      <c r="Z406">
        <v>0</v>
      </c>
    </row>
    <row r="407" spans="2:26" s="94" customFormat="1" ht="12.75" customHeight="1" x14ac:dyDescent="0.25">
      <c r="C407" s="94" t="s">
        <v>119</v>
      </c>
      <c r="D407" s="94" t="s">
        <v>70</v>
      </c>
      <c r="E407" s="101"/>
      <c r="F407" s="716">
        <v>133706.29999999999</v>
      </c>
      <c r="G407" s="93">
        <v>10764.54</v>
      </c>
      <c r="H407" s="93">
        <v>5733.94</v>
      </c>
      <c r="I407" s="93">
        <v>3113.46</v>
      </c>
      <c r="J407" s="93">
        <v>28188.13</v>
      </c>
      <c r="K407" s="93">
        <v>717.83</v>
      </c>
      <c r="L407" s="93">
        <v>0</v>
      </c>
      <c r="M407" s="93">
        <v>6296.5</v>
      </c>
      <c r="N407" s="93">
        <v>8098.97</v>
      </c>
      <c r="O407" s="93">
        <v>40984.76</v>
      </c>
      <c r="P407" s="93">
        <v>28637.02</v>
      </c>
      <c r="Q407" s="93">
        <v>1171.1500000000001</v>
      </c>
      <c r="R407" s="93">
        <v>0</v>
      </c>
      <c r="S407" s="93">
        <v>0</v>
      </c>
      <c r="T407" s="94">
        <v>0</v>
      </c>
      <c r="U407" s="94">
        <v>0</v>
      </c>
      <c r="V407" s="94">
        <v>0</v>
      </c>
      <c r="W407" s="94">
        <v>0</v>
      </c>
      <c r="X407" s="94">
        <v>0</v>
      </c>
      <c r="Y407" s="93">
        <v>0</v>
      </c>
      <c r="Z407" s="94">
        <v>0</v>
      </c>
    </row>
    <row r="408" spans="2:26" s="380" customFormat="1" ht="12.6" customHeight="1" x14ac:dyDescent="0.25">
      <c r="B408" s="380" t="s">
        <v>122</v>
      </c>
      <c r="C408" s="380" t="s">
        <v>70</v>
      </c>
      <c r="D408" s="378"/>
      <c r="E408" s="378"/>
      <c r="F408" s="706">
        <v>-1474405.34</v>
      </c>
      <c r="G408" s="379">
        <v>63226.71</v>
      </c>
      <c r="H408" s="379">
        <v>38053.050000000003</v>
      </c>
      <c r="I408" s="379">
        <v>18964.13</v>
      </c>
      <c r="J408" s="379">
        <v>-542832.31999999995</v>
      </c>
      <c r="K408" s="379">
        <v>-14014.16</v>
      </c>
      <c r="L408" s="379">
        <v>0</v>
      </c>
      <c r="M408" s="379">
        <v>-122829.02</v>
      </c>
      <c r="N408" s="379">
        <v>-173046.34</v>
      </c>
      <c r="O408" s="379">
        <v>-889542.11</v>
      </c>
      <c r="P408" s="379">
        <v>170598.46</v>
      </c>
      <c r="Q408" s="379">
        <v>-22983.74</v>
      </c>
      <c r="R408" s="379">
        <v>0</v>
      </c>
      <c r="S408" s="379">
        <v>0</v>
      </c>
      <c r="T408" s="380">
        <v>0</v>
      </c>
      <c r="U408" s="380">
        <v>0</v>
      </c>
      <c r="V408" s="380">
        <v>0</v>
      </c>
      <c r="W408" s="380">
        <v>0</v>
      </c>
      <c r="X408" s="380">
        <v>0</v>
      </c>
      <c r="Y408" s="379">
        <v>0</v>
      </c>
      <c r="Z408" s="380">
        <v>0</v>
      </c>
    </row>
    <row r="409" spans="2:26" ht="12.75" customHeight="1" x14ac:dyDescent="0.25">
      <c r="D409" s="89"/>
      <c r="E409" s="89" t="s">
        <v>73</v>
      </c>
      <c r="F409" s="373">
        <v>-440994165.67000002</v>
      </c>
      <c r="G409" s="90">
        <v>45083745.57</v>
      </c>
      <c r="H409" s="90">
        <v>24726150.07</v>
      </c>
      <c r="I409" s="90">
        <v>13138151.800000001</v>
      </c>
      <c r="J409" s="90">
        <v>-190606036.38</v>
      </c>
      <c r="K409" s="90">
        <v>-7297920.0800000001</v>
      </c>
      <c r="L409" s="90">
        <v>0</v>
      </c>
      <c r="M409" s="90">
        <v>-64042151.810000002</v>
      </c>
      <c r="N409" s="90">
        <v>-59277978.759999998</v>
      </c>
      <c r="O409" s="90">
        <v>-310255229.80000001</v>
      </c>
      <c r="P409" s="90">
        <v>119446638.11</v>
      </c>
      <c r="Q409" s="90">
        <v>-11909534.390000001</v>
      </c>
      <c r="R409" s="90">
        <v>0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2:26" ht="12.75" customHeight="1" x14ac:dyDescent="0.25">
      <c r="D410" s="89" t="s">
        <v>156</v>
      </c>
      <c r="E410" s="89" t="s">
        <v>70</v>
      </c>
      <c r="F410" s="373">
        <v>-440994165.67000002</v>
      </c>
      <c r="G410" s="90">
        <v>45083745.57</v>
      </c>
      <c r="H410" s="90">
        <v>24726150.07</v>
      </c>
      <c r="I410" s="90">
        <v>13138151.800000001</v>
      </c>
      <c r="J410" s="90">
        <v>-190606036.38</v>
      </c>
      <c r="K410" s="90">
        <v>-7297920.0800000001</v>
      </c>
      <c r="L410" s="90">
        <v>0</v>
      </c>
      <c r="M410" s="90">
        <v>-64042151.810000002</v>
      </c>
      <c r="N410" s="90">
        <v>-59277978.759999998</v>
      </c>
      <c r="O410" s="90">
        <v>-310255229.80000001</v>
      </c>
      <c r="P410" s="90">
        <v>119446638.11</v>
      </c>
      <c r="Q410" s="90">
        <v>-11909534.390000001</v>
      </c>
      <c r="R410" s="90">
        <v>0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2:26" s="648" customFormat="1" ht="12.75" customHeight="1" x14ac:dyDescent="0.25">
      <c r="C411" s="648" t="s">
        <v>155</v>
      </c>
      <c r="D411" s="649" t="s">
        <v>70</v>
      </c>
      <c r="E411" s="649"/>
      <c r="F411" s="737">
        <v>-440994165.67000002</v>
      </c>
      <c r="G411" s="650">
        <v>45083745.57</v>
      </c>
      <c r="H411" s="650">
        <v>24726150.07</v>
      </c>
      <c r="I411" s="650">
        <v>13138151.800000001</v>
      </c>
      <c r="J411" s="650">
        <v>-190606036.38</v>
      </c>
      <c r="K411" s="650">
        <v>-7297920.0800000001</v>
      </c>
      <c r="L411" s="650">
        <v>0</v>
      </c>
      <c r="M411" s="650">
        <v>-64042151.810000002</v>
      </c>
      <c r="N411" s="650">
        <v>-59277978.759999998</v>
      </c>
      <c r="O411" s="650">
        <v>-310255229.80000001</v>
      </c>
      <c r="P411" s="650">
        <v>119446638.11</v>
      </c>
      <c r="Q411" s="650">
        <v>-11909534.390000001</v>
      </c>
      <c r="R411" s="650">
        <v>0</v>
      </c>
      <c r="S411" s="650">
        <v>0</v>
      </c>
      <c r="T411" s="648">
        <v>0</v>
      </c>
      <c r="U411" s="648">
        <v>0</v>
      </c>
      <c r="V411" s="648">
        <v>0</v>
      </c>
      <c r="W411" s="648">
        <v>0</v>
      </c>
      <c r="X411" s="648">
        <v>0</v>
      </c>
      <c r="Y411" s="650">
        <v>0</v>
      </c>
      <c r="Z411" s="648">
        <v>0</v>
      </c>
    </row>
    <row r="412" spans="2:26" ht="12.75" customHeight="1" x14ac:dyDescent="0.25">
      <c r="E412" s="89" t="s">
        <v>73</v>
      </c>
      <c r="F412" s="90">
        <v>621387.42000000004</v>
      </c>
      <c r="G412" s="90">
        <v>852609.88</v>
      </c>
      <c r="H412" s="90">
        <v>474811.81</v>
      </c>
      <c r="I412" s="90">
        <v>246061.62</v>
      </c>
      <c r="J412" s="90">
        <v>-1032983.4</v>
      </c>
      <c r="K412" s="90">
        <v>-23653.599999999999</v>
      </c>
      <c r="L412" s="90">
        <v>0</v>
      </c>
      <c r="M412" s="90">
        <v>-207515.15</v>
      </c>
      <c r="N412" s="90">
        <v>-305567</v>
      </c>
      <c r="O412" s="90">
        <v>-1602885.5</v>
      </c>
      <c r="P412" s="90">
        <v>2259043.41</v>
      </c>
      <c r="Q412" s="90">
        <v>-38534.65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2:26" ht="12.75" customHeight="1" x14ac:dyDescent="0.25">
      <c r="D413" s="89" t="s">
        <v>82</v>
      </c>
      <c r="E413" s="89" t="s">
        <v>70</v>
      </c>
      <c r="F413" s="90">
        <v>621387.42000000004</v>
      </c>
      <c r="G413" s="90">
        <v>852609.88</v>
      </c>
      <c r="H413" s="90">
        <v>474811.81</v>
      </c>
      <c r="I413" s="90">
        <v>246061.62</v>
      </c>
      <c r="J413" s="90">
        <v>-1032983.4</v>
      </c>
      <c r="K413" s="90">
        <v>-23653.599999999999</v>
      </c>
      <c r="L413" s="90">
        <v>0</v>
      </c>
      <c r="M413" s="90">
        <v>-207515.15</v>
      </c>
      <c r="N413" s="90">
        <v>-305567</v>
      </c>
      <c r="O413" s="90">
        <v>-1602885.5</v>
      </c>
      <c r="P413" s="90">
        <v>2259043.41</v>
      </c>
      <c r="Q413" s="90">
        <v>-38534.65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2:26" ht="12.75" customHeight="1" x14ac:dyDescent="0.25">
      <c r="E414" s="89" t="s">
        <v>73</v>
      </c>
      <c r="F414" s="90">
        <v>33034294.629999999</v>
      </c>
      <c r="G414" s="90">
        <v>7469715.1500000004</v>
      </c>
      <c r="H414" s="90">
        <v>4000414.05</v>
      </c>
      <c r="I414" s="90">
        <v>2027029.51</v>
      </c>
      <c r="J414" s="90">
        <v>-213628.61</v>
      </c>
      <c r="K414" s="90">
        <v>-892.04</v>
      </c>
      <c r="L414" s="90">
        <v>0</v>
      </c>
      <c r="M414" s="90">
        <v>-8871.7099999999991</v>
      </c>
      <c r="N414" s="90">
        <v>16891.87</v>
      </c>
      <c r="O414" s="90">
        <v>-15808.99</v>
      </c>
      <c r="P414" s="90">
        <v>19760866.23</v>
      </c>
      <c r="Q414" s="90">
        <v>-1420.83</v>
      </c>
      <c r="R414" s="90">
        <v>0</v>
      </c>
      <c r="S414" s="90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90">
        <v>0</v>
      </c>
      <c r="Z414">
        <v>0</v>
      </c>
    </row>
    <row r="415" spans="2:26" ht="12.75" customHeight="1" x14ac:dyDescent="0.25">
      <c r="D415" s="89" t="s">
        <v>86</v>
      </c>
      <c r="E415" s="89" t="s">
        <v>70</v>
      </c>
      <c r="F415" s="90">
        <v>33034294.629999999</v>
      </c>
      <c r="G415" s="90">
        <v>7469715.1500000004</v>
      </c>
      <c r="H415" s="90">
        <v>4000414.05</v>
      </c>
      <c r="I415" s="90">
        <v>2027029.51</v>
      </c>
      <c r="J415" s="90">
        <v>-213628.61</v>
      </c>
      <c r="K415" s="90">
        <v>-892.04</v>
      </c>
      <c r="L415" s="90">
        <v>0</v>
      </c>
      <c r="M415" s="90">
        <v>-8871.7099999999991</v>
      </c>
      <c r="N415" s="90">
        <v>16891.87</v>
      </c>
      <c r="O415" s="90">
        <v>-15808.99</v>
      </c>
      <c r="P415" s="90">
        <v>19760866.23</v>
      </c>
      <c r="Q415" s="90">
        <v>-1420.83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2:26" ht="12.75" customHeight="1" x14ac:dyDescent="0.25">
      <c r="E416" s="89" t="s">
        <v>73</v>
      </c>
      <c r="F416" s="90">
        <v>113346962.34999999</v>
      </c>
      <c r="G416" s="90">
        <v>23417221.890000001</v>
      </c>
      <c r="H416" s="90">
        <v>13112318.439999999</v>
      </c>
      <c r="I416" s="90">
        <v>6940407.5099999998</v>
      </c>
      <c r="J416" s="90">
        <v>2390566.06</v>
      </c>
      <c r="K416" s="90">
        <v>61583.13</v>
      </c>
      <c r="L416" s="90">
        <v>0</v>
      </c>
      <c r="M416" s="90">
        <v>539287.80000000005</v>
      </c>
      <c r="N416" s="90">
        <v>727371.22</v>
      </c>
      <c r="O416" s="90">
        <v>3723280.44</v>
      </c>
      <c r="P416" s="90">
        <v>62334424.079999998</v>
      </c>
      <c r="Q416" s="90">
        <v>100501.78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0</v>
      </c>
    </row>
    <row r="417" spans="1:26" ht="12.75" customHeight="1" x14ac:dyDescent="0.25">
      <c r="D417" s="89" t="s">
        <v>87</v>
      </c>
      <c r="E417" s="89" t="s">
        <v>70</v>
      </c>
      <c r="F417" s="90">
        <v>113346962.34999999</v>
      </c>
      <c r="G417" s="90">
        <v>23417221.890000001</v>
      </c>
      <c r="H417" s="90">
        <v>13112318.439999999</v>
      </c>
      <c r="I417" s="90">
        <v>6940407.5099999998</v>
      </c>
      <c r="J417" s="90">
        <v>2390566.06</v>
      </c>
      <c r="K417" s="90">
        <v>61583.13</v>
      </c>
      <c r="L417" s="90">
        <v>0</v>
      </c>
      <c r="M417" s="90">
        <v>539287.80000000005</v>
      </c>
      <c r="N417" s="90">
        <v>727371.22</v>
      </c>
      <c r="O417" s="90">
        <v>3723280.44</v>
      </c>
      <c r="P417" s="90">
        <v>62334424.079999998</v>
      </c>
      <c r="Q417" s="90">
        <v>100501.78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90">
        <v>0</v>
      </c>
      <c r="Z417">
        <v>0</v>
      </c>
    </row>
    <row r="418" spans="1:26" s="94" customFormat="1" ht="12.75" customHeight="1" x14ac:dyDescent="0.25">
      <c r="C418" s="101" t="s">
        <v>119</v>
      </c>
      <c r="D418" s="101" t="s">
        <v>70</v>
      </c>
      <c r="F418" s="93">
        <v>147002644.40000001</v>
      </c>
      <c r="G418" s="93">
        <v>31739546.920000002</v>
      </c>
      <c r="H418" s="93">
        <v>17587544.300000001</v>
      </c>
      <c r="I418" s="93">
        <v>9213498.6400000006</v>
      </c>
      <c r="J418" s="93">
        <v>1143954.05</v>
      </c>
      <c r="K418" s="93">
        <v>37037.49</v>
      </c>
      <c r="L418" s="93">
        <v>0</v>
      </c>
      <c r="M418" s="93">
        <v>322900.94</v>
      </c>
      <c r="N418" s="93">
        <v>438696.09</v>
      </c>
      <c r="O418" s="93">
        <v>2104585.9500000002</v>
      </c>
      <c r="P418" s="93">
        <v>84354333.719999999</v>
      </c>
      <c r="Q418" s="93">
        <v>60546.3</v>
      </c>
      <c r="R418" s="93">
        <v>0</v>
      </c>
      <c r="S418" s="93">
        <v>0</v>
      </c>
      <c r="T418" s="94">
        <v>0</v>
      </c>
      <c r="U418" s="94">
        <v>0</v>
      </c>
      <c r="V418" s="94">
        <v>0</v>
      </c>
      <c r="W418" s="94">
        <v>0</v>
      </c>
      <c r="X418" s="94">
        <v>0</v>
      </c>
      <c r="Y418" s="93">
        <v>0</v>
      </c>
      <c r="Z418" s="94">
        <v>0</v>
      </c>
    </row>
    <row r="419" spans="1:26" s="226" customFormat="1" ht="12.75" customHeight="1" x14ac:dyDescent="0.25">
      <c r="B419" s="98" t="s">
        <v>112</v>
      </c>
      <c r="C419" s="98" t="s">
        <v>70</v>
      </c>
      <c r="F419" s="100">
        <v>-293991521.26999998</v>
      </c>
      <c r="G419" s="100">
        <v>76823292.489999995</v>
      </c>
      <c r="H419" s="100">
        <v>42313694.369999997</v>
      </c>
      <c r="I419" s="100">
        <v>22351650.440000001</v>
      </c>
      <c r="J419" s="100">
        <v>-189462082.33000001</v>
      </c>
      <c r="K419" s="100">
        <v>-7260882.5899999999</v>
      </c>
      <c r="L419" s="100">
        <v>0</v>
      </c>
      <c r="M419" s="100">
        <v>-63719250.869999997</v>
      </c>
      <c r="N419" s="100">
        <v>-58839282.670000002</v>
      </c>
      <c r="O419" s="100">
        <v>-308150643.85000002</v>
      </c>
      <c r="P419" s="100">
        <v>203800971.83000001</v>
      </c>
      <c r="Q419" s="100">
        <v>-11848988.09</v>
      </c>
      <c r="R419" s="100">
        <v>0</v>
      </c>
      <c r="S419" s="100">
        <v>0</v>
      </c>
      <c r="T419" s="226">
        <v>0</v>
      </c>
      <c r="U419" s="226">
        <v>0</v>
      </c>
      <c r="V419" s="226">
        <v>0</v>
      </c>
      <c r="W419" s="226">
        <v>0</v>
      </c>
      <c r="X419" s="226">
        <v>0</v>
      </c>
      <c r="Y419" s="100">
        <v>0</v>
      </c>
      <c r="Z419" s="226">
        <v>0</v>
      </c>
    </row>
    <row r="420" spans="1:26" ht="12.75" customHeight="1" x14ac:dyDescent="0.25">
      <c r="A420" s="89" t="s">
        <v>79</v>
      </c>
      <c r="B420" s="89" t="s">
        <v>70</v>
      </c>
      <c r="F420" s="90">
        <v>-295465926.61000001</v>
      </c>
      <c r="G420" s="90">
        <v>76886519.200000003</v>
      </c>
      <c r="H420" s="90">
        <v>42351747.420000002</v>
      </c>
      <c r="I420" s="90">
        <v>22370614.57</v>
      </c>
      <c r="J420" s="90">
        <v>-190004914.65000001</v>
      </c>
      <c r="K420" s="90">
        <v>-7274896.75</v>
      </c>
      <c r="L420" s="90">
        <v>0</v>
      </c>
      <c r="M420" s="90">
        <v>-63842079.890000001</v>
      </c>
      <c r="N420" s="90">
        <v>-59012329.009999998</v>
      </c>
      <c r="O420" s="90">
        <v>-309040185.95999998</v>
      </c>
      <c r="P420" s="90">
        <v>203971570.28999999</v>
      </c>
      <c r="Q420" s="90">
        <v>-11871971.83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90">
        <v>0</v>
      </c>
      <c r="Z420">
        <v>0</v>
      </c>
    </row>
    <row r="421" spans="1:26" ht="12.75" customHeight="1" x14ac:dyDescent="0.25">
      <c r="A421" s="89" t="s">
        <v>70</v>
      </c>
      <c r="F421" s="90">
        <v>10504168126</v>
      </c>
      <c r="G421" s="90">
        <v>682835274.63</v>
      </c>
      <c r="H421" s="90">
        <v>378247017.58999997</v>
      </c>
      <c r="I421" s="90">
        <v>201479226.38999999</v>
      </c>
      <c r="J421" s="90">
        <v>2211361890.6199999</v>
      </c>
      <c r="K421" s="90">
        <v>82533115.019999996</v>
      </c>
      <c r="L421" s="90">
        <v>8643135.5800000001</v>
      </c>
      <c r="M421" s="90">
        <v>723323680.08000004</v>
      </c>
      <c r="N421" s="90">
        <v>692581482.82000005</v>
      </c>
      <c r="O421" s="90">
        <v>3580123493.0700002</v>
      </c>
      <c r="P421" s="90">
        <v>1808096576.4000001</v>
      </c>
      <c r="Q421" s="90">
        <v>134911111.06999999</v>
      </c>
      <c r="R421" s="90">
        <v>31933.3</v>
      </c>
      <c r="S421" s="90">
        <v>10.220000000000001</v>
      </c>
      <c r="T421">
        <v>179.21</v>
      </c>
      <c r="U421">
        <v>0</v>
      </c>
      <c r="V421">
        <v>0</v>
      </c>
      <c r="W421">
        <v>0</v>
      </c>
      <c r="X421">
        <v>0</v>
      </c>
      <c r="Y421" s="90">
        <v>0</v>
      </c>
      <c r="Z421">
        <v>0</v>
      </c>
    </row>
    <row r="422" spans="1:26" ht="12.75" customHeight="1" x14ac:dyDescent="0.25">
      <c r="A422" s="89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</row>
    <row r="423" spans="1:26" ht="12.75" hidden="1" customHeight="1" x14ac:dyDescent="0.25">
      <c r="A423" s="89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</row>
    <row r="424" spans="1:26" ht="12.75" hidden="1" customHeight="1" x14ac:dyDescent="0.25">
      <c r="A424" s="89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26" ht="12.75" hidden="1" customHeight="1" x14ac:dyDescent="0.25">
      <c r="A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A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A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A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A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A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A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A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41" ht="12.75" hidden="1" customHeight="1" x14ac:dyDescent="0.25">
      <c r="A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41" ht="12.75" hidden="1" customHeight="1" x14ac:dyDescent="0.25">
      <c r="A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hidden="1" customHeight="1" x14ac:dyDescent="0.25">
      <c r="A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41" ht="12.75" hidden="1" customHeight="1" x14ac:dyDescent="0.25">
      <c r="A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hidden="1" customHeight="1" x14ac:dyDescent="0.25">
      <c r="A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41" ht="12.75" customHeight="1" x14ac:dyDescent="0.25">
      <c r="A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41" ht="12.75" customHeight="1" x14ac:dyDescent="0.25">
      <c r="C439" s="768" t="s">
        <v>2</v>
      </c>
      <c r="D439" s="769" t="s">
        <v>132</v>
      </c>
      <c r="E439" s="98" t="s">
        <v>70</v>
      </c>
      <c r="F439" s="100">
        <f>F395+F419+F360-L360-L395</f>
        <v>10473967813.419998</v>
      </c>
      <c r="G439" s="100">
        <f t="shared" ref="G439:AO439" si="18">G395+G360</f>
        <v>604669997.78999996</v>
      </c>
      <c r="H439" s="100">
        <f t="shared" si="18"/>
        <v>335175471.73999995</v>
      </c>
      <c r="I439" s="100">
        <f t="shared" si="18"/>
        <v>178722961.24000001</v>
      </c>
      <c r="J439" s="100">
        <f t="shared" si="18"/>
        <v>2396185440.1100001</v>
      </c>
      <c r="K439" s="100">
        <f t="shared" si="18"/>
        <v>89652485.689999998</v>
      </c>
      <c r="L439" s="100">
        <f t="shared" si="18"/>
        <v>8643135.5800000001</v>
      </c>
      <c r="M439" s="100">
        <f t="shared" si="18"/>
        <v>785814467.67000008</v>
      </c>
      <c r="N439" s="100">
        <f t="shared" si="18"/>
        <v>749924263.23000002</v>
      </c>
      <c r="O439" s="100">
        <f t="shared" si="18"/>
        <v>3880546235.1599998</v>
      </c>
      <c r="P439" s="100">
        <f t="shared" si="18"/>
        <v>1600707975.2</v>
      </c>
      <c r="Q439" s="100">
        <f t="shared" si="18"/>
        <v>146527905.08000001</v>
      </c>
      <c r="R439" s="100">
        <f t="shared" si="18"/>
        <v>31942.35</v>
      </c>
      <c r="S439" s="100">
        <f t="shared" si="18"/>
        <v>10.220000000000001</v>
      </c>
      <c r="T439" s="100">
        <f t="shared" si="18"/>
        <v>179.21</v>
      </c>
      <c r="U439" s="100">
        <f t="shared" si="18"/>
        <v>0</v>
      </c>
      <c r="V439" s="100">
        <f t="shared" si="18"/>
        <v>0</v>
      </c>
      <c r="W439" s="100">
        <f t="shared" si="18"/>
        <v>0</v>
      </c>
      <c r="X439" s="100">
        <f t="shared" si="18"/>
        <v>0</v>
      </c>
      <c r="Y439" s="100">
        <f t="shared" si="18"/>
        <v>0</v>
      </c>
      <c r="Z439" s="100">
        <f t="shared" si="18"/>
        <v>0</v>
      </c>
      <c r="AA439" s="100">
        <f t="shared" si="18"/>
        <v>0</v>
      </c>
      <c r="AB439" s="100">
        <f t="shared" si="18"/>
        <v>0</v>
      </c>
      <c r="AC439" s="100">
        <f t="shared" si="18"/>
        <v>0</v>
      </c>
      <c r="AD439" s="100">
        <f t="shared" si="18"/>
        <v>0</v>
      </c>
      <c r="AE439" s="100">
        <f t="shared" si="18"/>
        <v>0</v>
      </c>
      <c r="AF439" s="100">
        <f t="shared" si="18"/>
        <v>0</v>
      </c>
      <c r="AG439" s="100">
        <f t="shared" si="18"/>
        <v>0</v>
      </c>
      <c r="AH439" s="100">
        <f t="shared" si="18"/>
        <v>0</v>
      </c>
      <c r="AI439" s="100">
        <f t="shared" si="18"/>
        <v>0</v>
      </c>
      <c r="AJ439" s="100">
        <f t="shared" si="18"/>
        <v>0</v>
      </c>
      <c r="AK439" s="100">
        <f t="shared" si="18"/>
        <v>0</v>
      </c>
      <c r="AL439" s="100">
        <f t="shared" si="18"/>
        <v>0</v>
      </c>
      <c r="AM439" s="100">
        <f t="shared" si="18"/>
        <v>0</v>
      </c>
      <c r="AN439" s="100">
        <f t="shared" si="18"/>
        <v>0</v>
      </c>
      <c r="AO439" s="100">
        <f t="shared" si="18"/>
        <v>0</v>
      </c>
    </row>
    <row r="440" spans="1:41" ht="12.75" customHeight="1" x14ac:dyDescent="0.25">
      <c r="C440" s="768"/>
      <c r="D440" s="769"/>
      <c r="E440" s="98" t="s">
        <v>73</v>
      </c>
      <c r="F440" s="100">
        <f>F419</f>
        <v>-293991521.26999998</v>
      </c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41" ht="12.75" customHeight="1" x14ac:dyDescent="0.25">
      <c r="C441" s="768"/>
      <c r="D441" s="769" t="s">
        <v>133</v>
      </c>
      <c r="E441" s="233" t="s">
        <v>70</v>
      </c>
      <c r="F441" s="234">
        <f>F408+F380-L380</f>
        <v>21557177</v>
      </c>
      <c r="G441" s="234">
        <f t="shared" ref="G441:AA441" si="19">G380</f>
        <v>1278757.6399999999</v>
      </c>
      <c r="H441" s="234">
        <f t="shared" si="19"/>
        <v>719798.43</v>
      </c>
      <c r="I441" s="234">
        <f t="shared" si="19"/>
        <v>385650.58</v>
      </c>
      <c r="J441" s="234">
        <f t="shared" si="19"/>
        <v>5181365.16</v>
      </c>
      <c r="K441" s="234">
        <f t="shared" si="19"/>
        <v>155526.07999999999</v>
      </c>
      <c r="L441" s="234">
        <f t="shared" si="19"/>
        <v>0</v>
      </c>
      <c r="M441" s="234">
        <f t="shared" si="19"/>
        <v>1351292.3</v>
      </c>
      <c r="N441" s="234">
        <f t="shared" si="19"/>
        <v>1669548.6</v>
      </c>
      <c r="O441" s="234">
        <f t="shared" si="19"/>
        <v>8617443.8699999992</v>
      </c>
      <c r="P441" s="234">
        <f t="shared" si="19"/>
        <v>3417030.91</v>
      </c>
      <c r="Q441" s="234">
        <f t="shared" si="19"/>
        <v>255177.82</v>
      </c>
      <c r="R441" s="234">
        <f t="shared" si="19"/>
        <v>-9.0500000000000007</v>
      </c>
      <c r="S441" s="234">
        <f t="shared" si="19"/>
        <v>0</v>
      </c>
      <c r="T441" s="234">
        <f t="shared" si="19"/>
        <v>0</v>
      </c>
      <c r="U441" s="234">
        <f t="shared" si="19"/>
        <v>0</v>
      </c>
      <c r="V441" s="234">
        <f t="shared" si="19"/>
        <v>0</v>
      </c>
      <c r="W441" s="234">
        <f t="shared" si="19"/>
        <v>0</v>
      </c>
      <c r="X441" s="234">
        <f t="shared" si="19"/>
        <v>0</v>
      </c>
      <c r="Y441" s="234">
        <f t="shared" si="19"/>
        <v>0</v>
      </c>
      <c r="Z441" s="234">
        <f t="shared" si="19"/>
        <v>0</v>
      </c>
      <c r="AA441" s="234">
        <f t="shared" si="19"/>
        <v>0</v>
      </c>
    </row>
    <row r="442" spans="1:41" ht="12.75" customHeight="1" x14ac:dyDescent="0.25">
      <c r="C442" s="768"/>
      <c r="D442" s="769"/>
      <c r="E442" s="233" t="s">
        <v>73</v>
      </c>
      <c r="F442" s="234">
        <f>F408</f>
        <v>-1474405.34</v>
      </c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41" ht="12.75" customHeight="1" x14ac:dyDescent="0.25">
      <c r="A443" s="89"/>
      <c r="C443" s="97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41" ht="12.75" customHeight="1" x14ac:dyDescent="0.25">
      <c r="C444" s="768" t="s">
        <v>160</v>
      </c>
      <c r="D444" s="769" t="s">
        <v>132</v>
      </c>
      <c r="E444" s="223" t="s">
        <v>70</v>
      </c>
      <c r="F444" s="225">
        <v>0</v>
      </c>
      <c r="G444" s="225">
        <v>0</v>
      </c>
      <c r="H444" s="225">
        <v>0</v>
      </c>
      <c r="I444" s="225">
        <v>0</v>
      </c>
      <c r="J444" s="225">
        <v>0</v>
      </c>
      <c r="K444" s="225">
        <v>0</v>
      </c>
      <c r="L444" s="225">
        <v>0</v>
      </c>
      <c r="M444" s="225">
        <v>0</v>
      </c>
      <c r="N444" s="225">
        <v>0</v>
      </c>
      <c r="O444" s="225">
        <v>0</v>
      </c>
      <c r="P444" s="225">
        <v>0</v>
      </c>
      <c r="Q444" s="225">
        <v>0</v>
      </c>
      <c r="R444" s="225">
        <v>0</v>
      </c>
      <c r="S444" s="225">
        <v>0</v>
      </c>
      <c r="T444" s="225">
        <v>0</v>
      </c>
      <c r="U444" s="225">
        <v>0</v>
      </c>
      <c r="V444" s="225">
        <v>0</v>
      </c>
      <c r="W444" s="225">
        <v>0</v>
      </c>
      <c r="X444" s="225">
        <v>0</v>
      </c>
      <c r="Y444" s="225">
        <v>0</v>
      </c>
      <c r="Z444" s="225">
        <v>0</v>
      </c>
      <c r="AA444" s="225">
        <v>0</v>
      </c>
      <c r="AB444" s="225">
        <v>0</v>
      </c>
      <c r="AC444" s="225">
        <v>0</v>
      </c>
      <c r="AD444" s="225">
        <v>0</v>
      </c>
      <c r="AE444" s="225">
        <v>0</v>
      </c>
      <c r="AF444" s="225">
        <v>0</v>
      </c>
      <c r="AG444" s="225">
        <v>0</v>
      </c>
      <c r="AH444" s="225">
        <v>0</v>
      </c>
      <c r="AI444" s="225">
        <v>0</v>
      </c>
      <c r="AJ444" s="225">
        <v>0</v>
      </c>
      <c r="AK444" s="225">
        <v>0</v>
      </c>
      <c r="AL444" s="225">
        <v>0</v>
      </c>
      <c r="AM444" s="225">
        <v>0</v>
      </c>
      <c r="AN444" s="225">
        <v>0</v>
      </c>
      <c r="AO444" s="225">
        <v>0</v>
      </c>
    </row>
    <row r="445" spans="1:41" ht="12.75" customHeight="1" x14ac:dyDescent="0.25">
      <c r="C445" s="768"/>
      <c r="D445" s="769"/>
      <c r="E445" s="223" t="s">
        <v>73</v>
      </c>
      <c r="F445" s="225">
        <v>0</v>
      </c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41" ht="12.75" customHeight="1" x14ac:dyDescent="0.25">
      <c r="C446" s="768"/>
      <c r="D446" s="769" t="s">
        <v>133</v>
      </c>
      <c r="E446" s="227" t="s">
        <v>70</v>
      </c>
      <c r="F446" s="228">
        <f>F402+F371-L371</f>
        <v>309350</v>
      </c>
      <c r="G446" s="228">
        <f>G371</f>
        <v>14115.53</v>
      </c>
      <c r="H446" s="228">
        <f t="shared" ref="H446:Z446" si="20">H371</f>
        <v>7860.38</v>
      </c>
      <c r="I446" s="228">
        <f t="shared" si="20"/>
        <v>4733.42</v>
      </c>
      <c r="J446" s="228">
        <f t="shared" si="20"/>
        <v>53691.78</v>
      </c>
      <c r="K446" s="228">
        <f t="shared" si="20"/>
        <v>3705.22</v>
      </c>
      <c r="L446" s="228">
        <f t="shared" si="20"/>
        <v>0</v>
      </c>
      <c r="M446" s="228">
        <f t="shared" si="20"/>
        <v>27762.35</v>
      </c>
      <c r="N446" s="228">
        <f t="shared" si="20"/>
        <v>31827.74</v>
      </c>
      <c r="O446" s="228">
        <f t="shared" si="20"/>
        <v>169721.42</v>
      </c>
      <c r="P446" s="228">
        <f t="shared" si="20"/>
        <v>37127.96</v>
      </c>
      <c r="Q446" s="228">
        <f t="shared" si="20"/>
        <v>6045.35</v>
      </c>
      <c r="R446" s="228">
        <f t="shared" si="20"/>
        <v>-6.48</v>
      </c>
      <c r="S446" s="228">
        <f t="shared" si="20"/>
        <v>0</v>
      </c>
      <c r="T446" s="228">
        <f t="shared" si="20"/>
        <v>0</v>
      </c>
      <c r="U446" s="228">
        <f t="shared" si="20"/>
        <v>0</v>
      </c>
      <c r="V446" s="228">
        <f t="shared" si="20"/>
        <v>0</v>
      </c>
      <c r="W446" s="228">
        <f t="shared" si="20"/>
        <v>0</v>
      </c>
      <c r="X446" s="228">
        <f t="shared" si="20"/>
        <v>0</v>
      </c>
      <c r="Y446" s="228">
        <f t="shared" si="20"/>
        <v>0</v>
      </c>
      <c r="Z446" s="228">
        <f t="shared" si="20"/>
        <v>0</v>
      </c>
    </row>
    <row r="447" spans="1:41" ht="12.75" customHeight="1" x14ac:dyDescent="0.25">
      <c r="C447" s="768"/>
      <c r="D447" s="769"/>
      <c r="E447" s="227" t="s">
        <v>73</v>
      </c>
      <c r="F447" s="228">
        <f>F402</f>
        <v>-47234.67</v>
      </c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41" ht="12.75" customHeight="1" x14ac:dyDescent="0.25">
      <c r="A448" s="89"/>
      <c r="C448" s="97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spans="1:41" ht="12.75" customHeight="1" x14ac:dyDescent="0.25">
      <c r="C449" s="768" t="s">
        <v>155</v>
      </c>
      <c r="D449" s="769" t="s">
        <v>132</v>
      </c>
      <c r="E449" s="221" t="s">
        <v>70</v>
      </c>
      <c r="F449" s="222">
        <f>F411+F384+F356-L356-L384</f>
        <v>9882391541.1699982</v>
      </c>
      <c r="G449" s="222">
        <f t="shared" ref="G449:Z449" si="21">G384+G356</f>
        <v>552701389.09000003</v>
      </c>
      <c r="H449" s="222">
        <f t="shared" si="21"/>
        <v>306639269.15999997</v>
      </c>
      <c r="I449" s="222">
        <f t="shared" si="21"/>
        <v>163121346.86000001</v>
      </c>
      <c r="J449" s="222">
        <f t="shared" si="21"/>
        <v>2332342933.2199998</v>
      </c>
      <c r="K449" s="222">
        <f t="shared" si="21"/>
        <v>87818254.819999993</v>
      </c>
      <c r="L449" s="222">
        <f t="shared" si="21"/>
        <v>7972372.8300000001</v>
      </c>
      <c r="M449" s="222">
        <f t="shared" si="21"/>
        <v>769876014.52999997</v>
      </c>
      <c r="N449" s="222">
        <f t="shared" si="21"/>
        <v>729151010.75999999</v>
      </c>
      <c r="O449" s="222">
        <f t="shared" si="21"/>
        <v>3775108952.6199999</v>
      </c>
      <c r="P449" s="222">
        <f t="shared" si="21"/>
        <v>1463080272.1400001</v>
      </c>
      <c r="Q449" s="222">
        <f t="shared" si="21"/>
        <v>143514452.23000002</v>
      </c>
      <c r="R449" s="222">
        <f t="shared" si="21"/>
        <v>31622.18</v>
      </c>
      <c r="S449" s="222">
        <f t="shared" si="21"/>
        <v>10.26</v>
      </c>
      <c r="T449" s="222">
        <f t="shared" si="21"/>
        <v>178.97</v>
      </c>
      <c r="U449" s="222">
        <f t="shared" si="21"/>
        <v>0</v>
      </c>
      <c r="V449" s="222">
        <f t="shared" si="21"/>
        <v>0</v>
      </c>
      <c r="W449" s="222">
        <f t="shared" si="21"/>
        <v>0</v>
      </c>
      <c r="X449" s="222">
        <f t="shared" si="21"/>
        <v>0</v>
      </c>
      <c r="Y449" s="222">
        <f t="shared" si="21"/>
        <v>0</v>
      </c>
      <c r="Z449" s="222">
        <f t="shared" si="21"/>
        <v>0</v>
      </c>
    </row>
    <row r="450" spans="1:41" ht="12.75" customHeight="1" x14ac:dyDescent="0.25">
      <c r="C450" s="768"/>
      <c r="D450" s="769"/>
      <c r="E450" s="221" t="s">
        <v>73</v>
      </c>
      <c r="F450" s="222">
        <f>F411</f>
        <v>-440994165.67000002</v>
      </c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 spans="1:41" ht="12.75" customHeight="1" x14ac:dyDescent="0.25">
      <c r="C451" s="768"/>
      <c r="D451" s="769" t="s">
        <v>133</v>
      </c>
      <c r="E451" s="229" t="s">
        <v>70</v>
      </c>
      <c r="F451" s="230">
        <f>F399+F365-L365</f>
        <v>20397090</v>
      </c>
      <c r="G451" s="230">
        <f t="shared" ref="G451:T451" si="22">G365</f>
        <v>1227244.8600000001</v>
      </c>
      <c r="H451" s="230">
        <f t="shared" si="22"/>
        <v>691386.19</v>
      </c>
      <c r="I451" s="230">
        <f t="shared" si="22"/>
        <v>369846.57</v>
      </c>
      <c r="J451" s="230">
        <f t="shared" si="22"/>
        <v>4959152.18</v>
      </c>
      <c r="K451" s="230">
        <f t="shared" si="22"/>
        <v>146012.85</v>
      </c>
      <c r="L451" s="230">
        <f t="shared" si="22"/>
        <v>0</v>
      </c>
      <c r="M451" s="230">
        <f t="shared" si="22"/>
        <v>1272582.42</v>
      </c>
      <c r="N451" s="230">
        <f t="shared" si="22"/>
        <v>1586745.82</v>
      </c>
      <c r="O451" s="230">
        <f t="shared" si="22"/>
        <v>8184557.6900000004</v>
      </c>
      <c r="P451" s="230">
        <f t="shared" si="22"/>
        <v>3280785.35</v>
      </c>
      <c r="Q451" s="230">
        <f t="shared" si="22"/>
        <v>239656.33</v>
      </c>
      <c r="R451" s="230">
        <f t="shared" si="22"/>
        <v>-3.29</v>
      </c>
      <c r="S451" s="230">
        <f t="shared" si="22"/>
        <v>0</v>
      </c>
      <c r="T451" s="230">
        <f t="shared" si="22"/>
        <v>0</v>
      </c>
      <c r="U451" s="230"/>
      <c r="V451" s="230"/>
      <c r="W451" s="230"/>
      <c r="X451" s="230">
        <v>0</v>
      </c>
      <c r="Y451" s="230">
        <v>0</v>
      </c>
      <c r="Z451" s="230">
        <v>0</v>
      </c>
    </row>
    <row r="452" spans="1:41" ht="12.75" customHeight="1" x14ac:dyDescent="0.25">
      <c r="C452" s="768"/>
      <c r="D452" s="769"/>
      <c r="E452" s="229" t="s">
        <v>73</v>
      </c>
      <c r="F452" s="230">
        <f>F399</f>
        <v>-1560876.97</v>
      </c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spans="1:41" ht="12.75" customHeight="1" x14ac:dyDescent="0.25">
      <c r="A453" s="89"/>
      <c r="C453" s="97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41" ht="12.75" customHeight="1" x14ac:dyDescent="0.25">
      <c r="C454" s="771" t="s">
        <v>324</v>
      </c>
      <c r="D454" s="769" t="s">
        <v>132</v>
      </c>
      <c r="E454" s="375" t="s">
        <v>70</v>
      </c>
      <c r="F454" s="376">
        <v>0</v>
      </c>
      <c r="G454" s="376">
        <v>0</v>
      </c>
      <c r="H454" s="376">
        <v>0</v>
      </c>
      <c r="I454" s="376">
        <v>0</v>
      </c>
      <c r="J454" s="376">
        <v>0</v>
      </c>
      <c r="K454" s="376">
        <v>0</v>
      </c>
      <c r="L454" s="376">
        <v>0</v>
      </c>
      <c r="M454" s="376">
        <v>0</v>
      </c>
      <c r="N454" s="376">
        <v>0</v>
      </c>
      <c r="O454" s="376">
        <v>0</v>
      </c>
      <c r="P454" s="376">
        <v>0</v>
      </c>
      <c r="Q454" s="376">
        <v>0</v>
      </c>
      <c r="R454" s="376">
        <v>0</v>
      </c>
      <c r="S454" s="376">
        <v>0</v>
      </c>
      <c r="T454" s="376">
        <v>0</v>
      </c>
      <c r="U454" s="376">
        <v>0</v>
      </c>
      <c r="V454" s="376">
        <v>0</v>
      </c>
      <c r="W454" s="376">
        <v>0</v>
      </c>
      <c r="X454" s="376">
        <v>0</v>
      </c>
      <c r="Y454" s="376">
        <v>0</v>
      </c>
      <c r="Z454" s="376">
        <v>0</v>
      </c>
      <c r="AA454" s="376">
        <v>0</v>
      </c>
      <c r="AB454" s="376">
        <v>0</v>
      </c>
      <c r="AC454" s="376">
        <v>0</v>
      </c>
      <c r="AD454" s="376">
        <v>0</v>
      </c>
      <c r="AE454" s="376">
        <v>0</v>
      </c>
      <c r="AF454" s="376">
        <v>0</v>
      </c>
      <c r="AG454" s="376">
        <v>0</v>
      </c>
      <c r="AH454" s="376">
        <v>0</v>
      </c>
      <c r="AI454" s="376">
        <v>0</v>
      </c>
      <c r="AJ454" s="376">
        <v>0</v>
      </c>
      <c r="AK454" s="376">
        <v>0</v>
      </c>
      <c r="AL454" s="376">
        <v>0</v>
      </c>
      <c r="AM454" s="376">
        <v>0</v>
      </c>
      <c r="AN454" s="376">
        <v>0</v>
      </c>
      <c r="AO454" s="376">
        <v>0</v>
      </c>
    </row>
    <row r="455" spans="1:41" ht="12.75" customHeight="1" x14ac:dyDescent="0.25">
      <c r="C455" s="771"/>
      <c r="D455" s="769"/>
      <c r="E455" s="375" t="s">
        <v>73</v>
      </c>
      <c r="F455" s="376">
        <v>0</v>
      </c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41" ht="12.75" customHeight="1" x14ac:dyDescent="0.25">
      <c r="C456" s="771"/>
      <c r="D456" s="769" t="s">
        <v>133</v>
      </c>
      <c r="E456" s="242" t="s">
        <v>70</v>
      </c>
      <c r="F456" s="243">
        <v>0</v>
      </c>
      <c r="G456" s="243">
        <v>0</v>
      </c>
      <c r="H456" s="243">
        <v>0</v>
      </c>
      <c r="I456" s="243">
        <v>0</v>
      </c>
      <c r="J456" s="243">
        <v>0</v>
      </c>
      <c r="K456" s="243">
        <v>0</v>
      </c>
      <c r="L456" s="243">
        <v>0</v>
      </c>
      <c r="M456" s="243">
        <v>0</v>
      </c>
      <c r="N456" s="243">
        <v>0</v>
      </c>
      <c r="O456" s="243">
        <v>0</v>
      </c>
      <c r="P456" s="243">
        <v>0</v>
      </c>
      <c r="Q456" s="243">
        <v>0</v>
      </c>
      <c r="R456" s="243">
        <v>0</v>
      </c>
      <c r="S456" s="243">
        <v>0</v>
      </c>
      <c r="T456" s="243">
        <v>0</v>
      </c>
      <c r="U456" s="243">
        <v>0</v>
      </c>
      <c r="V456" s="243">
        <v>0</v>
      </c>
      <c r="W456" s="243">
        <v>0</v>
      </c>
      <c r="X456" s="243">
        <v>0</v>
      </c>
      <c r="Y456" s="243">
        <v>0</v>
      </c>
      <c r="Z456" s="243">
        <v>0</v>
      </c>
      <c r="AA456" s="243">
        <v>0</v>
      </c>
      <c r="AB456" s="243">
        <v>0</v>
      </c>
      <c r="AC456" s="243">
        <v>0</v>
      </c>
      <c r="AD456" s="243">
        <v>0</v>
      </c>
      <c r="AE456" s="243">
        <v>0</v>
      </c>
      <c r="AF456" s="243">
        <v>0</v>
      </c>
      <c r="AG456" s="243">
        <v>0</v>
      </c>
      <c r="AH456" s="243">
        <v>0</v>
      </c>
      <c r="AI456" s="243">
        <v>0</v>
      </c>
      <c r="AJ456" s="243">
        <v>0</v>
      </c>
      <c r="AK456" s="243">
        <v>0</v>
      </c>
      <c r="AL456" s="243">
        <v>0</v>
      </c>
      <c r="AM456" s="243">
        <v>0</v>
      </c>
      <c r="AN456" s="243">
        <v>0</v>
      </c>
      <c r="AO456" s="243">
        <v>0</v>
      </c>
    </row>
    <row r="457" spans="1:41" ht="12.75" customHeight="1" x14ac:dyDescent="0.25">
      <c r="C457" s="771"/>
      <c r="D457" s="769"/>
      <c r="E457" s="242" t="s">
        <v>73</v>
      </c>
      <c r="F457" s="243">
        <v>0</v>
      </c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41" ht="12.75" customHeight="1" x14ac:dyDescent="0.25">
      <c r="A458" s="89"/>
      <c r="C458" s="97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 spans="1:41" ht="12.75" customHeight="1" x14ac:dyDescent="0.25">
      <c r="C459" s="768" t="s">
        <v>119</v>
      </c>
      <c r="D459" s="769" t="s">
        <v>132</v>
      </c>
      <c r="E459" s="101" t="s">
        <v>70</v>
      </c>
      <c r="F459" s="93">
        <f>F418+F394+F359-L359-L394</f>
        <v>591576272.25</v>
      </c>
      <c r="G459" s="93">
        <f t="shared" ref="G459:AO459" si="23">G394+G359</f>
        <v>51968608.700000003</v>
      </c>
      <c r="H459" s="93">
        <f t="shared" si="23"/>
        <v>28536202.579999998</v>
      </c>
      <c r="I459" s="93">
        <f t="shared" si="23"/>
        <v>15601614.379999999</v>
      </c>
      <c r="J459" s="93">
        <f t="shared" si="23"/>
        <v>63842506.890000001</v>
      </c>
      <c r="K459" s="93">
        <f t="shared" si="23"/>
        <v>1834230.87</v>
      </c>
      <c r="L459" s="93">
        <f t="shared" si="23"/>
        <v>670762.75</v>
      </c>
      <c r="M459" s="93">
        <f t="shared" si="23"/>
        <v>15938453.139999999</v>
      </c>
      <c r="N459" s="93">
        <f t="shared" si="23"/>
        <v>20773252.469999999</v>
      </c>
      <c r="O459" s="93">
        <f t="shared" si="23"/>
        <v>105437282.53999999</v>
      </c>
      <c r="P459" s="93">
        <f t="shared" si="23"/>
        <v>137627703.06</v>
      </c>
      <c r="Q459" s="93">
        <f t="shared" si="23"/>
        <v>3013452.85</v>
      </c>
      <c r="R459" s="93">
        <f t="shared" si="23"/>
        <v>320.17</v>
      </c>
      <c r="S459" s="93">
        <f t="shared" si="23"/>
        <v>-0.04</v>
      </c>
      <c r="T459" s="93">
        <f t="shared" si="23"/>
        <v>0.24</v>
      </c>
      <c r="U459" s="93">
        <f t="shared" si="23"/>
        <v>0</v>
      </c>
      <c r="V459" s="93">
        <f t="shared" si="23"/>
        <v>0</v>
      </c>
      <c r="W459" s="93">
        <f t="shared" si="23"/>
        <v>0</v>
      </c>
      <c r="X459" s="93">
        <f t="shared" si="23"/>
        <v>0</v>
      </c>
      <c r="Y459" s="93">
        <f t="shared" si="23"/>
        <v>0</v>
      </c>
      <c r="Z459" s="93">
        <f t="shared" si="23"/>
        <v>0</v>
      </c>
      <c r="AA459" s="93">
        <f t="shared" si="23"/>
        <v>0</v>
      </c>
      <c r="AB459" s="93">
        <f t="shared" si="23"/>
        <v>0</v>
      </c>
      <c r="AC459" s="93">
        <f t="shared" si="23"/>
        <v>0</v>
      </c>
      <c r="AD459" s="93">
        <f t="shared" si="23"/>
        <v>0</v>
      </c>
      <c r="AE459" s="93">
        <f t="shared" si="23"/>
        <v>0</v>
      </c>
      <c r="AF459" s="93">
        <f t="shared" si="23"/>
        <v>0</v>
      </c>
      <c r="AG459" s="93">
        <f t="shared" si="23"/>
        <v>0</v>
      </c>
      <c r="AH459" s="93">
        <f t="shared" si="23"/>
        <v>0</v>
      </c>
      <c r="AI459" s="93">
        <f t="shared" si="23"/>
        <v>0</v>
      </c>
      <c r="AJ459" s="93">
        <f t="shared" si="23"/>
        <v>0</v>
      </c>
      <c r="AK459" s="93">
        <f t="shared" si="23"/>
        <v>0</v>
      </c>
      <c r="AL459" s="93">
        <f t="shared" si="23"/>
        <v>0</v>
      </c>
      <c r="AM459" s="93">
        <f t="shared" si="23"/>
        <v>0</v>
      </c>
      <c r="AN459" s="93">
        <f t="shared" si="23"/>
        <v>0</v>
      </c>
      <c r="AO459" s="93">
        <f t="shared" si="23"/>
        <v>0</v>
      </c>
    </row>
    <row r="460" spans="1:41" ht="12.75" customHeight="1" x14ac:dyDescent="0.25">
      <c r="C460" s="768"/>
      <c r="D460" s="769"/>
      <c r="E460" s="101" t="s">
        <v>73</v>
      </c>
      <c r="F460" s="93">
        <f>F418</f>
        <v>147002644.40000001</v>
      </c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spans="1:41" ht="12.75" customHeight="1" x14ac:dyDescent="0.25">
      <c r="C461" s="768"/>
      <c r="D461" s="769" t="s">
        <v>133</v>
      </c>
      <c r="E461" s="235" t="s">
        <v>70</v>
      </c>
      <c r="F461" s="236">
        <f>F407+F379-L379</f>
        <v>850737</v>
      </c>
      <c r="G461" s="236">
        <f t="shared" ref="G461:Z461" si="24">G379</f>
        <v>37397.25</v>
      </c>
      <c r="H461" s="236">
        <f t="shared" si="24"/>
        <v>20551.86</v>
      </c>
      <c r="I461" s="236">
        <f t="shared" si="24"/>
        <v>11070.59</v>
      </c>
      <c r="J461" s="236">
        <f t="shared" si="24"/>
        <v>168521.2</v>
      </c>
      <c r="K461" s="236">
        <f t="shared" si="24"/>
        <v>5808.01</v>
      </c>
      <c r="L461" s="236">
        <f t="shared" si="24"/>
        <v>0</v>
      </c>
      <c r="M461" s="236">
        <f t="shared" si="24"/>
        <v>50947.53</v>
      </c>
      <c r="N461" s="236">
        <f t="shared" si="24"/>
        <v>50975.040000000001</v>
      </c>
      <c r="O461" s="236">
        <f t="shared" si="24"/>
        <v>263164.76</v>
      </c>
      <c r="P461" s="236">
        <f t="shared" si="24"/>
        <v>99117.6</v>
      </c>
      <c r="Q461" s="236">
        <f t="shared" si="24"/>
        <v>9476.14</v>
      </c>
      <c r="R461" s="236">
        <f t="shared" si="24"/>
        <v>0.72</v>
      </c>
      <c r="S461" s="236">
        <f t="shared" si="24"/>
        <v>0</v>
      </c>
      <c r="T461" s="236">
        <f t="shared" si="24"/>
        <v>0</v>
      </c>
      <c r="U461" s="236">
        <f t="shared" si="24"/>
        <v>0</v>
      </c>
      <c r="V461" s="236">
        <f t="shared" si="24"/>
        <v>0</v>
      </c>
      <c r="W461" s="236">
        <f t="shared" si="24"/>
        <v>0</v>
      </c>
      <c r="X461" s="236">
        <f t="shared" si="24"/>
        <v>0</v>
      </c>
      <c r="Y461" s="236">
        <f t="shared" si="24"/>
        <v>0</v>
      </c>
      <c r="Z461" s="236">
        <f t="shared" si="24"/>
        <v>0</v>
      </c>
    </row>
    <row r="462" spans="1:41" ht="12.75" customHeight="1" x14ac:dyDescent="0.25">
      <c r="C462" s="768"/>
      <c r="D462" s="769"/>
      <c r="E462" s="235" t="s">
        <v>73</v>
      </c>
      <c r="F462" s="236">
        <f>F407</f>
        <v>133706.29999999999</v>
      </c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41" ht="12.75" customHeight="1" x14ac:dyDescent="0.25">
      <c r="A463" s="89"/>
      <c r="C463" s="97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 spans="1:41" ht="12.75" customHeight="1" x14ac:dyDescent="0.25">
      <c r="C464" s="770" t="s">
        <v>161</v>
      </c>
      <c r="D464" s="769" t="s">
        <v>132</v>
      </c>
      <c r="E464" s="231" t="s">
        <v>70</v>
      </c>
      <c r="F464" s="232">
        <v>0</v>
      </c>
      <c r="G464" s="232">
        <v>0</v>
      </c>
      <c r="H464" s="232">
        <v>0</v>
      </c>
      <c r="I464" s="232">
        <v>0</v>
      </c>
      <c r="J464" s="232">
        <v>0</v>
      </c>
      <c r="K464" s="232">
        <v>0</v>
      </c>
      <c r="L464" s="232">
        <v>0</v>
      </c>
      <c r="M464" s="232">
        <v>0</v>
      </c>
      <c r="N464" s="232">
        <v>0</v>
      </c>
      <c r="O464" s="232">
        <v>0</v>
      </c>
      <c r="P464" s="232">
        <v>0</v>
      </c>
      <c r="Q464" s="232">
        <v>0</v>
      </c>
      <c r="R464" s="232">
        <v>0</v>
      </c>
      <c r="S464" s="232">
        <v>0</v>
      </c>
      <c r="T464" s="232">
        <v>0</v>
      </c>
      <c r="U464" s="232">
        <v>0</v>
      </c>
      <c r="V464" s="232">
        <v>0</v>
      </c>
      <c r="W464" s="232">
        <v>0</v>
      </c>
      <c r="X464" s="232">
        <v>0</v>
      </c>
      <c r="Y464" s="232">
        <v>0</v>
      </c>
      <c r="Z464" s="232">
        <v>0</v>
      </c>
      <c r="AA464" s="232">
        <v>0</v>
      </c>
      <c r="AB464" s="232">
        <v>0</v>
      </c>
      <c r="AC464" s="232">
        <v>0</v>
      </c>
      <c r="AD464" s="232">
        <v>0</v>
      </c>
      <c r="AE464" s="232">
        <v>0</v>
      </c>
      <c r="AF464" s="232">
        <v>0</v>
      </c>
      <c r="AG464" s="232">
        <v>0</v>
      </c>
      <c r="AH464" s="232">
        <v>0</v>
      </c>
      <c r="AI464" s="232">
        <v>0</v>
      </c>
      <c r="AJ464" s="232">
        <v>0</v>
      </c>
      <c r="AK464" s="232">
        <v>0</v>
      </c>
      <c r="AL464" s="232">
        <v>0</v>
      </c>
      <c r="AM464" s="232">
        <v>0</v>
      </c>
      <c r="AN464" s="232">
        <v>0</v>
      </c>
      <c r="AO464" s="232">
        <v>0</v>
      </c>
    </row>
    <row r="465" spans="1:26" ht="12.75" customHeight="1" x14ac:dyDescent="0.25">
      <c r="C465" s="770"/>
      <c r="D465" s="769"/>
      <c r="E465" s="231" t="s">
        <v>73</v>
      </c>
      <c r="F465" s="232">
        <v>0</v>
      </c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spans="1:26" ht="12.75" customHeight="1" x14ac:dyDescent="0.25">
      <c r="C466" s="770"/>
      <c r="E466" s="148" t="s">
        <v>70</v>
      </c>
      <c r="F466" s="149">
        <v>0</v>
      </c>
      <c r="G466" s="149">
        <v>0</v>
      </c>
      <c r="H466" s="149">
        <v>0</v>
      </c>
      <c r="I466" s="149">
        <v>0</v>
      </c>
      <c r="J466" s="149">
        <v>0</v>
      </c>
      <c r="K466" s="149">
        <v>0</v>
      </c>
      <c r="L466" s="149">
        <v>0</v>
      </c>
      <c r="M466" s="149">
        <v>0</v>
      </c>
      <c r="N466" s="149">
        <v>0</v>
      </c>
      <c r="O466" s="149">
        <v>0</v>
      </c>
      <c r="P466" s="149">
        <v>0</v>
      </c>
      <c r="Q466" s="149">
        <v>0</v>
      </c>
      <c r="R466" s="149">
        <v>0</v>
      </c>
      <c r="S466" s="149">
        <v>0</v>
      </c>
      <c r="T466" s="149">
        <v>0</v>
      </c>
      <c r="U466" s="149">
        <v>0</v>
      </c>
      <c r="V466" s="149">
        <v>0</v>
      </c>
      <c r="W466" s="149">
        <v>0</v>
      </c>
      <c r="X466" s="149">
        <v>0</v>
      </c>
      <c r="Y466" s="149">
        <v>0</v>
      </c>
      <c r="Z466" s="149">
        <v>0</v>
      </c>
    </row>
    <row r="467" spans="1:26" ht="12.75" customHeight="1" x14ac:dyDescent="0.25">
      <c r="C467" s="770"/>
      <c r="D467" s="220" t="s">
        <v>132</v>
      </c>
      <c r="E467" s="148" t="s">
        <v>73</v>
      </c>
      <c r="F467" s="149">
        <v>0</v>
      </c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</row>
    <row r="468" spans="1:26" ht="12.75" customHeight="1" x14ac:dyDescent="0.25">
      <c r="C468" s="390"/>
      <c r="D468" s="220"/>
      <c r="E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</row>
    <row r="469" spans="1:26" ht="12.75" customHeight="1" x14ac:dyDescent="0.25">
      <c r="D469" s="460" t="s">
        <v>185</v>
      </c>
      <c r="E469" s="461" t="s">
        <v>70</v>
      </c>
      <c r="F469" s="462">
        <f>F360</f>
        <v>-30180.94</v>
      </c>
      <c r="G469" s="462">
        <f t="shared" ref="G469:Z469" si="25">G360</f>
        <v>-2445.4499999999998</v>
      </c>
      <c r="H469" s="462">
        <f t="shared" si="25"/>
        <v>-1038.9100000000001</v>
      </c>
      <c r="I469" s="462">
        <f t="shared" si="25"/>
        <v>-453.69</v>
      </c>
      <c r="J469" s="462">
        <f t="shared" si="25"/>
        <v>-5579.62</v>
      </c>
      <c r="K469" s="462">
        <f t="shared" si="25"/>
        <v>-227.22</v>
      </c>
      <c r="L469" s="462">
        <f t="shared" si="25"/>
        <v>0</v>
      </c>
      <c r="M469" s="462">
        <f t="shared" si="25"/>
        <v>-1993.18</v>
      </c>
      <c r="N469" s="462">
        <f t="shared" si="25"/>
        <v>-2534.52</v>
      </c>
      <c r="O469" s="462">
        <f t="shared" si="25"/>
        <v>-9306.2999999999993</v>
      </c>
      <c r="P469" s="462">
        <f t="shared" si="25"/>
        <v>-6231.3</v>
      </c>
      <c r="Q469" s="462">
        <f t="shared" si="25"/>
        <v>-370.75</v>
      </c>
      <c r="R469" s="462">
        <f t="shared" si="25"/>
        <v>0</v>
      </c>
      <c r="S469" s="462">
        <f t="shared" si="25"/>
        <v>0</v>
      </c>
      <c r="T469" s="462">
        <f t="shared" si="25"/>
        <v>0</v>
      </c>
      <c r="U469" s="462">
        <f t="shared" si="25"/>
        <v>0</v>
      </c>
      <c r="V469" s="462">
        <f t="shared" si="25"/>
        <v>0</v>
      </c>
      <c r="W469" s="462">
        <f t="shared" si="25"/>
        <v>0</v>
      </c>
      <c r="X469" s="462">
        <f t="shared" si="25"/>
        <v>0</v>
      </c>
      <c r="Y469" s="462">
        <f t="shared" si="25"/>
        <v>0</v>
      </c>
      <c r="Z469" s="462">
        <f t="shared" si="25"/>
        <v>0</v>
      </c>
    </row>
    <row r="470" spans="1:26" ht="12.75" customHeight="1" x14ac:dyDescent="0.25">
      <c r="C470" s="390"/>
      <c r="D470" s="220"/>
      <c r="E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</row>
    <row r="471" spans="1:26" s="238" customFormat="1" ht="12.75" customHeight="1" x14ac:dyDescent="0.25">
      <c r="D471" s="239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</row>
    <row r="472" spans="1:26" ht="12.6" customHeight="1" x14ac:dyDescent="0.25">
      <c r="A472" s="89"/>
      <c r="B472" s="97" t="s">
        <v>93</v>
      </c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</row>
    <row r="473" spans="1:26" ht="12.75" customHeight="1" x14ac:dyDescent="0.25">
      <c r="F473" s="89" t="s">
        <v>70</v>
      </c>
      <c r="G473" s="89" t="s">
        <v>64</v>
      </c>
      <c r="H473" s="89" t="s">
        <v>65</v>
      </c>
      <c r="I473" s="218" t="s">
        <v>164</v>
      </c>
      <c r="J473" s="89" t="s">
        <v>69</v>
      </c>
      <c r="K473" s="89" t="s">
        <v>68</v>
      </c>
      <c r="L473" s="89" t="s">
        <v>71</v>
      </c>
      <c r="M473" s="89" t="s">
        <v>66</v>
      </c>
      <c r="N473" s="89" t="s">
        <v>63</v>
      </c>
      <c r="O473" s="89" t="s">
        <v>61</v>
      </c>
      <c r="P473" s="89" t="s">
        <v>62</v>
      </c>
      <c r="Q473" s="89" t="s">
        <v>67</v>
      </c>
      <c r="R473" s="89" t="s">
        <v>77</v>
      </c>
      <c r="S473" s="89" t="s">
        <v>80</v>
      </c>
      <c r="T473" s="89" t="s">
        <v>135</v>
      </c>
      <c r="U473" s="89" t="s">
        <v>172</v>
      </c>
      <c r="V473" s="89" t="s">
        <v>221</v>
      </c>
      <c r="W473" s="89" t="s">
        <v>172</v>
      </c>
      <c r="X473" t="s">
        <v>172</v>
      </c>
      <c r="Y473" s="89" t="s">
        <v>135</v>
      </c>
      <c r="Z473" t="s">
        <v>166</v>
      </c>
    </row>
    <row r="474" spans="1:26" ht="12.75" customHeight="1" x14ac:dyDescent="0.25">
      <c r="C474" s="89"/>
      <c r="D474" s="89"/>
      <c r="E474" t="s">
        <v>72</v>
      </c>
      <c r="F474" s="373">
        <v>7406462788.3599997</v>
      </c>
      <c r="G474" s="90">
        <v>382434611.91000003</v>
      </c>
      <c r="H474" s="90">
        <v>213001567.09</v>
      </c>
      <c r="I474" s="90">
        <v>113293730.20999999</v>
      </c>
      <c r="J474" s="90">
        <v>1811930655.26</v>
      </c>
      <c r="K474" s="90">
        <v>60228423.32</v>
      </c>
      <c r="L474" s="90">
        <v>10471100</v>
      </c>
      <c r="M474" s="90">
        <v>528408998.81999999</v>
      </c>
      <c r="N474" s="90">
        <v>496404846.01999998</v>
      </c>
      <c r="O474" s="90">
        <v>2553943335.3000002</v>
      </c>
      <c r="P474" s="90">
        <v>1138056820.8699999</v>
      </c>
      <c r="Q474" s="90">
        <v>98277123.379999995</v>
      </c>
      <c r="R474" s="90">
        <v>11576.18</v>
      </c>
      <c r="S474" s="90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ht="12.75" customHeight="1" x14ac:dyDescent="0.25">
      <c r="C475" s="89"/>
      <c r="D475" s="89"/>
      <c r="E475" t="s">
        <v>81</v>
      </c>
      <c r="F475" s="90">
        <v>7748156.5300000003</v>
      </c>
      <c r="G475" s="90">
        <v>791632.88</v>
      </c>
      <c r="H475" s="90">
        <v>397564.53</v>
      </c>
      <c r="I475" s="90">
        <v>193425.46</v>
      </c>
      <c r="J475" s="90">
        <v>1228265.81</v>
      </c>
      <c r="K475" s="90">
        <v>52113.98</v>
      </c>
      <c r="L475" s="90">
        <v>596.87</v>
      </c>
      <c r="M475" s="90">
        <v>456961.78</v>
      </c>
      <c r="N475" s="90">
        <v>383739.51</v>
      </c>
      <c r="O475" s="90">
        <v>1862264.3</v>
      </c>
      <c r="P475" s="90">
        <v>2296530.8199999998</v>
      </c>
      <c r="Q475" s="90">
        <v>85033.38</v>
      </c>
      <c r="R475" s="90">
        <v>22.39</v>
      </c>
      <c r="S475" s="90">
        <v>0</v>
      </c>
      <c r="T475">
        <v>4.82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ht="12.75" customHeight="1" x14ac:dyDescent="0.25">
      <c r="D476" t="s">
        <v>156</v>
      </c>
      <c r="E476" s="89" t="s">
        <v>70</v>
      </c>
      <c r="F476" s="90">
        <v>7414210944.8900003</v>
      </c>
      <c r="G476" s="90">
        <v>383226244.79000002</v>
      </c>
      <c r="H476" s="90">
        <v>213399131.62</v>
      </c>
      <c r="I476" s="90">
        <v>113487155.67</v>
      </c>
      <c r="J476" s="90">
        <v>1813158921.0699999</v>
      </c>
      <c r="K476" s="90">
        <v>60280537.299999997</v>
      </c>
      <c r="L476" s="90">
        <v>10471696.869999999</v>
      </c>
      <c r="M476" s="90">
        <v>528865960.60000002</v>
      </c>
      <c r="N476" s="90">
        <v>496788585.52999997</v>
      </c>
      <c r="O476" s="90">
        <v>2555805599.5999999</v>
      </c>
      <c r="P476" s="90">
        <v>1140353351.6900001</v>
      </c>
      <c r="Q476" s="90">
        <v>98362156.760000005</v>
      </c>
      <c r="R476" s="90">
        <v>11598.57</v>
      </c>
      <c r="S476" s="90">
        <v>0</v>
      </c>
      <c r="T476">
        <v>4.82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s="648" customFormat="1" ht="12.75" customHeight="1" x14ac:dyDescent="0.25">
      <c r="A477" s="649"/>
      <c r="B477" s="649"/>
      <c r="C477" s="648" t="s">
        <v>155</v>
      </c>
      <c r="D477" s="648" t="s">
        <v>70</v>
      </c>
      <c r="F477" s="650">
        <v>7414210944.8900003</v>
      </c>
      <c r="G477" s="650">
        <v>383226244.79000002</v>
      </c>
      <c r="H477" s="650">
        <v>213399131.62</v>
      </c>
      <c r="I477" s="650">
        <v>113487155.67</v>
      </c>
      <c r="J477" s="650">
        <v>1813158921.0699999</v>
      </c>
      <c r="K477" s="650">
        <v>60280537.299999997</v>
      </c>
      <c r="L477" s="650">
        <v>10471696.869999999</v>
      </c>
      <c r="M477" s="650">
        <v>528865960.60000002</v>
      </c>
      <c r="N477" s="650">
        <v>496788585.52999997</v>
      </c>
      <c r="O477" s="650">
        <v>2555805599.5999999</v>
      </c>
      <c r="P477" s="650">
        <v>1140353351.6900001</v>
      </c>
      <c r="Q477" s="650">
        <v>98362156.760000005</v>
      </c>
      <c r="R477" s="650">
        <v>11598.57</v>
      </c>
      <c r="S477" s="650">
        <v>0</v>
      </c>
      <c r="T477" s="648">
        <v>4.82</v>
      </c>
      <c r="U477" s="648">
        <v>0</v>
      </c>
      <c r="V477" s="648">
        <v>0</v>
      </c>
      <c r="W477" s="648">
        <v>0</v>
      </c>
      <c r="X477" s="648">
        <v>0</v>
      </c>
      <c r="Y477" s="648">
        <v>0</v>
      </c>
      <c r="Z477" s="648">
        <v>0</v>
      </c>
    </row>
    <row r="478" spans="1:26" ht="12.75" customHeight="1" x14ac:dyDescent="0.25">
      <c r="E478" s="89" t="s">
        <v>72</v>
      </c>
      <c r="F478" s="90">
        <v>160092177.13999999</v>
      </c>
      <c r="G478" s="90">
        <v>8661080.0999999996</v>
      </c>
      <c r="H478" s="90">
        <v>4833415.13</v>
      </c>
      <c r="I478" s="90">
        <v>2582595.52</v>
      </c>
      <c r="J478" s="90">
        <v>38399519.399999999</v>
      </c>
      <c r="K478" s="90">
        <v>1268377.67</v>
      </c>
      <c r="L478" s="90">
        <v>0</v>
      </c>
      <c r="M478" s="90">
        <v>11140054.550000001</v>
      </c>
      <c r="N478" s="90">
        <v>10558954.77</v>
      </c>
      <c r="O478" s="90">
        <v>54651229.020000003</v>
      </c>
      <c r="P478" s="90">
        <v>25928014.940000001</v>
      </c>
      <c r="Q478" s="90">
        <v>2069142.02</v>
      </c>
      <c r="R478" s="90">
        <v>-205.98</v>
      </c>
      <c r="S478" s="90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ht="12.75" customHeight="1" x14ac:dyDescent="0.25">
      <c r="E479" s="89" t="s">
        <v>81</v>
      </c>
      <c r="F479" s="373">
        <v>94709.83</v>
      </c>
      <c r="G479" s="90">
        <v>5210.34</v>
      </c>
      <c r="H479" s="90">
        <v>2882.65</v>
      </c>
      <c r="I479" s="90">
        <v>1569</v>
      </c>
      <c r="J479" s="90">
        <v>20323.64</v>
      </c>
      <c r="K479" s="90">
        <v>720.72</v>
      </c>
      <c r="L479" s="90">
        <v>0</v>
      </c>
      <c r="M479" s="90">
        <v>6347.52</v>
      </c>
      <c r="N479" s="90">
        <v>6686</v>
      </c>
      <c r="O479" s="90">
        <v>34170.61</v>
      </c>
      <c r="P479" s="90">
        <v>15601.5</v>
      </c>
      <c r="Q479" s="90">
        <v>1198.3399999999999</v>
      </c>
      <c r="R479" s="90">
        <v>-0.48</v>
      </c>
      <c r="S479" s="90">
        <v>-0.01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ht="12.75" customHeight="1" x14ac:dyDescent="0.25">
      <c r="D480" t="s">
        <v>156</v>
      </c>
      <c r="E480" s="89" t="s">
        <v>70</v>
      </c>
      <c r="F480" s="373">
        <v>160186886.97</v>
      </c>
      <c r="G480" s="90">
        <v>8666290.4399999995</v>
      </c>
      <c r="H480" s="90">
        <v>4836297.78</v>
      </c>
      <c r="I480" s="90">
        <v>2584164.52</v>
      </c>
      <c r="J480" s="90">
        <v>38419843.039999999</v>
      </c>
      <c r="K480" s="90">
        <v>1269098.3899999999</v>
      </c>
      <c r="L480" s="90">
        <v>0</v>
      </c>
      <c r="M480" s="90">
        <v>11146402.07</v>
      </c>
      <c r="N480" s="90">
        <v>10565640.77</v>
      </c>
      <c r="O480" s="90">
        <v>54685399.630000003</v>
      </c>
      <c r="P480" s="90">
        <v>25943616.440000001</v>
      </c>
      <c r="Q480" s="90">
        <v>2070340.36</v>
      </c>
      <c r="R480" s="90">
        <v>-206.46</v>
      </c>
      <c r="S480" s="90">
        <v>-0.01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s="741" customFormat="1" ht="12.6" customHeight="1" x14ac:dyDescent="0.25">
      <c r="C481" s="741" t="s">
        <v>324</v>
      </c>
      <c r="D481" s="741" t="s">
        <v>70</v>
      </c>
      <c r="E481" s="742"/>
      <c r="F481" s="743">
        <v>160186886.97</v>
      </c>
      <c r="G481" s="744">
        <v>8666290.4399999995</v>
      </c>
      <c r="H481" s="744">
        <v>4836297.78</v>
      </c>
      <c r="I481" s="744">
        <v>2584164.52</v>
      </c>
      <c r="J481" s="744">
        <v>38419843.039999999</v>
      </c>
      <c r="K481" s="744">
        <v>1269098.3899999999</v>
      </c>
      <c r="L481" s="744">
        <v>0</v>
      </c>
      <c r="M481" s="744">
        <v>11146402.07</v>
      </c>
      <c r="N481" s="744">
        <v>10565640.77</v>
      </c>
      <c r="O481" s="744">
        <v>54685399.630000003</v>
      </c>
      <c r="P481" s="744">
        <v>25943616.440000001</v>
      </c>
      <c r="Q481" s="744">
        <v>2070340.36</v>
      </c>
      <c r="R481" s="744">
        <v>-206.46</v>
      </c>
      <c r="S481" s="744">
        <v>-0.01</v>
      </c>
      <c r="T481" s="741">
        <v>0</v>
      </c>
      <c r="U481" s="741">
        <v>0</v>
      </c>
      <c r="V481" s="741">
        <v>0</v>
      </c>
      <c r="W481" s="741">
        <v>0</v>
      </c>
      <c r="X481" s="741">
        <v>0</v>
      </c>
      <c r="Y481" s="741">
        <v>0</v>
      </c>
      <c r="Z481" s="741">
        <v>0</v>
      </c>
    </row>
    <row r="482" spans="1:26" ht="12.75" customHeight="1" x14ac:dyDescent="0.25">
      <c r="E482" s="89" t="s">
        <v>72</v>
      </c>
      <c r="F482" s="373">
        <v>18917966.41</v>
      </c>
      <c r="G482" s="90">
        <v>988150.54</v>
      </c>
      <c r="H482" s="90">
        <v>548361.93999999994</v>
      </c>
      <c r="I482" s="90">
        <v>294164.36</v>
      </c>
      <c r="J482" s="90">
        <v>3136320.25</v>
      </c>
      <c r="K482" s="90">
        <v>134782.32999999999</v>
      </c>
      <c r="L482" s="90">
        <v>0</v>
      </c>
      <c r="M482" s="90">
        <v>1191960.92</v>
      </c>
      <c r="N482" s="90">
        <v>1455905.71</v>
      </c>
      <c r="O482" s="90">
        <v>7986093.2999999998</v>
      </c>
      <c r="P482" s="90">
        <v>2960122.74</v>
      </c>
      <c r="Q482" s="90">
        <v>222255.94</v>
      </c>
      <c r="R482" s="90">
        <v>-151.62</v>
      </c>
      <c r="S482" s="90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ht="12.75" customHeight="1" x14ac:dyDescent="0.25">
      <c r="E483" s="89" t="s">
        <v>81</v>
      </c>
      <c r="F483" s="90">
        <v>126929.22</v>
      </c>
      <c r="G483" s="90">
        <v>7200.68</v>
      </c>
      <c r="H483" s="90">
        <v>3836.23</v>
      </c>
      <c r="I483" s="90">
        <v>2053.48</v>
      </c>
      <c r="J483" s="90">
        <v>21877.84</v>
      </c>
      <c r="K483" s="90">
        <v>960.57</v>
      </c>
      <c r="L483" s="90">
        <v>0</v>
      </c>
      <c r="M483" s="90">
        <v>8419.7900000000009</v>
      </c>
      <c r="N483" s="90">
        <v>9443.19</v>
      </c>
      <c r="O483" s="90">
        <v>50077.47</v>
      </c>
      <c r="P483" s="90">
        <v>21452.68</v>
      </c>
      <c r="Q483" s="90">
        <v>1607.37</v>
      </c>
      <c r="R483" s="90">
        <v>-0.12</v>
      </c>
      <c r="S483" s="90">
        <v>-0.02</v>
      </c>
      <c r="T483">
        <v>0.06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ht="12.75" customHeight="1" x14ac:dyDescent="0.25">
      <c r="D484" s="89" t="s">
        <v>82</v>
      </c>
      <c r="E484" s="89" t="s">
        <v>70</v>
      </c>
      <c r="F484" s="90">
        <v>19044895.629999999</v>
      </c>
      <c r="G484" s="90">
        <v>995351.22</v>
      </c>
      <c r="H484" s="90">
        <v>552198.17000000004</v>
      </c>
      <c r="I484" s="90">
        <v>296217.84000000003</v>
      </c>
      <c r="J484" s="90">
        <v>3158198.09</v>
      </c>
      <c r="K484" s="90">
        <v>135742.9</v>
      </c>
      <c r="L484" s="90">
        <v>0</v>
      </c>
      <c r="M484" s="90">
        <v>1200380.71</v>
      </c>
      <c r="N484" s="90">
        <v>1465348.9</v>
      </c>
      <c r="O484" s="90">
        <v>8036170.7699999996</v>
      </c>
      <c r="P484" s="90">
        <v>2981575.42</v>
      </c>
      <c r="Q484" s="90">
        <v>223863.31</v>
      </c>
      <c r="R484" s="90">
        <v>-151.74</v>
      </c>
      <c r="S484" s="90">
        <v>-0.02</v>
      </c>
      <c r="T484">
        <v>0.06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ht="12.75" customHeight="1" x14ac:dyDescent="0.25">
      <c r="C485" s="89"/>
      <c r="D485" s="89"/>
      <c r="E485" t="s">
        <v>72</v>
      </c>
      <c r="F485" s="90">
        <v>16231726.5</v>
      </c>
      <c r="G485" s="90">
        <v>898028.7</v>
      </c>
      <c r="H485" s="90">
        <v>469286.58</v>
      </c>
      <c r="I485" s="90">
        <v>261201.9</v>
      </c>
      <c r="J485" s="90">
        <v>1931111.49</v>
      </c>
      <c r="K485" s="90">
        <v>149676.92000000001</v>
      </c>
      <c r="L485" s="90">
        <v>0</v>
      </c>
      <c r="M485" s="90">
        <v>1372648.24</v>
      </c>
      <c r="N485" s="90">
        <v>1260202.22</v>
      </c>
      <c r="O485" s="90">
        <v>6967779.8399999999</v>
      </c>
      <c r="P485" s="90">
        <v>2678122.7400000002</v>
      </c>
      <c r="Q485" s="90">
        <v>243826.32</v>
      </c>
      <c r="R485" s="90">
        <v>-158.44999999999999</v>
      </c>
      <c r="S485" s="90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ht="12.75" customHeight="1" x14ac:dyDescent="0.25">
      <c r="B486" s="89"/>
      <c r="C486" s="89"/>
      <c r="E486" t="s">
        <v>81</v>
      </c>
      <c r="F486" s="90">
        <v>585509.71</v>
      </c>
      <c r="G486" s="90">
        <v>37135.1</v>
      </c>
      <c r="H486" s="90">
        <v>18090.990000000002</v>
      </c>
      <c r="I486" s="90">
        <v>9334.49</v>
      </c>
      <c r="J486" s="90">
        <v>118479.91</v>
      </c>
      <c r="K486" s="90">
        <v>5190.29</v>
      </c>
      <c r="L486" s="90">
        <v>0</v>
      </c>
      <c r="M486" s="90">
        <v>46884.97</v>
      </c>
      <c r="N486" s="90">
        <v>41453.949999999997</v>
      </c>
      <c r="O486" s="90">
        <v>190269.04</v>
      </c>
      <c r="P486" s="90">
        <v>110198.84</v>
      </c>
      <c r="Q486" s="90">
        <v>8468.4599999999991</v>
      </c>
      <c r="R486" s="90">
        <v>3.64</v>
      </c>
      <c r="S486" s="90">
        <v>0</v>
      </c>
      <c r="T486">
        <v>0.03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ht="12.75" customHeight="1" x14ac:dyDescent="0.25">
      <c r="A487" s="89"/>
      <c r="B487" s="89"/>
      <c r="D487" t="s">
        <v>86</v>
      </c>
      <c r="E487" t="s">
        <v>70</v>
      </c>
      <c r="F487" s="90">
        <v>16817236.210000001</v>
      </c>
      <c r="G487" s="90">
        <v>935163.8</v>
      </c>
      <c r="H487" s="90">
        <v>487377.57</v>
      </c>
      <c r="I487" s="90">
        <v>270536.39</v>
      </c>
      <c r="J487" s="90">
        <v>2049591.4</v>
      </c>
      <c r="K487" s="90">
        <v>154867.21</v>
      </c>
      <c r="L487" s="90">
        <v>0</v>
      </c>
      <c r="M487" s="90">
        <v>1419533.21</v>
      </c>
      <c r="N487" s="90">
        <v>1301656.17</v>
      </c>
      <c r="O487" s="90">
        <v>7158048.8799999999</v>
      </c>
      <c r="P487" s="90">
        <v>2788321.58</v>
      </c>
      <c r="Q487" s="90">
        <v>252294.78</v>
      </c>
      <c r="R487" s="90">
        <v>-154.81</v>
      </c>
      <c r="S487" s="90">
        <v>0</v>
      </c>
      <c r="T487">
        <v>0.03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ht="12.75" customHeight="1" x14ac:dyDescent="0.25">
      <c r="E488" s="89" t="s">
        <v>72</v>
      </c>
      <c r="F488" s="90">
        <v>95111405.430000007</v>
      </c>
      <c r="G488" s="90">
        <v>13716794.960000001</v>
      </c>
      <c r="H488" s="90">
        <v>7538723.0999999996</v>
      </c>
      <c r="I488" s="90">
        <v>4037358.33</v>
      </c>
      <c r="J488" s="90">
        <v>7300355.7599999998</v>
      </c>
      <c r="K488" s="90">
        <v>227689.37</v>
      </c>
      <c r="L488" s="90">
        <v>1725000</v>
      </c>
      <c r="M488" s="90">
        <v>2006777.02</v>
      </c>
      <c r="N488" s="90">
        <v>2777643.4</v>
      </c>
      <c r="O488" s="90">
        <v>14591870.9</v>
      </c>
      <c r="P488" s="90">
        <v>40814334.899999999</v>
      </c>
      <c r="Q488" s="90">
        <v>375261.73</v>
      </c>
      <c r="R488" s="90">
        <v>-404.04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ht="12.75" customHeight="1" x14ac:dyDescent="0.25">
      <c r="A489" s="89"/>
      <c r="B489" s="89"/>
      <c r="E489" t="s">
        <v>81</v>
      </c>
      <c r="F489" s="90">
        <v>3638579.87</v>
      </c>
      <c r="G489" s="90">
        <v>605626.59</v>
      </c>
      <c r="H489" s="90">
        <v>304312.49</v>
      </c>
      <c r="I489" s="90">
        <v>165596.28</v>
      </c>
      <c r="J489" s="90">
        <v>180985.28</v>
      </c>
      <c r="K489" s="90">
        <v>5191.66</v>
      </c>
      <c r="L489" s="90">
        <v>183241.19</v>
      </c>
      <c r="M489" s="90">
        <v>45282.16</v>
      </c>
      <c r="N489" s="90">
        <v>59930.97</v>
      </c>
      <c r="O489" s="90">
        <v>283354.87</v>
      </c>
      <c r="P489" s="90">
        <v>1796526.34</v>
      </c>
      <c r="Q489" s="90">
        <v>8534.06</v>
      </c>
      <c r="R489" s="90">
        <v>-2</v>
      </c>
      <c r="S489" s="90">
        <v>-0.02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ht="12.6" customHeight="1" x14ac:dyDescent="0.25">
      <c r="D490" t="s">
        <v>87</v>
      </c>
      <c r="E490" s="89" t="s">
        <v>70</v>
      </c>
      <c r="F490" s="90">
        <v>98749985.299999997</v>
      </c>
      <c r="G490" s="90">
        <v>14322421.550000001</v>
      </c>
      <c r="H490" s="90">
        <v>7843035.5899999999</v>
      </c>
      <c r="I490" s="90">
        <v>4202954.6100000003</v>
      </c>
      <c r="J490" s="90">
        <v>7481341.04</v>
      </c>
      <c r="K490" s="90">
        <v>232881.03</v>
      </c>
      <c r="L490" s="90">
        <v>1908241.19</v>
      </c>
      <c r="M490" s="90">
        <v>2052059.18</v>
      </c>
      <c r="N490" s="90">
        <v>2837574.37</v>
      </c>
      <c r="O490" s="90">
        <v>14875225.77</v>
      </c>
      <c r="P490" s="90">
        <v>42610861.240000002</v>
      </c>
      <c r="Q490" s="90">
        <v>383795.79</v>
      </c>
      <c r="R490" s="90">
        <v>-406.04</v>
      </c>
      <c r="S490" s="90">
        <v>-0.02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s="94" customFormat="1" ht="12.75" customHeight="1" x14ac:dyDescent="0.25">
      <c r="A491" s="101"/>
      <c r="B491" s="101"/>
      <c r="C491" s="94" t="s">
        <v>119</v>
      </c>
      <c r="D491" s="94" t="s">
        <v>70</v>
      </c>
      <c r="F491" s="93">
        <v>134612117.13999999</v>
      </c>
      <c r="G491" s="93">
        <v>16252936.57</v>
      </c>
      <c r="H491" s="93">
        <v>8882611.3300000001</v>
      </c>
      <c r="I491" s="93">
        <v>4769708.84</v>
      </c>
      <c r="J491" s="93">
        <v>12689130.529999999</v>
      </c>
      <c r="K491" s="93">
        <v>523491.14</v>
      </c>
      <c r="L491" s="93">
        <v>1908241.19</v>
      </c>
      <c r="M491" s="93">
        <v>4671973.0999999996</v>
      </c>
      <c r="N491" s="93">
        <v>5604579.4400000004</v>
      </c>
      <c r="O491" s="93">
        <v>30069445.420000002</v>
      </c>
      <c r="P491" s="93">
        <v>48380758.240000002</v>
      </c>
      <c r="Q491" s="93">
        <v>859953.88</v>
      </c>
      <c r="R491" s="93">
        <v>-712.59</v>
      </c>
      <c r="S491" s="93">
        <v>-0.04</v>
      </c>
      <c r="T491" s="94">
        <v>0.09</v>
      </c>
      <c r="U491" s="94">
        <v>0</v>
      </c>
      <c r="V491" s="94">
        <v>0</v>
      </c>
      <c r="W491" s="94">
        <v>0</v>
      </c>
      <c r="X491" s="94">
        <v>0</v>
      </c>
      <c r="Y491" s="94">
        <v>0</v>
      </c>
      <c r="Z491" s="94">
        <v>0</v>
      </c>
    </row>
    <row r="492" spans="1:26" s="226" customFormat="1" ht="12.75" customHeight="1" x14ac:dyDescent="0.25">
      <c r="B492" s="226" t="s">
        <v>112</v>
      </c>
      <c r="C492" s="226" t="s">
        <v>70</v>
      </c>
      <c r="E492" s="98"/>
      <c r="F492" s="100">
        <v>7709009949</v>
      </c>
      <c r="G492" s="100">
        <v>408145471.80000001</v>
      </c>
      <c r="H492" s="100">
        <v>227118040.72999999</v>
      </c>
      <c r="I492" s="100">
        <v>120841029.03</v>
      </c>
      <c r="J492" s="100">
        <v>1864267894.6400001</v>
      </c>
      <c r="K492" s="100">
        <v>62073126.829999998</v>
      </c>
      <c r="L492" s="100">
        <v>12379938.060000001</v>
      </c>
      <c r="M492" s="100">
        <v>544684335.76999998</v>
      </c>
      <c r="N492" s="100">
        <v>512958805.74000001</v>
      </c>
      <c r="O492" s="100">
        <v>2640560444.6500001</v>
      </c>
      <c r="P492" s="100">
        <v>1214677726.3699999</v>
      </c>
      <c r="Q492" s="100">
        <v>101292451</v>
      </c>
      <c r="R492" s="100">
        <v>10679.52</v>
      </c>
      <c r="S492" s="100">
        <v>-0.05</v>
      </c>
      <c r="T492" s="226">
        <v>4.91</v>
      </c>
      <c r="U492" s="226">
        <v>0</v>
      </c>
      <c r="V492" s="226">
        <v>0</v>
      </c>
      <c r="W492" s="226">
        <v>0</v>
      </c>
      <c r="X492" s="226">
        <v>0</v>
      </c>
      <c r="Y492" s="226">
        <v>0</v>
      </c>
      <c r="Z492" s="226">
        <v>0</v>
      </c>
    </row>
    <row r="493" spans="1:26" ht="13.5" customHeight="1" x14ac:dyDescent="0.25">
      <c r="A493" t="s">
        <v>78</v>
      </c>
      <c r="B493" t="s">
        <v>70</v>
      </c>
      <c r="E493" s="89"/>
      <c r="F493" s="90">
        <v>7709009949</v>
      </c>
      <c r="G493" s="90">
        <v>408145471.80000001</v>
      </c>
      <c r="H493" s="90">
        <v>227118040.72999999</v>
      </c>
      <c r="I493" s="90">
        <v>120841029.03</v>
      </c>
      <c r="J493" s="90">
        <v>1864267894.6400001</v>
      </c>
      <c r="K493" s="90">
        <v>62073126.829999998</v>
      </c>
      <c r="L493" s="90">
        <v>12379938.060000001</v>
      </c>
      <c r="M493" s="90">
        <v>544684335.76999998</v>
      </c>
      <c r="N493" s="90">
        <v>512958805.74000001</v>
      </c>
      <c r="O493" s="90">
        <v>2640560444.6500001</v>
      </c>
      <c r="P493" s="90">
        <v>1214677726.3699999</v>
      </c>
      <c r="Q493" s="90">
        <v>101292451</v>
      </c>
      <c r="R493" s="90">
        <v>10679.52</v>
      </c>
      <c r="S493" s="90">
        <v>-0.05</v>
      </c>
      <c r="T493">
        <v>4.91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ht="12.75" customHeight="1" x14ac:dyDescent="0.25">
      <c r="E494" s="89" t="s">
        <v>73</v>
      </c>
      <c r="F494" s="373">
        <v>-170561819.88999999</v>
      </c>
      <c r="G494" s="90">
        <v>10753191.92</v>
      </c>
      <c r="H494" s="90">
        <v>5971219.0800000001</v>
      </c>
      <c r="I494" s="90">
        <v>3173606.36</v>
      </c>
      <c r="J494" s="90">
        <v>-72995240.969999999</v>
      </c>
      <c r="K494" s="90">
        <v>-2462189.9</v>
      </c>
      <c r="L494" s="90">
        <v>0</v>
      </c>
      <c r="M494" s="90">
        <v>-21620596.43</v>
      </c>
      <c r="N494" s="90">
        <v>-20865967.760000002</v>
      </c>
      <c r="O494" s="90">
        <v>-100905954.38</v>
      </c>
      <c r="P494" s="90">
        <v>32409631.539999999</v>
      </c>
      <c r="Q494" s="90">
        <v>-4019519.35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ht="12.75" customHeight="1" x14ac:dyDescent="0.25">
      <c r="D495" t="s">
        <v>156</v>
      </c>
      <c r="E495" s="89" t="s">
        <v>70</v>
      </c>
      <c r="F495" s="373">
        <v>-170561819.88999999</v>
      </c>
      <c r="G495" s="90">
        <v>10753191.92</v>
      </c>
      <c r="H495" s="90">
        <v>5971219.0800000001</v>
      </c>
      <c r="I495" s="90">
        <v>3173606.36</v>
      </c>
      <c r="J495" s="90">
        <v>-72995240.969999999</v>
      </c>
      <c r="K495" s="90">
        <v>-2462189.9</v>
      </c>
      <c r="L495" s="90">
        <v>0</v>
      </c>
      <c r="M495" s="90">
        <v>-21620596.43</v>
      </c>
      <c r="N495" s="90">
        <v>-20865967.760000002</v>
      </c>
      <c r="O495" s="90">
        <v>-100905954.38</v>
      </c>
      <c r="P495" s="90">
        <v>32409631.539999999</v>
      </c>
      <c r="Q495" s="90">
        <v>-4019519.35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s="648" customFormat="1" ht="12.75" customHeight="1" x14ac:dyDescent="0.25">
      <c r="A496" s="649"/>
      <c r="B496" s="649"/>
      <c r="C496" s="648" t="s">
        <v>155</v>
      </c>
      <c r="D496" s="648" t="s">
        <v>70</v>
      </c>
      <c r="F496" s="650">
        <v>-170561819.88999999</v>
      </c>
      <c r="G496" s="650">
        <v>10753191.92</v>
      </c>
      <c r="H496" s="650">
        <v>5971219.0800000001</v>
      </c>
      <c r="I496" s="650">
        <v>3173606.36</v>
      </c>
      <c r="J496" s="650">
        <v>-72995240.969999999</v>
      </c>
      <c r="K496" s="650">
        <v>-2462189.9</v>
      </c>
      <c r="L496" s="650">
        <v>0</v>
      </c>
      <c r="M496" s="650">
        <v>-21620596.43</v>
      </c>
      <c r="N496" s="650">
        <v>-20865967.760000002</v>
      </c>
      <c r="O496" s="650">
        <v>-100905954.38</v>
      </c>
      <c r="P496" s="650">
        <v>32409631.539999999</v>
      </c>
      <c r="Q496" s="650">
        <v>-4019519.35</v>
      </c>
      <c r="R496" s="650">
        <v>0</v>
      </c>
      <c r="S496" s="650">
        <v>0</v>
      </c>
      <c r="T496" s="648">
        <v>0</v>
      </c>
      <c r="U496" s="648">
        <v>0</v>
      </c>
      <c r="V496" s="648">
        <v>0</v>
      </c>
      <c r="W496" s="648">
        <v>0</v>
      </c>
      <c r="X496" s="648">
        <v>0</v>
      </c>
      <c r="Y496" s="648">
        <v>0</v>
      </c>
      <c r="Z496" s="648">
        <v>0</v>
      </c>
    </row>
    <row r="497" spans="1:26" ht="12.75" customHeight="1" x14ac:dyDescent="0.25">
      <c r="E497" s="89" t="s">
        <v>73</v>
      </c>
      <c r="F497" s="373">
        <v>-20676306.969999999</v>
      </c>
      <c r="G497" s="90">
        <v>-1030955.54</v>
      </c>
      <c r="H497" s="90">
        <v>-574040.59</v>
      </c>
      <c r="I497" s="90">
        <v>-305319.3</v>
      </c>
      <c r="J497" s="90">
        <v>-5151792.0999999996</v>
      </c>
      <c r="K497" s="90">
        <v>-169399.72</v>
      </c>
      <c r="L497" s="90">
        <v>0</v>
      </c>
      <c r="M497" s="90">
        <v>-1485911.9</v>
      </c>
      <c r="N497" s="90">
        <v>-1420513.45</v>
      </c>
      <c r="O497" s="90">
        <v>-7189457.9400000004</v>
      </c>
      <c r="P497" s="90">
        <v>-3072537.16</v>
      </c>
      <c r="Q497" s="90">
        <v>-276379.27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ht="12.75" customHeight="1" x14ac:dyDescent="0.25">
      <c r="D498" t="s">
        <v>156</v>
      </c>
      <c r="E498" s="89" t="s">
        <v>70</v>
      </c>
      <c r="F498" s="373">
        <v>-20676306.969999999</v>
      </c>
      <c r="G498" s="90">
        <v>-1030955.54</v>
      </c>
      <c r="H498" s="90">
        <v>-574040.59</v>
      </c>
      <c r="I498" s="90">
        <v>-305319.3</v>
      </c>
      <c r="J498" s="90">
        <v>-5151792.0999999996</v>
      </c>
      <c r="K498" s="90">
        <v>-169399.72</v>
      </c>
      <c r="L498" s="90">
        <v>0</v>
      </c>
      <c r="M498" s="90">
        <v>-1485911.9</v>
      </c>
      <c r="N498" s="90">
        <v>-1420513.45</v>
      </c>
      <c r="O498" s="90">
        <v>-7189457.9400000004</v>
      </c>
      <c r="P498" s="90">
        <v>-3072537.16</v>
      </c>
      <c r="Q498" s="90">
        <v>-276379.27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s="741" customFormat="1" ht="12.75" customHeight="1" x14ac:dyDescent="0.25">
      <c r="C499" s="741" t="s">
        <v>324</v>
      </c>
      <c r="D499" s="741" t="s">
        <v>70</v>
      </c>
      <c r="E499" s="742"/>
      <c r="F499" s="743">
        <v>-20676306.969999999</v>
      </c>
      <c r="G499" s="744">
        <v>-1030955.54</v>
      </c>
      <c r="H499" s="744">
        <v>-574040.59</v>
      </c>
      <c r="I499" s="744">
        <v>-305319.3</v>
      </c>
      <c r="J499" s="744">
        <v>-5151792.0999999996</v>
      </c>
      <c r="K499" s="744">
        <v>-169399.72</v>
      </c>
      <c r="L499" s="744">
        <v>0</v>
      </c>
      <c r="M499" s="744">
        <v>-1485911.9</v>
      </c>
      <c r="N499" s="744">
        <v>-1420513.45</v>
      </c>
      <c r="O499" s="744">
        <v>-7189457.9400000004</v>
      </c>
      <c r="P499" s="744">
        <v>-3072537.16</v>
      </c>
      <c r="Q499" s="744">
        <v>-276379.27</v>
      </c>
      <c r="R499" s="744">
        <v>0</v>
      </c>
      <c r="S499" s="744">
        <v>0</v>
      </c>
      <c r="T499" s="741">
        <v>0</v>
      </c>
      <c r="U499" s="741">
        <v>0</v>
      </c>
      <c r="V499" s="741">
        <v>0</v>
      </c>
      <c r="W499" s="741">
        <v>0</v>
      </c>
      <c r="X499" s="741">
        <v>0</v>
      </c>
      <c r="Y499" s="741">
        <v>0</v>
      </c>
      <c r="Z499" s="741">
        <v>0</v>
      </c>
    </row>
    <row r="500" spans="1:26" ht="12.75" customHeight="1" x14ac:dyDescent="0.25">
      <c r="E500" s="89" t="s">
        <v>73</v>
      </c>
      <c r="F500" s="373">
        <v>191228.37</v>
      </c>
      <c r="G500" s="90">
        <v>133039.57</v>
      </c>
      <c r="H500" s="90">
        <v>75310.73</v>
      </c>
      <c r="I500" s="90">
        <v>39747.31</v>
      </c>
      <c r="J500" s="90">
        <v>-39777.11</v>
      </c>
      <c r="K500" s="90">
        <v>-4210.01</v>
      </c>
      <c r="L500" s="90">
        <v>0</v>
      </c>
      <c r="M500" s="90">
        <v>-36921.14</v>
      </c>
      <c r="N500" s="90">
        <v>-53891.47</v>
      </c>
      <c r="O500" s="90">
        <v>-311814.94</v>
      </c>
      <c r="P500" s="90">
        <v>396614.53</v>
      </c>
      <c r="Q500" s="90">
        <v>-6869.1</v>
      </c>
      <c r="R500" s="90">
        <v>0</v>
      </c>
      <c r="S500" s="9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ht="12.75" customHeight="1" x14ac:dyDescent="0.25">
      <c r="D501" s="89" t="s">
        <v>82</v>
      </c>
      <c r="E501" s="89" t="s">
        <v>70</v>
      </c>
      <c r="F501" s="90">
        <v>191228.37</v>
      </c>
      <c r="G501" s="90">
        <v>133039.57</v>
      </c>
      <c r="H501" s="90">
        <v>75310.73</v>
      </c>
      <c r="I501" s="90">
        <v>39747.31</v>
      </c>
      <c r="J501" s="90">
        <v>-39777.11</v>
      </c>
      <c r="K501" s="90">
        <v>-4210.01</v>
      </c>
      <c r="L501" s="90">
        <v>0</v>
      </c>
      <c r="M501" s="90">
        <v>-36921.14</v>
      </c>
      <c r="N501" s="90">
        <v>-53891.47</v>
      </c>
      <c r="O501" s="90">
        <v>-311814.94</v>
      </c>
      <c r="P501" s="90">
        <v>396614.53</v>
      </c>
      <c r="Q501" s="90">
        <v>-6869.1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ht="12.75" customHeight="1" x14ac:dyDescent="0.25">
      <c r="E502" s="89" t="s">
        <v>73</v>
      </c>
      <c r="F502" s="90">
        <v>2399773.79</v>
      </c>
      <c r="G502" s="90">
        <v>316955.67</v>
      </c>
      <c r="H502" s="90">
        <v>175303.8</v>
      </c>
      <c r="I502" s="90">
        <v>93368.94</v>
      </c>
      <c r="J502" s="90">
        <v>185831.99</v>
      </c>
      <c r="K502" s="90">
        <v>9144.51</v>
      </c>
      <c r="L502" s="90">
        <v>0</v>
      </c>
      <c r="M502" s="90">
        <v>84275.12</v>
      </c>
      <c r="N502" s="90">
        <v>94151.17</v>
      </c>
      <c r="O502" s="90">
        <v>470643.7</v>
      </c>
      <c r="P502" s="90">
        <v>955178.9</v>
      </c>
      <c r="Q502" s="90">
        <v>14919.99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ht="12.75" customHeight="1" x14ac:dyDescent="0.25">
      <c r="D503" s="89" t="s">
        <v>86</v>
      </c>
      <c r="E503" s="89" t="s">
        <v>70</v>
      </c>
      <c r="F503" s="90">
        <v>2399773.79</v>
      </c>
      <c r="G503" s="90">
        <v>316955.67</v>
      </c>
      <c r="H503" s="90">
        <v>175303.8</v>
      </c>
      <c r="I503" s="90">
        <v>93368.94</v>
      </c>
      <c r="J503" s="90">
        <v>185831.99</v>
      </c>
      <c r="K503" s="90">
        <v>9144.51</v>
      </c>
      <c r="L503" s="90">
        <v>0</v>
      </c>
      <c r="M503" s="90">
        <v>84275.12</v>
      </c>
      <c r="N503" s="90">
        <v>94151.17</v>
      </c>
      <c r="O503" s="90">
        <v>470643.7</v>
      </c>
      <c r="P503" s="90">
        <v>955178.9</v>
      </c>
      <c r="Q503" s="90">
        <v>14919.99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75" customHeight="1" x14ac:dyDescent="0.25">
      <c r="E504" s="89" t="s">
        <v>73</v>
      </c>
      <c r="F504" s="90">
        <v>36270393.700000003</v>
      </c>
      <c r="G504" s="90">
        <v>7294256.5499999998</v>
      </c>
      <c r="H504" s="90">
        <v>4030099.58</v>
      </c>
      <c r="I504" s="90">
        <v>2148240.9700000002</v>
      </c>
      <c r="J504" s="90">
        <v>592932.37</v>
      </c>
      <c r="K504" s="90">
        <v>5598.69</v>
      </c>
      <c r="L504" s="90">
        <v>0</v>
      </c>
      <c r="M504" s="90">
        <v>50827.4</v>
      </c>
      <c r="N504" s="90">
        <v>53449.52</v>
      </c>
      <c r="O504" s="90">
        <v>301085.34999999998</v>
      </c>
      <c r="P504" s="90">
        <v>21784768.379999999</v>
      </c>
      <c r="Q504" s="90">
        <v>9134.89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ht="12.75" customHeight="1" x14ac:dyDescent="0.25">
      <c r="D505" s="89" t="s">
        <v>87</v>
      </c>
      <c r="E505" s="89" t="s">
        <v>70</v>
      </c>
      <c r="F505" s="90">
        <v>36270393.700000003</v>
      </c>
      <c r="G505" s="90">
        <v>7294256.5499999998</v>
      </c>
      <c r="H505" s="90">
        <v>4030099.58</v>
      </c>
      <c r="I505" s="90">
        <v>2148240.9700000002</v>
      </c>
      <c r="J505" s="90">
        <v>592932.37</v>
      </c>
      <c r="K505" s="90">
        <v>5598.69</v>
      </c>
      <c r="L505" s="90">
        <v>0</v>
      </c>
      <c r="M505" s="90">
        <v>50827.4</v>
      </c>
      <c r="N505" s="90">
        <v>53449.52</v>
      </c>
      <c r="O505" s="90">
        <v>301085.34999999998</v>
      </c>
      <c r="P505" s="90">
        <v>21784768.379999999</v>
      </c>
      <c r="Q505" s="90">
        <v>9134.89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s="94" customFormat="1" ht="12.75" customHeight="1" x14ac:dyDescent="0.25">
      <c r="C506" s="94" t="s">
        <v>119</v>
      </c>
      <c r="D506" s="94" t="s">
        <v>70</v>
      </c>
      <c r="E506" s="101"/>
      <c r="F506" s="93">
        <v>38861395.859999999</v>
      </c>
      <c r="G506" s="93">
        <v>7744251.79</v>
      </c>
      <c r="H506" s="93">
        <v>4280714.1100000003</v>
      </c>
      <c r="I506" s="93">
        <v>2281357.2200000002</v>
      </c>
      <c r="J506" s="93">
        <v>738987.25</v>
      </c>
      <c r="K506" s="93">
        <v>10533.19</v>
      </c>
      <c r="L506" s="93">
        <v>0</v>
      </c>
      <c r="M506" s="93">
        <v>98181.38</v>
      </c>
      <c r="N506" s="93">
        <v>93709.22</v>
      </c>
      <c r="O506" s="93">
        <v>459914.11</v>
      </c>
      <c r="P506" s="93">
        <v>23136561.809999999</v>
      </c>
      <c r="Q506" s="93">
        <v>17185.78</v>
      </c>
      <c r="R506" s="93">
        <v>0</v>
      </c>
      <c r="S506" s="93">
        <v>0</v>
      </c>
      <c r="T506" s="94">
        <v>0</v>
      </c>
      <c r="U506" s="94">
        <v>0</v>
      </c>
      <c r="V506" s="94">
        <v>0</v>
      </c>
      <c r="W506" s="94">
        <v>0</v>
      </c>
      <c r="X506" s="94">
        <v>0</v>
      </c>
      <c r="Y506" s="94">
        <v>0</v>
      </c>
      <c r="Z506" s="94">
        <v>0</v>
      </c>
    </row>
    <row r="507" spans="1:26" s="226" customFormat="1" ht="12.75" customHeight="1" x14ac:dyDescent="0.25">
      <c r="B507" s="98" t="s">
        <v>112</v>
      </c>
      <c r="C507" s="98" t="s">
        <v>70</v>
      </c>
      <c r="F507" s="100">
        <v>-152376731</v>
      </c>
      <c r="G507" s="100">
        <v>17466488.170000002</v>
      </c>
      <c r="H507" s="100">
        <v>9677892.5999999996</v>
      </c>
      <c r="I507" s="100">
        <v>5149644.28</v>
      </c>
      <c r="J507" s="100">
        <v>-77408045.819999993</v>
      </c>
      <c r="K507" s="100">
        <v>-2621056.4300000002</v>
      </c>
      <c r="L507" s="100">
        <v>0</v>
      </c>
      <c r="M507" s="100">
        <v>-23008326.949999999</v>
      </c>
      <c r="N507" s="100">
        <v>-22192771.989999998</v>
      </c>
      <c r="O507" s="100">
        <v>-107635498.20999999</v>
      </c>
      <c r="P507" s="100">
        <v>52473656.189999998</v>
      </c>
      <c r="Q507" s="100">
        <v>-4278712.84</v>
      </c>
      <c r="R507" s="100">
        <v>0</v>
      </c>
      <c r="S507" s="100">
        <v>0</v>
      </c>
      <c r="T507" s="226">
        <v>0</v>
      </c>
      <c r="U507" s="226">
        <v>0</v>
      </c>
      <c r="V507" s="226">
        <v>0</v>
      </c>
      <c r="W507" s="226">
        <v>0</v>
      </c>
      <c r="X507" s="226">
        <v>0</v>
      </c>
      <c r="Y507" s="226">
        <v>0</v>
      </c>
      <c r="Z507" s="226">
        <v>0</v>
      </c>
    </row>
    <row r="508" spans="1:26" ht="12.75" customHeight="1" x14ac:dyDescent="0.25">
      <c r="A508" s="89" t="s">
        <v>79</v>
      </c>
      <c r="B508" s="89" t="s">
        <v>70</v>
      </c>
      <c r="F508" s="90">
        <v>-152376731</v>
      </c>
      <c r="G508" s="90">
        <v>17466488.170000002</v>
      </c>
      <c r="H508" s="90">
        <v>9677892.5999999996</v>
      </c>
      <c r="I508" s="90">
        <v>5149644.28</v>
      </c>
      <c r="J508" s="90">
        <v>-77408045.819999993</v>
      </c>
      <c r="K508" s="90">
        <v>-2621056.4300000002</v>
      </c>
      <c r="L508" s="90">
        <v>0</v>
      </c>
      <c r="M508" s="90">
        <v>-23008326.949999999</v>
      </c>
      <c r="N508" s="90">
        <v>-22192771.989999998</v>
      </c>
      <c r="O508" s="90">
        <v>-107635498.20999999</v>
      </c>
      <c r="P508" s="90">
        <v>52473656.189999998</v>
      </c>
      <c r="Q508" s="90">
        <v>-4278712.84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t="12.75" customHeight="1" x14ac:dyDescent="0.25">
      <c r="A509" s="89" t="s">
        <v>70</v>
      </c>
      <c r="F509" s="90">
        <v>7556633218</v>
      </c>
      <c r="G509" s="90">
        <v>425611959.97000003</v>
      </c>
      <c r="H509" s="90">
        <v>236795933.33000001</v>
      </c>
      <c r="I509" s="90">
        <v>125990673.31</v>
      </c>
      <c r="J509" s="90">
        <v>1786859848.8199999</v>
      </c>
      <c r="K509" s="90">
        <v>59452070.399999999</v>
      </c>
      <c r="L509" s="90">
        <v>12379938.060000001</v>
      </c>
      <c r="M509" s="90">
        <v>521676008.81999999</v>
      </c>
      <c r="N509" s="90">
        <v>490766033.75</v>
      </c>
      <c r="O509" s="90">
        <v>2532924946.4400001</v>
      </c>
      <c r="P509" s="90">
        <v>1267151382.5599999</v>
      </c>
      <c r="Q509" s="90">
        <v>97013738.159999996</v>
      </c>
      <c r="R509" s="90">
        <v>10679.52</v>
      </c>
      <c r="S509" s="90">
        <v>-0.05</v>
      </c>
      <c r="T509">
        <v>4.91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ht="12.75" customHeight="1" x14ac:dyDescent="0.25">
      <c r="A510" s="89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150"/>
    </row>
    <row r="511" spans="1:26" ht="12.75" customHeight="1" x14ac:dyDescent="0.25">
      <c r="A511" s="89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</row>
    <row r="512" spans="1:26" ht="12.75" customHeight="1" x14ac:dyDescent="0.25">
      <c r="A512" s="89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</row>
    <row r="513" spans="1:41" ht="12.75" customHeight="1" x14ac:dyDescent="0.25">
      <c r="C513" s="768" t="s">
        <v>2</v>
      </c>
      <c r="D513" s="769" t="s">
        <v>132</v>
      </c>
      <c r="E513" s="98" t="s">
        <v>70</v>
      </c>
      <c r="F513" s="100">
        <f>F507+F492-L492</f>
        <v>7544253279.9399996</v>
      </c>
      <c r="G513" s="100">
        <f>G492</f>
        <v>408145471.80000001</v>
      </c>
      <c r="H513" s="100">
        <f t="shared" ref="H513:AO513" si="26">H492</f>
        <v>227118040.72999999</v>
      </c>
      <c r="I513" s="100">
        <f t="shared" si="26"/>
        <v>120841029.03</v>
      </c>
      <c r="J513" s="100">
        <f t="shared" si="26"/>
        <v>1864267894.6400001</v>
      </c>
      <c r="K513" s="100">
        <f t="shared" si="26"/>
        <v>62073126.829999998</v>
      </c>
      <c r="L513" s="100">
        <f t="shared" si="26"/>
        <v>12379938.060000001</v>
      </c>
      <c r="M513" s="100">
        <f t="shared" si="26"/>
        <v>544684335.76999998</v>
      </c>
      <c r="N513" s="100">
        <f t="shared" si="26"/>
        <v>512958805.74000001</v>
      </c>
      <c r="O513" s="100">
        <f t="shared" si="26"/>
        <v>2640560444.6500001</v>
      </c>
      <c r="P513" s="100">
        <f t="shared" si="26"/>
        <v>1214677726.3699999</v>
      </c>
      <c r="Q513" s="100">
        <f t="shared" si="26"/>
        <v>101292451</v>
      </c>
      <c r="R513" s="100">
        <f t="shared" si="26"/>
        <v>10679.52</v>
      </c>
      <c r="S513" s="100">
        <f t="shared" si="26"/>
        <v>-0.05</v>
      </c>
      <c r="T513" s="100">
        <f t="shared" si="26"/>
        <v>4.91</v>
      </c>
      <c r="U513" s="100">
        <f t="shared" si="26"/>
        <v>0</v>
      </c>
      <c r="V513" s="100">
        <f t="shared" si="26"/>
        <v>0</v>
      </c>
      <c r="W513" s="100">
        <f t="shared" si="26"/>
        <v>0</v>
      </c>
      <c r="X513" s="100">
        <f t="shared" si="26"/>
        <v>0</v>
      </c>
      <c r="Y513" s="100">
        <f t="shared" si="26"/>
        <v>0</v>
      </c>
      <c r="Z513" s="100">
        <f t="shared" si="26"/>
        <v>0</v>
      </c>
      <c r="AA513" s="100">
        <f t="shared" si="26"/>
        <v>0</v>
      </c>
      <c r="AB513" s="100">
        <f t="shared" si="26"/>
        <v>0</v>
      </c>
      <c r="AC513" s="100">
        <f t="shared" si="26"/>
        <v>0</v>
      </c>
      <c r="AD513" s="100">
        <f t="shared" si="26"/>
        <v>0</v>
      </c>
      <c r="AE513" s="100">
        <f t="shared" si="26"/>
        <v>0</v>
      </c>
      <c r="AF513" s="100">
        <f t="shared" si="26"/>
        <v>0</v>
      </c>
      <c r="AG513" s="100">
        <f t="shared" si="26"/>
        <v>0</v>
      </c>
      <c r="AH513" s="100">
        <f t="shared" si="26"/>
        <v>0</v>
      </c>
      <c r="AI513" s="100">
        <f t="shared" si="26"/>
        <v>0</v>
      </c>
      <c r="AJ513" s="100">
        <f t="shared" si="26"/>
        <v>0</v>
      </c>
      <c r="AK513" s="100">
        <f t="shared" si="26"/>
        <v>0</v>
      </c>
      <c r="AL513" s="100">
        <f t="shared" si="26"/>
        <v>0</v>
      </c>
      <c r="AM513" s="100">
        <f t="shared" si="26"/>
        <v>0</v>
      </c>
      <c r="AN513" s="100">
        <f t="shared" si="26"/>
        <v>0</v>
      </c>
      <c r="AO513" s="100">
        <f t="shared" si="26"/>
        <v>0</v>
      </c>
    </row>
    <row r="514" spans="1:41" ht="12.75" customHeight="1" x14ac:dyDescent="0.25">
      <c r="C514" s="768"/>
      <c r="D514" s="769"/>
      <c r="E514" s="98" t="s">
        <v>73</v>
      </c>
      <c r="F514" s="100">
        <f>F507</f>
        <v>-152376731</v>
      </c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</row>
    <row r="515" spans="1:41" ht="12.75" customHeight="1" x14ac:dyDescent="0.25">
      <c r="C515" s="768"/>
      <c r="D515" s="769" t="s">
        <v>133</v>
      </c>
      <c r="E515" s="233" t="s">
        <v>70</v>
      </c>
      <c r="F515" s="234">
        <v>0</v>
      </c>
      <c r="G515" s="234">
        <v>0</v>
      </c>
      <c r="H515" s="234">
        <v>0</v>
      </c>
      <c r="I515" s="234">
        <v>0</v>
      </c>
      <c r="J515" s="234">
        <v>0</v>
      </c>
      <c r="K515" s="234">
        <v>0</v>
      </c>
      <c r="L515" s="234">
        <v>0</v>
      </c>
      <c r="M515" s="234">
        <v>0</v>
      </c>
      <c r="N515" s="234">
        <v>0</v>
      </c>
      <c r="O515" s="234">
        <v>0</v>
      </c>
      <c r="P515" s="234">
        <v>0</v>
      </c>
      <c r="Q515" s="234">
        <v>0</v>
      </c>
      <c r="R515" s="234">
        <v>0</v>
      </c>
      <c r="S515" s="234">
        <v>0</v>
      </c>
      <c r="T515" s="234">
        <v>0</v>
      </c>
      <c r="U515" s="234">
        <v>0</v>
      </c>
      <c r="V515" s="234">
        <v>0</v>
      </c>
      <c r="W515" s="234">
        <v>0</v>
      </c>
      <c r="X515" s="234">
        <v>0</v>
      </c>
      <c r="Y515" s="234">
        <v>0</v>
      </c>
      <c r="Z515" s="234">
        <v>0</v>
      </c>
      <c r="AA515" s="234">
        <v>0</v>
      </c>
      <c r="AB515" s="234">
        <v>0</v>
      </c>
      <c r="AC515" s="234">
        <v>0</v>
      </c>
      <c r="AD515" s="234">
        <v>0</v>
      </c>
      <c r="AE515" s="234">
        <v>0</v>
      </c>
      <c r="AF515" s="234">
        <v>0</v>
      </c>
      <c r="AG515" s="234">
        <v>0</v>
      </c>
      <c r="AH515" s="234">
        <v>0</v>
      </c>
      <c r="AI515" s="234">
        <v>0</v>
      </c>
      <c r="AJ515" s="234">
        <v>0</v>
      </c>
      <c r="AK515" s="234">
        <v>0</v>
      </c>
      <c r="AL515" s="234">
        <v>0</v>
      </c>
      <c r="AM515" s="234">
        <v>0</v>
      </c>
      <c r="AN515" s="234">
        <v>0</v>
      </c>
      <c r="AO515" s="234">
        <v>0</v>
      </c>
    </row>
    <row r="516" spans="1:41" ht="12.75" customHeight="1" x14ac:dyDescent="0.25">
      <c r="C516" s="768"/>
      <c r="D516" s="769"/>
      <c r="E516" s="233" t="s">
        <v>73</v>
      </c>
      <c r="F516" s="234">
        <v>0</v>
      </c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</row>
    <row r="517" spans="1:41" ht="12.75" customHeight="1" x14ac:dyDescent="0.25">
      <c r="A517" s="89"/>
      <c r="C517" s="97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</row>
    <row r="518" spans="1:41" ht="12.75" customHeight="1" x14ac:dyDescent="0.25">
      <c r="C518" s="768" t="s">
        <v>160</v>
      </c>
      <c r="D518" s="769" t="s">
        <v>132</v>
      </c>
      <c r="E518" s="223" t="s">
        <v>70</v>
      </c>
      <c r="F518" s="225">
        <v>0</v>
      </c>
      <c r="G518" s="225">
        <v>0</v>
      </c>
      <c r="H518" s="225">
        <v>0</v>
      </c>
      <c r="I518" s="225">
        <v>0</v>
      </c>
      <c r="J518" s="225">
        <v>0</v>
      </c>
      <c r="K518" s="225">
        <v>0</v>
      </c>
      <c r="L518" s="225">
        <v>0</v>
      </c>
      <c r="M518" s="225">
        <v>0</v>
      </c>
      <c r="N518" s="225">
        <v>0</v>
      </c>
      <c r="O518" s="225">
        <v>0</v>
      </c>
      <c r="P518" s="225">
        <v>0</v>
      </c>
      <c r="Q518" s="225">
        <v>0</v>
      </c>
      <c r="R518" s="225">
        <v>0</v>
      </c>
      <c r="S518" s="225">
        <v>0</v>
      </c>
      <c r="T518" s="225">
        <v>0</v>
      </c>
      <c r="U518" s="225"/>
      <c r="V518" s="225"/>
      <c r="W518" s="225"/>
      <c r="X518" s="225">
        <v>0</v>
      </c>
      <c r="Y518" s="225">
        <v>0</v>
      </c>
      <c r="Z518" s="225">
        <v>0</v>
      </c>
      <c r="AA518" s="225">
        <v>0</v>
      </c>
      <c r="AB518" s="225">
        <v>0</v>
      </c>
      <c r="AC518" s="225">
        <v>0</v>
      </c>
      <c r="AD518" s="225">
        <v>0</v>
      </c>
      <c r="AE518" s="225">
        <v>0</v>
      </c>
      <c r="AF518" s="225">
        <v>0</v>
      </c>
      <c r="AG518" s="225">
        <v>0</v>
      </c>
      <c r="AH518" s="225">
        <v>0</v>
      </c>
      <c r="AI518" s="225">
        <v>0</v>
      </c>
      <c r="AJ518" s="225">
        <v>0</v>
      </c>
      <c r="AK518" s="225">
        <v>0</v>
      </c>
      <c r="AL518" s="225">
        <v>0</v>
      </c>
      <c r="AM518" s="225">
        <v>0</v>
      </c>
      <c r="AN518" s="225">
        <v>0</v>
      </c>
      <c r="AO518" s="225">
        <v>0</v>
      </c>
    </row>
    <row r="519" spans="1:41" ht="12.75" customHeight="1" x14ac:dyDescent="0.25">
      <c r="C519" s="768"/>
      <c r="D519" s="769"/>
      <c r="E519" s="223" t="s">
        <v>73</v>
      </c>
      <c r="F519" s="225">
        <v>0</v>
      </c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</row>
    <row r="520" spans="1:41" ht="12.75" customHeight="1" x14ac:dyDescent="0.25">
      <c r="C520" s="768"/>
      <c r="D520" s="769" t="s">
        <v>133</v>
      </c>
      <c r="E520" s="227" t="s">
        <v>70</v>
      </c>
      <c r="F520" s="228">
        <v>0</v>
      </c>
      <c r="G520" s="228">
        <v>0</v>
      </c>
      <c r="H520" s="228">
        <v>0</v>
      </c>
      <c r="I520" s="228">
        <v>0</v>
      </c>
      <c r="J520" s="228">
        <v>0</v>
      </c>
      <c r="K520" s="228">
        <v>0</v>
      </c>
      <c r="L520" s="228">
        <v>0</v>
      </c>
      <c r="M520" s="228">
        <v>0</v>
      </c>
      <c r="N520" s="228">
        <v>0</v>
      </c>
      <c r="O520" s="228">
        <v>0</v>
      </c>
      <c r="P520" s="228">
        <v>0</v>
      </c>
      <c r="Q520" s="228">
        <v>0</v>
      </c>
      <c r="R520" s="228">
        <v>0</v>
      </c>
      <c r="S520" s="228">
        <v>0</v>
      </c>
      <c r="T520" s="228">
        <v>0</v>
      </c>
      <c r="U520" s="228"/>
      <c r="V520" s="228"/>
      <c r="W520" s="228"/>
      <c r="X520" s="228">
        <v>0</v>
      </c>
      <c r="Y520" s="228">
        <v>0</v>
      </c>
      <c r="Z520" s="228">
        <v>0</v>
      </c>
      <c r="AA520" s="228">
        <v>0</v>
      </c>
      <c r="AB520" s="228">
        <v>0</v>
      </c>
      <c r="AC520" s="228">
        <v>0</v>
      </c>
      <c r="AD520" s="228">
        <v>0</v>
      </c>
      <c r="AE520" s="228">
        <v>0</v>
      </c>
      <c r="AF520" s="228">
        <v>0</v>
      </c>
      <c r="AG520" s="228">
        <v>0</v>
      </c>
      <c r="AH520" s="228">
        <v>0</v>
      </c>
      <c r="AI520" s="228">
        <v>0</v>
      </c>
      <c r="AJ520" s="228">
        <v>0</v>
      </c>
      <c r="AK520" s="228">
        <v>0</v>
      </c>
      <c r="AL520" s="228">
        <v>0</v>
      </c>
      <c r="AM520" s="228">
        <v>0</v>
      </c>
      <c r="AN520" s="228">
        <v>0</v>
      </c>
      <c r="AO520" s="228">
        <v>0</v>
      </c>
    </row>
    <row r="521" spans="1:41" ht="12.75" customHeight="1" x14ac:dyDescent="0.25">
      <c r="C521" s="768"/>
      <c r="D521" s="769"/>
      <c r="E521" s="227" t="s">
        <v>73</v>
      </c>
      <c r="F521" s="228">
        <v>0</v>
      </c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41" ht="12.75" customHeight="1" x14ac:dyDescent="0.25">
      <c r="A522" s="89"/>
      <c r="C522" s="97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</row>
    <row r="523" spans="1:41" ht="12.75" customHeight="1" x14ac:dyDescent="0.25">
      <c r="C523" s="768" t="s">
        <v>155</v>
      </c>
      <c r="D523" s="769" t="s">
        <v>132</v>
      </c>
      <c r="E523" s="221" t="s">
        <v>70</v>
      </c>
      <c r="F523" s="222">
        <f>F496+F477-L477</f>
        <v>7233177428.1300001</v>
      </c>
      <c r="G523" s="222">
        <f>G477</f>
        <v>383226244.79000002</v>
      </c>
      <c r="H523" s="222">
        <f t="shared" ref="H523:AO523" si="27">H477</f>
        <v>213399131.62</v>
      </c>
      <c r="I523" s="222">
        <f t="shared" si="27"/>
        <v>113487155.67</v>
      </c>
      <c r="J523" s="222">
        <f t="shared" si="27"/>
        <v>1813158921.0699999</v>
      </c>
      <c r="K523" s="222">
        <f t="shared" si="27"/>
        <v>60280537.299999997</v>
      </c>
      <c r="L523" s="222">
        <f t="shared" si="27"/>
        <v>10471696.869999999</v>
      </c>
      <c r="M523" s="222">
        <f t="shared" si="27"/>
        <v>528865960.60000002</v>
      </c>
      <c r="N523" s="222">
        <f t="shared" si="27"/>
        <v>496788585.52999997</v>
      </c>
      <c r="O523" s="222">
        <f t="shared" si="27"/>
        <v>2555805599.5999999</v>
      </c>
      <c r="P523" s="222">
        <f t="shared" si="27"/>
        <v>1140353351.6900001</v>
      </c>
      <c r="Q523" s="222">
        <f t="shared" si="27"/>
        <v>98362156.760000005</v>
      </c>
      <c r="R523" s="222">
        <f t="shared" si="27"/>
        <v>11598.57</v>
      </c>
      <c r="S523" s="222">
        <f t="shared" si="27"/>
        <v>0</v>
      </c>
      <c r="T523" s="222">
        <f t="shared" si="27"/>
        <v>4.82</v>
      </c>
      <c r="U523" s="222">
        <f t="shared" si="27"/>
        <v>0</v>
      </c>
      <c r="V523" s="222">
        <f t="shared" si="27"/>
        <v>0</v>
      </c>
      <c r="W523" s="222">
        <f t="shared" si="27"/>
        <v>0</v>
      </c>
      <c r="X523" s="222">
        <f t="shared" si="27"/>
        <v>0</v>
      </c>
      <c r="Y523" s="222">
        <f t="shared" si="27"/>
        <v>0</v>
      </c>
      <c r="Z523" s="222">
        <f t="shared" si="27"/>
        <v>0</v>
      </c>
      <c r="AA523" s="222">
        <f t="shared" si="27"/>
        <v>0</v>
      </c>
      <c r="AB523" s="222">
        <f t="shared" si="27"/>
        <v>0</v>
      </c>
      <c r="AC523" s="222">
        <f t="shared" si="27"/>
        <v>0</v>
      </c>
      <c r="AD523" s="222">
        <f t="shared" si="27"/>
        <v>0</v>
      </c>
      <c r="AE523" s="222">
        <f t="shared" si="27"/>
        <v>0</v>
      </c>
      <c r="AF523" s="222">
        <f t="shared" si="27"/>
        <v>0</v>
      </c>
      <c r="AG523" s="222">
        <f t="shared" si="27"/>
        <v>0</v>
      </c>
      <c r="AH523" s="222">
        <f t="shared" si="27"/>
        <v>0</v>
      </c>
      <c r="AI523" s="222">
        <f t="shared" si="27"/>
        <v>0</v>
      </c>
      <c r="AJ523" s="222">
        <f t="shared" si="27"/>
        <v>0</v>
      </c>
      <c r="AK523" s="222">
        <f t="shared" si="27"/>
        <v>0</v>
      </c>
      <c r="AL523" s="222">
        <f t="shared" si="27"/>
        <v>0</v>
      </c>
      <c r="AM523" s="222">
        <f t="shared" si="27"/>
        <v>0</v>
      </c>
      <c r="AN523" s="222">
        <f t="shared" si="27"/>
        <v>0</v>
      </c>
      <c r="AO523" s="222">
        <f t="shared" si="27"/>
        <v>0</v>
      </c>
    </row>
    <row r="524" spans="1:41" ht="12.75" customHeight="1" x14ac:dyDescent="0.25">
      <c r="C524" s="768"/>
      <c r="D524" s="769"/>
      <c r="E524" s="221" t="s">
        <v>73</v>
      </c>
      <c r="F524" s="222">
        <f>F496</f>
        <v>-170561819.88999999</v>
      </c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</row>
    <row r="525" spans="1:41" ht="12.75" customHeight="1" x14ac:dyDescent="0.25">
      <c r="C525" s="768"/>
      <c r="D525" s="769" t="s">
        <v>133</v>
      </c>
      <c r="E525" s="242" t="s">
        <v>70</v>
      </c>
      <c r="F525" s="243">
        <v>0</v>
      </c>
      <c r="G525" s="243">
        <v>0</v>
      </c>
      <c r="H525" s="243">
        <v>0</v>
      </c>
      <c r="I525" s="243">
        <v>0</v>
      </c>
      <c r="J525" s="243">
        <v>0</v>
      </c>
      <c r="K525" s="243">
        <v>0</v>
      </c>
      <c r="L525" s="243">
        <v>0</v>
      </c>
      <c r="M525" s="243">
        <v>0</v>
      </c>
      <c r="N525" s="243">
        <v>0</v>
      </c>
      <c r="O525" s="243">
        <v>0</v>
      </c>
      <c r="P525" s="243">
        <v>0</v>
      </c>
      <c r="Q525" s="243">
        <v>0</v>
      </c>
      <c r="R525" s="243">
        <v>0</v>
      </c>
      <c r="S525" s="243">
        <v>0</v>
      </c>
      <c r="T525" s="243">
        <v>0</v>
      </c>
      <c r="U525" s="243">
        <v>0</v>
      </c>
      <c r="V525" s="243">
        <v>0</v>
      </c>
      <c r="W525" s="243">
        <v>0</v>
      </c>
      <c r="X525" s="243">
        <v>0</v>
      </c>
      <c r="Y525" s="243">
        <v>0</v>
      </c>
      <c r="Z525" s="243">
        <v>0</v>
      </c>
      <c r="AA525" s="243">
        <v>0</v>
      </c>
      <c r="AB525" s="243">
        <v>0</v>
      </c>
      <c r="AC525" s="243">
        <v>0</v>
      </c>
      <c r="AD525" s="243">
        <v>0</v>
      </c>
      <c r="AE525" s="243">
        <v>0</v>
      </c>
      <c r="AF525" s="243">
        <v>0</v>
      </c>
      <c r="AG525" s="243">
        <v>0</v>
      </c>
      <c r="AH525" s="243">
        <v>0</v>
      </c>
      <c r="AI525" s="243">
        <v>0</v>
      </c>
      <c r="AJ525" s="243">
        <v>0</v>
      </c>
      <c r="AK525" s="243">
        <v>0</v>
      </c>
      <c r="AL525" s="243">
        <v>0</v>
      </c>
      <c r="AM525" s="243">
        <v>0</v>
      </c>
      <c r="AN525" s="243">
        <v>0</v>
      </c>
      <c r="AO525" s="243">
        <v>0</v>
      </c>
    </row>
    <row r="526" spans="1:41" ht="12.75" customHeight="1" x14ac:dyDescent="0.25">
      <c r="C526" s="768"/>
      <c r="D526" s="769"/>
      <c r="E526" s="242" t="s">
        <v>73</v>
      </c>
      <c r="F526" s="243">
        <v>0</v>
      </c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41" ht="12.75" customHeight="1" x14ac:dyDescent="0.25">
      <c r="A527" s="89"/>
      <c r="C527" s="97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</row>
    <row r="528" spans="1:41" ht="12.75" customHeight="1" x14ac:dyDescent="0.25">
      <c r="C528" s="771" t="s">
        <v>324</v>
      </c>
      <c r="D528" s="769" t="s">
        <v>132</v>
      </c>
      <c r="E528" s="375" t="s">
        <v>70</v>
      </c>
      <c r="F528" s="376">
        <f>F499+F481-L481</f>
        <v>139510580</v>
      </c>
      <c r="G528" s="376">
        <f>G481</f>
        <v>8666290.4399999995</v>
      </c>
      <c r="H528" s="376">
        <f t="shared" ref="H528:AO528" si="28">H481</f>
        <v>4836297.78</v>
      </c>
      <c r="I528" s="376">
        <f t="shared" si="28"/>
        <v>2584164.52</v>
      </c>
      <c r="J528" s="376">
        <f t="shared" si="28"/>
        <v>38419843.039999999</v>
      </c>
      <c r="K528" s="376">
        <f t="shared" si="28"/>
        <v>1269098.3899999999</v>
      </c>
      <c r="L528" s="376">
        <f t="shared" si="28"/>
        <v>0</v>
      </c>
      <c r="M528" s="376">
        <f t="shared" si="28"/>
        <v>11146402.07</v>
      </c>
      <c r="N528" s="376">
        <f t="shared" si="28"/>
        <v>10565640.77</v>
      </c>
      <c r="O528" s="376">
        <f t="shared" si="28"/>
        <v>54685399.630000003</v>
      </c>
      <c r="P528" s="376">
        <f t="shared" si="28"/>
        <v>25943616.440000001</v>
      </c>
      <c r="Q528" s="376">
        <f t="shared" si="28"/>
        <v>2070340.36</v>
      </c>
      <c r="R528" s="376">
        <f t="shared" si="28"/>
        <v>-206.46</v>
      </c>
      <c r="S528" s="376">
        <f t="shared" si="28"/>
        <v>-0.01</v>
      </c>
      <c r="T528" s="376">
        <f t="shared" si="28"/>
        <v>0</v>
      </c>
      <c r="U528" s="376">
        <f t="shared" si="28"/>
        <v>0</v>
      </c>
      <c r="V528" s="376">
        <f t="shared" si="28"/>
        <v>0</v>
      </c>
      <c r="W528" s="376">
        <f t="shared" si="28"/>
        <v>0</v>
      </c>
      <c r="X528" s="376">
        <f t="shared" si="28"/>
        <v>0</v>
      </c>
      <c r="Y528" s="376">
        <f t="shared" si="28"/>
        <v>0</v>
      </c>
      <c r="Z528" s="376">
        <f t="shared" si="28"/>
        <v>0</v>
      </c>
      <c r="AA528" s="376">
        <f t="shared" si="28"/>
        <v>0</v>
      </c>
      <c r="AB528" s="376">
        <f t="shared" si="28"/>
        <v>0</v>
      </c>
      <c r="AC528" s="376">
        <f t="shared" si="28"/>
        <v>0</v>
      </c>
      <c r="AD528" s="376">
        <f t="shared" si="28"/>
        <v>0</v>
      </c>
      <c r="AE528" s="376">
        <f t="shared" si="28"/>
        <v>0</v>
      </c>
      <c r="AF528" s="376">
        <f t="shared" si="28"/>
        <v>0</v>
      </c>
      <c r="AG528" s="376">
        <f t="shared" si="28"/>
        <v>0</v>
      </c>
      <c r="AH528" s="376">
        <f t="shared" si="28"/>
        <v>0</v>
      </c>
      <c r="AI528" s="376">
        <f t="shared" si="28"/>
        <v>0</v>
      </c>
      <c r="AJ528" s="376">
        <f t="shared" si="28"/>
        <v>0</v>
      </c>
      <c r="AK528" s="376">
        <f t="shared" si="28"/>
        <v>0</v>
      </c>
      <c r="AL528" s="376">
        <f t="shared" si="28"/>
        <v>0</v>
      </c>
      <c r="AM528" s="376">
        <f t="shared" si="28"/>
        <v>0</v>
      </c>
      <c r="AN528" s="376">
        <f t="shared" si="28"/>
        <v>0</v>
      </c>
      <c r="AO528" s="376">
        <f t="shared" si="28"/>
        <v>0</v>
      </c>
    </row>
    <row r="529" spans="1:41" ht="12.75" customHeight="1" x14ac:dyDescent="0.25">
      <c r="C529" s="771"/>
      <c r="D529" s="769"/>
      <c r="E529" s="375" t="s">
        <v>73</v>
      </c>
      <c r="F529" s="376">
        <f>F499</f>
        <v>-20676306.969999999</v>
      </c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</row>
    <row r="530" spans="1:41" ht="12.75" customHeight="1" x14ac:dyDescent="0.25">
      <c r="C530" s="771"/>
      <c r="D530" s="769" t="s">
        <v>133</v>
      </c>
      <c r="E530" s="242" t="s">
        <v>70</v>
      </c>
      <c r="F530" s="243">
        <v>0</v>
      </c>
      <c r="G530" s="243">
        <v>0</v>
      </c>
      <c r="H530" s="243">
        <v>0</v>
      </c>
      <c r="I530" s="243">
        <v>0</v>
      </c>
      <c r="J530" s="243">
        <v>0</v>
      </c>
      <c r="K530" s="243">
        <v>0</v>
      </c>
      <c r="L530" s="243">
        <v>0</v>
      </c>
      <c r="M530" s="243">
        <v>0</v>
      </c>
      <c r="N530" s="243">
        <v>0</v>
      </c>
      <c r="O530" s="243">
        <v>0</v>
      </c>
      <c r="P530" s="243">
        <v>0</v>
      </c>
      <c r="Q530" s="243">
        <v>0</v>
      </c>
      <c r="R530" s="243">
        <v>0</v>
      </c>
      <c r="S530" s="243">
        <v>0</v>
      </c>
      <c r="T530" s="243">
        <v>0</v>
      </c>
      <c r="U530" s="243">
        <v>0</v>
      </c>
      <c r="V530" s="243">
        <v>0</v>
      </c>
      <c r="W530" s="243">
        <v>0</v>
      </c>
      <c r="X530" s="243">
        <v>0</v>
      </c>
      <c r="Y530" s="243">
        <v>0</v>
      </c>
      <c r="Z530" s="243">
        <v>0</v>
      </c>
      <c r="AA530" s="243">
        <v>0</v>
      </c>
      <c r="AB530" s="243">
        <v>0</v>
      </c>
      <c r="AC530" s="243">
        <v>0</v>
      </c>
      <c r="AD530" s="243">
        <v>0</v>
      </c>
      <c r="AE530" s="243">
        <v>0</v>
      </c>
      <c r="AF530" s="243">
        <v>0</v>
      </c>
      <c r="AG530" s="243">
        <v>0</v>
      </c>
      <c r="AH530" s="243">
        <v>0</v>
      </c>
      <c r="AI530" s="243">
        <v>0</v>
      </c>
      <c r="AJ530" s="243">
        <v>0</v>
      </c>
      <c r="AK530" s="243">
        <v>0</v>
      </c>
      <c r="AL530" s="243">
        <v>0</v>
      </c>
      <c r="AM530" s="243">
        <v>0</v>
      </c>
      <c r="AN530" s="243">
        <v>0</v>
      </c>
      <c r="AO530" s="243">
        <v>0</v>
      </c>
    </row>
    <row r="531" spans="1:41" ht="12.75" customHeight="1" x14ac:dyDescent="0.25">
      <c r="C531" s="771"/>
      <c r="D531" s="769"/>
      <c r="E531" s="242" t="s">
        <v>73</v>
      </c>
      <c r="F531" s="243">
        <v>0</v>
      </c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</row>
    <row r="532" spans="1:41" ht="12.75" customHeight="1" x14ac:dyDescent="0.25">
      <c r="C532" s="717"/>
      <c r="D532" s="220"/>
      <c r="E532" s="89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</row>
    <row r="533" spans="1:41" ht="12.75" customHeight="1" x14ac:dyDescent="0.25">
      <c r="C533" s="768" t="s">
        <v>119</v>
      </c>
      <c r="D533" s="769" t="s">
        <v>132</v>
      </c>
      <c r="E533" s="101" t="s">
        <v>70</v>
      </c>
      <c r="F533" s="93">
        <f>F506+F491-L491</f>
        <v>171565271.81</v>
      </c>
      <c r="G533" s="93">
        <f>G491</f>
        <v>16252936.57</v>
      </c>
      <c r="H533" s="93">
        <f t="shared" ref="H533:AO533" si="29">H491</f>
        <v>8882611.3300000001</v>
      </c>
      <c r="I533" s="93">
        <f t="shared" si="29"/>
        <v>4769708.84</v>
      </c>
      <c r="J533" s="93">
        <f t="shared" si="29"/>
        <v>12689130.529999999</v>
      </c>
      <c r="K533" s="93">
        <f t="shared" si="29"/>
        <v>523491.14</v>
      </c>
      <c r="L533" s="93">
        <f t="shared" si="29"/>
        <v>1908241.19</v>
      </c>
      <c r="M533" s="93">
        <f t="shared" si="29"/>
        <v>4671973.0999999996</v>
      </c>
      <c r="N533" s="93">
        <f t="shared" si="29"/>
        <v>5604579.4400000004</v>
      </c>
      <c r="O533" s="93">
        <f t="shared" si="29"/>
        <v>30069445.420000002</v>
      </c>
      <c r="P533" s="93">
        <f t="shared" si="29"/>
        <v>48380758.240000002</v>
      </c>
      <c r="Q533" s="93">
        <f t="shared" si="29"/>
        <v>859953.88</v>
      </c>
      <c r="R533" s="93">
        <f t="shared" si="29"/>
        <v>-712.59</v>
      </c>
      <c r="S533" s="93">
        <f t="shared" si="29"/>
        <v>-0.04</v>
      </c>
      <c r="T533" s="93">
        <f t="shared" si="29"/>
        <v>0.09</v>
      </c>
      <c r="U533" s="93">
        <f t="shared" si="29"/>
        <v>0</v>
      </c>
      <c r="V533" s="93">
        <f t="shared" si="29"/>
        <v>0</v>
      </c>
      <c r="W533" s="93">
        <f t="shared" si="29"/>
        <v>0</v>
      </c>
      <c r="X533" s="93">
        <f t="shared" si="29"/>
        <v>0</v>
      </c>
      <c r="Y533" s="93">
        <f t="shared" si="29"/>
        <v>0</v>
      </c>
      <c r="Z533" s="93">
        <f t="shared" si="29"/>
        <v>0</v>
      </c>
      <c r="AA533" s="93">
        <f t="shared" si="29"/>
        <v>0</v>
      </c>
      <c r="AB533" s="93">
        <f t="shared" si="29"/>
        <v>0</v>
      </c>
      <c r="AC533" s="93">
        <f t="shared" si="29"/>
        <v>0</v>
      </c>
      <c r="AD533" s="93">
        <f t="shared" si="29"/>
        <v>0</v>
      </c>
      <c r="AE533" s="93">
        <f t="shared" si="29"/>
        <v>0</v>
      </c>
      <c r="AF533" s="93">
        <f t="shared" si="29"/>
        <v>0</v>
      </c>
      <c r="AG533" s="93">
        <f t="shared" si="29"/>
        <v>0</v>
      </c>
      <c r="AH533" s="93">
        <f t="shared" si="29"/>
        <v>0</v>
      </c>
      <c r="AI533" s="93">
        <f t="shared" si="29"/>
        <v>0</v>
      </c>
      <c r="AJ533" s="93">
        <f t="shared" si="29"/>
        <v>0</v>
      </c>
      <c r="AK533" s="93">
        <f t="shared" si="29"/>
        <v>0</v>
      </c>
      <c r="AL533" s="93">
        <f t="shared" si="29"/>
        <v>0</v>
      </c>
      <c r="AM533" s="93">
        <f t="shared" si="29"/>
        <v>0</v>
      </c>
      <c r="AN533" s="93">
        <f t="shared" si="29"/>
        <v>0</v>
      </c>
      <c r="AO533" s="93">
        <f t="shared" si="29"/>
        <v>0</v>
      </c>
    </row>
    <row r="534" spans="1:41" ht="12.75" customHeight="1" x14ac:dyDescent="0.25">
      <c r="C534" s="768"/>
      <c r="D534" s="769"/>
      <c r="E534" s="101" t="s">
        <v>73</v>
      </c>
      <c r="F534" s="93">
        <f>F506</f>
        <v>38861395.859999999</v>
      </c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</row>
    <row r="535" spans="1:41" ht="12.75" customHeight="1" x14ac:dyDescent="0.25">
      <c r="C535" s="768"/>
      <c r="D535" s="769" t="s">
        <v>133</v>
      </c>
      <c r="E535" s="235" t="s">
        <v>70</v>
      </c>
      <c r="F535" s="236">
        <v>0</v>
      </c>
      <c r="G535" s="236">
        <v>0</v>
      </c>
      <c r="H535" s="236">
        <v>0</v>
      </c>
      <c r="I535" s="236">
        <v>0</v>
      </c>
      <c r="J535" s="236">
        <v>0</v>
      </c>
      <c r="K535" s="236">
        <v>0</v>
      </c>
      <c r="L535" s="236">
        <v>0</v>
      </c>
      <c r="M535" s="236">
        <v>0</v>
      </c>
      <c r="N535" s="236">
        <v>0</v>
      </c>
      <c r="O535" s="236">
        <v>0</v>
      </c>
      <c r="P535" s="236">
        <v>0</v>
      </c>
      <c r="Q535" s="236">
        <v>0</v>
      </c>
      <c r="R535" s="236">
        <v>0</v>
      </c>
      <c r="S535" s="236">
        <v>0</v>
      </c>
      <c r="T535" s="236">
        <v>0</v>
      </c>
      <c r="U535" s="236">
        <v>0</v>
      </c>
      <c r="V535" s="236">
        <v>0</v>
      </c>
      <c r="W535" s="236">
        <v>0</v>
      </c>
      <c r="X535" s="236">
        <v>0</v>
      </c>
      <c r="Y535" s="236">
        <v>0</v>
      </c>
      <c r="Z535" s="236">
        <v>0</v>
      </c>
      <c r="AA535" s="236">
        <v>0</v>
      </c>
      <c r="AB535" s="236">
        <v>0</v>
      </c>
      <c r="AC535" s="236">
        <v>0</v>
      </c>
      <c r="AD535" s="236">
        <v>0</v>
      </c>
      <c r="AE535" s="236">
        <v>0</v>
      </c>
      <c r="AF535" s="236">
        <v>0</v>
      </c>
      <c r="AG535" s="236">
        <v>0</v>
      </c>
      <c r="AH535" s="236">
        <v>0</v>
      </c>
      <c r="AI535" s="236">
        <v>0</v>
      </c>
      <c r="AJ535" s="236">
        <v>0</v>
      </c>
      <c r="AK535" s="236">
        <v>0</v>
      </c>
      <c r="AL535" s="236">
        <v>0</v>
      </c>
      <c r="AM535" s="236">
        <v>0</v>
      </c>
      <c r="AN535" s="236">
        <v>0</v>
      </c>
      <c r="AO535" s="236">
        <v>0</v>
      </c>
    </row>
    <row r="536" spans="1:41" ht="12.75" customHeight="1" x14ac:dyDescent="0.25">
      <c r="C536" s="768"/>
      <c r="D536" s="769"/>
      <c r="E536" s="235" t="s">
        <v>73</v>
      </c>
      <c r="F536" s="236">
        <v>0</v>
      </c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</row>
    <row r="537" spans="1:41" ht="12.75" customHeight="1" x14ac:dyDescent="0.25">
      <c r="A537" s="89"/>
      <c r="C537" s="97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</row>
    <row r="538" spans="1:41" ht="12.75" customHeight="1" x14ac:dyDescent="0.25">
      <c r="C538" s="770" t="s">
        <v>161</v>
      </c>
      <c r="D538" s="769" t="s">
        <v>132</v>
      </c>
      <c r="E538" s="231" t="s">
        <v>70</v>
      </c>
      <c r="F538" s="232">
        <v>0</v>
      </c>
      <c r="G538" s="232">
        <v>0</v>
      </c>
      <c r="H538" s="232">
        <v>0</v>
      </c>
      <c r="I538" s="232">
        <v>0</v>
      </c>
      <c r="J538" s="232">
        <v>0</v>
      </c>
      <c r="K538" s="232">
        <v>0</v>
      </c>
      <c r="L538" s="232">
        <v>0</v>
      </c>
      <c r="M538" s="232">
        <v>0</v>
      </c>
      <c r="N538" s="232">
        <v>0</v>
      </c>
      <c r="O538" s="232">
        <v>0</v>
      </c>
      <c r="P538" s="232">
        <v>0</v>
      </c>
      <c r="Q538" s="232">
        <v>0</v>
      </c>
      <c r="R538" s="232">
        <v>0</v>
      </c>
      <c r="S538" s="232">
        <v>0</v>
      </c>
      <c r="T538" s="232">
        <v>0</v>
      </c>
      <c r="U538" s="232"/>
      <c r="V538" s="232"/>
      <c r="W538" s="232"/>
      <c r="X538" s="232">
        <v>0</v>
      </c>
      <c r="Y538" s="232">
        <v>0</v>
      </c>
      <c r="Z538" s="232">
        <v>0</v>
      </c>
      <c r="AA538" s="232">
        <v>0</v>
      </c>
      <c r="AB538" s="232">
        <v>0</v>
      </c>
      <c r="AC538" s="232">
        <v>0</v>
      </c>
      <c r="AD538" s="232">
        <v>0</v>
      </c>
      <c r="AE538" s="232">
        <v>0</v>
      </c>
      <c r="AF538" s="232">
        <v>0</v>
      </c>
      <c r="AG538" s="232">
        <v>0</v>
      </c>
      <c r="AH538" s="232">
        <v>0</v>
      </c>
      <c r="AI538" s="232">
        <v>0</v>
      </c>
      <c r="AJ538" s="232">
        <v>0</v>
      </c>
      <c r="AK538" s="232">
        <v>0</v>
      </c>
      <c r="AL538" s="232">
        <v>0</v>
      </c>
      <c r="AM538" s="232">
        <v>0</v>
      </c>
      <c r="AN538" s="232">
        <v>0</v>
      </c>
      <c r="AO538" s="232">
        <v>0</v>
      </c>
    </row>
    <row r="539" spans="1:41" ht="12.75" customHeight="1" x14ac:dyDescent="0.25">
      <c r="C539" s="770"/>
      <c r="D539" s="769"/>
      <c r="E539" s="231" t="s">
        <v>73</v>
      </c>
      <c r="F539" s="232">
        <v>0</v>
      </c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</row>
    <row r="540" spans="1:41" ht="12.75" customHeight="1" x14ac:dyDescent="0.25">
      <c r="C540" s="770"/>
      <c r="E540" s="148" t="s">
        <v>70</v>
      </c>
      <c r="F540" s="149">
        <v>0</v>
      </c>
      <c r="G540" s="149">
        <v>0</v>
      </c>
      <c r="H540" s="149">
        <v>0</v>
      </c>
      <c r="I540" s="149">
        <v>0</v>
      </c>
      <c r="J540" s="149">
        <v>0</v>
      </c>
      <c r="K540" s="149">
        <v>0</v>
      </c>
      <c r="L540" s="149">
        <v>0</v>
      </c>
      <c r="M540" s="149">
        <v>0</v>
      </c>
      <c r="N540" s="149">
        <v>0</v>
      </c>
      <c r="O540" s="149">
        <v>0</v>
      </c>
      <c r="P540" s="149">
        <v>0</v>
      </c>
      <c r="Q540" s="149">
        <v>0</v>
      </c>
      <c r="R540" s="149">
        <v>0</v>
      </c>
      <c r="S540" s="149">
        <v>0</v>
      </c>
      <c r="T540" s="149">
        <v>0</v>
      </c>
      <c r="U540" s="149"/>
      <c r="V540" s="149"/>
      <c r="W540" s="149"/>
      <c r="X540" s="149">
        <v>0</v>
      </c>
      <c r="Y540" s="149">
        <v>0</v>
      </c>
      <c r="Z540" s="149">
        <v>0</v>
      </c>
      <c r="AA540" s="149">
        <v>0</v>
      </c>
    </row>
    <row r="541" spans="1:41" ht="12.75" customHeight="1" x14ac:dyDescent="0.25">
      <c r="C541" s="770"/>
      <c r="D541" s="220" t="s">
        <v>132</v>
      </c>
      <c r="E541" s="148" t="s">
        <v>73</v>
      </c>
      <c r="F541" s="149">
        <v>0</v>
      </c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</row>
    <row r="542" spans="1:41" ht="12.75" customHeight="1" x14ac:dyDescent="0.25">
      <c r="C542" s="390"/>
      <c r="D542" s="220"/>
      <c r="E542" s="89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</row>
    <row r="543" spans="1:41" ht="12.75" customHeight="1" x14ac:dyDescent="0.25">
      <c r="D543" s="460" t="s">
        <v>185</v>
      </c>
      <c r="E543" s="461" t="s">
        <v>70</v>
      </c>
      <c r="F543" s="462">
        <v>0</v>
      </c>
      <c r="G543" s="462">
        <v>0</v>
      </c>
      <c r="H543" s="462">
        <v>0</v>
      </c>
      <c r="I543" s="462">
        <v>0</v>
      </c>
      <c r="J543" s="462">
        <v>0</v>
      </c>
      <c r="K543" s="462">
        <v>0</v>
      </c>
      <c r="L543" s="462">
        <v>0</v>
      </c>
      <c r="M543" s="462">
        <v>0</v>
      </c>
      <c r="N543" s="462">
        <v>0</v>
      </c>
      <c r="O543" s="462">
        <v>0</v>
      </c>
      <c r="P543" s="462">
        <v>0</v>
      </c>
      <c r="Q543" s="462">
        <v>0</v>
      </c>
      <c r="R543" s="462">
        <v>0</v>
      </c>
      <c r="S543" s="462">
        <v>0</v>
      </c>
      <c r="T543" s="462">
        <v>0</v>
      </c>
      <c r="U543" s="462">
        <v>0</v>
      </c>
      <c r="V543" s="462">
        <v>0</v>
      </c>
      <c r="W543" s="462">
        <v>0</v>
      </c>
      <c r="X543" s="462">
        <v>0</v>
      </c>
      <c r="Y543" s="462">
        <v>0</v>
      </c>
      <c r="Z543" s="462">
        <v>0</v>
      </c>
      <c r="AA543" s="462">
        <v>0</v>
      </c>
    </row>
    <row r="544" spans="1:41" ht="12.75" customHeight="1" x14ac:dyDescent="0.25">
      <c r="C544" s="390"/>
      <c r="D544" s="220"/>
      <c r="E544" s="89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</row>
    <row r="545" spans="4:17" s="238" customFormat="1" ht="12.75" customHeight="1" x14ac:dyDescent="0.25">
      <c r="D545" s="239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</row>
  </sheetData>
  <mergeCells count="87">
    <mergeCell ref="D530:D531"/>
    <mergeCell ref="C464:C467"/>
    <mergeCell ref="C444:C447"/>
    <mergeCell ref="D444:D445"/>
    <mergeCell ref="D446:D447"/>
    <mergeCell ref="C449:C452"/>
    <mergeCell ref="D449:D450"/>
    <mergeCell ref="D451:D452"/>
    <mergeCell ref="C459:C462"/>
    <mergeCell ref="D459:D460"/>
    <mergeCell ref="D461:D462"/>
    <mergeCell ref="D464:D465"/>
    <mergeCell ref="C454:C457"/>
    <mergeCell ref="D454:D455"/>
    <mergeCell ref="D456:D457"/>
    <mergeCell ref="C439:C442"/>
    <mergeCell ref="D439:D440"/>
    <mergeCell ref="D441:D442"/>
    <mergeCell ref="C324:C327"/>
    <mergeCell ref="D324:D325"/>
    <mergeCell ref="D326:D327"/>
    <mergeCell ref="C329:C332"/>
    <mergeCell ref="D329:D330"/>
    <mergeCell ref="D331:D332"/>
    <mergeCell ref="C339:C342"/>
    <mergeCell ref="D339:D340"/>
    <mergeCell ref="D341:D342"/>
    <mergeCell ref="C344:C347"/>
    <mergeCell ref="D344:D345"/>
    <mergeCell ref="D346:D347"/>
    <mergeCell ref="C334:C337"/>
    <mergeCell ref="D80:D81"/>
    <mergeCell ref="C63:C66"/>
    <mergeCell ref="C68:C71"/>
    <mergeCell ref="D198:D199"/>
    <mergeCell ref="C58:C61"/>
    <mergeCell ref="D58:D59"/>
    <mergeCell ref="D60:D61"/>
    <mergeCell ref="C78:C81"/>
    <mergeCell ref="D63:D64"/>
    <mergeCell ref="D65:D66"/>
    <mergeCell ref="D68:D69"/>
    <mergeCell ref="D70:D71"/>
    <mergeCell ref="D78:D79"/>
    <mergeCell ref="C73:C76"/>
    <mergeCell ref="D73:D74"/>
    <mergeCell ref="D75:D76"/>
    <mergeCell ref="D203:D204"/>
    <mergeCell ref="D213:D214"/>
    <mergeCell ref="C83:C86"/>
    <mergeCell ref="D83:D84"/>
    <mergeCell ref="D85:D86"/>
    <mergeCell ref="C191:C194"/>
    <mergeCell ref="D191:D192"/>
    <mergeCell ref="D193:D194"/>
    <mergeCell ref="C196:C199"/>
    <mergeCell ref="D196:D197"/>
    <mergeCell ref="D201:D202"/>
    <mergeCell ref="C201:C204"/>
    <mergeCell ref="C211:C214"/>
    <mergeCell ref="D211:D212"/>
    <mergeCell ref="C538:C541"/>
    <mergeCell ref="C513:C516"/>
    <mergeCell ref="D513:D514"/>
    <mergeCell ref="D515:D516"/>
    <mergeCell ref="C518:C521"/>
    <mergeCell ref="D518:D519"/>
    <mergeCell ref="D520:D521"/>
    <mergeCell ref="C523:C526"/>
    <mergeCell ref="D523:D524"/>
    <mergeCell ref="D525:D526"/>
    <mergeCell ref="C533:C536"/>
    <mergeCell ref="D533:D534"/>
    <mergeCell ref="D535:D536"/>
    <mergeCell ref="D538:D539"/>
    <mergeCell ref="C528:C531"/>
    <mergeCell ref="D528:D529"/>
    <mergeCell ref="D334:D335"/>
    <mergeCell ref="D336:D337"/>
    <mergeCell ref="C206:C209"/>
    <mergeCell ref="D206:D207"/>
    <mergeCell ref="D208:D209"/>
    <mergeCell ref="C216:C219"/>
    <mergeCell ref="D216:D217"/>
    <mergeCell ref="C319:C322"/>
    <mergeCell ref="D319:D320"/>
    <mergeCell ref="D321:D32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43"/>
  <sheetViews>
    <sheetView tabSelected="1" zoomScale="70" zoomScaleNormal="70" workbookViewId="0">
      <pane ySplit="2" topLeftCell="A66" activePane="bottomLeft" state="frozen"/>
      <selection activeCell="A6" sqref="A6"/>
      <selection pane="bottomLeft" activeCell="E149" sqref="E149"/>
    </sheetView>
  </sheetViews>
  <sheetFormatPr baseColWidth="10" defaultRowHeight="13.2" x14ac:dyDescent="0.25"/>
  <cols>
    <col min="2" max="2" width="22.44140625" bestFit="1" customWidth="1"/>
    <col min="3" max="3" width="18.77734375" customWidth="1"/>
    <col min="4" max="4" width="23.21875" bestFit="1" customWidth="1"/>
    <col min="5" max="5" width="15.21875" bestFit="1" customWidth="1"/>
    <col min="6" max="6" width="15.44140625" bestFit="1" customWidth="1"/>
    <col min="7" max="8" width="16.21875" bestFit="1" customWidth="1"/>
    <col min="9" max="9" width="15.218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218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6" t="s">
        <v>224</v>
      </c>
    </row>
    <row r="3" spans="2:18" ht="12.75" customHeight="1" x14ac:dyDescent="0.25">
      <c r="D3" t="s">
        <v>72</v>
      </c>
      <c r="E3" s="386">
        <v>28276857.719999999</v>
      </c>
      <c r="F3" s="89">
        <v>1878439.33</v>
      </c>
      <c r="G3" s="89">
        <v>985949.48</v>
      </c>
      <c r="H3" s="386">
        <v>400118.84</v>
      </c>
      <c r="I3" s="89">
        <v>6330266.8799999999</v>
      </c>
      <c r="J3" s="89">
        <v>223633.39</v>
      </c>
      <c r="K3" s="89">
        <v>0</v>
      </c>
      <c r="L3" s="89">
        <v>2828219.29</v>
      </c>
      <c r="M3" s="89">
        <v>1761600.24</v>
      </c>
      <c r="N3" s="89">
        <v>8194935.46</v>
      </c>
      <c r="O3" s="89">
        <v>5327754.16</v>
      </c>
      <c r="P3" s="89">
        <v>345780.7</v>
      </c>
      <c r="Q3" s="89">
        <v>159.94999999999999</v>
      </c>
      <c r="R3">
        <v>0</v>
      </c>
    </row>
    <row r="4" spans="2:18" ht="12.75" customHeight="1" x14ac:dyDescent="0.25">
      <c r="D4" t="s">
        <v>81</v>
      </c>
      <c r="E4">
        <v>4361.05</v>
      </c>
      <c r="F4">
        <v>174.89</v>
      </c>
      <c r="G4">
        <v>94.31</v>
      </c>
      <c r="H4">
        <v>51.05</v>
      </c>
      <c r="I4">
        <v>867.88</v>
      </c>
      <c r="J4">
        <v>42.71</v>
      </c>
      <c r="K4">
        <v>0</v>
      </c>
      <c r="L4">
        <v>386.27</v>
      </c>
      <c r="M4">
        <v>363.74</v>
      </c>
      <c r="N4">
        <v>1826.85</v>
      </c>
      <c r="O4">
        <v>483.6</v>
      </c>
      <c r="P4">
        <v>69.650000000000006</v>
      </c>
      <c r="Q4">
        <v>0.1</v>
      </c>
      <c r="R4">
        <v>0</v>
      </c>
    </row>
    <row r="5" spans="2:18" ht="12.75" customHeight="1" x14ac:dyDescent="0.25">
      <c r="C5" t="s">
        <v>156</v>
      </c>
      <c r="D5" t="s">
        <v>70</v>
      </c>
      <c r="E5">
        <v>28281218.77</v>
      </c>
      <c r="F5">
        <v>1878614.22</v>
      </c>
      <c r="G5">
        <v>986043.79</v>
      </c>
      <c r="H5">
        <v>400169.89</v>
      </c>
      <c r="I5">
        <v>6331134.7599999998</v>
      </c>
      <c r="J5">
        <v>223676.1</v>
      </c>
      <c r="K5">
        <v>0</v>
      </c>
      <c r="L5">
        <v>2828605.56</v>
      </c>
      <c r="M5">
        <v>1761963.98</v>
      </c>
      <c r="N5">
        <v>8196762.3099999996</v>
      </c>
      <c r="O5">
        <v>5328237.76</v>
      </c>
      <c r="P5">
        <v>345850.35</v>
      </c>
      <c r="Q5">
        <v>160.05000000000001</v>
      </c>
      <c r="R5">
        <v>0</v>
      </c>
    </row>
    <row r="6" spans="2:18" s="288" customFormat="1" ht="12.75" customHeight="1" x14ac:dyDescent="0.25">
      <c r="B6" s="288" t="s">
        <v>155</v>
      </c>
      <c r="C6" s="288" t="s">
        <v>70</v>
      </c>
      <c r="E6" s="288">
        <v>28281218.77</v>
      </c>
      <c r="F6" s="288">
        <v>1878614.22</v>
      </c>
      <c r="G6" s="288">
        <v>986043.79</v>
      </c>
      <c r="H6" s="288">
        <v>400169.89</v>
      </c>
      <c r="I6" s="288">
        <v>6331134.7599999998</v>
      </c>
      <c r="J6" s="288">
        <v>223676.1</v>
      </c>
      <c r="K6" s="288">
        <v>0</v>
      </c>
      <c r="L6" s="288">
        <v>2828605.56</v>
      </c>
      <c r="M6" s="288">
        <v>1761963.98</v>
      </c>
      <c r="N6" s="288">
        <v>8196762.3099999996</v>
      </c>
      <c r="O6" s="288">
        <v>5328237.76</v>
      </c>
      <c r="P6" s="288">
        <v>345850.35</v>
      </c>
      <c r="Q6" s="288">
        <v>160.05000000000001</v>
      </c>
      <c r="R6" s="288">
        <v>0</v>
      </c>
    </row>
    <row r="7" spans="2:18" ht="12.75" customHeight="1" x14ac:dyDescent="0.25">
      <c r="B7" s="142"/>
      <c r="D7" t="s">
        <v>72</v>
      </c>
      <c r="E7" s="142">
        <v>603814.81000000006</v>
      </c>
      <c r="F7">
        <v>22956.62</v>
      </c>
      <c r="G7">
        <v>13137.59</v>
      </c>
      <c r="H7">
        <v>7524.92</v>
      </c>
      <c r="I7">
        <v>152984.35999999999</v>
      </c>
      <c r="J7">
        <v>6128.32</v>
      </c>
      <c r="K7">
        <v>0</v>
      </c>
      <c r="L7">
        <v>63509.52</v>
      </c>
      <c r="M7">
        <v>47408.1</v>
      </c>
      <c r="N7">
        <v>220781.98</v>
      </c>
      <c r="O7">
        <v>58741.120000000003</v>
      </c>
      <c r="P7">
        <v>10623.64</v>
      </c>
      <c r="Q7">
        <v>18.64</v>
      </c>
      <c r="R7">
        <v>0</v>
      </c>
    </row>
    <row r="8" spans="2:18" ht="12.75" customHeight="1" x14ac:dyDescent="0.25">
      <c r="B8" s="142"/>
      <c r="D8" t="s">
        <v>81</v>
      </c>
      <c r="E8" s="142">
        <v>360.62</v>
      </c>
      <c r="F8">
        <v>3.45</v>
      </c>
      <c r="G8">
        <v>1.78</v>
      </c>
      <c r="H8">
        <v>0.98</v>
      </c>
      <c r="I8">
        <v>52.98</v>
      </c>
      <c r="J8">
        <v>5.18</v>
      </c>
      <c r="K8">
        <v>0</v>
      </c>
      <c r="L8">
        <v>45.52</v>
      </c>
      <c r="M8">
        <v>41</v>
      </c>
      <c r="N8">
        <v>191.87</v>
      </c>
      <c r="O8">
        <v>9.4</v>
      </c>
      <c r="P8">
        <v>8.4600000000000009</v>
      </c>
      <c r="Q8">
        <v>0</v>
      </c>
      <c r="R8">
        <v>0</v>
      </c>
    </row>
    <row r="9" spans="2:18" ht="12.75" customHeight="1" x14ac:dyDescent="0.25">
      <c r="B9" s="142"/>
      <c r="C9" t="s">
        <v>82</v>
      </c>
      <c r="D9" t="s">
        <v>70</v>
      </c>
      <c r="E9" s="142">
        <v>604175.43000000005</v>
      </c>
      <c r="F9">
        <v>22960.07</v>
      </c>
      <c r="G9">
        <v>13139.37</v>
      </c>
      <c r="H9">
        <v>7525.9</v>
      </c>
      <c r="I9">
        <v>153037.34</v>
      </c>
      <c r="J9">
        <v>6133.5</v>
      </c>
      <c r="K9">
        <v>0</v>
      </c>
      <c r="L9">
        <v>63555.040000000001</v>
      </c>
      <c r="M9">
        <v>47449.1</v>
      </c>
      <c r="N9">
        <v>220973.85</v>
      </c>
      <c r="O9">
        <v>58750.52</v>
      </c>
      <c r="P9">
        <v>10632.1</v>
      </c>
      <c r="Q9">
        <v>18.64</v>
      </c>
      <c r="R9">
        <v>0</v>
      </c>
    </row>
    <row r="10" spans="2:18" ht="12.75" customHeight="1" x14ac:dyDescent="0.25">
      <c r="B10" s="142"/>
      <c r="D10" t="s">
        <v>72</v>
      </c>
      <c r="E10">
        <v>448565.61</v>
      </c>
      <c r="F10">
        <v>11179.62</v>
      </c>
      <c r="G10">
        <v>6229.22</v>
      </c>
      <c r="H10">
        <v>3290.21</v>
      </c>
      <c r="I10">
        <v>128320.56</v>
      </c>
      <c r="J10">
        <v>16086.84</v>
      </c>
      <c r="K10">
        <v>0</v>
      </c>
      <c r="L10">
        <v>61274.39</v>
      </c>
      <c r="M10">
        <v>33671.14</v>
      </c>
      <c r="N10">
        <v>131140.71</v>
      </c>
      <c r="O10">
        <v>34633.760000000002</v>
      </c>
      <c r="P10">
        <v>22652.26</v>
      </c>
      <c r="Q10">
        <v>86.9</v>
      </c>
      <c r="R10">
        <v>0</v>
      </c>
    </row>
    <row r="11" spans="2:18" ht="12.75" customHeight="1" x14ac:dyDescent="0.25">
      <c r="B11" s="142"/>
      <c r="D11" t="s">
        <v>81</v>
      </c>
      <c r="E11" s="142">
        <v>11.93</v>
      </c>
      <c r="F11">
        <v>0.08</v>
      </c>
      <c r="G11">
        <v>0.04</v>
      </c>
      <c r="H11">
        <v>0.02</v>
      </c>
      <c r="I11">
        <v>-0.02</v>
      </c>
      <c r="J11">
        <v>0.2</v>
      </c>
      <c r="K11">
        <v>0</v>
      </c>
      <c r="L11">
        <v>1.72</v>
      </c>
      <c r="M11">
        <v>1.64</v>
      </c>
      <c r="N11">
        <v>7.71</v>
      </c>
      <c r="O11">
        <v>0.22</v>
      </c>
      <c r="P11">
        <v>0.32</v>
      </c>
      <c r="Q11">
        <v>0</v>
      </c>
      <c r="R11">
        <v>0</v>
      </c>
    </row>
    <row r="12" spans="2:18" ht="12.75" customHeight="1" x14ac:dyDescent="0.25">
      <c r="B12" s="142"/>
      <c r="C12" t="s">
        <v>86</v>
      </c>
      <c r="D12" t="s">
        <v>70</v>
      </c>
      <c r="E12" s="142">
        <v>448577.54</v>
      </c>
      <c r="F12">
        <v>11179.7</v>
      </c>
      <c r="G12">
        <v>6229.26</v>
      </c>
      <c r="H12">
        <v>3290.23</v>
      </c>
      <c r="I12">
        <v>128320.54</v>
      </c>
      <c r="J12">
        <v>16087.04</v>
      </c>
      <c r="K12">
        <v>0</v>
      </c>
      <c r="L12">
        <v>61276.11</v>
      </c>
      <c r="M12">
        <v>33672.78</v>
      </c>
      <c r="N12">
        <v>131148.42000000001</v>
      </c>
      <c r="O12">
        <v>34633.980000000003</v>
      </c>
      <c r="P12">
        <v>22652.58</v>
      </c>
      <c r="Q12">
        <v>86.9</v>
      </c>
      <c r="R12">
        <v>0</v>
      </c>
    </row>
    <row r="13" spans="2:18" ht="12.75" customHeight="1" x14ac:dyDescent="0.25">
      <c r="B13" s="142"/>
      <c r="D13" t="s">
        <v>72</v>
      </c>
      <c r="E13" s="142">
        <v>1942713.63</v>
      </c>
      <c r="F13">
        <v>100160.14</v>
      </c>
      <c r="G13">
        <v>100233.78</v>
      </c>
      <c r="H13">
        <v>28448.06</v>
      </c>
      <c r="I13">
        <v>472285.73</v>
      </c>
      <c r="J13">
        <v>14554.76</v>
      </c>
      <c r="K13">
        <v>0</v>
      </c>
      <c r="L13">
        <v>137745.26999999999</v>
      </c>
      <c r="M13">
        <v>129582.14</v>
      </c>
      <c r="N13">
        <v>604849.23</v>
      </c>
      <c r="O13">
        <v>331094.18</v>
      </c>
      <c r="P13">
        <v>23746.959999999999</v>
      </c>
      <c r="Q13">
        <v>13.38</v>
      </c>
      <c r="R13">
        <v>0</v>
      </c>
    </row>
    <row r="14" spans="2:18" ht="12.75" customHeight="1" x14ac:dyDescent="0.25">
      <c r="B14" s="142"/>
      <c r="D14" t="s">
        <v>81</v>
      </c>
      <c r="E14" s="142">
        <v>57.05</v>
      </c>
      <c r="F14">
        <v>3.33</v>
      </c>
      <c r="G14">
        <v>1.86</v>
      </c>
      <c r="H14">
        <v>0.99</v>
      </c>
      <c r="I14">
        <v>12.38</v>
      </c>
      <c r="J14">
        <v>0.53</v>
      </c>
      <c r="K14">
        <v>0</v>
      </c>
      <c r="L14">
        <v>4.57</v>
      </c>
      <c r="M14">
        <v>4.38</v>
      </c>
      <c r="N14">
        <v>19.07</v>
      </c>
      <c r="O14">
        <v>9.09</v>
      </c>
      <c r="P14">
        <v>0.85</v>
      </c>
      <c r="Q14">
        <v>0</v>
      </c>
      <c r="R14">
        <v>0</v>
      </c>
    </row>
    <row r="15" spans="2:18" ht="12.75" customHeight="1" x14ac:dyDescent="0.25">
      <c r="B15" s="142"/>
      <c r="C15" s="89" t="s">
        <v>87</v>
      </c>
      <c r="D15" s="89" t="s">
        <v>70</v>
      </c>
      <c r="E15" s="90">
        <v>1942770.68</v>
      </c>
      <c r="F15" s="90">
        <v>100163.47</v>
      </c>
      <c r="G15" s="90">
        <v>100235.64</v>
      </c>
      <c r="H15" s="90">
        <v>28449.05</v>
      </c>
      <c r="I15" s="90">
        <v>472298.11</v>
      </c>
      <c r="J15" s="90">
        <v>14555.29</v>
      </c>
      <c r="K15" s="90">
        <v>0</v>
      </c>
      <c r="L15" s="90">
        <v>137749.84</v>
      </c>
      <c r="M15" s="90">
        <v>129586.52</v>
      </c>
      <c r="N15" s="90">
        <v>604868.30000000005</v>
      </c>
      <c r="O15" s="90">
        <v>331103.27</v>
      </c>
      <c r="P15" s="90">
        <v>23747.81</v>
      </c>
      <c r="Q15" s="90">
        <v>13.38</v>
      </c>
      <c r="R15">
        <v>0</v>
      </c>
    </row>
    <row r="16" spans="2:18" s="94" customFormat="1" ht="12.75" customHeight="1" x14ac:dyDescent="0.25">
      <c r="B16" s="101" t="s">
        <v>119</v>
      </c>
      <c r="C16" s="101" t="s">
        <v>70</v>
      </c>
      <c r="E16" s="93">
        <v>2995523.65</v>
      </c>
      <c r="F16" s="93">
        <v>134303.24</v>
      </c>
      <c r="G16" s="93">
        <v>119604.27</v>
      </c>
      <c r="H16" s="93">
        <v>39265.18</v>
      </c>
      <c r="I16" s="93">
        <v>753655.99</v>
      </c>
      <c r="J16" s="93">
        <v>36775.83</v>
      </c>
      <c r="K16" s="93">
        <v>0</v>
      </c>
      <c r="L16" s="93">
        <v>262580.99</v>
      </c>
      <c r="M16" s="93">
        <v>210708.4</v>
      </c>
      <c r="N16" s="93">
        <v>956990.57</v>
      </c>
      <c r="O16" s="93">
        <v>424487.77</v>
      </c>
      <c r="P16" s="93">
        <v>57032.49</v>
      </c>
      <c r="Q16" s="93">
        <v>118.92</v>
      </c>
      <c r="R16" s="94">
        <v>0</v>
      </c>
    </row>
    <row r="17" spans="1:18" s="226" customFormat="1" ht="12.75" customHeight="1" x14ac:dyDescent="0.25">
      <c r="A17" s="98" t="s">
        <v>78</v>
      </c>
      <c r="B17" s="98" t="s">
        <v>70</v>
      </c>
      <c r="E17" s="100">
        <v>31276742.420000002</v>
      </c>
      <c r="F17" s="100">
        <v>2012917.46</v>
      </c>
      <c r="G17" s="100">
        <v>1105648.06</v>
      </c>
      <c r="H17" s="100">
        <v>439435.07</v>
      </c>
      <c r="I17" s="100">
        <v>7084790.75</v>
      </c>
      <c r="J17" s="100">
        <v>260451.93</v>
      </c>
      <c r="K17" s="100">
        <v>0</v>
      </c>
      <c r="L17" s="100">
        <v>3091186.55</v>
      </c>
      <c r="M17" s="100">
        <v>1972672.38</v>
      </c>
      <c r="N17" s="100">
        <v>9153752.8800000008</v>
      </c>
      <c r="O17" s="100">
        <v>5752725.5300000003</v>
      </c>
      <c r="P17" s="100">
        <v>402882.84</v>
      </c>
      <c r="Q17" s="100">
        <v>278.97000000000003</v>
      </c>
      <c r="R17" s="226">
        <v>0</v>
      </c>
    </row>
    <row r="18" spans="1:18" ht="12.75" customHeight="1" x14ac:dyDescent="0.25">
      <c r="D18" s="89" t="s">
        <v>73</v>
      </c>
      <c r="E18" s="373">
        <v>-1549869.38</v>
      </c>
      <c r="F18" s="90">
        <v>185823.17</v>
      </c>
      <c r="G18" s="90">
        <v>103275.64</v>
      </c>
      <c r="H18" s="90">
        <v>53808.19</v>
      </c>
      <c r="I18" s="90">
        <v>-1128778.21</v>
      </c>
      <c r="J18" s="90">
        <v>-31133.11</v>
      </c>
      <c r="K18" s="90">
        <v>0</v>
      </c>
      <c r="L18" s="90">
        <v>-258857.59</v>
      </c>
      <c r="M18" s="90">
        <v>-225710.03</v>
      </c>
      <c r="N18" s="90">
        <v>-698982.91</v>
      </c>
      <c r="O18" s="90">
        <v>501335.93</v>
      </c>
      <c r="P18" s="90">
        <v>-50650.46</v>
      </c>
      <c r="Q18" s="90">
        <v>0</v>
      </c>
      <c r="R18">
        <v>0</v>
      </c>
    </row>
    <row r="19" spans="1:18" ht="12.75" customHeight="1" x14ac:dyDescent="0.25">
      <c r="C19" s="89" t="s">
        <v>156</v>
      </c>
      <c r="D19" s="89" t="s">
        <v>70</v>
      </c>
      <c r="E19" s="90">
        <v>-1549869.38</v>
      </c>
      <c r="F19" s="90">
        <v>185823.17</v>
      </c>
      <c r="G19" s="90">
        <v>103275.64</v>
      </c>
      <c r="H19" s="90">
        <v>53808.19</v>
      </c>
      <c r="I19" s="90">
        <v>-1128778.21</v>
      </c>
      <c r="J19" s="90">
        <v>-31133.11</v>
      </c>
      <c r="K19" s="90">
        <v>0</v>
      </c>
      <c r="L19" s="90">
        <v>-258857.59</v>
      </c>
      <c r="M19" s="90">
        <v>-225710.03</v>
      </c>
      <c r="N19" s="90">
        <v>-698982.91</v>
      </c>
      <c r="O19" s="90">
        <v>501335.93</v>
      </c>
      <c r="P19" s="90">
        <v>-50650.46</v>
      </c>
      <c r="Q19" s="90">
        <v>0</v>
      </c>
      <c r="R19">
        <v>0</v>
      </c>
    </row>
    <row r="20" spans="1:18" s="288" customFormat="1" ht="12.75" customHeight="1" x14ac:dyDescent="0.25">
      <c r="B20" s="288" t="s">
        <v>155</v>
      </c>
      <c r="C20" s="288" t="s">
        <v>70</v>
      </c>
      <c r="E20" s="288">
        <v>-1549869.38</v>
      </c>
      <c r="F20" s="288">
        <v>185823.17</v>
      </c>
      <c r="G20" s="288">
        <v>103275.64</v>
      </c>
      <c r="H20" s="288">
        <v>53808.19</v>
      </c>
      <c r="I20" s="288">
        <v>-1128778.21</v>
      </c>
      <c r="J20" s="288">
        <v>-31133.11</v>
      </c>
      <c r="K20" s="288">
        <v>0</v>
      </c>
      <c r="L20" s="288">
        <v>-258857.59</v>
      </c>
      <c r="M20" s="288">
        <v>-225710.03</v>
      </c>
      <c r="N20" s="288">
        <v>-698982.91</v>
      </c>
      <c r="O20" s="288">
        <v>501335.93</v>
      </c>
      <c r="P20" s="288">
        <v>-50650.46</v>
      </c>
      <c r="Q20" s="288">
        <v>0</v>
      </c>
      <c r="R20" s="288">
        <v>0</v>
      </c>
    </row>
    <row r="21" spans="1:18" ht="12.75" customHeight="1" x14ac:dyDescent="0.25">
      <c r="D21" s="89" t="s">
        <v>73</v>
      </c>
      <c r="E21" s="373">
        <v>111513.88</v>
      </c>
      <c r="F21" s="90">
        <v>6336.61</v>
      </c>
      <c r="G21" s="90">
        <v>2760.73</v>
      </c>
      <c r="H21" s="90">
        <v>1928.26</v>
      </c>
      <c r="I21" s="90">
        <v>26391.68</v>
      </c>
      <c r="J21" s="90">
        <v>1378.86</v>
      </c>
      <c r="K21" s="90">
        <v>0</v>
      </c>
      <c r="L21" s="90">
        <v>10415.459999999999</v>
      </c>
      <c r="M21" s="90">
        <v>9797.65</v>
      </c>
      <c r="N21" s="90">
        <v>32948.04</v>
      </c>
      <c r="O21" s="90">
        <v>17306.89</v>
      </c>
      <c r="P21" s="90">
        <v>2249.6999999999998</v>
      </c>
      <c r="Q21" s="90">
        <v>0</v>
      </c>
      <c r="R21">
        <v>0</v>
      </c>
    </row>
    <row r="22" spans="1:18" ht="12.75" customHeight="1" x14ac:dyDescent="0.25">
      <c r="C22" s="89" t="s">
        <v>82</v>
      </c>
      <c r="D22" s="89" t="s">
        <v>70</v>
      </c>
      <c r="E22" s="90">
        <v>111513.88</v>
      </c>
      <c r="F22" s="90">
        <v>6336.61</v>
      </c>
      <c r="G22" s="90">
        <v>2760.73</v>
      </c>
      <c r="H22" s="90">
        <v>1928.26</v>
      </c>
      <c r="I22" s="90">
        <v>26391.68</v>
      </c>
      <c r="J22" s="90">
        <v>1378.86</v>
      </c>
      <c r="K22" s="90">
        <v>0</v>
      </c>
      <c r="L22" s="90">
        <v>10415.459999999999</v>
      </c>
      <c r="M22" s="90">
        <v>9797.65</v>
      </c>
      <c r="N22" s="90">
        <v>32948.04</v>
      </c>
      <c r="O22" s="90">
        <v>17306.89</v>
      </c>
      <c r="P22" s="90">
        <v>2249.6999999999998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95516.58</v>
      </c>
      <c r="F23" s="90">
        <v>4186.32</v>
      </c>
      <c r="G23" s="90">
        <v>2332.6</v>
      </c>
      <c r="H23" s="90">
        <v>1240.5999999999999</v>
      </c>
      <c r="I23" s="90">
        <v>21396.66</v>
      </c>
      <c r="J23" s="90">
        <v>900.1</v>
      </c>
      <c r="K23" s="90">
        <v>0</v>
      </c>
      <c r="L23" s="90">
        <v>7895.59</v>
      </c>
      <c r="M23" s="90">
        <v>5846.99</v>
      </c>
      <c r="N23" s="90">
        <v>38815.29</v>
      </c>
      <c r="O23" s="90">
        <v>11433.88</v>
      </c>
      <c r="P23" s="90">
        <v>1468.55</v>
      </c>
      <c r="Q23" s="90">
        <v>0</v>
      </c>
      <c r="R23">
        <v>0</v>
      </c>
    </row>
    <row r="24" spans="1:18" ht="12.75" customHeight="1" x14ac:dyDescent="0.25">
      <c r="C24" s="89" t="s">
        <v>86</v>
      </c>
      <c r="D24" s="89" t="s">
        <v>70</v>
      </c>
      <c r="E24" s="90">
        <v>95516.58</v>
      </c>
      <c r="F24" s="90">
        <v>4186.32</v>
      </c>
      <c r="G24" s="90">
        <v>2332.6</v>
      </c>
      <c r="H24" s="90">
        <v>1240.5999999999999</v>
      </c>
      <c r="I24" s="90">
        <v>21396.66</v>
      </c>
      <c r="J24" s="90">
        <v>900.1</v>
      </c>
      <c r="K24" s="90">
        <v>0</v>
      </c>
      <c r="L24" s="90">
        <v>7895.59</v>
      </c>
      <c r="M24" s="90">
        <v>5846.99</v>
      </c>
      <c r="N24" s="90">
        <v>38815.29</v>
      </c>
      <c r="O24" s="90">
        <v>11433.88</v>
      </c>
      <c r="P24" s="90">
        <v>1468.55</v>
      </c>
      <c r="Q24" s="90">
        <v>0</v>
      </c>
      <c r="R24">
        <v>0</v>
      </c>
    </row>
    <row r="25" spans="1:18" ht="12.75" customHeight="1" x14ac:dyDescent="0.25">
      <c r="D25" s="89" t="s">
        <v>73</v>
      </c>
      <c r="E25" s="90">
        <v>654167.52</v>
      </c>
      <c r="F25" s="90">
        <v>41222.620000000003</v>
      </c>
      <c r="G25" s="90">
        <v>22968.959999999999</v>
      </c>
      <c r="H25" s="90">
        <v>12216.06</v>
      </c>
      <c r="I25" s="90">
        <v>166867.65</v>
      </c>
      <c r="J25" s="90">
        <v>4462.16</v>
      </c>
      <c r="K25" s="90">
        <v>0</v>
      </c>
      <c r="L25" s="90">
        <v>47541.46</v>
      </c>
      <c r="M25" s="90">
        <v>44721.58</v>
      </c>
      <c r="N25" s="90">
        <v>194297.55</v>
      </c>
      <c r="O25" s="90">
        <v>112589.19</v>
      </c>
      <c r="P25" s="90">
        <v>7280.29</v>
      </c>
      <c r="Q25" s="90">
        <v>0</v>
      </c>
      <c r="R25">
        <v>0</v>
      </c>
    </row>
    <row r="26" spans="1:18" ht="12.75" customHeight="1" x14ac:dyDescent="0.25">
      <c r="C26" s="89" t="s">
        <v>87</v>
      </c>
      <c r="D26" s="89" t="s">
        <v>70</v>
      </c>
      <c r="E26" s="90">
        <v>654167.52</v>
      </c>
      <c r="F26" s="90">
        <v>41222.620000000003</v>
      </c>
      <c r="G26" s="90">
        <v>22968.959999999999</v>
      </c>
      <c r="H26" s="90">
        <v>12216.06</v>
      </c>
      <c r="I26" s="90">
        <v>166867.65</v>
      </c>
      <c r="J26" s="90">
        <v>4462.16</v>
      </c>
      <c r="K26" s="90">
        <v>0</v>
      </c>
      <c r="L26" s="90">
        <v>47541.46</v>
      </c>
      <c r="M26" s="90">
        <v>44721.58</v>
      </c>
      <c r="N26" s="90">
        <v>194297.55</v>
      </c>
      <c r="O26" s="90">
        <v>112589.19</v>
      </c>
      <c r="P26" s="90">
        <v>7280.29</v>
      </c>
      <c r="Q26" s="90">
        <v>0</v>
      </c>
      <c r="R26">
        <v>0</v>
      </c>
    </row>
    <row r="27" spans="1:18" s="94" customFormat="1" ht="12.75" customHeight="1" x14ac:dyDescent="0.25">
      <c r="B27" s="101" t="s">
        <v>119</v>
      </c>
      <c r="C27" s="101" t="s">
        <v>70</v>
      </c>
      <c r="E27" s="93">
        <v>861197.98</v>
      </c>
      <c r="F27" s="93">
        <v>51745.55</v>
      </c>
      <c r="G27" s="93">
        <v>28062.29</v>
      </c>
      <c r="H27" s="93">
        <v>15384.92</v>
      </c>
      <c r="I27" s="93">
        <v>214655.99</v>
      </c>
      <c r="J27" s="93">
        <v>6741.12</v>
      </c>
      <c r="K27" s="93">
        <v>0</v>
      </c>
      <c r="L27" s="93">
        <v>65852.509999999995</v>
      </c>
      <c r="M27" s="93">
        <v>60366.22</v>
      </c>
      <c r="N27" s="93">
        <v>266060.88</v>
      </c>
      <c r="O27" s="93">
        <v>141329.96</v>
      </c>
      <c r="P27" s="93">
        <v>10998.54</v>
      </c>
      <c r="Q27" s="93">
        <v>0</v>
      </c>
      <c r="R27" s="94">
        <v>0</v>
      </c>
    </row>
    <row r="28" spans="1:18" s="226" customFormat="1" ht="12.75" customHeight="1" x14ac:dyDescent="0.25">
      <c r="A28" s="98" t="s">
        <v>79</v>
      </c>
      <c r="B28" s="98" t="s">
        <v>70</v>
      </c>
      <c r="E28" s="100">
        <v>-688671.4</v>
      </c>
      <c r="F28" s="100">
        <v>237568.72</v>
      </c>
      <c r="G28" s="100">
        <v>131337.93</v>
      </c>
      <c r="H28" s="100">
        <v>69193.11</v>
      </c>
      <c r="I28" s="100">
        <v>-914122.22</v>
      </c>
      <c r="J28" s="100">
        <v>-24391.99</v>
      </c>
      <c r="K28" s="100">
        <v>0</v>
      </c>
      <c r="L28" s="100">
        <v>-193005.08</v>
      </c>
      <c r="M28" s="100">
        <v>-165343.81</v>
      </c>
      <c r="N28" s="100">
        <v>-432922.03</v>
      </c>
      <c r="O28" s="100">
        <v>642665.89</v>
      </c>
      <c r="P28" s="100">
        <v>-39651.919999999998</v>
      </c>
      <c r="Q28" s="100">
        <v>0</v>
      </c>
      <c r="R28" s="226">
        <v>0</v>
      </c>
    </row>
    <row r="29" spans="1:18" ht="12.75" customHeight="1" x14ac:dyDescent="0.25">
      <c r="A29" s="89" t="s">
        <v>70</v>
      </c>
      <c r="E29" s="90">
        <v>30588071.02</v>
      </c>
      <c r="F29" s="90">
        <v>2250486.1800000002</v>
      </c>
      <c r="G29" s="90">
        <v>1236985.99</v>
      </c>
      <c r="H29" s="90">
        <v>508628.18</v>
      </c>
      <c r="I29" s="90">
        <v>6170668.5300000003</v>
      </c>
      <c r="J29" s="90">
        <v>236059.94</v>
      </c>
      <c r="K29" s="90">
        <v>0</v>
      </c>
      <c r="L29" s="90">
        <v>2898181.47</v>
      </c>
      <c r="M29" s="90">
        <v>1807328.57</v>
      </c>
      <c r="N29" s="90">
        <v>8720830.8499999996</v>
      </c>
      <c r="O29" s="90">
        <v>6395391.4199999999</v>
      </c>
      <c r="P29" s="90">
        <v>363230.92</v>
      </c>
      <c r="Q29" s="90">
        <v>278.97000000000003</v>
      </c>
      <c r="R29" s="144">
        <v>0</v>
      </c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customHeight="1" x14ac:dyDescent="0.25">
      <c r="B43" s="768" t="s">
        <v>2</v>
      </c>
      <c r="C43" s="769" t="s">
        <v>132</v>
      </c>
      <c r="D43" s="98" t="s">
        <v>70</v>
      </c>
      <c r="E43" s="100">
        <f>E17+E28-K17</f>
        <v>30588071.020000003</v>
      </c>
      <c r="F43" s="100">
        <f>F17</f>
        <v>2012917.46</v>
      </c>
      <c r="G43" s="100">
        <f t="shared" ref="G43:S43" si="0">G17</f>
        <v>1105648.06</v>
      </c>
      <c r="H43" s="100">
        <f t="shared" si="0"/>
        <v>439435.07</v>
      </c>
      <c r="I43" s="100">
        <f t="shared" si="0"/>
        <v>7084790.75</v>
      </c>
      <c r="J43" s="100">
        <f t="shared" si="0"/>
        <v>260451.93</v>
      </c>
      <c r="K43" s="100">
        <f t="shared" si="0"/>
        <v>0</v>
      </c>
      <c r="L43" s="100">
        <f t="shared" si="0"/>
        <v>3091186.55</v>
      </c>
      <c r="M43" s="100">
        <f t="shared" si="0"/>
        <v>1972672.38</v>
      </c>
      <c r="N43" s="100">
        <f t="shared" si="0"/>
        <v>9153752.8800000008</v>
      </c>
      <c r="O43" s="100">
        <f t="shared" si="0"/>
        <v>5752725.5300000003</v>
      </c>
      <c r="P43" s="100">
        <f t="shared" si="0"/>
        <v>402882.84</v>
      </c>
      <c r="Q43" s="100">
        <f t="shared" si="0"/>
        <v>278.97000000000003</v>
      </c>
      <c r="R43" s="100">
        <f t="shared" si="0"/>
        <v>0</v>
      </c>
      <c r="S43" s="100">
        <f t="shared" si="0"/>
        <v>0</v>
      </c>
    </row>
    <row r="44" spans="1:19" ht="12.75" customHeight="1" x14ac:dyDescent="0.25">
      <c r="B44" s="768"/>
      <c r="C44" s="769"/>
      <c r="D44" s="98" t="s">
        <v>73</v>
      </c>
      <c r="E44" s="100">
        <f>E28</f>
        <v>-688671.4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25">
      <c r="A45" s="89"/>
      <c r="B45" s="97"/>
      <c r="E45" s="373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25">
      <c r="B46" s="768" t="s">
        <v>160</v>
      </c>
      <c r="C46" s="769" t="s">
        <v>132</v>
      </c>
      <c r="D46" s="223" t="s">
        <v>70</v>
      </c>
      <c r="E46" s="225">
        <v>0</v>
      </c>
      <c r="F46" s="225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>
        <v>0</v>
      </c>
      <c r="P46" s="225">
        <v>0</v>
      </c>
      <c r="Q46" s="225">
        <v>0</v>
      </c>
      <c r="R46" s="225">
        <v>0</v>
      </c>
      <c r="S46" s="225">
        <v>0</v>
      </c>
    </row>
    <row r="47" spans="1:19" ht="12.75" customHeight="1" x14ac:dyDescent="0.25">
      <c r="B47" s="768"/>
      <c r="C47" s="769"/>
      <c r="D47" s="223" t="s">
        <v>73</v>
      </c>
      <c r="E47" s="225">
        <v>0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25">
      <c r="A48" s="89"/>
      <c r="B48" s="9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B49" s="768" t="s">
        <v>155</v>
      </c>
      <c r="C49" s="769" t="s">
        <v>132</v>
      </c>
      <c r="D49" s="221" t="s">
        <v>70</v>
      </c>
      <c r="E49" s="222">
        <f>E20+E6-K6</f>
        <v>26731349.390000001</v>
      </c>
      <c r="F49" s="222">
        <f>F6</f>
        <v>1878614.22</v>
      </c>
      <c r="G49" s="222">
        <f t="shared" ref="G49:S49" si="1">G6</f>
        <v>986043.79</v>
      </c>
      <c r="H49" s="222">
        <f t="shared" si="1"/>
        <v>400169.89</v>
      </c>
      <c r="I49" s="222">
        <f t="shared" si="1"/>
        <v>6331134.7599999998</v>
      </c>
      <c r="J49" s="222">
        <f t="shared" si="1"/>
        <v>223676.1</v>
      </c>
      <c r="K49" s="222">
        <f t="shared" si="1"/>
        <v>0</v>
      </c>
      <c r="L49" s="222">
        <f t="shared" si="1"/>
        <v>2828605.56</v>
      </c>
      <c r="M49" s="222">
        <f t="shared" si="1"/>
        <v>1761963.98</v>
      </c>
      <c r="N49" s="222">
        <f t="shared" si="1"/>
        <v>8196762.3099999996</v>
      </c>
      <c r="O49" s="222">
        <f t="shared" si="1"/>
        <v>5328237.76</v>
      </c>
      <c r="P49" s="222">
        <f t="shared" si="1"/>
        <v>345850.35</v>
      </c>
      <c r="Q49" s="222">
        <f t="shared" si="1"/>
        <v>160.05000000000001</v>
      </c>
      <c r="R49" s="222">
        <f t="shared" si="1"/>
        <v>0</v>
      </c>
      <c r="S49" s="222">
        <f t="shared" si="1"/>
        <v>0</v>
      </c>
    </row>
    <row r="50" spans="1:19" ht="12.75" customHeight="1" x14ac:dyDescent="0.25">
      <c r="B50" s="768"/>
      <c r="C50" s="769"/>
      <c r="D50" s="221" t="s">
        <v>73</v>
      </c>
      <c r="E50" s="222">
        <f>E20</f>
        <v>-1549869.38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25">
      <c r="A51" s="89"/>
      <c r="B51" s="97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B52" s="771" t="s">
        <v>324</v>
      </c>
      <c r="C52" s="769" t="s">
        <v>132</v>
      </c>
      <c r="D52" s="375" t="s">
        <v>70</v>
      </c>
      <c r="E52" s="376">
        <v>0</v>
      </c>
      <c r="F52" s="376">
        <v>0</v>
      </c>
      <c r="G52" s="376">
        <v>0</v>
      </c>
      <c r="H52" s="376">
        <v>0</v>
      </c>
      <c r="I52" s="376">
        <v>0</v>
      </c>
      <c r="J52" s="376">
        <v>0</v>
      </c>
      <c r="K52" s="376">
        <v>0</v>
      </c>
      <c r="L52" s="376">
        <v>0</v>
      </c>
      <c r="M52" s="376">
        <v>0</v>
      </c>
      <c r="N52" s="376">
        <v>0</v>
      </c>
      <c r="O52" s="376">
        <v>0</v>
      </c>
      <c r="P52" s="376">
        <v>0</v>
      </c>
      <c r="Q52" s="376">
        <v>0</v>
      </c>
      <c r="R52" s="376">
        <v>0</v>
      </c>
    </row>
    <row r="53" spans="1:19" ht="12.75" customHeight="1" x14ac:dyDescent="0.25">
      <c r="B53" s="771"/>
      <c r="C53" s="769"/>
      <c r="D53" s="375" t="s">
        <v>73</v>
      </c>
      <c r="E53" s="376">
        <v>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19" ht="12.75" customHeight="1" x14ac:dyDescent="0.25">
      <c r="A54" s="89"/>
      <c r="B54" s="97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B55" s="768" t="s">
        <v>119</v>
      </c>
      <c r="C55" s="769" t="s">
        <v>132</v>
      </c>
      <c r="D55" s="101" t="s">
        <v>70</v>
      </c>
      <c r="E55" s="93">
        <f>E16+E27-K16</f>
        <v>3856721.63</v>
      </c>
      <c r="F55" s="93">
        <f>F16</f>
        <v>134303.24</v>
      </c>
      <c r="G55" s="93">
        <f t="shared" ref="G55:S55" si="2">G16</f>
        <v>119604.27</v>
      </c>
      <c r="H55" s="93">
        <f t="shared" si="2"/>
        <v>39265.18</v>
      </c>
      <c r="I55" s="93">
        <f t="shared" si="2"/>
        <v>753655.99</v>
      </c>
      <c r="J55" s="93">
        <f t="shared" si="2"/>
        <v>36775.83</v>
      </c>
      <c r="K55" s="93">
        <f t="shared" si="2"/>
        <v>0</v>
      </c>
      <c r="L55" s="93">
        <f t="shared" si="2"/>
        <v>262580.99</v>
      </c>
      <c r="M55" s="93">
        <f t="shared" si="2"/>
        <v>210708.4</v>
      </c>
      <c r="N55" s="93">
        <f t="shared" si="2"/>
        <v>956990.57</v>
      </c>
      <c r="O55" s="93">
        <f t="shared" si="2"/>
        <v>424487.77</v>
      </c>
      <c r="P55" s="93">
        <f t="shared" si="2"/>
        <v>57032.49</v>
      </c>
      <c r="Q55" s="93">
        <f t="shared" si="2"/>
        <v>118.92</v>
      </c>
      <c r="R55" s="93">
        <f t="shared" si="2"/>
        <v>0</v>
      </c>
      <c r="S55" s="93">
        <f t="shared" si="2"/>
        <v>0</v>
      </c>
    </row>
    <row r="56" spans="1:19" ht="12.75" customHeight="1" x14ac:dyDescent="0.25">
      <c r="B56" s="768"/>
      <c r="C56" s="769"/>
      <c r="D56" s="101" t="s">
        <v>73</v>
      </c>
      <c r="E56" s="93">
        <f>E27</f>
        <v>861197.98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25">
      <c r="A57" s="89"/>
      <c r="B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19" ht="12.75" customHeight="1" x14ac:dyDescent="0.25">
      <c r="B58" s="770" t="s">
        <v>161</v>
      </c>
      <c r="C58" s="769" t="s">
        <v>132</v>
      </c>
      <c r="D58" s="231" t="s">
        <v>70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</row>
    <row r="59" spans="1:19" ht="12.75" customHeight="1" x14ac:dyDescent="0.25">
      <c r="B59" s="770"/>
      <c r="C59" s="769"/>
      <c r="D59" s="231" t="s">
        <v>73</v>
      </c>
      <c r="E59" s="232">
        <v>0</v>
      </c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19" s="238" customFormat="1" x14ac:dyDescent="0.25"/>
    <row r="61" spans="1:19" x14ac:dyDescent="0.25">
      <c r="B61" s="97" t="s">
        <v>75</v>
      </c>
    </row>
    <row r="62" spans="1:19" ht="12.75" customHeight="1" x14ac:dyDescent="0.25">
      <c r="E62" s="89" t="s">
        <v>70</v>
      </c>
      <c r="F62" s="89" t="s">
        <v>64</v>
      </c>
      <c r="G62" s="89" t="s">
        <v>65</v>
      </c>
      <c r="H62" s="219" t="s">
        <v>164</v>
      </c>
      <c r="I62" s="89" t="s">
        <v>69</v>
      </c>
      <c r="J62" s="89" t="s">
        <v>68</v>
      </c>
      <c r="K62" s="89" t="s">
        <v>83</v>
      </c>
      <c r="L62" s="89" t="s">
        <v>66</v>
      </c>
      <c r="M62" s="89" t="s">
        <v>63</v>
      </c>
      <c r="N62" s="89" t="s">
        <v>61</v>
      </c>
      <c r="O62" s="89" t="s">
        <v>62</v>
      </c>
      <c r="P62" s="89" t="s">
        <v>67</v>
      </c>
      <c r="Q62" s="89" t="s">
        <v>84</v>
      </c>
      <c r="R62" s="386" t="s">
        <v>224</v>
      </c>
    </row>
    <row r="63" spans="1:19" ht="12.75" customHeight="1" x14ac:dyDescent="0.25">
      <c r="B63" s="142"/>
      <c r="D63" s="89" t="s">
        <v>72</v>
      </c>
      <c r="E63" s="90">
        <v>149137.87</v>
      </c>
      <c r="F63" s="90">
        <v>6262.05</v>
      </c>
      <c r="G63" s="90">
        <v>3551.29</v>
      </c>
      <c r="H63" s="90">
        <v>0</v>
      </c>
      <c r="I63" s="90">
        <v>31553.16</v>
      </c>
      <c r="J63" s="90">
        <v>1136.0899999999999</v>
      </c>
      <c r="K63" s="90">
        <v>0</v>
      </c>
      <c r="L63" s="90">
        <v>30987.040000000001</v>
      </c>
      <c r="M63" s="90">
        <v>43686.95</v>
      </c>
      <c r="N63" s="90">
        <v>12652.17</v>
      </c>
      <c r="O63" s="90">
        <v>19303.95</v>
      </c>
      <c r="P63" s="90">
        <v>0</v>
      </c>
      <c r="Q63" s="90">
        <v>5.17</v>
      </c>
      <c r="R63">
        <v>0</v>
      </c>
    </row>
    <row r="64" spans="1:19" ht="12.75" customHeight="1" x14ac:dyDescent="0.25">
      <c r="B64" s="142"/>
      <c r="C64" t="s">
        <v>339</v>
      </c>
      <c r="D64" s="89" t="s">
        <v>70</v>
      </c>
      <c r="E64" s="373">
        <v>149137.87</v>
      </c>
      <c r="F64" s="90">
        <v>6262.05</v>
      </c>
      <c r="G64" s="90">
        <v>3551.29</v>
      </c>
      <c r="H64" s="90">
        <v>0</v>
      </c>
      <c r="I64" s="90">
        <v>31553.16</v>
      </c>
      <c r="J64" s="90">
        <v>1136.0899999999999</v>
      </c>
      <c r="K64" s="90">
        <v>0</v>
      </c>
      <c r="L64" s="90">
        <v>30987.040000000001</v>
      </c>
      <c r="M64" s="90">
        <v>43686.95</v>
      </c>
      <c r="N64" s="90">
        <v>12652.17</v>
      </c>
      <c r="O64" s="90">
        <v>19303.95</v>
      </c>
      <c r="P64" s="90">
        <v>0</v>
      </c>
      <c r="Q64" s="90">
        <v>5.17</v>
      </c>
      <c r="R64">
        <v>0</v>
      </c>
    </row>
    <row r="65" spans="2:18" s="380" customFormat="1" ht="12.75" customHeight="1" x14ac:dyDescent="0.25">
      <c r="B65" s="767" t="s">
        <v>85</v>
      </c>
      <c r="C65" s="380" t="s">
        <v>70</v>
      </c>
      <c r="D65" s="378"/>
      <c r="E65" s="706">
        <v>149137.87</v>
      </c>
      <c r="F65" s="379">
        <v>6262.05</v>
      </c>
      <c r="G65" s="379">
        <v>3551.29</v>
      </c>
      <c r="H65" s="379">
        <v>0</v>
      </c>
      <c r="I65" s="379">
        <v>31553.16</v>
      </c>
      <c r="J65" s="379">
        <v>1136.0899999999999</v>
      </c>
      <c r="K65" s="379">
        <v>0</v>
      </c>
      <c r="L65" s="379">
        <v>30987.040000000001</v>
      </c>
      <c r="M65" s="379">
        <v>43686.95</v>
      </c>
      <c r="N65" s="379">
        <v>12652.17</v>
      </c>
      <c r="O65" s="379">
        <v>19303.95</v>
      </c>
      <c r="P65" s="379">
        <v>0</v>
      </c>
      <c r="Q65" s="379">
        <v>5.17</v>
      </c>
      <c r="R65" s="380">
        <v>0</v>
      </c>
    </row>
    <row r="66" spans="2:18" ht="12.75" customHeight="1" x14ac:dyDescent="0.25">
      <c r="B66" s="142"/>
      <c r="D66" s="89" t="s">
        <v>72</v>
      </c>
      <c r="E66" s="373">
        <v>58158652.039999999</v>
      </c>
      <c r="F66" s="90">
        <v>3176259.82</v>
      </c>
      <c r="G66" s="90">
        <v>1891584.61</v>
      </c>
      <c r="H66" s="90">
        <v>682200.73</v>
      </c>
      <c r="I66" s="90">
        <v>15161401.92</v>
      </c>
      <c r="J66" s="90">
        <v>514726.63</v>
      </c>
      <c r="K66" s="90">
        <v>70736.95</v>
      </c>
      <c r="L66" s="90">
        <v>5862596.7300000004</v>
      </c>
      <c r="M66" s="90">
        <v>4133779.93</v>
      </c>
      <c r="N66" s="90">
        <v>18400814.539999999</v>
      </c>
      <c r="O66" s="90">
        <v>7460194.3200000003</v>
      </c>
      <c r="P66" s="90">
        <v>804325.61</v>
      </c>
      <c r="Q66" s="90">
        <v>30.25</v>
      </c>
      <c r="R66">
        <v>0</v>
      </c>
    </row>
    <row r="67" spans="2:18" ht="12.75" customHeight="1" x14ac:dyDescent="0.25">
      <c r="B67" s="142"/>
      <c r="D67" s="89" t="s">
        <v>81</v>
      </c>
      <c r="E67" s="90">
        <v>385390.29</v>
      </c>
      <c r="F67" s="90">
        <v>21101.33</v>
      </c>
      <c r="G67" s="90">
        <v>9688.81</v>
      </c>
      <c r="H67" s="90">
        <v>4482.7</v>
      </c>
      <c r="I67" s="90">
        <v>57677.97</v>
      </c>
      <c r="J67" s="90">
        <v>2085.3000000000002</v>
      </c>
      <c r="K67" s="90">
        <v>0</v>
      </c>
      <c r="L67" s="90">
        <v>34177.519999999997</v>
      </c>
      <c r="M67" s="90">
        <v>40098.93</v>
      </c>
      <c r="N67" s="90">
        <v>135112.39000000001</v>
      </c>
      <c r="O67" s="90">
        <v>77560.570000000007</v>
      </c>
      <c r="P67" s="90">
        <v>3403.62</v>
      </c>
      <c r="Q67" s="90">
        <v>1.1499999999999999</v>
      </c>
      <c r="R67">
        <v>0</v>
      </c>
    </row>
    <row r="68" spans="2:18" ht="12.75" customHeight="1" x14ac:dyDescent="0.25">
      <c r="B68" s="142"/>
      <c r="C68" t="s">
        <v>156</v>
      </c>
      <c r="D68" s="89" t="s">
        <v>70</v>
      </c>
      <c r="E68" s="90">
        <v>58544042.329999998</v>
      </c>
      <c r="F68" s="90">
        <v>3197361.15</v>
      </c>
      <c r="G68" s="90">
        <v>1901273.42</v>
      </c>
      <c r="H68" s="90">
        <v>686683.43</v>
      </c>
      <c r="I68" s="90">
        <v>15219079.890000001</v>
      </c>
      <c r="J68" s="90">
        <v>516811.93</v>
      </c>
      <c r="K68" s="90">
        <v>70736.95</v>
      </c>
      <c r="L68" s="90">
        <v>5896774.25</v>
      </c>
      <c r="M68" s="90">
        <v>4173878.86</v>
      </c>
      <c r="N68" s="90">
        <v>18535926.93</v>
      </c>
      <c r="O68" s="90">
        <v>7537754.8899999997</v>
      </c>
      <c r="P68" s="90">
        <v>807729.23</v>
      </c>
      <c r="Q68" s="90">
        <v>31.4</v>
      </c>
      <c r="R68">
        <v>0</v>
      </c>
    </row>
    <row r="69" spans="2:18" s="288" customFormat="1" ht="12.75" customHeight="1" x14ac:dyDescent="0.25">
      <c r="B69" s="288" t="s">
        <v>155</v>
      </c>
      <c r="C69" s="288" t="s">
        <v>70</v>
      </c>
      <c r="E69" s="288">
        <v>58544042.329999998</v>
      </c>
      <c r="F69" s="288">
        <v>3197361.15</v>
      </c>
      <c r="G69" s="288">
        <v>1901273.42</v>
      </c>
      <c r="H69" s="288">
        <v>686683.43</v>
      </c>
      <c r="I69" s="288">
        <v>15219079.890000001</v>
      </c>
      <c r="J69" s="288">
        <v>516811.93</v>
      </c>
      <c r="K69" s="288">
        <v>70736.95</v>
      </c>
      <c r="L69" s="288">
        <v>5896774.25</v>
      </c>
      <c r="M69" s="288">
        <v>4173878.86</v>
      </c>
      <c r="N69" s="288">
        <v>18535926.93</v>
      </c>
      <c r="O69" s="288">
        <v>7537754.8899999997</v>
      </c>
      <c r="P69" s="288">
        <v>807729.23</v>
      </c>
      <c r="Q69" s="288">
        <v>31.4</v>
      </c>
      <c r="R69" s="288">
        <v>0</v>
      </c>
    </row>
    <row r="70" spans="2:18" ht="12.75" customHeight="1" x14ac:dyDescent="0.25">
      <c r="B70" s="142"/>
      <c r="D70" s="89" t="s">
        <v>72</v>
      </c>
      <c r="E70" s="90">
        <v>5353012.84</v>
      </c>
      <c r="F70" s="90">
        <v>340456.01</v>
      </c>
      <c r="G70" s="90">
        <v>194172.73</v>
      </c>
      <c r="H70" s="90">
        <v>77889.509999999995</v>
      </c>
      <c r="I70" s="90">
        <v>1783061.08</v>
      </c>
      <c r="J70" s="90">
        <v>63585.54</v>
      </c>
      <c r="K70" s="90">
        <v>0</v>
      </c>
      <c r="L70" s="90">
        <v>379727.63</v>
      </c>
      <c r="M70" s="90">
        <v>340061.86</v>
      </c>
      <c r="N70" s="90">
        <v>1429241.91</v>
      </c>
      <c r="O70" s="90">
        <v>683113.4</v>
      </c>
      <c r="P70" s="90">
        <v>61690.18</v>
      </c>
      <c r="Q70" s="90">
        <v>12.99</v>
      </c>
      <c r="R70">
        <v>0</v>
      </c>
    </row>
    <row r="71" spans="2:18" ht="12.75" customHeight="1" x14ac:dyDescent="0.25">
      <c r="B71" s="142"/>
      <c r="D71" s="89" t="s">
        <v>81</v>
      </c>
      <c r="E71" s="90">
        <v>1967.83</v>
      </c>
      <c r="F71" s="90">
        <v>178.78</v>
      </c>
      <c r="G71" s="90">
        <v>85.67</v>
      </c>
      <c r="H71" s="90">
        <v>47.84</v>
      </c>
      <c r="I71" s="90">
        <v>440.91</v>
      </c>
      <c r="J71" s="90">
        <v>11.11</v>
      </c>
      <c r="K71" s="90">
        <v>0</v>
      </c>
      <c r="L71" s="90">
        <v>97.53</v>
      </c>
      <c r="M71" s="90">
        <v>129.83000000000001</v>
      </c>
      <c r="N71" s="90">
        <v>604.01</v>
      </c>
      <c r="O71" s="90">
        <v>354.04</v>
      </c>
      <c r="P71" s="90">
        <v>18.149999999999999</v>
      </c>
      <c r="Q71" s="90">
        <v>-0.04</v>
      </c>
      <c r="R71">
        <v>0</v>
      </c>
    </row>
    <row r="72" spans="2:18" ht="12.75" customHeight="1" x14ac:dyDescent="0.25">
      <c r="B72" s="142"/>
      <c r="C72" t="s">
        <v>115</v>
      </c>
      <c r="D72" s="89" t="s">
        <v>70</v>
      </c>
      <c r="E72" s="90">
        <v>5354980.67</v>
      </c>
      <c r="F72" s="90">
        <v>340634.79</v>
      </c>
      <c r="G72" s="90">
        <v>194258.4</v>
      </c>
      <c r="H72" s="90">
        <v>77937.350000000006</v>
      </c>
      <c r="I72" s="90">
        <v>1783501.99</v>
      </c>
      <c r="J72" s="90">
        <v>63596.65</v>
      </c>
      <c r="K72" s="90">
        <v>0</v>
      </c>
      <c r="L72" s="90">
        <v>379825.16</v>
      </c>
      <c r="M72" s="90">
        <v>340191.69</v>
      </c>
      <c r="N72" s="90">
        <v>1429845.92</v>
      </c>
      <c r="O72" s="90">
        <v>683467.44</v>
      </c>
      <c r="P72" s="90">
        <v>61708.33</v>
      </c>
      <c r="Q72" s="90">
        <v>12.95</v>
      </c>
      <c r="R72">
        <v>0</v>
      </c>
    </row>
    <row r="73" spans="2:18" ht="12.75" customHeight="1" x14ac:dyDescent="0.25">
      <c r="B73" s="142"/>
      <c r="D73" s="89" t="s">
        <v>72</v>
      </c>
      <c r="E73" s="373">
        <v>773856.37</v>
      </c>
      <c r="F73" s="90">
        <v>51813.78</v>
      </c>
      <c r="G73" s="90">
        <v>29065.98</v>
      </c>
      <c r="H73" s="90">
        <v>10104.92</v>
      </c>
      <c r="I73" s="90">
        <v>223027.82</v>
      </c>
      <c r="J73" s="90">
        <v>7933.34</v>
      </c>
      <c r="K73" s="90">
        <v>0</v>
      </c>
      <c r="L73" s="90">
        <v>69590.33</v>
      </c>
      <c r="M73" s="90">
        <v>64152.35</v>
      </c>
      <c r="N73" s="90">
        <v>206149.26</v>
      </c>
      <c r="O73" s="90">
        <v>103917.73</v>
      </c>
      <c r="P73" s="90">
        <v>8098.42</v>
      </c>
      <c r="Q73" s="90">
        <v>2.44</v>
      </c>
      <c r="R73">
        <v>0</v>
      </c>
    </row>
    <row r="74" spans="2:18" ht="12.75" customHeight="1" x14ac:dyDescent="0.25">
      <c r="B74" s="142"/>
      <c r="C74" t="s">
        <v>116</v>
      </c>
      <c r="D74" s="89" t="s">
        <v>70</v>
      </c>
      <c r="E74" s="373">
        <v>773856.37</v>
      </c>
      <c r="F74" s="90">
        <v>51813.78</v>
      </c>
      <c r="G74" s="90">
        <v>29065.98</v>
      </c>
      <c r="H74" s="90">
        <v>10104.92</v>
      </c>
      <c r="I74" s="90">
        <v>223027.82</v>
      </c>
      <c r="J74" s="90">
        <v>7933.34</v>
      </c>
      <c r="K74" s="90">
        <v>0</v>
      </c>
      <c r="L74" s="90">
        <v>69590.33</v>
      </c>
      <c r="M74" s="90">
        <v>64152.35</v>
      </c>
      <c r="N74" s="90">
        <v>206149.26</v>
      </c>
      <c r="O74" s="90">
        <v>103917.73</v>
      </c>
      <c r="P74" s="90">
        <v>8098.42</v>
      </c>
      <c r="Q74" s="90">
        <v>2.44</v>
      </c>
      <c r="R74">
        <v>0</v>
      </c>
    </row>
    <row r="75" spans="2:18" ht="12.75" customHeight="1" x14ac:dyDescent="0.25">
      <c r="B75" s="142"/>
      <c r="D75" s="89" t="s">
        <v>72</v>
      </c>
      <c r="E75" s="90">
        <v>289572.07</v>
      </c>
      <c r="F75" s="90">
        <v>18539.080000000002</v>
      </c>
      <c r="G75" s="90">
        <v>11360.38</v>
      </c>
      <c r="H75" s="90">
        <v>3449.63</v>
      </c>
      <c r="I75" s="90">
        <v>113245.66</v>
      </c>
      <c r="J75" s="90">
        <v>4170.57</v>
      </c>
      <c r="K75" s="90">
        <v>0</v>
      </c>
      <c r="L75" s="90">
        <v>31600.95</v>
      </c>
      <c r="M75" s="90">
        <v>19396.93</v>
      </c>
      <c r="N75" s="90">
        <v>48037.65</v>
      </c>
      <c r="O75" s="90">
        <v>36985.94</v>
      </c>
      <c r="P75" s="90">
        <v>2780.38</v>
      </c>
      <c r="Q75" s="90">
        <v>4.9000000000000004</v>
      </c>
      <c r="R75">
        <v>0</v>
      </c>
    </row>
    <row r="76" spans="2:18" ht="12.75" customHeight="1" x14ac:dyDescent="0.25">
      <c r="B76" s="142"/>
      <c r="C76" s="89" t="s">
        <v>117</v>
      </c>
      <c r="D76" s="89" t="s">
        <v>70</v>
      </c>
      <c r="E76" s="373">
        <v>289572.07</v>
      </c>
      <c r="F76" s="90">
        <v>18539.080000000002</v>
      </c>
      <c r="G76" s="90">
        <v>11360.38</v>
      </c>
      <c r="H76" s="90">
        <v>3449.63</v>
      </c>
      <c r="I76" s="90">
        <v>113245.66</v>
      </c>
      <c r="J76" s="90">
        <v>4170.57</v>
      </c>
      <c r="K76" s="90">
        <v>0</v>
      </c>
      <c r="L76" s="90">
        <v>31600.95</v>
      </c>
      <c r="M76" s="90">
        <v>19396.93</v>
      </c>
      <c r="N76" s="90">
        <v>48037.65</v>
      </c>
      <c r="O76" s="90">
        <v>36985.94</v>
      </c>
      <c r="P76" s="90">
        <v>2780.38</v>
      </c>
      <c r="Q76" s="90">
        <v>4.9000000000000004</v>
      </c>
      <c r="R76">
        <v>0</v>
      </c>
    </row>
    <row r="77" spans="2:18" ht="12.75" customHeight="1" x14ac:dyDescent="0.25">
      <c r="B77" s="142"/>
      <c r="C77" s="89"/>
      <c r="D77" s="89" t="s">
        <v>72</v>
      </c>
      <c r="E77" s="373">
        <v>9596139.0199999996</v>
      </c>
      <c r="F77" s="90">
        <v>553444.49</v>
      </c>
      <c r="G77" s="90">
        <v>295604.03999999998</v>
      </c>
      <c r="H77" s="90">
        <v>101351.24</v>
      </c>
      <c r="I77" s="90">
        <v>2769928.04</v>
      </c>
      <c r="J77" s="90">
        <v>100606.56</v>
      </c>
      <c r="K77" s="90">
        <v>0</v>
      </c>
      <c r="L77" s="90">
        <v>869067.7</v>
      </c>
      <c r="M77" s="90">
        <v>740751.48</v>
      </c>
      <c r="N77" s="90">
        <v>2887339.66</v>
      </c>
      <c r="O77" s="90">
        <v>1133019.1100000001</v>
      </c>
      <c r="P77" s="90">
        <v>145054.46</v>
      </c>
      <c r="Q77" s="90">
        <v>-27.76</v>
      </c>
      <c r="R77">
        <v>0</v>
      </c>
    </row>
    <row r="78" spans="2:18" ht="12.75" customHeight="1" x14ac:dyDescent="0.25">
      <c r="B78" s="142"/>
      <c r="C78" s="89"/>
      <c r="D78" s="89" t="s">
        <v>81</v>
      </c>
      <c r="E78" s="373">
        <v>528.79999999999995</v>
      </c>
      <c r="F78" s="90">
        <v>36.99</v>
      </c>
      <c r="G78" s="90">
        <v>20</v>
      </c>
      <c r="H78" s="90">
        <v>11.08</v>
      </c>
      <c r="I78" s="90">
        <v>128.15</v>
      </c>
      <c r="J78" s="90">
        <v>3.77</v>
      </c>
      <c r="K78" s="90">
        <v>0</v>
      </c>
      <c r="L78" s="90">
        <v>33.14</v>
      </c>
      <c r="M78" s="90">
        <v>38.200000000000003</v>
      </c>
      <c r="N78" s="90">
        <v>175.77</v>
      </c>
      <c r="O78" s="90">
        <v>75.52</v>
      </c>
      <c r="P78" s="90">
        <v>6.17</v>
      </c>
      <c r="Q78" s="90">
        <v>0.01</v>
      </c>
      <c r="R78">
        <v>0</v>
      </c>
    </row>
    <row r="79" spans="2:18" ht="12.75" customHeight="1" x14ac:dyDescent="0.25">
      <c r="B79" s="142"/>
      <c r="C79" s="89" t="s">
        <v>118</v>
      </c>
      <c r="D79" s="89" t="s">
        <v>70</v>
      </c>
      <c r="E79" s="373">
        <v>9596667.8200000003</v>
      </c>
      <c r="F79" s="90">
        <v>553481.48</v>
      </c>
      <c r="G79" s="90">
        <v>295624.03999999998</v>
      </c>
      <c r="H79" s="90">
        <v>101362.32</v>
      </c>
      <c r="I79" s="90">
        <v>2770056.19</v>
      </c>
      <c r="J79" s="90">
        <v>100610.33</v>
      </c>
      <c r="K79" s="90">
        <v>0</v>
      </c>
      <c r="L79" s="90">
        <v>869100.84</v>
      </c>
      <c r="M79" s="90">
        <v>740789.68</v>
      </c>
      <c r="N79" s="90">
        <v>2887515.43</v>
      </c>
      <c r="O79" s="90">
        <v>1133094.6299999999</v>
      </c>
      <c r="P79" s="90">
        <v>145060.63</v>
      </c>
      <c r="Q79" s="90">
        <v>-27.75</v>
      </c>
      <c r="R79">
        <v>0</v>
      </c>
    </row>
    <row r="80" spans="2:18" s="224" customFormat="1" ht="12.75" customHeight="1" x14ac:dyDescent="0.25">
      <c r="B80" s="224" t="s">
        <v>120</v>
      </c>
      <c r="C80" s="224" t="s">
        <v>70</v>
      </c>
      <c r="E80" s="224">
        <v>16015076.93</v>
      </c>
      <c r="F80" s="224">
        <v>964469.13</v>
      </c>
      <c r="G80" s="224">
        <v>530308.80000000005</v>
      </c>
      <c r="H80" s="224">
        <v>192854.22</v>
      </c>
      <c r="I80" s="224">
        <v>4889831.66</v>
      </c>
      <c r="J80" s="224">
        <v>176310.89</v>
      </c>
      <c r="K80" s="224">
        <v>0</v>
      </c>
      <c r="L80" s="224">
        <v>1350117.28</v>
      </c>
      <c r="M80" s="224">
        <v>1164530.6499999999</v>
      </c>
      <c r="N80" s="224">
        <v>4571548.26</v>
      </c>
      <c r="O80" s="224">
        <v>1957465.74</v>
      </c>
      <c r="P80" s="224">
        <v>217647.76</v>
      </c>
      <c r="Q80" s="224">
        <v>-7.46</v>
      </c>
      <c r="R80" s="224">
        <v>0</v>
      </c>
    </row>
    <row r="81" spans="1:18" ht="12.75" customHeight="1" x14ac:dyDescent="0.25">
      <c r="D81" t="s">
        <v>72</v>
      </c>
      <c r="E81" s="142">
        <v>2796487.04</v>
      </c>
      <c r="F81">
        <v>192507.26</v>
      </c>
      <c r="G81">
        <v>101676.69</v>
      </c>
      <c r="H81">
        <v>44197.98</v>
      </c>
      <c r="I81">
        <v>751979.34</v>
      </c>
      <c r="J81">
        <v>24819.19</v>
      </c>
      <c r="K81">
        <v>0</v>
      </c>
      <c r="L81">
        <v>277866.96999999997</v>
      </c>
      <c r="M81">
        <v>205710.84</v>
      </c>
      <c r="N81">
        <v>763438.13</v>
      </c>
      <c r="O81">
        <v>397204.16</v>
      </c>
      <c r="P81">
        <v>37108.43</v>
      </c>
      <c r="Q81">
        <v>-21.95</v>
      </c>
      <c r="R81">
        <v>0</v>
      </c>
    </row>
    <row r="82" spans="1:18" ht="12.75" customHeight="1" x14ac:dyDescent="0.25">
      <c r="D82" t="s">
        <v>81</v>
      </c>
      <c r="E82" s="373">
        <v>1845.08</v>
      </c>
      <c r="F82">
        <v>98.21</v>
      </c>
      <c r="G82">
        <v>55.4</v>
      </c>
      <c r="H82">
        <v>29.08</v>
      </c>
      <c r="I82">
        <v>501.84</v>
      </c>
      <c r="J82">
        <v>14.19</v>
      </c>
      <c r="K82">
        <v>0</v>
      </c>
      <c r="L82">
        <v>124.57</v>
      </c>
      <c r="M82">
        <v>152.24</v>
      </c>
      <c r="N82">
        <v>651.36</v>
      </c>
      <c r="O82">
        <v>195</v>
      </c>
      <c r="P82">
        <v>23.19</v>
      </c>
      <c r="Q82">
        <v>0</v>
      </c>
      <c r="R82">
        <v>0</v>
      </c>
    </row>
    <row r="83" spans="1:18" ht="12.75" customHeight="1" x14ac:dyDescent="0.25">
      <c r="C83" t="s">
        <v>82</v>
      </c>
      <c r="D83" t="s">
        <v>70</v>
      </c>
      <c r="E83" s="142">
        <v>2798332.12</v>
      </c>
      <c r="F83">
        <v>192605.47</v>
      </c>
      <c r="G83">
        <v>101732.09</v>
      </c>
      <c r="H83">
        <v>44227.06</v>
      </c>
      <c r="I83">
        <v>752481.18</v>
      </c>
      <c r="J83">
        <v>24833.38</v>
      </c>
      <c r="K83">
        <v>0</v>
      </c>
      <c r="L83">
        <v>277991.53999999998</v>
      </c>
      <c r="M83">
        <v>205863.08</v>
      </c>
      <c r="N83">
        <v>764089.49</v>
      </c>
      <c r="O83">
        <v>397399.16</v>
      </c>
      <c r="P83">
        <v>37131.620000000003</v>
      </c>
      <c r="Q83">
        <v>-21.95</v>
      </c>
      <c r="R83">
        <v>0</v>
      </c>
    </row>
    <row r="84" spans="1:18" ht="12.75" customHeight="1" x14ac:dyDescent="0.25">
      <c r="D84" t="s">
        <v>72</v>
      </c>
      <c r="E84" s="142">
        <v>30547301.109999999</v>
      </c>
      <c r="F84">
        <v>3139010.16</v>
      </c>
      <c r="G84">
        <v>1762045.25</v>
      </c>
      <c r="H84">
        <v>886537.48</v>
      </c>
      <c r="I84">
        <v>5764443.6200000001</v>
      </c>
      <c r="J84">
        <v>224728.7</v>
      </c>
      <c r="K84">
        <v>0</v>
      </c>
      <c r="L84">
        <v>2040522.36</v>
      </c>
      <c r="M84">
        <v>1872333.06</v>
      </c>
      <c r="N84">
        <v>8013600.8200000003</v>
      </c>
      <c r="O84">
        <v>6529298.2800000003</v>
      </c>
      <c r="P84">
        <v>314727.38</v>
      </c>
      <c r="Q84">
        <v>0</v>
      </c>
      <c r="R84">
        <v>54</v>
      </c>
    </row>
    <row r="85" spans="1:18" ht="12.75" customHeight="1" x14ac:dyDescent="0.25">
      <c r="D85" t="s">
        <v>81</v>
      </c>
      <c r="E85" s="142">
        <v>7189025.4500000002</v>
      </c>
      <c r="F85">
        <v>39323.910000000003</v>
      </c>
      <c r="G85">
        <v>19195.48</v>
      </c>
      <c r="H85">
        <v>10242.02</v>
      </c>
      <c r="I85">
        <v>79611.710000000006</v>
      </c>
      <c r="J85">
        <v>2728.86</v>
      </c>
      <c r="K85">
        <v>0</v>
      </c>
      <c r="L85">
        <v>23956.400000000001</v>
      </c>
      <c r="M85">
        <v>28179.49</v>
      </c>
      <c r="N85">
        <v>139371.51999999999</v>
      </c>
      <c r="O85">
        <v>82663.240000000005</v>
      </c>
      <c r="P85">
        <v>4458.01</v>
      </c>
      <c r="Q85">
        <v>0</v>
      </c>
      <c r="R85">
        <v>6759294.8099999996</v>
      </c>
    </row>
    <row r="86" spans="1:18" ht="12.75" customHeight="1" x14ac:dyDescent="0.25">
      <c r="C86" t="s">
        <v>86</v>
      </c>
      <c r="D86" t="s">
        <v>70</v>
      </c>
      <c r="E86" s="142">
        <v>37736326.560000002</v>
      </c>
      <c r="F86">
        <v>3178334.07</v>
      </c>
      <c r="G86">
        <v>1781240.73</v>
      </c>
      <c r="H86">
        <v>896779.5</v>
      </c>
      <c r="I86">
        <v>5844055.3300000001</v>
      </c>
      <c r="J86">
        <v>227457.56</v>
      </c>
      <c r="K86">
        <v>0</v>
      </c>
      <c r="L86">
        <v>2064478.76</v>
      </c>
      <c r="M86">
        <v>1900512.55</v>
      </c>
      <c r="N86">
        <v>8152972.3399999999</v>
      </c>
      <c r="O86">
        <v>6611961.5199999996</v>
      </c>
      <c r="P86">
        <v>319185.39</v>
      </c>
      <c r="Q86">
        <v>0</v>
      </c>
      <c r="R86">
        <v>6759348.8099999996</v>
      </c>
    </row>
    <row r="87" spans="1:18" ht="12.75" customHeight="1" x14ac:dyDescent="0.25">
      <c r="D87" t="s">
        <v>72</v>
      </c>
      <c r="E87">
        <v>1167477.6299999999</v>
      </c>
      <c r="F87">
        <v>85368.47</v>
      </c>
      <c r="G87">
        <v>46259.88</v>
      </c>
      <c r="H87">
        <v>25458.06</v>
      </c>
      <c r="I87">
        <v>302710.15999999997</v>
      </c>
      <c r="J87">
        <v>9905.4599999999991</v>
      </c>
      <c r="K87">
        <v>0</v>
      </c>
      <c r="L87">
        <v>84512.69</v>
      </c>
      <c r="M87">
        <v>75027.44</v>
      </c>
      <c r="N87">
        <v>350733.41</v>
      </c>
      <c r="O87">
        <v>173213.68</v>
      </c>
      <c r="P87">
        <v>14272.58</v>
      </c>
      <c r="Q87">
        <v>15.8</v>
      </c>
      <c r="R87">
        <v>0</v>
      </c>
    </row>
    <row r="88" spans="1:18" ht="12.75" customHeight="1" x14ac:dyDescent="0.25">
      <c r="D88" t="s">
        <v>81</v>
      </c>
      <c r="E88" s="142">
        <v>27.23</v>
      </c>
      <c r="F88">
        <v>1.43</v>
      </c>
      <c r="G88">
        <v>0.8</v>
      </c>
      <c r="H88">
        <v>0.42</v>
      </c>
      <c r="I88">
        <v>7.09</v>
      </c>
      <c r="J88">
        <v>0.24</v>
      </c>
      <c r="K88">
        <v>0</v>
      </c>
      <c r="L88">
        <v>2.13</v>
      </c>
      <c r="M88">
        <v>2.09</v>
      </c>
      <c r="N88">
        <v>9.7899999999999991</v>
      </c>
      <c r="O88">
        <v>2.84</v>
      </c>
      <c r="P88">
        <v>0.4</v>
      </c>
      <c r="Q88">
        <v>0</v>
      </c>
      <c r="R88">
        <v>0</v>
      </c>
    </row>
    <row r="89" spans="1:18" ht="12.75" customHeight="1" x14ac:dyDescent="0.25">
      <c r="C89" t="s">
        <v>87</v>
      </c>
      <c r="D89" t="s">
        <v>70</v>
      </c>
      <c r="E89" s="142">
        <v>1167504.8600000001</v>
      </c>
      <c r="F89">
        <v>85369.9</v>
      </c>
      <c r="G89">
        <v>46260.68</v>
      </c>
      <c r="H89">
        <v>25458.48</v>
      </c>
      <c r="I89">
        <v>302717.25</v>
      </c>
      <c r="J89">
        <v>9905.7000000000007</v>
      </c>
      <c r="K89">
        <v>0</v>
      </c>
      <c r="L89">
        <v>84514.82</v>
      </c>
      <c r="M89">
        <v>75029.53</v>
      </c>
      <c r="N89">
        <v>350743.2</v>
      </c>
      <c r="O89">
        <v>173216.52</v>
      </c>
      <c r="P89">
        <v>14272.98</v>
      </c>
      <c r="Q89">
        <v>15.8</v>
      </c>
      <c r="R89">
        <v>0</v>
      </c>
    </row>
    <row r="90" spans="1:18" s="94" customFormat="1" ht="12.75" customHeight="1" x14ac:dyDescent="0.25">
      <c r="B90" s="94" t="s">
        <v>119</v>
      </c>
      <c r="C90" s="101" t="s">
        <v>70</v>
      </c>
      <c r="D90" s="101"/>
      <c r="E90" s="93">
        <v>41702163.539999999</v>
      </c>
      <c r="F90" s="93">
        <v>3456309.44</v>
      </c>
      <c r="G90" s="93">
        <v>1929233.5</v>
      </c>
      <c r="H90" s="93">
        <v>966465.04</v>
      </c>
      <c r="I90" s="93">
        <v>6899253.7599999998</v>
      </c>
      <c r="J90" s="93">
        <v>262196.64</v>
      </c>
      <c r="K90" s="93">
        <v>0</v>
      </c>
      <c r="L90" s="93">
        <v>2426985.12</v>
      </c>
      <c r="M90" s="93">
        <v>2181405.16</v>
      </c>
      <c r="N90" s="93">
        <v>9267805.0299999993</v>
      </c>
      <c r="O90" s="93">
        <v>7182577.2000000002</v>
      </c>
      <c r="P90" s="93">
        <v>370589.99</v>
      </c>
      <c r="Q90" s="93">
        <v>-6.1499999999999986</v>
      </c>
      <c r="R90" s="94">
        <v>6759348.8099999996</v>
      </c>
    </row>
    <row r="91" spans="1:18" s="226" customFormat="1" ht="12.75" customHeight="1" x14ac:dyDescent="0.25">
      <c r="A91" s="226" t="s">
        <v>78</v>
      </c>
      <c r="B91" s="98" t="s">
        <v>70</v>
      </c>
      <c r="C91" s="98"/>
      <c r="E91" s="100">
        <v>116410420.67</v>
      </c>
      <c r="F91" s="100">
        <v>7624401.7699999996</v>
      </c>
      <c r="G91" s="100">
        <v>4364367.01</v>
      </c>
      <c r="H91" s="100">
        <v>1846002.69</v>
      </c>
      <c r="I91" s="100">
        <v>27039718.469999999</v>
      </c>
      <c r="J91" s="100">
        <v>956455.55</v>
      </c>
      <c r="K91" s="100">
        <v>70736.95</v>
      </c>
      <c r="L91" s="100">
        <v>9704863.6899999995</v>
      </c>
      <c r="M91" s="100">
        <v>7563501.6200000001</v>
      </c>
      <c r="N91" s="100">
        <v>32387932.390000001</v>
      </c>
      <c r="O91" s="100">
        <v>16697101.779999999</v>
      </c>
      <c r="P91" s="100">
        <v>1395966.98</v>
      </c>
      <c r="Q91" s="100">
        <v>22.96</v>
      </c>
      <c r="R91" s="226">
        <v>6759348.8099999996</v>
      </c>
    </row>
    <row r="92" spans="1:18" ht="12.75" customHeight="1" x14ac:dyDescent="0.25">
      <c r="B92" s="89"/>
      <c r="C92" s="89"/>
      <c r="D92" t="s">
        <v>73</v>
      </c>
      <c r="E92" s="90">
        <v>-18613.87</v>
      </c>
      <c r="F92" s="90">
        <v>-939.31</v>
      </c>
      <c r="G92" s="90">
        <v>-532.71</v>
      </c>
      <c r="H92" s="90">
        <v>-288.83999999999997</v>
      </c>
      <c r="I92" s="90">
        <v>-4732.97</v>
      </c>
      <c r="J92" s="90">
        <v>-170.42</v>
      </c>
      <c r="K92" s="90">
        <v>0</v>
      </c>
      <c r="L92" s="90">
        <v>-1494.85</v>
      </c>
      <c r="M92" s="90">
        <v>-1473.42</v>
      </c>
      <c r="N92" s="90">
        <v>-6810.55</v>
      </c>
      <c r="O92" s="90">
        <v>-1892.76</v>
      </c>
      <c r="P92" s="90">
        <v>-278.04000000000002</v>
      </c>
      <c r="Q92" s="90">
        <v>0</v>
      </c>
      <c r="R92">
        <v>0</v>
      </c>
    </row>
    <row r="93" spans="1:18" ht="12.75" customHeight="1" x14ac:dyDescent="0.25">
      <c r="B93" s="89"/>
      <c r="C93" s="89" t="s">
        <v>339</v>
      </c>
      <c r="D93" t="s">
        <v>70</v>
      </c>
      <c r="E93" s="373">
        <v>-18613.87</v>
      </c>
      <c r="F93" s="90">
        <v>-939.31</v>
      </c>
      <c r="G93" s="90">
        <v>-532.71</v>
      </c>
      <c r="H93" s="90">
        <v>-288.83999999999997</v>
      </c>
      <c r="I93" s="90">
        <v>-4732.97</v>
      </c>
      <c r="J93" s="90">
        <v>-170.42</v>
      </c>
      <c r="K93" s="90">
        <v>0</v>
      </c>
      <c r="L93" s="90">
        <v>-1494.85</v>
      </c>
      <c r="M93" s="90">
        <v>-1473.42</v>
      </c>
      <c r="N93" s="90">
        <v>-6810.55</v>
      </c>
      <c r="O93" s="90">
        <v>-1892.76</v>
      </c>
      <c r="P93" s="90">
        <v>-278.04000000000002</v>
      </c>
      <c r="Q93" s="90">
        <v>0</v>
      </c>
      <c r="R93">
        <v>0</v>
      </c>
    </row>
    <row r="94" spans="1:18" s="380" customFormat="1" ht="12.75" customHeight="1" x14ac:dyDescent="0.25">
      <c r="B94" s="378" t="s">
        <v>85</v>
      </c>
      <c r="C94" s="378" t="s">
        <v>70</v>
      </c>
      <c r="E94" s="706">
        <v>-18613.87</v>
      </c>
      <c r="F94" s="379">
        <v>-939.31</v>
      </c>
      <c r="G94" s="379">
        <v>-532.71</v>
      </c>
      <c r="H94" s="379">
        <v>-288.83999999999997</v>
      </c>
      <c r="I94" s="379">
        <v>-4732.97</v>
      </c>
      <c r="J94" s="379">
        <v>-170.42</v>
      </c>
      <c r="K94" s="379">
        <v>0</v>
      </c>
      <c r="L94" s="379">
        <v>-1494.85</v>
      </c>
      <c r="M94" s="379">
        <v>-1473.42</v>
      </c>
      <c r="N94" s="379">
        <v>-6810.55</v>
      </c>
      <c r="O94" s="379">
        <v>-1892.76</v>
      </c>
      <c r="P94" s="379">
        <v>-278.04000000000002</v>
      </c>
      <c r="Q94" s="379">
        <v>0</v>
      </c>
      <c r="R94" s="380">
        <v>0</v>
      </c>
    </row>
    <row r="95" spans="1:18" ht="12.75" customHeight="1" x14ac:dyDescent="0.25">
      <c r="B95" s="89"/>
      <c r="C95" s="89"/>
      <c r="D95" t="s">
        <v>73</v>
      </c>
      <c r="E95" s="373">
        <v>-19130403.640000001</v>
      </c>
      <c r="F95" s="90">
        <v>-759669.49</v>
      </c>
      <c r="G95" s="90">
        <v>-416915.67</v>
      </c>
      <c r="H95" s="90">
        <v>-207487.55</v>
      </c>
      <c r="I95" s="90">
        <v>-5142228.1500000004</v>
      </c>
      <c r="J95" s="90">
        <v>-191605.67</v>
      </c>
      <c r="K95" s="90">
        <v>0</v>
      </c>
      <c r="L95" s="90">
        <v>-1646829.36</v>
      </c>
      <c r="M95" s="90">
        <v>-1557842.21</v>
      </c>
      <c r="N95" s="90">
        <v>-7394669.4299999997</v>
      </c>
      <c r="O95" s="90">
        <v>-1508038.56</v>
      </c>
      <c r="P95" s="90">
        <v>-305117.55</v>
      </c>
      <c r="Q95" s="90">
        <v>0</v>
      </c>
      <c r="R95">
        <v>0</v>
      </c>
    </row>
    <row r="96" spans="1:18" ht="12.75" customHeight="1" x14ac:dyDescent="0.25">
      <c r="B96" s="89"/>
      <c r="C96" s="89" t="s">
        <v>156</v>
      </c>
      <c r="D96" t="s">
        <v>70</v>
      </c>
      <c r="E96" s="90">
        <v>-19130403.640000001</v>
      </c>
      <c r="F96" s="90">
        <v>-759669.49</v>
      </c>
      <c r="G96" s="90">
        <v>-416915.67</v>
      </c>
      <c r="H96" s="90">
        <v>-207487.55</v>
      </c>
      <c r="I96" s="90">
        <v>-5142228.1500000004</v>
      </c>
      <c r="J96" s="90">
        <v>-191605.67</v>
      </c>
      <c r="K96" s="90">
        <v>0</v>
      </c>
      <c r="L96" s="90">
        <v>-1646829.36</v>
      </c>
      <c r="M96" s="90">
        <v>-1557842.21</v>
      </c>
      <c r="N96" s="90">
        <v>-7394669.4299999997</v>
      </c>
      <c r="O96" s="90">
        <v>-1508038.56</v>
      </c>
      <c r="P96" s="90">
        <v>-305117.55</v>
      </c>
      <c r="Q96" s="90">
        <v>0</v>
      </c>
      <c r="R96">
        <v>0</v>
      </c>
    </row>
    <row r="97" spans="2:18" s="288" customFormat="1" ht="12.75" customHeight="1" x14ac:dyDescent="0.25">
      <c r="B97" s="288" t="s">
        <v>155</v>
      </c>
      <c r="C97" s="288" t="s">
        <v>70</v>
      </c>
      <c r="E97" s="288">
        <v>-19130403.640000001</v>
      </c>
      <c r="F97" s="288">
        <v>-759669.49</v>
      </c>
      <c r="G97" s="288">
        <v>-416915.67</v>
      </c>
      <c r="H97" s="288">
        <v>-207487.55</v>
      </c>
      <c r="I97" s="288">
        <v>-5142228.1500000004</v>
      </c>
      <c r="J97" s="288">
        <v>-191605.67</v>
      </c>
      <c r="K97" s="288">
        <v>0</v>
      </c>
      <c r="L97" s="288">
        <v>-1646829.36</v>
      </c>
      <c r="M97" s="288">
        <v>-1557842.21</v>
      </c>
      <c r="N97" s="288">
        <v>-7394669.4299999997</v>
      </c>
      <c r="O97" s="288">
        <v>-1508038.56</v>
      </c>
      <c r="P97" s="288">
        <v>-305117.55</v>
      </c>
      <c r="Q97" s="288">
        <v>0</v>
      </c>
      <c r="R97" s="288">
        <v>0</v>
      </c>
    </row>
    <row r="98" spans="2:18" ht="12.75" customHeight="1" x14ac:dyDescent="0.25">
      <c r="B98" s="89"/>
      <c r="C98" s="89"/>
      <c r="D98" t="s">
        <v>73</v>
      </c>
      <c r="E98" s="90">
        <v>-1194830.5</v>
      </c>
      <c r="F98" s="90">
        <v>-44596.94</v>
      </c>
      <c r="G98" s="90">
        <v>-24853.5</v>
      </c>
      <c r="H98" s="90">
        <v>-11298.95</v>
      </c>
      <c r="I98" s="90">
        <v>-327899.39</v>
      </c>
      <c r="J98" s="90">
        <v>-11609.2</v>
      </c>
      <c r="K98" s="90">
        <v>0</v>
      </c>
      <c r="L98" s="90">
        <v>-106444.02</v>
      </c>
      <c r="M98" s="90">
        <v>-101959.31</v>
      </c>
      <c r="N98" s="90">
        <v>-459380.09</v>
      </c>
      <c r="O98" s="90">
        <v>-88967.03</v>
      </c>
      <c r="P98" s="90">
        <v>-17822.07</v>
      </c>
      <c r="Q98" s="90">
        <v>0</v>
      </c>
      <c r="R98">
        <v>0</v>
      </c>
    </row>
    <row r="99" spans="2:18" ht="12.75" customHeight="1" x14ac:dyDescent="0.25">
      <c r="C99" s="89" t="s">
        <v>115</v>
      </c>
      <c r="D99" s="89" t="s">
        <v>70</v>
      </c>
      <c r="E99" s="90">
        <v>-1194830.5</v>
      </c>
      <c r="F99" s="90">
        <v>-44596.94</v>
      </c>
      <c r="G99" s="90">
        <v>-24853.5</v>
      </c>
      <c r="H99" s="90">
        <v>-11298.95</v>
      </c>
      <c r="I99" s="90">
        <v>-327899.39</v>
      </c>
      <c r="J99" s="90">
        <v>-11609.2</v>
      </c>
      <c r="K99" s="90">
        <v>0</v>
      </c>
      <c r="L99" s="90">
        <v>-106444.02</v>
      </c>
      <c r="M99" s="90">
        <v>-101959.31</v>
      </c>
      <c r="N99" s="90">
        <v>-459380.09</v>
      </c>
      <c r="O99" s="90">
        <v>-88967.03</v>
      </c>
      <c r="P99" s="90">
        <v>-17822.07</v>
      </c>
      <c r="Q99" s="90">
        <v>0</v>
      </c>
      <c r="R99">
        <v>0</v>
      </c>
    </row>
    <row r="100" spans="2:18" ht="12.75" customHeight="1" x14ac:dyDescent="0.25">
      <c r="C100" s="89"/>
      <c r="D100" s="89" t="s">
        <v>73</v>
      </c>
      <c r="E100" s="90">
        <v>-63316.89</v>
      </c>
      <c r="F100" s="90">
        <v>860.74</v>
      </c>
      <c r="G100" s="90">
        <v>438.02</v>
      </c>
      <c r="H100" s="90">
        <v>220.87</v>
      </c>
      <c r="I100" s="90">
        <v>-20838.060000000001</v>
      </c>
      <c r="J100" s="90">
        <v>-767.73</v>
      </c>
      <c r="K100" s="90">
        <v>0</v>
      </c>
      <c r="L100" s="90">
        <v>-6733.95</v>
      </c>
      <c r="M100" s="90">
        <v>-6648.55</v>
      </c>
      <c r="N100" s="90">
        <v>-30073.81</v>
      </c>
      <c r="O100" s="90">
        <v>1478.08</v>
      </c>
      <c r="P100" s="90">
        <v>-1252.5</v>
      </c>
      <c r="Q100" s="90">
        <v>0</v>
      </c>
      <c r="R100">
        <v>0</v>
      </c>
    </row>
    <row r="101" spans="2:18" ht="12.75" customHeight="1" x14ac:dyDescent="0.25">
      <c r="C101" s="89" t="s">
        <v>116</v>
      </c>
      <c r="D101" s="89" t="s">
        <v>70</v>
      </c>
      <c r="E101" s="373">
        <v>-63316.89</v>
      </c>
      <c r="F101" s="90">
        <v>860.74</v>
      </c>
      <c r="G101" s="90">
        <v>438.02</v>
      </c>
      <c r="H101" s="90">
        <v>220.87</v>
      </c>
      <c r="I101" s="90">
        <v>-20838.060000000001</v>
      </c>
      <c r="J101" s="90">
        <v>-767.73</v>
      </c>
      <c r="K101" s="90">
        <v>0</v>
      </c>
      <c r="L101" s="90">
        <v>-6733.95</v>
      </c>
      <c r="M101" s="90">
        <v>-6648.55</v>
      </c>
      <c r="N101" s="90">
        <v>-30073.81</v>
      </c>
      <c r="O101" s="90">
        <v>1478.08</v>
      </c>
      <c r="P101" s="90">
        <v>-1252.5</v>
      </c>
      <c r="Q101" s="90">
        <v>0</v>
      </c>
      <c r="R101">
        <v>0</v>
      </c>
    </row>
    <row r="102" spans="2:18" ht="12.75" customHeight="1" x14ac:dyDescent="0.25">
      <c r="C102" s="89"/>
      <c r="D102" s="89" t="s">
        <v>73</v>
      </c>
      <c r="E102" s="373">
        <v>-133645.28</v>
      </c>
      <c r="F102" s="90">
        <v>-6414.59</v>
      </c>
      <c r="G102" s="90">
        <v>-3598.02</v>
      </c>
      <c r="H102" s="90">
        <v>-1927.38</v>
      </c>
      <c r="I102" s="90">
        <v>-34645.42</v>
      </c>
      <c r="J102" s="90">
        <v>-1248.07</v>
      </c>
      <c r="K102" s="90">
        <v>0</v>
      </c>
      <c r="L102" s="90">
        <v>-10947.77</v>
      </c>
      <c r="M102" s="90">
        <v>-10522.53</v>
      </c>
      <c r="N102" s="90">
        <v>-49498.34</v>
      </c>
      <c r="O102" s="90">
        <v>-12806.89</v>
      </c>
      <c r="P102" s="90">
        <v>-2036.27</v>
      </c>
      <c r="Q102" s="90">
        <v>0</v>
      </c>
      <c r="R102">
        <v>0</v>
      </c>
    </row>
    <row r="103" spans="2:18" ht="12.75" customHeight="1" x14ac:dyDescent="0.25">
      <c r="C103" s="89" t="s">
        <v>117</v>
      </c>
      <c r="D103" s="89" t="s">
        <v>70</v>
      </c>
      <c r="E103" s="90">
        <v>-133645.28</v>
      </c>
      <c r="F103" s="90">
        <v>-6414.59</v>
      </c>
      <c r="G103" s="90">
        <v>-3598.02</v>
      </c>
      <c r="H103" s="90">
        <v>-1927.38</v>
      </c>
      <c r="I103" s="90">
        <v>-34645.42</v>
      </c>
      <c r="J103" s="90">
        <v>-1248.07</v>
      </c>
      <c r="K103" s="90">
        <v>0</v>
      </c>
      <c r="L103" s="90">
        <v>-10947.77</v>
      </c>
      <c r="M103" s="90">
        <v>-10522.53</v>
      </c>
      <c r="N103" s="90">
        <v>-49498.34</v>
      </c>
      <c r="O103" s="90">
        <v>-12806.89</v>
      </c>
      <c r="P103" s="90">
        <v>-2036.27</v>
      </c>
      <c r="Q103" s="90">
        <v>0</v>
      </c>
      <c r="R103">
        <v>0</v>
      </c>
    </row>
    <row r="104" spans="2:18" ht="12.75" customHeight="1" x14ac:dyDescent="0.25">
      <c r="C104" s="89"/>
      <c r="D104" s="89" t="s">
        <v>73</v>
      </c>
      <c r="E104" s="373">
        <v>-2991426.99</v>
      </c>
      <c r="F104" s="90">
        <v>-127467.28</v>
      </c>
      <c r="G104" s="90">
        <v>-70646.61</v>
      </c>
      <c r="H104" s="90">
        <v>-36323.06</v>
      </c>
      <c r="I104" s="90">
        <v>-803772.72</v>
      </c>
      <c r="J104" s="90">
        <v>-29335.93</v>
      </c>
      <c r="K104" s="90">
        <v>0</v>
      </c>
      <c r="L104" s="90">
        <v>-252466.93</v>
      </c>
      <c r="M104" s="90">
        <v>-236368.74</v>
      </c>
      <c r="N104" s="90">
        <v>-1130006.71</v>
      </c>
      <c r="O104" s="90">
        <v>-257176.04</v>
      </c>
      <c r="P104" s="90">
        <v>-47862.97</v>
      </c>
      <c r="Q104" s="90">
        <v>0</v>
      </c>
      <c r="R104">
        <v>0</v>
      </c>
    </row>
    <row r="105" spans="2:18" ht="12.75" customHeight="1" x14ac:dyDescent="0.25">
      <c r="C105" s="89" t="s">
        <v>118</v>
      </c>
      <c r="D105" s="89" t="s">
        <v>70</v>
      </c>
      <c r="E105" s="373">
        <v>-2991426.99</v>
      </c>
      <c r="F105" s="90">
        <v>-127467.28</v>
      </c>
      <c r="G105" s="90">
        <v>-70646.61</v>
      </c>
      <c r="H105" s="90">
        <v>-36323.06</v>
      </c>
      <c r="I105" s="90">
        <v>-803772.72</v>
      </c>
      <c r="J105" s="90">
        <v>-29335.93</v>
      </c>
      <c r="K105" s="90">
        <v>0</v>
      </c>
      <c r="L105" s="90">
        <v>-252466.93</v>
      </c>
      <c r="M105" s="90">
        <v>-236368.74</v>
      </c>
      <c r="N105" s="90">
        <v>-1130006.71</v>
      </c>
      <c r="O105" s="90">
        <v>-257176.04</v>
      </c>
      <c r="P105" s="90">
        <v>-47862.97</v>
      </c>
      <c r="Q105" s="90">
        <v>0</v>
      </c>
      <c r="R105">
        <v>0</v>
      </c>
    </row>
    <row r="106" spans="2:18" s="224" customFormat="1" ht="12.75" customHeight="1" x14ac:dyDescent="0.25">
      <c r="B106" s="223" t="s">
        <v>120</v>
      </c>
      <c r="C106" s="223" t="s">
        <v>70</v>
      </c>
      <c r="E106" s="225">
        <v>-4383219.66</v>
      </c>
      <c r="F106" s="225">
        <v>-177618.07</v>
      </c>
      <c r="G106" s="225">
        <v>-98660.11</v>
      </c>
      <c r="H106" s="225">
        <v>-49328.52</v>
      </c>
      <c r="I106" s="225">
        <v>-1187155.5900000001</v>
      </c>
      <c r="J106" s="225">
        <v>-42960.93</v>
      </c>
      <c r="K106" s="225">
        <v>0</v>
      </c>
      <c r="L106" s="225">
        <v>-376592.67</v>
      </c>
      <c r="M106" s="225">
        <v>-355499.13</v>
      </c>
      <c r="N106" s="225">
        <v>-1668958.95</v>
      </c>
      <c r="O106" s="225">
        <v>-357471.88</v>
      </c>
      <c r="P106" s="225">
        <v>-68973.81</v>
      </c>
      <c r="Q106" s="225">
        <v>0</v>
      </c>
      <c r="R106" s="224">
        <v>0</v>
      </c>
    </row>
    <row r="107" spans="2:18" ht="12.75" customHeight="1" x14ac:dyDescent="0.25">
      <c r="D107" s="89" t="s">
        <v>73</v>
      </c>
      <c r="E107" s="373">
        <v>-514526.65</v>
      </c>
      <c r="F107" s="90">
        <v>-8131.89</v>
      </c>
      <c r="G107" s="90">
        <v>-4889.84</v>
      </c>
      <c r="H107" s="90">
        <v>-2387.7600000000002</v>
      </c>
      <c r="I107" s="90">
        <v>-141534.35999999999</v>
      </c>
      <c r="J107" s="90">
        <v>-6055.97</v>
      </c>
      <c r="K107" s="90">
        <v>0</v>
      </c>
      <c r="L107" s="90">
        <v>-51721.56</v>
      </c>
      <c r="M107" s="90">
        <v>-48223.47</v>
      </c>
      <c r="N107" s="90">
        <v>-230340.95</v>
      </c>
      <c r="O107" s="90">
        <v>-11478.08</v>
      </c>
      <c r="P107" s="90">
        <v>-9762.77</v>
      </c>
      <c r="Q107" s="90">
        <v>0</v>
      </c>
      <c r="R107">
        <v>0</v>
      </c>
    </row>
    <row r="108" spans="2:18" ht="12.75" customHeight="1" x14ac:dyDescent="0.25">
      <c r="C108" t="s">
        <v>82</v>
      </c>
      <c r="D108" s="89" t="s">
        <v>70</v>
      </c>
      <c r="E108" s="373">
        <v>-514526.65</v>
      </c>
      <c r="F108" s="90">
        <v>-8131.89</v>
      </c>
      <c r="G108" s="90">
        <v>-4889.84</v>
      </c>
      <c r="H108" s="90">
        <v>-2387.7600000000002</v>
      </c>
      <c r="I108" s="90">
        <v>-141534.35999999999</v>
      </c>
      <c r="J108" s="90">
        <v>-6055.97</v>
      </c>
      <c r="K108" s="90">
        <v>0</v>
      </c>
      <c r="L108" s="90">
        <v>-51721.56</v>
      </c>
      <c r="M108" s="90">
        <v>-48223.47</v>
      </c>
      <c r="N108" s="90">
        <v>-230340.95</v>
      </c>
      <c r="O108" s="90">
        <v>-11478.08</v>
      </c>
      <c r="P108" s="90">
        <v>-9762.77</v>
      </c>
      <c r="Q108" s="90">
        <v>0</v>
      </c>
      <c r="R108">
        <v>0</v>
      </c>
    </row>
    <row r="109" spans="2:18" ht="12.75" customHeight="1" x14ac:dyDescent="0.25">
      <c r="D109" s="89" t="s">
        <v>73</v>
      </c>
      <c r="E109" s="373">
        <v>3162669.24</v>
      </c>
      <c r="F109" s="90">
        <v>1558830.74</v>
      </c>
      <c r="G109" s="90">
        <v>869728.56</v>
      </c>
      <c r="H109" s="90">
        <v>458243.59</v>
      </c>
      <c r="I109" s="90">
        <v>-775600.27</v>
      </c>
      <c r="J109" s="90">
        <v>-32196.27</v>
      </c>
      <c r="K109" s="90">
        <v>0</v>
      </c>
      <c r="L109" s="90">
        <v>-279610.34000000003</v>
      </c>
      <c r="M109" s="90">
        <v>-247708.66</v>
      </c>
      <c r="N109" s="90">
        <v>-1433428.39</v>
      </c>
      <c r="O109" s="90">
        <v>3097340.6</v>
      </c>
      <c r="P109" s="90">
        <v>-52930.32</v>
      </c>
      <c r="Q109" s="90">
        <v>0</v>
      </c>
      <c r="R109">
        <v>0</v>
      </c>
    </row>
    <row r="110" spans="2:18" ht="12.75" customHeight="1" x14ac:dyDescent="0.25">
      <c r="C110" t="s">
        <v>86</v>
      </c>
      <c r="D110" s="89" t="s">
        <v>70</v>
      </c>
      <c r="E110" s="373">
        <v>3162669.24</v>
      </c>
      <c r="F110" s="90">
        <v>1558830.74</v>
      </c>
      <c r="G110" s="90">
        <v>869728.56</v>
      </c>
      <c r="H110" s="90">
        <v>458243.59</v>
      </c>
      <c r="I110" s="90">
        <v>-775600.27</v>
      </c>
      <c r="J110" s="90">
        <v>-32196.27</v>
      </c>
      <c r="K110" s="90">
        <v>0</v>
      </c>
      <c r="L110" s="90">
        <v>-279610.34000000003</v>
      </c>
      <c r="M110" s="90">
        <v>-247708.66</v>
      </c>
      <c r="N110" s="90">
        <v>-1433428.39</v>
      </c>
      <c r="O110" s="90">
        <v>3097340.6</v>
      </c>
      <c r="P110" s="90">
        <v>-52930.32</v>
      </c>
      <c r="Q110" s="90">
        <v>0</v>
      </c>
      <c r="R110">
        <v>0</v>
      </c>
    </row>
    <row r="111" spans="2:18" ht="12.75" customHeight="1" x14ac:dyDescent="0.25">
      <c r="D111" s="89" t="s">
        <v>73</v>
      </c>
      <c r="E111" s="373">
        <v>179385.18</v>
      </c>
      <c r="F111" s="90">
        <v>26473.77</v>
      </c>
      <c r="G111" s="90">
        <v>12639.61</v>
      </c>
      <c r="H111" s="90">
        <v>6934.49</v>
      </c>
      <c r="I111" s="90">
        <v>22445.77</v>
      </c>
      <c r="J111" s="90">
        <v>787.78</v>
      </c>
      <c r="K111" s="90">
        <v>0</v>
      </c>
      <c r="L111" s="90">
        <v>6910.4</v>
      </c>
      <c r="M111" s="90">
        <v>8725.23</v>
      </c>
      <c r="N111" s="90">
        <v>40155.9</v>
      </c>
      <c r="O111" s="90">
        <v>53026.89</v>
      </c>
      <c r="P111" s="90">
        <v>1285.3399999999999</v>
      </c>
      <c r="Q111" s="90">
        <v>0</v>
      </c>
      <c r="R111">
        <v>0</v>
      </c>
    </row>
    <row r="112" spans="2:18" ht="12.75" customHeight="1" x14ac:dyDescent="0.25">
      <c r="C112" t="s">
        <v>87</v>
      </c>
      <c r="D112" s="89" t="s">
        <v>70</v>
      </c>
      <c r="E112" s="90">
        <v>179385.18</v>
      </c>
      <c r="F112" s="90">
        <v>26473.77</v>
      </c>
      <c r="G112" s="90">
        <v>12639.61</v>
      </c>
      <c r="H112" s="90">
        <v>6934.49</v>
      </c>
      <c r="I112" s="90">
        <v>22445.77</v>
      </c>
      <c r="J112" s="90">
        <v>787.78</v>
      </c>
      <c r="K112" s="90">
        <v>0</v>
      </c>
      <c r="L112" s="90">
        <v>6910.4</v>
      </c>
      <c r="M112" s="90">
        <v>8725.23</v>
      </c>
      <c r="N112" s="90">
        <v>40155.9</v>
      </c>
      <c r="O112" s="90">
        <v>53026.89</v>
      </c>
      <c r="P112" s="90">
        <v>1285.3399999999999</v>
      </c>
      <c r="Q112" s="90">
        <v>0</v>
      </c>
      <c r="R112">
        <v>0</v>
      </c>
    </row>
    <row r="113" spans="1:19" s="94" customFormat="1" ht="12.75" customHeight="1" x14ac:dyDescent="0.25">
      <c r="B113" s="101" t="s">
        <v>119</v>
      </c>
      <c r="C113" s="101" t="s">
        <v>70</v>
      </c>
      <c r="E113" s="93">
        <v>2827527.77</v>
      </c>
      <c r="F113" s="93">
        <v>1577172.62</v>
      </c>
      <c r="G113" s="93">
        <v>877478.33</v>
      </c>
      <c r="H113" s="93">
        <v>462790.32</v>
      </c>
      <c r="I113" s="93">
        <v>-894688.86</v>
      </c>
      <c r="J113" s="93">
        <v>-37464.46</v>
      </c>
      <c r="K113" s="93">
        <v>0</v>
      </c>
      <c r="L113" s="93">
        <v>-324421.5</v>
      </c>
      <c r="M113" s="93">
        <v>-287206.90000000002</v>
      </c>
      <c r="N113" s="93">
        <v>-1623613.4399999999</v>
      </c>
      <c r="O113" s="93">
        <v>3138889.41</v>
      </c>
      <c r="P113" s="93">
        <v>-61407.75</v>
      </c>
      <c r="Q113" s="93">
        <v>0</v>
      </c>
      <c r="R113" s="94">
        <v>0</v>
      </c>
    </row>
    <row r="114" spans="1:19" s="226" customFormat="1" ht="12.75" customHeight="1" x14ac:dyDescent="0.25">
      <c r="A114" s="98" t="s">
        <v>79</v>
      </c>
      <c r="B114" s="98" t="s">
        <v>70</v>
      </c>
      <c r="E114" s="100">
        <v>-20704709.399999999</v>
      </c>
      <c r="F114" s="100">
        <v>638945.75</v>
      </c>
      <c r="G114" s="100">
        <v>361369.84</v>
      </c>
      <c r="H114" s="100">
        <v>205685.41</v>
      </c>
      <c r="I114" s="100">
        <v>-7228805.5700000003</v>
      </c>
      <c r="J114" s="100">
        <v>-272201.48</v>
      </c>
      <c r="K114" s="100">
        <v>0</v>
      </c>
      <c r="L114" s="100">
        <v>-2349338.38</v>
      </c>
      <c r="M114" s="100">
        <v>-2202021.66</v>
      </c>
      <c r="N114" s="100">
        <v>-10694052.369999999</v>
      </c>
      <c r="O114" s="100">
        <v>1271486.21</v>
      </c>
      <c r="P114" s="100">
        <v>-435777.15</v>
      </c>
      <c r="Q114" s="100">
        <v>0</v>
      </c>
      <c r="R114" s="226">
        <v>0</v>
      </c>
    </row>
    <row r="115" spans="1:19" ht="12.75" customHeight="1" x14ac:dyDescent="0.25">
      <c r="A115" s="89" t="s">
        <v>70</v>
      </c>
      <c r="E115" s="90">
        <v>95705711.269999996</v>
      </c>
      <c r="F115" s="90">
        <v>8263347.5199999996</v>
      </c>
      <c r="G115" s="90">
        <v>4725736.8499999996</v>
      </c>
      <c r="H115" s="90">
        <v>2051688.1</v>
      </c>
      <c r="I115" s="90">
        <v>19810912.899999999</v>
      </c>
      <c r="J115" s="90">
        <v>684254.07</v>
      </c>
      <c r="K115" s="90">
        <v>70736.95</v>
      </c>
      <c r="L115" s="90">
        <v>7355525.3099999996</v>
      </c>
      <c r="M115" s="90">
        <v>5361479.96</v>
      </c>
      <c r="N115" s="90">
        <v>21693880.02</v>
      </c>
      <c r="O115" s="90">
        <v>17968587.989999998</v>
      </c>
      <c r="P115" s="90">
        <v>960189.83</v>
      </c>
      <c r="Q115" s="90">
        <v>22.96</v>
      </c>
      <c r="R115">
        <v>6759348.8099999996</v>
      </c>
    </row>
    <row r="116" spans="1:19" ht="12.75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hidden="1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hidden="1" customHeight="1" x14ac:dyDescent="0.25">
      <c r="A144" s="89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customHeight="1" x14ac:dyDescent="0.25">
      <c r="A145" s="89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customHeight="1" x14ac:dyDescent="0.25">
      <c r="B146" s="768" t="s">
        <v>2</v>
      </c>
      <c r="C146" s="769" t="s">
        <v>132</v>
      </c>
      <c r="D146" s="98" t="s">
        <v>70</v>
      </c>
      <c r="E146" s="100">
        <f>E91+E114-K91</f>
        <v>95634974.320000008</v>
      </c>
      <c r="F146" s="100">
        <f>F91</f>
        <v>7624401.7699999996</v>
      </c>
      <c r="G146" s="100">
        <f t="shared" ref="G146:R146" si="3">G91</f>
        <v>4364367.01</v>
      </c>
      <c r="H146" s="100">
        <f t="shared" si="3"/>
        <v>1846002.69</v>
      </c>
      <c r="I146" s="100">
        <f t="shared" si="3"/>
        <v>27039718.469999999</v>
      </c>
      <c r="J146" s="100">
        <f t="shared" si="3"/>
        <v>956455.55</v>
      </c>
      <c r="K146" s="100">
        <f t="shared" si="3"/>
        <v>70736.95</v>
      </c>
      <c r="L146" s="100">
        <f t="shared" si="3"/>
        <v>9704863.6899999995</v>
      </c>
      <c r="M146" s="100">
        <f t="shared" si="3"/>
        <v>7563501.6200000001</v>
      </c>
      <c r="N146" s="100">
        <f t="shared" si="3"/>
        <v>32387932.390000001</v>
      </c>
      <c r="O146" s="100">
        <f t="shared" si="3"/>
        <v>16697101.779999999</v>
      </c>
      <c r="P146" s="100">
        <f t="shared" si="3"/>
        <v>1395966.98</v>
      </c>
      <c r="Q146" s="100">
        <f t="shared" si="3"/>
        <v>22.96</v>
      </c>
      <c r="R146" s="100">
        <f t="shared" si="3"/>
        <v>6759348.8099999996</v>
      </c>
    </row>
    <row r="147" spans="1:19" ht="12.75" customHeight="1" x14ac:dyDescent="0.25">
      <c r="B147" s="768"/>
      <c r="C147" s="769"/>
      <c r="D147" s="98" t="s">
        <v>73</v>
      </c>
      <c r="E147" s="100">
        <f>E114</f>
        <v>-20704709.399999999</v>
      </c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spans="1:19" ht="12.75" customHeight="1" x14ac:dyDescent="0.25">
      <c r="A148" s="89"/>
      <c r="B148" s="97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9" ht="12.75" customHeight="1" x14ac:dyDescent="0.25">
      <c r="B149" s="768" t="s">
        <v>160</v>
      </c>
      <c r="C149" s="769" t="s">
        <v>132</v>
      </c>
      <c r="D149" s="223" t="s">
        <v>70</v>
      </c>
      <c r="E149" s="225">
        <f>E106+E94+E80+E65-K65-K80</f>
        <v>11762381.269999998</v>
      </c>
      <c r="F149" s="225">
        <f>F80+F65</f>
        <v>970731.18</v>
      </c>
      <c r="G149" s="225">
        <f t="shared" ref="G149:R149" si="4">G80+G65</f>
        <v>533860.09000000008</v>
      </c>
      <c r="H149" s="225">
        <f t="shared" si="4"/>
        <v>192854.22</v>
      </c>
      <c r="I149" s="225">
        <f t="shared" si="4"/>
        <v>4921384.82</v>
      </c>
      <c r="J149" s="225">
        <f t="shared" si="4"/>
        <v>177446.98</v>
      </c>
      <c r="K149" s="225">
        <f t="shared" si="4"/>
        <v>0</v>
      </c>
      <c r="L149" s="225">
        <f t="shared" si="4"/>
        <v>1381104.32</v>
      </c>
      <c r="M149" s="225">
        <f t="shared" si="4"/>
        <v>1208217.5999999999</v>
      </c>
      <c r="N149" s="225">
        <f t="shared" si="4"/>
        <v>4584200.43</v>
      </c>
      <c r="O149" s="225">
        <f t="shared" si="4"/>
        <v>1976769.69</v>
      </c>
      <c r="P149" s="225">
        <f t="shared" si="4"/>
        <v>217647.76</v>
      </c>
      <c r="Q149" s="225">
        <f t="shared" si="4"/>
        <v>-2.29</v>
      </c>
      <c r="R149" s="225">
        <f t="shared" si="4"/>
        <v>0</v>
      </c>
    </row>
    <row r="150" spans="1:19" ht="12.75" customHeight="1" x14ac:dyDescent="0.25">
      <c r="B150" s="768"/>
      <c r="C150" s="769"/>
      <c r="D150" s="223" t="s">
        <v>73</v>
      </c>
      <c r="E150" s="225">
        <f>E106+E94</f>
        <v>-4401833.53</v>
      </c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spans="1:19" ht="12.75" customHeight="1" x14ac:dyDescent="0.25">
      <c r="A151" s="89"/>
      <c r="B151" s="97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9" ht="12.75" customHeight="1" x14ac:dyDescent="0.25">
      <c r="B152" s="768" t="s">
        <v>155</v>
      </c>
      <c r="C152" s="769" t="s">
        <v>132</v>
      </c>
      <c r="D152" s="221" t="s">
        <v>70</v>
      </c>
      <c r="E152" s="222">
        <f>E97+E69-K69</f>
        <v>39342901.739999995</v>
      </c>
      <c r="F152" s="222">
        <f>F69</f>
        <v>3197361.15</v>
      </c>
      <c r="G152" s="222">
        <f t="shared" ref="G152:R152" si="5">G69</f>
        <v>1901273.42</v>
      </c>
      <c r="H152" s="222">
        <f t="shared" si="5"/>
        <v>686683.43</v>
      </c>
      <c r="I152" s="222">
        <f t="shared" si="5"/>
        <v>15219079.890000001</v>
      </c>
      <c r="J152" s="222">
        <f t="shared" si="5"/>
        <v>516811.93</v>
      </c>
      <c r="K152" s="222">
        <f t="shared" si="5"/>
        <v>70736.95</v>
      </c>
      <c r="L152" s="222">
        <f t="shared" si="5"/>
        <v>5896774.25</v>
      </c>
      <c r="M152" s="222">
        <f t="shared" si="5"/>
        <v>4173878.86</v>
      </c>
      <c r="N152" s="222">
        <f t="shared" si="5"/>
        <v>18535926.93</v>
      </c>
      <c r="O152" s="222">
        <f t="shared" si="5"/>
        <v>7537754.8899999997</v>
      </c>
      <c r="P152" s="222">
        <f t="shared" si="5"/>
        <v>807729.23</v>
      </c>
      <c r="Q152" s="222">
        <f t="shared" si="5"/>
        <v>31.4</v>
      </c>
      <c r="R152" s="222">
        <f t="shared" si="5"/>
        <v>0</v>
      </c>
    </row>
    <row r="153" spans="1:19" ht="12.75" customHeight="1" x14ac:dyDescent="0.25">
      <c r="B153" s="768"/>
      <c r="C153" s="769"/>
      <c r="D153" s="221" t="s">
        <v>73</v>
      </c>
      <c r="E153" s="222">
        <f>E97</f>
        <v>-19130403.640000001</v>
      </c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</row>
    <row r="154" spans="1:19" ht="12.75" customHeight="1" x14ac:dyDescent="0.25">
      <c r="A154" s="89"/>
      <c r="B154" s="97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9" ht="12.75" customHeight="1" x14ac:dyDescent="0.25">
      <c r="B155" s="771" t="s">
        <v>324</v>
      </c>
      <c r="C155" s="769" t="s">
        <v>132</v>
      </c>
      <c r="D155" s="375" t="s">
        <v>70</v>
      </c>
      <c r="E155" s="376">
        <v>0</v>
      </c>
      <c r="F155" s="376">
        <v>0</v>
      </c>
      <c r="G155" s="376">
        <v>0</v>
      </c>
      <c r="H155" s="376">
        <v>0</v>
      </c>
      <c r="I155" s="376">
        <v>0</v>
      </c>
      <c r="J155" s="376">
        <v>0</v>
      </c>
      <c r="K155" s="376">
        <v>0</v>
      </c>
      <c r="L155" s="376">
        <v>0</v>
      </c>
      <c r="M155" s="376">
        <v>0</v>
      </c>
      <c r="N155" s="376">
        <v>0</v>
      </c>
      <c r="O155" s="376">
        <v>0</v>
      </c>
      <c r="P155" s="376">
        <v>0</v>
      </c>
      <c r="Q155" s="376">
        <v>0</v>
      </c>
      <c r="R155" s="376">
        <v>0</v>
      </c>
    </row>
    <row r="156" spans="1:19" ht="12.75" customHeight="1" x14ac:dyDescent="0.25">
      <c r="B156" s="771"/>
      <c r="C156" s="769"/>
      <c r="D156" s="375" t="s">
        <v>73</v>
      </c>
      <c r="E156" s="376">
        <v>0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9" ht="12.75" customHeight="1" x14ac:dyDescent="0.25">
      <c r="B157" s="717"/>
      <c r="C157" s="220"/>
      <c r="D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9" ht="12.75" customHeight="1" x14ac:dyDescent="0.25">
      <c r="B158" s="768" t="s">
        <v>119</v>
      </c>
      <c r="C158" s="769" t="s">
        <v>132</v>
      </c>
      <c r="D158" s="101" t="s">
        <v>70</v>
      </c>
      <c r="E158" s="93">
        <f>E90+E113-K90</f>
        <v>44529691.310000002</v>
      </c>
      <c r="F158" s="93">
        <f>F90</f>
        <v>3456309.44</v>
      </c>
      <c r="G158" s="93">
        <f t="shared" ref="G158:R158" si="6">G90</f>
        <v>1929233.5</v>
      </c>
      <c r="H158" s="93">
        <f t="shared" si="6"/>
        <v>966465.04</v>
      </c>
      <c r="I158" s="93">
        <f t="shared" si="6"/>
        <v>6899253.7599999998</v>
      </c>
      <c r="J158" s="93">
        <f t="shared" si="6"/>
        <v>262196.64</v>
      </c>
      <c r="K158" s="93">
        <f t="shared" si="6"/>
        <v>0</v>
      </c>
      <c r="L158" s="93">
        <f t="shared" si="6"/>
        <v>2426985.12</v>
      </c>
      <c r="M158" s="93">
        <f t="shared" si="6"/>
        <v>2181405.16</v>
      </c>
      <c r="N158" s="93">
        <f t="shared" si="6"/>
        <v>9267805.0299999993</v>
      </c>
      <c r="O158" s="93">
        <f t="shared" si="6"/>
        <v>7182577.2000000002</v>
      </c>
      <c r="P158" s="93">
        <f t="shared" si="6"/>
        <v>370589.99</v>
      </c>
      <c r="Q158" s="93">
        <f t="shared" si="6"/>
        <v>-6.1499999999999986</v>
      </c>
      <c r="R158" s="93">
        <f t="shared" si="6"/>
        <v>6759348.8099999996</v>
      </c>
    </row>
    <row r="159" spans="1:19" ht="12.75" customHeight="1" x14ac:dyDescent="0.25">
      <c r="B159" s="768"/>
      <c r="C159" s="769"/>
      <c r="D159" s="101" t="s">
        <v>73</v>
      </c>
      <c r="E159" s="93">
        <f>E113</f>
        <v>2827527.77</v>
      </c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spans="1:19" ht="12.75" customHeight="1" x14ac:dyDescent="0.25">
      <c r="A160" s="89"/>
      <c r="B160" s="97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2:18" ht="12.75" customHeight="1" x14ac:dyDescent="0.25">
      <c r="B161" s="770" t="s">
        <v>161</v>
      </c>
      <c r="C161" s="769" t="s">
        <v>132</v>
      </c>
      <c r="D161" s="231" t="s">
        <v>70</v>
      </c>
      <c r="E161" s="232">
        <v>0</v>
      </c>
      <c r="F161" s="232">
        <v>0</v>
      </c>
      <c r="G161" s="232">
        <v>0</v>
      </c>
      <c r="H161" s="232">
        <v>0</v>
      </c>
      <c r="I161" s="232">
        <v>0</v>
      </c>
      <c r="J161" s="232">
        <v>0</v>
      </c>
      <c r="K161" s="232">
        <v>0</v>
      </c>
      <c r="L161" s="232">
        <v>0</v>
      </c>
      <c r="M161" s="232">
        <v>0</v>
      </c>
      <c r="N161" s="232">
        <v>0</v>
      </c>
      <c r="O161" s="232">
        <v>0</v>
      </c>
      <c r="P161" s="232">
        <v>0</v>
      </c>
      <c r="Q161" s="232">
        <v>0</v>
      </c>
      <c r="R161" s="232">
        <v>0</v>
      </c>
    </row>
    <row r="162" spans="2:18" ht="12.75" customHeight="1" x14ac:dyDescent="0.25">
      <c r="B162" s="770"/>
      <c r="C162" s="769"/>
      <c r="D162" s="231" t="s">
        <v>73</v>
      </c>
      <c r="E162" s="232">
        <v>0</v>
      </c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</row>
    <row r="163" spans="2:18" s="238" customFormat="1" x14ac:dyDescent="0.25"/>
    <row r="164" spans="2:18" x14ac:dyDescent="0.25">
      <c r="B164" s="97" t="s">
        <v>76</v>
      </c>
    </row>
    <row r="165" spans="2:18" ht="12.6" customHeight="1" x14ac:dyDescent="0.25">
      <c r="E165" s="89" t="s">
        <v>70</v>
      </c>
      <c r="F165" s="89" t="s">
        <v>64</v>
      </c>
      <c r="G165" s="89" t="s">
        <v>65</v>
      </c>
      <c r="H165" s="219" t="s">
        <v>164</v>
      </c>
      <c r="I165" s="89" t="s">
        <v>69</v>
      </c>
      <c r="J165" s="89" t="s">
        <v>68</v>
      </c>
      <c r="K165" s="89" t="s">
        <v>83</v>
      </c>
      <c r="L165" s="89" t="s">
        <v>66</v>
      </c>
      <c r="M165" s="89" t="s">
        <v>63</v>
      </c>
      <c r="N165" s="89" t="s">
        <v>61</v>
      </c>
      <c r="O165" s="89" t="s">
        <v>62</v>
      </c>
      <c r="P165" s="89" t="s">
        <v>67</v>
      </c>
      <c r="Q165" s="89" t="s">
        <v>84</v>
      </c>
      <c r="R165" s="386" t="s">
        <v>224</v>
      </c>
    </row>
    <row r="166" spans="2:18" ht="12.75" customHeight="1" x14ac:dyDescent="0.25">
      <c r="D166" s="89" t="s">
        <v>72</v>
      </c>
      <c r="E166" s="373">
        <v>16583330.67</v>
      </c>
      <c r="F166" s="90">
        <v>792075.76</v>
      </c>
      <c r="G166" s="90">
        <v>463746.6</v>
      </c>
      <c r="H166" s="90">
        <v>335304.12</v>
      </c>
      <c r="I166" s="90">
        <v>2944785.23</v>
      </c>
      <c r="J166" s="90">
        <v>90936.85</v>
      </c>
      <c r="K166" s="90">
        <v>16082.29</v>
      </c>
      <c r="L166" s="90">
        <v>1337868.26</v>
      </c>
      <c r="M166" s="90">
        <v>1005229.68</v>
      </c>
      <c r="N166" s="90">
        <v>7497978.9500000002</v>
      </c>
      <c r="O166" s="90">
        <v>1966535.49</v>
      </c>
      <c r="P166" s="90">
        <v>132950.99</v>
      </c>
      <c r="Q166" s="90">
        <v>-163.55000000000001</v>
      </c>
      <c r="R166">
        <v>0</v>
      </c>
    </row>
    <row r="167" spans="2:18" ht="12.75" customHeight="1" x14ac:dyDescent="0.25">
      <c r="D167" s="89" t="s">
        <v>81</v>
      </c>
      <c r="E167" s="373">
        <v>234739.19</v>
      </c>
      <c r="F167" s="90">
        <v>39607.24</v>
      </c>
      <c r="G167" s="90">
        <v>19460.02</v>
      </c>
      <c r="H167" s="90">
        <v>8531.18</v>
      </c>
      <c r="I167" s="90">
        <v>60979.93</v>
      </c>
      <c r="J167" s="90">
        <v>4247.8599999999997</v>
      </c>
      <c r="K167" s="90">
        <v>0</v>
      </c>
      <c r="L167" s="90">
        <v>6769.89</v>
      </c>
      <c r="M167" s="90">
        <v>2126.0300000000002</v>
      </c>
      <c r="N167" s="90">
        <v>9924.2099999999991</v>
      </c>
      <c r="O167" s="90">
        <v>73766.33</v>
      </c>
      <c r="P167" s="90">
        <v>6930.05</v>
      </c>
      <c r="Q167" s="90">
        <v>2396.4499999999998</v>
      </c>
      <c r="R167">
        <v>0</v>
      </c>
    </row>
    <row r="168" spans="2:18" ht="12.75" customHeight="1" x14ac:dyDescent="0.25">
      <c r="C168" t="s">
        <v>156</v>
      </c>
      <c r="D168" s="89" t="s">
        <v>70</v>
      </c>
      <c r="E168" s="373">
        <v>16818069.859999999</v>
      </c>
      <c r="F168" s="90">
        <v>831683</v>
      </c>
      <c r="G168" s="90">
        <v>483206.62</v>
      </c>
      <c r="H168" s="90">
        <v>343835.3</v>
      </c>
      <c r="I168" s="90">
        <v>3005765.16</v>
      </c>
      <c r="J168" s="90">
        <v>95184.71</v>
      </c>
      <c r="K168" s="90">
        <v>16082.29</v>
      </c>
      <c r="L168" s="90">
        <v>1344638.15</v>
      </c>
      <c r="M168" s="90">
        <v>1007355.71</v>
      </c>
      <c r="N168" s="90">
        <v>7507903.1600000001</v>
      </c>
      <c r="O168" s="90">
        <v>2040301.82</v>
      </c>
      <c r="P168" s="90">
        <v>139881.04</v>
      </c>
      <c r="Q168" s="90">
        <v>2232.9</v>
      </c>
      <c r="R168">
        <v>0</v>
      </c>
    </row>
    <row r="169" spans="2:18" s="237" customFormat="1" ht="12.75" customHeight="1" x14ac:dyDescent="0.25">
      <c r="B169" s="237" t="s">
        <v>155</v>
      </c>
      <c r="C169" s="237" t="s">
        <v>70</v>
      </c>
      <c r="D169" s="221"/>
      <c r="E169" s="558">
        <v>16818069.859999999</v>
      </c>
      <c r="F169" s="222">
        <v>831683</v>
      </c>
      <c r="G169" s="222">
        <v>483206.62</v>
      </c>
      <c r="H169" s="222">
        <v>343835.3</v>
      </c>
      <c r="I169" s="222">
        <v>3005765.16</v>
      </c>
      <c r="J169" s="222">
        <v>95184.71</v>
      </c>
      <c r="K169" s="222">
        <v>16082.29</v>
      </c>
      <c r="L169" s="222">
        <v>1344638.15</v>
      </c>
      <c r="M169" s="222">
        <v>1007355.71</v>
      </c>
      <c r="N169" s="222">
        <v>7507903.1600000001</v>
      </c>
      <c r="O169" s="222">
        <v>2040301.82</v>
      </c>
      <c r="P169" s="222">
        <v>139881.04</v>
      </c>
      <c r="Q169" s="222">
        <v>2232.9</v>
      </c>
      <c r="R169" s="237">
        <v>0</v>
      </c>
    </row>
    <row r="170" spans="2:18" ht="12.6" customHeight="1" x14ac:dyDescent="0.25">
      <c r="D170" t="s">
        <v>72</v>
      </c>
      <c r="E170">
        <v>1146050.01</v>
      </c>
      <c r="F170">
        <v>206462.72</v>
      </c>
      <c r="G170">
        <v>114371.35</v>
      </c>
      <c r="H170">
        <v>60846.99</v>
      </c>
      <c r="I170">
        <v>63335.79</v>
      </c>
      <c r="J170">
        <v>2296.2600000000002</v>
      </c>
      <c r="K170">
        <v>0</v>
      </c>
      <c r="L170">
        <v>24296.87</v>
      </c>
      <c r="M170">
        <v>28161.99</v>
      </c>
      <c r="N170">
        <v>152987.63</v>
      </c>
      <c r="O170">
        <v>489544.78</v>
      </c>
      <c r="P170">
        <v>3746.52</v>
      </c>
      <c r="Q170">
        <v>-0.89</v>
      </c>
      <c r="R170">
        <v>0</v>
      </c>
    </row>
    <row r="171" spans="2:18" ht="12.6" customHeight="1" x14ac:dyDescent="0.25">
      <c r="C171" t="s">
        <v>82</v>
      </c>
      <c r="D171" t="s">
        <v>70</v>
      </c>
      <c r="E171" s="142">
        <v>1146050.01</v>
      </c>
      <c r="F171">
        <v>206462.72</v>
      </c>
      <c r="G171">
        <v>114371.35</v>
      </c>
      <c r="H171">
        <v>60846.99</v>
      </c>
      <c r="I171">
        <v>63335.79</v>
      </c>
      <c r="J171">
        <v>2296.2600000000002</v>
      </c>
      <c r="K171">
        <v>0</v>
      </c>
      <c r="L171">
        <v>24296.87</v>
      </c>
      <c r="M171">
        <v>28161.99</v>
      </c>
      <c r="N171">
        <v>152987.63</v>
      </c>
      <c r="O171">
        <v>489544.78</v>
      </c>
      <c r="P171">
        <v>3746.52</v>
      </c>
      <c r="Q171">
        <v>-0.89</v>
      </c>
      <c r="R171">
        <v>0</v>
      </c>
    </row>
    <row r="172" spans="2:18" ht="12.75" customHeight="1" x14ac:dyDescent="0.25">
      <c r="D172" t="s">
        <v>72</v>
      </c>
      <c r="E172">
        <v>199970.27</v>
      </c>
      <c r="F172">
        <v>8943.01</v>
      </c>
      <c r="G172">
        <v>4030.12</v>
      </c>
      <c r="H172">
        <v>2527.7199999999998</v>
      </c>
      <c r="I172">
        <v>21344.01</v>
      </c>
      <c r="J172">
        <v>1530.84</v>
      </c>
      <c r="K172">
        <v>0</v>
      </c>
      <c r="L172">
        <v>16785.400000000001</v>
      </c>
      <c r="M172">
        <v>21903.77</v>
      </c>
      <c r="N172">
        <v>99236.57</v>
      </c>
      <c r="O172">
        <v>20124.27</v>
      </c>
      <c r="P172">
        <v>3539</v>
      </c>
      <c r="Q172">
        <v>5.56</v>
      </c>
      <c r="R172">
        <v>0</v>
      </c>
    </row>
    <row r="173" spans="2:18" ht="12.75" customHeight="1" x14ac:dyDescent="0.25">
      <c r="D173" s="89" t="s">
        <v>81</v>
      </c>
      <c r="E173" s="373">
        <v>6845.43</v>
      </c>
      <c r="F173" s="90">
        <v>1418.96</v>
      </c>
      <c r="G173" s="90">
        <v>795.89</v>
      </c>
      <c r="H173" s="90">
        <v>420.99</v>
      </c>
      <c r="I173" s="90">
        <v>300.32</v>
      </c>
      <c r="J173" s="90">
        <v>8.98</v>
      </c>
      <c r="K173" s="90">
        <v>0</v>
      </c>
      <c r="L173" s="90">
        <v>78.77</v>
      </c>
      <c r="M173" s="90">
        <v>76.739999999999995</v>
      </c>
      <c r="N173" s="90">
        <v>361.71</v>
      </c>
      <c r="O173" s="90">
        <v>3368.4</v>
      </c>
      <c r="P173" s="90">
        <v>14.65</v>
      </c>
      <c r="Q173" s="90">
        <v>0.02</v>
      </c>
      <c r="R173">
        <v>0</v>
      </c>
    </row>
    <row r="174" spans="2:18" ht="12.75" customHeight="1" x14ac:dyDescent="0.25">
      <c r="C174" t="s">
        <v>86</v>
      </c>
      <c r="D174" t="s">
        <v>70</v>
      </c>
      <c r="E174" s="142">
        <v>206815.7</v>
      </c>
      <c r="F174">
        <v>10361.969999999999</v>
      </c>
      <c r="G174">
        <v>4826.01</v>
      </c>
      <c r="H174">
        <v>2948.71</v>
      </c>
      <c r="I174">
        <v>21644.33</v>
      </c>
      <c r="J174">
        <v>1539.82</v>
      </c>
      <c r="K174">
        <v>0</v>
      </c>
      <c r="L174">
        <v>16864.169999999998</v>
      </c>
      <c r="M174">
        <v>21980.51</v>
      </c>
      <c r="N174">
        <v>99598.28</v>
      </c>
      <c r="O174">
        <v>23492.67</v>
      </c>
      <c r="P174">
        <v>3553.65</v>
      </c>
      <c r="Q174">
        <v>5.58</v>
      </c>
      <c r="R174">
        <v>0</v>
      </c>
    </row>
    <row r="175" spans="2:18" ht="12.75" customHeight="1" x14ac:dyDescent="0.25">
      <c r="D175" t="s">
        <v>72</v>
      </c>
      <c r="E175" s="142">
        <v>286730.12</v>
      </c>
      <c r="F175">
        <v>20500.990000000002</v>
      </c>
      <c r="G175">
        <v>11423.03</v>
      </c>
      <c r="H175">
        <v>2747.53</v>
      </c>
      <c r="I175">
        <v>59068.25</v>
      </c>
      <c r="J175">
        <v>1913.55</v>
      </c>
      <c r="K175">
        <v>0</v>
      </c>
      <c r="L175">
        <v>23499.56</v>
      </c>
      <c r="M175">
        <v>18774.66</v>
      </c>
      <c r="N175">
        <v>97075.38</v>
      </c>
      <c r="O175">
        <v>48609.96</v>
      </c>
      <c r="P175">
        <v>3122.1</v>
      </c>
      <c r="Q175">
        <v>-4.8899999999999997</v>
      </c>
      <c r="R175">
        <v>0</v>
      </c>
    </row>
    <row r="176" spans="2:18" ht="12.75" customHeight="1" x14ac:dyDescent="0.25">
      <c r="D176" t="s">
        <v>81</v>
      </c>
      <c r="E176" s="142">
        <v>174.39</v>
      </c>
      <c r="F176">
        <v>1.21</v>
      </c>
      <c r="G176">
        <v>0.67</v>
      </c>
      <c r="H176">
        <v>0.36</v>
      </c>
      <c r="I176">
        <v>0</v>
      </c>
      <c r="J176">
        <v>2.81</v>
      </c>
      <c r="K176">
        <v>0</v>
      </c>
      <c r="L176">
        <v>24.64</v>
      </c>
      <c r="M176">
        <v>24.11</v>
      </c>
      <c r="N176">
        <v>113.15</v>
      </c>
      <c r="O176">
        <v>2.87</v>
      </c>
      <c r="P176">
        <v>4.58</v>
      </c>
      <c r="Q176">
        <v>-0.01</v>
      </c>
      <c r="R176">
        <v>0</v>
      </c>
    </row>
    <row r="177" spans="1:18" ht="12.75" customHeight="1" x14ac:dyDescent="0.25">
      <c r="A177" s="89"/>
      <c r="B177" s="89"/>
      <c r="C177" t="s">
        <v>87</v>
      </c>
      <c r="D177" t="s">
        <v>70</v>
      </c>
      <c r="E177" s="90">
        <v>286904.51</v>
      </c>
      <c r="F177" s="90">
        <v>20502.2</v>
      </c>
      <c r="G177" s="90">
        <v>11423.7</v>
      </c>
      <c r="H177" s="90">
        <v>2747.89</v>
      </c>
      <c r="I177" s="90">
        <v>59068.25</v>
      </c>
      <c r="J177" s="90">
        <v>1916.36</v>
      </c>
      <c r="K177" s="90">
        <v>0</v>
      </c>
      <c r="L177" s="90">
        <v>23524.2</v>
      </c>
      <c r="M177" s="90">
        <v>18798.77</v>
      </c>
      <c r="N177" s="90">
        <v>97188.53</v>
      </c>
      <c r="O177" s="90">
        <v>48612.83</v>
      </c>
      <c r="P177" s="90">
        <v>3126.68</v>
      </c>
      <c r="Q177" s="90">
        <v>-4.9000000000000004</v>
      </c>
      <c r="R177">
        <v>0</v>
      </c>
    </row>
    <row r="178" spans="1:18" s="94" customFormat="1" ht="12.75" customHeight="1" x14ac:dyDescent="0.25">
      <c r="A178" s="101"/>
      <c r="B178" s="101" t="s">
        <v>119</v>
      </c>
      <c r="C178" s="94" t="s">
        <v>70</v>
      </c>
      <c r="E178" s="93">
        <v>1639770.22</v>
      </c>
      <c r="F178" s="93">
        <v>237326.89</v>
      </c>
      <c r="G178" s="93">
        <v>130621.06</v>
      </c>
      <c r="H178" s="93">
        <v>66543.59</v>
      </c>
      <c r="I178" s="93">
        <v>144048.37</v>
      </c>
      <c r="J178" s="93">
        <v>5752.44</v>
      </c>
      <c r="K178" s="93">
        <v>0</v>
      </c>
      <c r="L178" s="93">
        <v>64685.24</v>
      </c>
      <c r="M178" s="93">
        <v>68941.27</v>
      </c>
      <c r="N178" s="93">
        <v>349774.44</v>
      </c>
      <c r="O178" s="93">
        <v>561650.28</v>
      </c>
      <c r="P178" s="93">
        <v>10426.85</v>
      </c>
      <c r="Q178" s="93">
        <v>-0.20999999999999899</v>
      </c>
      <c r="R178" s="94">
        <v>0</v>
      </c>
    </row>
    <row r="179" spans="1:18" s="226" customFormat="1" ht="12.75" customHeight="1" x14ac:dyDescent="0.25">
      <c r="A179" s="226" t="s">
        <v>78</v>
      </c>
      <c r="B179" s="226" t="s">
        <v>70</v>
      </c>
      <c r="D179" s="98"/>
      <c r="E179" s="100">
        <v>18457840.079999998</v>
      </c>
      <c r="F179" s="100">
        <v>1069009.8899999999</v>
      </c>
      <c r="G179" s="100">
        <v>613827.68000000005</v>
      </c>
      <c r="H179" s="100">
        <v>410378.89</v>
      </c>
      <c r="I179" s="100">
        <v>3149813.53</v>
      </c>
      <c r="J179" s="100">
        <v>100937.15</v>
      </c>
      <c r="K179" s="100">
        <v>16082.29</v>
      </c>
      <c r="L179" s="100">
        <v>1409323.39</v>
      </c>
      <c r="M179" s="100">
        <v>1076296.98</v>
      </c>
      <c r="N179" s="100">
        <v>7857677.5999999996</v>
      </c>
      <c r="O179" s="100">
        <v>2601952.1</v>
      </c>
      <c r="P179" s="100">
        <v>150307.89000000001</v>
      </c>
      <c r="Q179" s="100">
        <v>2232.69</v>
      </c>
      <c r="R179" s="226">
        <v>0</v>
      </c>
    </row>
    <row r="180" spans="1:18" ht="12.75" customHeight="1" x14ac:dyDescent="0.25">
      <c r="C180" s="89"/>
      <c r="D180" s="89" t="s">
        <v>73</v>
      </c>
      <c r="E180" s="373">
        <v>-4432926.82</v>
      </c>
      <c r="F180" s="90">
        <v>-57280.59</v>
      </c>
      <c r="G180" s="90">
        <v>-32014.7</v>
      </c>
      <c r="H180" s="90">
        <v>-26061.23</v>
      </c>
      <c r="I180" s="90">
        <v>-1675472.57</v>
      </c>
      <c r="J180" s="90">
        <v>-42665.23</v>
      </c>
      <c r="K180" s="90">
        <v>0</v>
      </c>
      <c r="L180" s="90">
        <v>-375502.45</v>
      </c>
      <c r="M180" s="90">
        <v>-350073.38</v>
      </c>
      <c r="N180" s="90">
        <v>-1673173</v>
      </c>
      <c r="O180" s="90">
        <v>-131073.06</v>
      </c>
      <c r="P180" s="90">
        <v>-69610.61</v>
      </c>
      <c r="Q180" s="90">
        <v>0</v>
      </c>
      <c r="R180">
        <v>0</v>
      </c>
    </row>
    <row r="181" spans="1:18" ht="12.75" customHeight="1" x14ac:dyDescent="0.25">
      <c r="C181" s="89" t="s">
        <v>156</v>
      </c>
      <c r="D181" s="89" t="s">
        <v>70</v>
      </c>
      <c r="E181" s="373">
        <v>-4432926.82</v>
      </c>
      <c r="F181" s="90">
        <v>-57280.59</v>
      </c>
      <c r="G181" s="90">
        <v>-32014.7</v>
      </c>
      <c r="H181" s="90">
        <v>-26061.23</v>
      </c>
      <c r="I181" s="90">
        <v>-1675472.57</v>
      </c>
      <c r="J181" s="90">
        <v>-42665.23</v>
      </c>
      <c r="K181" s="90">
        <v>0</v>
      </c>
      <c r="L181" s="90">
        <v>-375502.45</v>
      </c>
      <c r="M181" s="90">
        <v>-350073.38</v>
      </c>
      <c r="N181" s="90">
        <v>-1673173</v>
      </c>
      <c r="O181" s="90">
        <v>-131073.06</v>
      </c>
      <c r="P181" s="90">
        <v>-69610.61</v>
      </c>
      <c r="Q181" s="90">
        <v>0</v>
      </c>
      <c r="R181">
        <v>0</v>
      </c>
    </row>
    <row r="182" spans="1:18" s="237" customFormat="1" ht="12.75" customHeight="1" x14ac:dyDescent="0.25">
      <c r="B182" s="237" t="s">
        <v>155</v>
      </c>
      <c r="C182" s="221" t="s">
        <v>70</v>
      </c>
      <c r="D182" s="221"/>
      <c r="E182" s="558">
        <v>-4432926.82</v>
      </c>
      <c r="F182" s="222">
        <v>-57280.59</v>
      </c>
      <c r="G182" s="222">
        <v>-32014.7</v>
      </c>
      <c r="H182" s="222">
        <v>-26061.23</v>
      </c>
      <c r="I182" s="222">
        <v>-1675472.57</v>
      </c>
      <c r="J182" s="222">
        <v>-42665.23</v>
      </c>
      <c r="K182" s="222">
        <v>0</v>
      </c>
      <c r="L182" s="222">
        <v>-375502.45</v>
      </c>
      <c r="M182" s="222">
        <v>-350073.38</v>
      </c>
      <c r="N182" s="222">
        <v>-1673173</v>
      </c>
      <c r="O182" s="222">
        <v>-131073.06</v>
      </c>
      <c r="P182" s="222">
        <v>-69610.61</v>
      </c>
      <c r="Q182" s="222">
        <v>0</v>
      </c>
      <c r="R182" s="237">
        <v>0</v>
      </c>
    </row>
    <row r="183" spans="1:18" ht="12.75" customHeight="1" x14ac:dyDescent="0.25">
      <c r="C183" s="89"/>
      <c r="D183" s="89" t="s">
        <v>73</v>
      </c>
      <c r="E183" s="373">
        <v>686353.4</v>
      </c>
      <c r="F183" s="90">
        <v>170852.38</v>
      </c>
      <c r="G183" s="90">
        <v>95197.92</v>
      </c>
      <c r="H183" s="90">
        <v>50630.95</v>
      </c>
      <c r="I183" s="90">
        <v>-18591.95</v>
      </c>
      <c r="J183" s="90">
        <v>-287.01</v>
      </c>
      <c r="K183" s="90">
        <v>0</v>
      </c>
      <c r="L183" s="90">
        <v>-2517.8000000000002</v>
      </c>
      <c r="M183" s="90">
        <v>-2346.81</v>
      </c>
      <c r="N183" s="90">
        <v>-11224.94</v>
      </c>
      <c r="O183" s="90">
        <v>405108.98</v>
      </c>
      <c r="P183" s="90">
        <v>-468.32</v>
      </c>
      <c r="Q183" s="90">
        <v>0</v>
      </c>
      <c r="R183">
        <v>0</v>
      </c>
    </row>
    <row r="184" spans="1:18" ht="12.75" customHeight="1" x14ac:dyDescent="0.25">
      <c r="C184" t="s">
        <v>82</v>
      </c>
      <c r="D184" t="s">
        <v>70</v>
      </c>
      <c r="E184">
        <v>686353.4</v>
      </c>
      <c r="F184">
        <v>170852.38</v>
      </c>
      <c r="G184">
        <v>95197.92</v>
      </c>
      <c r="H184">
        <v>50630.95</v>
      </c>
      <c r="I184">
        <v>-18591.95</v>
      </c>
      <c r="J184">
        <v>-287.01</v>
      </c>
      <c r="K184">
        <v>0</v>
      </c>
      <c r="L184">
        <v>-2517.8000000000002</v>
      </c>
      <c r="M184">
        <v>-2346.81</v>
      </c>
      <c r="N184">
        <v>-11224.94</v>
      </c>
      <c r="O184">
        <v>405108.98</v>
      </c>
      <c r="P184">
        <v>-468.32</v>
      </c>
      <c r="Q184">
        <v>0</v>
      </c>
      <c r="R184">
        <v>0</v>
      </c>
    </row>
    <row r="185" spans="1:18" ht="12.75" customHeight="1" x14ac:dyDescent="0.25">
      <c r="D185" t="s">
        <v>73</v>
      </c>
      <c r="E185">
        <v>-83408.990000000005</v>
      </c>
      <c r="F185">
        <v>-3051.61</v>
      </c>
      <c r="G185">
        <v>-1700.32</v>
      </c>
      <c r="H185">
        <v>-904.34</v>
      </c>
      <c r="I185">
        <v>-23934.080000000002</v>
      </c>
      <c r="J185">
        <v>-784.55</v>
      </c>
      <c r="K185">
        <v>0</v>
      </c>
      <c r="L185">
        <v>-6882</v>
      </c>
      <c r="M185">
        <v>-6414.67</v>
      </c>
      <c r="N185">
        <v>-30681.49</v>
      </c>
      <c r="O185">
        <v>-7775.87</v>
      </c>
      <c r="P185">
        <v>-1280.06</v>
      </c>
      <c r="Q185">
        <v>0</v>
      </c>
      <c r="R185">
        <v>0</v>
      </c>
    </row>
    <row r="186" spans="1:18" ht="12.75" customHeight="1" x14ac:dyDescent="0.25">
      <c r="C186" t="s">
        <v>86</v>
      </c>
      <c r="D186" t="s">
        <v>70</v>
      </c>
      <c r="E186">
        <v>-83408.990000000005</v>
      </c>
      <c r="F186">
        <v>-3051.61</v>
      </c>
      <c r="G186">
        <v>-1700.32</v>
      </c>
      <c r="H186">
        <v>-904.34</v>
      </c>
      <c r="I186">
        <v>-23934.080000000002</v>
      </c>
      <c r="J186">
        <v>-784.55</v>
      </c>
      <c r="K186">
        <v>0</v>
      </c>
      <c r="L186">
        <v>-6882</v>
      </c>
      <c r="M186">
        <v>-6414.67</v>
      </c>
      <c r="N186">
        <v>-30681.49</v>
      </c>
      <c r="O186">
        <v>-7775.87</v>
      </c>
      <c r="P186">
        <v>-1280.06</v>
      </c>
      <c r="Q186">
        <v>0</v>
      </c>
      <c r="R186">
        <v>0</v>
      </c>
    </row>
    <row r="187" spans="1:18" ht="12.75" customHeight="1" x14ac:dyDescent="0.25">
      <c r="D187" s="89" t="s">
        <v>73</v>
      </c>
      <c r="E187" s="90">
        <v>-37363.35</v>
      </c>
      <c r="F187" s="90">
        <v>-1486.05</v>
      </c>
      <c r="G187" s="90">
        <v>-828.03</v>
      </c>
      <c r="H187" s="90">
        <v>-440.38</v>
      </c>
      <c r="I187" s="90">
        <v>-11994.4</v>
      </c>
      <c r="J187" s="90">
        <v>-325.31</v>
      </c>
      <c r="K187" s="90">
        <v>0</v>
      </c>
      <c r="L187" s="90">
        <v>-2853.51</v>
      </c>
      <c r="M187" s="90">
        <v>-2659.75</v>
      </c>
      <c r="N187" s="90">
        <v>-12721.6</v>
      </c>
      <c r="O187" s="90">
        <v>-3523.57</v>
      </c>
      <c r="P187" s="90">
        <v>-530.75</v>
      </c>
      <c r="Q187" s="90">
        <v>0</v>
      </c>
      <c r="R187">
        <v>0</v>
      </c>
    </row>
    <row r="188" spans="1:18" ht="12.75" customHeight="1" x14ac:dyDescent="0.25">
      <c r="C188" t="s">
        <v>87</v>
      </c>
      <c r="D188" s="89" t="s">
        <v>70</v>
      </c>
      <c r="E188" s="90">
        <v>-37363.35</v>
      </c>
      <c r="F188" s="90">
        <v>-1486.05</v>
      </c>
      <c r="G188" s="90">
        <v>-828.03</v>
      </c>
      <c r="H188" s="90">
        <v>-440.38</v>
      </c>
      <c r="I188" s="90">
        <v>-11994.4</v>
      </c>
      <c r="J188" s="90">
        <v>-325.31</v>
      </c>
      <c r="K188" s="90">
        <v>0</v>
      </c>
      <c r="L188" s="90">
        <v>-2853.51</v>
      </c>
      <c r="M188" s="90">
        <v>-2659.75</v>
      </c>
      <c r="N188" s="90">
        <v>-12721.6</v>
      </c>
      <c r="O188" s="90">
        <v>-3523.57</v>
      </c>
      <c r="P188" s="90">
        <v>-530.75</v>
      </c>
      <c r="Q188" s="90">
        <v>0</v>
      </c>
      <c r="R188">
        <v>0</v>
      </c>
    </row>
    <row r="189" spans="1:18" s="94" customFormat="1" ht="12.75" customHeight="1" x14ac:dyDescent="0.25">
      <c r="B189" s="101" t="s">
        <v>119</v>
      </c>
      <c r="C189" s="101" t="s">
        <v>70</v>
      </c>
      <c r="E189" s="93">
        <v>565581.06000000006</v>
      </c>
      <c r="F189" s="93">
        <v>166314.72</v>
      </c>
      <c r="G189" s="93">
        <v>92669.57</v>
      </c>
      <c r="H189" s="93">
        <v>49286.23</v>
      </c>
      <c r="I189" s="93">
        <v>-54520.43</v>
      </c>
      <c r="J189" s="93">
        <v>-1396.87</v>
      </c>
      <c r="K189" s="93">
        <v>0</v>
      </c>
      <c r="L189" s="93">
        <v>-12253.31</v>
      </c>
      <c r="M189" s="93">
        <v>-11421.23</v>
      </c>
      <c r="N189" s="93">
        <v>-54628.03</v>
      </c>
      <c r="O189" s="93">
        <v>393809.54</v>
      </c>
      <c r="P189" s="93">
        <v>-2279.13</v>
      </c>
      <c r="Q189" s="93">
        <v>0</v>
      </c>
      <c r="R189" s="94">
        <v>0</v>
      </c>
    </row>
    <row r="190" spans="1:18" s="226" customFormat="1" ht="12.75" customHeight="1" x14ac:dyDescent="0.25">
      <c r="A190" s="98" t="s">
        <v>79</v>
      </c>
      <c r="B190" s="98" t="s">
        <v>70</v>
      </c>
      <c r="E190" s="100">
        <v>-3867345.76</v>
      </c>
      <c r="F190" s="100">
        <v>109034.13</v>
      </c>
      <c r="G190" s="100">
        <v>60654.87</v>
      </c>
      <c r="H190" s="100">
        <v>23225</v>
      </c>
      <c r="I190" s="100">
        <v>-1729993</v>
      </c>
      <c r="J190" s="100">
        <v>-44062.1</v>
      </c>
      <c r="K190" s="100">
        <v>0</v>
      </c>
      <c r="L190" s="100">
        <v>-387755.76</v>
      </c>
      <c r="M190" s="100">
        <v>-361494.61</v>
      </c>
      <c r="N190" s="100">
        <v>-1727801.03</v>
      </c>
      <c r="O190" s="100">
        <v>262736.48</v>
      </c>
      <c r="P190" s="100">
        <v>-71889.740000000005</v>
      </c>
      <c r="Q190" s="100">
        <v>0</v>
      </c>
      <c r="R190" s="226">
        <v>0</v>
      </c>
    </row>
    <row r="191" spans="1:18" ht="12.75" customHeight="1" x14ac:dyDescent="0.25">
      <c r="A191" s="89" t="s">
        <v>70</v>
      </c>
      <c r="E191" s="90">
        <v>14590494.32</v>
      </c>
      <c r="F191" s="90">
        <v>1178044.02</v>
      </c>
      <c r="G191" s="90">
        <v>674482.55</v>
      </c>
      <c r="H191" s="90">
        <v>433603.89</v>
      </c>
      <c r="I191" s="90">
        <v>1419820.53</v>
      </c>
      <c r="J191" s="90">
        <v>56875.05</v>
      </c>
      <c r="K191" s="90">
        <v>16082.29</v>
      </c>
      <c r="L191" s="90">
        <v>1021567.63</v>
      </c>
      <c r="M191" s="90">
        <v>714802.37</v>
      </c>
      <c r="N191" s="90">
        <v>6129876.5700000003</v>
      </c>
      <c r="O191" s="90">
        <v>2864688.58</v>
      </c>
      <c r="P191" s="90">
        <v>78418.149999999994</v>
      </c>
      <c r="Q191" s="90">
        <v>2232.69</v>
      </c>
      <c r="R191">
        <v>0</v>
      </c>
    </row>
    <row r="192" spans="1:18" ht="12.75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8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8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8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8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8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8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8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8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8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8" ht="12.75" customHeight="1" x14ac:dyDescent="0.25">
      <c r="C223" s="89"/>
      <c r="D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18" ht="12.75" hidden="1" customHeight="1" x14ac:dyDescent="0.25">
      <c r="D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18" ht="12.75" hidden="1" customHeight="1" x14ac:dyDescent="0.25">
      <c r="C225" s="89"/>
      <c r="D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18" ht="12.75" hidden="1" customHeight="1" x14ac:dyDescent="0.25">
      <c r="D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C227" s="89"/>
      <c r="D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B228" s="89"/>
      <c r="C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A229" s="89"/>
      <c r="B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18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spans="1:18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customHeight="1" x14ac:dyDescent="0.25">
      <c r="B259" s="768" t="s">
        <v>2</v>
      </c>
      <c r="C259" s="769" t="s">
        <v>132</v>
      </c>
      <c r="D259" s="98" t="s">
        <v>70</v>
      </c>
      <c r="E259" s="100">
        <f>E179+E190-K179</f>
        <v>14574412.029999999</v>
      </c>
      <c r="F259" s="100">
        <f>F179</f>
        <v>1069009.8899999999</v>
      </c>
      <c r="G259" s="100">
        <f t="shared" ref="G259:R259" si="7">G179</f>
        <v>613827.68000000005</v>
      </c>
      <c r="H259" s="100">
        <f t="shared" si="7"/>
        <v>410378.89</v>
      </c>
      <c r="I259" s="100">
        <f t="shared" si="7"/>
        <v>3149813.53</v>
      </c>
      <c r="J259" s="100">
        <f t="shared" si="7"/>
        <v>100937.15</v>
      </c>
      <c r="K259" s="100">
        <f t="shared" si="7"/>
        <v>16082.29</v>
      </c>
      <c r="L259" s="100">
        <f t="shared" si="7"/>
        <v>1409323.39</v>
      </c>
      <c r="M259" s="100">
        <f t="shared" si="7"/>
        <v>1076296.98</v>
      </c>
      <c r="N259" s="100">
        <f t="shared" si="7"/>
        <v>7857677.5999999996</v>
      </c>
      <c r="O259" s="100">
        <f t="shared" si="7"/>
        <v>2601952.1</v>
      </c>
      <c r="P259" s="100">
        <f t="shared" si="7"/>
        <v>150307.89000000001</v>
      </c>
      <c r="Q259" s="100">
        <f t="shared" si="7"/>
        <v>2232.69</v>
      </c>
      <c r="R259" s="100">
        <f t="shared" si="7"/>
        <v>0</v>
      </c>
    </row>
    <row r="260" spans="1:18" ht="12.75" customHeight="1" x14ac:dyDescent="0.25">
      <c r="B260" s="768"/>
      <c r="C260" s="769"/>
      <c r="D260" s="98" t="s">
        <v>73</v>
      </c>
      <c r="E260" s="100">
        <f>E190</f>
        <v>-3867345.76</v>
      </c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</row>
    <row r="261" spans="1:18" ht="12.75" customHeight="1" x14ac:dyDescent="0.25">
      <c r="A261" s="89"/>
      <c r="B261" s="97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25">
      <c r="B262" s="768" t="s">
        <v>160</v>
      </c>
      <c r="C262" s="769" t="s">
        <v>132</v>
      </c>
      <c r="D262" s="223" t="s">
        <v>70</v>
      </c>
      <c r="E262" s="225">
        <v>0</v>
      </c>
      <c r="F262" s="225">
        <v>0</v>
      </c>
      <c r="G262" s="225">
        <v>0</v>
      </c>
      <c r="H262" s="225">
        <v>0</v>
      </c>
      <c r="I262" s="225">
        <v>0</v>
      </c>
      <c r="J262" s="225">
        <v>0</v>
      </c>
      <c r="K262" s="225">
        <v>0</v>
      </c>
      <c r="L262" s="225">
        <v>0</v>
      </c>
      <c r="M262" s="225">
        <v>0</v>
      </c>
      <c r="N262" s="225">
        <v>0</v>
      </c>
      <c r="O262" s="225">
        <v>0</v>
      </c>
      <c r="P262" s="225">
        <v>0</v>
      </c>
      <c r="Q262" s="225">
        <v>0</v>
      </c>
      <c r="R262" s="225">
        <v>0</v>
      </c>
    </row>
    <row r="263" spans="1:18" ht="12.75" customHeight="1" x14ac:dyDescent="0.25">
      <c r="B263" s="768"/>
      <c r="C263" s="769"/>
      <c r="D263" s="223" t="s">
        <v>73</v>
      </c>
      <c r="E263" s="225"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A264" s="89"/>
      <c r="B264" s="97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68" t="s">
        <v>155</v>
      </c>
      <c r="C265" s="769" t="s">
        <v>132</v>
      </c>
      <c r="D265" s="221" t="s">
        <v>70</v>
      </c>
      <c r="E265" s="222">
        <f>E182+E169-K169</f>
        <v>12369060.75</v>
      </c>
      <c r="F265" s="222">
        <f t="shared" ref="F265:R265" si="8">F169</f>
        <v>831683</v>
      </c>
      <c r="G265" s="222">
        <f t="shared" si="8"/>
        <v>483206.62</v>
      </c>
      <c r="H265" s="222">
        <f t="shared" si="8"/>
        <v>343835.3</v>
      </c>
      <c r="I265" s="222">
        <f t="shared" si="8"/>
        <v>3005765.16</v>
      </c>
      <c r="J265" s="222">
        <f t="shared" si="8"/>
        <v>95184.71</v>
      </c>
      <c r="K265" s="222">
        <f t="shared" si="8"/>
        <v>16082.29</v>
      </c>
      <c r="L265" s="222">
        <f t="shared" si="8"/>
        <v>1344638.15</v>
      </c>
      <c r="M265" s="222">
        <f t="shared" si="8"/>
        <v>1007355.71</v>
      </c>
      <c r="N265" s="222">
        <f t="shared" si="8"/>
        <v>7507903.1600000001</v>
      </c>
      <c r="O265" s="222">
        <f t="shared" si="8"/>
        <v>2040301.82</v>
      </c>
      <c r="P265" s="222">
        <f t="shared" si="8"/>
        <v>139881.04</v>
      </c>
      <c r="Q265" s="222">
        <f t="shared" si="8"/>
        <v>2232.9</v>
      </c>
      <c r="R265" s="222">
        <f t="shared" si="8"/>
        <v>0</v>
      </c>
    </row>
    <row r="266" spans="1:18" ht="12.75" customHeight="1" x14ac:dyDescent="0.25">
      <c r="B266" s="768"/>
      <c r="C266" s="769"/>
      <c r="D266" s="221" t="s">
        <v>73</v>
      </c>
      <c r="E266" s="222">
        <f>E182</f>
        <v>-4432926.82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B267" s="717"/>
      <c r="C267" s="220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1" t="s">
        <v>324</v>
      </c>
      <c r="C268" s="769" t="s">
        <v>132</v>
      </c>
      <c r="D268" s="375" t="s">
        <v>70</v>
      </c>
      <c r="E268" s="376">
        <v>0</v>
      </c>
      <c r="F268" s="376">
        <v>0</v>
      </c>
      <c r="G268" s="376">
        <v>0</v>
      </c>
      <c r="H268" s="376">
        <v>0</v>
      </c>
      <c r="I268" s="376">
        <v>0</v>
      </c>
      <c r="J268" s="376">
        <v>0</v>
      </c>
      <c r="K268" s="376">
        <v>0</v>
      </c>
      <c r="L268" s="376">
        <v>0</v>
      </c>
      <c r="M268" s="376">
        <v>0</v>
      </c>
      <c r="N268" s="376">
        <v>0</v>
      </c>
      <c r="O268" s="376">
        <v>0</v>
      </c>
      <c r="P268" s="376">
        <v>0</v>
      </c>
      <c r="Q268" s="376">
        <v>0</v>
      </c>
      <c r="R268" s="376">
        <v>0</v>
      </c>
    </row>
    <row r="269" spans="1:18" ht="12.75" customHeight="1" x14ac:dyDescent="0.25">
      <c r="B269" s="771"/>
      <c r="C269" s="769"/>
      <c r="D269" s="375" t="s">
        <v>73</v>
      </c>
      <c r="E269" s="376"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25">
      <c r="B270" s="717"/>
      <c r="C270" s="220"/>
      <c r="D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68" t="s">
        <v>119</v>
      </c>
      <c r="C271" s="769" t="s">
        <v>132</v>
      </c>
      <c r="D271" s="101" t="s">
        <v>70</v>
      </c>
      <c r="E271" s="93">
        <f>E178+E189-K178</f>
        <v>2205351.2800000003</v>
      </c>
      <c r="F271" s="93">
        <f t="shared" ref="F271:R271" si="9">F178</f>
        <v>237326.89</v>
      </c>
      <c r="G271" s="93">
        <f t="shared" si="9"/>
        <v>130621.06</v>
      </c>
      <c r="H271" s="93">
        <f t="shared" si="9"/>
        <v>66543.59</v>
      </c>
      <c r="I271" s="93">
        <f t="shared" si="9"/>
        <v>144048.37</v>
      </c>
      <c r="J271" s="93">
        <f t="shared" si="9"/>
        <v>5752.44</v>
      </c>
      <c r="K271" s="93">
        <f t="shared" si="9"/>
        <v>0</v>
      </c>
      <c r="L271" s="93">
        <f t="shared" si="9"/>
        <v>64685.24</v>
      </c>
      <c r="M271" s="93">
        <f t="shared" si="9"/>
        <v>68941.27</v>
      </c>
      <c r="N271" s="93">
        <f t="shared" si="9"/>
        <v>349774.44</v>
      </c>
      <c r="O271" s="93">
        <f t="shared" si="9"/>
        <v>561650.28</v>
      </c>
      <c r="P271" s="93">
        <f t="shared" si="9"/>
        <v>10426.85</v>
      </c>
      <c r="Q271" s="93">
        <f t="shared" si="9"/>
        <v>-0.20999999999999899</v>
      </c>
      <c r="R271" s="93">
        <f t="shared" si="9"/>
        <v>0</v>
      </c>
    </row>
    <row r="272" spans="1:18" ht="12.75" customHeight="1" x14ac:dyDescent="0.25">
      <c r="B272" s="768"/>
      <c r="C272" s="769"/>
      <c r="D272" s="101" t="s">
        <v>73</v>
      </c>
      <c r="E272" s="93">
        <f>E189</f>
        <v>565581.06000000006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18" ht="12.75" customHeight="1" x14ac:dyDescent="0.25">
      <c r="A273" s="89"/>
      <c r="B273" s="97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1:18" ht="12.75" customHeight="1" x14ac:dyDescent="0.25">
      <c r="B274" s="770" t="s">
        <v>161</v>
      </c>
      <c r="C274" s="769" t="s">
        <v>132</v>
      </c>
      <c r="D274" s="231" t="s">
        <v>70</v>
      </c>
      <c r="E274" s="232">
        <v>0</v>
      </c>
      <c r="F274" s="232">
        <v>0</v>
      </c>
      <c r="G274" s="232">
        <v>0</v>
      </c>
      <c r="H274" s="232">
        <v>0</v>
      </c>
      <c r="I274" s="232">
        <v>0</v>
      </c>
      <c r="J274" s="232">
        <v>0</v>
      </c>
      <c r="K274" s="232">
        <v>0</v>
      </c>
      <c r="L274" s="232">
        <v>0</v>
      </c>
      <c r="M274" s="232">
        <v>0</v>
      </c>
      <c r="N274" s="232">
        <v>0</v>
      </c>
      <c r="O274" s="232">
        <v>0</v>
      </c>
      <c r="P274" s="232">
        <v>0</v>
      </c>
      <c r="Q274" s="232">
        <v>0</v>
      </c>
      <c r="R274" s="232">
        <v>0</v>
      </c>
    </row>
    <row r="275" spans="1:18" ht="12.75" customHeight="1" x14ac:dyDescent="0.25">
      <c r="B275" s="770"/>
      <c r="C275" s="769"/>
      <c r="D275" s="231" t="s">
        <v>73</v>
      </c>
      <c r="E275" s="232">
        <v>0</v>
      </c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s="238" customFormat="1" x14ac:dyDescent="0.25"/>
    <row r="277" spans="1:18" ht="15" customHeight="1" x14ac:dyDescent="0.25">
      <c r="B277" s="97" t="s">
        <v>88</v>
      </c>
    </row>
    <row r="278" spans="1:18" ht="12.6" customHeight="1" x14ac:dyDescent="0.25">
      <c r="E278" s="89" t="s">
        <v>70</v>
      </c>
      <c r="F278" s="89" t="s">
        <v>64</v>
      </c>
      <c r="G278" s="89" t="s">
        <v>65</v>
      </c>
      <c r="H278" s="219" t="s">
        <v>164</v>
      </c>
      <c r="I278" s="89" t="s">
        <v>69</v>
      </c>
      <c r="J278" s="89" t="s">
        <v>68</v>
      </c>
      <c r="K278" s="89" t="s">
        <v>83</v>
      </c>
      <c r="L278" s="89" t="s">
        <v>66</v>
      </c>
      <c r="M278" s="89" t="s">
        <v>63</v>
      </c>
      <c r="N278" s="89" t="s">
        <v>61</v>
      </c>
      <c r="O278" s="89" t="s">
        <v>62</v>
      </c>
      <c r="P278" s="89" t="s">
        <v>67</v>
      </c>
      <c r="Q278" s="89" t="s">
        <v>84</v>
      </c>
      <c r="R278" s="386" t="s">
        <v>224</v>
      </c>
    </row>
    <row r="279" spans="1:18" ht="12.75" customHeight="1" x14ac:dyDescent="0.25">
      <c r="D279" t="s">
        <v>72</v>
      </c>
      <c r="E279" s="386">
        <v>23614000.300000001</v>
      </c>
      <c r="F279" s="89">
        <v>1351302.1</v>
      </c>
      <c r="G279" s="89">
        <v>826199.24</v>
      </c>
      <c r="H279" s="386">
        <v>347888.98</v>
      </c>
      <c r="I279" s="89">
        <v>5073745.2699999996</v>
      </c>
      <c r="J279" s="89">
        <v>187069.37</v>
      </c>
      <c r="K279" s="89">
        <v>0</v>
      </c>
      <c r="L279" s="89">
        <v>1871588.81</v>
      </c>
      <c r="M279" s="89">
        <v>1667144.13</v>
      </c>
      <c r="N279" s="89">
        <v>8132801.0700000003</v>
      </c>
      <c r="O279" s="89">
        <v>3874923.28</v>
      </c>
      <c r="P279" s="89">
        <v>281240.51</v>
      </c>
      <c r="Q279" s="89">
        <v>97.54</v>
      </c>
      <c r="R279" s="386">
        <v>0</v>
      </c>
    </row>
    <row r="280" spans="1:18" ht="12.75" customHeight="1" x14ac:dyDescent="0.25">
      <c r="D280" t="s">
        <v>81</v>
      </c>
      <c r="E280" s="386">
        <v>44250.02</v>
      </c>
      <c r="F280" s="89">
        <v>3454.32</v>
      </c>
      <c r="G280" s="89">
        <v>1948.15</v>
      </c>
      <c r="H280" s="386">
        <v>1027.45</v>
      </c>
      <c r="I280" s="89">
        <v>11601.44</v>
      </c>
      <c r="J280" s="89">
        <v>424.33</v>
      </c>
      <c r="K280" s="89">
        <v>0</v>
      </c>
      <c r="L280" s="89">
        <v>3674.21</v>
      </c>
      <c r="M280" s="89">
        <v>3679.41</v>
      </c>
      <c r="N280" s="89">
        <v>8601.8700000000008</v>
      </c>
      <c r="O280" s="89">
        <v>9146.11</v>
      </c>
      <c r="P280" s="89">
        <v>692.23</v>
      </c>
      <c r="Q280" s="89">
        <v>0.5</v>
      </c>
      <c r="R280">
        <v>0</v>
      </c>
    </row>
    <row r="281" spans="1:18" ht="12.75" customHeight="1" x14ac:dyDescent="0.25">
      <c r="C281" t="s">
        <v>156</v>
      </c>
      <c r="D281" t="s">
        <v>70</v>
      </c>
      <c r="E281" s="386">
        <v>23658250.32</v>
      </c>
      <c r="F281" s="89">
        <v>1354756.42</v>
      </c>
      <c r="G281" s="89">
        <v>828147.39</v>
      </c>
      <c r="H281" s="386">
        <v>348916.43</v>
      </c>
      <c r="I281" s="89">
        <v>5085346.71</v>
      </c>
      <c r="J281" s="89">
        <v>187493.7</v>
      </c>
      <c r="K281" s="89">
        <v>0</v>
      </c>
      <c r="L281" s="89">
        <v>1875263.02</v>
      </c>
      <c r="M281" s="89">
        <v>1670823.54</v>
      </c>
      <c r="N281" s="89">
        <v>8141402.9400000004</v>
      </c>
      <c r="O281" s="89">
        <v>3884069.39</v>
      </c>
      <c r="P281" s="89">
        <v>281932.74</v>
      </c>
      <c r="Q281" s="89">
        <v>98.04</v>
      </c>
      <c r="R281">
        <v>0</v>
      </c>
    </row>
    <row r="282" spans="1:18" s="237" customFormat="1" ht="12.75" customHeight="1" x14ac:dyDescent="0.25">
      <c r="B282" s="237" t="s">
        <v>155</v>
      </c>
      <c r="C282" s="237" t="s">
        <v>70</v>
      </c>
      <c r="D282" s="221"/>
      <c r="E282" s="558">
        <v>23658250.32</v>
      </c>
      <c r="F282" s="222">
        <v>1354756.42</v>
      </c>
      <c r="G282" s="222">
        <v>828147.39</v>
      </c>
      <c r="H282" s="222">
        <v>348916.43</v>
      </c>
      <c r="I282" s="222">
        <v>5085346.71</v>
      </c>
      <c r="J282" s="222">
        <v>187493.7</v>
      </c>
      <c r="K282" s="222">
        <v>0</v>
      </c>
      <c r="L282" s="222">
        <v>1875263.02</v>
      </c>
      <c r="M282" s="222">
        <v>1670823.54</v>
      </c>
      <c r="N282" s="222">
        <v>8141402.9400000004</v>
      </c>
      <c r="O282" s="222">
        <v>3884069.39</v>
      </c>
      <c r="P282" s="222">
        <v>281932.74</v>
      </c>
      <c r="Q282" s="222">
        <v>98.04</v>
      </c>
      <c r="R282" s="237">
        <v>0</v>
      </c>
    </row>
    <row r="283" spans="1:18" ht="12.75" customHeight="1" x14ac:dyDescent="0.25">
      <c r="B283" s="89"/>
      <c r="C283" s="89"/>
      <c r="D283" t="s">
        <v>72</v>
      </c>
      <c r="E283" s="373">
        <v>636451.77</v>
      </c>
      <c r="F283" s="90">
        <v>37532.51</v>
      </c>
      <c r="G283" s="90">
        <v>18825.599999999999</v>
      </c>
      <c r="H283" s="90">
        <v>9729.07</v>
      </c>
      <c r="I283" s="90">
        <v>111509.4</v>
      </c>
      <c r="J283" s="90">
        <v>5574.31</v>
      </c>
      <c r="K283" s="90">
        <v>0</v>
      </c>
      <c r="L283" s="90">
        <v>52255.78</v>
      </c>
      <c r="M283" s="90">
        <v>54223.51</v>
      </c>
      <c r="N283" s="90">
        <v>231336.58</v>
      </c>
      <c r="O283" s="90">
        <v>106358.76</v>
      </c>
      <c r="P283" s="90">
        <v>9094.89</v>
      </c>
      <c r="Q283" s="90">
        <v>11.36</v>
      </c>
      <c r="R283">
        <v>0</v>
      </c>
    </row>
    <row r="284" spans="1:18" ht="12.75" customHeight="1" x14ac:dyDescent="0.25">
      <c r="B284" s="89"/>
      <c r="C284" s="89" t="s">
        <v>115</v>
      </c>
      <c r="D284" t="s">
        <v>70</v>
      </c>
      <c r="E284" s="373">
        <v>636451.77</v>
      </c>
      <c r="F284" s="90">
        <v>37532.51</v>
      </c>
      <c r="G284" s="90">
        <v>18825.599999999999</v>
      </c>
      <c r="H284" s="90">
        <v>9729.07</v>
      </c>
      <c r="I284" s="90">
        <v>111509.4</v>
      </c>
      <c r="J284" s="90">
        <v>5574.31</v>
      </c>
      <c r="K284" s="90">
        <v>0</v>
      </c>
      <c r="L284" s="90">
        <v>52255.78</v>
      </c>
      <c r="M284" s="90">
        <v>54223.51</v>
      </c>
      <c r="N284" s="90">
        <v>231336.58</v>
      </c>
      <c r="O284" s="90">
        <v>106358.76</v>
      </c>
      <c r="P284" s="90">
        <v>9094.89</v>
      </c>
      <c r="Q284" s="90">
        <v>11.36</v>
      </c>
      <c r="R284">
        <v>0</v>
      </c>
    </row>
    <row r="285" spans="1:18" ht="12.75" customHeight="1" x14ac:dyDescent="0.25">
      <c r="B285" s="89"/>
      <c r="C285" s="89"/>
      <c r="D285" t="s">
        <v>72</v>
      </c>
      <c r="E285" s="373">
        <v>66434.62</v>
      </c>
      <c r="F285" s="90">
        <v>4639.09</v>
      </c>
      <c r="G285" s="90">
        <v>2590.29</v>
      </c>
      <c r="H285" s="90">
        <v>1374.77</v>
      </c>
      <c r="I285" s="90">
        <v>25874.55</v>
      </c>
      <c r="J285" s="90">
        <v>923.9</v>
      </c>
      <c r="K285" s="90">
        <v>0</v>
      </c>
      <c r="L285" s="90">
        <v>3358.31</v>
      </c>
      <c r="M285" s="90">
        <v>3129.3</v>
      </c>
      <c r="N285" s="90">
        <v>16313.73</v>
      </c>
      <c r="O285" s="90">
        <v>7368.23</v>
      </c>
      <c r="P285" s="90">
        <v>859.37</v>
      </c>
      <c r="Q285" s="90">
        <v>3.08</v>
      </c>
      <c r="R285">
        <v>0</v>
      </c>
    </row>
    <row r="286" spans="1:18" ht="12.75" customHeight="1" x14ac:dyDescent="0.25">
      <c r="B286" s="89"/>
      <c r="C286" s="89" t="s">
        <v>116</v>
      </c>
      <c r="D286" t="s">
        <v>70</v>
      </c>
      <c r="E286" s="373">
        <v>66434.62</v>
      </c>
      <c r="F286" s="90">
        <v>4639.09</v>
      </c>
      <c r="G286" s="90">
        <v>2590.29</v>
      </c>
      <c r="H286" s="90">
        <v>1374.77</v>
      </c>
      <c r="I286" s="90">
        <v>25874.55</v>
      </c>
      <c r="J286" s="90">
        <v>923.9</v>
      </c>
      <c r="K286" s="90">
        <v>0</v>
      </c>
      <c r="L286" s="90">
        <v>3358.31</v>
      </c>
      <c r="M286" s="90">
        <v>3129.3</v>
      </c>
      <c r="N286" s="90">
        <v>16313.73</v>
      </c>
      <c r="O286" s="90">
        <v>7368.23</v>
      </c>
      <c r="P286" s="90">
        <v>859.37</v>
      </c>
      <c r="Q286" s="90">
        <v>3.08</v>
      </c>
      <c r="R286">
        <v>0</v>
      </c>
    </row>
    <row r="287" spans="1:18" ht="12.75" customHeight="1" x14ac:dyDescent="0.25">
      <c r="B287" s="89"/>
      <c r="C287" s="89"/>
      <c r="D287" t="s">
        <v>72</v>
      </c>
      <c r="E287" s="373">
        <v>1344649.21</v>
      </c>
      <c r="F287" s="90">
        <v>79196.92</v>
      </c>
      <c r="G287" s="90">
        <v>51710.400000000001</v>
      </c>
      <c r="H287" s="90">
        <v>22023.75</v>
      </c>
      <c r="I287" s="90">
        <v>317931.71999999997</v>
      </c>
      <c r="J287" s="90">
        <v>10321.200000000001</v>
      </c>
      <c r="K287" s="90">
        <v>0</v>
      </c>
      <c r="L287" s="90">
        <v>105951.12</v>
      </c>
      <c r="M287" s="90">
        <v>91989.92</v>
      </c>
      <c r="N287" s="90">
        <v>430992.96</v>
      </c>
      <c r="O287" s="90">
        <v>218955.95</v>
      </c>
      <c r="P287" s="90">
        <v>15590.32</v>
      </c>
      <c r="Q287" s="90">
        <v>-15.05</v>
      </c>
      <c r="R287">
        <v>0</v>
      </c>
    </row>
    <row r="288" spans="1:18" ht="12.75" customHeight="1" x14ac:dyDescent="0.25">
      <c r="B288" s="89"/>
      <c r="C288" s="89"/>
      <c r="D288" t="s">
        <v>81</v>
      </c>
      <c r="E288" s="373">
        <v>2</v>
      </c>
      <c r="F288" s="90">
        <v>0.21</v>
      </c>
      <c r="G288" s="90">
        <v>0.09</v>
      </c>
      <c r="H288" s="90">
        <v>0.04</v>
      </c>
      <c r="I288" s="90">
        <v>0.39</v>
      </c>
      <c r="J288" s="90">
        <v>0.01</v>
      </c>
      <c r="K288" s="90">
        <v>0</v>
      </c>
      <c r="L288" s="90">
        <v>0.09</v>
      </c>
      <c r="M288" s="90">
        <v>0.1</v>
      </c>
      <c r="N288" s="90">
        <v>0.51</v>
      </c>
      <c r="O288" s="90">
        <v>0.54</v>
      </c>
      <c r="P288" s="90">
        <v>0.02</v>
      </c>
      <c r="Q288" s="90">
        <v>0</v>
      </c>
      <c r="R288">
        <v>0</v>
      </c>
    </row>
    <row r="289" spans="1:18" ht="12.75" customHeight="1" x14ac:dyDescent="0.25">
      <c r="B289" s="89"/>
      <c r="C289" s="89" t="s">
        <v>118</v>
      </c>
      <c r="D289" t="s">
        <v>70</v>
      </c>
      <c r="E289" s="373">
        <v>1344651.21</v>
      </c>
      <c r="F289" s="90">
        <v>79197.13</v>
      </c>
      <c r="G289" s="90">
        <v>51710.49</v>
      </c>
      <c r="H289" s="90">
        <v>22023.79</v>
      </c>
      <c r="I289" s="90">
        <v>317932.11</v>
      </c>
      <c r="J289" s="90">
        <v>10321.209999999999</v>
      </c>
      <c r="K289" s="90">
        <v>0</v>
      </c>
      <c r="L289" s="90">
        <v>105951.21</v>
      </c>
      <c r="M289" s="90">
        <v>91990.02</v>
      </c>
      <c r="N289" s="90">
        <v>430993.47</v>
      </c>
      <c r="O289" s="90">
        <v>218956.49</v>
      </c>
      <c r="P289" s="90">
        <v>15590.34</v>
      </c>
      <c r="Q289" s="90">
        <v>-15.05</v>
      </c>
      <c r="R289">
        <v>0</v>
      </c>
    </row>
    <row r="290" spans="1:18" s="224" customFormat="1" ht="12.75" customHeight="1" x14ac:dyDescent="0.25">
      <c r="B290" s="224" t="s">
        <v>120</v>
      </c>
      <c r="C290" s="223" t="s">
        <v>70</v>
      </c>
      <c r="D290" s="223"/>
      <c r="E290" s="225">
        <v>2047537.6</v>
      </c>
      <c r="F290" s="225">
        <v>121368.73</v>
      </c>
      <c r="G290" s="225">
        <v>73126.38</v>
      </c>
      <c r="H290" s="225">
        <v>33127.629999999997</v>
      </c>
      <c r="I290" s="225">
        <v>455316.06</v>
      </c>
      <c r="J290" s="225">
        <v>16819.419999999998</v>
      </c>
      <c r="K290" s="225">
        <v>0</v>
      </c>
      <c r="L290" s="225">
        <v>161565.29999999999</v>
      </c>
      <c r="M290" s="225">
        <v>149342.82999999999</v>
      </c>
      <c r="N290" s="225">
        <v>678643.78</v>
      </c>
      <c r="O290" s="225">
        <v>332683.48</v>
      </c>
      <c r="P290" s="225">
        <v>25544.6</v>
      </c>
      <c r="Q290" s="225">
        <v>-0.61</v>
      </c>
      <c r="R290" s="224">
        <v>0</v>
      </c>
    </row>
    <row r="291" spans="1:18" ht="12.75" customHeight="1" x14ac:dyDescent="0.25">
      <c r="C291" s="89"/>
      <c r="D291" s="89" t="s">
        <v>72</v>
      </c>
      <c r="E291" s="373">
        <v>554233.02</v>
      </c>
      <c r="F291" s="90">
        <v>42997.53</v>
      </c>
      <c r="G291" s="90">
        <v>24446.89</v>
      </c>
      <c r="H291" s="90">
        <v>8690.58</v>
      </c>
      <c r="I291" s="90">
        <v>141166.60999999999</v>
      </c>
      <c r="J291" s="90">
        <v>5445.3</v>
      </c>
      <c r="K291" s="90">
        <v>0</v>
      </c>
      <c r="L291" s="90">
        <v>39217.040000000001</v>
      </c>
      <c r="M291" s="90">
        <v>33616.379999999997</v>
      </c>
      <c r="N291" s="90">
        <v>158316.04999999999</v>
      </c>
      <c r="O291" s="90">
        <v>91454.99</v>
      </c>
      <c r="P291" s="90">
        <v>8884.35</v>
      </c>
      <c r="Q291" s="90">
        <v>-2.7</v>
      </c>
      <c r="R291">
        <v>0</v>
      </c>
    </row>
    <row r="292" spans="1:18" ht="12.75" customHeight="1" x14ac:dyDescent="0.25">
      <c r="C292" s="89"/>
      <c r="D292" s="89" t="s">
        <v>81</v>
      </c>
      <c r="E292" s="373">
        <v>1726.81</v>
      </c>
      <c r="F292" s="90">
        <v>124.46</v>
      </c>
      <c r="G292" s="90">
        <v>71.78</v>
      </c>
      <c r="H292" s="90">
        <v>38.29</v>
      </c>
      <c r="I292" s="90">
        <v>323.67</v>
      </c>
      <c r="J292" s="90">
        <v>13.18</v>
      </c>
      <c r="K292" s="90">
        <v>0</v>
      </c>
      <c r="L292" s="90">
        <v>115.48</v>
      </c>
      <c r="M292" s="90">
        <v>113.6</v>
      </c>
      <c r="N292" s="90">
        <v>565.88</v>
      </c>
      <c r="O292" s="90">
        <v>339.02</v>
      </c>
      <c r="P292" s="90">
        <v>21.47</v>
      </c>
      <c r="Q292" s="90">
        <v>-0.02</v>
      </c>
      <c r="R292">
        <v>0</v>
      </c>
    </row>
    <row r="293" spans="1:18" ht="12.75" customHeight="1" x14ac:dyDescent="0.25">
      <c r="C293" s="89" t="s">
        <v>82</v>
      </c>
      <c r="D293" s="89" t="s">
        <v>70</v>
      </c>
      <c r="E293" s="373">
        <v>555959.82999999996</v>
      </c>
      <c r="F293" s="90">
        <v>43121.99</v>
      </c>
      <c r="G293" s="90">
        <v>24518.67</v>
      </c>
      <c r="H293" s="90">
        <v>8728.8700000000008</v>
      </c>
      <c r="I293" s="90">
        <v>141490.28</v>
      </c>
      <c r="J293" s="90">
        <v>5458.48</v>
      </c>
      <c r="K293" s="90">
        <v>0</v>
      </c>
      <c r="L293" s="90">
        <v>39332.519999999997</v>
      </c>
      <c r="M293" s="90">
        <v>33729.980000000003</v>
      </c>
      <c r="N293" s="90">
        <v>158881.93</v>
      </c>
      <c r="O293" s="90">
        <v>91794.01</v>
      </c>
      <c r="P293" s="90">
        <v>8905.82</v>
      </c>
      <c r="Q293" s="90">
        <v>-2.72</v>
      </c>
      <c r="R293">
        <v>0</v>
      </c>
    </row>
    <row r="294" spans="1:18" ht="12.75" customHeight="1" x14ac:dyDescent="0.25">
      <c r="C294" s="89"/>
      <c r="D294" s="89" t="s">
        <v>72</v>
      </c>
      <c r="E294" s="373">
        <v>1934928.71</v>
      </c>
      <c r="F294" s="90">
        <v>118554.75</v>
      </c>
      <c r="G294" s="90">
        <v>55889.760000000002</v>
      </c>
      <c r="H294" s="90">
        <v>30711.19</v>
      </c>
      <c r="I294" s="90">
        <v>399338.07</v>
      </c>
      <c r="J294" s="90">
        <v>16642.43</v>
      </c>
      <c r="K294" s="90">
        <v>0</v>
      </c>
      <c r="L294" s="90">
        <v>140385.44</v>
      </c>
      <c r="M294" s="90">
        <v>125126.63</v>
      </c>
      <c r="N294" s="90">
        <v>716432.12</v>
      </c>
      <c r="O294" s="90">
        <v>312400.52</v>
      </c>
      <c r="P294" s="90">
        <v>19444.810000000001</v>
      </c>
      <c r="Q294" s="90">
        <v>2.99</v>
      </c>
      <c r="R294">
        <v>0</v>
      </c>
    </row>
    <row r="295" spans="1:18" ht="12.75" customHeight="1" x14ac:dyDescent="0.25">
      <c r="C295" s="89"/>
      <c r="D295" s="89" t="s">
        <v>81</v>
      </c>
      <c r="E295" s="373">
        <v>5523.81</v>
      </c>
      <c r="F295" s="90">
        <v>311.62</v>
      </c>
      <c r="G295" s="90">
        <v>175.97</v>
      </c>
      <c r="H295" s="90">
        <v>93.32</v>
      </c>
      <c r="I295" s="90">
        <v>1697.11</v>
      </c>
      <c r="J295" s="90">
        <v>56.74</v>
      </c>
      <c r="K295" s="90">
        <v>0</v>
      </c>
      <c r="L295" s="90">
        <v>489.65</v>
      </c>
      <c r="M295" s="90">
        <v>524.61</v>
      </c>
      <c r="N295" s="90">
        <v>1273.25</v>
      </c>
      <c r="O295" s="90">
        <v>808.79</v>
      </c>
      <c r="P295" s="90">
        <v>92.67</v>
      </c>
      <c r="Q295" s="90">
        <v>0.08</v>
      </c>
      <c r="R295">
        <v>0</v>
      </c>
    </row>
    <row r="296" spans="1:18" ht="12.75" customHeight="1" x14ac:dyDescent="0.25">
      <c r="C296" s="89" t="s">
        <v>86</v>
      </c>
      <c r="D296" s="89" t="s">
        <v>70</v>
      </c>
      <c r="E296" s="373">
        <v>1940452.52</v>
      </c>
      <c r="F296" s="90">
        <v>118866.37</v>
      </c>
      <c r="G296" s="90">
        <v>56065.73</v>
      </c>
      <c r="H296" s="90">
        <v>30804.51</v>
      </c>
      <c r="I296" s="90">
        <v>401035.18</v>
      </c>
      <c r="J296" s="90">
        <v>16699.169999999998</v>
      </c>
      <c r="K296" s="90">
        <v>0</v>
      </c>
      <c r="L296" s="90">
        <v>140875.09</v>
      </c>
      <c r="M296" s="90">
        <v>125651.24</v>
      </c>
      <c r="N296" s="90">
        <v>717705.37</v>
      </c>
      <c r="O296" s="90">
        <v>313209.31</v>
      </c>
      <c r="P296" s="90">
        <v>19537.48</v>
      </c>
      <c r="Q296" s="90">
        <v>3.07</v>
      </c>
      <c r="R296">
        <v>0</v>
      </c>
    </row>
    <row r="297" spans="1:18" ht="12.75" customHeight="1" x14ac:dyDescent="0.25">
      <c r="C297" s="89"/>
      <c r="D297" s="89" t="s">
        <v>72</v>
      </c>
      <c r="E297" s="373">
        <v>621416.02</v>
      </c>
      <c r="F297" s="90">
        <v>93775.15</v>
      </c>
      <c r="G297" s="90">
        <v>31168.39</v>
      </c>
      <c r="H297" s="90">
        <v>29667.22</v>
      </c>
      <c r="I297" s="90">
        <v>91487.08</v>
      </c>
      <c r="J297" s="90">
        <v>3264.92</v>
      </c>
      <c r="K297" s="90">
        <v>0</v>
      </c>
      <c r="L297" s="90">
        <v>36081.39</v>
      </c>
      <c r="M297" s="90">
        <v>31045.97</v>
      </c>
      <c r="N297" s="90">
        <v>151678.81</v>
      </c>
      <c r="O297" s="90">
        <v>147920.14000000001</v>
      </c>
      <c r="P297" s="90">
        <v>5326.9</v>
      </c>
      <c r="Q297" s="90">
        <v>0.05</v>
      </c>
      <c r="R297">
        <v>0</v>
      </c>
    </row>
    <row r="298" spans="1:18" ht="12.75" customHeight="1" x14ac:dyDescent="0.25">
      <c r="C298" s="89"/>
      <c r="D298" s="89" t="s">
        <v>81</v>
      </c>
      <c r="E298" s="373">
        <v>140.58000000000001</v>
      </c>
      <c r="F298" s="90">
        <v>16.100000000000001</v>
      </c>
      <c r="G298" s="90">
        <v>9.25</v>
      </c>
      <c r="H298" s="90">
        <v>4.7699999999999996</v>
      </c>
      <c r="I298" s="90">
        <v>17.170000000000002</v>
      </c>
      <c r="J298" s="90">
        <v>0.4</v>
      </c>
      <c r="K298" s="90">
        <v>0</v>
      </c>
      <c r="L298" s="90">
        <v>4.79</v>
      </c>
      <c r="M298" s="90">
        <v>5.0199999999999996</v>
      </c>
      <c r="N298" s="90">
        <v>39.78</v>
      </c>
      <c r="O298" s="90">
        <v>42.63</v>
      </c>
      <c r="P298" s="90">
        <v>0.67</v>
      </c>
      <c r="Q298" s="90">
        <v>0</v>
      </c>
      <c r="R298">
        <v>0</v>
      </c>
    </row>
    <row r="299" spans="1:18" ht="12.75" customHeight="1" x14ac:dyDescent="0.25">
      <c r="A299" s="89"/>
      <c r="B299" s="89"/>
      <c r="C299" t="s">
        <v>87</v>
      </c>
      <c r="D299" t="s">
        <v>70</v>
      </c>
      <c r="E299" s="90">
        <v>621556.6</v>
      </c>
      <c r="F299" s="90">
        <v>93791.25</v>
      </c>
      <c r="G299" s="90">
        <v>31177.64</v>
      </c>
      <c r="H299" s="90">
        <v>29671.99</v>
      </c>
      <c r="I299" s="90">
        <v>91504.25</v>
      </c>
      <c r="J299" s="90">
        <v>3265.32</v>
      </c>
      <c r="K299" s="90">
        <v>0</v>
      </c>
      <c r="L299" s="90">
        <v>36086.18</v>
      </c>
      <c r="M299" s="90">
        <v>31050.99</v>
      </c>
      <c r="N299" s="90">
        <v>151718.59</v>
      </c>
      <c r="O299" s="90">
        <v>147962.76999999999</v>
      </c>
      <c r="P299" s="90">
        <v>5327.57</v>
      </c>
      <c r="Q299" s="90">
        <v>0.05</v>
      </c>
      <c r="R299">
        <v>0</v>
      </c>
    </row>
    <row r="300" spans="1:18" s="94" customFormat="1" ht="12.75" customHeight="1" x14ac:dyDescent="0.25">
      <c r="B300" s="101" t="s">
        <v>119</v>
      </c>
      <c r="C300" s="101" t="s">
        <v>70</v>
      </c>
      <c r="E300" s="93">
        <v>3117968.95</v>
      </c>
      <c r="F300" s="93">
        <v>255779.61</v>
      </c>
      <c r="G300" s="93">
        <v>111762.04</v>
      </c>
      <c r="H300" s="93">
        <v>69205.37</v>
      </c>
      <c r="I300" s="93">
        <v>634029.71</v>
      </c>
      <c r="J300" s="93">
        <v>25422.97</v>
      </c>
      <c r="K300" s="93">
        <v>0</v>
      </c>
      <c r="L300" s="93">
        <v>216293.79</v>
      </c>
      <c r="M300" s="93">
        <v>190432.21</v>
      </c>
      <c r="N300" s="93">
        <v>1028305.89</v>
      </c>
      <c r="O300" s="93">
        <v>552966.09</v>
      </c>
      <c r="P300" s="93">
        <v>33770.870000000003</v>
      </c>
      <c r="Q300" s="93">
        <v>0.4</v>
      </c>
      <c r="R300" s="94">
        <v>0</v>
      </c>
    </row>
    <row r="301" spans="1:18" s="226" customFormat="1" ht="12.75" customHeight="1" x14ac:dyDescent="0.25">
      <c r="A301" s="98" t="s">
        <v>78</v>
      </c>
      <c r="B301" s="98" t="s">
        <v>70</v>
      </c>
      <c r="E301" s="100">
        <v>28823756.870000001</v>
      </c>
      <c r="F301" s="100">
        <v>1731904.76</v>
      </c>
      <c r="G301" s="100">
        <v>1013035.81</v>
      </c>
      <c r="H301" s="100">
        <v>451249.43</v>
      </c>
      <c r="I301" s="100">
        <v>6174692.4800000004</v>
      </c>
      <c r="J301" s="100">
        <v>229736.09</v>
      </c>
      <c r="K301" s="100">
        <v>0</v>
      </c>
      <c r="L301" s="100">
        <v>2253122.11</v>
      </c>
      <c r="M301" s="100">
        <v>2010598.58</v>
      </c>
      <c r="N301" s="100">
        <v>9848352.6099999994</v>
      </c>
      <c r="O301" s="100">
        <v>4769718.96</v>
      </c>
      <c r="P301" s="100">
        <v>341248.21</v>
      </c>
      <c r="Q301" s="100">
        <v>97.83</v>
      </c>
      <c r="R301" s="226">
        <v>0</v>
      </c>
    </row>
    <row r="302" spans="1:18" ht="12.75" customHeight="1" x14ac:dyDescent="0.25">
      <c r="B302" s="89"/>
      <c r="C302" s="89"/>
      <c r="D302" t="s">
        <v>73</v>
      </c>
      <c r="E302" s="373">
        <v>84110.96</v>
      </c>
      <c r="F302" s="90">
        <v>143659.35999999999</v>
      </c>
      <c r="G302" s="90">
        <v>86213.2</v>
      </c>
      <c r="H302" s="90">
        <v>45363.59</v>
      </c>
      <c r="I302" s="90">
        <v>-207945.89</v>
      </c>
      <c r="J302" s="90">
        <v>-5781.77</v>
      </c>
      <c r="K302" s="90">
        <v>0</v>
      </c>
      <c r="L302" s="90">
        <v>-50036.39</v>
      </c>
      <c r="M302" s="90">
        <v>-43294.83</v>
      </c>
      <c r="N302" s="90">
        <v>-215148.15</v>
      </c>
      <c r="O302" s="90">
        <v>339412.52</v>
      </c>
      <c r="P302" s="90">
        <v>-8330.68</v>
      </c>
      <c r="Q302" s="90">
        <v>0</v>
      </c>
      <c r="R302">
        <v>0</v>
      </c>
    </row>
    <row r="303" spans="1:18" ht="12.75" customHeight="1" x14ac:dyDescent="0.25">
      <c r="B303" s="89"/>
      <c r="C303" s="89" t="s">
        <v>156</v>
      </c>
      <c r="D303" t="s">
        <v>70</v>
      </c>
      <c r="E303" s="373">
        <v>84110.96</v>
      </c>
      <c r="F303" s="90">
        <v>143659.35999999999</v>
      </c>
      <c r="G303" s="90">
        <v>86213.2</v>
      </c>
      <c r="H303" s="90">
        <v>45363.59</v>
      </c>
      <c r="I303" s="90">
        <v>-207945.89</v>
      </c>
      <c r="J303" s="90">
        <v>-5781.77</v>
      </c>
      <c r="K303" s="90">
        <v>0</v>
      </c>
      <c r="L303" s="90">
        <v>-50036.39</v>
      </c>
      <c r="M303" s="90">
        <v>-43294.83</v>
      </c>
      <c r="N303" s="90">
        <v>-215148.15</v>
      </c>
      <c r="O303" s="90">
        <v>339412.52</v>
      </c>
      <c r="P303" s="90">
        <v>-8330.68</v>
      </c>
      <c r="Q303" s="90">
        <v>0</v>
      </c>
      <c r="R303">
        <v>0</v>
      </c>
    </row>
    <row r="304" spans="1:18" s="237" customFormat="1" ht="12.75" customHeight="1" x14ac:dyDescent="0.25">
      <c r="B304" s="237" t="s">
        <v>155</v>
      </c>
      <c r="C304" s="237" t="s">
        <v>70</v>
      </c>
      <c r="D304" s="221"/>
      <c r="E304" s="558">
        <v>84110.96</v>
      </c>
      <c r="F304" s="222">
        <v>143659.35999999999</v>
      </c>
      <c r="G304" s="222">
        <v>86213.2</v>
      </c>
      <c r="H304" s="222">
        <v>45363.59</v>
      </c>
      <c r="I304" s="222">
        <v>-207945.89</v>
      </c>
      <c r="J304" s="222">
        <v>-5781.77</v>
      </c>
      <c r="K304" s="222">
        <v>0</v>
      </c>
      <c r="L304" s="222">
        <v>-50036.39</v>
      </c>
      <c r="M304" s="222">
        <v>-43294.83</v>
      </c>
      <c r="N304" s="222">
        <v>-215148.15</v>
      </c>
      <c r="O304" s="222">
        <v>339412.52</v>
      </c>
      <c r="P304" s="222">
        <v>-8330.68</v>
      </c>
      <c r="Q304" s="222">
        <v>0</v>
      </c>
      <c r="R304" s="237">
        <v>0</v>
      </c>
    </row>
    <row r="305" spans="1:18" ht="12.75" customHeight="1" x14ac:dyDescent="0.25">
      <c r="B305" s="89"/>
      <c r="C305" s="89"/>
      <c r="D305" t="s">
        <v>73</v>
      </c>
      <c r="E305" s="373">
        <v>3266.22</v>
      </c>
      <c r="F305" s="90">
        <v>16.170000000000002</v>
      </c>
      <c r="G305" s="90">
        <v>9.02</v>
      </c>
      <c r="H305" s="90">
        <v>4.79</v>
      </c>
      <c r="I305" s="90">
        <v>2003.01</v>
      </c>
      <c r="J305" s="90">
        <v>19.14</v>
      </c>
      <c r="K305" s="90">
        <v>0</v>
      </c>
      <c r="L305" s="90">
        <v>167.91</v>
      </c>
      <c r="M305" s="90">
        <v>156.44999999999999</v>
      </c>
      <c r="N305" s="90">
        <v>815.69</v>
      </c>
      <c r="O305" s="90">
        <v>42.82</v>
      </c>
      <c r="P305" s="90">
        <v>31.22</v>
      </c>
      <c r="Q305" s="90">
        <v>0</v>
      </c>
      <c r="R305">
        <v>0</v>
      </c>
    </row>
    <row r="306" spans="1:18" ht="12.75" customHeight="1" x14ac:dyDescent="0.25">
      <c r="B306" s="89"/>
      <c r="C306" s="89" t="s">
        <v>115</v>
      </c>
      <c r="D306" t="s">
        <v>70</v>
      </c>
      <c r="E306" s="373">
        <v>3266.22</v>
      </c>
      <c r="F306" s="90">
        <v>16.170000000000002</v>
      </c>
      <c r="G306" s="90">
        <v>9.02</v>
      </c>
      <c r="H306" s="90">
        <v>4.79</v>
      </c>
      <c r="I306" s="90">
        <v>2003.01</v>
      </c>
      <c r="J306" s="90">
        <v>19.14</v>
      </c>
      <c r="K306" s="90">
        <v>0</v>
      </c>
      <c r="L306" s="90">
        <v>167.91</v>
      </c>
      <c r="M306" s="90">
        <v>156.44999999999999</v>
      </c>
      <c r="N306" s="90">
        <v>815.69</v>
      </c>
      <c r="O306" s="90">
        <v>42.82</v>
      </c>
      <c r="P306" s="90">
        <v>31.22</v>
      </c>
      <c r="Q306" s="90">
        <v>0</v>
      </c>
      <c r="R306">
        <v>0</v>
      </c>
    </row>
    <row r="307" spans="1:18" ht="12.75" customHeight="1" x14ac:dyDescent="0.25">
      <c r="B307" s="89"/>
      <c r="C307" s="89"/>
      <c r="D307" t="s">
        <v>73</v>
      </c>
      <c r="E307" s="373">
        <v>-15759.25</v>
      </c>
      <c r="F307" s="90">
        <v>-695.87</v>
      </c>
      <c r="G307" s="90">
        <v>-388.53</v>
      </c>
      <c r="H307" s="90">
        <v>-206.21</v>
      </c>
      <c r="I307" s="90">
        <v>-3881.19</v>
      </c>
      <c r="J307" s="90">
        <v>-138.59</v>
      </c>
      <c r="K307" s="90">
        <v>0</v>
      </c>
      <c r="L307" s="90">
        <v>-1215.6600000000001</v>
      </c>
      <c r="M307" s="90">
        <v>-1160.1300000000001</v>
      </c>
      <c r="N307" s="90">
        <v>-6004.51</v>
      </c>
      <c r="O307" s="90">
        <v>-1842.44</v>
      </c>
      <c r="P307" s="90">
        <v>-226.12</v>
      </c>
      <c r="Q307" s="90">
        <v>0</v>
      </c>
      <c r="R307">
        <v>0</v>
      </c>
    </row>
    <row r="308" spans="1:18" ht="12.75" customHeight="1" x14ac:dyDescent="0.25">
      <c r="B308" s="89"/>
      <c r="C308" s="89" t="s">
        <v>116</v>
      </c>
      <c r="D308" t="s">
        <v>70</v>
      </c>
      <c r="E308" s="373">
        <v>-15759.25</v>
      </c>
      <c r="F308" s="90">
        <v>-695.87</v>
      </c>
      <c r="G308" s="90">
        <v>-388.53</v>
      </c>
      <c r="H308" s="90">
        <v>-206.21</v>
      </c>
      <c r="I308" s="90">
        <v>-3881.19</v>
      </c>
      <c r="J308" s="90">
        <v>-138.59</v>
      </c>
      <c r="K308" s="90">
        <v>0</v>
      </c>
      <c r="L308" s="90">
        <v>-1215.6600000000001</v>
      </c>
      <c r="M308" s="90">
        <v>-1160.1300000000001</v>
      </c>
      <c r="N308" s="90">
        <v>-6004.51</v>
      </c>
      <c r="O308" s="90">
        <v>-1842.44</v>
      </c>
      <c r="P308" s="90">
        <v>-226.12</v>
      </c>
      <c r="Q308" s="90">
        <v>0</v>
      </c>
      <c r="R308">
        <v>0</v>
      </c>
    </row>
    <row r="309" spans="1:18" ht="12.75" customHeight="1" x14ac:dyDescent="0.25">
      <c r="B309" s="89"/>
      <c r="C309" s="89"/>
      <c r="D309" t="s">
        <v>73</v>
      </c>
      <c r="E309" s="373">
        <v>54138.77</v>
      </c>
      <c r="F309" s="90">
        <v>19655.38</v>
      </c>
      <c r="G309" s="90">
        <v>9254.7999999999993</v>
      </c>
      <c r="H309" s="90">
        <v>-1107.55</v>
      </c>
      <c r="I309" s="90">
        <v>-21381.65</v>
      </c>
      <c r="J309" s="90">
        <v>-425.64</v>
      </c>
      <c r="K309" s="90">
        <v>0</v>
      </c>
      <c r="L309" s="90">
        <v>1743.76</v>
      </c>
      <c r="M309" s="90">
        <v>-376.04</v>
      </c>
      <c r="N309" s="90">
        <v>-147.65</v>
      </c>
      <c r="O309" s="90">
        <v>47305.51</v>
      </c>
      <c r="P309" s="90">
        <v>-382.15</v>
      </c>
      <c r="Q309" s="90">
        <v>0</v>
      </c>
      <c r="R309">
        <v>0</v>
      </c>
    </row>
    <row r="310" spans="1:18" ht="12.75" customHeight="1" x14ac:dyDescent="0.25">
      <c r="B310" s="89"/>
      <c r="C310" s="89" t="s">
        <v>118</v>
      </c>
      <c r="D310" t="s">
        <v>70</v>
      </c>
      <c r="E310" s="373">
        <v>54138.77</v>
      </c>
      <c r="F310" s="90">
        <v>19655.38</v>
      </c>
      <c r="G310" s="90">
        <v>9254.7999999999993</v>
      </c>
      <c r="H310" s="90">
        <v>-1107.55</v>
      </c>
      <c r="I310" s="90">
        <v>-21381.65</v>
      </c>
      <c r="J310" s="90">
        <v>-425.64</v>
      </c>
      <c r="K310" s="90">
        <v>0</v>
      </c>
      <c r="L310" s="90">
        <v>1743.76</v>
      </c>
      <c r="M310" s="90">
        <v>-376.04</v>
      </c>
      <c r="N310" s="90">
        <v>-147.65</v>
      </c>
      <c r="O310" s="90">
        <v>47305.51</v>
      </c>
      <c r="P310" s="90">
        <v>-382.15</v>
      </c>
      <c r="Q310" s="90">
        <v>0</v>
      </c>
      <c r="R310">
        <v>0</v>
      </c>
    </row>
    <row r="311" spans="1:18" s="224" customFormat="1" ht="12.75" customHeight="1" x14ac:dyDescent="0.25">
      <c r="B311" s="224" t="s">
        <v>120</v>
      </c>
      <c r="C311" s="224" t="s">
        <v>70</v>
      </c>
      <c r="D311" s="223"/>
      <c r="E311" s="225">
        <v>41645.74</v>
      </c>
      <c r="F311" s="225">
        <v>18975.68</v>
      </c>
      <c r="G311" s="225">
        <v>8875.2900000000009</v>
      </c>
      <c r="H311" s="225">
        <v>-1308.97</v>
      </c>
      <c r="I311" s="225">
        <v>-23259.83</v>
      </c>
      <c r="J311" s="225">
        <v>-545.09</v>
      </c>
      <c r="K311" s="225">
        <v>0</v>
      </c>
      <c r="L311" s="225">
        <v>696.01</v>
      </c>
      <c r="M311" s="225">
        <v>-1379.72</v>
      </c>
      <c r="N311" s="225">
        <v>-5336.47</v>
      </c>
      <c r="O311" s="225">
        <v>45505.89</v>
      </c>
      <c r="P311" s="225">
        <v>-577.04999999999995</v>
      </c>
      <c r="Q311" s="225">
        <v>0</v>
      </c>
      <c r="R311" s="224">
        <v>0</v>
      </c>
    </row>
    <row r="312" spans="1:18" ht="12.75" customHeight="1" x14ac:dyDescent="0.25">
      <c r="D312" s="89" t="s">
        <v>73</v>
      </c>
      <c r="E312" s="373">
        <v>1778.83</v>
      </c>
      <c r="F312" s="90">
        <v>2574.59</v>
      </c>
      <c r="G312" s="90">
        <v>1381.88</v>
      </c>
      <c r="H312" s="90">
        <v>753.55</v>
      </c>
      <c r="I312" s="90">
        <v>-1816.88</v>
      </c>
      <c r="J312" s="90">
        <v>-123.56</v>
      </c>
      <c r="K312" s="90">
        <v>0</v>
      </c>
      <c r="L312" s="90">
        <v>-1083.8900000000001</v>
      </c>
      <c r="M312" s="90">
        <v>-1110.97</v>
      </c>
      <c r="N312" s="90">
        <v>-5346.73</v>
      </c>
      <c r="O312" s="90">
        <v>6752.47</v>
      </c>
      <c r="P312" s="90">
        <v>-201.63</v>
      </c>
      <c r="Q312" s="90">
        <v>0</v>
      </c>
      <c r="R312">
        <v>0</v>
      </c>
    </row>
    <row r="313" spans="1:18" ht="12.75" customHeight="1" x14ac:dyDescent="0.25">
      <c r="C313" t="s">
        <v>82</v>
      </c>
      <c r="D313" s="89" t="s">
        <v>70</v>
      </c>
      <c r="E313" s="373">
        <v>1778.83</v>
      </c>
      <c r="F313" s="90">
        <v>2574.59</v>
      </c>
      <c r="G313" s="90">
        <v>1381.88</v>
      </c>
      <c r="H313" s="90">
        <v>753.55</v>
      </c>
      <c r="I313" s="90">
        <v>-1816.88</v>
      </c>
      <c r="J313" s="90">
        <v>-123.56</v>
      </c>
      <c r="K313" s="90">
        <v>0</v>
      </c>
      <c r="L313" s="90">
        <v>-1083.8900000000001</v>
      </c>
      <c r="M313" s="90">
        <v>-1110.97</v>
      </c>
      <c r="N313" s="90">
        <v>-5346.73</v>
      </c>
      <c r="O313" s="90">
        <v>6752.47</v>
      </c>
      <c r="P313" s="90">
        <v>-201.63</v>
      </c>
      <c r="Q313" s="90">
        <v>0</v>
      </c>
      <c r="R313">
        <v>0</v>
      </c>
    </row>
    <row r="314" spans="1:18" ht="12.75" customHeight="1" x14ac:dyDescent="0.25">
      <c r="D314" s="89" t="s">
        <v>73</v>
      </c>
      <c r="E314" s="373">
        <v>28982.93</v>
      </c>
      <c r="F314" s="90">
        <v>25102.880000000001</v>
      </c>
      <c r="G314" s="90">
        <v>14067.87</v>
      </c>
      <c r="H314" s="90">
        <v>6698.59</v>
      </c>
      <c r="I314" s="90">
        <v>-31370.92</v>
      </c>
      <c r="J314" s="90">
        <v>-602.5</v>
      </c>
      <c r="K314" s="90">
        <v>0</v>
      </c>
      <c r="L314" s="90">
        <v>-5285.31</v>
      </c>
      <c r="M314" s="90">
        <v>-6363.3</v>
      </c>
      <c r="N314" s="90">
        <v>-32158.73</v>
      </c>
      <c r="O314" s="90">
        <v>59877.49</v>
      </c>
      <c r="P314" s="90">
        <v>-983.14</v>
      </c>
      <c r="Q314" s="90">
        <v>0</v>
      </c>
      <c r="R314">
        <v>0</v>
      </c>
    </row>
    <row r="315" spans="1:18" ht="12.75" customHeight="1" x14ac:dyDescent="0.25">
      <c r="C315" t="s">
        <v>86</v>
      </c>
      <c r="D315" s="89" t="s">
        <v>70</v>
      </c>
      <c r="E315" s="373">
        <v>28982.93</v>
      </c>
      <c r="F315" s="90">
        <v>25102.880000000001</v>
      </c>
      <c r="G315" s="90">
        <v>14067.87</v>
      </c>
      <c r="H315" s="90">
        <v>6698.59</v>
      </c>
      <c r="I315" s="90">
        <v>-31370.92</v>
      </c>
      <c r="J315" s="90">
        <v>-602.5</v>
      </c>
      <c r="K315" s="90">
        <v>0</v>
      </c>
      <c r="L315" s="90">
        <v>-5285.31</v>
      </c>
      <c r="M315" s="90">
        <v>-6363.3</v>
      </c>
      <c r="N315" s="90">
        <v>-32158.73</v>
      </c>
      <c r="O315" s="90">
        <v>59877.49</v>
      </c>
      <c r="P315" s="90">
        <v>-983.14</v>
      </c>
      <c r="Q315" s="90">
        <v>0</v>
      </c>
      <c r="R315">
        <v>0</v>
      </c>
    </row>
    <row r="316" spans="1:18" ht="12.75" customHeight="1" x14ac:dyDescent="0.25">
      <c r="C316" s="89"/>
      <c r="D316" s="89" t="s">
        <v>73</v>
      </c>
      <c r="E316" s="90">
        <v>226081.74</v>
      </c>
      <c r="F316" s="90">
        <v>25015.86</v>
      </c>
      <c r="G316" s="90">
        <v>14513.84</v>
      </c>
      <c r="H316" s="90">
        <v>7712.63</v>
      </c>
      <c r="I316" s="90">
        <v>31895.69</v>
      </c>
      <c r="J316" s="90">
        <v>1405.18</v>
      </c>
      <c r="K316" s="90">
        <v>0</v>
      </c>
      <c r="L316" s="90">
        <v>10646.71</v>
      </c>
      <c r="M316" s="90">
        <v>10036.85</v>
      </c>
      <c r="N316" s="90">
        <v>53866.400000000001</v>
      </c>
      <c r="O316" s="90">
        <v>68695.990000000005</v>
      </c>
      <c r="P316" s="90">
        <v>2292.59</v>
      </c>
      <c r="Q316" s="90">
        <v>0</v>
      </c>
      <c r="R316">
        <v>0</v>
      </c>
    </row>
    <row r="317" spans="1:18" ht="12.75" customHeight="1" x14ac:dyDescent="0.25">
      <c r="B317" s="89"/>
      <c r="C317" s="89" t="s">
        <v>87</v>
      </c>
      <c r="D317" t="s">
        <v>70</v>
      </c>
      <c r="E317" s="90">
        <v>226081.74</v>
      </c>
      <c r="F317" s="90">
        <v>25015.86</v>
      </c>
      <c r="G317" s="90">
        <v>14513.84</v>
      </c>
      <c r="H317" s="90">
        <v>7712.63</v>
      </c>
      <c r="I317" s="90">
        <v>31895.69</v>
      </c>
      <c r="J317" s="90">
        <v>1405.18</v>
      </c>
      <c r="K317" s="90">
        <v>0</v>
      </c>
      <c r="L317" s="90">
        <v>10646.71</v>
      </c>
      <c r="M317" s="90">
        <v>10036.85</v>
      </c>
      <c r="N317" s="90">
        <v>53866.400000000001</v>
      </c>
      <c r="O317" s="90">
        <v>68695.990000000005</v>
      </c>
      <c r="P317" s="90">
        <v>2292.59</v>
      </c>
      <c r="Q317" s="90">
        <v>0</v>
      </c>
      <c r="R317">
        <v>0</v>
      </c>
    </row>
    <row r="318" spans="1:18" s="94" customFormat="1" ht="12.75" customHeight="1" x14ac:dyDescent="0.25">
      <c r="B318" s="101" t="s">
        <v>119</v>
      </c>
      <c r="C318" s="101" t="s">
        <v>70</v>
      </c>
      <c r="E318" s="93">
        <v>256843.5</v>
      </c>
      <c r="F318" s="93">
        <v>52693.33</v>
      </c>
      <c r="G318" s="93">
        <v>29963.59</v>
      </c>
      <c r="H318" s="93">
        <v>15164.77</v>
      </c>
      <c r="I318" s="93">
        <v>-1292.1099999999999</v>
      </c>
      <c r="J318" s="93">
        <v>679.12</v>
      </c>
      <c r="K318" s="93">
        <v>0</v>
      </c>
      <c r="L318" s="93">
        <v>4277.51</v>
      </c>
      <c r="M318" s="93">
        <v>2562.58</v>
      </c>
      <c r="N318" s="93">
        <v>16360.94</v>
      </c>
      <c r="O318" s="93">
        <v>135325.95000000001</v>
      </c>
      <c r="P318" s="93">
        <v>1107.82</v>
      </c>
      <c r="Q318" s="93">
        <v>0</v>
      </c>
      <c r="R318" s="94">
        <v>0</v>
      </c>
    </row>
    <row r="319" spans="1:18" s="226" customFormat="1" ht="12.75" customHeight="1" x14ac:dyDescent="0.25">
      <c r="A319" s="98" t="s">
        <v>79</v>
      </c>
      <c r="B319" s="98" t="s">
        <v>70</v>
      </c>
      <c r="E319" s="100">
        <v>382600.2</v>
      </c>
      <c r="F319" s="100">
        <v>215328.37</v>
      </c>
      <c r="G319" s="100">
        <v>125052.08</v>
      </c>
      <c r="H319" s="100">
        <v>59219.39</v>
      </c>
      <c r="I319" s="100">
        <v>-232497.83</v>
      </c>
      <c r="J319" s="100">
        <v>-5647.74</v>
      </c>
      <c r="K319" s="100">
        <v>0</v>
      </c>
      <c r="L319" s="100">
        <v>-45062.87</v>
      </c>
      <c r="M319" s="100">
        <v>-42111.97</v>
      </c>
      <c r="N319" s="100">
        <v>-204123.68</v>
      </c>
      <c r="O319" s="100">
        <v>520244.36</v>
      </c>
      <c r="P319" s="100">
        <v>-7799.91</v>
      </c>
      <c r="Q319" s="100">
        <v>0</v>
      </c>
      <c r="R319" s="226">
        <v>0</v>
      </c>
    </row>
    <row r="320" spans="1:18" ht="12.75" customHeight="1" x14ac:dyDescent="0.25">
      <c r="A320" s="89" t="s">
        <v>70</v>
      </c>
      <c r="E320" s="90">
        <v>29206357.07</v>
      </c>
      <c r="F320" s="90">
        <v>1947233.13</v>
      </c>
      <c r="G320" s="90">
        <v>1138087.8899999999</v>
      </c>
      <c r="H320" s="90">
        <v>510468.82</v>
      </c>
      <c r="I320" s="90">
        <v>5942194.6500000004</v>
      </c>
      <c r="J320" s="90">
        <v>224088.35</v>
      </c>
      <c r="K320" s="90">
        <v>0</v>
      </c>
      <c r="L320" s="90">
        <v>2208059.2400000002</v>
      </c>
      <c r="M320" s="90">
        <v>1968486.61</v>
      </c>
      <c r="N320" s="90">
        <v>9644228.9299999997</v>
      </c>
      <c r="O320" s="90">
        <v>5289963.32</v>
      </c>
      <c r="P320" s="90">
        <v>333448.3</v>
      </c>
      <c r="Q320" s="90">
        <v>97.83</v>
      </c>
      <c r="R320">
        <v>0</v>
      </c>
    </row>
    <row r="321" spans="3:17" ht="12.75" customHeight="1" x14ac:dyDescent="0.25">
      <c r="C321" s="89"/>
      <c r="D321" s="89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</row>
    <row r="322" spans="3:17" ht="12.75" customHeight="1" x14ac:dyDescent="0.25">
      <c r="C322" s="89"/>
      <c r="D322" s="89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</row>
    <row r="323" spans="3:17" ht="12.75" hidden="1" customHeight="1" x14ac:dyDescent="0.25">
      <c r="C323" s="89"/>
      <c r="D323" s="89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</row>
    <row r="324" spans="3:17" ht="12.75" hidden="1" customHeight="1" x14ac:dyDescent="0.25">
      <c r="C324" s="89"/>
      <c r="D324" s="89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</row>
    <row r="325" spans="3:17" ht="12.75" hidden="1" customHeight="1" x14ac:dyDescent="0.25">
      <c r="C325" s="89"/>
      <c r="D325" s="89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</row>
    <row r="326" spans="3:17" ht="12.75" hidden="1" customHeight="1" x14ac:dyDescent="0.25">
      <c r="C326" s="89"/>
      <c r="D326" s="89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</row>
    <row r="327" spans="3:17" ht="12.75" hidden="1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3:17" ht="12.75" hidden="1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3:17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3:17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3:17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3:17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3:17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3:17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3:17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3:17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customHeight="1" x14ac:dyDescent="0.25">
      <c r="B354" s="768" t="s">
        <v>2</v>
      </c>
      <c r="C354" s="769" t="s">
        <v>132</v>
      </c>
      <c r="D354" s="98" t="s">
        <v>70</v>
      </c>
      <c r="E354" s="100">
        <f>E301+E319-K301</f>
        <v>29206357.07</v>
      </c>
      <c r="F354" s="100">
        <f>F301</f>
        <v>1731904.76</v>
      </c>
      <c r="G354" s="100">
        <f t="shared" ref="G354:R354" si="10">G301</f>
        <v>1013035.81</v>
      </c>
      <c r="H354" s="100">
        <f t="shared" si="10"/>
        <v>451249.43</v>
      </c>
      <c r="I354" s="100">
        <f t="shared" si="10"/>
        <v>6174692.4800000004</v>
      </c>
      <c r="J354" s="100">
        <f t="shared" si="10"/>
        <v>229736.09</v>
      </c>
      <c r="K354" s="100">
        <f t="shared" si="10"/>
        <v>0</v>
      </c>
      <c r="L354" s="100">
        <f t="shared" si="10"/>
        <v>2253122.11</v>
      </c>
      <c r="M354" s="100">
        <f t="shared" si="10"/>
        <v>2010598.58</v>
      </c>
      <c r="N354" s="100">
        <f t="shared" si="10"/>
        <v>9848352.6099999994</v>
      </c>
      <c r="O354" s="100">
        <f t="shared" si="10"/>
        <v>4769718.96</v>
      </c>
      <c r="P354" s="100">
        <f t="shared" si="10"/>
        <v>341248.21</v>
      </c>
      <c r="Q354" s="100">
        <f t="shared" si="10"/>
        <v>97.83</v>
      </c>
      <c r="R354" s="100">
        <f t="shared" si="10"/>
        <v>0</v>
      </c>
    </row>
    <row r="355" spans="1:18" ht="12.75" customHeight="1" x14ac:dyDescent="0.25">
      <c r="B355" s="768"/>
      <c r="C355" s="769"/>
      <c r="D355" s="98" t="s">
        <v>73</v>
      </c>
      <c r="E355" s="100">
        <f>E319</f>
        <v>382600.2</v>
      </c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</row>
    <row r="356" spans="1:18" ht="12.75" customHeight="1" x14ac:dyDescent="0.25">
      <c r="A356" s="89"/>
      <c r="B356" s="97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18" ht="12.75" customHeight="1" x14ac:dyDescent="0.25">
      <c r="B357" s="768" t="s">
        <v>160</v>
      </c>
      <c r="C357" s="769" t="s">
        <v>132</v>
      </c>
      <c r="D357" s="223" t="s">
        <v>70</v>
      </c>
      <c r="E357" s="225">
        <f>E311+E290-K290</f>
        <v>2089183.34</v>
      </c>
      <c r="F357" s="225">
        <f>F290</f>
        <v>121368.73</v>
      </c>
      <c r="G357" s="225">
        <f t="shared" ref="G357:R357" si="11">G290</f>
        <v>73126.38</v>
      </c>
      <c r="H357" s="225">
        <f t="shared" si="11"/>
        <v>33127.629999999997</v>
      </c>
      <c r="I357" s="225">
        <f t="shared" si="11"/>
        <v>455316.06</v>
      </c>
      <c r="J357" s="225">
        <f t="shared" si="11"/>
        <v>16819.419999999998</v>
      </c>
      <c r="K357" s="225">
        <f t="shared" si="11"/>
        <v>0</v>
      </c>
      <c r="L357" s="225">
        <f t="shared" si="11"/>
        <v>161565.29999999999</v>
      </c>
      <c r="M357" s="225">
        <f t="shared" si="11"/>
        <v>149342.82999999999</v>
      </c>
      <c r="N357" s="225">
        <f t="shared" si="11"/>
        <v>678643.78</v>
      </c>
      <c r="O357" s="225">
        <f t="shared" si="11"/>
        <v>332683.48</v>
      </c>
      <c r="P357" s="225">
        <f t="shared" si="11"/>
        <v>25544.6</v>
      </c>
      <c r="Q357" s="225">
        <f t="shared" si="11"/>
        <v>-0.61</v>
      </c>
      <c r="R357" s="225">
        <f t="shared" si="11"/>
        <v>0</v>
      </c>
    </row>
    <row r="358" spans="1:18" ht="12.75" customHeight="1" x14ac:dyDescent="0.25">
      <c r="B358" s="768"/>
      <c r="C358" s="769"/>
      <c r="D358" s="223" t="s">
        <v>73</v>
      </c>
      <c r="E358" s="225">
        <f>E311</f>
        <v>41645.74</v>
      </c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</row>
    <row r="359" spans="1:18" ht="12.75" customHeight="1" x14ac:dyDescent="0.25">
      <c r="A359" s="89"/>
      <c r="B359" s="97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</row>
    <row r="360" spans="1:18" ht="12.75" customHeight="1" x14ac:dyDescent="0.25">
      <c r="B360" s="768" t="s">
        <v>155</v>
      </c>
      <c r="C360" s="769" t="s">
        <v>132</v>
      </c>
      <c r="D360" s="221" t="s">
        <v>70</v>
      </c>
      <c r="E360" s="222">
        <f>E304+E282-K282</f>
        <v>23742361.280000001</v>
      </c>
      <c r="F360" s="222">
        <f t="shared" ref="F360:R360" si="12">F282</f>
        <v>1354756.42</v>
      </c>
      <c r="G360" s="222">
        <f t="shared" si="12"/>
        <v>828147.39</v>
      </c>
      <c r="H360" s="222">
        <f t="shared" si="12"/>
        <v>348916.43</v>
      </c>
      <c r="I360" s="222">
        <f t="shared" si="12"/>
        <v>5085346.71</v>
      </c>
      <c r="J360" s="222">
        <f t="shared" si="12"/>
        <v>187493.7</v>
      </c>
      <c r="K360" s="222">
        <f t="shared" si="12"/>
        <v>0</v>
      </c>
      <c r="L360" s="222">
        <f t="shared" si="12"/>
        <v>1875263.02</v>
      </c>
      <c r="M360" s="222">
        <f t="shared" si="12"/>
        <v>1670823.54</v>
      </c>
      <c r="N360" s="222">
        <f t="shared" si="12"/>
        <v>8141402.9400000004</v>
      </c>
      <c r="O360" s="222">
        <f t="shared" si="12"/>
        <v>3884069.39</v>
      </c>
      <c r="P360" s="222">
        <f t="shared" si="12"/>
        <v>281932.74</v>
      </c>
      <c r="Q360" s="222">
        <f t="shared" si="12"/>
        <v>98.04</v>
      </c>
      <c r="R360" s="222">
        <f t="shared" si="12"/>
        <v>0</v>
      </c>
    </row>
    <row r="361" spans="1:18" ht="12.75" customHeight="1" x14ac:dyDescent="0.25">
      <c r="B361" s="768"/>
      <c r="C361" s="769"/>
      <c r="D361" s="221" t="s">
        <v>73</v>
      </c>
      <c r="E361" s="222">
        <f>E304</f>
        <v>84110.96</v>
      </c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</row>
    <row r="362" spans="1:18" ht="12.75" customHeight="1" x14ac:dyDescent="0.25">
      <c r="A362" s="89"/>
      <c r="B362" s="97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18" ht="12.75" customHeight="1" x14ac:dyDescent="0.25">
      <c r="B363" s="771" t="s">
        <v>324</v>
      </c>
      <c r="C363" s="769" t="s">
        <v>132</v>
      </c>
      <c r="D363" s="375" t="s">
        <v>70</v>
      </c>
      <c r="E363" s="376">
        <v>0</v>
      </c>
      <c r="F363" s="376">
        <v>0</v>
      </c>
      <c r="G363" s="376">
        <v>0</v>
      </c>
      <c r="H363" s="376">
        <v>0</v>
      </c>
      <c r="I363" s="376">
        <v>0</v>
      </c>
      <c r="J363" s="376">
        <v>0</v>
      </c>
      <c r="K363" s="376">
        <v>0</v>
      </c>
      <c r="L363" s="376">
        <v>0</v>
      </c>
      <c r="M363" s="376">
        <v>0</v>
      </c>
      <c r="N363" s="376">
        <v>0</v>
      </c>
      <c r="O363" s="376">
        <v>0</v>
      </c>
      <c r="P363" s="376">
        <v>0</v>
      </c>
      <c r="Q363" s="376">
        <v>0</v>
      </c>
      <c r="R363" s="376">
        <v>0</v>
      </c>
    </row>
    <row r="364" spans="1:18" ht="12.75" customHeight="1" x14ac:dyDescent="0.25">
      <c r="B364" s="771"/>
      <c r="C364" s="769"/>
      <c r="D364" s="375" t="s">
        <v>73</v>
      </c>
      <c r="E364" s="376">
        <v>0</v>
      </c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A365" s="89"/>
      <c r="B365" s="97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spans="1:18" ht="12.75" customHeight="1" x14ac:dyDescent="0.25">
      <c r="A366" s="142" t="s">
        <v>225</v>
      </c>
      <c r="B366" s="768" t="s">
        <v>119</v>
      </c>
      <c r="C366" s="769" t="s">
        <v>132</v>
      </c>
      <c r="D366" s="101" t="s">
        <v>70</v>
      </c>
      <c r="E366" s="93">
        <f>E300+E318-K300</f>
        <v>3374812.45</v>
      </c>
      <c r="F366" s="93">
        <f t="shared" ref="F366:R366" si="13">F300</f>
        <v>255779.61</v>
      </c>
      <c r="G366" s="93">
        <f t="shared" si="13"/>
        <v>111762.04</v>
      </c>
      <c r="H366" s="93">
        <f t="shared" si="13"/>
        <v>69205.37</v>
      </c>
      <c r="I366" s="93">
        <f t="shared" si="13"/>
        <v>634029.71</v>
      </c>
      <c r="J366" s="93">
        <f t="shared" si="13"/>
        <v>25422.97</v>
      </c>
      <c r="K366" s="93">
        <f t="shared" si="13"/>
        <v>0</v>
      </c>
      <c r="L366" s="93">
        <f t="shared" si="13"/>
        <v>216293.79</v>
      </c>
      <c r="M366" s="93">
        <f t="shared" si="13"/>
        <v>190432.21</v>
      </c>
      <c r="N366" s="93">
        <f t="shared" si="13"/>
        <v>1028305.89</v>
      </c>
      <c r="O366" s="93">
        <f t="shared" si="13"/>
        <v>552966.09</v>
      </c>
      <c r="P366" s="93">
        <f t="shared" si="13"/>
        <v>33770.870000000003</v>
      </c>
      <c r="Q366" s="93">
        <f t="shared" si="13"/>
        <v>0.4</v>
      </c>
      <c r="R366" s="93">
        <f t="shared" si="13"/>
        <v>0</v>
      </c>
    </row>
    <row r="367" spans="1:18" ht="12.75" customHeight="1" x14ac:dyDescent="0.25">
      <c r="B367" s="768"/>
      <c r="C367" s="769"/>
      <c r="D367" s="101" t="s">
        <v>73</v>
      </c>
      <c r="E367" s="93">
        <f>E318</f>
        <v>256843.5</v>
      </c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A368" s="89"/>
      <c r="B368" s="97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2:18" ht="12.75" customHeight="1" x14ac:dyDescent="0.25">
      <c r="B369" s="770" t="s">
        <v>161</v>
      </c>
      <c r="C369" s="769" t="s">
        <v>132</v>
      </c>
      <c r="D369" s="231" t="s">
        <v>70</v>
      </c>
      <c r="E369" s="232">
        <v>0</v>
      </c>
      <c r="F369" s="232">
        <v>0</v>
      </c>
      <c r="G369" s="232">
        <v>0</v>
      </c>
      <c r="H369" s="232">
        <v>0</v>
      </c>
      <c r="I369" s="232">
        <v>0</v>
      </c>
      <c r="J369" s="232">
        <v>0</v>
      </c>
      <c r="K369" s="232">
        <v>0</v>
      </c>
      <c r="L369" s="232">
        <v>0</v>
      </c>
      <c r="M369" s="232">
        <v>0</v>
      </c>
      <c r="N369" s="232">
        <v>0</v>
      </c>
      <c r="O369" s="232">
        <v>0</v>
      </c>
      <c r="P369" s="232">
        <v>0</v>
      </c>
      <c r="Q369" s="232">
        <v>0</v>
      </c>
      <c r="R369" s="232">
        <v>0</v>
      </c>
    </row>
    <row r="370" spans="2:18" ht="12.75" customHeight="1" x14ac:dyDescent="0.25">
      <c r="B370" s="770"/>
      <c r="C370" s="769"/>
      <c r="D370" s="231" t="s">
        <v>73</v>
      </c>
      <c r="E370" s="232">
        <v>0</v>
      </c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2:18" s="238" customFormat="1" x14ac:dyDescent="0.25"/>
    <row r="372" spans="2:18" x14ac:dyDescent="0.25">
      <c r="B372" s="97" t="s">
        <v>93</v>
      </c>
    </row>
    <row r="373" spans="2:18" x14ac:dyDescent="0.25">
      <c r="E373" s="89" t="s">
        <v>70</v>
      </c>
      <c r="F373" s="89" t="s">
        <v>64</v>
      </c>
      <c r="G373" s="89" t="s">
        <v>65</v>
      </c>
      <c r="H373" s="219" t="s">
        <v>164</v>
      </c>
      <c r="I373" s="89" t="s">
        <v>69</v>
      </c>
      <c r="J373" s="89" t="s">
        <v>68</v>
      </c>
      <c r="K373" s="89" t="s">
        <v>83</v>
      </c>
      <c r="L373" s="89" t="s">
        <v>66</v>
      </c>
      <c r="M373" s="89" t="s">
        <v>63</v>
      </c>
      <c r="N373" s="89" t="s">
        <v>61</v>
      </c>
      <c r="O373" s="89" t="s">
        <v>62</v>
      </c>
      <c r="P373" s="89" t="s">
        <v>67</v>
      </c>
      <c r="Q373" s="89" t="s">
        <v>84</v>
      </c>
      <c r="R373" s="386" t="s">
        <v>224</v>
      </c>
    </row>
    <row r="374" spans="2:18" ht="12.75" customHeight="1" x14ac:dyDescent="0.25">
      <c r="D374" s="89" t="s">
        <v>72</v>
      </c>
      <c r="E374" s="90">
        <v>9133470.2599999998</v>
      </c>
      <c r="F374" s="90">
        <v>553889.47</v>
      </c>
      <c r="G374" s="90">
        <v>315228.76</v>
      </c>
      <c r="H374" s="90">
        <v>142389.03</v>
      </c>
      <c r="I374" s="90">
        <v>2013199.76</v>
      </c>
      <c r="J374" s="90">
        <v>73745.350000000006</v>
      </c>
      <c r="K374" s="90">
        <v>0</v>
      </c>
      <c r="L374" s="90">
        <v>661682.98</v>
      </c>
      <c r="M374" s="90">
        <v>594270.30000000005</v>
      </c>
      <c r="N374" s="90">
        <v>3004982.52</v>
      </c>
      <c r="O374" s="90">
        <v>1658944.84</v>
      </c>
      <c r="P374" s="90">
        <v>115261.59</v>
      </c>
      <c r="Q374" s="90">
        <v>-124.34</v>
      </c>
      <c r="R374">
        <v>0</v>
      </c>
    </row>
    <row r="375" spans="2:18" ht="12.75" customHeight="1" x14ac:dyDescent="0.25">
      <c r="D375" s="89" t="s">
        <v>81</v>
      </c>
      <c r="E375" s="90">
        <v>10418.299999999999</v>
      </c>
      <c r="F375" s="90">
        <v>536.6</v>
      </c>
      <c r="G375" s="90">
        <v>286.76</v>
      </c>
      <c r="H375" s="90">
        <v>154.38999999999999</v>
      </c>
      <c r="I375" s="90">
        <v>2252.75</v>
      </c>
      <c r="J375" s="90">
        <v>90.11</v>
      </c>
      <c r="K375" s="90">
        <v>0</v>
      </c>
      <c r="L375" s="90">
        <v>789.55</v>
      </c>
      <c r="M375" s="90">
        <v>746.89</v>
      </c>
      <c r="N375" s="90">
        <v>3806.97</v>
      </c>
      <c r="O375" s="90">
        <v>1607.58</v>
      </c>
      <c r="P375" s="90">
        <v>146.78</v>
      </c>
      <c r="Q375" s="90">
        <v>-0.08</v>
      </c>
      <c r="R375">
        <v>0</v>
      </c>
    </row>
    <row r="376" spans="2:18" ht="12.75" customHeight="1" x14ac:dyDescent="0.25">
      <c r="B376" s="89"/>
      <c r="C376" s="89" t="s">
        <v>156</v>
      </c>
      <c r="D376" t="s">
        <v>70</v>
      </c>
      <c r="E376" s="90">
        <v>9143888.5600000005</v>
      </c>
      <c r="F376" s="90">
        <v>554426.06999999995</v>
      </c>
      <c r="G376" s="90">
        <v>315515.52000000002</v>
      </c>
      <c r="H376" s="90">
        <v>142543.42000000001</v>
      </c>
      <c r="I376" s="90">
        <v>2015452.51</v>
      </c>
      <c r="J376" s="90">
        <v>73835.460000000006</v>
      </c>
      <c r="K376" s="90">
        <v>0</v>
      </c>
      <c r="L376" s="90">
        <v>662472.53</v>
      </c>
      <c r="M376" s="90">
        <v>595017.18999999994</v>
      </c>
      <c r="N376" s="90">
        <v>3008789.49</v>
      </c>
      <c r="O376" s="90">
        <v>1660552.42</v>
      </c>
      <c r="P376" s="90">
        <v>115408.37</v>
      </c>
      <c r="Q376" s="90">
        <v>-124.42</v>
      </c>
      <c r="R376">
        <v>0</v>
      </c>
    </row>
    <row r="377" spans="2:18" s="237" customFormat="1" ht="12.75" customHeight="1" x14ac:dyDescent="0.25">
      <c r="B377" s="221" t="s">
        <v>155</v>
      </c>
      <c r="C377" s="221" t="s">
        <v>70</v>
      </c>
      <c r="E377" s="222">
        <v>9143888.5600000005</v>
      </c>
      <c r="F377" s="222">
        <v>554426.06999999995</v>
      </c>
      <c r="G377" s="222">
        <v>315515.52000000002</v>
      </c>
      <c r="H377" s="222">
        <v>142543.42000000001</v>
      </c>
      <c r="I377" s="222">
        <v>2015452.51</v>
      </c>
      <c r="J377" s="222">
        <v>73835.460000000006</v>
      </c>
      <c r="K377" s="222">
        <v>0</v>
      </c>
      <c r="L377" s="222">
        <v>662472.53</v>
      </c>
      <c r="M377" s="222">
        <v>595017.18999999994</v>
      </c>
      <c r="N377" s="222">
        <v>3008789.49</v>
      </c>
      <c r="O377" s="222">
        <v>1660552.42</v>
      </c>
      <c r="P377" s="222">
        <v>115408.37</v>
      </c>
      <c r="Q377" s="222">
        <v>-124.42</v>
      </c>
      <c r="R377" s="237">
        <v>0</v>
      </c>
    </row>
    <row r="378" spans="2:18" ht="12.75" customHeight="1" x14ac:dyDescent="0.25">
      <c r="D378" t="s">
        <v>72</v>
      </c>
      <c r="E378" s="142">
        <v>295927.03999999998</v>
      </c>
      <c r="F378">
        <v>16005.32</v>
      </c>
      <c r="G378">
        <v>8918.07</v>
      </c>
      <c r="H378">
        <v>4743.09</v>
      </c>
      <c r="I378">
        <v>62608.26</v>
      </c>
      <c r="J378">
        <v>2319.54</v>
      </c>
      <c r="K378">
        <v>0</v>
      </c>
      <c r="L378">
        <v>23737.7</v>
      </c>
      <c r="M378">
        <v>22009.55</v>
      </c>
      <c r="N378">
        <v>104094.37</v>
      </c>
      <c r="O378">
        <v>47702.27</v>
      </c>
      <c r="P378">
        <v>3784.44</v>
      </c>
      <c r="Q378">
        <v>4.43</v>
      </c>
      <c r="R378">
        <v>0</v>
      </c>
    </row>
    <row r="379" spans="2:18" ht="12.75" customHeight="1" x14ac:dyDescent="0.25">
      <c r="D379" t="s">
        <v>81</v>
      </c>
      <c r="E379" s="142">
        <v>84.62</v>
      </c>
      <c r="F379">
        <v>1.1599999999999999</v>
      </c>
      <c r="G379">
        <v>0.65</v>
      </c>
      <c r="H379">
        <v>0.34</v>
      </c>
      <c r="I379">
        <v>3.5</v>
      </c>
      <c r="J379">
        <v>1.19</v>
      </c>
      <c r="K379">
        <v>0</v>
      </c>
      <c r="L379">
        <v>10.42</v>
      </c>
      <c r="M379">
        <v>10.19</v>
      </c>
      <c r="N379">
        <v>51.75</v>
      </c>
      <c r="O379">
        <v>3.48</v>
      </c>
      <c r="P379">
        <v>1.94</v>
      </c>
      <c r="Q379">
        <v>0</v>
      </c>
      <c r="R379">
        <v>0</v>
      </c>
    </row>
    <row r="380" spans="2:18" ht="12.75" customHeight="1" x14ac:dyDescent="0.25">
      <c r="C380" t="s">
        <v>82</v>
      </c>
      <c r="D380" t="s">
        <v>70</v>
      </c>
      <c r="E380" s="142">
        <v>296011.65999999997</v>
      </c>
      <c r="F380">
        <v>16006.48</v>
      </c>
      <c r="G380">
        <v>8918.7199999999993</v>
      </c>
      <c r="H380">
        <v>4743.43</v>
      </c>
      <c r="I380">
        <v>62611.76</v>
      </c>
      <c r="J380">
        <v>2320.73</v>
      </c>
      <c r="K380">
        <v>0</v>
      </c>
      <c r="L380">
        <v>23748.12</v>
      </c>
      <c r="M380">
        <v>22019.74</v>
      </c>
      <c r="N380">
        <v>104146.12</v>
      </c>
      <c r="O380">
        <v>47705.75</v>
      </c>
      <c r="P380">
        <v>3786.38</v>
      </c>
      <c r="Q380">
        <v>4.43</v>
      </c>
      <c r="R380">
        <v>0</v>
      </c>
    </row>
    <row r="381" spans="2:18" ht="12.75" customHeight="1" x14ac:dyDescent="0.25">
      <c r="D381" t="s">
        <v>72</v>
      </c>
      <c r="E381" s="142">
        <v>419713.67</v>
      </c>
      <c r="F381">
        <v>19061.16</v>
      </c>
      <c r="G381">
        <v>14209.48</v>
      </c>
      <c r="H381">
        <v>7316.58</v>
      </c>
      <c r="I381">
        <v>92042.69</v>
      </c>
      <c r="J381">
        <v>3479.31</v>
      </c>
      <c r="K381">
        <v>0</v>
      </c>
      <c r="L381">
        <v>33911</v>
      </c>
      <c r="M381">
        <v>28445.599999999999</v>
      </c>
      <c r="N381">
        <v>131412.89000000001</v>
      </c>
      <c r="O381">
        <v>84155.3</v>
      </c>
      <c r="P381">
        <v>5676.66</v>
      </c>
      <c r="Q381">
        <v>3</v>
      </c>
      <c r="R381">
        <v>0</v>
      </c>
    </row>
    <row r="382" spans="2:18" ht="12.75" customHeight="1" x14ac:dyDescent="0.25">
      <c r="C382" t="s">
        <v>86</v>
      </c>
      <c r="D382" t="s">
        <v>70</v>
      </c>
      <c r="E382" s="142">
        <v>419713.67</v>
      </c>
      <c r="F382">
        <v>19061.16</v>
      </c>
      <c r="G382">
        <v>14209.48</v>
      </c>
      <c r="H382">
        <v>7316.58</v>
      </c>
      <c r="I382">
        <v>92042.69</v>
      </c>
      <c r="J382">
        <v>3479.31</v>
      </c>
      <c r="K382">
        <v>0</v>
      </c>
      <c r="L382">
        <v>33911</v>
      </c>
      <c r="M382">
        <v>28445.599999999999</v>
      </c>
      <c r="N382">
        <v>131412.89000000001</v>
      </c>
      <c r="O382">
        <v>84155.3</v>
      </c>
      <c r="P382">
        <v>5676.66</v>
      </c>
      <c r="Q382">
        <v>3</v>
      </c>
      <c r="R382">
        <v>0</v>
      </c>
    </row>
    <row r="383" spans="2:18" ht="12.75" customHeight="1" x14ac:dyDescent="0.25">
      <c r="D383" t="s">
        <v>72</v>
      </c>
      <c r="E383" s="142">
        <v>553232.6</v>
      </c>
      <c r="F383">
        <v>41450.57</v>
      </c>
      <c r="G383">
        <v>23096.02</v>
      </c>
      <c r="H383">
        <v>11305.5</v>
      </c>
      <c r="I383">
        <v>118637.61</v>
      </c>
      <c r="J383">
        <v>3092.72</v>
      </c>
      <c r="K383">
        <v>0</v>
      </c>
      <c r="L383">
        <v>27128.799999999999</v>
      </c>
      <c r="M383">
        <v>25284.98</v>
      </c>
      <c r="N383">
        <v>175361.83</v>
      </c>
      <c r="O383">
        <v>122801.02</v>
      </c>
      <c r="P383">
        <v>5073.8999999999996</v>
      </c>
      <c r="Q383">
        <v>-0.35</v>
      </c>
      <c r="R383">
        <v>0</v>
      </c>
    </row>
    <row r="384" spans="2:18" ht="12.75" customHeight="1" x14ac:dyDescent="0.25">
      <c r="D384" t="s">
        <v>81</v>
      </c>
      <c r="E384" s="142">
        <v>19.64</v>
      </c>
      <c r="F384">
        <v>1.02</v>
      </c>
      <c r="G384">
        <v>0.56999999999999995</v>
      </c>
      <c r="H384">
        <v>0.3</v>
      </c>
      <c r="I384">
        <v>4.4800000000000004</v>
      </c>
      <c r="J384">
        <v>0.16</v>
      </c>
      <c r="K384">
        <v>0</v>
      </c>
      <c r="L384">
        <v>1.41</v>
      </c>
      <c r="M384">
        <v>1.38</v>
      </c>
      <c r="N384">
        <v>7.03</v>
      </c>
      <c r="O384">
        <v>3.03</v>
      </c>
      <c r="P384">
        <v>0.26</v>
      </c>
      <c r="Q384">
        <v>0</v>
      </c>
      <c r="R384">
        <v>0</v>
      </c>
    </row>
    <row r="385" spans="1:18" ht="12.75" customHeight="1" x14ac:dyDescent="0.25">
      <c r="B385" s="142"/>
      <c r="C385" t="s">
        <v>87</v>
      </c>
      <c r="D385" t="s">
        <v>70</v>
      </c>
      <c r="E385" s="142">
        <v>553252.24</v>
      </c>
      <c r="F385">
        <v>41451.589999999997</v>
      </c>
      <c r="G385">
        <v>23096.59</v>
      </c>
      <c r="H385">
        <v>11305.8</v>
      </c>
      <c r="I385">
        <v>118642.09</v>
      </c>
      <c r="J385">
        <v>3092.88</v>
      </c>
      <c r="K385">
        <v>0</v>
      </c>
      <c r="L385">
        <v>27130.21</v>
      </c>
      <c r="M385">
        <v>25286.36</v>
      </c>
      <c r="N385">
        <v>175368.86</v>
      </c>
      <c r="O385">
        <v>122804.05</v>
      </c>
      <c r="P385">
        <v>5074.16</v>
      </c>
      <c r="Q385">
        <v>-0.35</v>
      </c>
      <c r="R385">
        <v>0</v>
      </c>
    </row>
    <row r="386" spans="1:18" s="94" customFormat="1" ht="12.75" customHeight="1" x14ac:dyDescent="0.25">
      <c r="B386" s="101" t="s">
        <v>119</v>
      </c>
      <c r="C386" s="101" t="s">
        <v>70</v>
      </c>
      <c r="E386" s="93">
        <v>1268977.57</v>
      </c>
      <c r="F386" s="93">
        <v>76519.23</v>
      </c>
      <c r="G386" s="93">
        <v>46224.79</v>
      </c>
      <c r="H386" s="93">
        <v>23365.81</v>
      </c>
      <c r="I386" s="93">
        <v>273296.53999999998</v>
      </c>
      <c r="J386" s="93">
        <v>8892.92</v>
      </c>
      <c r="K386" s="93">
        <v>0</v>
      </c>
      <c r="L386" s="93">
        <v>84789.33</v>
      </c>
      <c r="M386" s="93">
        <v>75751.7</v>
      </c>
      <c r="N386" s="93">
        <v>410927.87</v>
      </c>
      <c r="O386" s="93">
        <v>254665.1</v>
      </c>
      <c r="P386" s="93">
        <v>14537.2</v>
      </c>
      <c r="Q386" s="93">
        <v>7.08</v>
      </c>
      <c r="R386" s="94">
        <v>0</v>
      </c>
    </row>
    <row r="387" spans="1:18" s="226" customFormat="1" ht="12.75" customHeight="1" x14ac:dyDescent="0.25">
      <c r="A387" s="98" t="s">
        <v>78</v>
      </c>
      <c r="B387" s="98" t="s">
        <v>70</v>
      </c>
      <c r="E387" s="100">
        <v>10412866.130000001</v>
      </c>
      <c r="F387" s="100">
        <v>630945.30000000005</v>
      </c>
      <c r="G387" s="100">
        <v>361740.31</v>
      </c>
      <c r="H387" s="100">
        <v>165909.23000000001</v>
      </c>
      <c r="I387" s="100">
        <v>2288749.0499999998</v>
      </c>
      <c r="J387" s="100">
        <v>82728.38</v>
      </c>
      <c r="K387" s="100">
        <v>0</v>
      </c>
      <c r="L387" s="100">
        <v>747261.86</v>
      </c>
      <c r="M387" s="100">
        <v>670768.89</v>
      </c>
      <c r="N387" s="100">
        <v>3419717.36</v>
      </c>
      <c r="O387" s="100">
        <v>1915217.52</v>
      </c>
      <c r="P387" s="100">
        <v>129945.57</v>
      </c>
      <c r="Q387" s="100">
        <v>-117.34</v>
      </c>
      <c r="R387" s="226">
        <v>0</v>
      </c>
    </row>
    <row r="388" spans="1:18" ht="12.75" customHeight="1" x14ac:dyDescent="0.25">
      <c r="C388" s="89"/>
      <c r="D388" s="89" t="s">
        <v>73</v>
      </c>
      <c r="E388" s="90">
        <v>48766.77</v>
      </c>
      <c r="F388" s="90">
        <v>73235.64</v>
      </c>
      <c r="G388" s="90">
        <v>40452.53</v>
      </c>
      <c r="H388" s="90">
        <v>21833.32</v>
      </c>
      <c r="I388" s="90">
        <v>-68302.61</v>
      </c>
      <c r="J388" s="90">
        <v>-3156.44</v>
      </c>
      <c r="K388" s="90">
        <v>0</v>
      </c>
      <c r="L388" s="90">
        <v>-26872.74</v>
      </c>
      <c r="M388" s="90">
        <v>-27745.48</v>
      </c>
      <c r="N388" s="90">
        <v>-162945.32</v>
      </c>
      <c r="O388" s="90">
        <v>207318.31</v>
      </c>
      <c r="P388" s="90">
        <v>-5050.4399999999996</v>
      </c>
      <c r="Q388" s="90">
        <v>0</v>
      </c>
      <c r="R388">
        <v>0</v>
      </c>
    </row>
    <row r="389" spans="1:18" ht="12.75" customHeight="1" x14ac:dyDescent="0.25">
      <c r="B389" s="89"/>
      <c r="C389" s="89" t="s">
        <v>156</v>
      </c>
      <c r="D389" t="s">
        <v>70</v>
      </c>
      <c r="E389" s="90">
        <v>48766.77</v>
      </c>
      <c r="F389" s="90">
        <v>73235.64</v>
      </c>
      <c r="G389" s="90">
        <v>40452.53</v>
      </c>
      <c r="H389" s="90">
        <v>21833.32</v>
      </c>
      <c r="I389" s="90">
        <v>-68302.61</v>
      </c>
      <c r="J389" s="90">
        <v>-3156.44</v>
      </c>
      <c r="K389" s="90">
        <v>0</v>
      </c>
      <c r="L389" s="90">
        <v>-26872.74</v>
      </c>
      <c r="M389" s="90">
        <v>-27745.48</v>
      </c>
      <c r="N389" s="90">
        <v>-162945.32</v>
      </c>
      <c r="O389" s="90">
        <v>207318.31</v>
      </c>
      <c r="P389" s="90">
        <v>-5050.4399999999996</v>
      </c>
      <c r="Q389" s="90">
        <v>0</v>
      </c>
      <c r="R389">
        <v>0</v>
      </c>
    </row>
    <row r="390" spans="1:18" s="237" customFormat="1" ht="12.75" customHeight="1" x14ac:dyDescent="0.25">
      <c r="B390" s="221" t="s">
        <v>155</v>
      </c>
      <c r="C390" s="221" t="s">
        <v>70</v>
      </c>
      <c r="E390" s="222">
        <v>48766.77</v>
      </c>
      <c r="F390" s="222">
        <v>73235.64</v>
      </c>
      <c r="G390" s="222">
        <v>40452.53</v>
      </c>
      <c r="H390" s="222">
        <v>21833.32</v>
      </c>
      <c r="I390" s="222">
        <v>-68302.61</v>
      </c>
      <c r="J390" s="222">
        <v>-3156.44</v>
      </c>
      <c r="K390" s="222">
        <v>0</v>
      </c>
      <c r="L390" s="222">
        <v>-26872.74</v>
      </c>
      <c r="M390" s="222">
        <v>-27745.48</v>
      </c>
      <c r="N390" s="222">
        <v>-162945.32</v>
      </c>
      <c r="O390" s="222">
        <v>207318.31</v>
      </c>
      <c r="P390" s="222">
        <v>-5050.4399999999996</v>
      </c>
      <c r="Q390" s="222">
        <v>0</v>
      </c>
      <c r="R390" s="237">
        <v>0</v>
      </c>
    </row>
    <row r="391" spans="1:18" ht="12.75" customHeight="1" x14ac:dyDescent="0.25">
      <c r="B391" s="142"/>
      <c r="C391" s="89"/>
      <c r="D391" s="89" t="s">
        <v>73</v>
      </c>
      <c r="E391" s="373">
        <v>-55096.12</v>
      </c>
      <c r="F391" s="90">
        <v>-3237.45</v>
      </c>
      <c r="G391" s="90">
        <v>-1803.9</v>
      </c>
      <c r="H391" s="90">
        <v>-959.43</v>
      </c>
      <c r="I391" s="90">
        <v>-11988.42</v>
      </c>
      <c r="J391" s="90">
        <v>-444.59</v>
      </c>
      <c r="K391" s="90">
        <v>0</v>
      </c>
      <c r="L391" s="90">
        <v>-3899.78</v>
      </c>
      <c r="M391" s="90">
        <v>-3634.7</v>
      </c>
      <c r="N391" s="90">
        <v>-18753.53</v>
      </c>
      <c r="O391" s="90">
        <v>-9648.9599999999991</v>
      </c>
      <c r="P391" s="90">
        <v>-725.36</v>
      </c>
      <c r="Q391" s="90">
        <v>0</v>
      </c>
      <c r="R391">
        <v>0</v>
      </c>
    </row>
    <row r="392" spans="1:18" ht="12.75" customHeight="1" x14ac:dyDescent="0.25">
      <c r="B392" s="142"/>
      <c r="C392" s="89" t="s">
        <v>82</v>
      </c>
      <c r="D392" s="89" t="s">
        <v>70</v>
      </c>
      <c r="E392" s="373">
        <v>-55096.12</v>
      </c>
      <c r="F392" s="90">
        <v>-3237.45</v>
      </c>
      <c r="G392" s="90">
        <v>-1803.9</v>
      </c>
      <c r="H392" s="90">
        <v>-959.43</v>
      </c>
      <c r="I392" s="90">
        <v>-11988.42</v>
      </c>
      <c r="J392" s="90">
        <v>-444.59</v>
      </c>
      <c r="K392" s="90">
        <v>0</v>
      </c>
      <c r="L392" s="90">
        <v>-3899.78</v>
      </c>
      <c r="M392" s="90">
        <v>-3634.7</v>
      </c>
      <c r="N392" s="90">
        <v>-18753.53</v>
      </c>
      <c r="O392" s="90">
        <v>-9648.9599999999991</v>
      </c>
      <c r="P392" s="90">
        <v>-725.36</v>
      </c>
      <c r="Q392" s="90">
        <v>0</v>
      </c>
      <c r="R392">
        <v>0</v>
      </c>
    </row>
    <row r="393" spans="1:18" ht="12.75" customHeight="1" x14ac:dyDescent="0.25">
      <c r="B393" s="142"/>
      <c r="C393" s="89"/>
      <c r="D393" s="89" t="s">
        <v>73</v>
      </c>
      <c r="E393" s="373">
        <v>-3975.75</v>
      </c>
      <c r="F393" s="90">
        <v>668.77</v>
      </c>
      <c r="G393" s="90">
        <v>372.64</v>
      </c>
      <c r="H393" s="90">
        <v>174.44</v>
      </c>
      <c r="I393" s="90">
        <v>-2606.19</v>
      </c>
      <c r="J393" s="90">
        <v>-96.65</v>
      </c>
      <c r="K393" s="90">
        <v>0</v>
      </c>
      <c r="L393" s="90">
        <v>636.65</v>
      </c>
      <c r="M393" s="90">
        <v>-790.15</v>
      </c>
      <c r="N393" s="90">
        <v>-4170.74</v>
      </c>
      <c r="O393" s="90">
        <v>1993.17</v>
      </c>
      <c r="P393" s="90">
        <v>-157.69</v>
      </c>
      <c r="Q393" s="90">
        <v>0</v>
      </c>
      <c r="R393">
        <v>0</v>
      </c>
    </row>
    <row r="394" spans="1:18" ht="12.75" customHeight="1" x14ac:dyDescent="0.25">
      <c r="B394" s="142"/>
      <c r="C394" s="89" t="s">
        <v>86</v>
      </c>
      <c r="D394" s="89" t="s">
        <v>70</v>
      </c>
      <c r="E394" s="373">
        <v>-3975.75</v>
      </c>
      <c r="F394" s="90">
        <v>668.77</v>
      </c>
      <c r="G394" s="90">
        <v>372.64</v>
      </c>
      <c r="H394" s="90">
        <v>174.44</v>
      </c>
      <c r="I394" s="90">
        <v>-2606.19</v>
      </c>
      <c r="J394" s="90">
        <v>-96.65</v>
      </c>
      <c r="K394" s="90">
        <v>0</v>
      </c>
      <c r="L394" s="90">
        <v>636.65</v>
      </c>
      <c r="M394" s="90">
        <v>-790.15</v>
      </c>
      <c r="N394" s="90">
        <v>-4170.74</v>
      </c>
      <c r="O394" s="90">
        <v>1993.17</v>
      </c>
      <c r="P394" s="90">
        <v>-157.69</v>
      </c>
      <c r="Q394" s="90">
        <v>0</v>
      </c>
      <c r="R394">
        <v>0</v>
      </c>
    </row>
    <row r="395" spans="1:18" ht="12.75" customHeight="1" x14ac:dyDescent="0.25">
      <c r="B395" s="142"/>
      <c r="C395" s="89"/>
      <c r="D395" s="89" t="s">
        <v>73</v>
      </c>
      <c r="E395" s="373">
        <v>-23018.98</v>
      </c>
      <c r="F395" s="90">
        <v>6485.26</v>
      </c>
      <c r="G395" s="90">
        <v>3613.54</v>
      </c>
      <c r="H395" s="90">
        <v>2302.42</v>
      </c>
      <c r="I395" s="90">
        <v>-8339.7800000000007</v>
      </c>
      <c r="J395" s="90">
        <v>-309.27999999999997</v>
      </c>
      <c r="K395" s="90">
        <v>0</v>
      </c>
      <c r="L395" s="90">
        <v>-4408.45</v>
      </c>
      <c r="M395" s="90">
        <v>-4108.79</v>
      </c>
      <c r="N395" s="90">
        <v>-21650.69</v>
      </c>
      <c r="O395" s="90">
        <v>3901.39</v>
      </c>
      <c r="P395" s="90">
        <v>-504.6</v>
      </c>
      <c r="Q395" s="90">
        <v>0</v>
      </c>
      <c r="R395">
        <v>0</v>
      </c>
    </row>
    <row r="396" spans="1:18" ht="12.75" customHeight="1" x14ac:dyDescent="0.25">
      <c r="B396" s="142"/>
      <c r="C396" s="89" t="s">
        <v>87</v>
      </c>
      <c r="D396" s="89" t="s">
        <v>70</v>
      </c>
      <c r="E396" s="373">
        <v>-23018.98</v>
      </c>
      <c r="F396" s="90">
        <v>6485.26</v>
      </c>
      <c r="G396" s="90">
        <v>3613.54</v>
      </c>
      <c r="H396" s="90">
        <v>2302.42</v>
      </c>
      <c r="I396" s="90">
        <v>-8339.7800000000007</v>
      </c>
      <c r="J396" s="90">
        <v>-309.27999999999997</v>
      </c>
      <c r="K396" s="90">
        <v>0</v>
      </c>
      <c r="L396" s="90">
        <v>-4408.45</v>
      </c>
      <c r="M396" s="90">
        <v>-4108.79</v>
      </c>
      <c r="N396" s="90">
        <v>-21650.69</v>
      </c>
      <c r="O396" s="90">
        <v>3901.39</v>
      </c>
      <c r="P396" s="90">
        <v>-504.6</v>
      </c>
      <c r="Q396" s="90">
        <v>0</v>
      </c>
      <c r="R396">
        <v>0</v>
      </c>
    </row>
    <row r="397" spans="1:18" s="94" customFormat="1" ht="12.75" customHeight="1" x14ac:dyDescent="0.25">
      <c r="B397" s="101" t="s">
        <v>119</v>
      </c>
      <c r="C397" s="101" t="s">
        <v>70</v>
      </c>
      <c r="E397" s="93">
        <v>-82090.850000000006</v>
      </c>
      <c r="F397" s="93">
        <v>3916.58</v>
      </c>
      <c r="G397" s="93">
        <v>2182.2800000000002</v>
      </c>
      <c r="H397" s="93">
        <v>1517.43</v>
      </c>
      <c r="I397" s="93">
        <v>-22934.39</v>
      </c>
      <c r="J397" s="93">
        <v>-850.52</v>
      </c>
      <c r="K397" s="93">
        <v>0</v>
      </c>
      <c r="L397" s="93">
        <v>-7671.58</v>
      </c>
      <c r="M397" s="93">
        <v>-8533.64</v>
      </c>
      <c r="N397" s="93">
        <v>-44574.96</v>
      </c>
      <c r="O397" s="93">
        <v>-3754.4</v>
      </c>
      <c r="P397" s="93">
        <v>-1387.65</v>
      </c>
      <c r="Q397" s="93">
        <v>0</v>
      </c>
      <c r="R397" s="94">
        <v>0</v>
      </c>
    </row>
    <row r="398" spans="1:18" s="226" customFormat="1" ht="12.75" customHeight="1" x14ac:dyDescent="0.25">
      <c r="A398" s="98" t="s">
        <v>79</v>
      </c>
      <c r="B398" s="98" t="s">
        <v>70</v>
      </c>
      <c r="E398" s="100">
        <v>-33324.080000000002</v>
      </c>
      <c r="F398" s="100">
        <v>77152.22</v>
      </c>
      <c r="G398" s="100">
        <v>42634.81</v>
      </c>
      <c r="H398" s="100">
        <v>23350.75</v>
      </c>
      <c r="I398" s="100">
        <v>-91237</v>
      </c>
      <c r="J398" s="100">
        <v>-4006.96</v>
      </c>
      <c r="K398" s="100">
        <v>0</v>
      </c>
      <c r="L398" s="100">
        <v>-34544.32</v>
      </c>
      <c r="M398" s="100">
        <v>-36279.120000000003</v>
      </c>
      <c r="N398" s="100">
        <v>-207520.28</v>
      </c>
      <c r="O398" s="100">
        <v>203563.91</v>
      </c>
      <c r="P398" s="100">
        <v>-6438.09</v>
      </c>
      <c r="Q398" s="100">
        <v>0</v>
      </c>
      <c r="R398" s="226">
        <v>0</v>
      </c>
    </row>
    <row r="399" spans="1:18" ht="12.75" customHeight="1" x14ac:dyDescent="0.25">
      <c r="A399" s="89" t="s">
        <v>70</v>
      </c>
      <c r="E399" s="90">
        <v>10379542.050000001</v>
      </c>
      <c r="F399" s="90">
        <v>708097.52</v>
      </c>
      <c r="G399" s="90">
        <v>404375.12</v>
      </c>
      <c r="H399" s="90">
        <v>189259.98</v>
      </c>
      <c r="I399" s="90">
        <v>2197512.0499999998</v>
      </c>
      <c r="J399" s="90">
        <v>78721.42</v>
      </c>
      <c r="K399" s="90">
        <v>0</v>
      </c>
      <c r="L399" s="90">
        <v>712717.54</v>
      </c>
      <c r="M399" s="90">
        <v>634489.77</v>
      </c>
      <c r="N399" s="90">
        <v>3212197.08</v>
      </c>
      <c r="O399" s="90">
        <v>2118781.4300000002</v>
      </c>
      <c r="P399" s="90">
        <v>123507.48</v>
      </c>
      <c r="Q399" s="90">
        <v>-117.34</v>
      </c>
      <c r="R399" s="90">
        <v>0</v>
      </c>
    </row>
    <row r="400" spans="1:18" ht="12.75" hidden="1" customHeight="1" x14ac:dyDescent="0.25">
      <c r="A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1:18" ht="12.75" hidden="1" customHeight="1" x14ac:dyDescent="0.25">
      <c r="A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</row>
    <row r="402" spans="1:18" ht="12.75" hidden="1" customHeight="1" x14ac:dyDescent="0.25">
      <c r="A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</row>
    <row r="403" spans="1:18" ht="12.75" hidden="1" customHeight="1" x14ac:dyDescent="0.25">
      <c r="A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</row>
    <row r="404" spans="1:18" ht="12.75" hidden="1" customHeight="1" x14ac:dyDescent="0.25">
      <c r="A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</row>
    <row r="405" spans="1:18" ht="12.75" hidden="1" customHeight="1" x14ac:dyDescent="0.25">
      <c r="A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</row>
    <row r="406" spans="1:18" ht="12.75" hidden="1" customHeight="1" x14ac:dyDescent="0.25">
      <c r="A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</row>
    <row r="407" spans="1:18" ht="12.75" hidden="1" customHeight="1" x14ac:dyDescent="0.25">
      <c r="A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</row>
    <row r="408" spans="1:18" ht="12.75" hidden="1" customHeight="1" x14ac:dyDescent="0.25">
      <c r="A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</row>
    <row r="409" spans="1:18" ht="12.75" hidden="1" customHeight="1" x14ac:dyDescent="0.25">
      <c r="A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</row>
    <row r="410" spans="1:18" ht="12.75" hidden="1" customHeight="1" x14ac:dyDescent="0.25">
      <c r="A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</row>
    <row r="411" spans="1:18" ht="12.75" hidden="1" customHeight="1" x14ac:dyDescent="0.25">
      <c r="A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</row>
    <row r="412" spans="1:18" ht="12.75" hidden="1" customHeight="1" x14ac:dyDescent="0.25">
      <c r="A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spans="1:18" ht="12.75" hidden="1" customHeight="1" x14ac:dyDescent="0.25">
      <c r="A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</row>
    <row r="414" spans="1:18" ht="12.75" hidden="1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8" ht="12.75" hidden="1" customHeight="1" x14ac:dyDescent="0.25">
      <c r="A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8" ht="12.75" hidden="1" customHeight="1" x14ac:dyDescent="0.25">
      <c r="A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hidden="1" customHeight="1" x14ac:dyDescent="0.25">
      <c r="A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hidden="1" customHeight="1" x14ac:dyDescent="0.25">
      <c r="A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hidden="1" customHeight="1" x14ac:dyDescent="0.25">
      <c r="A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68" t="s">
        <v>2</v>
      </c>
      <c r="C426" s="769" t="s">
        <v>132</v>
      </c>
      <c r="D426" s="98" t="s">
        <v>70</v>
      </c>
      <c r="E426" s="100">
        <f>E398+E387-K387</f>
        <v>10379542.050000001</v>
      </c>
      <c r="F426" s="100">
        <f>F387</f>
        <v>630945.30000000005</v>
      </c>
      <c r="G426" s="100">
        <f t="shared" ref="G426:R426" si="14">G387</f>
        <v>361740.31</v>
      </c>
      <c r="H426" s="100">
        <f t="shared" si="14"/>
        <v>165909.23000000001</v>
      </c>
      <c r="I426" s="100">
        <f t="shared" si="14"/>
        <v>2288749.0499999998</v>
      </c>
      <c r="J426" s="100">
        <f t="shared" si="14"/>
        <v>82728.38</v>
      </c>
      <c r="K426" s="100">
        <f t="shared" si="14"/>
        <v>0</v>
      </c>
      <c r="L426" s="100">
        <f t="shared" si="14"/>
        <v>747261.86</v>
      </c>
      <c r="M426" s="100">
        <f t="shared" si="14"/>
        <v>670768.89</v>
      </c>
      <c r="N426" s="100">
        <f t="shared" si="14"/>
        <v>3419717.36</v>
      </c>
      <c r="O426" s="100">
        <f t="shared" si="14"/>
        <v>1915217.52</v>
      </c>
      <c r="P426" s="100">
        <f t="shared" si="14"/>
        <v>129945.57</v>
      </c>
      <c r="Q426" s="100">
        <f t="shared" si="14"/>
        <v>-117.34</v>
      </c>
      <c r="R426" s="100">
        <f t="shared" si="14"/>
        <v>0</v>
      </c>
    </row>
    <row r="427" spans="1:18" ht="12.75" customHeight="1" x14ac:dyDescent="0.25">
      <c r="B427" s="768"/>
      <c r="C427" s="769"/>
      <c r="D427" s="98" t="s">
        <v>73</v>
      </c>
      <c r="E427" s="100">
        <f>E398</f>
        <v>-33324.080000000002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68" t="s">
        <v>160</v>
      </c>
      <c r="C429" s="769" t="s">
        <v>132</v>
      </c>
      <c r="D429" s="223" t="s">
        <v>70</v>
      </c>
      <c r="E429" s="225">
        <v>0</v>
      </c>
      <c r="F429" s="225">
        <v>0</v>
      </c>
      <c r="G429" s="225">
        <v>0</v>
      </c>
      <c r="H429" s="225">
        <v>0</v>
      </c>
      <c r="I429" s="225">
        <v>0</v>
      </c>
      <c r="J429" s="225">
        <v>0</v>
      </c>
      <c r="K429" s="225">
        <v>0</v>
      </c>
      <c r="L429" s="225">
        <v>0</v>
      </c>
      <c r="M429" s="225">
        <v>0</v>
      </c>
      <c r="N429" s="225">
        <v>0</v>
      </c>
      <c r="O429" s="225">
        <v>0</v>
      </c>
      <c r="P429" s="225">
        <v>0</v>
      </c>
      <c r="Q429" s="225">
        <v>0</v>
      </c>
      <c r="R429" s="225">
        <v>0</v>
      </c>
    </row>
    <row r="430" spans="1:18" ht="12.75" customHeight="1" x14ac:dyDescent="0.25">
      <c r="B430" s="768"/>
      <c r="C430" s="769"/>
      <c r="D430" s="223" t="s">
        <v>73</v>
      </c>
      <c r="E430" s="225">
        <v>0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68" t="s">
        <v>155</v>
      </c>
      <c r="C432" s="769" t="s">
        <v>132</v>
      </c>
      <c r="D432" s="221" t="s">
        <v>70</v>
      </c>
      <c r="E432" s="222">
        <f>E390+E377-K377</f>
        <v>9192655.3300000001</v>
      </c>
      <c r="F432" s="222">
        <f t="shared" ref="F432:R432" si="15">F377</f>
        <v>554426.06999999995</v>
      </c>
      <c r="G432" s="222">
        <f t="shared" si="15"/>
        <v>315515.52000000002</v>
      </c>
      <c r="H432" s="222">
        <f t="shared" si="15"/>
        <v>142543.42000000001</v>
      </c>
      <c r="I432" s="222">
        <f t="shared" si="15"/>
        <v>2015452.51</v>
      </c>
      <c r="J432" s="222">
        <f t="shared" si="15"/>
        <v>73835.460000000006</v>
      </c>
      <c r="K432" s="222">
        <f t="shared" si="15"/>
        <v>0</v>
      </c>
      <c r="L432" s="222">
        <f t="shared" si="15"/>
        <v>662472.53</v>
      </c>
      <c r="M432" s="222">
        <f t="shared" si="15"/>
        <v>595017.18999999994</v>
      </c>
      <c r="N432" s="222">
        <f t="shared" si="15"/>
        <v>3008789.49</v>
      </c>
      <c r="O432" s="222">
        <f t="shared" si="15"/>
        <v>1660552.42</v>
      </c>
      <c r="P432" s="222">
        <f t="shared" si="15"/>
        <v>115408.37</v>
      </c>
      <c r="Q432" s="222">
        <f t="shared" si="15"/>
        <v>-124.42</v>
      </c>
      <c r="R432" s="222">
        <f t="shared" si="15"/>
        <v>0</v>
      </c>
    </row>
    <row r="433" spans="1:18" ht="12.75" customHeight="1" x14ac:dyDescent="0.25">
      <c r="B433" s="768"/>
      <c r="C433" s="769"/>
      <c r="D433" s="221" t="s">
        <v>73</v>
      </c>
      <c r="E433" s="222">
        <f>E390</f>
        <v>48766.77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B435" s="771" t="s">
        <v>324</v>
      </c>
      <c r="C435" s="769" t="s">
        <v>132</v>
      </c>
      <c r="D435" s="375" t="s">
        <v>70</v>
      </c>
      <c r="E435" s="376">
        <v>0</v>
      </c>
      <c r="F435" s="376">
        <v>0</v>
      </c>
      <c r="G435" s="376">
        <v>0</v>
      </c>
      <c r="H435" s="376">
        <v>0</v>
      </c>
      <c r="I435" s="376">
        <v>0</v>
      </c>
      <c r="J435" s="376">
        <v>0</v>
      </c>
      <c r="K435" s="376">
        <v>0</v>
      </c>
      <c r="L435" s="376">
        <v>0</v>
      </c>
      <c r="M435" s="376">
        <v>0</v>
      </c>
      <c r="N435" s="376">
        <v>0</v>
      </c>
      <c r="O435" s="376">
        <v>0</v>
      </c>
      <c r="P435" s="376">
        <v>0</v>
      </c>
      <c r="Q435" s="376">
        <v>0</v>
      </c>
      <c r="R435" s="376">
        <v>0</v>
      </c>
    </row>
    <row r="436" spans="1:18" ht="12.75" customHeight="1" x14ac:dyDescent="0.25">
      <c r="B436" s="771"/>
      <c r="C436" s="769"/>
      <c r="D436" s="375" t="s">
        <v>73</v>
      </c>
      <c r="E436" s="376">
        <v>0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B437" s="717"/>
      <c r="C437" s="220"/>
      <c r="D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68" t="s">
        <v>119</v>
      </c>
      <c r="C438" s="769" t="s">
        <v>132</v>
      </c>
      <c r="D438" s="101" t="s">
        <v>70</v>
      </c>
      <c r="E438" s="93">
        <f>E386+E397-K386</f>
        <v>1186886.72</v>
      </c>
      <c r="F438" s="93">
        <f>F386</f>
        <v>76519.23</v>
      </c>
      <c r="G438" s="93">
        <f t="shared" ref="G438:R438" si="16">G386</f>
        <v>46224.79</v>
      </c>
      <c r="H438" s="93">
        <f t="shared" si="16"/>
        <v>23365.81</v>
      </c>
      <c r="I438" s="93">
        <f t="shared" si="16"/>
        <v>273296.53999999998</v>
      </c>
      <c r="J438" s="93">
        <f t="shared" si="16"/>
        <v>8892.92</v>
      </c>
      <c r="K438" s="93">
        <f t="shared" si="16"/>
        <v>0</v>
      </c>
      <c r="L438" s="93">
        <f t="shared" si="16"/>
        <v>84789.33</v>
      </c>
      <c r="M438" s="93">
        <f t="shared" si="16"/>
        <v>75751.7</v>
      </c>
      <c r="N438" s="93">
        <f t="shared" si="16"/>
        <v>410927.87</v>
      </c>
      <c r="O438" s="93">
        <f t="shared" si="16"/>
        <v>254665.1</v>
      </c>
      <c r="P438" s="93">
        <f t="shared" si="16"/>
        <v>14537.2</v>
      </c>
      <c r="Q438" s="93">
        <f t="shared" si="16"/>
        <v>7.08</v>
      </c>
      <c r="R438" s="93">
        <f t="shared" si="16"/>
        <v>0</v>
      </c>
    </row>
    <row r="439" spans="1:18" ht="12.75" customHeight="1" x14ac:dyDescent="0.25">
      <c r="B439" s="768"/>
      <c r="C439" s="769"/>
      <c r="D439" s="101" t="s">
        <v>73</v>
      </c>
      <c r="E439" s="93">
        <f>E397</f>
        <v>-82090.850000000006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customHeight="1" x14ac:dyDescent="0.25">
      <c r="A440" s="89"/>
      <c r="B440" s="97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customHeight="1" x14ac:dyDescent="0.25">
      <c r="B441" s="770" t="s">
        <v>161</v>
      </c>
      <c r="C441" s="769" t="s">
        <v>132</v>
      </c>
      <c r="D441" s="231" t="s">
        <v>70</v>
      </c>
      <c r="E441" s="232">
        <v>0</v>
      </c>
      <c r="F441" s="232">
        <v>0</v>
      </c>
      <c r="G441" s="232">
        <v>0</v>
      </c>
      <c r="H441" s="232">
        <v>0</v>
      </c>
      <c r="I441" s="232">
        <v>0</v>
      </c>
      <c r="J441" s="232">
        <v>0</v>
      </c>
      <c r="K441" s="232">
        <v>0</v>
      </c>
      <c r="L441" s="232">
        <v>0</v>
      </c>
      <c r="M441" s="232">
        <v>0</v>
      </c>
      <c r="N441" s="232">
        <v>0</v>
      </c>
      <c r="O441" s="232">
        <v>0</v>
      </c>
      <c r="P441" s="232">
        <v>0</v>
      </c>
      <c r="Q441" s="232">
        <v>0</v>
      </c>
      <c r="R441" s="232">
        <v>0</v>
      </c>
    </row>
    <row r="442" spans="1:18" ht="12.75" customHeight="1" x14ac:dyDescent="0.25">
      <c r="B442" s="770"/>
      <c r="C442" s="769"/>
      <c r="D442" s="231" t="s">
        <v>73</v>
      </c>
      <c r="E442" s="232">
        <v>0</v>
      </c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s="238" customFormat="1" x14ac:dyDescent="0.25"/>
  </sheetData>
  <mergeCells count="60">
    <mergeCell ref="B55:B56"/>
    <mergeCell ref="C55:C56"/>
    <mergeCell ref="B161:B162"/>
    <mergeCell ref="C161:C162"/>
    <mergeCell ref="B58:B59"/>
    <mergeCell ref="C58:C59"/>
    <mergeCell ref="B146:B147"/>
    <mergeCell ref="C146:C147"/>
    <mergeCell ref="B149:B150"/>
    <mergeCell ref="C149:C150"/>
    <mergeCell ref="B152:B153"/>
    <mergeCell ref="C152:C153"/>
    <mergeCell ref="B158:B159"/>
    <mergeCell ref="C158:C159"/>
    <mergeCell ref="B155:B156"/>
    <mergeCell ref="C155:C156"/>
    <mergeCell ref="B43:B44"/>
    <mergeCell ref="C43:C44"/>
    <mergeCell ref="B46:B47"/>
    <mergeCell ref="C46:C47"/>
    <mergeCell ref="B52:B53"/>
    <mergeCell ref="C52:C53"/>
    <mergeCell ref="B49:B50"/>
    <mergeCell ref="C49:C50"/>
    <mergeCell ref="B259:B260"/>
    <mergeCell ref="C259:C260"/>
    <mergeCell ref="B262:B263"/>
    <mergeCell ref="C262:C263"/>
    <mergeCell ref="B265:B266"/>
    <mergeCell ref="C265:C266"/>
    <mergeCell ref="B271:B272"/>
    <mergeCell ref="C271:C272"/>
    <mergeCell ref="B268:B269"/>
    <mergeCell ref="C268:C269"/>
    <mergeCell ref="B274:B275"/>
    <mergeCell ref="C274:C275"/>
    <mergeCell ref="B354:B355"/>
    <mergeCell ref="C354:C355"/>
    <mergeCell ref="B357:B358"/>
    <mergeCell ref="C357:C358"/>
    <mergeCell ref="B360:B361"/>
    <mergeCell ref="C360:C361"/>
    <mergeCell ref="B366:B367"/>
    <mergeCell ref="C366:C367"/>
    <mergeCell ref="B369:B370"/>
    <mergeCell ref="C369:C370"/>
    <mergeCell ref="B363:B364"/>
    <mergeCell ref="C363:C364"/>
    <mergeCell ref="B426:B427"/>
    <mergeCell ref="C426:C427"/>
    <mergeCell ref="B429:B430"/>
    <mergeCell ref="C429:C430"/>
    <mergeCell ref="B432:B433"/>
    <mergeCell ref="C432:C433"/>
    <mergeCell ref="B438:B439"/>
    <mergeCell ref="C438:C439"/>
    <mergeCell ref="B441:B442"/>
    <mergeCell ref="C441:C442"/>
    <mergeCell ref="B435:B436"/>
    <mergeCell ref="C435:C4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3"/>
  <sheetViews>
    <sheetView zoomScale="90" zoomScaleNormal="9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ColWidth="11.44140625" defaultRowHeight="13.2" x14ac:dyDescent="0.25"/>
  <cols>
    <col min="1" max="1" width="21.21875" style="608" customWidth="1"/>
    <col min="2" max="2" width="19.77734375" style="608" bestFit="1" customWidth="1"/>
    <col min="3" max="3" width="24.77734375" style="608" bestFit="1" customWidth="1"/>
    <col min="4" max="4" width="23.21875" style="608" bestFit="1" customWidth="1"/>
    <col min="5" max="5" width="15.77734375" style="608" bestFit="1" customWidth="1"/>
    <col min="6" max="6" width="15.44140625" style="608" bestFit="1" customWidth="1"/>
    <col min="7" max="7" width="15.44140625" style="608" customWidth="1"/>
    <col min="8" max="8" width="16.44140625" style="608" bestFit="1" customWidth="1"/>
    <col min="9" max="9" width="18" style="608" bestFit="1" customWidth="1"/>
    <col min="10" max="10" width="17" style="608" bestFit="1" customWidth="1"/>
    <col min="11" max="11" width="15.5546875" style="608" bestFit="1" customWidth="1"/>
    <col min="12" max="13" width="15.77734375" style="608" bestFit="1" customWidth="1"/>
    <col min="14" max="14" width="21.44140625" style="608" bestFit="1" customWidth="1"/>
    <col min="15" max="16" width="20.44140625" style="608" bestFit="1" customWidth="1"/>
    <col min="17" max="17" width="20" style="608" bestFit="1" customWidth="1"/>
    <col min="18" max="16384" width="11.44140625" style="608"/>
  </cols>
  <sheetData>
    <row r="1" spans="1:18" x14ac:dyDescent="0.25">
      <c r="A1" s="610"/>
      <c r="B1" s="609" t="s">
        <v>74</v>
      </c>
    </row>
    <row r="2" spans="1:18" ht="12.75" customHeight="1" x14ac:dyDescent="0.25">
      <c r="D2" s="610" t="s">
        <v>70</v>
      </c>
      <c r="E2" s="610" t="s">
        <v>64</v>
      </c>
      <c r="F2" s="610" t="s">
        <v>65</v>
      </c>
      <c r="G2" s="611" t="s">
        <v>164</v>
      </c>
      <c r="H2" s="610" t="s">
        <v>69</v>
      </c>
      <c r="I2" s="610" t="s">
        <v>68</v>
      </c>
      <c r="J2" s="610" t="s">
        <v>66</v>
      </c>
      <c r="K2" s="610" t="s">
        <v>63</v>
      </c>
      <c r="L2" s="610" t="s">
        <v>61</v>
      </c>
      <c r="M2" s="610" t="s">
        <v>62</v>
      </c>
      <c r="N2" s="610" t="s">
        <v>67</v>
      </c>
      <c r="O2" s="610" t="s">
        <v>77</v>
      </c>
      <c r="P2" s="608" t="s">
        <v>71</v>
      </c>
      <c r="Q2" s="610" t="s">
        <v>80</v>
      </c>
      <c r="R2" s="608" t="s">
        <v>167</v>
      </c>
    </row>
    <row r="3" spans="1:18" ht="12.75" customHeight="1" x14ac:dyDescent="0.25">
      <c r="C3" s="608" t="s">
        <v>72</v>
      </c>
      <c r="D3" s="610">
        <v>-4304656.96</v>
      </c>
      <c r="E3" s="610">
        <v>-204234.44</v>
      </c>
      <c r="F3" s="610">
        <v>-114903.02</v>
      </c>
      <c r="G3" s="612">
        <v>-58910.61</v>
      </c>
      <c r="H3" s="610">
        <v>-1052437.82</v>
      </c>
      <c r="I3" s="610">
        <v>-38840.300000000003</v>
      </c>
      <c r="J3" s="610">
        <v>-350782.23</v>
      </c>
      <c r="K3" s="610">
        <v>-326414.03000000003</v>
      </c>
      <c r="L3" s="610">
        <v>-1541278.48</v>
      </c>
      <c r="M3" s="610">
        <v>-553450.68000000005</v>
      </c>
      <c r="N3" s="610">
        <v>-63370.25</v>
      </c>
      <c r="O3" s="610">
        <v>-35.1</v>
      </c>
      <c r="P3" s="608">
        <v>0</v>
      </c>
      <c r="Q3" s="610">
        <v>0</v>
      </c>
      <c r="R3" s="608">
        <v>0</v>
      </c>
    </row>
    <row r="4" spans="1:18" ht="12.75" customHeight="1" x14ac:dyDescent="0.25">
      <c r="C4" s="608" t="s">
        <v>81</v>
      </c>
      <c r="D4" s="608">
        <v>-437.51</v>
      </c>
      <c r="E4" s="610">
        <v>-20.61</v>
      </c>
      <c r="F4" s="610">
        <v>-11.62</v>
      </c>
      <c r="G4" s="612">
        <v>-6.13</v>
      </c>
      <c r="H4" s="610">
        <v>-99.06</v>
      </c>
      <c r="I4" s="610">
        <v>-4.1100000000000003</v>
      </c>
      <c r="J4" s="610">
        <v>-35.82</v>
      </c>
      <c r="K4" s="610">
        <v>-34.53</v>
      </c>
      <c r="L4" s="610">
        <v>-162.79</v>
      </c>
      <c r="M4" s="610">
        <v>-56.17</v>
      </c>
      <c r="N4" s="610">
        <v>-6.66</v>
      </c>
      <c r="O4" s="610">
        <v>-0.01</v>
      </c>
      <c r="P4" s="608">
        <v>0</v>
      </c>
      <c r="Q4" s="610">
        <v>0</v>
      </c>
      <c r="R4" s="608">
        <v>0</v>
      </c>
    </row>
    <row r="5" spans="1:18" s="613" customFormat="1" ht="12.75" customHeight="1" x14ac:dyDescent="0.25">
      <c r="B5" s="614" t="s">
        <v>78</v>
      </c>
      <c r="C5" s="614" t="s">
        <v>70</v>
      </c>
      <c r="D5" s="614">
        <v>-4305094.47</v>
      </c>
      <c r="E5" s="614">
        <v>-204255.05</v>
      </c>
      <c r="F5" s="614">
        <v>-114914.64</v>
      </c>
      <c r="G5" s="614">
        <v>-58916.74</v>
      </c>
      <c r="H5" s="614">
        <v>-1052536.8799999999</v>
      </c>
      <c r="I5" s="614">
        <v>-38844.410000000003</v>
      </c>
      <c r="J5" s="614">
        <v>-350818.05</v>
      </c>
      <c r="K5" s="614">
        <v>-326448.56</v>
      </c>
      <c r="L5" s="614">
        <v>-1541441.27</v>
      </c>
      <c r="M5" s="614">
        <v>-553506.85</v>
      </c>
      <c r="N5" s="614">
        <v>-63376.91</v>
      </c>
      <c r="O5" s="614">
        <v>-35.11</v>
      </c>
      <c r="P5" s="613">
        <v>0</v>
      </c>
      <c r="Q5" s="614">
        <v>0</v>
      </c>
      <c r="R5" s="614">
        <v>0</v>
      </c>
    </row>
    <row r="6" spans="1:18" ht="12.75" customHeight="1" x14ac:dyDescent="0.25">
      <c r="C6" s="608" t="s">
        <v>73</v>
      </c>
      <c r="D6" s="610">
        <v>606224.47</v>
      </c>
      <c r="E6" s="610">
        <v>20070.349999999999</v>
      </c>
      <c r="F6" s="610">
        <v>11288.32</v>
      </c>
      <c r="G6" s="612">
        <v>5947.61</v>
      </c>
      <c r="H6" s="610">
        <v>174148.52</v>
      </c>
      <c r="I6" s="610">
        <v>5843.46</v>
      </c>
      <c r="J6" s="610">
        <v>51257.62</v>
      </c>
      <c r="K6" s="610">
        <v>49095.51</v>
      </c>
      <c r="L6" s="610">
        <v>225712.61</v>
      </c>
      <c r="M6" s="610">
        <v>53326.47</v>
      </c>
      <c r="N6" s="610">
        <v>9534</v>
      </c>
      <c r="O6" s="610">
        <v>0</v>
      </c>
      <c r="P6" s="608">
        <v>0</v>
      </c>
      <c r="Q6" s="610">
        <v>0</v>
      </c>
      <c r="R6" s="608">
        <v>0</v>
      </c>
    </row>
    <row r="7" spans="1:18" s="615" customFormat="1" ht="12.75" customHeight="1" x14ac:dyDescent="0.25">
      <c r="B7" s="615" t="s">
        <v>79</v>
      </c>
      <c r="C7" s="615" t="s">
        <v>70</v>
      </c>
      <c r="D7" s="628">
        <v>606224.47</v>
      </c>
      <c r="E7" s="616">
        <v>20070.349999999999</v>
      </c>
      <c r="F7" s="616">
        <v>11288.32</v>
      </c>
      <c r="G7" s="628">
        <v>5947.61</v>
      </c>
      <c r="H7" s="616">
        <v>174148.52</v>
      </c>
      <c r="I7" s="616">
        <v>5843.46</v>
      </c>
      <c r="J7" s="616">
        <v>51257.62</v>
      </c>
      <c r="K7" s="616">
        <v>49095.51</v>
      </c>
      <c r="L7" s="616">
        <v>225712.61</v>
      </c>
      <c r="M7" s="616">
        <v>53326.47</v>
      </c>
      <c r="N7" s="616">
        <v>9534</v>
      </c>
      <c r="O7" s="616">
        <v>0</v>
      </c>
      <c r="P7" s="615">
        <v>0</v>
      </c>
      <c r="Q7" s="616">
        <v>0</v>
      </c>
      <c r="R7" s="615">
        <v>0</v>
      </c>
    </row>
    <row r="8" spans="1:18" s="629" customFormat="1" ht="12.75" customHeight="1" x14ac:dyDescent="0.25">
      <c r="A8" s="629" t="s">
        <v>155</v>
      </c>
      <c r="B8" s="629" t="s">
        <v>70</v>
      </c>
      <c r="D8" s="625">
        <v>-3698870</v>
      </c>
      <c r="E8" s="625">
        <v>-184184.7</v>
      </c>
      <c r="F8" s="625">
        <v>-103626.32</v>
      </c>
      <c r="G8" s="758">
        <v>-52969.13</v>
      </c>
      <c r="H8" s="625">
        <v>-878388.36</v>
      </c>
      <c r="I8" s="625">
        <v>-33000.949999999997</v>
      </c>
      <c r="J8" s="625">
        <v>-299560.43</v>
      </c>
      <c r="K8" s="625">
        <v>-277353.05</v>
      </c>
      <c r="L8" s="625">
        <v>-1315728.6599999999</v>
      </c>
      <c r="M8" s="625">
        <v>-500180.38</v>
      </c>
      <c r="N8" s="625">
        <v>-53842.91</v>
      </c>
      <c r="O8" s="625">
        <v>-35.11</v>
      </c>
      <c r="P8" s="629">
        <v>0</v>
      </c>
      <c r="Q8" s="625">
        <v>0</v>
      </c>
      <c r="R8" s="629">
        <v>0</v>
      </c>
    </row>
    <row r="9" spans="1:18" ht="12.75" customHeight="1" x14ac:dyDescent="0.25">
      <c r="C9" s="608" t="s">
        <v>72</v>
      </c>
      <c r="D9" s="610">
        <v>-90290.21</v>
      </c>
      <c r="E9" s="610">
        <v>-5787.72</v>
      </c>
      <c r="F9" s="610">
        <v>-3267.74</v>
      </c>
      <c r="G9" s="612">
        <v>-1715.14</v>
      </c>
      <c r="H9" s="610">
        <v>-21117.15</v>
      </c>
      <c r="I9" s="610">
        <v>-503.05</v>
      </c>
      <c r="J9" s="610">
        <v>-4412.75</v>
      </c>
      <c r="K9" s="610">
        <v>-6447.78</v>
      </c>
      <c r="L9" s="610">
        <v>-30412.84</v>
      </c>
      <c r="M9" s="610">
        <v>-15807.14</v>
      </c>
      <c r="N9" s="610">
        <v>-820.77</v>
      </c>
      <c r="O9" s="610">
        <v>1.87</v>
      </c>
      <c r="P9" s="608">
        <v>0</v>
      </c>
      <c r="Q9" s="610">
        <v>0</v>
      </c>
      <c r="R9" s="608">
        <v>0</v>
      </c>
    </row>
    <row r="10" spans="1:18" ht="12.75" customHeight="1" x14ac:dyDescent="0.25">
      <c r="C10" s="608" t="s">
        <v>81</v>
      </c>
      <c r="D10" s="610">
        <v>-230.5</v>
      </c>
      <c r="E10" s="610">
        <v>-14.77</v>
      </c>
      <c r="F10" s="610">
        <v>-8.34</v>
      </c>
      <c r="G10" s="612">
        <v>-4.37</v>
      </c>
      <c r="H10" s="610">
        <v>-53.93</v>
      </c>
      <c r="I10" s="610">
        <v>-1.28</v>
      </c>
      <c r="J10" s="610">
        <v>-11.27</v>
      </c>
      <c r="K10" s="610">
        <v>-16.46</v>
      </c>
      <c r="L10" s="610">
        <v>-77.62</v>
      </c>
      <c r="M10" s="610">
        <v>-40.36</v>
      </c>
      <c r="N10" s="610">
        <v>-2.1</v>
      </c>
      <c r="O10" s="610">
        <v>0</v>
      </c>
      <c r="P10" s="610">
        <v>0</v>
      </c>
      <c r="Q10" s="610">
        <v>0</v>
      </c>
      <c r="R10" s="608">
        <v>0</v>
      </c>
    </row>
    <row r="11" spans="1:18" s="613" customFormat="1" ht="12.75" customHeight="1" x14ac:dyDescent="0.25">
      <c r="B11" s="614" t="s">
        <v>78</v>
      </c>
      <c r="C11" s="614" t="s">
        <v>70</v>
      </c>
      <c r="D11" s="614">
        <v>-90520.71</v>
      </c>
      <c r="E11" s="614">
        <v>-5802.49</v>
      </c>
      <c r="F11" s="614">
        <v>-3276.08</v>
      </c>
      <c r="G11" s="614">
        <v>-1719.51</v>
      </c>
      <c r="H11" s="614">
        <v>-21171.08</v>
      </c>
      <c r="I11" s="614">
        <v>-504.33</v>
      </c>
      <c r="J11" s="614">
        <v>-4424.0200000000004</v>
      </c>
      <c r="K11" s="614">
        <v>-6464.24</v>
      </c>
      <c r="L11" s="614">
        <v>-30490.46</v>
      </c>
      <c r="M11" s="614">
        <v>-15847.5</v>
      </c>
      <c r="N11" s="614">
        <v>-822.87</v>
      </c>
      <c r="O11" s="614">
        <v>1.87</v>
      </c>
      <c r="P11" s="613">
        <v>0</v>
      </c>
      <c r="Q11" s="614">
        <v>0</v>
      </c>
      <c r="R11" s="614">
        <v>0</v>
      </c>
    </row>
    <row r="12" spans="1:18" ht="12.75" customHeight="1" x14ac:dyDescent="0.25">
      <c r="B12" s="610"/>
      <c r="C12" s="610" t="s">
        <v>73</v>
      </c>
      <c r="D12" s="612">
        <v>-44389.29</v>
      </c>
      <c r="E12" s="610">
        <v>-2901.74</v>
      </c>
      <c r="F12" s="610">
        <v>-1638.32</v>
      </c>
      <c r="G12" s="610">
        <v>-2.33</v>
      </c>
      <c r="H12" s="610">
        <v>-10566.74</v>
      </c>
      <c r="I12" s="610">
        <v>-252.21</v>
      </c>
      <c r="J12" s="610">
        <v>-2212.3000000000002</v>
      </c>
      <c r="K12" s="610">
        <v>-3232.7</v>
      </c>
      <c r="L12" s="610">
        <v>-15246.38</v>
      </c>
      <c r="M12" s="610">
        <v>-7925.08</v>
      </c>
      <c r="N12" s="610">
        <v>-411.49</v>
      </c>
      <c r="O12" s="610">
        <v>0</v>
      </c>
      <c r="P12" s="608">
        <v>0</v>
      </c>
      <c r="Q12" s="610">
        <v>0</v>
      </c>
      <c r="R12" s="610">
        <v>0</v>
      </c>
    </row>
    <row r="13" spans="1:18" s="615" customFormat="1" ht="12.75" customHeight="1" x14ac:dyDescent="0.25">
      <c r="B13" s="615" t="s">
        <v>79</v>
      </c>
      <c r="C13" s="615" t="s">
        <v>70</v>
      </c>
      <c r="D13" s="628">
        <v>-44389.29</v>
      </c>
      <c r="E13" s="616">
        <v>-2901.74</v>
      </c>
      <c r="F13" s="616">
        <v>-1638.32</v>
      </c>
      <c r="G13" s="628">
        <v>-2.33</v>
      </c>
      <c r="H13" s="616">
        <v>-10566.74</v>
      </c>
      <c r="I13" s="616">
        <v>-252.21</v>
      </c>
      <c r="J13" s="616">
        <v>-2212.3000000000002</v>
      </c>
      <c r="K13" s="616">
        <v>-3232.7</v>
      </c>
      <c r="L13" s="616">
        <v>-15246.38</v>
      </c>
      <c r="M13" s="616">
        <v>-7925.08</v>
      </c>
      <c r="N13" s="616">
        <v>-411.49</v>
      </c>
      <c r="O13" s="616">
        <v>0</v>
      </c>
      <c r="P13" s="615">
        <v>0</v>
      </c>
      <c r="Q13" s="616">
        <v>0</v>
      </c>
      <c r="R13" s="615">
        <v>0</v>
      </c>
    </row>
    <row r="14" spans="1:18" s="745" customFormat="1" ht="12.75" customHeight="1" x14ac:dyDescent="0.25">
      <c r="A14" s="745" t="s">
        <v>119</v>
      </c>
      <c r="B14" s="745" t="s">
        <v>70</v>
      </c>
      <c r="D14" s="621">
        <v>-134910</v>
      </c>
      <c r="E14" s="620">
        <v>-8704.23</v>
      </c>
      <c r="F14" s="620">
        <v>-4914.3999999999996</v>
      </c>
      <c r="G14" s="621">
        <v>-1721.84</v>
      </c>
      <c r="H14" s="620">
        <v>-31737.82</v>
      </c>
      <c r="I14" s="620">
        <v>-756.54</v>
      </c>
      <c r="J14" s="620">
        <v>-6636.32</v>
      </c>
      <c r="K14" s="620">
        <v>-9696.94</v>
      </c>
      <c r="L14" s="620">
        <v>-45736.84</v>
      </c>
      <c r="M14" s="620">
        <v>-23772.58</v>
      </c>
      <c r="N14" s="620">
        <v>-1234.3599999999999</v>
      </c>
      <c r="O14" s="620">
        <v>1.87</v>
      </c>
      <c r="P14" s="620">
        <v>0</v>
      </c>
      <c r="Q14" s="620">
        <v>0</v>
      </c>
      <c r="R14" s="745">
        <v>0</v>
      </c>
    </row>
    <row r="15" spans="1:18" s="623" customFormat="1" ht="12.75" customHeight="1" x14ac:dyDescent="0.25">
      <c r="A15" s="622" t="s">
        <v>70</v>
      </c>
      <c r="D15" s="622">
        <v>-3833780</v>
      </c>
      <c r="E15" s="622">
        <v>-192888.93</v>
      </c>
      <c r="F15" s="622">
        <v>-108540.72</v>
      </c>
      <c r="G15" s="622">
        <v>-54690.97</v>
      </c>
      <c r="H15" s="622">
        <v>-910126.18</v>
      </c>
      <c r="I15" s="622">
        <v>-33757.49</v>
      </c>
      <c r="J15" s="622">
        <v>-306196.75</v>
      </c>
      <c r="K15" s="622">
        <v>-287049.99</v>
      </c>
      <c r="L15" s="622">
        <v>-1361465.5</v>
      </c>
      <c r="M15" s="622">
        <v>-523952.96</v>
      </c>
      <c r="N15" s="622">
        <v>-55077.27</v>
      </c>
      <c r="O15" s="622">
        <v>-33.24</v>
      </c>
      <c r="P15" s="623">
        <v>0</v>
      </c>
      <c r="Q15" s="622">
        <v>0</v>
      </c>
      <c r="R15" s="622">
        <v>0</v>
      </c>
    </row>
    <row r="16" spans="1:18" ht="12.75" customHeight="1" x14ac:dyDescent="0.25">
      <c r="A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  <c r="N16" s="610"/>
      <c r="O16" s="610"/>
    </row>
    <row r="17" spans="1:15" ht="12.75" customHeight="1" x14ac:dyDescent="0.25">
      <c r="A17" s="610"/>
      <c r="D17" s="610"/>
      <c r="E17" s="610"/>
      <c r="F17" s="610"/>
      <c r="G17" s="610"/>
      <c r="H17" s="610"/>
      <c r="I17" s="610"/>
      <c r="J17" s="610"/>
      <c r="K17" s="610"/>
      <c r="L17" s="610"/>
      <c r="M17" s="610"/>
      <c r="N17" s="610"/>
      <c r="O17" s="610"/>
    </row>
    <row r="18" spans="1:15" ht="12.75" hidden="1" customHeight="1" x14ac:dyDescent="0.25">
      <c r="A18" s="610"/>
      <c r="D18" s="610"/>
      <c r="E18" s="610"/>
      <c r="F18" s="610"/>
      <c r="G18" s="610"/>
      <c r="H18" s="610"/>
      <c r="I18" s="610"/>
      <c r="J18" s="610"/>
      <c r="K18" s="610"/>
      <c r="L18" s="610"/>
      <c r="M18" s="610"/>
      <c r="N18" s="610"/>
      <c r="O18" s="610"/>
    </row>
    <row r="19" spans="1:15" ht="12.75" hidden="1" customHeight="1" x14ac:dyDescent="0.25">
      <c r="A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</row>
    <row r="20" spans="1:15" ht="12.75" hidden="1" customHeight="1" x14ac:dyDescent="0.25">
      <c r="A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</row>
    <row r="21" spans="1:15" ht="12.75" hidden="1" customHeight="1" x14ac:dyDescent="0.25">
      <c r="A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</row>
    <row r="22" spans="1:15" ht="12.75" hidden="1" customHeight="1" x14ac:dyDescent="0.25">
      <c r="A22" s="610"/>
      <c r="D22" s="610"/>
      <c r="E22" s="610"/>
      <c r="F22" s="610"/>
      <c r="G22" s="610"/>
      <c r="H22" s="610"/>
      <c r="I22" s="610"/>
      <c r="J22" s="610"/>
      <c r="K22" s="610"/>
      <c r="L22" s="610"/>
      <c r="M22" s="610"/>
      <c r="N22" s="610"/>
      <c r="O22" s="610"/>
    </row>
    <row r="23" spans="1:15" ht="12.75" hidden="1" customHeight="1" x14ac:dyDescent="0.25">
      <c r="A23" s="610"/>
      <c r="D23" s="610"/>
      <c r="E23" s="610"/>
      <c r="F23" s="610"/>
      <c r="G23" s="610"/>
      <c r="H23" s="610"/>
      <c r="I23" s="610"/>
      <c r="J23" s="610"/>
      <c r="K23" s="610"/>
      <c r="L23" s="610"/>
      <c r="M23" s="610"/>
      <c r="N23" s="610"/>
      <c r="O23" s="610"/>
    </row>
    <row r="24" spans="1:15" ht="12.75" hidden="1" customHeight="1" x14ac:dyDescent="0.25">
      <c r="A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0"/>
    </row>
    <row r="25" spans="1:15" ht="12.75" hidden="1" customHeight="1" x14ac:dyDescent="0.25">
      <c r="A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0"/>
    </row>
    <row r="26" spans="1:15" ht="12.75" hidden="1" customHeight="1" x14ac:dyDescent="0.25">
      <c r="A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</row>
    <row r="27" spans="1:15" ht="12.75" hidden="1" customHeight="1" x14ac:dyDescent="0.25">
      <c r="A27" s="610"/>
      <c r="D27" s="610"/>
      <c r="E27" s="610"/>
      <c r="F27" s="610"/>
      <c r="G27" s="610"/>
      <c r="H27" s="610"/>
      <c r="I27" s="610"/>
      <c r="J27" s="610"/>
      <c r="K27" s="610"/>
      <c r="L27" s="610"/>
      <c r="M27" s="610"/>
      <c r="N27" s="610"/>
      <c r="O27" s="610"/>
    </row>
    <row r="28" spans="1:15" ht="12.75" hidden="1" customHeight="1" x14ac:dyDescent="0.25">
      <c r="A28" s="610"/>
      <c r="D28" s="610"/>
      <c r="E28" s="610"/>
      <c r="F28" s="610"/>
      <c r="G28" s="610"/>
      <c r="H28" s="610"/>
      <c r="I28" s="610"/>
      <c r="J28" s="610"/>
      <c r="K28" s="610"/>
      <c r="L28" s="610"/>
      <c r="M28" s="610"/>
      <c r="N28" s="610"/>
      <c r="O28" s="610"/>
    </row>
    <row r="29" spans="1:15" ht="12.75" hidden="1" customHeight="1" x14ac:dyDescent="0.25">
      <c r="A29" s="610"/>
      <c r="D29" s="610"/>
      <c r="E29" s="610"/>
      <c r="F29" s="610"/>
      <c r="G29" s="610"/>
      <c r="H29" s="610"/>
      <c r="I29" s="610"/>
      <c r="J29" s="610"/>
      <c r="K29" s="610"/>
      <c r="L29" s="610"/>
      <c r="M29" s="610"/>
      <c r="N29" s="610"/>
      <c r="O29" s="610"/>
    </row>
    <row r="30" spans="1:15" ht="12.75" hidden="1" customHeight="1" x14ac:dyDescent="0.25">
      <c r="A30" s="610"/>
      <c r="D30" s="610"/>
      <c r="E30" s="610"/>
      <c r="F30" s="610"/>
      <c r="G30" s="610"/>
      <c r="H30" s="610"/>
      <c r="I30" s="610"/>
      <c r="J30" s="610"/>
      <c r="K30" s="610"/>
      <c r="L30" s="610"/>
      <c r="M30" s="610"/>
      <c r="N30" s="610"/>
      <c r="O30" s="610"/>
    </row>
    <row r="31" spans="1:15" ht="12.75" hidden="1" customHeight="1" x14ac:dyDescent="0.25">
      <c r="A31" s="610"/>
      <c r="D31" s="610"/>
      <c r="E31" s="610"/>
      <c r="F31" s="610"/>
      <c r="G31" s="610"/>
      <c r="H31" s="610"/>
      <c r="I31" s="610"/>
      <c r="J31" s="610"/>
      <c r="K31" s="610"/>
      <c r="L31" s="610"/>
      <c r="M31" s="610"/>
      <c r="N31" s="610"/>
      <c r="O31" s="610"/>
    </row>
    <row r="32" spans="1:15" ht="12.75" hidden="1" customHeight="1" x14ac:dyDescent="0.25">
      <c r="A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0"/>
    </row>
    <row r="33" spans="1:15" ht="12.75" hidden="1" customHeight="1" x14ac:dyDescent="0.25">
      <c r="A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0"/>
    </row>
    <row r="34" spans="1:15" ht="12.75" hidden="1" customHeight="1" x14ac:dyDescent="0.25">
      <c r="A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</row>
    <row r="35" spans="1:15" ht="12.75" hidden="1" customHeight="1" x14ac:dyDescent="0.25">
      <c r="A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</row>
    <row r="36" spans="1:15" ht="12.75" hidden="1" customHeight="1" x14ac:dyDescent="0.25">
      <c r="A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0"/>
    </row>
    <row r="37" spans="1:15" ht="12.75" hidden="1" customHeight="1" x14ac:dyDescent="0.25">
      <c r="A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0"/>
    </row>
    <row r="38" spans="1:15" ht="12.75" hidden="1" customHeight="1" x14ac:dyDescent="0.25">
      <c r="A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</row>
    <row r="39" spans="1:15" ht="12.75" hidden="1" customHeight="1" x14ac:dyDescent="0.25">
      <c r="A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</row>
    <row r="40" spans="1:15" ht="12.75" hidden="1" customHeight="1" x14ac:dyDescent="0.25">
      <c r="A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</row>
    <row r="41" spans="1:15" ht="12.75" hidden="1" customHeight="1" x14ac:dyDescent="0.25">
      <c r="A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</row>
    <row r="42" spans="1:15" ht="12.75" hidden="1" customHeight="1" x14ac:dyDescent="0.25">
      <c r="A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10"/>
    </row>
    <row r="43" spans="1:15" ht="12.75" hidden="1" customHeight="1" x14ac:dyDescent="0.25">
      <c r="A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10"/>
    </row>
    <row r="44" spans="1:15" ht="12.75" hidden="1" customHeight="1" x14ac:dyDescent="0.25">
      <c r="A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10"/>
    </row>
    <row r="45" spans="1:15" ht="12.75" hidden="1" customHeight="1" x14ac:dyDescent="0.25">
      <c r="A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</row>
    <row r="46" spans="1:15" ht="12.75" hidden="1" customHeight="1" x14ac:dyDescent="0.25">
      <c r="A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0"/>
    </row>
    <row r="47" spans="1:15" ht="12.75" hidden="1" customHeight="1" x14ac:dyDescent="0.25">
      <c r="A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0"/>
    </row>
    <row r="48" spans="1:15" ht="12.75" hidden="1" customHeight="1" x14ac:dyDescent="0.25">
      <c r="A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0"/>
    </row>
    <row r="49" spans="1:15" ht="12.75" hidden="1" customHeight="1" x14ac:dyDescent="0.25">
      <c r="A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</row>
    <row r="50" spans="1:15" ht="12.75" hidden="1" customHeight="1" x14ac:dyDescent="0.25">
      <c r="A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</row>
    <row r="51" spans="1:15" ht="12.75" hidden="1" customHeight="1" x14ac:dyDescent="0.25">
      <c r="A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</row>
    <row r="52" spans="1:15" ht="12.75" hidden="1" customHeight="1" x14ac:dyDescent="0.25">
      <c r="A52" s="610"/>
      <c r="D52" s="610"/>
      <c r="E52" s="610"/>
      <c r="F52" s="610"/>
      <c r="G52" s="610"/>
      <c r="H52" s="610"/>
      <c r="I52" s="610"/>
      <c r="J52" s="610"/>
      <c r="K52" s="610"/>
      <c r="L52" s="610"/>
      <c r="M52" s="610"/>
      <c r="N52" s="610"/>
      <c r="O52" s="610"/>
    </row>
    <row r="53" spans="1:15" ht="12.75" hidden="1" customHeight="1" x14ac:dyDescent="0.25">
      <c r="A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</row>
    <row r="54" spans="1:15" ht="12.75" hidden="1" customHeight="1" x14ac:dyDescent="0.25">
      <c r="A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</row>
    <row r="55" spans="1:15" ht="12.75" hidden="1" customHeight="1" x14ac:dyDescent="0.25">
      <c r="A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</row>
    <row r="56" spans="1:15" ht="12.75" hidden="1" customHeight="1" x14ac:dyDescent="0.25">
      <c r="A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0"/>
    </row>
    <row r="57" spans="1:15" ht="12.75" hidden="1" customHeight="1" x14ac:dyDescent="0.25">
      <c r="A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</row>
    <row r="58" spans="1:15" ht="12.75" hidden="1" customHeight="1" x14ac:dyDescent="0.25">
      <c r="A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</row>
    <row r="59" spans="1:15" ht="12.75" hidden="1" customHeight="1" x14ac:dyDescent="0.25">
      <c r="A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</row>
    <row r="60" spans="1:15" ht="12.75" hidden="1" customHeight="1" x14ac:dyDescent="0.25">
      <c r="A60" s="610"/>
      <c r="D60" s="610"/>
      <c r="E60" s="610"/>
      <c r="F60" s="610"/>
      <c r="G60" s="610"/>
      <c r="H60" s="610"/>
      <c r="I60" s="610"/>
      <c r="J60" s="610"/>
      <c r="K60" s="610"/>
      <c r="L60" s="610"/>
      <c r="M60" s="610"/>
      <c r="N60" s="610"/>
      <c r="O60" s="610"/>
    </row>
    <row r="61" spans="1:15" ht="12.75" hidden="1" customHeight="1" x14ac:dyDescent="0.25">
      <c r="A61" s="610"/>
      <c r="D61" s="610"/>
      <c r="E61" s="610"/>
      <c r="F61" s="610"/>
      <c r="G61" s="610"/>
      <c r="H61" s="610"/>
      <c r="I61" s="610"/>
      <c r="J61" s="610"/>
      <c r="K61" s="610"/>
      <c r="L61" s="610"/>
      <c r="M61" s="610"/>
      <c r="N61" s="610"/>
      <c r="O61" s="610"/>
    </row>
    <row r="62" spans="1:15" ht="12.75" hidden="1" customHeight="1" x14ac:dyDescent="0.25">
      <c r="A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</row>
    <row r="63" spans="1:15" ht="12.75" hidden="1" customHeight="1" x14ac:dyDescent="0.25">
      <c r="A63" s="610"/>
      <c r="D63" s="610"/>
      <c r="E63" s="610"/>
      <c r="F63" s="610"/>
      <c r="G63" s="610"/>
      <c r="H63" s="610"/>
      <c r="I63" s="610"/>
      <c r="J63" s="610"/>
      <c r="K63" s="610"/>
      <c r="L63" s="610"/>
      <c r="M63" s="610"/>
      <c r="N63" s="610"/>
      <c r="O63" s="610"/>
    </row>
    <row r="64" spans="1:15" ht="12.75" hidden="1" customHeight="1" x14ac:dyDescent="0.25">
      <c r="A64" s="610"/>
      <c r="D64" s="610"/>
      <c r="E64" s="610"/>
      <c r="F64" s="610"/>
      <c r="G64" s="610"/>
      <c r="H64" s="610"/>
      <c r="I64" s="610"/>
      <c r="J64" s="610"/>
      <c r="K64" s="610"/>
      <c r="L64" s="610"/>
      <c r="M64" s="610"/>
      <c r="N64" s="610"/>
      <c r="O64" s="610"/>
    </row>
    <row r="65" spans="1:18" ht="12.75" hidden="1" customHeight="1" x14ac:dyDescent="0.25">
      <c r="A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</row>
    <row r="66" spans="1:18" ht="12.75" hidden="1" customHeight="1" x14ac:dyDescent="0.25">
      <c r="A66" s="610"/>
      <c r="D66" s="610"/>
      <c r="E66" s="610"/>
      <c r="F66" s="610"/>
      <c r="G66" s="610"/>
      <c r="H66" s="610"/>
      <c r="I66" s="610"/>
      <c r="J66" s="610"/>
      <c r="K66" s="610"/>
      <c r="L66" s="610"/>
      <c r="M66" s="610"/>
      <c r="N66" s="610"/>
      <c r="O66" s="610"/>
    </row>
    <row r="67" spans="1:18" ht="12.75" hidden="1" customHeight="1" x14ac:dyDescent="0.25">
      <c r="A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0"/>
    </row>
    <row r="68" spans="1:18" ht="12.75" hidden="1" customHeight="1" x14ac:dyDescent="0.25">
      <c r="A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0"/>
    </row>
    <row r="69" spans="1:18" ht="12.75" hidden="1" customHeight="1" x14ac:dyDescent="0.25">
      <c r="A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</row>
    <row r="70" spans="1:18" ht="12.75" hidden="1" customHeight="1" x14ac:dyDescent="0.25">
      <c r="A70" s="610"/>
      <c r="D70" s="610"/>
      <c r="E70" s="610"/>
      <c r="F70" s="610"/>
      <c r="G70" s="610"/>
      <c r="H70" s="610"/>
      <c r="I70" s="610"/>
      <c r="J70" s="610"/>
      <c r="K70" s="610"/>
      <c r="L70" s="610"/>
      <c r="M70" s="610"/>
      <c r="N70" s="610"/>
      <c r="O70" s="610"/>
    </row>
    <row r="71" spans="1:18" ht="12.75" hidden="1" customHeight="1" x14ac:dyDescent="0.25">
      <c r="A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</row>
    <row r="72" spans="1:18" x14ac:dyDescent="0.25">
      <c r="A72" s="610"/>
      <c r="D72" s="610"/>
      <c r="E72" s="610"/>
      <c r="F72" s="610"/>
      <c r="G72" s="610"/>
      <c r="H72" s="610"/>
      <c r="I72" s="610"/>
      <c r="J72" s="610"/>
      <c r="K72" s="610"/>
      <c r="L72" s="610"/>
      <c r="M72" s="610"/>
      <c r="N72" s="610"/>
      <c r="O72" s="610"/>
    </row>
    <row r="73" spans="1:18" x14ac:dyDescent="0.25">
      <c r="A73" s="775" t="s">
        <v>2</v>
      </c>
      <c r="B73" s="774" t="s">
        <v>132</v>
      </c>
      <c r="C73" s="622" t="s">
        <v>70</v>
      </c>
      <c r="D73" s="622">
        <f>D15-P15</f>
        <v>-3833780</v>
      </c>
      <c r="E73" s="622">
        <f>E11+E5</f>
        <v>-210057.53999999998</v>
      </c>
      <c r="F73" s="622">
        <f t="shared" ref="F73:R73" si="0">F11+F5</f>
        <v>-118190.72</v>
      </c>
      <c r="G73" s="622">
        <f t="shared" si="0"/>
        <v>-60636.25</v>
      </c>
      <c r="H73" s="622">
        <f t="shared" si="0"/>
        <v>-1073707.96</v>
      </c>
      <c r="I73" s="622">
        <f t="shared" si="0"/>
        <v>-39348.740000000005</v>
      </c>
      <c r="J73" s="622">
        <f t="shared" si="0"/>
        <v>-355242.07</v>
      </c>
      <c r="K73" s="622">
        <f t="shared" si="0"/>
        <v>-332912.8</v>
      </c>
      <c r="L73" s="622">
        <f t="shared" si="0"/>
        <v>-1571931.73</v>
      </c>
      <c r="M73" s="622">
        <f t="shared" si="0"/>
        <v>-569354.35</v>
      </c>
      <c r="N73" s="622">
        <f t="shared" si="0"/>
        <v>-64199.780000000006</v>
      </c>
      <c r="O73" s="622">
        <f t="shared" si="0"/>
        <v>-33.24</v>
      </c>
      <c r="P73" s="622">
        <f t="shared" si="0"/>
        <v>0</v>
      </c>
      <c r="Q73" s="622">
        <f t="shared" si="0"/>
        <v>0</v>
      </c>
      <c r="R73" s="622">
        <f t="shared" si="0"/>
        <v>0</v>
      </c>
    </row>
    <row r="74" spans="1:18" x14ac:dyDescent="0.25">
      <c r="A74" s="775"/>
      <c r="B74" s="774"/>
      <c r="C74" s="622" t="s">
        <v>73</v>
      </c>
      <c r="D74" s="622">
        <f>D7+D13</f>
        <v>561835.17999999993</v>
      </c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0"/>
      <c r="P74" s="610"/>
      <c r="Q74" s="610"/>
      <c r="R74" s="610"/>
    </row>
    <row r="75" spans="1:18" x14ac:dyDescent="0.25">
      <c r="A75" s="609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0"/>
      <c r="P75" s="610"/>
      <c r="Q75" s="610"/>
      <c r="R75" s="610"/>
    </row>
    <row r="76" spans="1:18" x14ac:dyDescent="0.25">
      <c r="A76" s="775" t="s">
        <v>160</v>
      </c>
      <c r="B76" s="774" t="s">
        <v>132</v>
      </c>
      <c r="C76" s="624" t="s">
        <v>70</v>
      </c>
      <c r="D76" s="624">
        <v>0</v>
      </c>
      <c r="E76" s="624">
        <v>0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4">
        <v>0</v>
      </c>
      <c r="M76" s="624">
        <v>0</v>
      </c>
      <c r="N76" s="624">
        <v>0</v>
      </c>
      <c r="O76" s="624">
        <v>0</v>
      </c>
      <c r="P76" s="624">
        <v>0</v>
      </c>
      <c r="Q76" s="624">
        <v>0</v>
      </c>
      <c r="R76" s="624">
        <v>0</v>
      </c>
    </row>
    <row r="77" spans="1:18" x14ac:dyDescent="0.25">
      <c r="A77" s="775"/>
      <c r="B77" s="774"/>
      <c r="C77" s="624" t="s">
        <v>73</v>
      </c>
      <c r="D77" s="624">
        <v>0</v>
      </c>
      <c r="E77" s="610"/>
      <c r="F77" s="610"/>
      <c r="G77" s="610"/>
      <c r="H77" s="610"/>
      <c r="I77" s="610"/>
      <c r="J77" s="610"/>
      <c r="K77" s="610"/>
      <c r="L77" s="610"/>
      <c r="M77" s="610"/>
      <c r="N77" s="610"/>
      <c r="O77" s="610"/>
      <c r="P77" s="610"/>
      <c r="Q77" s="610"/>
      <c r="R77" s="610"/>
    </row>
    <row r="78" spans="1:18" x14ac:dyDescent="0.25">
      <c r="A78" s="609"/>
      <c r="D78" s="610"/>
      <c r="E78" s="610"/>
      <c r="F78" s="610"/>
      <c r="G78" s="610"/>
      <c r="H78" s="610"/>
      <c r="I78" s="610"/>
      <c r="J78" s="610"/>
      <c r="K78" s="610"/>
      <c r="L78" s="610"/>
      <c r="M78" s="610"/>
      <c r="N78" s="610"/>
      <c r="O78" s="610"/>
      <c r="P78" s="610"/>
      <c r="Q78" s="610"/>
      <c r="R78" s="610"/>
    </row>
    <row r="79" spans="1:18" x14ac:dyDescent="0.25">
      <c r="A79" s="775" t="s">
        <v>155</v>
      </c>
      <c r="B79" s="774" t="s">
        <v>132</v>
      </c>
      <c r="C79" s="625" t="s">
        <v>70</v>
      </c>
      <c r="D79" s="625">
        <f>D8-P8</f>
        <v>-3698870</v>
      </c>
      <c r="E79" s="625">
        <f>E5</f>
        <v>-204255.05</v>
      </c>
      <c r="F79" s="625">
        <f t="shared" ref="F79:R79" si="1">F5</f>
        <v>-114914.64</v>
      </c>
      <c r="G79" s="625">
        <f t="shared" si="1"/>
        <v>-58916.74</v>
      </c>
      <c r="H79" s="625">
        <f t="shared" si="1"/>
        <v>-1052536.8799999999</v>
      </c>
      <c r="I79" s="625">
        <f t="shared" si="1"/>
        <v>-38844.410000000003</v>
      </c>
      <c r="J79" s="625">
        <f t="shared" si="1"/>
        <v>-350818.05</v>
      </c>
      <c r="K79" s="625">
        <f t="shared" si="1"/>
        <v>-326448.56</v>
      </c>
      <c r="L79" s="625">
        <f t="shared" si="1"/>
        <v>-1541441.27</v>
      </c>
      <c r="M79" s="625">
        <f t="shared" si="1"/>
        <v>-553506.85</v>
      </c>
      <c r="N79" s="625">
        <f t="shared" si="1"/>
        <v>-63376.91</v>
      </c>
      <c r="O79" s="625">
        <f t="shared" si="1"/>
        <v>-35.11</v>
      </c>
      <c r="P79" s="625">
        <f t="shared" si="1"/>
        <v>0</v>
      </c>
      <c r="Q79" s="625">
        <f t="shared" si="1"/>
        <v>0</v>
      </c>
      <c r="R79" s="625">
        <f t="shared" si="1"/>
        <v>0</v>
      </c>
    </row>
    <row r="80" spans="1:18" x14ac:dyDescent="0.25">
      <c r="A80" s="775"/>
      <c r="B80" s="774"/>
      <c r="C80" s="625" t="s">
        <v>73</v>
      </c>
      <c r="D80" s="625">
        <f>D7</f>
        <v>606224.47</v>
      </c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0"/>
      <c r="P80" s="610"/>
      <c r="Q80" s="610"/>
      <c r="R80" s="610"/>
    </row>
    <row r="81" spans="1:18" x14ac:dyDescent="0.25">
      <c r="A81" s="720"/>
      <c r="B81" s="719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</row>
    <row r="82" spans="1:18" ht="12.75" customHeight="1" x14ac:dyDescent="0.25">
      <c r="A82" s="773" t="s">
        <v>324</v>
      </c>
      <c r="B82" s="774" t="s">
        <v>132</v>
      </c>
      <c r="C82" s="625" t="s">
        <v>70</v>
      </c>
      <c r="D82" s="718">
        <v>0</v>
      </c>
      <c r="E82" s="718">
        <v>0</v>
      </c>
      <c r="F82" s="718">
        <v>0</v>
      </c>
      <c r="G82" s="718">
        <v>0</v>
      </c>
      <c r="H82" s="718">
        <v>0</v>
      </c>
      <c r="I82" s="718">
        <v>0</v>
      </c>
      <c r="J82" s="718">
        <v>0</v>
      </c>
      <c r="K82" s="718">
        <v>0</v>
      </c>
      <c r="L82" s="718">
        <v>0</v>
      </c>
      <c r="M82" s="718">
        <v>0</v>
      </c>
      <c r="N82" s="718">
        <v>0</v>
      </c>
      <c r="O82" s="718">
        <v>0</v>
      </c>
      <c r="P82" s="718">
        <v>0</v>
      </c>
      <c r="Q82" s="718">
        <v>0</v>
      </c>
      <c r="R82" s="718">
        <v>0</v>
      </c>
    </row>
    <row r="83" spans="1:18" ht="12.75" customHeight="1" x14ac:dyDescent="0.25">
      <c r="A83" s="773"/>
      <c r="B83" s="774"/>
      <c r="C83" s="625" t="s">
        <v>73</v>
      </c>
      <c r="D83" s="718">
        <v>0</v>
      </c>
      <c r="E83" s="610"/>
      <c r="F83" s="610"/>
      <c r="G83" s="610"/>
      <c r="H83" s="610"/>
      <c r="I83" s="610"/>
      <c r="J83" s="610"/>
      <c r="K83" s="610"/>
      <c r="L83" s="610"/>
      <c r="M83" s="610"/>
      <c r="N83" s="610"/>
      <c r="O83" s="610"/>
      <c r="P83" s="610"/>
      <c r="Q83" s="610"/>
    </row>
    <row r="84" spans="1:18" x14ac:dyDescent="0.25">
      <c r="A84" s="609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0"/>
      <c r="P84" s="610"/>
      <c r="Q84" s="610"/>
      <c r="R84" s="610"/>
    </row>
    <row r="85" spans="1:18" x14ac:dyDescent="0.25">
      <c r="A85" s="775" t="s">
        <v>119</v>
      </c>
      <c r="B85" s="774" t="s">
        <v>132</v>
      </c>
      <c r="C85" s="620" t="s">
        <v>70</v>
      </c>
      <c r="D85" s="620">
        <f>D14-P14</f>
        <v>-134910</v>
      </c>
      <c r="E85" s="620">
        <f>E11</f>
        <v>-5802.49</v>
      </c>
      <c r="F85" s="620">
        <f t="shared" ref="F85:R85" si="2">F11</f>
        <v>-3276.08</v>
      </c>
      <c r="G85" s="620">
        <f t="shared" si="2"/>
        <v>-1719.51</v>
      </c>
      <c r="H85" s="620">
        <f t="shared" si="2"/>
        <v>-21171.08</v>
      </c>
      <c r="I85" s="620">
        <f t="shared" si="2"/>
        <v>-504.33</v>
      </c>
      <c r="J85" s="620">
        <f t="shared" si="2"/>
        <v>-4424.0200000000004</v>
      </c>
      <c r="K85" s="620">
        <f t="shared" si="2"/>
        <v>-6464.24</v>
      </c>
      <c r="L85" s="620">
        <f t="shared" si="2"/>
        <v>-30490.46</v>
      </c>
      <c r="M85" s="620">
        <f t="shared" si="2"/>
        <v>-15847.5</v>
      </c>
      <c r="N85" s="620">
        <f t="shared" si="2"/>
        <v>-822.87</v>
      </c>
      <c r="O85" s="620">
        <f t="shared" si="2"/>
        <v>1.87</v>
      </c>
      <c r="P85" s="620">
        <f t="shared" si="2"/>
        <v>0</v>
      </c>
      <c r="Q85" s="620">
        <f t="shared" si="2"/>
        <v>0</v>
      </c>
      <c r="R85" s="620">
        <f t="shared" si="2"/>
        <v>0</v>
      </c>
    </row>
    <row r="86" spans="1:18" ht="12.75" customHeight="1" x14ac:dyDescent="0.25">
      <c r="A86" s="775"/>
      <c r="B86" s="774"/>
      <c r="C86" s="620" t="s">
        <v>73</v>
      </c>
      <c r="D86" s="620">
        <f>D13</f>
        <v>-44389.29</v>
      </c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</row>
    <row r="87" spans="1:18" ht="12.75" customHeight="1" x14ac:dyDescent="0.25">
      <c r="A87" s="609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</row>
    <row r="88" spans="1:18" ht="12.75" customHeight="1" x14ac:dyDescent="0.25">
      <c r="A88" s="776" t="s">
        <v>161</v>
      </c>
      <c r="B88" s="774" t="s">
        <v>132</v>
      </c>
      <c r="C88" s="626" t="s">
        <v>70</v>
      </c>
      <c r="D88" s="626">
        <v>0</v>
      </c>
      <c r="E88" s="626">
        <v>0</v>
      </c>
      <c r="F88" s="626">
        <v>0</v>
      </c>
      <c r="G88" s="626">
        <v>0</v>
      </c>
      <c r="H88" s="626">
        <v>0</v>
      </c>
      <c r="I88" s="626">
        <v>0</v>
      </c>
      <c r="J88" s="626">
        <v>0</v>
      </c>
      <c r="K88" s="626">
        <v>0</v>
      </c>
      <c r="L88" s="626">
        <v>0</v>
      </c>
      <c r="M88" s="626">
        <v>0</v>
      </c>
      <c r="N88" s="626">
        <v>0</v>
      </c>
      <c r="O88" s="626">
        <v>0</v>
      </c>
      <c r="P88" s="626">
        <v>0</v>
      </c>
      <c r="Q88" s="626">
        <v>0</v>
      </c>
      <c r="R88" s="626">
        <v>0</v>
      </c>
    </row>
    <row r="89" spans="1:18" ht="12.75" customHeight="1" x14ac:dyDescent="0.25">
      <c r="A89" s="776"/>
      <c r="B89" s="774"/>
      <c r="C89" s="626" t="s">
        <v>73</v>
      </c>
      <c r="D89" s="626">
        <v>0</v>
      </c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</row>
    <row r="90" spans="1:18" s="627" customFormat="1" x14ac:dyDescent="0.25"/>
    <row r="91" spans="1:18" x14ac:dyDescent="0.25">
      <c r="B91" s="609" t="s">
        <v>75</v>
      </c>
    </row>
    <row r="92" spans="1:18" ht="12.75" customHeight="1" x14ac:dyDescent="0.25">
      <c r="D92" s="610" t="s">
        <v>70</v>
      </c>
      <c r="E92" s="610" t="s">
        <v>64</v>
      </c>
      <c r="F92" s="610" t="s">
        <v>65</v>
      </c>
      <c r="G92" s="611" t="s">
        <v>164</v>
      </c>
      <c r="H92" s="610" t="s">
        <v>69</v>
      </c>
      <c r="I92" s="610" t="s">
        <v>68</v>
      </c>
      <c r="J92" s="610" t="s">
        <v>66</v>
      </c>
      <c r="K92" s="610" t="s">
        <v>63</v>
      </c>
      <c r="L92" s="610" t="s">
        <v>61</v>
      </c>
      <c r="M92" s="610" t="s">
        <v>62</v>
      </c>
      <c r="N92" s="610" t="s">
        <v>67</v>
      </c>
      <c r="O92" s="610" t="s">
        <v>77</v>
      </c>
      <c r="P92" s="608" t="s">
        <v>71</v>
      </c>
      <c r="Q92" s="610" t="s">
        <v>80</v>
      </c>
      <c r="R92" s="608" t="s">
        <v>167</v>
      </c>
    </row>
    <row r="93" spans="1:18" ht="12.75" customHeight="1" x14ac:dyDescent="0.25">
      <c r="C93" s="608" t="s">
        <v>72</v>
      </c>
      <c r="D93" s="610">
        <v>-26888436.850000001</v>
      </c>
      <c r="E93" s="610">
        <v>-1660901.33</v>
      </c>
      <c r="F93" s="610">
        <v>-899968.47</v>
      </c>
      <c r="G93" s="612">
        <v>-460891.41</v>
      </c>
      <c r="H93" s="610">
        <v>-6488857.0199999996</v>
      </c>
      <c r="I93" s="610">
        <v>-230262.37</v>
      </c>
      <c r="J93" s="610">
        <v>-2029454.65</v>
      </c>
      <c r="K93" s="610">
        <v>-2051952.94</v>
      </c>
      <c r="L93" s="610">
        <v>-9182422.8900000006</v>
      </c>
      <c r="M93" s="610">
        <v>-3507972.85</v>
      </c>
      <c r="N93" s="610">
        <v>-375690.45</v>
      </c>
      <c r="O93" s="610">
        <v>-62.47</v>
      </c>
      <c r="P93" s="608">
        <v>0</v>
      </c>
      <c r="Q93" s="610">
        <v>0</v>
      </c>
      <c r="R93" s="608">
        <v>0</v>
      </c>
    </row>
    <row r="94" spans="1:18" ht="12.75" customHeight="1" x14ac:dyDescent="0.25">
      <c r="C94" s="608" t="s">
        <v>81</v>
      </c>
      <c r="D94" s="610">
        <v>-508997.86</v>
      </c>
      <c r="E94" s="610">
        <v>-53684.14</v>
      </c>
      <c r="F94" s="610">
        <v>-25853.97</v>
      </c>
      <c r="G94" s="612">
        <v>-10930.09</v>
      </c>
      <c r="H94" s="610">
        <v>-103686.96</v>
      </c>
      <c r="I94" s="610">
        <v>-3626.84</v>
      </c>
      <c r="J94" s="610">
        <v>-32144.78</v>
      </c>
      <c r="K94" s="610">
        <v>-39085.050000000003</v>
      </c>
      <c r="L94" s="610">
        <v>-127629.69</v>
      </c>
      <c r="M94" s="610">
        <v>-106438.52</v>
      </c>
      <c r="N94" s="610">
        <v>-5916.12</v>
      </c>
      <c r="O94" s="610">
        <v>-1.89</v>
      </c>
      <c r="P94" s="608">
        <v>0</v>
      </c>
      <c r="Q94" s="610">
        <v>0</v>
      </c>
      <c r="R94" s="608">
        <v>0.19</v>
      </c>
    </row>
    <row r="95" spans="1:18" s="613" customFormat="1" ht="12.75" customHeight="1" x14ac:dyDescent="0.25">
      <c r="B95" s="614" t="s">
        <v>78</v>
      </c>
      <c r="C95" s="614" t="s">
        <v>70</v>
      </c>
      <c r="D95" s="614">
        <v>-27397434.710000001</v>
      </c>
      <c r="E95" s="614">
        <v>-1714585.47</v>
      </c>
      <c r="F95" s="614">
        <v>-925822.44</v>
      </c>
      <c r="G95" s="614">
        <v>-471821.5</v>
      </c>
      <c r="H95" s="614">
        <v>-6592543.9800000004</v>
      </c>
      <c r="I95" s="614">
        <v>-233889.21</v>
      </c>
      <c r="J95" s="614">
        <v>-2061599.43</v>
      </c>
      <c r="K95" s="614">
        <v>-2091037.99</v>
      </c>
      <c r="L95" s="614">
        <v>-9310052.5800000001</v>
      </c>
      <c r="M95" s="614">
        <v>-3614411.37</v>
      </c>
      <c r="N95" s="614">
        <v>-381606.57</v>
      </c>
      <c r="O95" s="614">
        <v>-64.36</v>
      </c>
      <c r="P95" s="613">
        <v>0</v>
      </c>
      <c r="Q95" s="614">
        <v>0</v>
      </c>
      <c r="R95" s="614">
        <v>0.19</v>
      </c>
    </row>
    <row r="96" spans="1:18" ht="12.75" customHeight="1" x14ac:dyDescent="0.25">
      <c r="C96" s="608" t="s">
        <v>73</v>
      </c>
      <c r="D96" s="610">
        <v>6538849.2599999998</v>
      </c>
      <c r="E96" s="610">
        <v>226514.95</v>
      </c>
      <c r="F96" s="610">
        <v>99793.49</v>
      </c>
      <c r="G96" s="612">
        <v>42188.77</v>
      </c>
      <c r="H96" s="610">
        <v>1862301.49</v>
      </c>
      <c r="I96" s="610">
        <v>64413.78</v>
      </c>
      <c r="J96" s="610">
        <v>565028</v>
      </c>
      <c r="K96" s="610">
        <v>610776.82999999996</v>
      </c>
      <c r="L96" s="610">
        <v>2539725.0499999998</v>
      </c>
      <c r="M96" s="610">
        <v>423011.57</v>
      </c>
      <c r="N96" s="610">
        <v>105095.33</v>
      </c>
      <c r="O96" s="610">
        <v>0</v>
      </c>
      <c r="P96" s="608">
        <v>0</v>
      </c>
      <c r="Q96" s="610">
        <v>0</v>
      </c>
      <c r="R96" s="608">
        <v>0</v>
      </c>
    </row>
    <row r="97" spans="1:18" s="615" customFormat="1" ht="12.75" customHeight="1" x14ac:dyDescent="0.25">
      <c r="B97" s="615" t="s">
        <v>79</v>
      </c>
      <c r="C97" s="615" t="s">
        <v>70</v>
      </c>
      <c r="D97" s="628">
        <v>6538849.2599999998</v>
      </c>
      <c r="E97" s="616">
        <v>226514.95</v>
      </c>
      <c r="F97" s="616">
        <v>99793.49</v>
      </c>
      <c r="G97" s="628">
        <v>42188.77</v>
      </c>
      <c r="H97" s="616">
        <v>1862301.49</v>
      </c>
      <c r="I97" s="616">
        <v>64413.78</v>
      </c>
      <c r="J97" s="616">
        <v>565028</v>
      </c>
      <c r="K97" s="616">
        <v>610776.82999999996</v>
      </c>
      <c r="L97" s="616">
        <v>2539725.0499999998</v>
      </c>
      <c r="M97" s="616">
        <v>423011.57</v>
      </c>
      <c r="N97" s="616">
        <v>105095.33</v>
      </c>
      <c r="O97" s="616">
        <v>0</v>
      </c>
      <c r="P97" s="615">
        <v>0</v>
      </c>
      <c r="Q97" s="616">
        <v>0</v>
      </c>
      <c r="R97" s="615">
        <v>0</v>
      </c>
    </row>
    <row r="98" spans="1:18" s="617" customFormat="1" ht="12.75" customHeight="1" x14ac:dyDescent="0.25">
      <c r="A98" s="617" t="s">
        <v>155</v>
      </c>
      <c r="B98" s="617" t="s">
        <v>70</v>
      </c>
      <c r="D98" s="618">
        <v>-20858585.449999999</v>
      </c>
      <c r="E98" s="618">
        <v>-1488070.52</v>
      </c>
      <c r="F98" s="618">
        <v>-826028.95</v>
      </c>
      <c r="G98" s="619">
        <v>-429632.73</v>
      </c>
      <c r="H98" s="618">
        <v>-4730242.49</v>
      </c>
      <c r="I98" s="618">
        <v>-169475.43</v>
      </c>
      <c r="J98" s="618">
        <v>-1496571.43</v>
      </c>
      <c r="K98" s="618">
        <v>-1480261.16</v>
      </c>
      <c r="L98" s="618">
        <v>-6770327.5300000003</v>
      </c>
      <c r="M98" s="618">
        <v>-3191399.8</v>
      </c>
      <c r="N98" s="618">
        <v>-276511.24</v>
      </c>
      <c r="O98" s="618">
        <v>-64.36</v>
      </c>
      <c r="P98" s="617">
        <v>0</v>
      </c>
      <c r="Q98" s="618">
        <v>0</v>
      </c>
      <c r="R98" s="617">
        <v>0.19</v>
      </c>
    </row>
    <row r="99" spans="1:18" ht="12.75" customHeight="1" x14ac:dyDescent="0.25">
      <c r="C99" s="608" t="s">
        <v>72</v>
      </c>
      <c r="D99" s="612">
        <v>-3980237.57</v>
      </c>
      <c r="E99" s="610">
        <v>-286462.52</v>
      </c>
      <c r="F99" s="610">
        <v>-142022.56</v>
      </c>
      <c r="G99" s="612">
        <v>-63580.639999999999</v>
      </c>
      <c r="H99" s="610">
        <v>-969928.29</v>
      </c>
      <c r="I99" s="610">
        <v>-33251.019999999997</v>
      </c>
      <c r="J99" s="610">
        <v>-289558.90999999997</v>
      </c>
      <c r="K99" s="610">
        <v>-349827.6</v>
      </c>
      <c r="L99" s="610">
        <v>-1253345.6200000001</v>
      </c>
      <c r="M99" s="610">
        <v>-538054.56000000006</v>
      </c>
      <c r="N99" s="610">
        <v>-54251.66</v>
      </c>
      <c r="O99" s="610">
        <v>45.81</v>
      </c>
      <c r="P99" s="608">
        <v>0</v>
      </c>
      <c r="Q99" s="610">
        <v>0</v>
      </c>
      <c r="R99" s="608">
        <v>0</v>
      </c>
    </row>
    <row r="100" spans="1:18" ht="12.75" customHeight="1" x14ac:dyDescent="0.25">
      <c r="C100" s="608" t="s">
        <v>81</v>
      </c>
      <c r="D100" s="612">
        <v>-18211.28</v>
      </c>
      <c r="E100" s="610">
        <v>-1812.96</v>
      </c>
      <c r="F100" s="610">
        <v>-926.34</v>
      </c>
      <c r="G100" s="612">
        <v>-486.28</v>
      </c>
      <c r="H100" s="610">
        <v>-4026.88</v>
      </c>
      <c r="I100" s="610">
        <v>-107.04</v>
      </c>
      <c r="J100" s="610">
        <v>-911.93</v>
      </c>
      <c r="K100" s="610">
        <v>-1140.23</v>
      </c>
      <c r="L100" s="610">
        <v>-4993.66</v>
      </c>
      <c r="M100" s="610">
        <v>-3631.56</v>
      </c>
      <c r="N100" s="610">
        <v>-174.64</v>
      </c>
      <c r="O100" s="610">
        <v>0.08</v>
      </c>
      <c r="P100" s="608">
        <v>0</v>
      </c>
      <c r="Q100" s="610">
        <v>0.16</v>
      </c>
      <c r="R100" s="608">
        <v>0</v>
      </c>
    </row>
    <row r="101" spans="1:18" s="613" customFormat="1" ht="12.75" customHeight="1" x14ac:dyDescent="0.25">
      <c r="B101" s="614" t="s">
        <v>78</v>
      </c>
      <c r="C101" s="614" t="s">
        <v>70</v>
      </c>
      <c r="D101" s="614">
        <v>-3998448.85</v>
      </c>
      <c r="E101" s="614">
        <v>-288275.48</v>
      </c>
      <c r="F101" s="614">
        <v>-142948.9</v>
      </c>
      <c r="G101" s="614">
        <v>-64066.92</v>
      </c>
      <c r="H101" s="614">
        <v>-973955.17</v>
      </c>
      <c r="I101" s="614">
        <v>-33358.06</v>
      </c>
      <c r="J101" s="614">
        <v>-290470.84000000003</v>
      </c>
      <c r="K101" s="614">
        <v>-350967.83</v>
      </c>
      <c r="L101" s="614">
        <v>-1258339.28</v>
      </c>
      <c r="M101" s="614">
        <v>-541686.12</v>
      </c>
      <c r="N101" s="614">
        <v>-54426.3</v>
      </c>
      <c r="O101" s="614">
        <v>45.89</v>
      </c>
      <c r="P101" s="613">
        <v>0</v>
      </c>
      <c r="Q101" s="614">
        <v>0.16</v>
      </c>
      <c r="R101" s="614">
        <v>0</v>
      </c>
    </row>
    <row r="102" spans="1:18" ht="12.75" customHeight="1" x14ac:dyDescent="0.25">
      <c r="C102" s="608" t="s">
        <v>73</v>
      </c>
      <c r="D102" s="612">
        <v>3053385.85</v>
      </c>
      <c r="E102" s="610">
        <v>191175.93</v>
      </c>
      <c r="F102" s="610">
        <v>90448.03</v>
      </c>
      <c r="G102" s="612">
        <v>40403.449999999997</v>
      </c>
      <c r="H102" s="610">
        <v>788542.93</v>
      </c>
      <c r="I102" s="610">
        <v>25367.94</v>
      </c>
      <c r="J102" s="610">
        <v>222523.7</v>
      </c>
      <c r="K102" s="610">
        <v>271617.33</v>
      </c>
      <c r="L102" s="610">
        <v>1010650.44</v>
      </c>
      <c r="M102" s="610">
        <v>371266.58</v>
      </c>
      <c r="N102" s="610">
        <v>41389.519999999997</v>
      </c>
      <c r="O102" s="610">
        <v>0</v>
      </c>
      <c r="P102" s="608">
        <v>0</v>
      </c>
      <c r="Q102" s="610">
        <v>0</v>
      </c>
      <c r="R102" s="608">
        <v>0</v>
      </c>
    </row>
    <row r="103" spans="1:18" s="615" customFormat="1" ht="12.75" customHeight="1" x14ac:dyDescent="0.25">
      <c r="B103" s="615" t="s">
        <v>79</v>
      </c>
      <c r="C103" s="615" t="s">
        <v>70</v>
      </c>
      <c r="D103" s="628">
        <v>3053385.85</v>
      </c>
      <c r="E103" s="616">
        <v>191175.93</v>
      </c>
      <c r="F103" s="616">
        <v>90448.03</v>
      </c>
      <c r="G103" s="628">
        <v>40403.449999999997</v>
      </c>
      <c r="H103" s="616">
        <v>788542.93</v>
      </c>
      <c r="I103" s="616">
        <v>25367.94</v>
      </c>
      <c r="J103" s="616">
        <v>222523.7</v>
      </c>
      <c r="K103" s="616">
        <v>271617.33</v>
      </c>
      <c r="L103" s="616">
        <v>1010650.44</v>
      </c>
      <c r="M103" s="616">
        <v>371266.58</v>
      </c>
      <c r="N103" s="616">
        <v>41389.519999999997</v>
      </c>
      <c r="O103" s="616">
        <v>0</v>
      </c>
      <c r="P103" s="615">
        <v>0</v>
      </c>
      <c r="Q103" s="616">
        <v>0</v>
      </c>
      <c r="R103" s="615">
        <v>0</v>
      </c>
    </row>
    <row r="104" spans="1:18" s="745" customFormat="1" ht="12.75" customHeight="1" x14ac:dyDescent="0.25">
      <c r="A104" s="745" t="s">
        <v>119</v>
      </c>
      <c r="B104" s="745" t="s">
        <v>70</v>
      </c>
      <c r="D104" s="620">
        <v>-945063</v>
      </c>
      <c r="E104" s="620">
        <v>-97099.55</v>
      </c>
      <c r="F104" s="620">
        <v>-52500.87</v>
      </c>
      <c r="G104" s="621">
        <v>-23663.47</v>
      </c>
      <c r="H104" s="620">
        <v>-185412.24</v>
      </c>
      <c r="I104" s="620">
        <v>-7990.12</v>
      </c>
      <c r="J104" s="620">
        <v>-67947.14</v>
      </c>
      <c r="K104" s="620">
        <v>-79350.5</v>
      </c>
      <c r="L104" s="620">
        <v>-247688.84</v>
      </c>
      <c r="M104" s="620">
        <v>-170419.54</v>
      </c>
      <c r="N104" s="620">
        <v>-13036.78</v>
      </c>
      <c r="O104" s="620">
        <v>45.89</v>
      </c>
      <c r="P104" s="745">
        <v>0</v>
      </c>
      <c r="Q104" s="620">
        <v>0.16</v>
      </c>
      <c r="R104" s="745">
        <v>0</v>
      </c>
    </row>
    <row r="105" spans="1:18" s="623" customFormat="1" ht="12.75" customHeight="1" x14ac:dyDescent="0.25">
      <c r="A105" s="622" t="s">
        <v>70</v>
      </c>
      <c r="D105" s="622">
        <v>-21803648.449999999</v>
      </c>
      <c r="E105" s="622">
        <v>-1585170.07</v>
      </c>
      <c r="F105" s="622">
        <v>-878529.82</v>
      </c>
      <c r="G105" s="622">
        <v>-453296.2</v>
      </c>
      <c r="H105" s="622">
        <v>-4915654.7300000004</v>
      </c>
      <c r="I105" s="622">
        <v>-177465.55</v>
      </c>
      <c r="J105" s="622">
        <v>-1564518.57</v>
      </c>
      <c r="K105" s="622">
        <v>-1559611.66</v>
      </c>
      <c r="L105" s="622">
        <v>-7018016.3700000001</v>
      </c>
      <c r="M105" s="622">
        <v>-3361819.34</v>
      </c>
      <c r="N105" s="622">
        <v>-289548.02</v>
      </c>
      <c r="O105" s="622">
        <v>-18.47</v>
      </c>
      <c r="P105" s="623">
        <v>0</v>
      </c>
      <c r="Q105" s="622">
        <v>0.16</v>
      </c>
      <c r="R105" s="622">
        <v>0.19</v>
      </c>
    </row>
    <row r="106" spans="1:18" ht="12.75" customHeight="1" x14ac:dyDescent="0.25">
      <c r="A106" s="610"/>
      <c r="D106" s="610"/>
      <c r="E106" s="610"/>
      <c r="F106" s="610"/>
      <c r="G106" s="610"/>
      <c r="H106" s="610"/>
      <c r="I106" s="610"/>
      <c r="J106" s="610"/>
      <c r="K106" s="610"/>
      <c r="L106" s="610"/>
      <c r="M106" s="610"/>
      <c r="N106" s="610"/>
      <c r="O106" s="610"/>
      <c r="P106" s="610"/>
    </row>
    <row r="107" spans="1:18" ht="12.75" hidden="1" customHeight="1" x14ac:dyDescent="0.25">
      <c r="A107" s="610"/>
      <c r="D107" s="610"/>
      <c r="E107" s="610"/>
      <c r="F107" s="610"/>
      <c r="G107" s="610"/>
      <c r="H107" s="610"/>
      <c r="I107" s="610"/>
      <c r="J107" s="610"/>
      <c r="K107" s="610"/>
      <c r="L107" s="610"/>
      <c r="M107" s="610"/>
      <c r="N107" s="610"/>
      <c r="O107" s="610"/>
      <c r="P107" s="610"/>
    </row>
    <row r="108" spans="1:18" ht="12.75" hidden="1" customHeight="1" x14ac:dyDescent="0.25">
      <c r="A108" s="610"/>
      <c r="D108" s="610"/>
      <c r="E108" s="610"/>
      <c r="F108" s="610"/>
      <c r="G108" s="610"/>
      <c r="H108" s="610"/>
      <c r="I108" s="610"/>
      <c r="J108" s="610"/>
      <c r="K108" s="610"/>
      <c r="L108" s="610"/>
      <c r="M108" s="610"/>
      <c r="N108" s="610"/>
      <c r="O108" s="610"/>
      <c r="P108" s="610"/>
    </row>
    <row r="109" spans="1:18" ht="12.75" hidden="1" customHeight="1" x14ac:dyDescent="0.25">
      <c r="A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0"/>
      <c r="P109" s="610"/>
    </row>
    <row r="110" spans="1:18" ht="12.75" hidden="1" customHeight="1" x14ac:dyDescent="0.25">
      <c r="A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0"/>
      <c r="P110" s="610"/>
    </row>
    <row r="111" spans="1:18" ht="12.75" hidden="1" customHeight="1" x14ac:dyDescent="0.25">
      <c r="A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</row>
    <row r="112" spans="1:18" ht="12.75" hidden="1" customHeight="1" x14ac:dyDescent="0.25">
      <c r="A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</row>
    <row r="113" spans="1:16" ht="12.75" hidden="1" customHeight="1" x14ac:dyDescent="0.25">
      <c r="A113" s="610"/>
      <c r="D113" s="610"/>
      <c r="E113" s="610"/>
      <c r="F113" s="610"/>
      <c r="G113" s="610"/>
      <c r="H113" s="610"/>
      <c r="I113" s="610"/>
      <c r="J113" s="610"/>
      <c r="K113" s="610"/>
      <c r="L113" s="610"/>
      <c r="M113" s="610"/>
      <c r="N113" s="610"/>
      <c r="O113" s="610"/>
      <c r="P113" s="610"/>
    </row>
    <row r="114" spans="1:16" ht="12.75" hidden="1" customHeight="1" x14ac:dyDescent="0.25">
      <c r="A114" s="610"/>
      <c r="D114" s="610"/>
      <c r="E114" s="610"/>
      <c r="F114" s="610"/>
      <c r="G114" s="610"/>
      <c r="H114" s="610"/>
      <c r="I114" s="610"/>
      <c r="J114" s="610"/>
      <c r="K114" s="610"/>
      <c r="L114" s="610"/>
      <c r="M114" s="610"/>
      <c r="N114" s="610"/>
      <c r="O114" s="610"/>
      <c r="P114" s="610"/>
    </row>
    <row r="115" spans="1:16" ht="12.75" hidden="1" customHeight="1" x14ac:dyDescent="0.25">
      <c r="A115" s="610"/>
      <c r="D115" s="610"/>
      <c r="E115" s="610"/>
      <c r="F115" s="610"/>
      <c r="G115" s="610"/>
      <c r="H115" s="610"/>
      <c r="I115" s="610"/>
      <c r="J115" s="610"/>
      <c r="K115" s="610"/>
      <c r="L115" s="610"/>
      <c r="M115" s="610"/>
      <c r="N115" s="610"/>
      <c r="O115" s="610"/>
      <c r="P115" s="610"/>
    </row>
    <row r="116" spans="1:16" ht="12.75" hidden="1" customHeight="1" x14ac:dyDescent="0.25">
      <c r="A116" s="610"/>
      <c r="D116" s="610"/>
      <c r="E116" s="610"/>
      <c r="F116" s="610"/>
      <c r="G116" s="610"/>
      <c r="H116" s="610"/>
      <c r="I116" s="610"/>
      <c r="J116" s="610"/>
      <c r="K116" s="610"/>
      <c r="L116" s="610"/>
      <c r="M116" s="610"/>
      <c r="N116" s="610"/>
      <c r="O116" s="610"/>
      <c r="P116" s="610"/>
    </row>
    <row r="117" spans="1:16" ht="12.75" hidden="1" customHeight="1" x14ac:dyDescent="0.25">
      <c r="A117" s="610"/>
      <c r="D117" s="610"/>
      <c r="E117" s="610"/>
      <c r="F117" s="610"/>
      <c r="G117" s="610"/>
      <c r="H117" s="610"/>
      <c r="I117" s="610"/>
      <c r="J117" s="610"/>
      <c r="K117" s="610"/>
      <c r="L117" s="610"/>
      <c r="M117" s="610"/>
      <c r="N117" s="610"/>
      <c r="O117" s="610"/>
      <c r="P117" s="610"/>
    </row>
    <row r="118" spans="1:16" ht="12.75" hidden="1" customHeight="1" x14ac:dyDescent="0.25">
      <c r="A118" s="610"/>
      <c r="D118" s="610"/>
      <c r="E118" s="610"/>
      <c r="F118" s="610"/>
      <c r="G118" s="610"/>
      <c r="H118" s="610"/>
      <c r="I118" s="610"/>
      <c r="J118" s="610"/>
      <c r="K118" s="610"/>
      <c r="L118" s="610"/>
      <c r="M118" s="610"/>
      <c r="N118" s="610"/>
      <c r="O118" s="610"/>
      <c r="P118" s="610"/>
    </row>
    <row r="119" spans="1:16" ht="12.75" hidden="1" customHeight="1" x14ac:dyDescent="0.25">
      <c r="A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0"/>
      <c r="P119" s="610"/>
    </row>
    <row r="120" spans="1:16" ht="12.75" hidden="1" customHeight="1" x14ac:dyDescent="0.25">
      <c r="A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0"/>
      <c r="P120" s="610"/>
    </row>
    <row r="121" spans="1:16" ht="12.75" hidden="1" customHeight="1" x14ac:dyDescent="0.25">
      <c r="A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</row>
    <row r="122" spans="1:16" ht="12.75" hidden="1" customHeight="1" x14ac:dyDescent="0.25">
      <c r="A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</row>
    <row r="123" spans="1:16" ht="12.75" hidden="1" customHeight="1" x14ac:dyDescent="0.25">
      <c r="A123" s="610"/>
      <c r="D123" s="610"/>
      <c r="E123" s="610"/>
      <c r="F123" s="610"/>
      <c r="G123" s="610"/>
      <c r="H123" s="610"/>
      <c r="I123" s="610"/>
      <c r="J123" s="610"/>
      <c r="K123" s="610"/>
      <c r="L123" s="610"/>
      <c r="M123" s="610"/>
      <c r="N123" s="610"/>
      <c r="O123" s="610"/>
      <c r="P123" s="610"/>
    </row>
    <row r="124" spans="1:16" ht="12.75" hidden="1" customHeight="1" x14ac:dyDescent="0.25">
      <c r="A124" s="610"/>
      <c r="D124" s="610"/>
      <c r="E124" s="610"/>
      <c r="F124" s="610"/>
      <c r="G124" s="610"/>
      <c r="H124" s="610"/>
      <c r="I124" s="610"/>
      <c r="J124" s="610"/>
      <c r="K124" s="610"/>
      <c r="L124" s="610"/>
      <c r="M124" s="610"/>
      <c r="N124" s="610"/>
      <c r="O124" s="610"/>
      <c r="P124" s="610"/>
    </row>
    <row r="125" spans="1:16" ht="12.75" hidden="1" customHeight="1" x14ac:dyDescent="0.25">
      <c r="A125" s="610"/>
      <c r="D125" s="610"/>
      <c r="E125" s="610"/>
      <c r="F125" s="610"/>
      <c r="G125" s="610"/>
      <c r="H125" s="610"/>
      <c r="I125" s="610"/>
      <c r="J125" s="610"/>
      <c r="K125" s="610"/>
      <c r="L125" s="610"/>
      <c r="M125" s="610"/>
      <c r="N125" s="610"/>
      <c r="O125" s="610"/>
      <c r="P125" s="610"/>
    </row>
    <row r="126" spans="1:16" ht="12.75" hidden="1" customHeight="1" x14ac:dyDescent="0.25">
      <c r="A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0"/>
      <c r="P126" s="610"/>
    </row>
    <row r="127" spans="1:16" ht="12.75" hidden="1" customHeight="1" x14ac:dyDescent="0.25">
      <c r="A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0"/>
      <c r="P127" s="610"/>
    </row>
    <row r="128" spans="1:16" ht="12.75" hidden="1" customHeight="1" x14ac:dyDescent="0.25">
      <c r="A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</row>
    <row r="129" spans="1:16" ht="12.75" hidden="1" customHeight="1" x14ac:dyDescent="0.25">
      <c r="A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</row>
    <row r="130" spans="1:16" ht="12.75" hidden="1" customHeight="1" x14ac:dyDescent="0.25">
      <c r="A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0"/>
      <c r="P130" s="610"/>
    </row>
    <row r="131" spans="1:16" ht="12.75" hidden="1" customHeight="1" x14ac:dyDescent="0.25">
      <c r="A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0"/>
      <c r="P131" s="610"/>
    </row>
    <row r="132" spans="1:16" ht="12.75" hidden="1" customHeight="1" x14ac:dyDescent="0.25">
      <c r="A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</row>
    <row r="133" spans="1:16" ht="12.75" hidden="1" customHeight="1" x14ac:dyDescent="0.25">
      <c r="A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</row>
    <row r="134" spans="1:16" ht="12.75" hidden="1" customHeight="1" x14ac:dyDescent="0.25">
      <c r="A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</row>
    <row r="135" spans="1:16" ht="12.75" hidden="1" customHeight="1" x14ac:dyDescent="0.25">
      <c r="A135" s="610"/>
      <c r="D135" s="610"/>
      <c r="E135" s="610"/>
      <c r="F135" s="610"/>
      <c r="G135" s="610"/>
      <c r="H135" s="610"/>
      <c r="I135" s="610"/>
      <c r="J135" s="610"/>
      <c r="K135" s="610"/>
      <c r="L135" s="610"/>
      <c r="M135" s="610"/>
      <c r="N135" s="610"/>
      <c r="O135" s="610"/>
      <c r="P135" s="610"/>
    </row>
    <row r="136" spans="1:16" ht="12.75" hidden="1" customHeight="1" x14ac:dyDescent="0.25">
      <c r="A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0"/>
      <c r="P136" s="610"/>
    </row>
    <row r="137" spans="1:16" ht="12.75" hidden="1" customHeight="1" x14ac:dyDescent="0.25">
      <c r="A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0"/>
      <c r="P137" s="610"/>
    </row>
    <row r="138" spans="1:16" ht="12.75" hidden="1" customHeight="1" x14ac:dyDescent="0.25">
      <c r="A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</row>
    <row r="139" spans="1:16" ht="12.75" hidden="1" customHeight="1" x14ac:dyDescent="0.25">
      <c r="A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</row>
    <row r="140" spans="1:16" ht="12.75" hidden="1" customHeight="1" x14ac:dyDescent="0.25">
      <c r="A140" s="610"/>
      <c r="D140" s="610"/>
      <c r="E140" s="610"/>
      <c r="F140" s="610"/>
      <c r="G140" s="610"/>
      <c r="H140" s="610"/>
      <c r="I140" s="610"/>
      <c r="J140" s="610"/>
      <c r="K140" s="610"/>
      <c r="L140" s="610"/>
      <c r="M140" s="610"/>
      <c r="N140" s="610"/>
      <c r="O140" s="610"/>
      <c r="P140" s="610"/>
    </row>
    <row r="141" spans="1:16" ht="12.75" hidden="1" customHeight="1" x14ac:dyDescent="0.25">
      <c r="A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0"/>
      <c r="P141" s="610"/>
    </row>
    <row r="142" spans="1:16" ht="12.75" hidden="1" customHeight="1" x14ac:dyDescent="0.25">
      <c r="A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0"/>
      <c r="P142" s="610"/>
    </row>
    <row r="143" spans="1:16" ht="12.75" hidden="1" customHeight="1" x14ac:dyDescent="0.25">
      <c r="A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</row>
    <row r="144" spans="1:16" ht="12.75" hidden="1" customHeight="1" x14ac:dyDescent="0.25">
      <c r="A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</row>
    <row r="145" spans="1:16" ht="12.75" hidden="1" customHeight="1" x14ac:dyDescent="0.25">
      <c r="A145" s="610"/>
      <c r="D145" s="610"/>
      <c r="E145" s="610"/>
      <c r="F145" s="610"/>
      <c r="G145" s="610"/>
      <c r="H145" s="610"/>
      <c r="I145" s="610"/>
      <c r="J145" s="610"/>
      <c r="K145" s="610"/>
      <c r="L145" s="610"/>
      <c r="M145" s="610"/>
      <c r="N145" s="610"/>
      <c r="O145" s="610"/>
      <c r="P145" s="610"/>
    </row>
    <row r="146" spans="1:16" ht="12.75" hidden="1" customHeight="1" x14ac:dyDescent="0.25">
      <c r="A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0"/>
      <c r="P146" s="610"/>
    </row>
    <row r="147" spans="1:16" ht="12.75" hidden="1" customHeight="1" x14ac:dyDescent="0.25">
      <c r="A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0"/>
      <c r="P147" s="610"/>
    </row>
    <row r="148" spans="1:16" ht="12.75" hidden="1" customHeight="1" x14ac:dyDescent="0.25">
      <c r="A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</row>
    <row r="149" spans="1:16" ht="12.75" hidden="1" customHeight="1" x14ac:dyDescent="0.25">
      <c r="A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</row>
    <row r="150" spans="1:16" ht="12.75" hidden="1" customHeight="1" x14ac:dyDescent="0.25">
      <c r="A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</row>
    <row r="151" spans="1:16" ht="12.75" hidden="1" customHeight="1" x14ac:dyDescent="0.25">
      <c r="A151" s="610"/>
      <c r="D151" s="610"/>
      <c r="E151" s="610"/>
      <c r="F151" s="610"/>
      <c r="G151" s="610"/>
      <c r="H151" s="610"/>
      <c r="I151" s="610"/>
      <c r="J151" s="610"/>
      <c r="K151" s="610"/>
      <c r="L151" s="610"/>
      <c r="M151" s="610"/>
      <c r="N151" s="610"/>
      <c r="O151" s="610"/>
      <c r="P151" s="610"/>
    </row>
    <row r="152" spans="1:16" ht="12.75" hidden="1" customHeight="1" x14ac:dyDescent="0.25">
      <c r="A152" s="610"/>
      <c r="D152" s="610"/>
      <c r="E152" s="610"/>
      <c r="F152" s="610"/>
      <c r="G152" s="610"/>
      <c r="H152" s="610"/>
      <c r="I152" s="610"/>
      <c r="J152" s="610"/>
      <c r="K152" s="610"/>
      <c r="L152" s="610"/>
      <c r="M152" s="610"/>
      <c r="N152" s="610"/>
      <c r="O152" s="610"/>
      <c r="P152" s="610"/>
    </row>
    <row r="153" spans="1:16" ht="12.75" hidden="1" customHeight="1" x14ac:dyDescent="0.25">
      <c r="A153" s="610"/>
      <c r="D153" s="610"/>
      <c r="E153" s="610"/>
      <c r="F153" s="610"/>
      <c r="G153" s="610"/>
      <c r="H153" s="610"/>
      <c r="I153" s="610"/>
      <c r="J153" s="610"/>
      <c r="K153" s="610"/>
      <c r="L153" s="610"/>
      <c r="M153" s="610"/>
      <c r="N153" s="610"/>
      <c r="O153" s="610"/>
      <c r="P153" s="610"/>
    </row>
    <row r="154" spans="1:16" ht="12.75" hidden="1" customHeight="1" x14ac:dyDescent="0.25">
      <c r="A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0"/>
      <c r="P154" s="610"/>
    </row>
    <row r="155" spans="1:16" ht="12.75" hidden="1" customHeight="1" x14ac:dyDescent="0.25">
      <c r="A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0"/>
      <c r="P155" s="610"/>
    </row>
    <row r="156" spans="1:16" ht="12.75" hidden="1" customHeight="1" x14ac:dyDescent="0.25">
      <c r="A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</row>
    <row r="157" spans="1:16" ht="12.75" hidden="1" customHeight="1" x14ac:dyDescent="0.25">
      <c r="A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</row>
    <row r="158" spans="1:16" ht="12.75" hidden="1" customHeight="1" x14ac:dyDescent="0.25">
      <c r="A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</row>
    <row r="159" spans="1:16" ht="12.75" hidden="1" customHeight="1" x14ac:dyDescent="0.25">
      <c r="A159" s="610"/>
      <c r="D159" s="610"/>
      <c r="E159" s="610"/>
      <c r="F159" s="610"/>
      <c r="G159" s="610"/>
      <c r="H159" s="610"/>
      <c r="I159" s="610"/>
      <c r="J159" s="610"/>
      <c r="K159" s="610"/>
      <c r="L159" s="610"/>
      <c r="M159" s="610"/>
      <c r="N159" s="610"/>
      <c r="O159" s="610"/>
      <c r="P159" s="610"/>
    </row>
    <row r="160" spans="1:16" ht="12.75" hidden="1" customHeight="1" x14ac:dyDescent="0.25">
      <c r="A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</row>
    <row r="161" spans="1:18" ht="12.75" hidden="1" customHeight="1" x14ac:dyDescent="0.25">
      <c r="A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0"/>
      <c r="P161" s="610"/>
    </row>
    <row r="162" spans="1:18" ht="12.75" hidden="1" customHeight="1" x14ac:dyDescent="0.25">
      <c r="A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</row>
    <row r="163" spans="1:18" ht="12.75" hidden="1" customHeight="1" x14ac:dyDescent="0.25">
      <c r="A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</row>
    <row r="164" spans="1:18" ht="12.75" hidden="1" customHeight="1" x14ac:dyDescent="0.25">
      <c r="A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0"/>
      <c r="P164" s="610"/>
    </row>
    <row r="165" spans="1:18" ht="12.75" hidden="1" customHeight="1" x14ac:dyDescent="0.25">
      <c r="A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0"/>
      <c r="P165" s="610"/>
    </row>
    <row r="166" spans="1:18" ht="12.75" hidden="1" customHeight="1" x14ac:dyDescent="0.25">
      <c r="A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</row>
    <row r="167" spans="1:18" ht="12.75" customHeight="1" x14ac:dyDescent="0.25">
      <c r="A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</row>
    <row r="168" spans="1:18" ht="12.75" customHeight="1" x14ac:dyDescent="0.25">
      <c r="A168" s="775" t="s">
        <v>2</v>
      </c>
      <c r="B168" s="774" t="s">
        <v>132</v>
      </c>
      <c r="C168" s="622" t="s">
        <v>70</v>
      </c>
      <c r="D168" s="622">
        <f>D105-P105</f>
        <v>-21803648.449999999</v>
      </c>
      <c r="E168" s="622">
        <f>E95+E101</f>
        <v>-2002860.95</v>
      </c>
      <c r="F168" s="622">
        <f t="shared" ref="F168:R168" si="3">F95+F101</f>
        <v>-1068771.3399999999</v>
      </c>
      <c r="G168" s="622">
        <f t="shared" si="3"/>
        <v>-535888.42000000004</v>
      </c>
      <c r="H168" s="622">
        <f t="shared" si="3"/>
        <v>-7566499.1500000004</v>
      </c>
      <c r="I168" s="622">
        <f t="shared" si="3"/>
        <v>-267247.27</v>
      </c>
      <c r="J168" s="622">
        <f t="shared" si="3"/>
        <v>-2352070.27</v>
      </c>
      <c r="K168" s="622">
        <f t="shared" si="3"/>
        <v>-2442005.8199999998</v>
      </c>
      <c r="L168" s="622">
        <f t="shared" si="3"/>
        <v>-10568391.859999999</v>
      </c>
      <c r="M168" s="622">
        <f t="shared" si="3"/>
        <v>-4156097.49</v>
      </c>
      <c r="N168" s="622">
        <f t="shared" si="3"/>
        <v>-436032.87</v>
      </c>
      <c r="O168" s="622">
        <f t="shared" si="3"/>
        <v>-18.47</v>
      </c>
      <c r="P168" s="622">
        <f t="shared" si="3"/>
        <v>0</v>
      </c>
      <c r="Q168" s="622">
        <f t="shared" si="3"/>
        <v>0.16</v>
      </c>
      <c r="R168" s="622">
        <f t="shared" si="3"/>
        <v>0.19</v>
      </c>
    </row>
    <row r="169" spans="1:18" ht="12.75" customHeight="1" x14ac:dyDescent="0.25">
      <c r="A169" s="775"/>
      <c r="B169" s="774"/>
      <c r="C169" s="622" t="s">
        <v>73</v>
      </c>
      <c r="D169" s="622">
        <f>D97+D103</f>
        <v>9592235.1099999994</v>
      </c>
      <c r="E169" s="610"/>
      <c r="F169" s="610"/>
      <c r="G169" s="610"/>
      <c r="H169" s="610"/>
      <c r="I169" s="610"/>
      <c r="J169" s="610"/>
      <c r="K169" s="610"/>
      <c r="L169" s="610"/>
      <c r="M169" s="610"/>
      <c r="N169" s="610"/>
      <c r="O169" s="610"/>
      <c r="P169" s="610"/>
      <c r="Q169" s="610"/>
    </row>
    <row r="170" spans="1:18" ht="12.75" customHeight="1" x14ac:dyDescent="0.25">
      <c r="A170" s="609"/>
      <c r="D170" s="610"/>
      <c r="E170" s="610"/>
      <c r="F170" s="610"/>
      <c r="G170" s="610"/>
      <c r="H170" s="610"/>
      <c r="I170" s="610"/>
      <c r="J170" s="610"/>
      <c r="K170" s="610"/>
      <c r="L170" s="610"/>
      <c r="M170" s="610"/>
      <c r="N170" s="610"/>
      <c r="O170" s="610"/>
      <c r="P170" s="610"/>
      <c r="Q170" s="610"/>
    </row>
    <row r="171" spans="1:18" ht="12.75" customHeight="1" x14ac:dyDescent="0.25">
      <c r="A171" s="775" t="s">
        <v>160</v>
      </c>
      <c r="B171" s="774" t="s">
        <v>132</v>
      </c>
      <c r="C171" s="624" t="s">
        <v>70</v>
      </c>
      <c r="D171" s="624">
        <v>0</v>
      </c>
      <c r="E171" s="624">
        <v>0</v>
      </c>
      <c r="F171" s="624">
        <v>0</v>
      </c>
      <c r="G171" s="624">
        <v>0</v>
      </c>
      <c r="H171" s="624">
        <v>0</v>
      </c>
      <c r="I171" s="624">
        <v>0</v>
      </c>
      <c r="J171" s="624">
        <v>0</v>
      </c>
      <c r="K171" s="624">
        <v>0</v>
      </c>
      <c r="L171" s="624">
        <v>0</v>
      </c>
      <c r="M171" s="624">
        <v>0</v>
      </c>
      <c r="N171" s="624">
        <v>0</v>
      </c>
      <c r="O171" s="624">
        <v>0</v>
      </c>
      <c r="P171" s="624">
        <v>0</v>
      </c>
      <c r="Q171" s="624">
        <v>0</v>
      </c>
      <c r="R171" s="624">
        <v>0</v>
      </c>
    </row>
    <row r="172" spans="1:18" ht="12.75" customHeight="1" x14ac:dyDescent="0.25">
      <c r="A172" s="775"/>
      <c r="B172" s="774"/>
      <c r="C172" s="624" t="s">
        <v>73</v>
      </c>
      <c r="D172" s="624">
        <v>0</v>
      </c>
      <c r="E172" s="610"/>
      <c r="F172" s="610"/>
      <c r="G172" s="610"/>
      <c r="H172" s="610"/>
      <c r="I172" s="610"/>
      <c r="J172" s="610"/>
      <c r="K172" s="610"/>
      <c r="L172" s="610"/>
      <c r="M172" s="610"/>
      <c r="N172" s="610"/>
      <c r="O172" s="610"/>
      <c r="P172" s="610"/>
      <c r="Q172" s="610"/>
    </row>
    <row r="173" spans="1:18" ht="12.75" customHeight="1" x14ac:dyDescent="0.25">
      <c r="A173" s="609"/>
      <c r="D173" s="610"/>
      <c r="E173" s="610"/>
      <c r="F173" s="610"/>
      <c r="G173" s="610"/>
      <c r="H173" s="610"/>
      <c r="I173" s="610"/>
      <c r="J173" s="610"/>
      <c r="K173" s="610"/>
      <c r="L173" s="610"/>
      <c r="M173" s="610"/>
      <c r="N173" s="610"/>
      <c r="O173" s="610"/>
      <c r="P173" s="610"/>
      <c r="Q173" s="610"/>
    </row>
    <row r="174" spans="1:18" ht="12.75" customHeight="1" x14ac:dyDescent="0.25">
      <c r="A174" s="775" t="s">
        <v>155</v>
      </c>
      <c r="B174" s="774" t="s">
        <v>132</v>
      </c>
      <c r="C174" s="625" t="s">
        <v>70</v>
      </c>
      <c r="D174" s="625">
        <f>D98-P98</f>
        <v>-20858585.449999999</v>
      </c>
      <c r="E174" s="625">
        <f t="shared" ref="E174:R174" si="4">E95</f>
        <v>-1714585.47</v>
      </c>
      <c r="F174" s="625">
        <f t="shared" si="4"/>
        <v>-925822.44</v>
      </c>
      <c r="G174" s="625">
        <f t="shared" si="4"/>
        <v>-471821.5</v>
      </c>
      <c r="H174" s="625">
        <f t="shared" si="4"/>
        <v>-6592543.9800000004</v>
      </c>
      <c r="I174" s="625">
        <f t="shared" si="4"/>
        <v>-233889.21</v>
      </c>
      <c r="J174" s="625">
        <f t="shared" si="4"/>
        <v>-2061599.43</v>
      </c>
      <c r="K174" s="625">
        <f t="shared" si="4"/>
        <v>-2091037.99</v>
      </c>
      <c r="L174" s="625">
        <f t="shared" si="4"/>
        <v>-9310052.5800000001</v>
      </c>
      <c r="M174" s="625">
        <f t="shared" si="4"/>
        <v>-3614411.37</v>
      </c>
      <c r="N174" s="625">
        <f t="shared" si="4"/>
        <v>-381606.57</v>
      </c>
      <c r="O174" s="625">
        <f t="shared" si="4"/>
        <v>-64.36</v>
      </c>
      <c r="P174" s="625">
        <f t="shared" si="4"/>
        <v>0</v>
      </c>
      <c r="Q174" s="625">
        <f t="shared" si="4"/>
        <v>0</v>
      </c>
      <c r="R174" s="625">
        <f t="shared" si="4"/>
        <v>0.19</v>
      </c>
    </row>
    <row r="175" spans="1:18" ht="12.75" customHeight="1" x14ac:dyDescent="0.25">
      <c r="A175" s="775"/>
      <c r="B175" s="774"/>
      <c r="C175" s="625" t="s">
        <v>73</v>
      </c>
      <c r="D175" s="625">
        <f>D97</f>
        <v>6538849.2599999998</v>
      </c>
      <c r="E175" s="610"/>
      <c r="F175" s="610"/>
      <c r="G175" s="610"/>
      <c r="H175" s="610"/>
      <c r="I175" s="610"/>
      <c r="J175" s="610"/>
      <c r="K175" s="610"/>
      <c r="L175" s="610"/>
      <c r="M175" s="610"/>
      <c r="N175" s="610"/>
      <c r="O175" s="610"/>
      <c r="P175" s="610"/>
      <c r="Q175" s="610"/>
    </row>
    <row r="176" spans="1:18" ht="12.75" customHeight="1" x14ac:dyDescent="0.25">
      <c r="A176" s="720"/>
      <c r="B176" s="719"/>
      <c r="C176" s="610"/>
      <c r="D176" s="610"/>
      <c r="E176" s="610"/>
      <c r="F176" s="610"/>
      <c r="G176" s="610"/>
      <c r="H176" s="610"/>
      <c r="I176" s="610"/>
      <c r="J176" s="610"/>
      <c r="K176" s="610"/>
      <c r="L176" s="610"/>
      <c r="M176" s="610"/>
      <c r="N176" s="610"/>
      <c r="O176" s="610"/>
      <c r="P176" s="610"/>
      <c r="Q176" s="610"/>
    </row>
    <row r="177" spans="1:18" ht="12.75" customHeight="1" x14ac:dyDescent="0.25">
      <c r="A177" s="773" t="s">
        <v>324</v>
      </c>
      <c r="B177" s="774" t="s">
        <v>132</v>
      </c>
      <c r="C177" s="625" t="s">
        <v>70</v>
      </c>
      <c r="D177" s="718">
        <v>0</v>
      </c>
      <c r="E177" s="718">
        <v>0</v>
      </c>
      <c r="F177" s="718">
        <v>0</v>
      </c>
      <c r="G177" s="718">
        <v>0</v>
      </c>
      <c r="H177" s="718">
        <v>0</v>
      </c>
      <c r="I177" s="718">
        <v>0</v>
      </c>
      <c r="J177" s="718">
        <v>0</v>
      </c>
      <c r="K177" s="718">
        <v>0</v>
      </c>
      <c r="L177" s="718">
        <v>0</v>
      </c>
      <c r="M177" s="718">
        <v>0</v>
      </c>
      <c r="N177" s="718">
        <v>0</v>
      </c>
      <c r="O177" s="718">
        <v>0</v>
      </c>
      <c r="P177" s="718">
        <v>0</v>
      </c>
      <c r="Q177" s="718">
        <v>0</v>
      </c>
      <c r="R177" s="718">
        <v>0</v>
      </c>
    </row>
    <row r="178" spans="1:18" ht="12.75" customHeight="1" x14ac:dyDescent="0.25">
      <c r="A178" s="773"/>
      <c r="B178" s="774"/>
      <c r="C178" s="625" t="s">
        <v>73</v>
      </c>
      <c r="D178" s="718">
        <v>0</v>
      </c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0"/>
      <c r="P178" s="610"/>
      <c r="Q178" s="610"/>
    </row>
    <row r="179" spans="1:18" ht="12.75" customHeight="1" x14ac:dyDescent="0.25">
      <c r="A179" s="609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0"/>
      <c r="P179" s="610"/>
      <c r="Q179" s="610"/>
    </row>
    <row r="180" spans="1:18" ht="12.75" customHeight="1" x14ac:dyDescent="0.25">
      <c r="A180" s="775" t="s">
        <v>119</v>
      </c>
      <c r="B180" s="774" t="s">
        <v>132</v>
      </c>
      <c r="C180" s="620" t="s">
        <v>70</v>
      </c>
      <c r="D180" s="620">
        <f>D104-P104</f>
        <v>-945063</v>
      </c>
      <c r="E180" s="620">
        <f>E101</f>
        <v>-288275.48</v>
      </c>
      <c r="F180" s="620">
        <f t="shared" ref="F180:R180" si="5">F101</f>
        <v>-142948.9</v>
      </c>
      <c r="G180" s="620">
        <f t="shared" si="5"/>
        <v>-64066.92</v>
      </c>
      <c r="H180" s="620">
        <f t="shared" si="5"/>
        <v>-973955.17</v>
      </c>
      <c r="I180" s="620">
        <f t="shared" si="5"/>
        <v>-33358.06</v>
      </c>
      <c r="J180" s="620">
        <f t="shared" si="5"/>
        <v>-290470.84000000003</v>
      </c>
      <c r="K180" s="620">
        <f t="shared" si="5"/>
        <v>-350967.83</v>
      </c>
      <c r="L180" s="620">
        <f t="shared" si="5"/>
        <v>-1258339.28</v>
      </c>
      <c r="M180" s="620">
        <f t="shared" si="5"/>
        <v>-541686.12</v>
      </c>
      <c r="N180" s="620">
        <f t="shared" si="5"/>
        <v>-54426.3</v>
      </c>
      <c r="O180" s="620">
        <f t="shared" si="5"/>
        <v>45.89</v>
      </c>
      <c r="P180" s="620">
        <f t="shared" si="5"/>
        <v>0</v>
      </c>
      <c r="Q180" s="620">
        <f t="shared" si="5"/>
        <v>0.16</v>
      </c>
      <c r="R180" s="620">
        <f t="shared" si="5"/>
        <v>0</v>
      </c>
    </row>
    <row r="181" spans="1:18" ht="12.75" customHeight="1" x14ac:dyDescent="0.25">
      <c r="A181" s="775"/>
      <c r="B181" s="774"/>
      <c r="C181" s="620" t="s">
        <v>73</v>
      </c>
      <c r="D181" s="620">
        <f>D103</f>
        <v>3053385.85</v>
      </c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</row>
    <row r="182" spans="1:18" ht="12.75" customHeight="1" x14ac:dyDescent="0.25">
      <c r="A182" s="609"/>
      <c r="D182" s="610"/>
      <c r="E182" s="610"/>
      <c r="F182" s="610"/>
      <c r="G182" s="610"/>
      <c r="H182" s="610"/>
      <c r="I182" s="610"/>
      <c r="J182" s="610"/>
      <c r="K182" s="610"/>
      <c r="L182" s="610"/>
      <c r="M182" s="610"/>
      <c r="N182" s="610"/>
      <c r="O182" s="610"/>
      <c r="P182" s="610"/>
      <c r="Q182" s="610"/>
      <c r="R182" s="610"/>
    </row>
    <row r="183" spans="1:18" ht="12.75" customHeight="1" x14ac:dyDescent="0.25">
      <c r="A183" s="776" t="s">
        <v>161</v>
      </c>
      <c r="B183" s="774" t="s">
        <v>132</v>
      </c>
      <c r="C183" s="626" t="s">
        <v>70</v>
      </c>
      <c r="D183" s="626">
        <v>0</v>
      </c>
      <c r="E183" s="626">
        <v>0</v>
      </c>
      <c r="F183" s="626">
        <v>0</v>
      </c>
      <c r="G183" s="626">
        <v>0</v>
      </c>
      <c r="H183" s="626">
        <v>0</v>
      </c>
      <c r="I183" s="626">
        <v>0</v>
      </c>
      <c r="J183" s="626">
        <v>0</v>
      </c>
      <c r="K183" s="626">
        <v>0</v>
      </c>
      <c r="L183" s="626">
        <v>0</v>
      </c>
      <c r="M183" s="626">
        <v>0</v>
      </c>
      <c r="N183" s="626">
        <v>0</v>
      </c>
      <c r="O183" s="626">
        <v>0</v>
      </c>
      <c r="P183" s="626">
        <v>0</v>
      </c>
      <c r="Q183" s="626">
        <v>0</v>
      </c>
      <c r="R183" s="626">
        <v>0</v>
      </c>
    </row>
    <row r="184" spans="1:18" ht="12.75" customHeight="1" x14ac:dyDescent="0.25">
      <c r="A184" s="776"/>
      <c r="B184" s="774"/>
      <c r="C184" s="626" t="s">
        <v>73</v>
      </c>
      <c r="D184" s="626">
        <v>0</v>
      </c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0"/>
      <c r="P184" s="610"/>
      <c r="Q184" s="610"/>
    </row>
    <row r="185" spans="1:18" s="627" customFormat="1" x14ac:dyDescent="0.25"/>
    <row r="186" spans="1:18" x14ac:dyDescent="0.25">
      <c r="B186" s="609" t="s">
        <v>76</v>
      </c>
    </row>
    <row r="187" spans="1:18" x14ac:dyDescent="0.25">
      <c r="D187" s="610" t="s">
        <v>70</v>
      </c>
      <c r="E187" s="610" t="s">
        <v>64</v>
      </c>
      <c r="F187" s="610" t="s">
        <v>65</v>
      </c>
      <c r="G187" s="611" t="s">
        <v>164</v>
      </c>
      <c r="H187" s="610" t="s">
        <v>69</v>
      </c>
      <c r="I187" s="610" t="s">
        <v>68</v>
      </c>
      <c r="J187" s="610" t="s">
        <v>66</v>
      </c>
      <c r="K187" s="610" t="s">
        <v>63</v>
      </c>
      <c r="L187" s="610" t="s">
        <v>61</v>
      </c>
      <c r="M187" s="610" t="s">
        <v>62</v>
      </c>
      <c r="N187" s="610" t="s">
        <v>67</v>
      </c>
      <c r="O187" s="610" t="s">
        <v>77</v>
      </c>
      <c r="P187" s="608" t="s">
        <v>71</v>
      </c>
      <c r="Q187" s="610" t="s">
        <v>80</v>
      </c>
      <c r="R187" s="608" t="s">
        <v>167</v>
      </c>
    </row>
    <row r="188" spans="1:18" ht="12.75" customHeight="1" x14ac:dyDescent="0.25">
      <c r="B188" s="610"/>
      <c r="C188" s="610" t="s">
        <v>72</v>
      </c>
      <c r="D188" s="610">
        <v>-2333584.37</v>
      </c>
      <c r="E188" s="610">
        <v>-142234.04999999999</v>
      </c>
      <c r="F188" s="610">
        <v>-79508.240000000005</v>
      </c>
      <c r="G188" s="610">
        <v>-41622.06</v>
      </c>
      <c r="H188" s="610">
        <v>-589653.39</v>
      </c>
      <c r="I188" s="610">
        <v>-19071.97</v>
      </c>
      <c r="J188" s="610">
        <v>-167298.18</v>
      </c>
      <c r="K188" s="610">
        <v>-161825.48000000001</v>
      </c>
      <c r="L188" s="610">
        <v>-764442.41</v>
      </c>
      <c r="M188" s="610">
        <v>-336808.98</v>
      </c>
      <c r="N188" s="610">
        <v>-31117.46</v>
      </c>
      <c r="O188" s="610">
        <v>-2.15</v>
      </c>
      <c r="P188" s="608">
        <v>0</v>
      </c>
      <c r="Q188" s="610">
        <v>0</v>
      </c>
      <c r="R188" s="610">
        <v>0</v>
      </c>
    </row>
    <row r="189" spans="1:18" ht="12.75" customHeight="1" x14ac:dyDescent="0.25">
      <c r="B189" s="610"/>
      <c r="C189" s="610" t="s">
        <v>81</v>
      </c>
      <c r="D189" s="610">
        <v>-1304.6300000000001</v>
      </c>
      <c r="E189" s="610">
        <v>-63.58</v>
      </c>
      <c r="F189" s="610">
        <v>-35.71</v>
      </c>
      <c r="G189" s="610">
        <v>-16.170000000000002</v>
      </c>
      <c r="H189" s="610">
        <v>-347.09</v>
      </c>
      <c r="I189" s="610">
        <v>-11.46</v>
      </c>
      <c r="J189" s="610">
        <v>-100.53</v>
      </c>
      <c r="K189" s="610">
        <v>-98.14</v>
      </c>
      <c r="L189" s="610">
        <v>-463</v>
      </c>
      <c r="M189" s="610">
        <v>-150.24</v>
      </c>
      <c r="N189" s="610">
        <v>-18.7</v>
      </c>
      <c r="O189" s="610">
        <v>-0.01</v>
      </c>
      <c r="P189" s="608">
        <v>0</v>
      </c>
      <c r="Q189" s="610">
        <v>0</v>
      </c>
      <c r="R189" s="610">
        <v>0</v>
      </c>
    </row>
    <row r="190" spans="1:18" s="613" customFormat="1" ht="12.75" customHeight="1" x14ac:dyDescent="0.25">
      <c r="B190" s="614" t="s">
        <v>78</v>
      </c>
      <c r="C190" s="614" t="s">
        <v>70</v>
      </c>
      <c r="D190" s="614">
        <v>-2334889</v>
      </c>
      <c r="E190" s="614">
        <v>-142297.63</v>
      </c>
      <c r="F190" s="614">
        <v>-79543.95</v>
      </c>
      <c r="G190" s="614">
        <v>-41638.230000000003</v>
      </c>
      <c r="H190" s="614">
        <v>-590000.48</v>
      </c>
      <c r="I190" s="614">
        <v>-19083.43</v>
      </c>
      <c r="J190" s="614">
        <v>-167398.71</v>
      </c>
      <c r="K190" s="614">
        <v>-161923.62</v>
      </c>
      <c r="L190" s="614">
        <v>-764905.41</v>
      </c>
      <c r="M190" s="614">
        <v>-336959.22</v>
      </c>
      <c r="N190" s="614">
        <v>-31136.16</v>
      </c>
      <c r="O190" s="614">
        <v>-2.16</v>
      </c>
      <c r="P190" s="613">
        <v>0</v>
      </c>
      <c r="Q190" s="614">
        <v>0</v>
      </c>
      <c r="R190" s="614">
        <v>0</v>
      </c>
    </row>
    <row r="191" spans="1:18" ht="12.75" customHeight="1" x14ac:dyDescent="0.25">
      <c r="B191" s="610"/>
      <c r="C191" s="610" t="s">
        <v>73</v>
      </c>
      <c r="D191" s="610">
        <v>75617</v>
      </c>
      <c r="E191" s="610">
        <v>-25929.73</v>
      </c>
      <c r="F191" s="610">
        <v>-14396.34</v>
      </c>
      <c r="G191" s="610">
        <v>-7684.12</v>
      </c>
      <c r="H191" s="610">
        <v>63193.43</v>
      </c>
      <c r="I191" s="610">
        <v>2030.11</v>
      </c>
      <c r="J191" s="610">
        <v>17807.82</v>
      </c>
      <c r="K191" s="610">
        <v>17247.61</v>
      </c>
      <c r="L191" s="610">
        <v>81606.06</v>
      </c>
      <c r="M191" s="610">
        <v>-61570.07</v>
      </c>
      <c r="N191" s="610">
        <v>3312.23</v>
      </c>
      <c r="O191" s="610">
        <v>0</v>
      </c>
      <c r="P191" s="608">
        <v>0</v>
      </c>
      <c r="Q191" s="610">
        <v>0</v>
      </c>
      <c r="R191" s="610">
        <v>0</v>
      </c>
    </row>
    <row r="192" spans="1:18" s="615" customFormat="1" ht="12.75" customHeight="1" x14ac:dyDescent="0.25">
      <c r="B192" s="615" t="s">
        <v>79</v>
      </c>
      <c r="C192" s="615" t="s">
        <v>70</v>
      </c>
      <c r="D192" s="616">
        <v>75617</v>
      </c>
      <c r="E192" s="616">
        <v>-25929.73</v>
      </c>
      <c r="F192" s="616">
        <v>-14396.34</v>
      </c>
      <c r="G192" s="628">
        <v>-7684.12</v>
      </c>
      <c r="H192" s="616">
        <v>63193.43</v>
      </c>
      <c r="I192" s="616">
        <v>2030.11</v>
      </c>
      <c r="J192" s="616">
        <v>17807.82</v>
      </c>
      <c r="K192" s="616">
        <v>17247.61</v>
      </c>
      <c r="L192" s="616">
        <v>81606.06</v>
      </c>
      <c r="M192" s="616">
        <v>-61570.07</v>
      </c>
      <c r="N192" s="616">
        <v>3312.23</v>
      </c>
      <c r="O192" s="616">
        <v>0</v>
      </c>
      <c r="P192" s="616">
        <v>0</v>
      </c>
      <c r="Q192" s="616">
        <v>0</v>
      </c>
      <c r="R192" s="615">
        <v>0</v>
      </c>
    </row>
    <row r="193" spans="1:18" s="629" customFormat="1" ht="12.75" customHeight="1" x14ac:dyDescent="0.25">
      <c r="A193" s="629" t="s">
        <v>155</v>
      </c>
      <c r="B193" s="625" t="s">
        <v>70</v>
      </c>
      <c r="C193" s="625"/>
      <c r="D193" s="625">
        <v>-2259272</v>
      </c>
      <c r="E193" s="625">
        <v>-168227.36</v>
      </c>
      <c r="F193" s="625">
        <v>-93940.29</v>
      </c>
      <c r="G193" s="625">
        <v>-49322.35</v>
      </c>
      <c r="H193" s="625">
        <v>-526807.05000000005</v>
      </c>
      <c r="I193" s="625">
        <v>-17053.32</v>
      </c>
      <c r="J193" s="625">
        <v>-149590.89000000001</v>
      </c>
      <c r="K193" s="625">
        <v>-144676.01</v>
      </c>
      <c r="L193" s="625">
        <v>-683299.35</v>
      </c>
      <c r="M193" s="625">
        <v>-398529.29</v>
      </c>
      <c r="N193" s="625">
        <v>-27823.93</v>
      </c>
      <c r="O193" s="625">
        <v>-2.16</v>
      </c>
      <c r="P193" s="629">
        <v>0</v>
      </c>
      <c r="Q193" s="625">
        <v>0</v>
      </c>
      <c r="R193" s="625">
        <v>0</v>
      </c>
    </row>
    <row r="194" spans="1:18" s="623" customFormat="1" ht="12.75" customHeight="1" x14ac:dyDescent="0.25">
      <c r="A194" s="622" t="s">
        <v>70</v>
      </c>
      <c r="D194" s="622">
        <v>-2259272</v>
      </c>
      <c r="E194" s="622">
        <v>-168227.36</v>
      </c>
      <c r="F194" s="622">
        <v>-93940.29</v>
      </c>
      <c r="G194" s="622">
        <v>-49322.35</v>
      </c>
      <c r="H194" s="622">
        <v>-526807.05000000005</v>
      </c>
      <c r="I194" s="622">
        <v>-17053.32</v>
      </c>
      <c r="J194" s="622">
        <v>-149590.89000000001</v>
      </c>
      <c r="K194" s="622">
        <v>-144676.01</v>
      </c>
      <c r="L194" s="622">
        <v>-683299.35</v>
      </c>
      <c r="M194" s="622">
        <v>-398529.29</v>
      </c>
      <c r="N194" s="622">
        <v>-27823.93</v>
      </c>
      <c r="O194" s="622">
        <v>-2.16</v>
      </c>
      <c r="P194" s="623">
        <v>0</v>
      </c>
      <c r="Q194" s="623">
        <v>0</v>
      </c>
      <c r="R194" s="623">
        <v>0</v>
      </c>
    </row>
    <row r="195" spans="1:18" ht="12.75" customHeight="1" x14ac:dyDescent="0.25">
      <c r="A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</row>
    <row r="196" spans="1:18" ht="12.75" customHeight="1" x14ac:dyDescent="0.25">
      <c r="A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</row>
    <row r="197" spans="1:18" ht="12.75" customHeight="1" x14ac:dyDescent="0.25">
      <c r="A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</row>
    <row r="198" spans="1:18" ht="12.75" customHeight="1" x14ac:dyDescent="0.25">
      <c r="A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</row>
    <row r="199" spans="1:18" ht="12.75" customHeight="1" x14ac:dyDescent="0.25">
      <c r="A199" s="775" t="s">
        <v>2</v>
      </c>
      <c r="B199" s="774" t="s">
        <v>132</v>
      </c>
      <c r="C199" s="622" t="s">
        <v>70</v>
      </c>
      <c r="D199" s="622">
        <f>D194-P194</f>
        <v>-2259272</v>
      </c>
      <c r="E199" s="622">
        <f>E190</f>
        <v>-142297.63</v>
      </c>
      <c r="F199" s="622">
        <f t="shared" ref="F199:R199" si="6">F190</f>
        <v>-79543.95</v>
      </c>
      <c r="G199" s="622">
        <f t="shared" si="6"/>
        <v>-41638.230000000003</v>
      </c>
      <c r="H199" s="622">
        <f t="shared" si="6"/>
        <v>-590000.48</v>
      </c>
      <c r="I199" s="622">
        <f t="shared" si="6"/>
        <v>-19083.43</v>
      </c>
      <c r="J199" s="622">
        <f t="shared" si="6"/>
        <v>-167398.71</v>
      </c>
      <c r="K199" s="622">
        <f t="shared" si="6"/>
        <v>-161923.62</v>
      </c>
      <c r="L199" s="622">
        <f t="shared" si="6"/>
        <v>-764905.41</v>
      </c>
      <c r="M199" s="622">
        <f t="shared" si="6"/>
        <v>-336959.22</v>
      </c>
      <c r="N199" s="622">
        <f t="shared" si="6"/>
        <v>-31136.16</v>
      </c>
      <c r="O199" s="622">
        <f t="shared" si="6"/>
        <v>-2.16</v>
      </c>
      <c r="P199" s="622">
        <f t="shared" si="6"/>
        <v>0</v>
      </c>
      <c r="Q199" s="622">
        <f t="shared" si="6"/>
        <v>0</v>
      </c>
      <c r="R199" s="622">
        <f t="shared" si="6"/>
        <v>0</v>
      </c>
    </row>
    <row r="200" spans="1:18" ht="12.75" customHeight="1" x14ac:dyDescent="0.25">
      <c r="A200" s="775"/>
      <c r="B200" s="774"/>
      <c r="C200" s="622" t="s">
        <v>73</v>
      </c>
      <c r="D200" s="622">
        <f>D192</f>
        <v>75617</v>
      </c>
      <c r="E200" s="610"/>
      <c r="F200" s="610"/>
      <c r="G200" s="610"/>
      <c r="H200" s="610"/>
      <c r="I200" s="610"/>
      <c r="J200" s="610"/>
      <c r="K200" s="610"/>
      <c r="L200" s="610"/>
      <c r="M200" s="610"/>
      <c r="N200" s="610"/>
      <c r="O200" s="610"/>
      <c r="P200" s="610"/>
      <c r="Q200" s="610"/>
      <c r="R200" s="610"/>
    </row>
    <row r="201" spans="1:18" ht="12.75" customHeight="1" x14ac:dyDescent="0.25">
      <c r="A201" s="609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0"/>
      <c r="O201" s="610"/>
      <c r="P201" s="610"/>
      <c r="Q201" s="610"/>
      <c r="R201" s="610"/>
    </row>
    <row r="202" spans="1:18" ht="12.75" customHeight="1" x14ac:dyDescent="0.25">
      <c r="A202" s="775" t="s">
        <v>160</v>
      </c>
      <c r="B202" s="774" t="s">
        <v>132</v>
      </c>
      <c r="C202" s="624" t="s">
        <v>70</v>
      </c>
      <c r="D202" s="624">
        <v>0</v>
      </c>
      <c r="E202" s="624">
        <v>0</v>
      </c>
      <c r="F202" s="624">
        <v>0</v>
      </c>
      <c r="G202" s="624">
        <v>0</v>
      </c>
      <c r="H202" s="624">
        <v>0</v>
      </c>
      <c r="I202" s="624">
        <v>0</v>
      </c>
      <c r="J202" s="624">
        <v>0</v>
      </c>
      <c r="K202" s="624">
        <v>0</v>
      </c>
      <c r="L202" s="624">
        <v>0</v>
      </c>
      <c r="M202" s="624">
        <v>0</v>
      </c>
      <c r="N202" s="624">
        <v>0</v>
      </c>
      <c r="O202" s="624">
        <v>0</v>
      </c>
      <c r="P202" s="624">
        <v>0</v>
      </c>
      <c r="Q202" s="624">
        <v>0</v>
      </c>
      <c r="R202" s="624">
        <v>0</v>
      </c>
    </row>
    <row r="203" spans="1:18" ht="12.75" customHeight="1" x14ac:dyDescent="0.25">
      <c r="A203" s="775"/>
      <c r="B203" s="774"/>
      <c r="C203" s="624" t="s">
        <v>73</v>
      </c>
      <c r="D203" s="624">
        <v>0</v>
      </c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</row>
    <row r="204" spans="1:18" ht="12.75" customHeight="1" x14ac:dyDescent="0.25">
      <c r="A204" s="609"/>
      <c r="D204" s="610"/>
      <c r="E204" s="610"/>
      <c r="F204" s="610"/>
      <c r="G204" s="610"/>
      <c r="H204" s="610"/>
      <c r="I204" s="610"/>
      <c r="J204" s="610"/>
      <c r="K204" s="610"/>
      <c r="L204" s="610"/>
      <c r="M204" s="610"/>
      <c r="N204" s="610"/>
      <c r="O204" s="610"/>
      <c r="P204" s="610"/>
      <c r="Q204" s="610"/>
      <c r="R204" s="610"/>
    </row>
    <row r="205" spans="1:18" ht="12.75" customHeight="1" x14ac:dyDescent="0.25">
      <c r="A205" s="775" t="s">
        <v>155</v>
      </c>
      <c r="B205" s="774" t="s">
        <v>132</v>
      </c>
      <c r="C205" s="625" t="s">
        <v>70</v>
      </c>
      <c r="D205" s="625">
        <f>D193-P193</f>
        <v>-2259272</v>
      </c>
      <c r="E205" s="625">
        <f t="shared" ref="E205:R205" si="7">E190</f>
        <v>-142297.63</v>
      </c>
      <c r="F205" s="625">
        <f t="shared" si="7"/>
        <v>-79543.95</v>
      </c>
      <c r="G205" s="625">
        <f t="shared" si="7"/>
        <v>-41638.230000000003</v>
      </c>
      <c r="H205" s="625">
        <f t="shared" si="7"/>
        <v>-590000.48</v>
      </c>
      <c r="I205" s="625">
        <f t="shared" si="7"/>
        <v>-19083.43</v>
      </c>
      <c r="J205" s="625">
        <f t="shared" si="7"/>
        <v>-167398.71</v>
      </c>
      <c r="K205" s="625">
        <f t="shared" si="7"/>
        <v>-161923.62</v>
      </c>
      <c r="L205" s="625">
        <f t="shared" si="7"/>
        <v>-764905.41</v>
      </c>
      <c r="M205" s="625">
        <f t="shared" si="7"/>
        <v>-336959.22</v>
      </c>
      <c r="N205" s="625">
        <f t="shared" si="7"/>
        <v>-31136.16</v>
      </c>
      <c r="O205" s="625">
        <f t="shared" si="7"/>
        <v>-2.16</v>
      </c>
      <c r="P205" s="625">
        <f t="shared" si="7"/>
        <v>0</v>
      </c>
      <c r="Q205" s="625">
        <f t="shared" si="7"/>
        <v>0</v>
      </c>
      <c r="R205" s="625">
        <f t="shared" si="7"/>
        <v>0</v>
      </c>
    </row>
    <row r="206" spans="1:18" ht="12.75" customHeight="1" x14ac:dyDescent="0.25">
      <c r="A206" s="775"/>
      <c r="B206" s="774"/>
      <c r="C206" s="625" t="s">
        <v>73</v>
      </c>
      <c r="D206" s="625">
        <f>D192</f>
        <v>75617</v>
      </c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0"/>
      <c r="P206" s="610"/>
      <c r="Q206" s="610"/>
      <c r="R206" s="610"/>
    </row>
    <row r="207" spans="1:18" ht="12.75" customHeight="1" x14ac:dyDescent="0.25">
      <c r="A207" s="720"/>
      <c r="B207" s="719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</row>
    <row r="208" spans="1:18" ht="12.75" customHeight="1" x14ac:dyDescent="0.25">
      <c r="A208" s="773" t="s">
        <v>324</v>
      </c>
      <c r="B208" s="774" t="s">
        <v>132</v>
      </c>
      <c r="C208" s="625" t="s">
        <v>70</v>
      </c>
      <c r="D208" s="718">
        <v>0</v>
      </c>
      <c r="E208" s="718">
        <v>0</v>
      </c>
      <c r="F208" s="718">
        <v>0</v>
      </c>
      <c r="G208" s="718">
        <v>0</v>
      </c>
      <c r="H208" s="718">
        <v>0</v>
      </c>
      <c r="I208" s="718">
        <v>0</v>
      </c>
      <c r="J208" s="718">
        <v>0</v>
      </c>
      <c r="K208" s="718">
        <v>0</v>
      </c>
      <c r="L208" s="718">
        <v>0</v>
      </c>
      <c r="M208" s="718">
        <v>0</v>
      </c>
      <c r="N208" s="718">
        <v>0</v>
      </c>
      <c r="O208" s="718">
        <v>0</v>
      </c>
      <c r="P208" s="718">
        <v>0</v>
      </c>
      <c r="Q208" s="718">
        <v>0</v>
      </c>
      <c r="R208" s="718">
        <v>0</v>
      </c>
    </row>
    <row r="209" spans="1:18" ht="12.75" customHeight="1" x14ac:dyDescent="0.25">
      <c r="A209" s="773"/>
      <c r="B209" s="774"/>
      <c r="C209" s="625" t="s">
        <v>73</v>
      </c>
      <c r="D209" s="718">
        <v>0</v>
      </c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</row>
    <row r="210" spans="1:18" ht="12.75" customHeight="1" x14ac:dyDescent="0.25">
      <c r="A210" s="609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0"/>
      <c r="P210" s="610"/>
      <c r="Q210" s="610"/>
      <c r="R210" s="610"/>
    </row>
    <row r="211" spans="1:18" ht="12.75" customHeight="1" x14ac:dyDescent="0.25">
      <c r="A211" s="775" t="s">
        <v>119</v>
      </c>
      <c r="B211" s="774" t="s">
        <v>132</v>
      </c>
      <c r="C211" s="620" t="s">
        <v>70</v>
      </c>
      <c r="D211" s="620">
        <v>0</v>
      </c>
      <c r="E211" s="620">
        <v>0</v>
      </c>
      <c r="F211" s="620">
        <v>0</v>
      </c>
      <c r="G211" s="620">
        <v>0</v>
      </c>
      <c r="H211" s="620">
        <v>0</v>
      </c>
      <c r="I211" s="620">
        <v>0</v>
      </c>
      <c r="J211" s="620">
        <v>0</v>
      </c>
      <c r="K211" s="620">
        <v>0</v>
      </c>
      <c r="L211" s="620">
        <v>0</v>
      </c>
      <c r="M211" s="620">
        <v>0</v>
      </c>
      <c r="N211" s="620">
        <v>0</v>
      </c>
      <c r="O211" s="620">
        <v>0</v>
      </c>
      <c r="P211" s="620">
        <v>0</v>
      </c>
      <c r="Q211" s="620">
        <v>0</v>
      </c>
      <c r="R211" s="620">
        <v>0</v>
      </c>
    </row>
    <row r="212" spans="1:18" ht="12.75" customHeight="1" x14ac:dyDescent="0.25">
      <c r="A212" s="775"/>
      <c r="B212" s="774"/>
      <c r="C212" s="620" t="s">
        <v>73</v>
      </c>
      <c r="D212" s="620">
        <v>0</v>
      </c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</row>
    <row r="213" spans="1:18" ht="12.75" customHeight="1" x14ac:dyDescent="0.25">
      <c r="A213" s="609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</row>
    <row r="214" spans="1:18" ht="12.75" customHeight="1" x14ac:dyDescent="0.25">
      <c r="A214" s="776" t="s">
        <v>161</v>
      </c>
      <c r="B214" s="774" t="s">
        <v>132</v>
      </c>
      <c r="C214" s="626" t="s">
        <v>70</v>
      </c>
      <c r="D214" s="626">
        <v>0</v>
      </c>
      <c r="E214" s="626">
        <v>0</v>
      </c>
      <c r="F214" s="626">
        <v>0</v>
      </c>
      <c r="G214" s="626">
        <v>0</v>
      </c>
      <c r="H214" s="626">
        <v>0</v>
      </c>
      <c r="I214" s="626">
        <v>0</v>
      </c>
      <c r="J214" s="626">
        <v>0</v>
      </c>
      <c r="K214" s="626">
        <v>0</v>
      </c>
      <c r="L214" s="626">
        <v>0</v>
      </c>
      <c r="M214" s="626">
        <v>0</v>
      </c>
      <c r="N214" s="626">
        <v>0</v>
      </c>
      <c r="O214" s="626">
        <v>0</v>
      </c>
      <c r="P214" s="626">
        <v>0</v>
      </c>
      <c r="Q214" s="626">
        <v>0</v>
      </c>
      <c r="R214" s="626">
        <v>0</v>
      </c>
    </row>
    <row r="215" spans="1:18" ht="12.75" customHeight="1" x14ac:dyDescent="0.25">
      <c r="A215" s="776"/>
      <c r="B215" s="774"/>
      <c r="C215" s="626" t="s">
        <v>73</v>
      </c>
      <c r="D215" s="626">
        <v>0</v>
      </c>
      <c r="E215" s="610"/>
      <c r="F215" s="610"/>
      <c r="G215" s="610"/>
      <c r="H215" s="610"/>
      <c r="I215" s="610"/>
      <c r="J215" s="610"/>
      <c r="K215" s="610"/>
      <c r="L215" s="610"/>
      <c r="M215" s="610"/>
      <c r="N215" s="610"/>
      <c r="O215" s="610"/>
      <c r="P215" s="610"/>
      <c r="Q215" s="610"/>
    </row>
    <row r="216" spans="1:18" s="627" customFormat="1" x14ac:dyDescent="0.25"/>
    <row r="217" spans="1:18" x14ac:dyDescent="0.25">
      <c r="B217" s="609" t="s">
        <v>88</v>
      </c>
    </row>
    <row r="218" spans="1:18" ht="12.75" customHeight="1" x14ac:dyDescent="0.25">
      <c r="D218" s="610" t="s">
        <v>70</v>
      </c>
      <c r="E218" s="610" t="s">
        <v>64</v>
      </c>
      <c r="F218" s="610" t="s">
        <v>65</v>
      </c>
      <c r="G218" s="611" t="s">
        <v>164</v>
      </c>
      <c r="H218" s="610" t="s">
        <v>69</v>
      </c>
      <c r="I218" s="610" t="s">
        <v>68</v>
      </c>
      <c r="J218" s="610" t="s">
        <v>66</v>
      </c>
      <c r="K218" s="610" t="s">
        <v>63</v>
      </c>
      <c r="L218" s="610" t="s">
        <v>61</v>
      </c>
      <c r="M218" s="610" t="s">
        <v>62</v>
      </c>
      <c r="N218" s="610" t="s">
        <v>67</v>
      </c>
      <c r="O218" s="610" t="s">
        <v>77</v>
      </c>
      <c r="P218" s="610" t="s">
        <v>71</v>
      </c>
      <c r="Q218" s="610" t="s">
        <v>80</v>
      </c>
      <c r="R218" s="608" t="s">
        <v>167</v>
      </c>
    </row>
    <row r="219" spans="1:18" ht="12.6" customHeight="1" x14ac:dyDescent="0.25">
      <c r="C219" s="608" t="s">
        <v>72</v>
      </c>
      <c r="D219" s="610">
        <v>-43408441.549999997</v>
      </c>
      <c r="E219" s="610">
        <v>-2282274.7599999998</v>
      </c>
      <c r="F219" s="610">
        <v>-1272856.33</v>
      </c>
      <c r="G219" s="612">
        <v>-670044.94999999995</v>
      </c>
      <c r="H219" s="610">
        <v>-10021476.75</v>
      </c>
      <c r="I219" s="610">
        <v>-361301.3</v>
      </c>
      <c r="J219" s="610">
        <v>-3166106.75</v>
      </c>
      <c r="K219" s="610">
        <v>-3122693.46</v>
      </c>
      <c r="L219" s="610">
        <v>-15845090.529999999</v>
      </c>
      <c r="M219" s="610">
        <v>-6075216.6600000001</v>
      </c>
      <c r="N219" s="610">
        <v>-591304.80000000005</v>
      </c>
      <c r="O219" s="610">
        <v>-75.260000000000005</v>
      </c>
      <c r="P219" s="610">
        <v>0</v>
      </c>
      <c r="Q219" s="610">
        <v>0</v>
      </c>
      <c r="R219" s="608">
        <v>0</v>
      </c>
    </row>
    <row r="220" spans="1:18" ht="12.6" customHeight="1" x14ac:dyDescent="0.25">
      <c r="C220" s="608" t="s">
        <v>81</v>
      </c>
      <c r="D220" s="610">
        <v>-797951.11</v>
      </c>
      <c r="E220" s="610">
        <v>-97853.35</v>
      </c>
      <c r="F220" s="610">
        <v>-29290.31</v>
      </c>
      <c r="G220" s="612">
        <v>-5127.29</v>
      </c>
      <c r="H220" s="610">
        <v>-108866.47</v>
      </c>
      <c r="I220" s="610">
        <v>-6170.66</v>
      </c>
      <c r="J220" s="610">
        <v>-54138.52</v>
      </c>
      <c r="K220" s="610">
        <v>-51509.34</v>
      </c>
      <c r="L220" s="610">
        <v>-145509.41</v>
      </c>
      <c r="M220" s="610">
        <v>-289414.71999999997</v>
      </c>
      <c r="N220" s="610">
        <v>-10070.84</v>
      </c>
      <c r="O220" s="610">
        <v>-0.2</v>
      </c>
      <c r="P220" s="610">
        <v>0</v>
      </c>
      <c r="Q220" s="610">
        <v>0</v>
      </c>
      <c r="R220" s="608">
        <v>0</v>
      </c>
    </row>
    <row r="221" spans="1:18" s="613" customFormat="1" ht="12.75" customHeight="1" x14ac:dyDescent="0.25">
      <c r="B221" s="614" t="s">
        <v>78</v>
      </c>
      <c r="C221" s="614" t="s">
        <v>70</v>
      </c>
      <c r="D221" s="614">
        <v>-44206392.659999996</v>
      </c>
      <c r="E221" s="614">
        <v>-2380128.11</v>
      </c>
      <c r="F221" s="614">
        <v>-1302146.6399999999</v>
      </c>
      <c r="G221" s="614">
        <v>-675172.24</v>
      </c>
      <c r="H221" s="614">
        <v>-10130343.220000001</v>
      </c>
      <c r="I221" s="614">
        <v>-367471.96</v>
      </c>
      <c r="J221" s="614">
        <v>-3220245.27</v>
      </c>
      <c r="K221" s="614">
        <v>-3174202.8</v>
      </c>
      <c r="L221" s="614">
        <v>-15990599.939999999</v>
      </c>
      <c r="M221" s="614">
        <v>-6364631.3799999999</v>
      </c>
      <c r="N221" s="614">
        <v>-601375.64</v>
      </c>
      <c r="O221" s="614">
        <v>-75.459999999999994</v>
      </c>
      <c r="P221" s="613">
        <v>0</v>
      </c>
      <c r="Q221" s="614">
        <v>0</v>
      </c>
      <c r="R221" s="614">
        <v>0</v>
      </c>
    </row>
    <row r="222" spans="1:18" ht="12.6" customHeight="1" x14ac:dyDescent="0.25">
      <c r="C222" s="608" t="s">
        <v>73</v>
      </c>
      <c r="D222" s="610">
        <v>4573139.26</v>
      </c>
      <c r="E222" s="610">
        <v>87413.39</v>
      </c>
      <c r="F222" s="610">
        <v>51896.33</v>
      </c>
      <c r="G222" s="612">
        <v>29363.21</v>
      </c>
      <c r="H222" s="610">
        <v>1298833.1000000001</v>
      </c>
      <c r="I222" s="610">
        <v>45156.38</v>
      </c>
      <c r="J222" s="610">
        <v>396094.23</v>
      </c>
      <c r="K222" s="610">
        <v>393885.09</v>
      </c>
      <c r="L222" s="610">
        <v>1961083.11</v>
      </c>
      <c r="M222" s="610">
        <v>235440.02</v>
      </c>
      <c r="N222" s="610">
        <v>73974.399999999994</v>
      </c>
      <c r="O222" s="610">
        <v>0</v>
      </c>
      <c r="P222" s="610">
        <v>0</v>
      </c>
      <c r="Q222" s="610">
        <v>0</v>
      </c>
      <c r="R222" s="608">
        <v>0</v>
      </c>
    </row>
    <row r="223" spans="1:18" s="615" customFormat="1" ht="12.75" customHeight="1" x14ac:dyDescent="0.25">
      <c r="B223" s="616" t="s">
        <v>79</v>
      </c>
      <c r="C223" s="616" t="s">
        <v>70</v>
      </c>
      <c r="D223" s="616">
        <v>4573139.26</v>
      </c>
      <c r="E223" s="616">
        <v>87413.39</v>
      </c>
      <c r="F223" s="616">
        <v>51896.33</v>
      </c>
      <c r="G223" s="616">
        <v>29363.21</v>
      </c>
      <c r="H223" s="616">
        <v>1298833.1000000001</v>
      </c>
      <c r="I223" s="616">
        <v>45156.38</v>
      </c>
      <c r="J223" s="616">
        <v>396094.23</v>
      </c>
      <c r="K223" s="616">
        <v>393885.09</v>
      </c>
      <c r="L223" s="616">
        <v>1961083.11</v>
      </c>
      <c r="M223" s="616">
        <v>235440.02</v>
      </c>
      <c r="N223" s="616">
        <v>73974.399999999994</v>
      </c>
      <c r="O223" s="616">
        <v>0</v>
      </c>
      <c r="P223" s="615">
        <v>0</v>
      </c>
      <c r="Q223" s="616">
        <v>0</v>
      </c>
      <c r="R223" s="616">
        <v>0</v>
      </c>
    </row>
    <row r="224" spans="1:18" s="617" customFormat="1" ht="12.6" customHeight="1" x14ac:dyDescent="0.25">
      <c r="A224" s="617" t="s">
        <v>155</v>
      </c>
      <c r="B224" s="617" t="s">
        <v>70</v>
      </c>
      <c r="D224" s="618">
        <v>-39633253.399999999</v>
      </c>
      <c r="E224" s="618">
        <v>-2292714.7200000002</v>
      </c>
      <c r="F224" s="618">
        <v>-1250250.31</v>
      </c>
      <c r="G224" s="619">
        <v>-645809.03</v>
      </c>
      <c r="H224" s="618">
        <v>-8831510.1199999992</v>
      </c>
      <c r="I224" s="618">
        <v>-322315.58</v>
      </c>
      <c r="J224" s="618">
        <v>-2824151.04</v>
      </c>
      <c r="K224" s="618">
        <v>-2780317.71</v>
      </c>
      <c r="L224" s="618">
        <v>-14029516.83</v>
      </c>
      <c r="M224" s="618">
        <v>-6129191.3600000003</v>
      </c>
      <c r="N224" s="618">
        <v>-527401.24</v>
      </c>
      <c r="O224" s="618">
        <v>-75.459999999999994</v>
      </c>
      <c r="P224" s="618">
        <v>0</v>
      </c>
      <c r="Q224" s="618">
        <v>0</v>
      </c>
      <c r="R224" s="617">
        <v>0</v>
      </c>
    </row>
    <row r="225" spans="1:18" ht="12.6" customHeight="1" x14ac:dyDescent="0.25">
      <c r="C225" s="608" t="s">
        <v>72</v>
      </c>
      <c r="D225" s="610">
        <v>-565271.19999999995</v>
      </c>
      <c r="E225" s="610">
        <v>-34473.06</v>
      </c>
      <c r="F225" s="610">
        <v>-18653.84</v>
      </c>
      <c r="G225" s="612">
        <v>-10167.59</v>
      </c>
      <c r="H225" s="610">
        <v>-130203.13</v>
      </c>
      <c r="I225" s="610">
        <v>-3588.89</v>
      </c>
      <c r="J225" s="610">
        <v>-31481.84</v>
      </c>
      <c r="K225" s="610">
        <v>-41310.69</v>
      </c>
      <c r="L225" s="610">
        <v>-197869.25</v>
      </c>
      <c r="M225" s="610">
        <v>-91658.33</v>
      </c>
      <c r="N225" s="610">
        <v>-5855.59</v>
      </c>
      <c r="O225" s="610">
        <v>-8.99</v>
      </c>
      <c r="P225" s="610">
        <v>0</v>
      </c>
      <c r="Q225" s="610">
        <v>0</v>
      </c>
      <c r="R225" s="608">
        <v>0</v>
      </c>
    </row>
    <row r="226" spans="1:18" ht="12.75" customHeight="1" x14ac:dyDescent="0.25">
      <c r="B226" s="610"/>
      <c r="C226" s="610" t="s">
        <v>81</v>
      </c>
      <c r="D226" s="610">
        <v>-67.28</v>
      </c>
      <c r="E226" s="610">
        <v>-4.33</v>
      </c>
      <c r="F226" s="610">
        <v>-2</v>
      </c>
      <c r="G226" s="610">
        <v>-1.1299999999999999</v>
      </c>
      <c r="H226" s="610">
        <v>-16.440000000000001</v>
      </c>
      <c r="I226" s="610">
        <v>-0.4</v>
      </c>
      <c r="J226" s="610">
        <v>-3.58</v>
      </c>
      <c r="K226" s="610">
        <v>-4.5199999999999996</v>
      </c>
      <c r="L226" s="610">
        <v>-22.51</v>
      </c>
      <c r="M226" s="610">
        <v>-11.71</v>
      </c>
      <c r="N226" s="610">
        <v>-0.66</v>
      </c>
      <c r="O226" s="610">
        <v>0</v>
      </c>
      <c r="P226" s="608">
        <v>0</v>
      </c>
      <c r="Q226" s="610">
        <v>0</v>
      </c>
      <c r="R226" s="610">
        <v>0</v>
      </c>
    </row>
    <row r="227" spans="1:18" s="613" customFormat="1" ht="12.75" customHeight="1" x14ac:dyDescent="0.25">
      <c r="B227" s="614" t="s">
        <v>78</v>
      </c>
      <c r="C227" s="614" t="s">
        <v>70</v>
      </c>
      <c r="D227" s="614">
        <v>-565338.48</v>
      </c>
      <c r="E227" s="614">
        <v>-34477.39</v>
      </c>
      <c r="F227" s="614">
        <v>-18655.84</v>
      </c>
      <c r="G227" s="614">
        <v>-10168.719999999999</v>
      </c>
      <c r="H227" s="614">
        <v>-130219.57</v>
      </c>
      <c r="I227" s="614">
        <v>-3589.29</v>
      </c>
      <c r="J227" s="614">
        <v>-31485.42</v>
      </c>
      <c r="K227" s="614">
        <v>-41315.21</v>
      </c>
      <c r="L227" s="614">
        <v>-197891.76</v>
      </c>
      <c r="M227" s="614">
        <v>-91670.04</v>
      </c>
      <c r="N227" s="614">
        <v>-5856.25</v>
      </c>
      <c r="O227" s="614">
        <v>-8.99</v>
      </c>
      <c r="P227" s="613">
        <v>0</v>
      </c>
      <c r="Q227" s="614">
        <v>0</v>
      </c>
      <c r="R227" s="614">
        <v>0</v>
      </c>
    </row>
    <row r="228" spans="1:18" ht="12.75" customHeight="1" x14ac:dyDescent="0.25">
      <c r="B228" s="610"/>
      <c r="C228" s="610" t="s">
        <v>73</v>
      </c>
      <c r="D228" s="610">
        <v>11258.48</v>
      </c>
      <c r="E228" s="610">
        <v>-3470.2</v>
      </c>
      <c r="F228" s="610">
        <v>-1973.63</v>
      </c>
      <c r="G228" s="610">
        <v>-1059.4000000000001</v>
      </c>
      <c r="H228" s="610">
        <v>8396.94</v>
      </c>
      <c r="I228" s="610">
        <v>151.47999999999999</v>
      </c>
      <c r="J228" s="610">
        <v>1328.97</v>
      </c>
      <c r="K228" s="610">
        <v>2767.74</v>
      </c>
      <c r="L228" s="610">
        <v>14072.68</v>
      </c>
      <c r="M228" s="610">
        <v>-9203.25</v>
      </c>
      <c r="N228" s="610">
        <v>247.15</v>
      </c>
      <c r="O228" s="610">
        <v>0</v>
      </c>
      <c r="P228" s="608">
        <v>0</v>
      </c>
      <c r="Q228" s="610">
        <v>0</v>
      </c>
      <c r="R228" s="610">
        <v>0</v>
      </c>
    </row>
    <row r="229" spans="1:18" s="615" customFormat="1" ht="12.75" customHeight="1" x14ac:dyDescent="0.25">
      <c r="B229" s="616" t="s">
        <v>79</v>
      </c>
      <c r="C229" s="616" t="s">
        <v>70</v>
      </c>
      <c r="D229" s="616">
        <v>11258.48</v>
      </c>
      <c r="E229" s="616">
        <v>-3470.2</v>
      </c>
      <c r="F229" s="616">
        <v>-1973.63</v>
      </c>
      <c r="G229" s="616">
        <v>-1059.4000000000001</v>
      </c>
      <c r="H229" s="616">
        <v>8396.94</v>
      </c>
      <c r="I229" s="616">
        <v>151.47999999999999</v>
      </c>
      <c r="J229" s="616">
        <v>1328.97</v>
      </c>
      <c r="K229" s="616">
        <v>2767.74</v>
      </c>
      <c r="L229" s="616">
        <v>14072.68</v>
      </c>
      <c r="M229" s="616">
        <v>-9203.25</v>
      </c>
      <c r="N229" s="616">
        <v>247.15</v>
      </c>
      <c r="O229" s="616">
        <v>0</v>
      </c>
      <c r="P229" s="615">
        <v>0</v>
      </c>
      <c r="Q229" s="616">
        <v>0</v>
      </c>
      <c r="R229" s="616">
        <v>0</v>
      </c>
    </row>
    <row r="230" spans="1:18" s="690" customFormat="1" ht="12.6" customHeight="1" x14ac:dyDescent="0.25">
      <c r="A230" s="690" t="s">
        <v>120</v>
      </c>
      <c r="B230" s="690" t="s">
        <v>70</v>
      </c>
      <c r="D230" s="691">
        <v>-554080</v>
      </c>
      <c r="E230" s="691">
        <v>-37947.589999999997</v>
      </c>
      <c r="F230" s="691">
        <v>-20629.47</v>
      </c>
      <c r="G230" s="692">
        <v>-11228.12</v>
      </c>
      <c r="H230" s="691">
        <v>-121822.63</v>
      </c>
      <c r="I230" s="691">
        <v>-3437.81</v>
      </c>
      <c r="J230" s="691">
        <v>-30156.45</v>
      </c>
      <c r="K230" s="691">
        <v>-38547.47</v>
      </c>
      <c r="L230" s="691">
        <v>-183819.08</v>
      </c>
      <c r="M230" s="691">
        <v>-100873.29</v>
      </c>
      <c r="N230" s="691">
        <v>-5609.1</v>
      </c>
      <c r="O230" s="691">
        <v>-8.99</v>
      </c>
      <c r="P230" s="691">
        <v>0</v>
      </c>
      <c r="Q230" s="691">
        <v>0</v>
      </c>
      <c r="R230" s="690">
        <v>0</v>
      </c>
    </row>
    <row r="231" spans="1:18" ht="12.75" customHeight="1" x14ac:dyDescent="0.25">
      <c r="B231" s="610"/>
      <c r="C231" s="610" t="s">
        <v>72</v>
      </c>
      <c r="D231" s="610">
        <v>-1390690.74</v>
      </c>
      <c r="E231" s="610">
        <v>-77877.350000000006</v>
      </c>
      <c r="F231" s="610">
        <v>-43905.19</v>
      </c>
      <c r="G231" s="610">
        <v>-23195.75</v>
      </c>
      <c r="H231" s="610">
        <v>-322683.65999999997</v>
      </c>
      <c r="I231" s="610">
        <v>-9947.7900000000009</v>
      </c>
      <c r="J231" s="610">
        <v>-87261.32</v>
      </c>
      <c r="K231" s="610">
        <v>-99487.88</v>
      </c>
      <c r="L231" s="610">
        <v>-502667.02</v>
      </c>
      <c r="M231" s="610">
        <v>-207435.92</v>
      </c>
      <c r="N231" s="610">
        <v>-16230.6</v>
      </c>
      <c r="O231" s="610">
        <v>1.74</v>
      </c>
      <c r="P231" s="608">
        <v>0</v>
      </c>
      <c r="Q231" s="610">
        <v>0</v>
      </c>
      <c r="R231" s="610">
        <v>0</v>
      </c>
    </row>
    <row r="232" spans="1:18" ht="12.75" customHeight="1" x14ac:dyDescent="0.25">
      <c r="B232" s="610"/>
      <c r="C232" s="610" t="s">
        <v>81</v>
      </c>
      <c r="D232" s="610">
        <v>-25687</v>
      </c>
      <c r="E232" s="610">
        <v>-3851.9</v>
      </c>
      <c r="F232" s="610">
        <v>-1228.8800000000001</v>
      </c>
      <c r="G232" s="610">
        <v>-324.38</v>
      </c>
      <c r="H232" s="610">
        <v>-3216.32</v>
      </c>
      <c r="I232" s="610">
        <v>-155.62</v>
      </c>
      <c r="J232" s="610">
        <v>-1365.1</v>
      </c>
      <c r="K232" s="610">
        <v>-1459.5</v>
      </c>
      <c r="L232" s="610">
        <v>-2589.2800000000002</v>
      </c>
      <c r="M232" s="610">
        <v>-11273.99</v>
      </c>
      <c r="N232" s="610">
        <v>-253.89</v>
      </c>
      <c r="O232" s="610">
        <v>31.86</v>
      </c>
      <c r="P232" s="608">
        <v>0</v>
      </c>
      <c r="Q232" s="610">
        <v>0</v>
      </c>
      <c r="R232" s="610">
        <v>0</v>
      </c>
    </row>
    <row r="233" spans="1:18" s="613" customFormat="1" ht="12.75" customHeight="1" x14ac:dyDescent="0.25">
      <c r="B233" s="614" t="s">
        <v>78</v>
      </c>
      <c r="C233" s="614" t="s">
        <v>70</v>
      </c>
      <c r="D233" s="614">
        <v>-1416377.74</v>
      </c>
      <c r="E233" s="614">
        <v>-81729.25</v>
      </c>
      <c r="F233" s="614">
        <v>-45134.07</v>
      </c>
      <c r="G233" s="614">
        <v>-23520.13</v>
      </c>
      <c r="H233" s="614">
        <v>-325899.98</v>
      </c>
      <c r="I233" s="614">
        <v>-10103.41</v>
      </c>
      <c r="J233" s="614">
        <v>-88626.42</v>
      </c>
      <c r="K233" s="614">
        <v>-100947.38</v>
      </c>
      <c r="L233" s="614">
        <v>-505256.3</v>
      </c>
      <c r="M233" s="614">
        <v>-218709.91</v>
      </c>
      <c r="N233" s="614">
        <v>-16484.490000000002</v>
      </c>
      <c r="O233" s="614">
        <v>33.6</v>
      </c>
      <c r="P233" s="613">
        <v>0</v>
      </c>
      <c r="Q233" s="614">
        <v>0</v>
      </c>
      <c r="R233" s="614">
        <v>0</v>
      </c>
    </row>
    <row r="234" spans="1:18" ht="12.75" customHeight="1" x14ac:dyDescent="0.25">
      <c r="B234" s="610"/>
      <c r="C234" s="610" t="s">
        <v>73</v>
      </c>
      <c r="D234" s="610">
        <v>45125.74</v>
      </c>
      <c r="E234" s="610">
        <v>-2259.8000000000002</v>
      </c>
      <c r="F234" s="610">
        <v>-1198.78</v>
      </c>
      <c r="G234" s="610">
        <v>-664.04</v>
      </c>
      <c r="H234" s="610">
        <v>17199.88</v>
      </c>
      <c r="I234" s="610">
        <v>642.05999999999995</v>
      </c>
      <c r="J234" s="610">
        <v>5632.34</v>
      </c>
      <c r="K234" s="610">
        <v>5147.82</v>
      </c>
      <c r="L234" s="610">
        <v>25383.21</v>
      </c>
      <c r="M234" s="610">
        <v>-5804.53</v>
      </c>
      <c r="N234" s="610">
        <v>1047.58</v>
      </c>
      <c r="O234" s="610">
        <v>0</v>
      </c>
      <c r="P234" s="608">
        <v>0</v>
      </c>
      <c r="Q234" s="610">
        <v>0</v>
      </c>
      <c r="R234" s="610">
        <v>0</v>
      </c>
    </row>
    <row r="235" spans="1:18" s="615" customFormat="1" ht="12.75" customHeight="1" x14ac:dyDescent="0.25">
      <c r="B235" s="616" t="s">
        <v>79</v>
      </c>
      <c r="C235" s="616" t="s">
        <v>70</v>
      </c>
      <c r="D235" s="616">
        <v>45125.74</v>
      </c>
      <c r="E235" s="616">
        <v>-2259.8000000000002</v>
      </c>
      <c r="F235" s="616">
        <v>-1198.78</v>
      </c>
      <c r="G235" s="616">
        <v>-664.04</v>
      </c>
      <c r="H235" s="616">
        <v>17199.88</v>
      </c>
      <c r="I235" s="616">
        <v>642.05999999999995</v>
      </c>
      <c r="J235" s="616">
        <v>5632.34</v>
      </c>
      <c r="K235" s="616">
        <v>5147.82</v>
      </c>
      <c r="L235" s="616">
        <v>25383.21</v>
      </c>
      <c r="M235" s="616">
        <v>-5804.53</v>
      </c>
      <c r="N235" s="616">
        <v>1047.58</v>
      </c>
      <c r="O235" s="616">
        <v>0</v>
      </c>
      <c r="P235" s="615">
        <v>0</v>
      </c>
      <c r="Q235" s="616">
        <v>0</v>
      </c>
      <c r="R235" s="616">
        <v>0</v>
      </c>
    </row>
    <row r="236" spans="1:18" s="745" customFormat="1" ht="12.75" customHeight="1" x14ac:dyDescent="0.25">
      <c r="A236" s="745" t="s">
        <v>119</v>
      </c>
      <c r="B236" s="745" t="s">
        <v>70</v>
      </c>
      <c r="D236" s="620">
        <v>-1371252</v>
      </c>
      <c r="E236" s="620">
        <v>-83989.05</v>
      </c>
      <c r="F236" s="620">
        <v>-46332.85</v>
      </c>
      <c r="G236" s="621">
        <v>-24184.17</v>
      </c>
      <c r="H236" s="620">
        <v>-308700.09999999998</v>
      </c>
      <c r="I236" s="620">
        <v>-9461.35</v>
      </c>
      <c r="J236" s="620">
        <v>-82994.080000000002</v>
      </c>
      <c r="K236" s="620">
        <v>-95799.56</v>
      </c>
      <c r="L236" s="620">
        <v>-479873.09</v>
      </c>
      <c r="M236" s="620">
        <v>-224514.44</v>
      </c>
      <c r="N236" s="620">
        <v>-15436.91</v>
      </c>
      <c r="O236" s="620">
        <v>33.6</v>
      </c>
      <c r="P236" s="620">
        <v>0</v>
      </c>
      <c r="Q236" s="620">
        <v>0</v>
      </c>
      <c r="R236" s="745">
        <v>0</v>
      </c>
    </row>
    <row r="237" spans="1:18" s="623" customFormat="1" ht="12.75" customHeight="1" x14ac:dyDescent="0.25">
      <c r="A237" s="622" t="s">
        <v>70</v>
      </c>
      <c r="D237" s="622">
        <v>-41558585.399999999</v>
      </c>
      <c r="E237" s="622">
        <v>-2414651.36</v>
      </c>
      <c r="F237" s="622">
        <v>-1317212.6299999999</v>
      </c>
      <c r="G237" s="622">
        <v>-681221.32</v>
      </c>
      <c r="H237" s="622">
        <v>-9262032.8499999996</v>
      </c>
      <c r="I237" s="622">
        <v>-335214.74</v>
      </c>
      <c r="J237" s="622">
        <v>-2937301.57</v>
      </c>
      <c r="K237" s="622">
        <v>-2914664.74</v>
      </c>
      <c r="L237" s="622">
        <v>-14693209</v>
      </c>
      <c r="M237" s="622">
        <v>-6454579.0899999999</v>
      </c>
      <c r="N237" s="622">
        <v>-548447.25</v>
      </c>
      <c r="O237" s="622">
        <v>-50.85</v>
      </c>
      <c r="P237" s="623">
        <v>0</v>
      </c>
      <c r="Q237" s="623">
        <v>0</v>
      </c>
      <c r="R237" s="623">
        <v>0</v>
      </c>
    </row>
    <row r="238" spans="1:18" ht="12.75" customHeight="1" x14ac:dyDescent="0.25">
      <c r="A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0"/>
      <c r="O238" s="610"/>
    </row>
    <row r="239" spans="1:18" ht="12.75" customHeight="1" x14ac:dyDescent="0.25"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</row>
    <row r="240" spans="1:18" ht="12.75" hidden="1" customHeight="1" x14ac:dyDescent="0.25">
      <c r="B240" s="610"/>
      <c r="C240" s="610"/>
      <c r="D240" s="610"/>
      <c r="E240" s="610"/>
      <c r="F240" s="610"/>
      <c r="G240" s="610"/>
      <c r="H240" s="610"/>
      <c r="I240" s="610"/>
      <c r="J240" s="610"/>
      <c r="K240" s="610"/>
      <c r="L240" s="610"/>
      <c r="M240" s="610"/>
      <c r="N240" s="610"/>
      <c r="O240" s="610"/>
    </row>
    <row r="241" spans="2:15" ht="12.75" hidden="1" customHeight="1" x14ac:dyDescent="0.25"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0"/>
    </row>
    <row r="242" spans="2:15" ht="12.75" hidden="1" customHeight="1" x14ac:dyDescent="0.25"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0"/>
    </row>
    <row r="243" spans="2:15" ht="12.75" hidden="1" customHeight="1" x14ac:dyDescent="0.25"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</row>
    <row r="244" spans="2:15" ht="12.75" hidden="1" customHeight="1" x14ac:dyDescent="0.25">
      <c r="B244" s="610"/>
      <c r="C244" s="610"/>
      <c r="D244" s="610"/>
      <c r="E244" s="610"/>
      <c r="F244" s="610"/>
      <c r="G244" s="610"/>
      <c r="H244" s="610"/>
      <c r="I244" s="610"/>
      <c r="J244" s="610"/>
      <c r="K244" s="610"/>
      <c r="L244" s="610"/>
      <c r="M244" s="610"/>
      <c r="N244" s="610"/>
      <c r="O244" s="610"/>
    </row>
    <row r="245" spans="2:15" ht="12.75" hidden="1" customHeight="1" x14ac:dyDescent="0.25"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0"/>
    </row>
    <row r="246" spans="2:15" ht="12.75" hidden="1" customHeight="1" x14ac:dyDescent="0.25"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0"/>
    </row>
    <row r="247" spans="2:15" ht="12.75" hidden="1" customHeight="1" x14ac:dyDescent="0.25"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</row>
    <row r="248" spans="2:15" ht="12.75" hidden="1" customHeight="1" x14ac:dyDescent="0.25"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</row>
    <row r="249" spans="2:15" ht="12.75" hidden="1" customHeight="1" x14ac:dyDescent="0.25">
      <c r="B249" s="610"/>
      <c r="C249" s="610"/>
      <c r="D249" s="610"/>
      <c r="E249" s="610"/>
      <c r="F249" s="610"/>
      <c r="G249" s="610"/>
      <c r="H249" s="610"/>
      <c r="I249" s="610"/>
      <c r="J249" s="610"/>
      <c r="K249" s="610"/>
      <c r="L249" s="610"/>
      <c r="M249" s="610"/>
      <c r="N249" s="610"/>
      <c r="O249" s="610"/>
    </row>
    <row r="250" spans="2:15" ht="12.75" hidden="1" customHeight="1" x14ac:dyDescent="0.25">
      <c r="B250" s="610"/>
      <c r="C250" s="610"/>
      <c r="D250" s="610"/>
      <c r="E250" s="610"/>
      <c r="F250" s="610"/>
      <c r="G250" s="610"/>
      <c r="H250" s="610"/>
      <c r="I250" s="610"/>
      <c r="J250" s="610"/>
      <c r="K250" s="610"/>
      <c r="L250" s="610"/>
      <c r="M250" s="610"/>
      <c r="N250" s="610"/>
      <c r="O250" s="610"/>
    </row>
    <row r="251" spans="2:15" ht="12.75" hidden="1" customHeight="1" x14ac:dyDescent="0.25"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0"/>
    </row>
    <row r="252" spans="2:15" ht="12.75" hidden="1" customHeight="1" x14ac:dyDescent="0.25"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0"/>
    </row>
    <row r="253" spans="2:15" ht="12.75" hidden="1" customHeight="1" x14ac:dyDescent="0.25"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</row>
    <row r="254" spans="2:15" ht="12.75" hidden="1" customHeight="1" x14ac:dyDescent="0.25"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0"/>
      <c r="O254" s="610"/>
    </row>
    <row r="255" spans="2:15" ht="12.75" hidden="1" customHeight="1" x14ac:dyDescent="0.25">
      <c r="B255" s="610"/>
      <c r="C255" s="610"/>
      <c r="D255" s="610"/>
      <c r="E255" s="610"/>
      <c r="F255" s="610"/>
      <c r="G255" s="610"/>
      <c r="H255" s="610"/>
      <c r="I255" s="610"/>
      <c r="J255" s="610"/>
      <c r="K255" s="610"/>
      <c r="L255" s="610"/>
      <c r="M255" s="610"/>
      <c r="N255" s="610"/>
      <c r="O255" s="610"/>
    </row>
    <row r="256" spans="2:15" ht="12.75" hidden="1" customHeight="1" x14ac:dyDescent="0.25"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0"/>
    </row>
    <row r="257" spans="2:15" ht="12.75" hidden="1" customHeight="1" x14ac:dyDescent="0.25"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0"/>
    </row>
    <row r="258" spans="2:15" ht="12.75" hidden="1" customHeight="1" x14ac:dyDescent="0.25"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</row>
    <row r="259" spans="2:15" ht="12.75" hidden="1" customHeight="1" x14ac:dyDescent="0.25">
      <c r="B259" s="610"/>
      <c r="C259" s="610"/>
      <c r="D259" s="610"/>
      <c r="E259" s="610"/>
      <c r="F259" s="610"/>
      <c r="G259" s="610"/>
      <c r="H259" s="610"/>
      <c r="I259" s="610"/>
      <c r="J259" s="610"/>
      <c r="K259" s="610"/>
      <c r="L259" s="610"/>
      <c r="M259" s="610"/>
      <c r="N259" s="610"/>
      <c r="O259" s="610"/>
    </row>
    <row r="260" spans="2:15" ht="12.75" hidden="1" customHeight="1" x14ac:dyDescent="0.25">
      <c r="B260" s="610"/>
      <c r="C260" s="610"/>
      <c r="D260" s="610"/>
      <c r="E260" s="610"/>
      <c r="F260" s="610"/>
      <c r="G260" s="610"/>
      <c r="H260" s="610"/>
      <c r="I260" s="610"/>
      <c r="J260" s="610"/>
      <c r="K260" s="610"/>
      <c r="L260" s="610"/>
      <c r="M260" s="610"/>
      <c r="N260" s="610"/>
      <c r="O260" s="610"/>
    </row>
    <row r="261" spans="2:15" ht="12.75" hidden="1" customHeight="1" x14ac:dyDescent="0.25">
      <c r="B261" s="610"/>
      <c r="C261" s="610"/>
      <c r="D261" s="610"/>
      <c r="E261" s="610"/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</row>
    <row r="262" spans="2:15" ht="12.75" hidden="1" customHeight="1" x14ac:dyDescent="0.25"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</row>
    <row r="263" spans="2:15" ht="12.75" hidden="1" customHeight="1" x14ac:dyDescent="0.25">
      <c r="B263" s="610"/>
      <c r="C263" s="610"/>
      <c r="D263" s="610"/>
      <c r="E263" s="610"/>
      <c r="F263" s="610"/>
      <c r="G263" s="610"/>
      <c r="H263" s="610"/>
      <c r="I263" s="610"/>
      <c r="J263" s="610"/>
      <c r="K263" s="610"/>
      <c r="L263" s="610"/>
      <c r="M263" s="610"/>
      <c r="N263" s="610"/>
      <c r="O263" s="610"/>
    </row>
    <row r="264" spans="2:15" ht="12.75" hidden="1" customHeight="1" x14ac:dyDescent="0.25">
      <c r="B264" s="610"/>
      <c r="C264" s="610"/>
      <c r="D264" s="610"/>
      <c r="E264" s="610"/>
      <c r="F264" s="610"/>
      <c r="G264" s="610"/>
      <c r="H264" s="610"/>
      <c r="I264" s="610"/>
      <c r="J264" s="610"/>
      <c r="K264" s="610"/>
      <c r="L264" s="610"/>
      <c r="M264" s="610"/>
      <c r="N264" s="610"/>
      <c r="O264" s="610"/>
    </row>
    <row r="265" spans="2:15" ht="12.75" hidden="1" customHeight="1" x14ac:dyDescent="0.25">
      <c r="B265" s="610"/>
      <c r="C265" s="610"/>
      <c r="D265" s="610"/>
      <c r="E265" s="610"/>
      <c r="F265" s="610"/>
      <c r="G265" s="610"/>
      <c r="H265" s="610"/>
      <c r="I265" s="610"/>
      <c r="J265" s="610"/>
      <c r="K265" s="610"/>
      <c r="L265" s="610"/>
      <c r="M265" s="610"/>
      <c r="N265" s="610"/>
      <c r="O265" s="610"/>
    </row>
    <row r="266" spans="2:15" ht="12.75" hidden="1" customHeight="1" x14ac:dyDescent="0.25"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</row>
    <row r="267" spans="2:15" ht="12.75" hidden="1" customHeight="1" x14ac:dyDescent="0.25"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</row>
    <row r="268" spans="2:15" ht="12.75" hidden="1" customHeight="1" x14ac:dyDescent="0.25"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0"/>
    </row>
    <row r="269" spans="2:15" ht="12.75" hidden="1" customHeight="1" x14ac:dyDescent="0.25"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</row>
    <row r="270" spans="2:15" ht="12.75" hidden="1" customHeight="1" x14ac:dyDescent="0.25">
      <c r="B270" s="610"/>
      <c r="C270" s="610"/>
      <c r="D270" s="610"/>
      <c r="E270" s="610"/>
      <c r="F270" s="610"/>
      <c r="G270" s="610"/>
      <c r="H270" s="610"/>
      <c r="I270" s="610"/>
      <c r="J270" s="610"/>
      <c r="K270" s="610"/>
      <c r="L270" s="610"/>
      <c r="M270" s="610"/>
      <c r="N270" s="610"/>
      <c r="O270" s="610"/>
    </row>
    <row r="271" spans="2:15" ht="12.75" hidden="1" customHeight="1" x14ac:dyDescent="0.25">
      <c r="B271" s="610"/>
      <c r="C271" s="610"/>
      <c r="D271" s="610"/>
      <c r="E271" s="610"/>
      <c r="F271" s="610"/>
      <c r="G271" s="610"/>
      <c r="H271" s="610"/>
      <c r="I271" s="610"/>
      <c r="J271" s="610"/>
      <c r="K271" s="610"/>
      <c r="L271" s="610"/>
      <c r="M271" s="610"/>
      <c r="N271" s="610"/>
      <c r="O271" s="610"/>
    </row>
    <row r="272" spans="2:15" ht="12.75" hidden="1" customHeight="1" x14ac:dyDescent="0.25"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10"/>
      <c r="O272" s="610"/>
    </row>
    <row r="273" spans="2:15" ht="12.75" hidden="1" customHeight="1" x14ac:dyDescent="0.25">
      <c r="B273" s="610"/>
      <c r="C273" s="610"/>
      <c r="D273" s="610"/>
      <c r="E273" s="610"/>
      <c r="F273" s="610"/>
      <c r="G273" s="610"/>
      <c r="H273" s="610"/>
      <c r="I273" s="610"/>
      <c r="J273" s="610"/>
      <c r="K273" s="610"/>
      <c r="L273" s="610"/>
      <c r="M273" s="610"/>
      <c r="N273" s="610"/>
      <c r="O273" s="610"/>
    </row>
    <row r="274" spans="2:15" ht="12.75" hidden="1" customHeight="1" x14ac:dyDescent="0.25">
      <c r="B274" s="610"/>
      <c r="C274" s="610"/>
      <c r="D274" s="610"/>
      <c r="E274" s="610"/>
      <c r="F274" s="610"/>
      <c r="G274" s="610"/>
      <c r="H274" s="610"/>
      <c r="I274" s="610"/>
      <c r="J274" s="610"/>
      <c r="K274" s="610"/>
      <c r="L274" s="610"/>
      <c r="M274" s="610"/>
      <c r="N274" s="610"/>
      <c r="O274" s="610"/>
    </row>
    <row r="275" spans="2:15" ht="12.75" hidden="1" customHeight="1" x14ac:dyDescent="0.25">
      <c r="B275" s="610"/>
      <c r="C275" s="610"/>
      <c r="D275" s="610"/>
      <c r="E275" s="610"/>
      <c r="F275" s="610"/>
      <c r="G275" s="610"/>
      <c r="H275" s="610"/>
      <c r="I275" s="610"/>
      <c r="J275" s="610"/>
      <c r="K275" s="610"/>
      <c r="L275" s="610"/>
      <c r="M275" s="610"/>
      <c r="N275" s="610"/>
      <c r="O275" s="610"/>
    </row>
    <row r="276" spans="2:15" ht="12.75" hidden="1" customHeight="1" x14ac:dyDescent="0.25">
      <c r="B276" s="610"/>
      <c r="C276" s="610"/>
      <c r="D276" s="610"/>
      <c r="E276" s="610"/>
      <c r="F276" s="610"/>
      <c r="G276" s="610"/>
      <c r="H276" s="610"/>
      <c r="I276" s="610"/>
      <c r="J276" s="610"/>
      <c r="K276" s="610"/>
      <c r="L276" s="610"/>
      <c r="M276" s="610"/>
      <c r="N276" s="610"/>
      <c r="O276" s="610"/>
    </row>
    <row r="277" spans="2:15" ht="12.75" hidden="1" customHeight="1" x14ac:dyDescent="0.25">
      <c r="B277" s="610"/>
      <c r="C277" s="610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10"/>
      <c r="O277" s="610"/>
    </row>
    <row r="278" spans="2:15" ht="12.75" hidden="1" customHeight="1" x14ac:dyDescent="0.25">
      <c r="B278" s="610"/>
      <c r="C278" s="610"/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610"/>
    </row>
    <row r="279" spans="2:15" ht="12.75" hidden="1" customHeight="1" x14ac:dyDescent="0.25"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</row>
    <row r="280" spans="2:15" ht="12.75" hidden="1" customHeight="1" x14ac:dyDescent="0.25">
      <c r="B280" s="610"/>
      <c r="C280" s="610"/>
      <c r="D280" s="610"/>
      <c r="E280" s="610"/>
      <c r="F280" s="610"/>
      <c r="G280" s="610"/>
      <c r="H280" s="610"/>
      <c r="I280" s="610"/>
      <c r="J280" s="610"/>
      <c r="K280" s="610"/>
      <c r="L280" s="610"/>
      <c r="M280" s="610"/>
      <c r="N280" s="610"/>
      <c r="O280" s="610"/>
    </row>
    <row r="281" spans="2:15" ht="12.75" hidden="1" customHeight="1" x14ac:dyDescent="0.25"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10"/>
      <c r="O281" s="610"/>
    </row>
    <row r="282" spans="2:15" ht="12.75" hidden="1" customHeight="1" x14ac:dyDescent="0.25"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0"/>
    </row>
    <row r="283" spans="2:15" ht="12.75" hidden="1" customHeight="1" x14ac:dyDescent="0.25"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0"/>
    </row>
    <row r="284" spans="2:15" ht="12.75" hidden="1" customHeight="1" x14ac:dyDescent="0.25"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</row>
    <row r="285" spans="2:15" ht="12.75" hidden="1" customHeight="1" x14ac:dyDescent="0.25">
      <c r="B285" s="610"/>
      <c r="C285" s="610"/>
      <c r="D285" s="610"/>
      <c r="E285" s="610"/>
      <c r="F285" s="610"/>
      <c r="G285" s="610"/>
      <c r="H285" s="610"/>
      <c r="I285" s="610"/>
      <c r="J285" s="610"/>
      <c r="K285" s="610"/>
      <c r="L285" s="610"/>
      <c r="M285" s="610"/>
      <c r="N285" s="610"/>
      <c r="O285" s="610"/>
    </row>
    <row r="286" spans="2:15" ht="12.75" hidden="1" customHeight="1" x14ac:dyDescent="0.25">
      <c r="B286" s="610"/>
      <c r="C286" s="610"/>
      <c r="D286" s="610"/>
      <c r="E286" s="610"/>
      <c r="F286" s="610"/>
      <c r="G286" s="610"/>
      <c r="H286" s="610"/>
      <c r="I286" s="610"/>
      <c r="J286" s="610"/>
      <c r="K286" s="610"/>
      <c r="L286" s="610"/>
      <c r="M286" s="610"/>
      <c r="N286" s="610"/>
      <c r="O286" s="610"/>
    </row>
    <row r="287" spans="2:15" ht="12.75" hidden="1" customHeight="1" x14ac:dyDescent="0.25"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0"/>
    </row>
    <row r="288" spans="2:15" ht="12.75" hidden="1" customHeight="1" x14ac:dyDescent="0.25"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0"/>
    </row>
    <row r="289" spans="2:15" ht="12.75" hidden="1" customHeight="1" x14ac:dyDescent="0.25"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</row>
    <row r="290" spans="2:15" ht="12.75" hidden="1" customHeight="1" x14ac:dyDescent="0.25"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</row>
    <row r="291" spans="2:15" ht="12.75" hidden="1" customHeight="1" x14ac:dyDescent="0.25"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0"/>
      <c r="O291" s="610"/>
    </row>
    <row r="292" spans="2:15" ht="12.75" hidden="1" customHeight="1" x14ac:dyDescent="0.25"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10"/>
      <c r="O292" s="610"/>
    </row>
    <row r="293" spans="2:15" ht="12.75" hidden="1" customHeight="1" x14ac:dyDescent="0.25">
      <c r="B293" s="610"/>
      <c r="C293" s="610"/>
      <c r="D293" s="610"/>
      <c r="E293" s="610"/>
      <c r="F293" s="610"/>
      <c r="G293" s="610"/>
      <c r="H293" s="610"/>
      <c r="I293" s="610"/>
      <c r="J293" s="610"/>
      <c r="K293" s="610"/>
      <c r="L293" s="610"/>
      <c r="M293" s="610"/>
      <c r="N293" s="610"/>
      <c r="O293" s="610"/>
    </row>
    <row r="294" spans="2:15" ht="12.75" hidden="1" customHeight="1" x14ac:dyDescent="0.25">
      <c r="B294" s="610"/>
      <c r="C294" s="610"/>
      <c r="D294" s="610"/>
      <c r="E294" s="610"/>
      <c r="F294" s="610"/>
      <c r="G294" s="610"/>
      <c r="H294" s="610"/>
      <c r="I294" s="610"/>
      <c r="J294" s="610"/>
      <c r="K294" s="610"/>
      <c r="L294" s="610"/>
      <c r="M294" s="610"/>
      <c r="N294" s="610"/>
      <c r="O294" s="610"/>
    </row>
    <row r="295" spans="2:15" ht="12.75" hidden="1" customHeight="1" x14ac:dyDescent="0.25">
      <c r="B295" s="610"/>
      <c r="C295" s="610"/>
      <c r="D295" s="610"/>
      <c r="E295" s="610"/>
      <c r="F295" s="610"/>
      <c r="G295" s="610"/>
      <c r="H295" s="610"/>
      <c r="I295" s="610"/>
      <c r="J295" s="610"/>
      <c r="K295" s="610"/>
      <c r="L295" s="610"/>
      <c r="M295" s="610"/>
      <c r="N295" s="610"/>
      <c r="O295" s="610"/>
    </row>
    <row r="296" spans="2:15" ht="12.75" hidden="1" customHeight="1" x14ac:dyDescent="0.25">
      <c r="B296" s="610"/>
      <c r="C296" s="610"/>
      <c r="D296" s="610"/>
      <c r="E296" s="610"/>
      <c r="F296" s="610"/>
      <c r="G296" s="610"/>
      <c r="H296" s="610"/>
      <c r="I296" s="610"/>
      <c r="J296" s="610"/>
      <c r="K296" s="610"/>
      <c r="L296" s="610"/>
      <c r="M296" s="610"/>
      <c r="N296" s="610"/>
      <c r="O296" s="610"/>
    </row>
    <row r="297" spans="2:15" ht="12.75" hidden="1" customHeight="1" x14ac:dyDescent="0.25">
      <c r="B297" s="610"/>
      <c r="C297" s="610"/>
      <c r="D297" s="610"/>
      <c r="E297" s="610"/>
      <c r="F297" s="610"/>
      <c r="G297" s="610"/>
      <c r="H297" s="610"/>
      <c r="I297" s="610"/>
      <c r="J297" s="610"/>
      <c r="K297" s="610"/>
      <c r="L297" s="610"/>
      <c r="M297" s="610"/>
      <c r="N297" s="610"/>
      <c r="O297" s="610"/>
    </row>
    <row r="298" spans="2:15" ht="12.75" hidden="1" customHeight="1" x14ac:dyDescent="0.25"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</row>
    <row r="299" spans="2:15" ht="12.75" hidden="1" customHeight="1" x14ac:dyDescent="0.25"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0"/>
    </row>
    <row r="300" spans="2:15" ht="12.75" hidden="1" customHeight="1" x14ac:dyDescent="0.25"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</row>
    <row r="301" spans="2:15" ht="12.75" hidden="1" customHeight="1" x14ac:dyDescent="0.25">
      <c r="B301" s="610"/>
      <c r="C301" s="610"/>
      <c r="D301" s="610"/>
      <c r="E301" s="610"/>
      <c r="F301" s="610"/>
      <c r="G301" s="610"/>
      <c r="H301" s="610"/>
      <c r="I301" s="610"/>
      <c r="J301" s="610"/>
      <c r="K301" s="610"/>
      <c r="L301" s="610"/>
      <c r="M301" s="610"/>
      <c r="N301" s="610"/>
      <c r="O301" s="610"/>
    </row>
    <row r="302" spans="2:15" ht="12.75" hidden="1" customHeight="1" x14ac:dyDescent="0.25"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0"/>
    </row>
    <row r="303" spans="2:15" ht="12.75" hidden="1" customHeight="1" x14ac:dyDescent="0.25"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0"/>
    </row>
    <row r="304" spans="2:15" ht="12.75" hidden="1" customHeight="1" x14ac:dyDescent="0.25"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</row>
    <row r="305" spans="1:18" ht="12.75" hidden="1" customHeight="1" x14ac:dyDescent="0.25"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10"/>
      <c r="O305" s="610"/>
    </row>
    <row r="306" spans="1:18" ht="12.75" hidden="1" customHeight="1" x14ac:dyDescent="0.25"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</row>
    <row r="307" spans="1:18" ht="12.75" hidden="1" customHeight="1" x14ac:dyDescent="0.25"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0"/>
    </row>
    <row r="308" spans="1:18" ht="12.75" hidden="1" customHeight="1" x14ac:dyDescent="0.25"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</row>
    <row r="309" spans="1:18" ht="12.75" hidden="1" customHeight="1" x14ac:dyDescent="0.25">
      <c r="B309" s="610"/>
      <c r="C309" s="610"/>
      <c r="D309" s="610"/>
      <c r="E309" s="610"/>
      <c r="F309" s="610"/>
      <c r="G309" s="610"/>
      <c r="H309" s="610"/>
      <c r="I309" s="610"/>
      <c r="J309" s="610"/>
      <c r="K309" s="610"/>
      <c r="L309" s="610"/>
      <c r="M309" s="610"/>
      <c r="N309" s="610"/>
      <c r="O309" s="610"/>
    </row>
    <row r="310" spans="1:18" ht="12.75" hidden="1" customHeight="1" x14ac:dyDescent="0.25">
      <c r="B310" s="610"/>
      <c r="C310" s="610"/>
      <c r="D310" s="610"/>
      <c r="E310" s="610"/>
      <c r="F310" s="610"/>
      <c r="G310" s="610"/>
      <c r="H310" s="610"/>
      <c r="I310" s="610"/>
      <c r="J310" s="610"/>
      <c r="K310" s="610"/>
      <c r="L310" s="610"/>
      <c r="M310" s="610"/>
      <c r="N310" s="610"/>
      <c r="O310" s="610"/>
    </row>
    <row r="311" spans="1:18" ht="12.75" hidden="1" customHeight="1" x14ac:dyDescent="0.25">
      <c r="B311" s="610"/>
      <c r="C311" s="610"/>
      <c r="D311" s="610"/>
      <c r="E311" s="610"/>
      <c r="F311" s="610"/>
      <c r="G311" s="610"/>
      <c r="H311" s="610"/>
      <c r="I311" s="610"/>
      <c r="J311" s="610"/>
      <c r="K311" s="610"/>
      <c r="L311" s="610"/>
      <c r="M311" s="610"/>
      <c r="N311" s="610"/>
      <c r="O311" s="610"/>
    </row>
    <row r="312" spans="1:18" ht="12.75" customHeight="1" x14ac:dyDescent="0.25"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0"/>
    </row>
    <row r="313" spans="1:18" ht="12.75" customHeight="1" x14ac:dyDescent="0.25">
      <c r="A313" s="775" t="s">
        <v>2</v>
      </c>
      <c r="B313" s="774" t="s">
        <v>132</v>
      </c>
      <c r="C313" s="622" t="s">
        <v>70</v>
      </c>
      <c r="D313" s="622">
        <f>D237-P237</f>
        <v>-41558585.399999999</v>
      </c>
      <c r="E313" s="622">
        <f>E233+E227+E221</f>
        <v>-2496334.75</v>
      </c>
      <c r="F313" s="622">
        <f t="shared" ref="F313:R313" si="8">F233+F227+F221</f>
        <v>-1365936.5499999998</v>
      </c>
      <c r="G313" s="622">
        <f t="shared" si="8"/>
        <v>-708861.09</v>
      </c>
      <c r="H313" s="622">
        <f t="shared" si="8"/>
        <v>-10586462.770000001</v>
      </c>
      <c r="I313" s="622">
        <f t="shared" si="8"/>
        <v>-381164.66000000003</v>
      </c>
      <c r="J313" s="622">
        <f t="shared" si="8"/>
        <v>-3340357.11</v>
      </c>
      <c r="K313" s="622">
        <f t="shared" si="8"/>
        <v>-3316465.3899999997</v>
      </c>
      <c r="L313" s="622">
        <f t="shared" si="8"/>
        <v>-16693748</v>
      </c>
      <c r="M313" s="622">
        <f t="shared" si="8"/>
        <v>-6675011.3300000001</v>
      </c>
      <c r="N313" s="622">
        <f t="shared" si="8"/>
        <v>-623716.38</v>
      </c>
      <c r="O313" s="622">
        <f t="shared" si="8"/>
        <v>-50.849999999999994</v>
      </c>
      <c r="P313" s="622">
        <f t="shared" si="8"/>
        <v>0</v>
      </c>
      <c r="Q313" s="622">
        <f t="shared" si="8"/>
        <v>0</v>
      </c>
      <c r="R313" s="622">
        <f t="shared" si="8"/>
        <v>0</v>
      </c>
    </row>
    <row r="314" spans="1:18" ht="12.75" customHeight="1" x14ac:dyDescent="0.25">
      <c r="A314" s="775"/>
      <c r="B314" s="774"/>
      <c r="C314" s="622" t="s">
        <v>73</v>
      </c>
      <c r="D314" s="622">
        <f>D235+D229+D223</f>
        <v>4629523.4799999995</v>
      </c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</row>
    <row r="315" spans="1:18" ht="12.75" customHeight="1" x14ac:dyDescent="0.25">
      <c r="A315" s="609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</row>
    <row r="316" spans="1:18" ht="12.75" customHeight="1" x14ac:dyDescent="0.25">
      <c r="A316" s="775" t="s">
        <v>160</v>
      </c>
      <c r="B316" s="774" t="s">
        <v>132</v>
      </c>
      <c r="C316" s="624" t="s">
        <v>70</v>
      </c>
      <c r="D316" s="624">
        <f>D230-P230</f>
        <v>-554080</v>
      </c>
      <c r="E316" s="624">
        <f>E227</f>
        <v>-34477.39</v>
      </c>
      <c r="F316" s="624">
        <f t="shared" ref="F316:R316" si="9">F227</f>
        <v>-18655.84</v>
      </c>
      <c r="G316" s="624">
        <f t="shared" si="9"/>
        <v>-10168.719999999999</v>
      </c>
      <c r="H316" s="624">
        <f t="shared" si="9"/>
        <v>-130219.57</v>
      </c>
      <c r="I316" s="624">
        <f t="shared" si="9"/>
        <v>-3589.29</v>
      </c>
      <c r="J316" s="624">
        <f t="shared" si="9"/>
        <v>-31485.42</v>
      </c>
      <c r="K316" s="624">
        <f t="shared" si="9"/>
        <v>-41315.21</v>
      </c>
      <c r="L316" s="624">
        <f t="shared" si="9"/>
        <v>-197891.76</v>
      </c>
      <c r="M316" s="624">
        <f t="shared" si="9"/>
        <v>-91670.04</v>
      </c>
      <c r="N316" s="624">
        <f t="shared" si="9"/>
        <v>-5856.25</v>
      </c>
      <c r="O316" s="624">
        <f t="shared" si="9"/>
        <v>-8.99</v>
      </c>
      <c r="P316" s="624">
        <f t="shared" si="9"/>
        <v>0</v>
      </c>
      <c r="Q316" s="624">
        <f t="shared" si="9"/>
        <v>0</v>
      </c>
      <c r="R316" s="624">
        <f t="shared" si="9"/>
        <v>0</v>
      </c>
    </row>
    <row r="317" spans="1:18" ht="12.75" customHeight="1" x14ac:dyDescent="0.25">
      <c r="A317" s="775"/>
      <c r="B317" s="774"/>
      <c r="C317" s="624" t="s">
        <v>73</v>
      </c>
      <c r="D317" s="710">
        <f>D229</f>
        <v>11258.48</v>
      </c>
      <c r="E317" s="610"/>
      <c r="F317" s="610"/>
      <c r="G317" s="610"/>
      <c r="H317" s="610"/>
      <c r="I317" s="610"/>
      <c r="J317" s="610"/>
      <c r="K317" s="610"/>
      <c r="L317" s="610"/>
      <c r="M317" s="610"/>
      <c r="N317" s="610"/>
      <c r="O317" s="610"/>
      <c r="P317" s="610"/>
      <c r="Q317" s="610"/>
      <c r="R317" s="610"/>
    </row>
    <row r="318" spans="1:18" ht="12.75" customHeight="1" x14ac:dyDescent="0.25">
      <c r="A318" s="609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10"/>
      <c r="O318" s="610"/>
      <c r="P318" s="610"/>
      <c r="Q318" s="610"/>
      <c r="R318" s="610"/>
    </row>
    <row r="319" spans="1:18" ht="12.75" customHeight="1" x14ac:dyDescent="0.25">
      <c r="A319" s="775" t="s">
        <v>155</v>
      </c>
      <c r="B319" s="774" t="s">
        <v>132</v>
      </c>
      <c r="C319" s="625" t="s">
        <v>70</v>
      </c>
      <c r="D319" s="625">
        <f>D224-P224</f>
        <v>-39633253.399999999</v>
      </c>
      <c r="E319" s="625">
        <f>E221</f>
        <v>-2380128.11</v>
      </c>
      <c r="F319" s="625">
        <f t="shared" ref="F319:R319" si="10">F221</f>
        <v>-1302146.6399999999</v>
      </c>
      <c r="G319" s="625">
        <f t="shared" si="10"/>
        <v>-675172.24</v>
      </c>
      <c r="H319" s="625">
        <f t="shared" si="10"/>
        <v>-10130343.220000001</v>
      </c>
      <c r="I319" s="625">
        <f t="shared" si="10"/>
        <v>-367471.96</v>
      </c>
      <c r="J319" s="625">
        <f t="shared" si="10"/>
        <v>-3220245.27</v>
      </c>
      <c r="K319" s="625">
        <f t="shared" si="10"/>
        <v>-3174202.8</v>
      </c>
      <c r="L319" s="625">
        <f t="shared" si="10"/>
        <v>-15990599.939999999</v>
      </c>
      <c r="M319" s="625">
        <f t="shared" si="10"/>
        <v>-6364631.3799999999</v>
      </c>
      <c r="N319" s="625">
        <f t="shared" si="10"/>
        <v>-601375.64</v>
      </c>
      <c r="O319" s="625">
        <f t="shared" si="10"/>
        <v>-75.459999999999994</v>
      </c>
      <c r="P319" s="625">
        <f t="shared" si="10"/>
        <v>0</v>
      </c>
      <c r="Q319" s="625">
        <f t="shared" si="10"/>
        <v>0</v>
      </c>
      <c r="R319" s="625">
        <f t="shared" si="10"/>
        <v>0</v>
      </c>
    </row>
    <row r="320" spans="1:18" ht="12.75" customHeight="1" x14ac:dyDescent="0.25">
      <c r="A320" s="775"/>
      <c r="B320" s="774"/>
      <c r="C320" s="625" t="s">
        <v>73</v>
      </c>
      <c r="D320" s="625">
        <f>D223</f>
        <v>4573139.26</v>
      </c>
      <c r="E320" s="610"/>
      <c r="F320" s="610"/>
      <c r="G320" s="610"/>
      <c r="H320" s="610"/>
      <c r="I320" s="610"/>
      <c r="J320" s="610"/>
      <c r="K320" s="610"/>
      <c r="L320" s="610"/>
      <c r="M320" s="610"/>
      <c r="N320" s="610"/>
      <c r="O320" s="610"/>
      <c r="P320" s="610"/>
      <c r="Q320" s="610"/>
      <c r="R320" s="610"/>
    </row>
    <row r="321" spans="1:18" ht="12.75" customHeight="1" x14ac:dyDescent="0.25">
      <c r="A321" s="720"/>
      <c r="B321" s="719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0"/>
      <c r="P321" s="610"/>
      <c r="Q321" s="610"/>
      <c r="R321" s="610"/>
    </row>
    <row r="322" spans="1:18" ht="12.75" customHeight="1" x14ac:dyDescent="0.25">
      <c r="A322" s="773" t="s">
        <v>324</v>
      </c>
      <c r="B322" s="774" t="s">
        <v>132</v>
      </c>
      <c r="C322" s="625" t="s">
        <v>70</v>
      </c>
      <c r="D322" s="718">
        <v>0</v>
      </c>
      <c r="E322" s="718">
        <v>0</v>
      </c>
      <c r="F322" s="718">
        <v>0</v>
      </c>
      <c r="G322" s="718">
        <v>0</v>
      </c>
      <c r="H322" s="718">
        <v>0</v>
      </c>
      <c r="I322" s="718">
        <v>0</v>
      </c>
      <c r="J322" s="718">
        <v>0</v>
      </c>
      <c r="K322" s="718">
        <v>0</v>
      </c>
      <c r="L322" s="718">
        <v>0</v>
      </c>
      <c r="M322" s="718">
        <v>0</v>
      </c>
      <c r="N322" s="718">
        <v>0</v>
      </c>
      <c r="O322" s="718">
        <v>0</v>
      </c>
      <c r="P322" s="718">
        <v>0</v>
      </c>
      <c r="Q322" s="718">
        <v>0</v>
      </c>
      <c r="R322" s="718">
        <v>0</v>
      </c>
    </row>
    <row r="323" spans="1:18" ht="12.75" customHeight="1" x14ac:dyDescent="0.25">
      <c r="A323" s="773"/>
      <c r="B323" s="774"/>
      <c r="C323" s="625" t="s">
        <v>73</v>
      </c>
      <c r="D323" s="718">
        <v>0</v>
      </c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</row>
    <row r="324" spans="1:18" ht="12.75" customHeight="1" x14ac:dyDescent="0.25">
      <c r="A324" s="609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</row>
    <row r="325" spans="1:18" ht="12.75" customHeight="1" x14ac:dyDescent="0.25">
      <c r="A325" s="775" t="s">
        <v>119</v>
      </c>
      <c r="B325" s="774" t="s">
        <v>132</v>
      </c>
      <c r="C325" s="620" t="s">
        <v>70</v>
      </c>
      <c r="D325" s="620">
        <f>D236-P236</f>
        <v>-1371252</v>
      </c>
      <c r="E325" s="620">
        <f>E233</f>
        <v>-81729.25</v>
      </c>
      <c r="F325" s="620">
        <f t="shared" ref="F325:R325" si="11">F233</f>
        <v>-45134.07</v>
      </c>
      <c r="G325" s="620">
        <f t="shared" si="11"/>
        <v>-23520.13</v>
      </c>
      <c r="H325" s="620">
        <f t="shared" si="11"/>
        <v>-325899.98</v>
      </c>
      <c r="I325" s="620">
        <f t="shared" si="11"/>
        <v>-10103.41</v>
      </c>
      <c r="J325" s="620">
        <f t="shared" si="11"/>
        <v>-88626.42</v>
      </c>
      <c r="K325" s="620">
        <f t="shared" si="11"/>
        <v>-100947.38</v>
      </c>
      <c r="L325" s="620">
        <f t="shared" si="11"/>
        <v>-505256.3</v>
      </c>
      <c r="M325" s="620">
        <f t="shared" si="11"/>
        <v>-218709.91</v>
      </c>
      <c r="N325" s="620">
        <f t="shared" si="11"/>
        <v>-16484.490000000002</v>
      </c>
      <c r="O325" s="620">
        <f t="shared" si="11"/>
        <v>33.6</v>
      </c>
      <c r="P325" s="620">
        <f t="shared" si="11"/>
        <v>0</v>
      </c>
      <c r="Q325" s="620">
        <f t="shared" si="11"/>
        <v>0</v>
      </c>
      <c r="R325" s="620">
        <f t="shared" si="11"/>
        <v>0</v>
      </c>
    </row>
    <row r="326" spans="1:18" ht="12.75" customHeight="1" x14ac:dyDescent="0.25">
      <c r="A326" s="775"/>
      <c r="B326" s="774"/>
      <c r="C326" s="620" t="s">
        <v>73</v>
      </c>
      <c r="D326" s="620">
        <f>D235</f>
        <v>45125.74</v>
      </c>
      <c r="E326" s="610"/>
      <c r="F326" s="610"/>
      <c r="G326" s="610"/>
      <c r="H326" s="610"/>
      <c r="I326" s="610"/>
      <c r="J326" s="610"/>
      <c r="K326" s="610"/>
      <c r="L326" s="610"/>
      <c r="M326" s="610"/>
      <c r="N326" s="610"/>
      <c r="O326" s="610"/>
      <c r="P326" s="610"/>
      <c r="Q326" s="610"/>
      <c r="R326" s="610"/>
    </row>
    <row r="327" spans="1:18" ht="12.75" customHeight="1" x14ac:dyDescent="0.25">
      <c r="A327" s="609"/>
      <c r="D327" s="610"/>
      <c r="E327" s="610"/>
      <c r="F327" s="610"/>
      <c r="G327" s="610"/>
      <c r="H327" s="610"/>
      <c r="I327" s="610"/>
      <c r="J327" s="610"/>
      <c r="K327" s="610"/>
      <c r="L327" s="610"/>
      <c r="M327" s="610"/>
      <c r="N327" s="610"/>
      <c r="O327" s="610"/>
      <c r="P327" s="610"/>
      <c r="Q327" s="610"/>
      <c r="R327" s="610"/>
    </row>
    <row r="328" spans="1:18" ht="12.75" customHeight="1" x14ac:dyDescent="0.25">
      <c r="A328" s="776" t="s">
        <v>161</v>
      </c>
      <c r="B328" s="774" t="s">
        <v>132</v>
      </c>
      <c r="C328" s="626" t="s">
        <v>70</v>
      </c>
      <c r="D328" s="626">
        <v>0</v>
      </c>
      <c r="E328" s="626">
        <v>0</v>
      </c>
      <c r="F328" s="626">
        <v>0</v>
      </c>
      <c r="G328" s="626">
        <v>0</v>
      </c>
      <c r="H328" s="626">
        <v>0</v>
      </c>
      <c r="I328" s="626">
        <v>0</v>
      </c>
      <c r="J328" s="626">
        <v>0</v>
      </c>
      <c r="K328" s="626">
        <v>0</v>
      </c>
      <c r="L328" s="626">
        <v>0</v>
      </c>
      <c r="M328" s="626">
        <v>0</v>
      </c>
      <c r="N328" s="626">
        <v>0</v>
      </c>
      <c r="O328" s="626">
        <v>0</v>
      </c>
      <c r="P328" s="626">
        <v>0</v>
      </c>
      <c r="Q328" s="626">
        <v>0</v>
      </c>
      <c r="R328" s="626">
        <v>0</v>
      </c>
    </row>
    <row r="329" spans="1:18" ht="12.75" customHeight="1" x14ac:dyDescent="0.25">
      <c r="A329" s="776"/>
      <c r="B329" s="774"/>
      <c r="C329" s="626" t="s">
        <v>73</v>
      </c>
      <c r="D329" s="626">
        <v>0</v>
      </c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0"/>
      <c r="P329" s="610"/>
      <c r="Q329" s="610"/>
    </row>
    <row r="330" spans="1:18" s="627" customFormat="1" x14ac:dyDescent="0.25"/>
    <row r="331" spans="1:18" x14ac:dyDescent="0.25">
      <c r="B331" s="609" t="s">
        <v>93</v>
      </c>
    </row>
    <row r="332" spans="1:18" ht="12.75" customHeight="1" x14ac:dyDescent="0.25">
      <c r="D332" s="610" t="s">
        <v>70</v>
      </c>
      <c r="E332" s="610" t="s">
        <v>64</v>
      </c>
      <c r="F332" s="610" t="s">
        <v>65</v>
      </c>
      <c r="G332" s="611" t="s">
        <v>164</v>
      </c>
      <c r="H332" s="610" t="s">
        <v>69</v>
      </c>
      <c r="I332" s="610" t="s">
        <v>68</v>
      </c>
      <c r="J332" s="610" t="s">
        <v>66</v>
      </c>
      <c r="K332" s="610" t="s">
        <v>63</v>
      </c>
      <c r="L332" s="610" t="s">
        <v>61</v>
      </c>
      <c r="M332" s="610" t="s">
        <v>62</v>
      </c>
      <c r="N332" s="610" t="s">
        <v>67</v>
      </c>
      <c r="O332" s="610" t="s">
        <v>77</v>
      </c>
      <c r="P332" s="608" t="s">
        <v>71</v>
      </c>
      <c r="Q332" s="610" t="s">
        <v>80</v>
      </c>
      <c r="R332" s="608" t="s">
        <v>167</v>
      </c>
    </row>
    <row r="333" spans="1:18" ht="12" customHeight="1" x14ac:dyDescent="0.25">
      <c r="C333" s="610" t="s">
        <v>72</v>
      </c>
      <c r="D333" s="610">
        <v>-2986200.35</v>
      </c>
      <c r="E333" s="610">
        <v>-236004.21</v>
      </c>
      <c r="F333" s="610">
        <v>-130131.31</v>
      </c>
      <c r="G333" s="610">
        <v>-70265.789999999994</v>
      </c>
      <c r="H333" s="610">
        <v>-576574.05000000005</v>
      </c>
      <c r="I333" s="610">
        <v>-20067.95</v>
      </c>
      <c r="J333" s="610">
        <v>-176033.76</v>
      </c>
      <c r="K333" s="610">
        <v>-170382.3</v>
      </c>
      <c r="L333" s="610">
        <v>-869214.18</v>
      </c>
      <c r="M333" s="610">
        <v>-704743.2</v>
      </c>
      <c r="N333" s="610">
        <v>-32742.39</v>
      </c>
      <c r="O333" s="610">
        <v>-41.21</v>
      </c>
      <c r="P333" s="608">
        <v>0</v>
      </c>
      <c r="Q333" s="610">
        <v>0</v>
      </c>
      <c r="R333" s="608">
        <v>0</v>
      </c>
    </row>
    <row r="334" spans="1:18" ht="12" customHeight="1" x14ac:dyDescent="0.25">
      <c r="C334" s="610" t="s">
        <v>81</v>
      </c>
      <c r="D334" s="610">
        <v>-135468.13</v>
      </c>
      <c r="E334" s="610">
        <v>-13687.9</v>
      </c>
      <c r="F334" s="610">
        <v>-7308.44</v>
      </c>
      <c r="G334" s="610">
        <v>-4096.1499999999996</v>
      </c>
      <c r="H334" s="610">
        <v>-21346.75</v>
      </c>
      <c r="I334" s="610">
        <v>-767.76</v>
      </c>
      <c r="J334" s="610">
        <v>-6732.6</v>
      </c>
      <c r="K334" s="610">
        <v>-6514.54</v>
      </c>
      <c r="L334" s="610">
        <v>-32904.730000000003</v>
      </c>
      <c r="M334" s="610">
        <v>-40855.199999999997</v>
      </c>
      <c r="N334" s="610">
        <v>-1252.19</v>
      </c>
      <c r="O334" s="610">
        <v>-1.87</v>
      </c>
      <c r="P334" s="608">
        <v>0</v>
      </c>
      <c r="Q334" s="610">
        <v>0</v>
      </c>
      <c r="R334" s="608">
        <v>0</v>
      </c>
    </row>
    <row r="335" spans="1:18" s="613" customFormat="1" ht="12.75" customHeight="1" x14ac:dyDescent="0.25">
      <c r="A335" s="614"/>
      <c r="B335" s="613" t="s">
        <v>78</v>
      </c>
      <c r="C335" s="613" t="s">
        <v>70</v>
      </c>
      <c r="D335" s="614">
        <v>-3121668.48</v>
      </c>
      <c r="E335" s="614">
        <v>-249692.11</v>
      </c>
      <c r="F335" s="614">
        <v>-137439.75</v>
      </c>
      <c r="G335" s="614">
        <v>-74361.94</v>
      </c>
      <c r="H335" s="614">
        <v>-597920.80000000005</v>
      </c>
      <c r="I335" s="614">
        <v>-20835.71</v>
      </c>
      <c r="J335" s="614">
        <v>-182766.36</v>
      </c>
      <c r="K335" s="614">
        <v>-176896.84</v>
      </c>
      <c r="L335" s="614">
        <v>-902118.91</v>
      </c>
      <c r="M335" s="614">
        <v>-745598.4</v>
      </c>
      <c r="N335" s="614">
        <v>-33994.58</v>
      </c>
      <c r="O335" s="614">
        <v>-43.08</v>
      </c>
      <c r="P335" s="613">
        <v>0</v>
      </c>
      <c r="Q335" s="613">
        <v>0</v>
      </c>
      <c r="R335" s="613">
        <v>0</v>
      </c>
    </row>
    <row r="336" spans="1:18" ht="12" customHeight="1" x14ac:dyDescent="0.25">
      <c r="C336" s="610" t="s">
        <v>73</v>
      </c>
      <c r="D336" s="610">
        <v>-842488.52</v>
      </c>
      <c r="E336" s="610">
        <v>-86782.36</v>
      </c>
      <c r="F336" s="610">
        <v>-47389.85</v>
      </c>
      <c r="G336" s="610">
        <v>-25789.18</v>
      </c>
      <c r="H336" s="610">
        <v>-131984.67000000001</v>
      </c>
      <c r="I336" s="610">
        <v>-4640.97</v>
      </c>
      <c r="J336" s="610">
        <v>-40710.5</v>
      </c>
      <c r="K336" s="610">
        <v>-39420.53</v>
      </c>
      <c r="L336" s="610">
        <v>-199548.63</v>
      </c>
      <c r="M336" s="610">
        <v>-258649.53</v>
      </c>
      <c r="N336" s="610">
        <v>-7572.3</v>
      </c>
      <c r="O336" s="610">
        <v>0</v>
      </c>
      <c r="P336" s="608">
        <v>0</v>
      </c>
      <c r="Q336" s="610">
        <v>0</v>
      </c>
      <c r="R336" s="608">
        <v>0</v>
      </c>
    </row>
    <row r="337" spans="1:18" s="615" customFormat="1" ht="12.75" customHeight="1" x14ac:dyDescent="0.25">
      <c r="A337" s="616"/>
      <c r="B337" s="616" t="s">
        <v>79</v>
      </c>
      <c r="C337" s="615" t="s">
        <v>70</v>
      </c>
      <c r="D337" s="616">
        <v>-842488.52</v>
      </c>
      <c r="E337" s="616">
        <v>-86782.36</v>
      </c>
      <c r="F337" s="616">
        <v>-47389.85</v>
      </c>
      <c r="G337" s="616">
        <v>-25789.18</v>
      </c>
      <c r="H337" s="616">
        <v>-131984.67000000001</v>
      </c>
      <c r="I337" s="616">
        <v>-4640.97</v>
      </c>
      <c r="J337" s="616">
        <v>-40710.5</v>
      </c>
      <c r="K337" s="616">
        <v>-39420.53</v>
      </c>
      <c r="L337" s="616">
        <v>-199548.63</v>
      </c>
      <c r="M337" s="616">
        <v>-258649.53</v>
      </c>
      <c r="N337" s="616">
        <v>-7572.3</v>
      </c>
      <c r="O337" s="616">
        <v>0</v>
      </c>
      <c r="P337" s="615">
        <v>0</v>
      </c>
      <c r="Q337" s="615">
        <v>0</v>
      </c>
      <c r="R337" s="615">
        <v>0</v>
      </c>
    </row>
    <row r="338" spans="1:18" s="617" customFormat="1" ht="12.75" customHeight="1" x14ac:dyDescent="0.25">
      <c r="A338" s="617" t="s">
        <v>155</v>
      </c>
      <c r="B338" s="617" t="s">
        <v>70</v>
      </c>
      <c r="D338" s="618">
        <v>-3964157</v>
      </c>
      <c r="E338" s="618">
        <v>-336474.47</v>
      </c>
      <c r="F338" s="618">
        <v>-184829.6</v>
      </c>
      <c r="G338" s="619">
        <v>-100151.12</v>
      </c>
      <c r="H338" s="618">
        <v>-729905.47</v>
      </c>
      <c r="I338" s="618">
        <v>-25476.68</v>
      </c>
      <c r="J338" s="618">
        <v>-223476.86</v>
      </c>
      <c r="K338" s="618">
        <v>-216317.37</v>
      </c>
      <c r="L338" s="618">
        <v>-1101667.54</v>
      </c>
      <c r="M338" s="618">
        <v>-1004247.93</v>
      </c>
      <c r="N338" s="618">
        <v>-41566.879999999997</v>
      </c>
      <c r="O338" s="618">
        <v>-43.08</v>
      </c>
      <c r="P338" s="618">
        <v>0</v>
      </c>
      <c r="Q338" s="618">
        <v>0</v>
      </c>
      <c r="R338" s="617">
        <v>0</v>
      </c>
    </row>
    <row r="339" spans="1:18" s="623" customFormat="1" ht="12.75" customHeight="1" x14ac:dyDescent="0.25">
      <c r="A339" s="622" t="s">
        <v>70</v>
      </c>
      <c r="D339" s="622">
        <v>-3964157</v>
      </c>
      <c r="E339" s="622">
        <v>-336474.47</v>
      </c>
      <c r="F339" s="622">
        <v>-184829.6</v>
      </c>
      <c r="G339" s="622">
        <v>-100151.12</v>
      </c>
      <c r="H339" s="622">
        <v>-729905.47</v>
      </c>
      <c r="I339" s="622">
        <v>-25476.68</v>
      </c>
      <c r="J339" s="622">
        <v>-223476.86</v>
      </c>
      <c r="K339" s="622">
        <v>-216317.37</v>
      </c>
      <c r="L339" s="622">
        <v>-1101667.54</v>
      </c>
      <c r="M339" s="622">
        <v>-1004247.93</v>
      </c>
      <c r="N339" s="622">
        <v>-41566.879999999997</v>
      </c>
      <c r="O339" s="622">
        <v>-43.08</v>
      </c>
      <c r="P339" s="623">
        <v>0</v>
      </c>
      <c r="Q339" s="623">
        <v>0</v>
      </c>
      <c r="R339" s="623">
        <v>0</v>
      </c>
    </row>
    <row r="340" spans="1:18" ht="12.75" customHeight="1" x14ac:dyDescent="0.25">
      <c r="C340" s="610"/>
      <c r="D340" s="610"/>
      <c r="E340" s="610"/>
      <c r="F340" s="610"/>
      <c r="G340" s="610"/>
      <c r="H340" s="610"/>
      <c r="I340" s="610"/>
      <c r="J340" s="610"/>
      <c r="K340" s="610"/>
      <c r="L340" s="610"/>
      <c r="M340" s="610"/>
      <c r="N340" s="610"/>
      <c r="O340" s="610"/>
      <c r="Q340" s="610"/>
    </row>
    <row r="341" spans="1:18" ht="12.75" customHeight="1" x14ac:dyDescent="0.25">
      <c r="C341" s="610"/>
      <c r="D341" s="610"/>
      <c r="E341" s="610"/>
      <c r="F341" s="610"/>
      <c r="G341" s="610"/>
      <c r="H341" s="610"/>
      <c r="I341" s="610"/>
      <c r="J341" s="610"/>
      <c r="K341" s="610"/>
      <c r="L341" s="610"/>
      <c r="M341" s="610"/>
      <c r="N341" s="610"/>
      <c r="O341" s="610"/>
      <c r="Q341" s="610"/>
    </row>
    <row r="342" spans="1:18" ht="12.75" customHeight="1" x14ac:dyDescent="0.25">
      <c r="A342" s="775" t="s">
        <v>2</v>
      </c>
      <c r="B342" s="774" t="s">
        <v>132</v>
      </c>
      <c r="C342" s="622" t="s">
        <v>70</v>
      </c>
      <c r="D342" s="622">
        <f>D339-P339</f>
        <v>-3964157</v>
      </c>
      <c r="E342" s="622">
        <f>E335</f>
        <v>-249692.11</v>
      </c>
      <c r="F342" s="622">
        <f t="shared" ref="F342:R342" si="12">F335</f>
        <v>-137439.75</v>
      </c>
      <c r="G342" s="622">
        <f t="shared" si="12"/>
        <v>-74361.94</v>
      </c>
      <c r="H342" s="622">
        <f t="shared" si="12"/>
        <v>-597920.80000000005</v>
      </c>
      <c r="I342" s="622">
        <f t="shared" si="12"/>
        <v>-20835.71</v>
      </c>
      <c r="J342" s="622">
        <f t="shared" si="12"/>
        <v>-182766.36</v>
      </c>
      <c r="K342" s="622">
        <f t="shared" si="12"/>
        <v>-176896.84</v>
      </c>
      <c r="L342" s="622">
        <f t="shared" si="12"/>
        <v>-902118.91</v>
      </c>
      <c r="M342" s="622">
        <f t="shared" si="12"/>
        <v>-745598.4</v>
      </c>
      <c r="N342" s="622">
        <f t="shared" si="12"/>
        <v>-33994.58</v>
      </c>
      <c r="O342" s="622">
        <f t="shared" si="12"/>
        <v>-43.08</v>
      </c>
      <c r="P342" s="622">
        <f t="shared" si="12"/>
        <v>0</v>
      </c>
      <c r="Q342" s="622">
        <f t="shared" si="12"/>
        <v>0</v>
      </c>
      <c r="R342" s="622">
        <f t="shared" si="12"/>
        <v>0</v>
      </c>
    </row>
    <row r="343" spans="1:18" ht="12.75" customHeight="1" x14ac:dyDescent="0.25">
      <c r="A343" s="775"/>
      <c r="B343" s="774"/>
      <c r="C343" s="622" t="s">
        <v>73</v>
      </c>
      <c r="D343" s="622">
        <f>D337</f>
        <v>-842488.52</v>
      </c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</row>
    <row r="344" spans="1:18" ht="12.75" customHeight="1" x14ac:dyDescent="0.25">
      <c r="A344" s="609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</row>
    <row r="345" spans="1:18" ht="12.75" customHeight="1" x14ac:dyDescent="0.25">
      <c r="A345" s="775" t="s">
        <v>160</v>
      </c>
      <c r="B345" s="774" t="s">
        <v>132</v>
      </c>
      <c r="C345" s="624" t="s">
        <v>70</v>
      </c>
      <c r="D345" s="624">
        <v>0</v>
      </c>
      <c r="E345" s="624">
        <v>0</v>
      </c>
      <c r="F345" s="624">
        <v>0</v>
      </c>
      <c r="G345" s="624">
        <v>0</v>
      </c>
      <c r="H345" s="624">
        <v>0</v>
      </c>
      <c r="I345" s="624">
        <v>0</v>
      </c>
      <c r="J345" s="624">
        <v>0</v>
      </c>
      <c r="K345" s="624">
        <v>0</v>
      </c>
      <c r="L345" s="624">
        <v>0</v>
      </c>
      <c r="M345" s="624">
        <v>0</v>
      </c>
      <c r="N345" s="624">
        <v>0</v>
      </c>
      <c r="O345" s="624">
        <v>0</v>
      </c>
      <c r="P345" s="624">
        <v>0</v>
      </c>
      <c r="Q345" s="624">
        <v>0</v>
      </c>
      <c r="R345" s="624">
        <v>0</v>
      </c>
    </row>
    <row r="346" spans="1:18" ht="12.75" customHeight="1" x14ac:dyDescent="0.25">
      <c r="A346" s="775"/>
      <c r="B346" s="774"/>
      <c r="C346" s="624" t="s">
        <v>73</v>
      </c>
      <c r="D346" s="624">
        <v>0</v>
      </c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</row>
    <row r="347" spans="1:18" ht="12.75" customHeight="1" x14ac:dyDescent="0.25">
      <c r="A347" s="609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</row>
    <row r="348" spans="1:18" ht="12.75" customHeight="1" x14ac:dyDescent="0.25">
      <c r="A348" s="775" t="s">
        <v>155</v>
      </c>
      <c r="B348" s="774" t="s">
        <v>132</v>
      </c>
      <c r="C348" s="625" t="s">
        <v>70</v>
      </c>
      <c r="D348" s="625">
        <f>D338-P338</f>
        <v>-3964157</v>
      </c>
      <c r="E348" s="625">
        <f t="shared" ref="E348:R348" si="13">E335</f>
        <v>-249692.11</v>
      </c>
      <c r="F348" s="625">
        <f t="shared" si="13"/>
        <v>-137439.75</v>
      </c>
      <c r="G348" s="625">
        <f t="shared" si="13"/>
        <v>-74361.94</v>
      </c>
      <c r="H348" s="625">
        <f t="shared" si="13"/>
        <v>-597920.80000000005</v>
      </c>
      <c r="I348" s="625">
        <f t="shared" si="13"/>
        <v>-20835.71</v>
      </c>
      <c r="J348" s="625">
        <f t="shared" si="13"/>
        <v>-182766.36</v>
      </c>
      <c r="K348" s="625">
        <f t="shared" si="13"/>
        <v>-176896.84</v>
      </c>
      <c r="L348" s="625">
        <f t="shared" si="13"/>
        <v>-902118.91</v>
      </c>
      <c r="M348" s="625">
        <f t="shared" si="13"/>
        <v>-745598.4</v>
      </c>
      <c r="N348" s="625">
        <f t="shared" si="13"/>
        <v>-33994.58</v>
      </c>
      <c r="O348" s="625">
        <f t="shared" si="13"/>
        <v>-43.08</v>
      </c>
      <c r="P348" s="625">
        <f t="shared" si="13"/>
        <v>0</v>
      </c>
      <c r="Q348" s="625">
        <f t="shared" si="13"/>
        <v>0</v>
      </c>
      <c r="R348" s="625">
        <f t="shared" si="13"/>
        <v>0</v>
      </c>
    </row>
    <row r="349" spans="1:18" ht="12.75" customHeight="1" x14ac:dyDescent="0.25">
      <c r="A349" s="775"/>
      <c r="B349" s="774"/>
      <c r="C349" s="625" t="s">
        <v>73</v>
      </c>
      <c r="D349" s="625">
        <f>D337</f>
        <v>-842488.52</v>
      </c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0"/>
      <c r="P349" s="610"/>
      <c r="Q349" s="610"/>
    </row>
    <row r="350" spans="1:18" ht="12.75" customHeight="1" x14ac:dyDescent="0.25">
      <c r="A350" s="609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0"/>
      <c r="P350" s="610"/>
      <c r="Q350" s="610"/>
    </row>
    <row r="351" spans="1:18" ht="12.75" customHeight="1" x14ac:dyDescent="0.25">
      <c r="A351" s="773" t="s">
        <v>324</v>
      </c>
      <c r="B351" s="774" t="s">
        <v>132</v>
      </c>
      <c r="C351" s="625" t="s">
        <v>70</v>
      </c>
      <c r="D351" s="718">
        <v>0</v>
      </c>
      <c r="E351" s="718">
        <v>0</v>
      </c>
      <c r="F351" s="718">
        <v>0</v>
      </c>
      <c r="G351" s="718">
        <v>0</v>
      </c>
      <c r="H351" s="718">
        <v>0</v>
      </c>
      <c r="I351" s="718">
        <v>0</v>
      </c>
      <c r="J351" s="718">
        <v>0</v>
      </c>
      <c r="K351" s="718">
        <v>0</v>
      </c>
      <c r="L351" s="718">
        <v>0</v>
      </c>
      <c r="M351" s="718">
        <v>0</v>
      </c>
      <c r="N351" s="718">
        <v>0</v>
      </c>
      <c r="O351" s="718">
        <v>0</v>
      </c>
      <c r="P351" s="718">
        <v>0</v>
      </c>
      <c r="Q351" s="718">
        <v>0</v>
      </c>
      <c r="R351" s="718">
        <v>0</v>
      </c>
    </row>
    <row r="352" spans="1:18" ht="12.75" customHeight="1" x14ac:dyDescent="0.25">
      <c r="A352" s="773"/>
      <c r="B352" s="774"/>
      <c r="C352" s="625" t="s">
        <v>73</v>
      </c>
      <c r="D352" s="718">
        <v>0</v>
      </c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</row>
    <row r="353" spans="1:18" ht="12.75" customHeight="1" x14ac:dyDescent="0.25">
      <c r="A353" s="609"/>
      <c r="D353" s="610"/>
      <c r="E353" s="610"/>
      <c r="F353" s="610"/>
      <c r="G353" s="610"/>
      <c r="H353" s="610"/>
      <c r="I353" s="610"/>
      <c r="J353" s="610"/>
      <c r="K353" s="610"/>
      <c r="L353" s="610"/>
      <c r="M353" s="610"/>
      <c r="N353" s="610"/>
      <c r="O353" s="610"/>
      <c r="P353" s="610"/>
      <c r="Q353" s="610"/>
    </row>
    <row r="354" spans="1:18" ht="12.75" customHeight="1" x14ac:dyDescent="0.25">
      <c r="A354" s="775" t="s">
        <v>119</v>
      </c>
      <c r="B354" s="774" t="s">
        <v>132</v>
      </c>
      <c r="C354" s="620" t="s">
        <v>70</v>
      </c>
      <c r="D354" s="620">
        <v>0</v>
      </c>
      <c r="E354" s="620">
        <v>0</v>
      </c>
      <c r="F354" s="620">
        <v>0</v>
      </c>
      <c r="G354" s="620">
        <v>0</v>
      </c>
      <c r="H354" s="620">
        <v>0</v>
      </c>
      <c r="I354" s="620">
        <v>0</v>
      </c>
      <c r="J354" s="620">
        <v>0</v>
      </c>
      <c r="K354" s="620">
        <v>0</v>
      </c>
      <c r="L354" s="620">
        <v>0</v>
      </c>
      <c r="M354" s="620">
        <v>0</v>
      </c>
      <c r="N354" s="620">
        <v>0</v>
      </c>
      <c r="O354" s="620">
        <v>0</v>
      </c>
      <c r="P354" s="620">
        <v>0</v>
      </c>
      <c r="Q354" s="620">
        <v>0</v>
      </c>
      <c r="R354" s="620">
        <v>0</v>
      </c>
    </row>
    <row r="355" spans="1:18" ht="12.75" customHeight="1" x14ac:dyDescent="0.25">
      <c r="A355" s="775"/>
      <c r="B355" s="774"/>
      <c r="C355" s="620" t="s">
        <v>73</v>
      </c>
      <c r="D355" s="621">
        <v>0</v>
      </c>
      <c r="E355" s="610"/>
      <c r="F355" s="610"/>
      <c r="G355" s="610"/>
      <c r="H355" s="610"/>
      <c r="I355" s="610"/>
      <c r="J355" s="610"/>
      <c r="K355" s="610"/>
      <c r="L355" s="610"/>
      <c r="M355" s="610"/>
      <c r="N355" s="610"/>
      <c r="O355" s="610"/>
      <c r="P355" s="610"/>
      <c r="Q355" s="610"/>
    </row>
    <row r="356" spans="1:18" ht="12.75" customHeight="1" x14ac:dyDescent="0.25">
      <c r="A356" s="609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0"/>
      <c r="O356" s="610"/>
      <c r="P356" s="610"/>
      <c r="Q356" s="610"/>
    </row>
    <row r="357" spans="1:18" x14ac:dyDescent="0.25">
      <c r="A357" s="776" t="s">
        <v>161</v>
      </c>
      <c r="B357" s="774" t="s">
        <v>132</v>
      </c>
      <c r="C357" s="626" t="s">
        <v>70</v>
      </c>
      <c r="D357" s="626">
        <v>0</v>
      </c>
      <c r="E357" s="626">
        <v>0</v>
      </c>
      <c r="F357" s="626">
        <v>0</v>
      </c>
      <c r="G357" s="626">
        <v>0</v>
      </c>
      <c r="H357" s="626">
        <v>0</v>
      </c>
      <c r="I357" s="626">
        <v>0</v>
      </c>
      <c r="J357" s="626">
        <v>0</v>
      </c>
      <c r="K357" s="626">
        <v>0</v>
      </c>
      <c r="L357" s="626">
        <v>0</v>
      </c>
      <c r="M357" s="626">
        <v>0</v>
      </c>
      <c r="N357" s="626">
        <v>0</v>
      </c>
      <c r="O357" s="626">
        <v>0</v>
      </c>
      <c r="P357" s="626">
        <v>0</v>
      </c>
      <c r="Q357" s="626">
        <v>0</v>
      </c>
      <c r="R357" s="626">
        <v>0</v>
      </c>
    </row>
    <row r="358" spans="1:18" x14ac:dyDescent="0.25">
      <c r="A358" s="776"/>
      <c r="B358" s="774"/>
      <c r="C358" s="626" t="s">
        <v>73</v>
      </c>
      <c r="D358" s="626">
        <v>0</v>
      </c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0"/>
      <c r="P358" s="610"/>
      <c r="Q358" s="610"/>
    </row>
    <row r="359" spans="1:18" s="627" customFormat="1" x14ac:dyDescent="0.25"/>
    <row r="362" spans="1:18" x14ac:dyDescent="0.25">
      <c r="D362" s="608">
        <f t="shared" ref="D362:R362" si="14">D73+D168+D199+D313+D342</f>
        <v>-73419442.849999994</v>
      </c>
      <c r="E362" s="608">
        <f t="shared" si="14"/>
        <v>-5101242.9799999995</v>
      </c>
      <c r="F362" s="608">
        <f t="shared" si="14"/>
        <v>-2769882.3099999996</v>
      </c>
      <c r="G362" s="608">
        <f t="shared" si="14"/>
        <v>-1421385.93</v>
      </c>
      <c r="H362" s="608">
        <f t="shared" si="14"/>
        <v>-20414591.16</v>
      </c>
      <c r="I362" s="608">
        <f t="shared" si="14"/>
        <v>-727679.81</v>
      </c>
      <c r="J362" s="608">
        <f t="shared" si="14"/>
        <v>-6397834.5200000005</v>
      </c>
      <c r="K362" s="608">
        <f t="shared" si="14"/>
        <v>-6430204.4699999988</v>
      </c>
      <c r="L362" s="608">
        <f t="shared" si="14"/>
        <v>-30501095.91</v>
      </c>
      <c r="M362" s="608">
        <f t="shared" si="14"/>
        <v>-12483020.790000001</v>
      </c>
      <c r="N362" s="608">
        <f t="shared" si="14"/>
        <v>-1189079.77</v>
      </c>
      <c r="O362" s="608">
        <f t="shared" si="14"/>
        <v>-147.80000000000001</v>
      </c>
      <c r="P362" s="608">
        <f t="shared" si="14"/>
        <v>0</v>
      </c>
      <c r="Q362" s="608">
        <f t="shared" si="14"/>
        <v>0.16</v>
      </c>
      <c r="R362" s="608">
        <f t="shared" si="14"/>
        <v>0.19</v>
      </c>
    </row>
    <row r="363" spans="1:18" x14ac:dyDescent="0.25">
      <c r="D363" s="608">
        <f>D74+D169+D200+D314+D343</f>
        <v>14016722.25</v>
      </c>
    </row>
  </sheetData>
  <mergeCells count="60">
    <mergeCell ref="A328:A329"/>
    <mergeCell ref="B328:B329"/>
    <mergeCell ref="A342:A343"/>
    <mergeCell ref="B342:B343"/>
    <mergeCell ref="A357:A358"/>
    <mergeCell ref="B357:B358"/>
    <mergeCell ref="A345:A346"/>
    <mergeCell ref="B345:B346"/>
    <mergeCell ref="A348:A349"/>
    <mergeCell ref="B348:B349"/>
    <mergeCell ref="A354:A355"/>
    <mergeCell ref="B354:B355"/>
    <mergeCell ref="A351:A352"/>
    <mergeCell ref="B351:B352"/>
    <mergeCell ref="A319:A320"/>
    <mergeCell ref="B319:B320"/>
    <mergeCell ref="A325:A326"/>
    <mergeCell ref="B325:B326"/>
    <mergeCell ref="A322:A323"/>
    <mergeCell ref="B322:B323"/>
    <mergeCell ref="A214:A215"/>
    <mergeCell ref="B214:B215"/>
    <mergeCell ref="A313:A314"/>
    <mergeCell ref="B313:B314"/>
    <mergeCell ref="A316:A317"/>
    <mergeCell ref="B316:B317"/>
    <mergeCell ref="A202:A203"/>
    <mergeCell ref="B202:B203"/>
    <mergeCell ref="A205:A206"/>
    <mergeCell ref="B205:B206"/>
    <mergeCell ref="A211:A212"/>
    <mergeCell ref="B211:B212"/>
    <mergeCell ref="A180:A181"/>
    <mergeCell ref="B180:B181"/>
    <mergeCell ref="A183:A184"/>
    <mergeCell ref="B183:B184"/>
    <mergeCell ref="A199:A200"/>
    <mergeCell ref="B199:B200"/>
    <mergeCell ref="A73:A74"/>
    <mergeCell ref="B73:B74"/>
    <mergeCell ref="A76:A77"/>
    <mergeCell ref="B76:B77"/>
    <mergeCell ref="A79:A80"/>
    <mergeCell ref="B79:B80"/>
    <mergeCell ref="A82:A83"/>
    <mergeCell ref="B82:B83"/>
    <mergeCell ref="A177:A178"/>
    <mergeCell ref="B177:B178"/>
    <mergeCell ref="A208:A209"/>
    <mergeCell ref="B208:B209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</mergeCells>
  <conditionalFormatting sqref="D75:D89 D168:D184 D199:D215 D313:D329 D342:D358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21875" bestFit="1" customWidth="1"/>
    <col min="5" max="5" width="15.77734375" bestFit="1" customWidth="1"/>
    <col min="6" max="6" width="16.21875" customWidth="1"/>
    <col min="7" max="7" width="15.44140625" bestFit="1" customWidth="1"/>
    <col min="8" max="8" width="15" bestFit="1" customWidth="1"/>
    <col min="9" max="9" width="15.21875" bestFit="1" customWidth="1"/>
    <col min="10" max="10" width="17" bestFit="1" customWidth="1"/>
    <col min="11" max="12" width="15.5546875" bestFit="1" customWidth="1"/>
    <col min="13" max="13" width="15.21875" bestFit="1" customWidth="1"/>
    <col min="14" max="14" width="17.777343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s="89" t="s">
        <v>81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6" ht="12.75" customHeight="1" x14ac:dyDescent="0.25">
      <c r="A5" s="378" t="s">
        <v>78</v>
      </c>
      <c r="B5" s="378" t="s">
        <v>70</v>
      </c>
      <c r="C5" s="379">
        <v>0</v>
      </c>
      <c r="D5" s="379">
        <v>0</v>
      </c>
      <c r="E5" s="379">
        <v>0</v>
      </c>
      <c r="F5" s="379">
        <v>0</v>
      </c>
      <c r="G5" s="379">
        <v>0</v>
      </c>
      <c r="H5" s="379">
        <v>0</v>
      </c>
      <c r="I5" s="379">
        <v>0</v>
      </c>
      <c r="J5" s="379">
        <v>0</v>
      </c>
      <c r="K5" s="379">
        <v>0</v>
      </c>
      <c r="L5" s="379">
        <v>0</v>
      </c>
      <c r="M5" s="379">
        <v>0</v>
      </c>
      <c r="N5" s="379">
        <v>0</v>
      </c>
      <c r="O5" s="379">
        <v>0</v>
      </c>
      <c r="P5" s="380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5" t="s">
        <v>79</v>
      </c>
      <c r="B7" s="375" t="s">
        <v>70</v>
      </c>
      <c r="C7" s="376">
        <v>0</v>
      </c>
      <c r="D7" s="376">
        <v>0</v>
      </c>
      <c r="E7" s="376">
        <v>0</v>
      </c>
      <c r="F7" s="376">
        <v>0</v>
      </c>
      <c r="G7" s="376">
        <v>0</v>
      </c>
      <c r="H7" s="376">
        <v>0</v>
      </c>
      <c r="I7" s="376">
        <v>0</v>
      </c>
      <c r="J7" s="376">
        <v>0</v>
      </c>
      <c r="K7" s="376">
        <v>0</v>
      </c>
      <c r="L7" s="376">
        <v>0</v>
      </c>
      <c r="M7" s="376">
        <v>0</v>
      </c>
      <c r="N7" s="376">
        <v>0</v>
      </c>
      <c r="O7" s="376">
        <v>0</v>
      </c>
      <c r="P7" s="374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s="89" t="s">
        <v>72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6" ht="12.75" customHeight="1" x14ac:dyDescent="0.25">
      <c r="B17" s="89" t="s">
        <v>81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6" ht="12.75" customHeight="1" x14ac:dyDescent="0.25">
      <c r="A18" s="378" t="s">
        <v>78</v>
      </c>
      <c r="B18" s="378" t="s">
        <v>70</v>
      </c>
      <c r="C18" s="379">
        <v>0</v>
      </c>
      <c r="D18" s="379">
        <v>0</v>
      </c>
      <c r="E18" s="379">
        <v>0</v>
      </c>
      <c r="F18" s="379">
        <v>0</v>
      </c>
      <c r="G18" s="379">
        <v>0</v>
      </c>
      <c r="H18" s="379">
        <v>0</v>
      </c>
      <c r="I18" s="379">
        <v>0</v>
      </c>
      <c r="J18" s="379">
        <v>0</v>
      </c>
      <c r="K18" s="379">
        <v>0</v>
      </c>
      <c r="L18" s="379">
        <v>0</v>
      </c>
      <c r="M18" s="379">
        <v>0</v>
      </c>
      <c r="N18" s="379">
        <v>0</v>
      </c>
      <c r="O18" s="379">
        <v>0</v>
      </c>
      <c r="P18" s="380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5" t="s">
        <v>79</v>
      </c>
      <c r="B20" s="375" t="s">
        <v>70</v>
      </c>
      <c r="C20" s="376">
        <v>0</v>
      </c>
      <c r="D20" s="376">
        <v>0</v>
      </c>
      <c r="E20" s="376">
        <v>0</v>
      </c>
      <c r="F20" s="376">
        <v>0</v>
      </c>
      <c r="G20" s="376">
        <v>0</v>
      </c>
      <c r="H20" s="376">
        <v>0</v>
      </c>
      <c r="I20" s="376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  <c r="P20" s="374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s="89" t="s">
        <v>81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6" ht="12.75" customHeight="1" x14ac:dyDescent="0.25">
      <c r="A31" s="378" t="s">
        <v>78</v>
      </c>
      <c r="B31" s="378" t="s">
        <v>70</v>
      </c>
      <c r="C31" s="379">
        <v>0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80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5" t="s">
        <v>79</v>
      </c>
      <c r="B33" s="375" t="s">
        <v>70</v>
      </c>
      <c r="C33" s="376">
        <v>0</v>
      </c>
      <c r="D33" s="376">
        <v>0</v>
      </c>
      <c r="E33" s="376">
        <v>0</v>
      </c>
      <c r="F33" s="376">
        <v>0</v>
      </c>
      <c r="G33" s="376">
        <v>0</v>
      </c>
      <c r="H33" s="376">
        <v>0</v>
      </c>
      <c r="I33" s="376">
        <v>0</v>
      </c>
      <c r="J33" s="376">
        <v>0</v>
      </c>
      <c r="K33" s="376">
        <v>0</v>
      </c>
      <c r="L33" s="376">
        <v>0</v>
      </c>
      <c r="M33" s="376">
        <v>0</v>
      </c>
      <c r="N33" s="376">
        <v>0</v>
      </c>
      <c r="O33" s="376">
        <v>0</v>
      </c>
      <c r="P33" s="374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s="89" t="s">
        <v>72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8" t="s">
        <v>78</v>
      </c>
      <c r="B44" s="378" t="s">
        <v>70</v>
      </c>
      <c r="C44" s="379">
        <v>0</v>
      </c>
      <c r="D44" s="379">
        <v>0</v>
      </c>
      <c r="E44" s="379">
        <v>0</v>
      </c>
      <c r="F44" s="379">
        <v>0</v>
      </c>
      <c r="G44" s="379">
        <v>0</v>
      </c>
      <c r="H44" s="379">
        <v>0</v>
      </c>
      <c r="I44" s="379">
        <v>0</v>
      </c>
      <c r="J44" s="379">
        <v>0</v>
      </c>
      <c r="K44" s="379">
        <v>0</v>
      </c>
      <c r="L44" s="379">
        <v>0</v>
      </c>
      <c r="M44" s="379">
        <v>0</v>
      </c>
      <c r="N44" s="379">
        <v>0</v>
      </c>
      <c r="O44" s="379">
        <v>0</v>
      </c>
      <c r="P44" s="380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5" t="s">
        <v>79</v>
      </c>
      <c r="B46" s="375" t="s">
        <v>70</v>
      </c>
      <c r="C46" s="376">
        <v>0</v>
      </c>
      <c r="D46" s="376">
        <v>0</v>
      </c>
      <c r="E46" s="376">
        <v>0</v>
      </c>
      <c r="F46" s="376">
        <v>0</v>
      </c>
      <c r="G46" s="376">
        <v>0</v>
      </c>
      <c r="H46" s="376">
        <v>0</v>
      </c>
      <c r="I46" s="376">
        <v>0</v>
      </c>
      <c r="J46" s="376">
        <v>0</v>
      </c>
      <c r="K46" s="376">
        <v>0</v>
      </c>
      <c r="L46" s="376">
        <v>0</v>
      </c>
      <c r="M46" s="376">
        <v>0</v>
      </c>
      <c r="N46" s="376">
        <v>0</v>
      </c>
      <c r="O46" s="376">
        <v>0</v>
      </c>
      <c r="P46" s="374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8" t="s">
        <v>78</v>
      </c>
      <c r="B57" s="378" t="s">
        <v>70</v>
      </c>
      <c r="C57" s="379">
        <v>0</v>
      </c>
      <c r="D57" s="379">
        <v>0</v>
      </c>
      <c r="E57" s="379">
        <v>0</v>
      </c>
      <c r="F57" s="379">
        <v>0</v>
      </c>
      <c r="G57" s="379">
        <v>0</v>
      </c>
      <c r="H57" s="379">
        <v>0</v>
      </c>
      <c r="I57" s="380">
        <v>0</v>
      </c>
      <c r="J57" s="379">
        <v>0</v>
      </c>
      <c r="K57" s="379">
        <v>0</v>
      </c>
      <c r="L57" s="379">
        <v>0</v>
      </c>
      <c r="M57" s="379">
        <v>0</v>
      </c>
      <c r="N57" s="379">
        <v>0</v>
      </c>
      <c r="O57" s="379">
        <v>0</v>
      </c>
      <c r="P57" s="380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5" t="s">
        <v>79</v>
      </c>
      <c r="B59" s="375" t="s">
        <v>70</v>
      </c>
      <c r="C59" s="376">
        <v>0</v>
      </c>
      <c r="D59" s="376">
        <v>0</v>
      </c>
      <c r="E59" s="376">
        <v>0</v>
      </c>
      <c r="F59" s="376">
        <v>0</v>
      </c>
      <c r="G59" s="376">
        <v>0</v>
      </c>
      <c r="H59" s="376">
        <v>0</v>
      </c>
      <c r="I59" s="374">
        <v>0</v>
      </c>
      <c r="J59" s="376">
        <v>0</v>
      </c>
      <c r="K59" s="376">
        <v>0</v>
      </c>
      <c r="L59" s="376">
        <v>0</v>
      </c>
      <c r="M59" s="376">
        <v>0</v>
      </c>
      <c r="N59" s="376">
        <v>0</v>
      </c>
      <c r="O59" s="376">
        <v>0</v>
      </c>
      <c r="P59" s="374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21875" style="144" bestFit="1" customWidth="1"/>
    <col min="4" max="4" width="23.21875" bestFit="1" customWidth="1"/>
    <col min="5" max="5" width="15.777343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21875" bestFit="1" customWidth="1"/>
    <col min="12" max="12" width="17" bestFit="1" customWidth="1"/>
    <col min="13" max="14" width="15.5546875" bestFit="1" customWidth="1"/>
    <col min="15" max="15" width="15.218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7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s="89" t="s">
        <v>81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80" customFormat="1" ht="12.75" customHeight="1" x14ac:dyDescent="0.25">
      <c r="A5" s="378" t="s">
        <v>78</v>
      </c>
      <c r="B5" s="378" t="s">
        <v>70</v>
      </c>
      <c r="C5" s="379">
        <v>0</v>
      </c>
      <c r="D5" s="379">
        <v>0</v>
      </c>
      <c r="E5" s="379">
        <v>0</v>
      </c>
      <c r="F5" s="379">
        <v>0</v>
      </c>
      <c r="G5" s="379">
        <v>0</v>
      </c>
      <c r="H5" s="379">
        <v>0</v>
      </c>
      <c r="I5" s="379">
        <v>0</v>
      </c>
      <c r="J5" s="379">
        <v>0</v>
      </c>
      <c r="K5" s="379">
        <v>0</v>
      </c>
      <c r="L5" s="379">
        <v>0</v>
      </c>
      <c r="M5" s="379">
        <v>0</v>
      </c>
      <c r="N5" s="379">
        <v>0</v>
      </c>
      <c r="O5" s="379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4" customFormat="1" ht="12.75" customHeight="1" x14ac:dyDescent="0.25">
      <c r="A7" s="375" t="s">
        <v>79</v>
      </c>
      <c r="B7" s="375" t="s">
        <v>70</v>
      </c>
      <c r="C7" s="376">
        <v>0</v>
      </c>
      <c r="D7" s="376">
        <v>0</v>
      </c>
      <c r="E7" s="376">
        <v>0</v>
      </c>
      <c r="F7" s="376">
        <v>0</v>
      </c>
      <c r="G7" s="376">
        <v>0</v>
      </c>
      <c r="H7" s="376">
        <v>0</v>
      </c>
      <c r="I7" s="376">
        <v>0</v>
      </c>
      <c r="J7" s="376">
        <v>0</v>
      </c>
      <c r="K7" s="376">
        <v>0</v>
      </c>
      <c r="L7" s="376">
        <v>0</v>
      </c>
      <c r="M7" s="376">
        <v>0</v>
      </c>
      <c r="N7" s="376">
        <v>0</v>
      </c>
      <c r="O7" s="376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7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80" customFormat="1" ht="12.75" customHeight="1" x14ac:dyDescent="0.25">
      <c r="A18" s="378" t="s">
        <v>78</v>
      </c>
      <c r="B18" s="378" t="s">
        <v>70</v>
      </c>
      <c r="C18" s="379">
        <v>0</v>
      </c>
      <c r="D18" s="379">
        <v>0</v>
      </c>
      <c r="E18" s="379">
        <v>0</v>
      </c>
      <c r="F18" s="379">
        <v>0</v>
      </c>
      <c r="G18" s="379">
        <v>0</v>
      </c>
      <c r="H18" s="379">
        <v>0</v>
      </c>
      <c r="I18" s="380">
        <v>0</v>
      </c>
      <c r="J18" s="379">
        <v>0</v>
      </c>
      <c r="K18" s="379">
        <v>0</v>
      </c>
      <c r="L18" s="379">
        <v>0</v>
      </c>
      <c r="M18" s="379">
        <v>0</v>
      </c>
      <c r="N18" s="379">
        <v>0</v>
      </c>
      <c r="O18" s="379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4" customFormat="1" ht="12.75" customHeight="1" x14ac:dyDescent="0.25">
      <c r="A20" s="375" t="s">
        <v>79</v>
      </c>
      <c r="B20" s="375" t="s">
        <v>70</v>
      </c>
      <c r="C20" s="376">
        <v>0</v>
      </c>
      <c r="D20" s="376">
        <v>0</v>
      </c>
      <c r="E20" s="376">
        <v>0</v>
      </c>
      <c r="F20" s="376">
        <v>0</v>
      </c>
      <c r="G20" s="376">
        <v>0</v>
      </c>
      <c r="H20" s="376">
        <v>0</v>
      </c>
      <c r="I20" s="374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7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80" customFormat="1" ht="12.75" customHeight="1" x14ac:dyDescent="0.25">
      <c r="A31" s="378" t="s">
        <v>78</v>
      </c>
      <c r="B31" s="378" t="s">
        <v>70</v>
      </c>
      <c r="C31" s="379">
        <v>0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4" customFormat="1" ht="12.75" customHeight="1" x14ac:dyDescent="0.25">
      <c r="A33" s="375" t="s">
        <v>79</v>
      </c>
      <c r="B33" s="375" t="s">
        <v>70</v>
      </c>
      <c r="C33" s="376">
        <v>0</v>
      </c>
      <c r="D33" s="376">
        <v>0</v>
      </c>
      <c r="E33" s="376">
        <v>0</v>
      </c>
      <c r="F33" s="376">
        <v>0</v>
      </c>
      <c r="G33" s="376">
        <v>0</v>
      </c>
      <c r="H33" s="376">
        <v>0</v>
      </c>
      <c r="I33" s="376">
        <v>0</v>
      </c>
      <c r="J33" s="376">
        <v>0</v>
      </c>
      <c r="K33" s="376">
        <v>0</v>
      </c>
      <c r="L33" s="376">
        <v>0</v>
      </c>
      <c r="M33" s="376">
        <v>0</v>
      </c>
      <c r="N33" s="376">
        <v>0</v>
      </c>
      <c r="O33" s="376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7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80" customFormat="1" ht="12.75" customHeight="1" x14ac:dyDescent="0.25">
      <c r="A44" s="378" t="s">
        <v>78</v>
      </c>
      <c r="B44" s="378" t="s">
        <v>70</v>
      </c>
      <c r="C44" s="379">
        <v>0</v>
      </c>
      <c r="D44" s="379">
        <v>0</v>
      </c>
      <c r="E44" s="379">
        <v>0</v>
      </c>
      <c r="F44" s="379">
        <v>0</v>
      </c>
      <c r="G44" s="379">
        <v>0</v>
      </c>
      <c r="H44" s="379">
        <v>0</v>
      </c>
      <c r="I44" s="379">
        <v>0</v>
      </c>
      <c r="J44" s="379">
        <v>0</v>
      </c>
      <c r="K44" s="379">
        <v>0</v>
      </c>
      <c r="L44" s="379">
        <v>0</v>
      </c>
      <c r="M44" s="379">
        <v>0</v>
      </c>
      <c r="N44" s="379">
        <v>0</v>
      </c>
      <c r="O44" s="379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4" customFormat="1" ht="12.75" customHeight="1" x14ac:dyDescent="0.25">
      <c r="A46" s="375" t="s">
        <v>79</v>
      </c>
      <c r="B46" s="375" t="s">
        <v>70</v>
      </c>
      <c r="C46" s="376">
        <v>0</v>
      </c>
      <c r="D46" s="376">
        <v>0</v>
      </c>
      <c r="E46" s="376">
        <v>0</v>
      </c>
      <c r="F46" s="376">
        <v>0</v>
      </c>
      <c r="G46" s="376">
        <v>0</v>
      </c>
      <c r="H46" s="376">
        <v>0</v>
      </c>
      <c r="I46" s="376">
        <v>0</v>
      </c>
      <c r="J46" s="376">
        <v>0</v>
      </c>
      <c r="K46" s="376">
        <v>0</v>
      </c>
      <c r="L46" s="376">
        <v>0</v>
      </c>
      <c r="M46" s="376">
        <v>0</v>
      </c>
      <c r="N46" s="376">
        <v>0</v>
      </c>
      <c r="O46" s="376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7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80" customFormat="1" ht="12.75" customHeight="1" x14ac:dyDescent="0.25">
      <c r="A56" s="378" t="s">
        <v>78</v>
      </c>
      <c r="B56" s="378" t="s">
        <v>70</v>
      </c>
      <c r="C56" s="379">
        <v>0</v>
      </c>
      <c r="D56" s="379">
        <v>0</v>
      </c>
      <c r="E56" s="379">
        <v>0</v>
      </c>
      <c r="F56" s="379">
        <v>0</v>
      </c>
      <c r="G56" s="379">
        <v>0</v>
      </c>
      <c r="H56" s="379">
        <v>0</v>
      </c>
      <c r="I56" s="380">
        <v>0</v>
      </c>
      <c r="J56" s="379">
        <v>0</v>
      </c>
      <c r="K56" s="379">
        <v>0</v>
      </c>
      <c r="L56" s="379">
        <v>0</v>
      </c>
      <c r="M56" s="379">
        <v>0</v>
      </c>
      <c r="N56" s="379">
        <v>0</v>
      </c>
      <c r="O56" s="379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4" customFormat="1" ht="12.75" customHeight="1" x14ac:dyDescent="0.25">
      <c r="A58" s="375" t="s">
        <v>79</v>
      </c>
      <c r="B58" s="375" t="s">
        <v>70</v>
      </c>
      <c r="C58" s="376">
        <v>0</v>
      </c>
      <c r="D58" s="376">
        <v>0</v>
      </c>
      <c r="E58" s="376">
        <v>0</v>
      </c>
      <c r="F58" s="376">
        <v>0</v>
      </c>
      <c r="G58" s="376">
        <v>0</v>
      </c>
      <c r="H58" s="376">
        <v>0</v>
      </c>
      <c r="I58" s="374">
        <v>0</v>
      </c>
      <c r="J58" s="376">
        <v>0</v>
      </c>
      <c r="K58" s="376">
        <v>0</v>
      </c>
      <c r="L58" s="376">
        <v>0</v>
      </c>
      <c r="M58" s="376">
        <v>0</v>
      </c>
      <c r="N58" s="376">
        <v>0</v>
      </c>
      <c r="O58" s="376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77734375" style="1" customWidth="1"/>
    <col min="14" max="14" width="19.21875" style="1" bestFit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8" width="16.77734375" style="1" customWidth="1"/>
    <col min="29" max="30" width="15.77734375" style="1" bestFit="1" customWidth="1"/>
    <col min="31" max="31" width="16.21875" style="1" customWidth="1"/>
    <col min="32" max="32" width="18.21875" style="1" customWidth="1"/>
    <col min="33" max="33" width="13.77734375" style="1" customWidth="1"/>
    <col min="34" max="34" width="3.44140625" style="1" customWidth="1"/>
    <col min="35" max="35" width="13.777343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2026101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46314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H7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2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81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4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4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4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5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3">
        <f t="shared" si="5"/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2026101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46314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H26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7" customFormat="1" ht="12" x14ac:dyDescent="0.25">
      <c r="B28" s="305">
        <v>1</v>
      </c>
      <c r="C28" s="306" t="s">
        <v>10</v>
      </c>
      <c r="D28" s="293">
        <f>'RETRIBUCION NEGATIVA'!C10</f>
        <v>0</v>
      </c>
      <c r="E28" s="294">
        <f>'RETRIBUCION NEGATIVA'!D10</f>
        <v>0</v>
      </c>
      <c r="F28" s="294">
        <f>'RETRIBUCION NEGATIVA'!E10</f>
        <v>0</v>
      </c>
      <c r="G28" s="294">
        <f>'RETRIBUCION NEGATIVA'!F10</f>
        <v>0</v>
      </c>
      <c r="H28" s="294">
        <f>'RETRIBUCION NEGATIVA'!G10</f>
        <v>0</v>
      </c>
      <c r="I28" s="294">
        <f>'RETRIBUCION NEGATIVA'!H10</f>
        <v>0</v>
      </c>
      <c r="J28" s="290">
        <v>0</v>
      </c>
      <c r="K28" s="295">
        <f>D28-E28-F28-H28-I28-J28-G28</f>
        <v>0</v>
      </c>
      <c r="L28" s="296">
        <v>0</v>
      </c>
      <c r="M28" s="295">
        <f>K28-L28</f>
        <v>0</v>
      </c>
      <c r="N28" s="296">
        <f>'RETRIBUCION NEGATIVA'!I10</f>
        <v>0</v>
      </c>
      <c r="O28" s="295">
        <f>M28+N28</f>
        <v>0</v>
      </c>
      <c r="Q28" s="308"/>
      <c r="S28" s="305">
        <v>1</v>
      </c>
      <c r="T28" s="306" t="s">
        <v>10</v>
      </c>
      <c r="U28" s="293">
        <f>'RETRIBUCION NEGATIVA'!J10</f>
        <v>0</v>
      </c>
      <c r="V28" s="293">
        <f>'RETRIBUCION NEGATIVA'!K10</f>
        <v>0</v>
      </c>
      <c r="W28" s="293">
        <f>'RETRIBUCION NEGATIVA'!L10</f>
        <v>0</v>
      </c>
      <c r="X28" s="293">
        <f>'RETRIBUCION NEGATIVA'!M10</f>
        <v>0</v>
      </c>
      <c r="Y28" s="293">
        <f>'RETRIBUCION NEGATIVA'!N10</f>
        <v>0</v>
      </c>
      <c r="Z28" s="312">
        <f>L28*-1</f>
        <v>0</v>
      </c>
      <c r="AA28" s="314">
        <f>'RETRIBUCION NEGATIVA'!O10</f>
        <v>0</v>
      </c>
      <c r="AB28" s="296">
        <f>N28</f>
        <v>0</v>
      </c>
      <c r="AC28" s="293">
        <f>-J28+AD28</f>
        <v>0</v>
      </c>
      <c r="AD28" s="293">
        <f>'RETRIBUCION NEGATIVA'!C11</f>
        <v>0</v>
      </c>
      <c r="AE28" s="365">
        <f>SUM(U28:AC28)</f>
        <v>0</v>
      </c>
      <c r="AF28" s="313">
        <f>(AE28-O28)</f>
        <v>0</v>
      </c>
      <c r="AG28" s="307" t="b">
        <f>AF28=0</f>
        <v>1</v>
      </c>
      <c r="AH28" s="308"/>
    </row>
    <row r="29" spans="1:34" s="307" customFormat="1" ht="12" x14ac:dyDescent="0.25">
      <c r="B29" s="316">
        <v>2</v>
      </c>
      <c r="C29" s="317" t="s">
        <v>11</v>
      </c>
      <c r="D29" s="293">
        <f>'RETRIBUCION NEGATIVA'!C23</f>
        <v>0</v>
      </c>
      <c r="E29" s="294">
        <f>'RETRIBUCION NEGATIVA'!D23</f>
        <v>0</v>
      </c>
      <c r="F29" s="294">
        <f>'RETRIBUCION NEGATIVA'!E23</f>
        <v>0</v>
      </c>
      <c r="G29" s="294">
        <f>'RETRIBUCION NEGATIVA'!F23</f>
        <v>0</v>
      </c>
      <c r="H29" s="294">
        <f>'RETRIBUCION NEGATIVA'!G23</f>
        <v>0</v>
      </c>
      <c r="I29" s="294">
        <f>'RETRIBUCION NEGATIVA'!H23</f>
        <v>0</v>
      </c>
      <c r="J29" s="290">
        <v>0</v>
      </c>
      <c r="K29" s="297">
        <f t="shared" ref="K29:K32" si="6">D29-E29-F29-H29-I29-J29-G29</f>
        <v>0</v>
      </c>
      <c r="L29" s="301">
        <v>0</v>
      </c>
      <c r="M29" s="297">
        <f>K29-L29</f>
        <v>0</v>
      </c>
      <c r="N29" s="296">
        <f>'RETRIBUCION NEGATIVA'!I23</f>
        <v>0</v>
      </c>
      <c r="O29" s="297">
        <f t="shared" ref="O29:O32" si="7">M29+N29</f>
        <v>0</v>
      </c>
      <c r="Q29" s="308"/>
      <c r="S29" s="316">
        <v>2</v>
      </c>
      <c r="T29" s="317" t="s">
        <v>11</v>
      </c>
      <c r="U29" s="318">
        <f>'RETRIBUCION NEGATIVA'!J23</f>
        <v>0</v>
      </c>
      <c r="V29" s="318">
        <f>'RETRIBUCION NEGATIVA'!K23</f>
        <v>0</v>
      </c>
      <c r="W29" s="318">
        <f>'RETRIBUCION NEGATIVA'!L23</f>
        <v>0</v>
      </c>
      <c r="X29" s="318">
        <f>'RETRIBUCION NEGATIVA'!M23</f>
        <v>0</v>
      </c>
      <c r="Y29" s="318">
        <f>'RETRIBUCION NEGATIVA'!N23</f>
        <v>0</v>
      </c>
      <c r="Z29" s="321">
        <f>L29*-1</f>
        <v>0</v>
      </c>
      <c r="AA29" s="322">
        <f>'RETRIBUCION NEGATIVA'!O23</f>
        <v>0</v>
      </c>
      <c r="AB29" s="296">
        <f>N29</f>
        <v>0</v>
      </c>
      <c r="AC29" s="293">
        <f>-J29+AD29</f>
        <v>0</v>
      </c>
      <c r="AD29" s="293">
        <f>'RETRIBUCION NEGATIVA'!C24</f>
        <v>0</v>
      </c>
      <c r="AE29" s="367">
        <f>SUM(U29:AC29)</f>
        <v>0</v>
      </c>
      <c r="AF29" s="325">
        <f>(AE29-O29)</f>
        <v>0</v>
      </c>
      <c r="AG29" s="307" t="b">
        <f t="shared" ref="AG29:AG33" si="8">AF29=0</f>
        <v>1</v>
      </c>
      <c r="AH29" s="308"/>
    </row>
    <row r="30" spans="1:34" s="307" customFormat="1" ht="12" x14ac:dyDescent="0.25">
      <c r="B30" s="316">
        <v>3</v>
      </c>
      <c r="C30" s="317" t="s">
        <v>12</v>
      </c>
      <c r="D30" s="293">
        <f>'RETRIBUCION NEGATIVA'!C36</f>
        <v>0</v>
      </c>
      <c r="E30" s="294">
        <f>'RETRIBUCION NEGATIVA'!D36</f>
        <v>0</v>
      </c>
      <c r="F30" s="294">
        <f>'RETRIBUCION NEGATIVA'!E36</f>
        <v>0</v>
      </c>
      <c r="G30" s="294">
        <f>'RETRIBUCION NEGATIVA'!F36</f>
        <v>0</v>
      </c>
      <c r="H30" s="294">
        <f>'RETRIBUCION NEGATIVA'!G36</f>
        <v>0</v>
      </c>
      <c r="I30" s="294">
        <f>'RETRIBUCION NEGATIVA'!H36</f>
        <v>0</v>
      </c>
      <c r="J30" s="290">
        <v>0</v>
      </c>
      <c r="K30" s="297">
        <f t="shared" si="6"/>
        <v>0</v>
      </c>
      <c r="L30" s="301">
        <v>0</v>
      </c>
      <c r="M30" s="297">
        <f>K30-L30</f>
        <v>0</v>
      </c>
      <c r="N30" s="296">
        <f>'RETRIBUCION NEGATIVA'!I36</f>
        <v>0</v>
      </c>
      <c r="O30" s="297">
        <f t="shared" si="7"/>
        <v>0</v>
      </c>
      <c r="Q30" s="308"/>
      <c r="S30" s="316">
        <v>3</v>
      </c>
      <c r="T30" s="317" t="s">
        <v>12</v>
      </c>
      <c r="U30" s="318">
        <f>'RETRIBUCION NEGATIVA'!J36</f>
        <v>0</v>
      </c>
      <c r="V30" s="318">
        <f>'RETRIBUCION NEGATIVA'!K36</f>
        <v>0</v>
      </c>
      <c r="W30" s="318">
        <f>'RETRIBUCION NEGATIVA'!L36</f>
        <v>0</v>
      </c>
      <c r="X30" s="318">
        <f>'RETRIBUCION NEGATIVA'!M36</f>
        <v>0</v>
      </c>
      <c r="Y30" s="318">
        <f>'RETRIBUCION NEGATIVA'!N36</f>
        <v>0</v>
      </c>
      <c r="Z30" s="321">
        <f>L30*-1</f>
        <v>0</v>
      </c>
      <c r="AA30" s="322">
        <f>'RETRIBUCION NEGATIVA'!O36</f>
        <v>0</v>
      </c>
      <c r="AB30" s="296">
        <f>N30</f>
        <v>0</v>
      </c>
      <c r="AC30" s="293">
        <f t="shared" ref="AC30:AC32" si="9">-J30+AD30</f>
        <v>0</v>
      </c>
      <c r="AD30" s="293">
        <f>'RETRIBUCION NEGATIVA'!C37</f>
        <v>0</v>
      </c>
      <c r="AE30" s="367">
        <f>SUM(U30:AC30)</f>
        <v>0</v>
      </c>
      <c r="AF30" s="325">
        <f t="shared" ref="AF30:AF31" si="10">(AE30-O30)</f>
        <v>0</v>
      </c>
      <c r="AG30" s="307" t="b">
        <f t="shared" si="8"/>
        <v>1</v>
      </c>
      <c r="AH30" s="308"/>
    </row>
    <row r="31" spans="1:34" s="307" customFormat="1" ht="12" x14ac:dyDescent="0.25">
      <c r="B31" s="316">
        <v>4</v>
      </c>
      <c r="C31" s="317" t="s">
        <v>13</v>
      </c>
      <c r="D31" s="293">
        <f>'RETRIBUCION NEGATIVA'!C49</f>
        <v>0</v>
      </c>
      <c r="E31" s="294">
        <f>'RETRIBUCION NEGATIVA'!D49</f>
        <v>0</v>
      </c>
      <c r="F31" s="294">
        <f>'RETRIBUCION NEGATIVA'!E49</f>
        <v>0</v>
      </c>
      <c r="G31" s="294">
        <f>'RETRIBUCION NEGATIVA'!F49</f>
        <v>0</v>
      </c>
      <c r="H31" s="294">
        <f>'RETRIBUCION NEGATIVA'!G49</f>
        <v>0</v>
      </c>
      <c r="I31" s="294">
        <f>'RETRIBUCION NEGATIVA'!H49</f>
        <v>0</v>
      </c>
      <c r="J31" s="290">
        <v>0</v>
      </c>
      <c r="K31" s="297">
        <f t="shared" si="6"/>
        <v>0</v>
      </c>
      <c r="L31" s="301">
        <v>0</v>
      </c>
      <c r="M31" s="297">
        <f>K31-L31</f>
        <v>0</v>
      </c>
      <c r="N31" s="296">
        <f>'RETRIBUCION NEGATIVA'!I49</f>
        <v>0</v>
      </c>
      <c r="O31" s="297">
        <f t="shared" si="7"/>
        <v>0</v>
      </c>
      <c r="Q31" s="308"/>
      <c r="S31" s="316">
        <v>4</v>
      </c>
      <c r="T31" s="317" t="s">
        <v>13</v>
      </c>
      <c r="U31" s="318">
        <f>'RETRIBUCION NEGATIVA'!J49</f>
        <v>0</v>
      </c>
      <c r="V31" s="318">
        <f>'RETRIBUCION NEGATIVA'!K49</f>
        <v>0</v>
      </c>
      <c r="W31" s="318">
        <f>'RETRIBUCION NEGATIVA'!L49</f>
        <v>0</v>
      </c>
      <c r="X31" s="318">
        <f>'RETRIBUCION NEGATIVA'!M49</f>
        <v>0</v>
      </c>
      <c r="Y31" s="318">
        <f>'RETRIBUCION NEGATIVA'!N49</f>
        <v>0</v>
      </c>
      <c r="Z31" s="321">
        <f>L31*-1</f>
        <v>0</v>
      </c>
      <c r="AA31" s="322">
        <f>'RETRIBUCION NEGATIVA'!O49</f>
        <v>0</v>
      </c>
      <c r="AB31" s="296">
        <f>N31</f>
        <v>0</v>
      </c>
      <c r="AC31" s="293">
        <f t="shared" si="9"/>
        <v>0</v>
      </c>
      <c r="AD31" s="293">
        <f>'RETRIBUCION NEGATIVA'!C50</f>
        <v>0</v>
      </c>
      <c r="AE31" s="367">
        <f>SUM(U31:AC31)</f>
        <v>0</v>
      </c>
      <c r="AF31" s="325">
        <f t="shared" si="10"/>
        <v>0</v>
      </c>
      <c r="AG31" s="307" t="b">
        <f t="shared" si="8"/>
        <v>1</v>
      </c>
      <c r="AH31" s="308"/>
    </row>
    <row r="32" spans="1:34" s="307" customFormat="1" ht="12.6" thickBot="1" x14ac:dyDescent="0.3">
      <c r="B32" s="326">
        <v>5</v>
      </c>
      <c r="C32" s="327" t="s">
        <v>14</v>
      </c>
      <c r="D32" s="298">
        <f>'RETRIBUCION NEGATIVA'!C61</f>
        <v>0</v>
      </c>
      <c r="E32" s="299">
        <f>'RETRIBUCION NEGATIVA'!D61</f>
        <v>0</v>
      </c>
      <c r="F32" s="299">
        <f>'RETRIBUCION NEGATIVA'!E61</f>
        <v>0</v>
      </c>
      <c r="G32" s="299">
        <f>'RETRIBUCION NEGATIVA'!F61</f>
        <v>0</v>
      </c>
      <c r="H32" s="299">
        <f>'RETRIBUCION NEGATIVA'!G61</f>
        <v>0</v>
      </c>
      <c r="I32" s="299">
        <f>'RETRIBUCION NEGATIVA'!H61</f>
        <v>0</v>
      </c>
      <c r="J32" s="291">
        <v>0</v>
      </c>
      <c r="K32" s="297">
        <f t="shared" si="6"/>
        <v>0</v>
      </c>
      <c r="L32" s="301">
        <v>0</v>
      </c>
      <c r="M32" s="300">
        <f>K32-L32</f>
        <v>0</v>
      </c>
      <c r="N32" s="301">
        <f>'RETRIBUCION NEGATIVA'!I61</f>
        <v>0</v>
      </c>
      <c r="O32" s="300">
        <f t="shared" si="7"/>
        <v>0</v>
      </c>
      <c r="Q32" s="308"/>
      <c r="S32" s="326">
        <v>5</v>
      </c>
      <c r="T32" s="327" t="s">
        <v>14</v>
      </c>
      <c r="U32" s="298">
        <f>'RETRIBUCION NEGATIVA'!J61</f>
        <v>0</v>
      </c>
      <c r="V32" s="298">
        <f>'RETRIBUCION NEGATIVA'!K61</f>
        <v>0</v>
      </c>
      <c r="W32" s="298">
        <f>'RETRIBUCION NEGATIVA'!L61</f>
        <v>0</v>
      </c>
      <c r="X32" s="298">
        <f>'RETRIBUCION NEGATIVA'!M61</f>
        <v>0</v>
      </c>
      <c r="Y32" s="298">
        <f>'RETRIBUCION NEGATIVA'!N61</f>
        <v>0</v>
      </c>
      <c r="Z32" s="321">
        <f>L32*-1</f>
        <v>0</v>
      </c>
      <c r="AA32" s="322">
        <f>'RETRIBUCION NEGATIVA'!O61</f>
        <v>0</v>
      </c>
      <c r="AB32" s="296">
        <f>N32</f>
        <v>0</v>
      </c>
      <c r="AC32" s="293">
        <f t="shared" si="9"/>
        <v>0</v>
      </c>
      <c r="AD32" s="293">
        <f>'RETRIBUCION NEGATIVA'!C62</f>
        <v>0</v>
      </c>
      <c r="AE32" s="367">
        <f>SUM(U32:AC32)</f>
        <v>0</v>
      </c>
      <c r="AF32" s="328">
        <f>(AE32-O32)</f>
        <v>0</v>
      </c>
      <c r="AG32" s="307" t="b">
        <f t="shared" si="8"/>
        <v>1</v>
      </c>
      <c r="AH32" s="308"/>
    </row>
    <row r="33" spans="1:34" s="307" customFormat="1" ht="13.8" thickBot="1" x14ac:dyDescent="0.3">
      <c r="B33" s="329"/>
      <c r="C33" s="330" t="s">
        <v>2</v>
      </c>
      <c r="D33" s="292">
        <f>SUM(D28:D32)</f>
        <v>0</v>
      </c>
      <c r="E33" s="292">
        <f t="shared" ref="E33:O33" si="11">SUM(E28:E32)</f>
        <v>0</v>
      </c>
      <c r="F33" s="292">
        <f t="shared" si="11"/>
        <v>0</v>
      </c>
      <c r="G33" s="292">
        <f>SUM(G28:G32)</f>
        <v>0</v>
      </c>
      <c r="H33" s="292">
        <f t="shared" si="11"/>
        <v>0</v>
      </c>
      <c r="I33" s="292">
        <f t="shared" si="11"/>
        <v>0</v>
      </c>
      <c r="J33" s="292">
        <f t="shared" si="11"/>
        <v>0</v>
      </c>
      <c r="K33" s="302">
        <f t="shared" si="11"/>
        <v>0</v>
      </c>
      <c r="L33" s="303">
        <f t="shared" si="11"/>
        <v>0</v>
      </c>
      <c r="M33" s="304">
        <f t="shared" si="11"/>
        <v>0</v>
      </c>
      <c r="N33" s="303">
        <f t="shared" si="11"/>
        <v>0</v>
      </c>
      <c r="O33" s="304">
        <f t="shared" si="11"/>
        <v>0</v>
      </c>
      <c r="P33" s="331"/>
      <c r="Q33" s="308"/>
      <c r="S33" s="329"/>
      <c r="T33" s="330" t="s">
        <v>2</v>
      </c>
      <c r="U33" s="292">
        <f>SUM(U28:U32)</f>
        <v>0</v>
      </c>
      <c r="V33" s="292">
        <f t="shared" ref="V33:AF33" si="12">SUM(V28:V32)</f>
        <v>0</v>
      </c>
      <c r="W33" s="292">
        <f t="shared" si="12"/>
        <v>0</v>
      </c>
      <c r="X33" s="292">
        <f t="shared" si="12"/>
        <v>0</v>
      </c>
      <c r="Y33" s="292">
        <f t="shared" si="12"/>
        <v>0</v>
      </c>
      <c r="Z33" s="292">
        <f t="shared" si="12"/>
        <v>0</v>
      </c>
      <c r="AA33" s="292">
        <f t="shared" si="12"/>
        <v>0</v>
      </c>
      <c r="AB33" s="292">
        <f t="shared" si="12"/>
        <v>0</v>
      </c>
      <c r="AC33" s="292">
        <f>SUM(AC28:AC32)</f>
        <v>0</v>
      </c>
      <c r="AD33" s="292">
        <f>SUM(AD28:AD32)</f>
        <v>0</v>
      </c>
      <c r="AE33" s="333">
        <f t="shared" si="12"/>
        <v>0</v>
      </c>
      <c r="AF33" s="334">
        <f t="shared" si="12"/>
        <v>0</v>
      </c>
      <c r="AG33" s="307" t="b">
        <f t="shared" si="8"/>
        <v>1</v>
      </c>
      <c r="AH33" s="308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264</v>
      </c>
      <c r="M35" s="631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2026101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46314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H45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.6" thickBot="1" x14ac:dyDescent="0.3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.6" thickBot="1" x14ac:dyDescent="0.3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75">
        <f>AB10+AB29</f>
        <v>0</v>
      </c>
      <c r="AC48" s="75">
        <f t="shared" si="17"/>
        <v>0</v>
      </c>
      <c r="AD48" s="75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.6" thickBot="1" x14ac:dyDescent="0.3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75">
        <f>AB11+AB30</f>
        <v>0</v>
      </c>
      <c r="AC49" s="75">
        <f t="shared" si="17"/>
        <v>0</v>
      </c>
      <c r="AD49" s="75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.6" thickBot="1" x14ac:dyDescent="0.3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75">
        <f t="shared" si="17"/>
        <v>0</v>
      </c>
      <c r="AC50" s="75">
        <f t="shared" si="17"/>
        <v>0</v>
      </c>
      <c r="AD50" s="75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75">
        <f t="shared" si="17"/>
        <v>0</v>
      </c>
      <c r="AC51" s="75">
        <f t="shared" si="17"/>
        <v>0</v>
      </c>
      <c r="AD51" s="75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 t="shared" si="28"/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D1" zoomScaleNormal="100" workbookViewId="0">
      <selection activeCell="M11" sqref="M11"/>
    </sheetView>
  </sheetViews>
  <sheetFormatPr baseColWidth="10" defaultRowHeight="13.8" x14ac:dyDescent="0.3"/>
  <cols>
    <col min="1" max="1" width="2.77734375" customWidth="1"/>
    <col min="2" max="2" width="17.44140625" bestFit="1" customWidth="1"/>
    <col min="3" max="3" width="4.77734375" style="151" bestFit="1" customWidth="1"/>
    <col min="4" max="4" width="42.77734375" style="151" bestFit="1" customWidth="1"/>
    <col min="5" max="5" width="9" customWidth="1"/>
    <col min="6" max="6" width="15.77734375" customWidth="1"/>
    <col min="7" max="7" width="17.44140625" bestFit="1" customWidth="1"/>
    <col min="8" max="8" width="14.21875" customWidth="1"/>
    <col min="9" max="9" width="16.21875" bestFit="1" customWidth="1"/>
    <col min="10" max="10" width="16.77734375" customWidth="1"/>
    <col min="11" max="11" width="17.5546875" customWidth="1"/>
    <col min="12" max="12" width="15.5546875" bestFit="1" customWidth="1"/>
    <col min="13" max="13" width="15.77734375" bestFit="1" customWidth="1"/>
    <col min="14" max="14" width="17" customWidth="1"/>
    <col min="15" max="15" width="17.77734375" customWidth="1"/>
    <col min="16" max="16" width="16.77734375" customWidth="1"/>
    <col min="17" max="17" width="18" customWidth="1"/>
    <col min="18" max="18" width="14.21875" bestFit="1" customWidth="1"/>
    <col min="19" max="19" width="15.77734375" bestFit="1" customWidth="1"/>
    <col min="20" max="20" width="14.21875" bestFit="1" customWidth="1"/>
    <col min="21" max="21" width="15.77734375" bestFit="1" customWidth="1"/>
    <col min="22" max="22" width="1.77734375" customWidth="1"/>
  </cols>
  <sheetData>
    <row r="1" spans="2:17" ht="14.4" thickBot="1" x14ac:dyDescent="0.35"/>
    <row r="2" spans="2:17" s="151" customFormat="1" ht="14.4" thickBot="1" x14ac:dyDescent="0.35">
      <c r="B2" s="658"/>
      <c r="E2" s="151" t="s">
        <v>1</v>
      </c>
      <c r="F2" s="573" t="s">
        <v>274</v>
      </c>
      <c r="G2" s="574" t="s">
        <v>275</v>
      </c>
      <c r="H2" s="575" t="s">
        <v>276</v>
      </c>
      <c r="I2" s="575" t="s">
        <v>277</v>
      </c>
      <c r="J2" s="575" t="s">
        <v>278</v>
      </c>
      <c r="K2" s="575" t="s">
        <v>279</v>
      </c>
      <c r="L2" s="574" t="s">
        <v>280</v>
      </c>
      <c r="M2" s="575" t="s">
        <v>281</v>
      </c>
      <c r="N2" s="575" t="s">
        <v>282</v>
      </c>
      <c r="O2" s="575" t="s">
        <v>283</v>
      </c>
      <c r="P2" s="574" t="s">
        <v>284</v>
      </c>
      <c r="Q2" s="747" t="s">
        <v>285</v>
      </c>
    </row>
    <row r="3" spans="2:17" s="151" customFormat="1" ht="28.2" thickBot="1" x14ac:dyDescent="0.35">
      <c r="B3" s="659" t="s">
        <v>134</v>
      </c>
      <c r="C3" s="152" t="s">
        <v>3</v>
      </c>
      <c r="D3" s="153" t="s">
        <v>9</v>
      </c>
      <c r="E3" s="552" t="s">
        <v>108</v>
      </c>
      <c r="F3" s="576" t="s">
        <v>286</v>
      </c>
      <c r="G3" s="577" t="s">
        <v>287</v>
      </c>
      <c r="H3" s="578" t="s">
        <v>288</v>
      </c>
      <c r="I3" s="579" t="s">
        <v>289</v>
      </c>
      <c r="J3" s="576" t="s">
        <v>290</v>
      </c>
      <c r="K3" s="577" t="s">
        <v>291</v>
      </c>
      <c r="L3" s="578" t="s">
        <v>292</v>
      </c>
      <c r="M3" s="579" t="s">
        <v>293</v>
      </c>
      <c r="N3" s="576" t="s">
        <v>294</v>
      </c>
      <c r="O3" s="577" t="s">
        <v>295</v>
      </c>
      <c r="P3" s="578" t="s">
        <v>296</v>
      </c>
      <c r="Q3" s="579" t="s">
        <v>297</v>
      </c>
    </row>
    <row r="4" spans="2:17" s="151" customFormat="1" x14ac:dyDescent="0.3">
      <c r="B4" s="660">
        <v>378371975</v>
      </c>
      <c r="C4" s="553">
        <v>1</v>
      </c>
      <c r="D4" s="161" t="s">
        <v>10</v>
      </c>
      <c r="E4" s="661">
        <v>0.22</v>
      </c>
      <c r="F4" s="662">
        <v>189185988</v>
      </c>
      <c r="G4" s="663">
        <v>189185987</v>
      </c>
      <c r="H4" s="664">
        <v>189185988</v>
      </c>
      <c r="I4" s="665">
        <v>189185987</v>
      </c>
      <c r="J4" s="662">
        <v>189185988</v>
      </c>
      <c r="K4" s="663">
        <v>189185987</v>
      </c>
      <c r="L4" s="664">
        <v>189185988</v>
      </c>
      <c r="M4" s="665">
        <v>189185987</v>
      </c>
      <c r="N4" s="662">
        <v>189185988</v>
      </c>
      <c r="O4" s="663">
        <v>189185987</v>
      </c>
      <c r="P4" s="664">
        <v>189185988</v>
      </c>
      <c r="Q4" s="665">
        <v>189185987</v>
      </c>
    </row>
    <row r="5" spans="2:17" s="151" customFormat="1" x14ac:dyDescent="0.3">
      <c r="B5" s="660">
        <v>533160511</v>
      </c>
      <c r="C5" s="554">
        <v>2</v>
      </c>
      <c r="D5" s="156" t="s">
        <v>11</v>
      </c>
      <c r="E5" s="666">
        <v>0.31</v>
      </c>
      <c r="F5" s="667">
        <v>266580256</v>
      </c>
      <c r="G5" s="668">
        <v>266580255</v>
      </c>
      <c r="H5" s="669">
        <v>266580256</v>
      </c>
      <c r="I5" s="665">
        <v>266580255</v>
      </c>
      <c r="J5" s="667">
        <v>266580256</v>
      </c>
      <c r="K5" s="668">
        <v>266580255</v>
      </c>
      <c r="L5" s="669">
        <v>266580256</v>
      </c>
      <c r="M5" s="665">
        <v>266580255</v>
      </c>
      <c r="N5" s="667">
        <v>266580256</v>
      </c>
      <c r="O5" s="668">
        <v>266580255</v>
      </c>
      <c r="P5" s="669">
        <v>266580256</v>
      </c>
      <c r="Q5" s="665">
        <v>266580255</v>
      </c>
    </row>
    <row r="6" spans="2:17" s="151" customFormat="1" x14ac:dyDescent="0.3">
      <c r="B6" s="660">
        <v>309577071</v>
      </c>
      <c r="C6" s="554">
        <v>3</v>
      </c>
      <c r="D6" s="156" t="s">
        <v>12</v>
      </c>
      <c r="E6" s="666">
        <v>0.18</v>
      </c>
      <c r="F6" s="667">
        <v>154788536</v>
      </c>
      <c r="G6" s="668">
        <v>154788535</v>
      </c>
      <c r="H6" s="669">
        <v>154788536</v>
      </c>
      <c r="I6" s="665">
        <v>154788535</v>
      </c>
      <c r="J6" s="667">
        <v>154788536</v>
      </c>
      <c r="K6" s="668">
        <v>154788535</v>
      </c>
      <c r="L6" s="669">
        <v>154788536</v>
      </c>
      <c r="M6" s="665">
        <v>154788535</v>
      </c>
      <c r="N6" s="667">
        <v>154788536</v>
      </c>
      <c r="O6" s="668">
        <v>154788535</v>
      </c>
      <c r="P6" s="669">
        <v>154788536</v>
      </c>
      <c r="Q6" s="665">
        <v>154788535</v>
      </c>
    </row>
    <row r="7" spans="2:17" s="151" customFormat="1" x14ac:dyDescent="0.3">
      <c r="B7" s="660">
        <v>240782166</v>
      </c>
      <c r="C7" s="554">
        <v>4</v>
      </c>
      <c r="D7" s="156" t="s">
        <v>13</v>
      </c>
      <c r="E7" s="666">
        <v>0.14000000000000001</v>
      </c>
      <c r="F7" s="667">
        <v>120391083</v>
      </c>
      <c r="G7" s="668">
        <v>120391083</v>
      </c>
      <c r="H7" s="669">
        <v>120391083</v>
      </c>
      <c r="I7" s="665">
        <v>120391083</v>
      </c>
      <c r="J7" s="667">
        <v>120391083</v>
      </c>
      <c r="K7" s="668">
        <v>120391083</v>
      </c>
      <c r="L7" s="669">
        <v>120391083</v>
      </c>
      <c r="M7" s="665">
        <v>120391083</v>
      </c>
      <c r="N7" s="667">
        <v>120391083</v>
      </c>
      <c r="O7" s="668">
        <v>120391083</v>
      </c>
      <c r="P7" s="669">
        <v>120391083</v>
      </c>
      <c r="Q7" s="665">
        <v>120391083</v>
      </c>
    </row>
    <row r="8" spans="2:17" s="151" customFormat="1" ht="14.4" thickBot="1" x14ac:dyDescent="0.35">
      <c r="B8" s="660">
        <v>257980891</v>
      </c>
      <c r="C8" s="555">
        <v>5</v>
      </c>
      <c r="D8" s="158" t="s">
        <v>14</v>
      </c>
      <c r="E8" s="670">
        <v>0.15</v>
      </c>
      <c r="F8" s="671">
        <v>128990446</v>
      </c>
      <c r="G8" s="672">
        <v>128990445</v>
      </c>
      <c r="H8" s="673">
        <v>128990446</v>
      </c>
      <c r="I8" s="674">
        <v>128990445</v>
      </c>
      <c r="J8" s="671">
        <v>128990446</v>
      </c>
      <c r="K8" s="672">
        <v>128990445</v>
      </c>
      <c r="L8" s="673">
        <v>128990446</v>
      </c>
      <c r="M8" s="674">
        <v>128990445</v>
      </c>
      <c r="N8" s="671">
        <v>128990446</v>
      </c>
      <c r="O8" s="672">
        <v>128990445</v>
      </c>
      <c r="P8" s="673">
        <v>128990446</v>
      </c>
      <c r="Q8" s="674">
        <v>128990445</v>
      </c>
    </row>
    <row r="9" spans="2:17" s="151" customFormat="1" ht="14.4" thickBot="1" x14ac:dyDescent="0.35">
      <c r="B9" s="675">
        <v>1719872614</v>
      </c>
      <c r="C9" s="159"/>
      <c r="D9" s="160" t="s">
        <v>2</v>
      </c>
      <c r="E9" s="556">
        <v>1</v>
      </c>
      <c r="F9" s="676">
        <v>859936309</v>
      </c>
      <c r="G9" s="676">
        <v>859936305</v>
      </c>
      <c r="H9" s="677">
        <v>859936309</v>
      </c>
      <c r="I9" s="677">
        <v>859936305</v>
      </c>
      <c r="J9" s="676">
        <v>859936309</v>
      </c>
      <c r="K9" s="676">
        <v>859936305</v>
      </c>
      <c r="L9" s="677">
        <v>859936309</v>
      </c>
      <c r="M9" s="677">
        <v>859936305</v>
      </c>
      <c r="N9" s="676">
        <v>859936309</v>
      </c>
      <c r="O9" s="676">
        <v>859936305</v>
      </c>
      <c r="P9" s="677">
        <v>859936309</v>
      </c>
      <c r="Q9" s="677">
        <v>859936305</v>
      </c>
    </row>
    <row r="10" spans="2:17" s="151" customFormat="1" ht="15.75" customHeight="1" thickBot="1" x14ac:dyDescent="0.35">
      <c r="B10" s="658"/>
      <c r="F10" s="777">
        <f>SUM(F9:G9)</f>
        <v>1719872614</v>
      </c>
      <c r="G10" s="778"/>
      <c r="H10" s="777">
        <f>SUM(H9:I9)</f>
        <v>1719872614</v>
      </c>
      <c r="I10" s="778"/>
      <c r="J10" s="777">
        <f>SUM(J9:K9)</f>
        <v>1719872614</v>
      </c>
      <c r="K10" s="778"/>
      <c r="L10" s="777">
        <f>SUM(L9:M9)</f>
        <v>1719872614</v>
      </c>
      <c r="M10" s="778"/>
      <c r="N10" s="777">
        <f>SUM(N9:O9)</f>
        <v>1719872614</v>
      </c>
      <c r="O10" s="778"/>
      <c r="P10" s="777">
        <f>SUM(P9:Q9)</f>
        <v>1719872614</v>
      </c>
      <c r="Q10" s="778"/>
    </row>
    <row r="12" spans="2:17" ht="14.4" thickBot="1" x14ac:dyDescent="0.35"/>
    <row r="13" spans="2:17" s="151" customFormat="1" ht="14.4" thickBot="1" x14ac:dyDescent="0.35">
      <c r="B13" s="658"/>
      <c r="E13" s="151" t="s">
        <v>1</v>
      </c>
      <c r="F13" s="573" t="s">
        <v>298</v>
      </c>
      <c r="G13" s="574" t="s">
        <v>299</v>
      </c>
      <c r="H13" s="574" t="s">
        <v>300</v>
      </c>
      <c r="I13" s="574" t="s">
        <v>301</v>
      </c>
      <c r="J13" s="575" t="s">
        <v>302</v>
      </c>
      <c r="K13" s="762" t="s">
        <v>303</v>
      </c>
      <c r="L13" s="574" t="s">
        <v>304</v>
      </c>
      <c r="M13" s="575" t="s">
        <v>305</v>
      </c>
      <c r="N13" s="575" t="s">
        <v>306</v>
      </c>
      <c r="O13" s="574" t="s">
        <v>307</v>
      </c>
      <c r="P13" s="574" t="s">
        <v>308</v>
      </c>
      <c r="Q13" s="575" t="s">
        <v>309</v>
      </c>
    </row>
    <row r="14" spans="2:17" s="151" customFormat="1" ht="28.2" thickBot="1" x14ac:dyDescent="0.35">
      <c r="B14" s="658"/>
      <c r="C14" s="152" t="s">
        <v>3</v>
      </c>
      <c r="D14" s="153" t="s">
        <v>9</v>
      </c>
      <c r="E14" s="552" t="s">
        <v>108</v>
      </c>
      <c r="F14" s="576" t="s">
        <v>310</v>
      </c>
      <c r="G14" s="577" t="s">
        <v>311</v>
      </c>
      <c r="H14" s="578" t="s">
        <v>312</v>
      </c>
      <c r="I14" s="579" t="s">
        <v>313</v>
      </c>
      <c r="J14" s="576" t="s">
        <v>314</v>
      </c>
      <c r="K14" s="577" t="s">
        <v>315</v>
      </c>
      <c r="L14" s="578" t="s">
        <v>316</v>
      </c>
      <c r="M14" s="579" t="s">
        <v>317</v>
      </c>
      <c r="N14" s="576" t="s">
        <v>318</v>
      </c>
      <c r="O14" s="577" t="s">
        <v>319</v>
      </c>
      <c r="P14" s="578" t="s">
        <v>320</v>
      </c>
      <c r="Q14" s="579" t="s">
        <v>321</v>
      </c>
    </row>
    <row r="15" spans="2:17" s="151" customFormat="1" x14ac:dyDescent="0.3">
      <c r="B15" s="658"/>
      <c r="C15" s="154">
        <v>1</v>
      </c>
      <c r="D15" s="161" t="s">
        <v>10</v>
      </c>
      <c r="E15" s="678">
        <v>0.22</v>
      </c>
      <c r="F15" s="662">
        <v>189185988</v>
      </c>
      <c r="G15" s="663">
        <v>189185987</v>
      </c>
      <c r="H15" s="664">
        <v>189185988</v>
      </c>
      <c r="I15" s="665">
        <v>189185987</v>
      </c>
      <c r="J15" s="662">
        <v>189185988</v>
      </c>
      <c r="K15" s="663">
        <v>189185987</v>
      </c>
      <c r="L15" s="664">
        <v>189185988</v>
      </c>
      <c r="M15" s="665">
        <v>189185987</v>
      </c>
      <c r="N15" s="662">
        <v>189185988</v>
      </c>
      <c r="O15" s="663">
        <v>189185987</v>
      </c>
      <c r="P15" s="664">
        <v>189185988</v>
      </c>
      <c r="Q15" s="665">
        <v>189185987</v>
      </c>
    </row>
    <row r="16" spans="2:17" s="151" customFormat="1" x14ac:dyDescent="0.3">
      <c r="B16" s="658"/>
      <c r="C16" s="155">
        <v>2</v>
      </c>
      <c r="D16" s="156" t="s">
        <v>11</v>
      </c>
      <c r="E16" s="679">
        <v>0.31</v>
      </c>
      <c r="F16" s="667">
        <v>266580256</v>
      </c>
      <c r="G16" s="668">
        <v>266580255</v>
      </c>
      <c r="H16" s="669">
        <v>266580256</v>
      </c>
      <c r="I16" s="665">
        <v>266580255</v>
      </c>
      <c r="J16" s="667">
        <v>266580256</v>
      </c>
      <c r="K16" s="668">
        <v>266580255</v>
      </c>
      <c r="L16" s="669">
        <v>266580256</v>
      </c>
      <c r="M16" s="665">
        <v>266580255</v>
      </c>
      <c r="N16" s="667">
        <v>266580256</v>
      </c>
      <c r="O16" s="668">
        <v>266580255</v>
      </c>
      <c r="P16" s="669">
        <v>266580256</v>
      </c>
      <c r="Q16" s="665">
        <v>266580255</v>
      </c>
    </row>
    <row r="17" spans="2:19" s="151" customFormat="1" x14ac:dyDescent="0.3">
      <c r="B17" s="658"/>
      <c r="C17" s="155">
        <v>3</v>
      </c>
      <c r="D17" s="156" t="s">
        <v>12</v>
      </c>
      <c r="E17" s="679">
        <v>0.18</v>
      </c>
      <c r="F17" s="667">
        <v>154788536</v>
      </c>
      <c r="G17" s="668">
        <v>154788535</v>
      </c>
      <c r="H17" s="669">
        <v>154788536</v>
      </c>
      <c r="I17" s="665">
        <v>154788535</v>
      </c>
      <c r="J17" s="667">
        <v>154788536</v>
      </c>
      <c r="K17" s="668">
        <v>154788535</v>
      </c>
      <c r="L17" s="669">
        <v>154788536</v>
      </c>
      <c r="M17" s="665">
        <v>154788535</v>
      </c>
      <c r="N17" s="667">
        <v>154788536</v>
      </c>
      <c r="O17" s="668">
        <v>154788535</v>
      </c>
      <c r="P17" s="669">
        <v>154788536</v>
      </c>
      <c r="Q17" s="665">
        <v>154788535</v>
      </c>
    </row>
    <row r="18" spans="2:19" s="151" customFormat="1" x14ac:dyDescent="0.3">
      <c r="B18" s="658"/>
      <c r="C18" s="155">
        <v>4</v>
      </c>
      <c r="D18" s="156" t="s">
        <v>13</v>
      </c>
      <c r="E18" s="679">
        <v>0.14000000000000001</v>
      </c>
      <c r="F18" s="667">
        <v>120391083</v>
      </c>
      <c r="G18" s="668">
        <v>120391083</v>
      </c>
      <c r="H18" s="669">
        <v>120391083</v>
      </c>
      <c r="I18" s="665">
        <v>120391083</v>
      </c>
      <c r="J18" s="667">
        <v>120391083</v>
      </c>
      <c r="K18" s="668">
        <v>120391083</v>
      </c>
      <c r="L18" s="669">
        <v>120391083</v>
      </c>
      <c r="M18" s="665">
        <v>120391083</v>
      </c>
      <c r="N18" s="667">
        <v>120391083</v>
      </c>
      <c r="O18" s="668">
        <v>120391083</v>
      </c>
      <c r="P18" s="669">
        <v>120391083</v>
      </c>
      <c r="Q18" s="665">
        <v>120391083</v>
      </c>
    </row>
    <row r="19" spans="2:19" s="151" customFormat="1" ht="14.4" thickBot="1" x14ac:dyDescent="0.35">
      <c r="B19" s="658"/>
      <c r="C19" s="157">
        <v>5</v>
      </c>
      <c r="D19" s="158" t="s">
        <v>14</v>
      </c>
      <c r="E19" s="680">
        <v>0.15</v>
      </c>
      <c r="F19" s="671">
        <v>128990446</v>
      </c>
      <c r="G19" s="672">
        <v>128990445</v>
      </c>
      <c r="H19" s="673">
        <v>128990446</v>
      </c>
      <c r="I19" s="674">
        <v>128990445</v>
      </c>
      <c r="J19" s="671">
        <v>128990446</v>
      </c>
      <c r="K19" s="672">
        <v>128990445</v>
      </c>
      <c r="L19" s="673">
        <v>128990446</v>
      </c>
      <c r="M19" s="674">
        <v>128990445</v>
      </c>
      <c r="N19" s="671">
        <v>128990446</v>
      </c>
      <c r="O19" s="672">
        <v>128990445</v>
      </c>
      <c r="P19" s="673">
        <v>128990446</v>
      </c>
      <c r="Q19" s="674">
        <v>128990445</v>
      </c>
    </row>
    <row r="20" spans="2:19" s="151" customFormat="1" ht="14.4" thickBot="1" x14ac:dyDescent="0.35">
      <c r="B20" s="658"/>
      <c r="C20" s="159"/>
      <c r="D20" s="160" t="s">
        <v>2</v>
      </c>
      <c r="E20" s="557">
        <v>1</v>
      </c>
      <c r="F20" s="676">
        <v>859936309</v>
      </c>
      <c r="G20" s="676">
        <v>859936305</v>
      </c>
      <c r="H20" s="677">
        <v>859936309</v>
      </c>
      <c r="I20" s="677">
        <v>859936305</v>
      </c>
      <c r="J20" s="676">
        <v>859936309</v>
      </c>
      <c r="K20" s="676">
        <v>859936305</v>
      </c>
      <c r="L20" s="677">
        <v>859936309</v>
      </c>
      <c r="M20" s="677">
        <v>859936305</v>
      </c>
      <c r="N20" s="676">
        <v>859936309</v>
      </c>
      <c r="O20" s="676">
        <v>859936305</v>
      </c>
      <c r="P20" s="677">
        <v>859936309</v>
      </c>
      <c r="Q20" s="677">
        <v>859936305</v>
      </c>
    </row>
    <row r="21" spans="2:19" s="151" customFormat="1" ht="14.4" thickBot="1" x14ac:dyDescent="0.35">
      <c r="B21" s="658"/>
      <c r="F21" s="777">
        <f>SUM(F20:G20)</f>
        <v>1719872614</v>
      </c>
      <c r="G21" s="778">
        <v>1191383498</v>
      </c>
      <c r="H21" s="777">
        <f>SUM(H20:I20)</f>
        <v>1719872614</v>
      </c>
      <c r="I21" s="778">
        <v>1191383498</v>
      </c>
      <c r="J21" s="777">
        <f>SUM(J20:K20)</f>
        <v>1719872614</v>
      </c>
      <c r="K21" s="778">
        <v>1191383498</v>
      </c>
      <c r="L21" s="777">
        <f>SUM(L20:M20)</f>
        <v>1719872614</v>
      </c>
      <c r="M21" s="778">
        <v>1191383498</v>
      </c>
      <c r="N21" s="777">
        <f>SUM(N20:O20)</f>
        <v>1719872614</v>
      </c>
      <c r="O21" s="778">
        <v>1191383498</v>
      </c>
      <c r="P21" s="777">
        <f>SUM(P20:Q20)</f>
        <v>1719872614</v>
      </c>
      <c r="Q21" s="778">
        <v>1191383498</v>
      </c>
    </row>
    <row r="24" spans="2:19" ht="14.4" thickBot="1" x14ac:dyDescent="0.35">
      <c r="B24" s="238"/>
      <c r="C24" s="521"/>
      <c r="D24" s="521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4" t="s">
        <v>267</v>
      </c>
      <c r="L25" s="152" t="s">
        <v>3</v>
      </c>
      <c r="M25" s="636" t="s">
        <v>265</v>
      </c>
      <c r="N25" s="636" t="s">
        <v>266</v>
      </c>
      <c r="Q25" s="522" t="s">
        <v>1</v>
      </c>
      <c r="R25" s="29" t="s">
        <v>200</v>
      </c>
    </row>
    <row r="26" spans="2:19" x14ac:dyDescent="0.3">
      <c r="G26" s="212"/>
      <c r="H26" s="212"/>
      <c r="I26" s="212"/>
      <c r="J26" s="635"/>
      <c r="K26" s="681">
        <v>378371975</v>
      </c>
      <c r="L26" s="154">
        <v>1</v>
      </c>
      <c r="M26" s="712">
        <v>189185988</v>
      </c>
      <c r="N26" s="180">
        <v>189185987</v>
      </c>
      <c r="O26" s="167" t="b">
        <f>N26=R26</f>
        <v>1</v>
      </c>
      <c r="P26" s="167"/>
      <c r="Q26" s="713">
        <f>'CONSOLIDADO_TOTAL RECAUDO'!L104</f>
        <v>189185987</v>
      </c>
      <c r="R26" s="689">
        <f t="shared" ref="R26:R31" si="0">K15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35"/>
      <c r="K27" s="682">
        <v>533160511</v>
      </c>
      <c r="L27" s="155">
        <v>2</v>
      </c>
      <c r="M27" s="712">
        <v>266580256</v>
      </c>
      <c r="N27" s="180">
        <v>266580255</v>
      </c>
      <c r="O27" s="167" t="b">
        <f t="shared" ref="O27:O31" si="1">N27=R27</f>
        <v>1</v>
      </c>
      <c r="P27" s="167"/>
      <c r="Q27" s="713">
        <f>'CONSOLIDADO_TOTAL RECAUDO'!L105</f>
        <v>266580255</v>
      </c>
      <c r="R27" s="689">
        <f t="shared" si="0"/>
        <v>266580255</v>
      </c>
      <c r="S27" t="b">
        <f t="shared" ref="S27:S31" si="2">Q27=R27</f>
        <v>1</v>
      </c>
    </row>
    <row r="28" spans="2:19" x14ac:dyDescent="0.3">
      <c r="G28" s="167"/>
      <c r="H28" s="212"/>
      <c r="I28" s="212"/>
      <c r="J28" s="635"/>
      <c r="K28" s="682">
        <v>309577071</v>
      </c>
      <c r="L28" s="155">
        <v>3</v>
      </c>
      <c r="M28" s="712">
        <v>154788536</v>
      </c>
      <c r="N28" s="180">
        <v>154788535</v>
      </c>
      <c r="O28" s="167" t="b">
        <f t="shared" si="1"/>
        <v>1</v>
      </c>
      <c r="P28" s="167"/>
      <c r="Q28" s="713">
        <f>'CONSOLIDADO_TOTAL RECAUDO'!L106</f>
        <v>154788535</v>
      </c>
      <c r="R28" s="689">
        <f t="shared" si="0"/>
        <v>154788535</v>
      </c>
      <c r="S28" t="b">
        <f t="shared" si="2"/>
        <v>1</v>
      </c>
    </row>
    <row r="29" spans="2:19" x14ac:dyDescent="0.3">
      <c r="G29" s="593"/>
      <c r="H29" s="212"/>
      <c r="I29" s="212"/>
      <c r="J29" s="635"/>
      <c r="K29" s="682">
        <v>240782166</v>
      </c>
      <c r="L29" s="155">
        <v>4</v>
      </c>
      <c r="M29" s="712">
        <v>120391083</v>
      </c>
      <c r="N29" s="683">
        <v>120391083</v>
      </c>
      <c r="O29" s="167" t="b">
        <f t="shared" si="1"/>
        <v>1</v>
      </c>
      <c r="P29" s="167"/>
      <c r="Q29" s="713">
        <f>'CONSOLIDADO_TOTAL RECAUDO'!L107</f>
        <v>120391083</v>
      </c>
      <c r="R29" s="689">
        <f t="shared" si="0"/>
        <v>120391083</v>
      </c>
      <c r="S29" t="b">
        <f t="shared" si="2"/>
        <v>1</v>
      </c>
    </row>
    <row r="30" spans="2:19" ht="14.4" thickBot="1" x14ac:dyDescent="0.35">
      <c r="G30" s="593"/>
      <c r="H30" s="212"/>
      <c r="I30" s="212"/>
      <c r="J30" s="635"/>
      <c r="K30" s="684">
        <v>257980891</v>
      </c>
      <c r="L30" s="157">
        <v>5</v>
      </c>
      <c r="M30" s="712">
        <v>128990446</v>
      </c>
      <c r="N30" s="685">
        <v>128990445</v>
      </c>
      <c r="O30" s="167" t="b">
        <f t="shared" si="1"/>
        <v>1</v>
      </c>
      <c r="P30" s="167"/>
      <c r="Q30" s="713">
        <f>'CONSOLIDADO_TOTAL RECAUDO'!L108</f>
        <v>128990445</v>
      </c>
      <c r="R30" s="689">
        <f t="shared" si="0"/>
        <v>128990445</v>
      </c>
      <c r="S30" t="b">
        <f t="shared" si="2"/>
        <v>1</v>
      </c>
    </row>
    <row r="31" spans="2:19" ht="14.4" thickBot="1" x14ac:dyDescent="0.35">
      <c r="G31" s="593"/>
      <c r="H31" s="167"/>
      <c r="I31" s="167"/>
      <c r="J31" s="272"/>
      <c r="K31" s="686">
        <f>SUM(K26:K30)</f>
        <v>1719872614</v>
      </c>
      <c r="L31" s="159"/>
      <c r="M31" s="687">
        <f>SUM(M26:M30)</f>
        <v>859936309</v>
      </c>
      <c r="N31" s="687">
        <f>SUM(N26:N30)</f>
        <v>859936305</v>
      </c>
      <c r="O31" s="167" t="b">
        <f t="shared" si="1"/>
        <v>1</v>
      </c>
      <c r="P31" s="167"/>
      <c r="Q31" s="713">
        <f>'CONSOLIDADO_TOTAL RECAUDO'!L109</f>
        <v>859936305</v>
      </c>
      <c r="R31" s="689">
        <f t="shared" si="0"/>
        <v>859936305</v>
      </c>
      <c r="S31" t="b">
        <f t="shared" si="2"/>
        <v>1</v>
      </c>
    </row>
    <row r="32" spans="2:19" x14ac:dyDescent="0.3">
      <c r="G32" s="593"/>
      <c r="H32" s="167"/>
      <c r="I32" s="167"/>
      <c r="K32" s="637">
        <f>SUM(M31:N31)</f>
        <v>1719872614</v>
      </c>
      <c r="L32" s="272"/>
    </row>
    <row r="33" spans="7:17" x14ac:dyDescent="0.3">
      <c r="G33" s="593"/>
      <c r="H33" s="167"/>
      <c r="J33" s="272"/>
      <c r="K33" s="272"/>
      <c r="Q33" s="212"/>
    </row>
    <row r="34" spans="7:17" x14ac:dyDescent="0.3">
      <c r="G34" s="593"/>
      <c r="H34" s="167"/>
      <c r="Q34" s="212"/>
    </row>
    <row r="35" spans="7:17" x14ac:dyDescent="0.3">
      <c r="H35" s="167"/>
      <c r="K35" s="688"/>
      <c r="Q35" s="212"/>
    </row>
    <row r="36" spans="7:17" x14ac:dyDescent="0.3">
      <c r="H36" s="167"/>
      <c r="K36" s="688"/>
      <c r="Q36" s="212"/>
    </row>
    <row r="37" spans="7:17" x14ac:dyDescent="0.3">
      <c r="H37" s="167"/>
      <c r="K37" s="688"/>
      <c r="Q37" s="212"/>
    </row>
    <row r="38" spans="7:17" x14ac:dyDescent="0.3">
      <c r="H38" s="167"/>
      <c r="K38" s="688"/>
      <c r="Q38" s="212"/>
    </row>
    <row r="39" spans="7:17" x14ac:dyDescent="0.3">
      <c r="H39" s="167"/>
      <c r="K39" s="688"/>
    </row>
    <row r="40" spans="7:17" x14ac:dyDescent="0.3">
      <c r="H40" s="167"/>
      <c r="K40" s="688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Normal="100" workbookViewId="0"/>
  </sheetViews>
  <sheetFormatPr baseColWidth="10" defaultColWidth="11.44140625" defaultRowHeight="11.4" x14ac:dyDescent="0.2"/>
  <cols>
    <col min="1" max="1" width="3" style="391" customWidth="1"/>
    <col min="2" max="2" width="4.44140625" style="391" bestFit="1" customWidth="1"/>
    <col min="3" max="3" width="38.21875" style="391" customWidth="1"/>
    <col min="4" max="4" width="15.21875" style="391" customWidth="1"/>
    <col min="5" max="5" width="16" style="391" customWidth="1"/>
    <col min="6" max="7" width="14.77734375" style="391" customWidth="1"/>
    <col min="8" max="9" width="16" style="391" customWidth="1"/>
    <col min="10" max="10" width="17.5546875" style="391" customWidth="1"/>
    <col min="11" max="11" width="3.77734375" style="391" customWidth="1"/>
    <col min="12" max="12" width="2.77734375" style="391" customWidth="1"/>
    <col min="13" max="13" width="4.5546875" style="391" customWidth="1"/>
    <col min="14" max="14" width="11.21875" style="391" customWidth="1"/>
    <col min="15" max="15" width="37.5546875" style="391" bestFit="1" customWidth="1"/>
    <col min="16" max="16" width="19.21875" style="391" customWidth="1"/>
    <col min="17" max="17" width="17.77734375" style="391" customWidth="1"/>
    <col min="18" max="18" width="16.44140625" style="391" customWidth="1"/>
    <col min="19" max="19" width="17.21875" style="391" customWidth="1"/>
    <col min="20" max="20" width="15.77734375" style="391" customWidth="1"/>
    <col min="21" max="21" width="16.21875" style="391" customWidth="1"/>
    <col min="22" max="22" width="13.21875" style="393" customWidth="1"/>
    <col min="23" max="23" width="13.77734375" style="391" customWidth="1"/>
    <col min="24" max="24" width="3.44140625" style="391" customWidth="1"/>
    <col min="25" max="25" width="13.77734375" style="391" bestFit="1" customWidth="1"/>
    <col min="26" max="27" width="11.44140625" style="391"/>
    <col min="28" max="28" width="15.77734375" style="391" bestFit="1" customWidth="1"/>
    <col min="29" max="16384" width="11.44140625" style="391"/>
  </cols>
  <sheetData>
    <row r="1" spans="2:28" x14ac:dyDescent="0.2">
      <c r="L1" s="392"/>
      <c r="X1" s="392"/>
    </row>
    <row r="2" spans="2:28" x14ac:dyDescent="0.2">
      <c r="L2" s="392"/>
      <c r="X2" s="392"/>
    </row>
    <row r="3" spans="2:28" ht="12" thickBot="1" x14ac:dyDescent="0.25">
      <c r="L3" s="392"/>
      <c r="X3" s="392"/>
    </row>
    <row r="4" spans="2:28" ht="12" x14ac:dyDescent="0.25">
      <c r="B4" s="394"/>
      <c r="C4" s="395" t="s">
        <v>1</v>
      </c>
      <c r="D4" s="396" t="s">
        <v>1</v>
      </c>
      <c r="E4" s="395"/>
      <c r="F4" s="397"/>
      <c r="G4" s="395"/>
      <c r="H4" s="395" t="s">
        <v>1</v>
      </c>
      <c r="I4" s="395"/>
      <c r="J4" s="398"/>
      <c r="K4" s="399"/>
      <c r="L4" s="392"/>
      <c r="N4" s="394"/>
      <c r="O4" s="395" t="s">
        <v>1</v>
      </c>
      <c r="P4" s="396" t="s">
        <v>1</v>
      </c>
      <c r="Q4" s="395"/>
      <c r="R4" s="395"/>
      <c r="S4" s="395" t="s">
        <v>1</v>
      </c>
      <c r="T4" s="395"/>
      <c r="U4" s="398"/>
      <c r="V4" s="400"/>
      <c r="X4" s="392"/>
    </row>
    <row r="5" spans="2:28" ht="15.6" x14ac:dyDescent="0.3">
      <c r="B5" s="401"/>
      <c r="D5" s="402" t="s">
        <v>8</v>
      </c>
      <c r="E5" s="403"/>
      <c r="G5" s="403"/>
      <c r="I5" s="403" t="s">
        <v>16</v>
      </c>
      <c r="J5" s="404"/>
      <c r="K5" s="399"/>
      <c r="L5" s="392"/>
      <c r="N5" s="401"/>
      <c r="P5" s="402" t="s">
        <v>8</v>
      </c>
      <c r="R5" s="403"/>
      <c r="T5" s="403" t="s">
        <v>16</v>
      </c>
      <c r="U5" s="405"/>
      <c r="V5" s="400"/>
      <c r="X5" s="392"/>
    </row>
    <row r="6" spans="2:28" ht="15.6" x14ac:dyDescent="0.3">
      <c r="B6" s="401"/>
      <c r="D6" s="406" t="s">
        <v>184</v>
      </c>
      <c r="E6" s="407"/>
      <c r="G6" s="407"/>
      <c r="J6" s="404"/>
      <c r="K6" s="399"/>
      <c r="L6" s="392"/>
      <c r="N6" s="401"/>
      <c r="O6" s="403" t="s">
        <v>1</v>
      </c>
      <c r="P6" s="406" t="s">
        <v>173</v>
      </c>
      <c r="R6" s="407"/>
      <c r="U6" s="408" t="s">
        <v>1</v>
      </c>
      <c r="V6" s="400"/>
      <c r="X6" s="392"/>
    </row>
    <row r="7" spans="2:28" ht="15.6" x14ac:dyDescent="0.3">
      <c r="B7" s="401"/>
      <c r="D7" s="406" t="s">
        <v>174</v>
      </c>
      <c r="E7" s="407"/>
      <c r="G7" s="407"/>
      <c r="J7" s="404"/>
      <c r="K7" s="399"/>
      <c r="L7" s="392"/>
      <c r="N7" s="401"/>
      <c r="O7" s="403"/>
      <c r="P7" s="406" t="s">
        <v>174</v>
      </c>
      <c r="R7" s="407"/>
      <c r="U7" s="408"/>
      <c r="V7" s="400"/>
      <c r="X7" s="392"/>
    </row>
    <row r="8" spans="2:28" ht="15.6" x14ac:dyDescent="0.3">
      <c r="B8" s="401"/>
      <c r="D8" s="406" t="s">
        <v>175</v>
      </c>
      <c r="E8" s="407"/>
      <c r="G8" s="399"/>
      <c r="J8" s="404"/>
      <c r="K8" s="399"/>
      <c r="L8" s="392"/>
      <c r="N8" s="401"/>
      <c r="O8" s="409" t="s">
        <v>1</v>
      </c>
      <c r="P8" s="406" t="s">
        <v>175</v>
      </c>
      <c r="R8" s="399"/>
      <c r="U8" s="404"/>
      <c r="V8" s="400"/>
      <c r="X8" s="392"/>
    </row>
    <row r="9" spans="2:28" ht="15.6" x14ac:dyDescent="0.3">
      <c r="B9" s="401"/>
      <c r="C9" s="399"/>
      <c r="D9" s="410"/>
      <c r="E9" s="411"/>
      <c r="G9" s="411"/>
      <c r="H9" s="399"/>
      <c r="J9" s="404"/>
      <c r="K9" s="399"/>
      <c r="L9" s="392"/>
      <c r="N9" s="401"/>
      <c r="O9" s="411" t="s">
        <v>1</v>
      </c>
      <c r="P9" s="411"/>
      <c r="R9" s="411"/>
      <c r="S9" s="399"/>
      <c r="U9" s="405"/>
      <c r="V9" s="400"/>
      <c r="X9" s="392"/>
    </row>
    <row r="10" spans="2:28" ht="19.8" thickBot="1" x14ac:dyDescent="0.5">
      <c r="B10" s="401"/>
      <c r="C10" s="399"/>
      <c r="D10" s="412"/>
      <c r="E10" s="399" t="s">
        <v>27</v>
      </c>
      <c r="F10" s="459">
        <f>'CONSOLIDADO_TOTAL RECAUDO'!G102</f>
        <v>46296</v>
      </c>
      <c r="G10" s="410"/>
      <c r="H10" s="399" t="s">
        <v>28</v>
      </c>
      <c r="I10" s="459">
        <f>'CONSOLIDADO_TOTAL RECAUDO'!K102</f>
        <v>46310</v>
      </c>
      <c r="J10" s="405"/>
      <c r="K10" s="399"/>
      <c r="L10" s="392"/>
      <c r="N10" s="401"/>
      <c r="Q10" s="410"/>
      <c r="R10" s="391" t="s">
        <v>1</v>
      </c>
      <c r="T10" s="410"/>
      <c r="U10" s="405"/>
      <c r="V10" s="400"/>
      <c r="X10" s="392"/>
      <c r="Y10" s="413" t="s">
        <v>1</v>
      </c>
    </row>
    <row r="11" spans="2:28" ht="72.599999999999994" thickBot="1" x14ac:dyDescent="0.25">
      <c r="B11" s="414" t="s">
        <v>3</v>
      </c>
      <c r="C11" s="415" t="s">
        <v>9</v>
      </c>
      <c r="D11" s="414" t="s">
        <v>176</v>
      </c>
      <c r="E11" s="416" t="s">
        <v>177</v>
      </c>
      <c r="F11" s="415" t="s">
        <v>178</v>
      </c>
      <c r="G11" s="417" t="s">
        <v>179</v>
      </c>
      <c r="H11" s="415" t="s">
        <v>180</v>
      </c>
      <c r="I11" s="416" t="s">
        <v>181</v>
      </c>
      <c r="J11" s="418" t="s">
        <v>182</v>
      </c>
      <c r="K11" s="419"/>
      <c r="L11" s="392"/>
      <c r="N11" s="414" t="s">
        <v>3</v>
      </c>
      <c r="O11" s="415" t="s">
        <v>9</v>
      </c>
      <c r="P11" s="420" t="s">
        <v>39</v>
      </c>
      <c r="Q11" s="421" t="s">
        <v>40</v>
      </c>
      <c r="R11" s="421" t="s">
        <v>41</v>
      </c>
      <c r="S11" s="421" t="s">
        <v>42</v>
      </c>
      <c r="T11" s="422" t="s">
        <v>183</v>
      </c>
      <c r="U11" s="463" t="s">
        <v>182</v>
      </c>
      <c r="V11" s="423"/>
      <c r="X11" s="392"/>
    </row>
    <row r="12" spans="2:28" s="429" customFormat="1" ht="12" x14ac:dyDescent="0.25">
      <c r="B12" s="424">
        <v>1</v>
      </c>
      <c r="C12" s="425" t="s">
        <v>10</v>
      </c>
      <c r="D12" s="426">
        <f>'Reporte Componentes R1'!F88*$D$24</f>
        <v>2015.07</v>
      </c>
      <c r="E12" s="426">
        <f>'Reporte Componentes R1'!G88*$D$24</f>
        <v>122.1</v>
      </c>
      <c r="F12" s="427">
        <f>'Reporte Componentes R1'!H88*$D$24</f>
        <v>51.87</v>
      </c>
      <c r="G12" s="427">
        <f>'Reporte Componentes R1'!I88*$D$24</f>
        <v>22.65</v>
      </c>
      <c r="H12" s="427">
        <f>'Reporte Componentes R1'!J88*$D$24</f>
        <v>369.44</v>
      </c>
      <c r="I12" s="427">
        <f>'Reporte Componentes R1'!K88*$D$24</f>
        <v>23.88</v>
      </c>
      <c r="J12" s="428">
        <f t="shared" ref="J12:J16" si="0">D12-E12-F12-G12-H12-I12</f>
        <v>1425.1299999999999</v>
      </c>
      <c r="L12" s="430"/>
      <c r="N12" s="424">
        <v>1</v>
      </c>
      <c r="O12" s="425" t="s">
        <v>10</v>
      </c>
      <c r="P12" s="431">
        <f>'Reporte Componentes R1'!M88*$P$24</f>
        <v>209.4</v>
      </c>
      <c r="Q12" s="432">
        <f>'Reporte Componentes R1'!N88*$P$24</f>
        <v>175.25</v>
      </c>
      <c r="R12" s="432">
        <f>'Reporte Componentes R1'!O88*$P$24</f>
        <v>699.55</v>
      </c>
      <c r="S12" s="432">
        <f>'Reporte Componentes R1'!P88*$P$24</f>
        <v>301.98</v>
      </c>
      <c r="T12" s="432">
        <f>'Reporte Componentes R1'!Q88*$P$24</f>
        <v>38.950000000000003</v>
      </c>
      <c r="U12" s="466">
        <f>SUM(P12:T12)</f>
        <v>1425.1299999999999</v>
      </c>
      <c r="V12" s="467">
        <f>J12-U12</f>
        <v>0</v>
      </c>
      <c r="W12" s="429" t="b">
        <f t="shared" ref="W12:W17" si="1">V12=0</f>
        <v>1</v>
      </c>
      <c r="X12" s="430"/>
      <c r="AB12" s="433"/>
    </row>
    <row r="13" spans="2:28" s="429" customFormat="1" ht="12" x14ac:dyDescent="0.25">
      <c r="B13" s="434">
        <v>2</v>
      </c>
      <c r="C13" s="435" t="s">
        <v>11</v>
      </c>
      <c r="D13" s="426">
        <f>'Reporte Componentes R1'!F221*$D$24</f>
        <v>243714.65</v>
      </c>
      <c r="E13" s="427">
        <f>'Reporte Componentes R1'!G221*$D$24</f>
        <v>20951.02</v>
      </c>
      <c r="F13" s="427">
        <f>'Reporte Componentes R1'!H221*$D$24</f>
        <v>8900.5</v>
      </c>
      <c r="G13" s="427">
        <f>'Reporte Componentes R1'!I221*$D$24</f>
        <v>3886.81</v>
      </c>
      <c r="H13" s="427">
        <f>'Reporte Componentes R1'!J221*$D$24</f>
        <v>48437.8</v>
      </c>
      <c r="I13" s="427">
        <f>'Reporte Componentes R1'!K221*$D$24</f>
        <v>2062.98</v>
      </c>
      <c r="J13" s="428">
        <f t="shared" si="0"/>
        <v>159475.54</v>
      </c>
      <c r="L13" s="430"/>
      <c r="N13" s="434">
        <v>2</v>
      </c>
      <c r="O13" s="435" t="s">
        <v>11</v>
      </c>
      <c r="P13" s="436">
        <f>'Reporte Componentes R1'!M221*$P$24</f>
        <v>18096.09</v>
      </c>
      <c r="Q13" s="437">
        <f>'Reporte Componentes R1'!N221*$P$24</f>
        <v>22688.82</v>
      </c>
      <c r="R13" s="437">
        <f>'Reporte Componentes R1'!O221*$P$24</f>
        <v>76193.100000000006</v>
      </c>
      <c r="S13" s="437">
        <f>'Reporte Componentes R1'!P221*$P$24</f>
        <v>39131.24</v>
      </c>
      <c r="T13" s="437">
        <f>'Reporte Componentes R1'!Q221*$P$24</f>
        <v>3366.29</v>
      </c>
      <c r="U13" s="465">
        <f>SUM(P13:T13)</f>
        <v>159475.54</v>
      </c>
      <c r="V13" s="468">
        <f t="shared" ref="V13:V16" si="2">J13-U13</f>
        <v>0</v>
      </c>
      <c r="W13" s="429" t="b">
        <f t="shared" si="1"/>
        <v>1</v>
      </c>
      <c r="X13" s="430"/>
      <c r="AB13" s="433"/>
    </row>
    <row r="14" spans="2:28" s="429" customFormat="1" ht="12" x14ac:dyDescent="0.25">
      <c r="B14" s="434">
        <v>3</v>
      </c>
      <c r="C14" s="435" t="s">
        <v>12</v>
      </c>
      <c r="D14" s="426">
        <f>'Reporte Componentes R1'!F349*$D$24</f>
        <v>558.04999999999995</v>
      </c>
      <c r="E14" s="426">
        <f>'Reporte Componentes R1'!G349*$D$24</f>
        <v>36.43</v>
      </c>
      <c r="F14" s="426">
        <f>'Reporte Componentes R1'!H349*$D$24</f>
        <v>15.48</v>
      </c>
      <c r="G14" s="426">
        <f>'Reporte Componentes R1'!I349*$D$24</f>
        <v>6.76</v>
      </c>
      <c r="H14" s="426">
        <f>'Reporte Componentes R1'!J349*$D$24</f>
        <v>123.14</v>
      </c>
      <c r="I14" s="426">
        <f>'Reporte Componentes R1'!K349*$D$24</f>
        <v>4.99</v>
      </c>
      <c r="J14" s="428">
        <f t="shared" si="0"/>
        <v>371.25</v>
      </c>
      <c r="L14" s="430"/>
      <c r="N14" s="434">
        <v>3</v>
      </c>
      <c r="O14" s="435" t="s">
        <v>12</v>
      </c>
      <c r="P14" s="436">
        <f>'Reporte Componentes R1'!M349*$P$24</f>
        <v>43.78</v>
      </c>
      <c r="Q14" s="437">
        <f>'Reporte Componentes R1'!N349*$P$24</f>
        <v>55.99</v>
      </c>
      <c r="R14" s="437">
        <f>'Reporte Componentes R1'!O349*$P$24</f>
        <v>184.32</v>
      </c>
      <c r="S14" s="437">
        <f>'Reporte Componentes R1'!P349*$P$24</f>
        <v>79.02</v>
      </c>
      <c r="T14" s="437">
        <f>'Reporte Componentes R1'!Q349*$P$24</f>
        <v>8.14</v>
      </c>
      <c r="U14" s="465">
        <f>SUM(P14:T14)</f>
        <v>371.25</v>
      </c>
      <c r="V14" s="468">
        <f t="shared" si="2"/>
        <v>0</v>
      </c>
      <c r="W14" s="429" t="b">
        <f t="shared" si="1"/>
        <v>1</v>
      </c>
      <c r="X14" s="430"/>
      <c r="AB14" s="433"/>
    </row>
    <row r="15" spans="2:28" s="429" customFormat="1" ht="12" x14ac:dyDescent="0.25">
      <c r="B15" s="434">
        <v>4</v>
      </c>
      <c r="C15" s="435" t="s">
        <v>13</v>
      </c>
      <c r="D15" s="426">
        <f>'Reporte Componentes R1'!F469*$D$24</f>
        <v>30180.94</v>
      </c>
      <c r="E15" s="427">
        <f>'Reporte Componentes R1'!G469*$D$24</f>
        <v>2445.4499999999998</v>
      </c>
      <c r="F15" s="427">
        <f>'Reporte Componentes R1'!H469*$D$24</f>
        <v>1038.9100000000001</v>
      </c>
      <c r="G15" s="427">
        <f>'Reporte Componentes R1'!I469*$D$24</f>
        <v>453.69</v>
      </c>
      <c r="H15" s="427">
        <f>'Reporte Componentes R1'!J469*$D$24</f>
        <v>5579.62</v>
      </c>
      <c r="I15" s="427">
        <f>'Reporte Componentes R1'!K469*$D$24</f>
        <v>227.22</v>
      </c>
      <c r="J15" s="428">
        <f t="shared" si="0"/>
        <v>20436.05</v>
      </c>
      <c r="L15" s="430"/>
      <c r="N15" s="434">
        <v>4</v>
      </c>
      <c r="O15" s="435" t="s">
        <v>13</v>
      </c>
      <c r="P15" s="436">
        <f>'Reporte Componentes R1'!M469*$P$24</f>
        <v>1993.18</v>
      </c>
      <c r="Q15" s="437">
        <f>'Reporte Componentes R1'!N469*$P$24</f>
        <v>2534.52</v>
      </c>
      <c r="R15" s="437">
        <f>'Reporte Componentes R1'!O469*$P$24</f>
        <v>9306.2999999999993</v>
      </c>
      <c r="S15" s="437">
        <f>'Reporte Componentes R1'!P469*$P$24</f>
        <v>6231.3</v>
      </c>
      <c r="T15" s="437">
        <f>'Reporte Componentes R1'!Q469*$P$24</f>
        <v>370.75</v>
      </c>
      <c r="U15" s="465">
        <f>SUM(P15:T15)</f>
        <v>20436.05</v>
      </c>
      <c r="V15" s="468">
        <f t="shared" si="2"/>
        <v>0</v>
      </c>
      <c r="W15" s="429" t="b">
        <f t="shared" si="1"/>
        <v>1</v>
      </c>
      <c r="X15" s="430"/>
      <c r="AB15" s="433"/>
    </row>
    <row r="16" spans="2:28" s="429" customFormat="1" ht="12.6" thickBot="1" x14ac:dyDescent="0.3">
      <c r="B16" s="438">
        <v>5</v>
      </c>
      <c r="C16" s="439" t="s">
        <v>14</v>
      </c>
      <c r="D16" s="440">
        <f>'Reporte Componentes R1'!F543*$D$24</f>
        <v>0</v>
      </c>
      <c r="E16" s="441">
        <f>'Reporte Componentes R1'!G543*$D$24</f>
        <v>0</v>
      </c>
      <c r="F16" s="441">
        <f>'Reporte Componentes R1'!H543*$D$24</f>
        <v>0</v>
      </c>
      <c r="G16" s="441">
        <f>'Reporte Componentes R1'!I543*$D$24</f>
        <v>0</v>
      </c>
      <c r="H16" s="441">
        <f>'Reporte Componentes R1'!J543*$D$24</f>
        <v>0</v>
      </c>
      <c r="I16" s="441">
        <f>'Reporte Componentes R1'!K543*$D$24</f>
        <v>0</v>
      </c>
      <c r="J16" s="428">
        <f t="shared" si="0"/>
        <v>0</v>
      </c>
      <c r="L16" s="430"/>
      <c r="N16" s="438">
        <v>5</v>
      </c>
      <c r="O16" s="439" t="s">
        <v>14</v>
      </c>
      <c r="P16" s="440">
        <f>'Reporte Componentes R1'!M543*$P$24</f>
        <v>0</v>
      </c>
      <c r="Q16" s="441">
        <f>'Reporte Componentes R1'!N543*$P$24</f>
        <v>0</v>
      </c>
      <c r="R16" s="441">
        <f>'Reporte Componentes R1'!O543*$P$24</f>
        <v>0</v>
      </c>
      <c r="S16" s="441">
        <f>'Reporte Componentes R1'!P543*$P$24</f>
        <v>0</v>
      </c>
      <c r="T16" s="441">
        <f>'Reporte Componentes R1'!Q543*$P$24</f>
        <v>0</v>
      </c>
      <c r="U16" s="469">
        <f>SUM(P16:T16)</f>
        <v>0</v>
      </c>
      <c r="V16" s="470">
        <f t="shared" si="2"/>
        <v>0</v>
      </c>
      <c r="W16" s="429" t="b">
        <f t="shared" si="1"/>
        <v>1</v>
      </c>
      <c r="X16" s="430"/>
      <c r="AB16" s="433"/>
    </row>
    <row r="17" spans="1:28" s="429" customFormat="1" ht="12.6" thickBot="1" x14ac:dyDescent="0.3">
      <c r="B17" s="442"/>
      <c r="C17" s="443" t="s">
        <v>2</v>
      </c>
      <c r="D17" s="444">
        <f t="shared" ref="D17:J17" si="3">SUM(D12:D16)</f>
        <v>276468.70999999996</v>
      </c>
      <c r="E17" s="444">
        <f t="shared" si="3"/>
        <v>23555</v>
      </c>
      <c r="F17" s="444">
        <f t="shared" si="3"/>
        <v>10006.76</v>
      </c>
      <c r="G17" s="444">
        <f t="shared" si="3"/>
        <v>4369.91</v>
      </c>
      <c r="H17" s="444">
        <f t="shared" si="3"/>
        <v>54510.000000000007</v>
      </c>
      <c r="I17" s="444">
        <f t="shared" si="3"/>
        <v>2319.0699999999997</v>
      </c>
      <c r="J17" s="445">
        <f t="shared" si="3"/>
        <v>181707.97</v>
      </c>
      <c r="K17" s="446"/>
      <c r="L17" s="430"/>
      <c r="N17" s="442"/>
      <c r="O17" s="443" t="s">
        <v>2</v>
      </c>
      <c r="P17" s="447">
        <f>SUM(P12:P16)</f>
        <v>20342.45</v>
      </c>
      <c r="Q17" s="447">
        <f t="shared" ref="Q17:U17" si="4">SUM(Q12:Q16)</f>
        <v>25454.58</v>
      </c>
      <c r="R17" s="447">
        <f t="shared" si="4"/>
        <v>86383.270000000019</v>
      </c>
      <c r="S17" s="447">
        <f t="shared" si="4"/>
        <v>45743.54</v>
      </c>
      <c r="T17" s="447">
        <f t="shared" si="4"/>
        <v>3784.1299999999997</v>
      </c>
      <c r="U17" s="464">
        <f t="shared" si="4"/>
        <v>181707.97</v>
      </c>
      <c r="V17" s="448">
        <f>SUM(V12:V16)</f>
        <v>0</v>
      </c>
      <c r="W17" s="429" t="b">
        <f t="shared" si="1"/>
        <v>1</v>
      </c>
      <c r="X17" s="430"/>
      <c r="AB17" s="433"/>
    </row>
    <row r="18" spans="1:28" ht="12.6" thickBot="1" x14ac:dyDescent="0.3">
      <c r="B18" s="399"/>
      <c r="C18" s="399"/>
      <c r="D18" s="449"/>
      <c r="E18" s="450"/>
      <c r="F18" s="450"/>
      <c r="G18" s="450"/>
      <c r="H18" s="450"/>
      <c r="I18" s="450"/>
      <c r="J18" s="450"/>
      <c r="L18" s="392"/>
      <c r="N18" s="399"/>
      <c r="O18" s="399"/>
      <c r="P18" s="450"/>
      <c r="Q18" s="450"/>
      <c r="R18" s="450"/>
      <c r="S18" s="450"/>
      <c r="T18" s="450"/>
      <c r="U18" s="450"/>
      <c r="X18" s="392"/>
    </row>
    <row r="19" spans="1:28" ht="12.6" thickBot="1" x14ac:dyDescent="0.3">
      <c r="B19" s="399"/>
      <c r="C19" s="399"/>
      <c r="D19" s="450"/>
      <c r="E19" s="450"/>
      <c r="F19" s="450"/>
      <c r="G19" s="450"/>
      <c r="H19" s="450"/>
      <c r="I19" s="450"/>
      <c r="J19" s="450"/>
      <c r="L19" s="392"/>
      <c r="T19" s="451">
        <f>SUM(P17:T17)</f>
        <v>181707.97000000003</v>
      </c>
      <c r="U19" s="391" t="s">
        <v>1</v>
      </c>
      <c r="X19" s="392"/>
    </row>
    <row r="20" spans="1:28" ht="12.6" thickBot="1" x14ac:dyDescent="0.3">
      <c r="B20" s="399"/>
      <c r="C20" s="399"/>
      <c r="D20" s="450" t="s">
        <v>1</v>
      </c>
      <c r="E20" s="452"/>
      <c r="F20" s="452"/>
      <c r="G20" s="452"/>
      <c r="H20" s="452"/>
      <c r="I20" s="450"/>
      <c r="J20" s="632" t="b">
        <f>+IF(MAX(J12:J17)&gt;500000,"VALIDAR",TRUE)</f>
        <v>1</v>
      </c>
      <c r="L20" s="392"/>
      <c r="U20" s="453"/>
      <c r="X20" s="392"/>
    </row>
    <row r="21" spans="1:28" ht="12" x14ac:dyDescent="0.25">
      <c r="B21" s="399"/>
      <c r="C21" s="399"/>
      <c r="D21" s="450" t="s">
        <v>1</v>
      </c>
      <c r="E21" s="450" t="s">
        <v>1</v>
      </c>
      <c r="F21" s="450" t="s">
        <v>25</v>
      </c>
      <c r="G21" s="450"/>
      <c r="H21" s="450"/>
      <c r="I21" s="450"/>
      <c r="J21" s="450"/>
      <c r="L21" s="392"/>
      <c r="X21" s="392"/>
    </row>
    <row r="22" spans="1:28" ht="12" x14ac:dyDescent="0.25">
      <c r="A22" s="454"/>
      <c r="B22" s="455"/>
      <c r="C22" s="455"/>
      <c r="D22" s="456"/>
      <c r="E22" s="456"/>
      <c r="F22" s="456"/>
      <c r="G22" s="456"/>
      <c r="H22" s="456"/>
      <c r="I22" s="456"/>
      <c r="J22" s="456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7"/>
      <c r="W22" s="454"/>
      <c r="X22" s="454"/>
    </row>
    <row r="24" spans="1:28" x14ac:dyDescent="0.2">
      <c r="D24" s="458">
        <v>-1</v>
      </c>
      <c r="P24" s="458">
        <v>-1</v>
      </c>
    </row>
    <row r="25" spans="1:28" ht="15.6" x14ac:dyDescent="0.3">
      <c r="E25" s="407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A95" zoomScaleNormal="100" workbookViewId="0">
      <selection activeCell="AF1" sqref="AF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77734375" style="1" customWidth="1"/>
    <col min="13" max="13" width="20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4.77734375" style="273" bestFit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38" width="11.44140625" style="1"/>
    <col min="39" max="39" width="15.777343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4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74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4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4"/>
      <c r="AI5" s="4"/>
    </row>
    <row r="6" spans="2:35" ht="15.6" x14ac:dyDescent="0.3">
      <c r="B6" s="8"/>
      <c r="C6" s="590" t="s">
        <v>17</v>
      </c>
      <c r="D6" s="9"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4"/>
      <c r="AI6" s="4"/>
    </row>
    <row r="7" spans="2:35" ht="12.6" thickBot="1" x14ac:dyDescent="0.3">
      <c r="B7" s="8"/>
      <c r="C7" s="590" t="s">
        <v>0</v>
      </c>
      <c r="D7" s="241">
        <v>0.58333333333333337</v>
      </c>
      <c r="F7" s="2" t="s">
        <v>27</v>
      </c>
      <c r="G7" s="9">
        <v>46296</v>
      </c>
      <c r="J7" s="2" t="s">
        <v>28</v>
      </c>
      <c r="K7" s="9"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74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275"/>
      <c r="AI8" s="4"/>
    </row>
    <row r="9" spans="2:35" s="307" customFormat="1" ht="12" x14ac:dyDescent="0.25">
      <c r="B9" s="305">
        <v>1</v>
      </c>
      <c r="C9" s="306" t="s">
        <v>10</v>
      </c>
      <c r="D9" s="388">
        <f>'Reporte Componentes R1'!F58</f>
        <v>14815021974.749998</v>
      </c>
      <c r="E9" s="294">
        <f>'Reporte Componentes R1'!G58</f>
        <v>841806035.64999998</v>
      </c>
      <c r="F9" s="294">
        <f>'Reporte Componentes R1'!H58</f>
        <v>468917971.50999999</v>
      </c>
      <c r="G9" s="294">
        <f>'Reporte Componentes R1'!I58</f>
        <v>249656917.12</v>
      </c>
      <c r="H9" s="294">
        <f>'Reporte Componentes R1'!J58</f>
        <v>4756846110.3300009</v>
      </c>
      <c r="I9" s="294">
        <f>'Reporte Componentes R1'!K58</f>
        <v>158497973.27000001</v>
      </c>
      <c r="J9" s="290">
        <f>'BCE SC POR FACT.'!F3</f>
        <v>2153950828.1600003</v>
      </c>
      <c r="K9" s="295">
        <f>D9-E9-F9-G9-H9-I9-J9</f>
        <v>6185346138.7099953</v>
      </c>
      <c r="L9" s="296">
        <f>INTERVENTORIA!K15</f>
        <v>189185987</v>
      </c>
      <c r="M9" s="295">
        <f>K9-L9</f>
        <v>5996160151.7099953</v>
      </c>
      <c r="N9" s="389">
        <f>'Reporte Componentes R1'!L58</f>
        <v>19931693.030000001</v>
      </c>
      <c r="O9" s="295">
        <f>M9+N9</f>
        <v>6016091844.739995</v>
      </c>
      <c r="Q9" s="308"/>
      <c r="S9" s="305">
        <v>1</v>
      </c>
      <c r="T9" s="306" t="s">
        <v>10</v>
      </c>
      <c r="U9" s="309">
        <f>'Reporte Componentes R1'!M58</f>
        <v>1391735601.23</v>
      </c>
      <c r="V9" s="310">
        <f>'Reporte Componentes R1'!N58</f>
        <v>1315958607.1700001</v>
      </c>
      <c r="W9" s="310">
        <f>'Reporte Componentes R1'!O58</f>
        <v>6272232186.7699995</v>
      </c>
      <c r="X9" s="310">
        <f>'Reporte Componentes R1'!P58</f>
        <v>2290889068.9099998</v>
      </c>
      <c r="Y9" s="311">
        <f>'Reporte Componentes R1'!Q58</f>
        <v>258744863.86000001</v>
      </c>
      <c r="Z9" s="312">
        <f>L9*-1</f>
        <v>-189185987</v>
      </c>
      <c r="AA9" s="313">
        <f>'Reporte Componentes R1'!R58+'Reporte Componentes R1'!U58+'Reporte Componentes R1'!V58</f>
        <v>-27801.66</v>
      </c>
      <c r="AB9" s="314">
        <f>N9</f>
        <v>19931693.030000001</v>
      </c>
      <c r="AC9" s="322">
        <f>'Reporte Componentes R1'!T58+'Reporte Componentes R1'!W58+'Reporte Componentes R1'!X58+'Reporte Componentes R1'!Y58+'Reporte Componentes R1'!Z58+'Reporte Componentes R1'!S58</f>
        <v>149.13</v>
      </c>
      <c r="AD9" s="293">
        <f>-J9+AE9</f>
        <v>-5344186536.7000008</v>
      </c>
      <c r="AE9" s="293">
        <f>'Reporte Componentes R1'!F59</f>
        <v>-3190235708.54</v>
      </c>
      <c r="AF9" s="315">
        <f>SUM(U9:AD9)</f>
        <v>6016091844.7399998</v>
      </c>
      <c r="AG9" s="523">
        <f>(AF9-O9)</f>
        <v>4.76837158203125E-6</v>
      </c>
      <c r="AH9" s="307" t="b">
        <f>INT(AG9)=0</f>
        <v>1</v>
      </c>
      <c r="AI9" s="308"/>
    </row>
    <row r="10" spans="2:35" s="307" customFormat="1" ht="12" x14ac:dyDescent="0.25">
      <c r="B10" s="316">
        <v>2</v>
      </c>
      <c r="C10" s="317" t="s">
        <v>11</v>
      </c>
      <c r="D10" s="293">
        <f>'Reporte Componentes R1'!F191</f>
        <v>11219101305.09</v>
      </c>
      <c r="E10" s="294">
        <f>'Reporte Componentes R1'!G191</f>
        <v>873254306.83000004</v>
      </c>
      <c r="F10" s="294">
        <f>'Reporte Componentes R1'!H191</f>
        <v>483462932.19999999</v>
      </c>
      <c r="G10" s="294">
        <f>'Reporte Componentes R1'!I191</f>
        <v>256309653.09999999</v>
      </c>
      <c r="H10" s="294">
        <f>'Reporte Componentes R1'!J191</f>
        <v>3573620561.6399999</v>
      </c>
      <c r="I10" s="294">
        <f>'Reporte Componentes R1'!K191</f>
        <v>126627767.13</v>
      </c>
      <c r="J10" s="290">
        <f>'BCE SC POR FACT.'!F4</f>
        <v>-4217145526.9099998</v>
      </c>
      <c r="K10" s="297">
        <f>D10-E10-F10-G10-H10-I10-J10</f>
        <v>10122971611.099998</v>
      </c>
      <c r="L10" s="296">
        <f>INTERVENTORIA!K16</f>
        <v>266580255</v>
      </c>
      <c r="M10" s="297">
        <f>K10-L10</f>
        <v>9856391356.0999985</v>
      </c>
      <c r="N10" s="296">
        <f>'Reporte Componentes R1'!L191</f>
        <v>9834335.8100000005</v>
      </c>
      <c r="O10" s="297">
        <f>M10+N10</f>
        <v>9866225691.9099979</v>
      </c>
      <c r="Q10" s="308"/>
      <c r="S10" s="316">
        <v>2</v>
      </c>
      <c r="T10" s="317" t="s">
        <v>11</v>
      </c>
      <c r="U10" s="318">
        <f>'Reporte Componentes R1'!M191</f>
        <v>1110999299.71</v>
      </c>
      <c r="V10" s="319">
        <f>'Reporte Componentes R1'!N191</f>
        <v>1068155937.1999999</v>
      </c>
      <c r="W10" s="319">
        <f>'Reporte Componentes R1'!O191</f>
        <v>5074671965.54</v>
      </c>
      <c r="X10" s="319">
        <f>'Reporte Componentes R1'!P191</f>
        <v>1712802998.4100001</v>
      </c>
      <c r="Y10" s="320">
        <f>'Reporte Componentes R1'!Q191</f>
        <v>206761960.40000001</v>
      </c>
      <c r="Z10" s="321">
        <f>L10*-1</f>
        <v>-266580255</v>
      </c>
      <c r="AA10" s="322">
        <f>'Reporte Componentes R1'!R191+'Reporte Componentes R1'!U191+'Reporte Componentes R1'!V191</f>
        <v>-14204.66</v>
      </c>
      <c r="AB10" s="323">
        <f>N10</f>
        <v>9834335.8100000005</v>
      </c>
      <c r="AC10" s="322">
        <f>'Reporte Componentes R1'!T191+'Reporte Componentes R1'!W191+'Reporte Componentes R1'!X191+'Reporte Componentes R1'!Y191+'Reporte Componentes R1'!Z191+'Reporte Componentes R1'!S191</f>
        <v>-56307.81</v>
      </c>
      <c r="AD10" s="293">
        <f t="shared" ref="AD10:AD13" si="0">-J10+AE10</f>
        <v>949649962.30999994</v>
      </c>
      <c r="AE10" s="293">
        <f>'Reporte Componentes R1'!F192</f>
        <v>-3267495564.5999999</v>
      </c>
      <c r="AF10" s="324">
        <f>SUM(U10:AD10)</f>
        <v>9866225691.9099998</v>
      </c>
      <c r="AG10" s="524">
        <f>(AF10-O10)</f>
        <v>1.9073486328125E-6</v>
      </c>
      <c r="AH10" s="307" t="b">
        <f t="shared" ref="AH10:AH13" si="1">INT(AG10)=0</f>
        <v>1</v>
      </c>
      <c r="AI10" s="308"/>
    </row>
    <row r="11" spans="2:35" s="307" customFormat="1" ht="12" x14ac:dyDescent="0.25">
      <c r="B11" s="316">
        <v>3</v>
      </c>
      <c r="C11" s="317" t="s">
        <v>12</v>
      </c>
      <c r="D11" s="293">
        <f>'Reporte Componentes R1'!F319</f>
        <v>8811472160.3400002</v>
      </c>
      <c r="E11" s="294">
        <f>'Reporte Componentes R1'!G319</f>
        <v>569049058.22000003</v>
      </c>
      <c r="F11" s="294">
        <f>'Reporte Componentes R1'!H319</f>
        <v>317267488.88</v>
      </c>
      <c r="G11" s="294">
        <f>'Reporte Componentes R1'!I319</f>
        <v>168517798.86000001</v>
      </c>
      <c r="H11" s="294">
        <f>'Reporte Componentes R1'!J319</f>
        <v>2429021539.6700001</v>
      </c>
      <c r="I11" s="294">
        <f>'Reporte Componentes R1'!K319</f>
        <v>86984010.540000007</v>
      </c>
      <c r="J11" s="290">
        <f>'BCE SC POR FACT.'!F5</f>
        <v>-1288806337.0900002</v>
      </c>
      <c r="K11" s="297">
        <f>D11-E11-F11-G11-H11-I11-J11</f>
        <v>6529438601.2600002</v>
      </c>
      <c r="L11" s="296">
        <f>INTERVENTORIA!K17</f>
        <v>154788535</v>
      </c>
      <c r="M11" s="297">
        <f>K11-L11</f>
        <v>6374650066.2600002</v>
      </c>
      <c r="N11" s="296">
        <f>'Reporte Componentes R1'!L319</f>
        <v>19305717.66</v>
      </c>
      <c r="O11" s="297">
        <f>M11+N11</f>
        <v>6393955783.9200001</v>
      </c>
      <c r="Q11" s="308"/>
      <c r="S11" s="316">
        <v>3</v>
      </c>
      <c r="T11" s="317" t="s">
        <v>12</v>
      </c>
      <c r="U11" s="318">
        <f>'Reporte Componentes R1'!M319</f>
        <v>763682703.06000006</v>
      </c>
      <c r="V11" s="319">
        <f>'Reporte Componentes R1'!N319</f>
        <v>725018824.26999998</v>
      </c>
      <c r="W11" s="319">
        <f>'Reporte Componentes R1'!O319</f>
        <v>3444255866.5499997</v>
      </c>
      <c r="X11" s="319">
        <f>'Reporte Componentes R1'!P319</f>
        <v>1347916174.22</v>
      </c>
      <c r="Y11" s="320">
        <f>'Reporte Componentes R1'!Q319</f>
        <v>142025975.44000003</v>
      </c>
      <c r="Z11" s="321">
        <f>L11*-1</f>
        <v>-154788535</v>
      </c>
      <c r="AA11" s="322">
        <f>'Reporte Componentes R1'!R319+'Reporte Componentes R1'!U319+'Reporte Componentes R1'!V319</f>
        <v>-81704.87</v>
      </c>
      <c r="AB11" s="323">
        <f>N11</f>
        <v>19305717.66</v>
      </c>
      <c r="AC11" s="322">
        <f>'Reporte Componentes R1'!T319+'Reporte Componentes R1'!W319+'Reporte Componentes R1'!X319+'Reporte Componentes R1'!Y319+'Reporte Componentes R1'!Z319+'Reporte Componentes R1'!S319</f>
        <v>-41619.9</v>
      </c>
      <c r="AD11" s="293">
        <f t="shared" si="0"/>
        <v>106662382.49000025</v>
      </c>
      <c r="AE11" s="293">
        <f>'Reporte Componentes R1'!F320</f>
        <v>-1182143954.5999999</v>
      </c>
      <c r="AF11" s="324">
        <f t="shared" ref="AF11:AF13" si="2">SUM(U11:AD11)</f>
        <v>6393955783.9200001</v>
      </c>
      <c r="AG11" s="524">
        <f>(AF11-O11)</f>
        <v>0</v>
      </c>
      <c r="AH11" s="307" t="b">
        <f t="shared" si="1"/>
        <v>1</v>
      </c>
      <c r="AI11" s="308"/>
    </row>
    <row r="12" spans="2:35" s="307" customFormat="1" ht="12" x14ac:dyDescent="0.25">
      <c r="B12" s="316">
        <v>4</v>
      </c>
      <c r="C12" s="317" t="s">
        <v>13</v>
      </c>
      <c r="D12" s="293">
        <f>'Reporte Componentes R1'!F439</f>
        <v>10473967813.419998</v>
      </c>
      <c r="E12" s="294">
        <f>'Reporte Componentes R1'!G439</f>
        <v>604669997.78999996</v>
      </c>
      <c r="F12" s="294">
        <f>'Reporte Componentes R1'!H439</f>
        <v>335175471.73999995</v>
      </c>
      <c r="G12" s="294">
        <f>'Reporte Componentes R1'!I439</f>
        <v>178722961.24000001</v>
      </c>
      <c r="H12" s="294">
        <f>'Reporte Componentes R1'!J439</f>
        <v>2396185440.1100001</v>
      </c>
      <c r="I12" s="294">
        <f>'Reporte Componentes R1'!K439</f>
        <v>89652485.689999998</v>
      </c>
      <c r="J12" s="290">
        <f>'BCE SC POR FACT.'!F6</f>
        <v>61531953.689999998</v>
      </c>
      <c r="K12" s="297">
        <f>D12-E12-F12-G12-H12-I12-J12</f>
        <v>6808029503.1599979</v>
      </c>
      <c r="L12" s="296">
        <f>INTERVENTORIA!K18</f>
        <v>120391083</v>
      </c>
      <c r="M12" s="297">
        <f>K12-L12</f>
        <v>6687638420.1599979</v>
      </c>
      <c r="N12" s="296">
        <f>'Reporte Componentes R1'!L439</f>
        <v>8643135.5800000001</v>
      </c>
      <c r="O12" s="297">
        <f>M12+N12</f>
        <v>6696281555.7399979</v>
      </c>
      <c r="Q12" s="308"/>
      <c r="S12" s="316">
        <v>4</v>
      </c>
      <c r="T12" s="317" t="s">
        <v>13</v>
      </c>
      <c r="U12" s="318">
        <f>'Reporte Componentes R1'!M439</f>
        <v>785814467.67000008</v>
      </c>
      <c r="V12" s="319">
        <f>'Reporte Componentes R1'!N439</f>
        <v>749924263.23000002</v>
      </c>
      <c r="W12" s="319">
        <f>'Reporte Componentes R1'!O439</f>
        <v>3880546235.1599998</v>
      </c>
      <c r="X12" s="319">
        <f>'Reporte Componentes R1'!P439</f>
        <v>1600707975.2</v>
      </c>
      <c r="Y12" s="320">
        <f>'Reporte Componentes R1'!Q439</f>
        <v>146527905.08000001</v>
      </c>
      <c r="Z12" s="321">
        <f>L12*-1</f>
        <v>-120391083</v>
      </c>
      <c r="AA12" s="322">
        <f>'Reporte Componentes R1'!R439+'Reporte Componentes R1'!U439+'Reporte Componentes R1'!V439</f>
        <v>31942.35</v>
      </c>
      <c r="AB12" s="323">
        <f>N12</f>
        <v>8643135.5800000001</v>
      </c>
      <c r="AC12" s="322">
        <f>'Reporte Componentes R1'!T439+'Reporte Componentes R1'!W439+'Reporte Componentes R1'!X439+'Reporte Componentes R1'!Y439+'Reporte Componentes R1'!Z439+'Reporte Componentes R1'!S439</f>
        <v>189.43</v>
      </c>
      <c r="AD12" s="293">
        <f t="shared" si="0"/>
        <v>-355523474.95999998</v>
      </c>
      <c r="AE12" s="293">
        <f>'Reporte Componentes R1'!F440</f>
        <v>-293991521.26999998</v>
      </c>
      <c r="AF12" s="324">
        <f t="shared" si="2"/>
        <v>6696281555.7399998</v>
      </c>
      <c r="AG12" s="524">
        <f>(AF12-O12)</f>
        <v>1.9073486328125E-6</v>
      </c>
      <c r="AH12" s="307" t="b">
        <f t="shared" si="1"/>
        <v>1</v>
      </c>
      <c r="AI12" s="308"/>
    </row>
    <row r="13" spans="2:35" s="307" customFormat="1" ht="12.6" thickBot="1" x14ac:dyDescent="0.3">
      <c r="B13" s="326">
        <v>5</v>
      </c>
      <c r="C13" s="327" t="s">
        <v>14</v>
      </c>
      <c r="D13" s="298">
        <f>'Reporte Componentes R1'!F513</f>
        <v>7544253279.9399996</v>
      </c>
      <c r="E13" s="299">
        <f>'Reporte Componentes R1'!G513</f>
        <v>408145471.80000001</v>
      </c>
      <c r="F13" s="299">
        <f>'Reporte Componentes R1'!H513</f>
        <v>227118040.72999999</v>
      </c>
      <c r="G13" s="299">
        <f>'Reporte Componentes R1'!I513</f>
        <v>120841029.03</v>
      </c>
      <c r="H13" s="299">
        <f>'Reporte Componentes R1'!J513</f>
        <v>1864267894.6400001</v>
      </c>
      <c r="I13" s="299">
        <f>'Reporte Componentes R1'!K513</f>
        <v>62073126.829999998</v>
      </c>
      <c r="J13" s="291">
        <f>'BCE SC POR FACT.'!F7</f>
        <v>-1246473094.4099998</v>
      </c>
      <c r="K13" s="297">
        <f>D13-E13-F13-G13-H13-I13-J13</f>
        <v>6108280811.3199997</v>
      </c>
      <c r="L13" s="296">
        <f>INTERVENTORIA!K19</f>
        <v>128990445</v>
      </c>
      <c r="M13" s="300">
        <f>K13-L13</f>
        <v>5979290366.3199997</v>
      </c>
      <c r="N13" s="301">
        <f>'Reporte Componentes R1'!L513</f>
        <v>12379938.060000001</v>
      </c>
      <c r="O13" s="300">
        <f>M13+N13</f>
        <v>5991670304.3800001</v>
      </c>
      <c r="Q13" s="308"/>
      <c r="S13" s="326">
        <v>5</v>
      </c>
      <c r="T13" s="327" t="s">
        <v>14</v>
      </c>
      <c r="U13" s="298">
        <f>'Reporte Componentes R1'!M513</f>
        <v>544684335.76999998</v>
      </c>
      <c r="V13" s="299">
        <f>'Reporte Componentes R1'!N513</f>
        <v>512958805.74000001</v>
      </c>
      <c r="W13" s="299">
        <f>'Reporte Componentes R1'!O513</f>
        <v>2640560444.6500001</v>
      </c>
      <c r="X13" s="299">
        <f>'Reporte Componentes R1'!P513</f>
        <v>1214677726.3699999</v>
      </c>
      <c r="Y13" s="291">
        <f>'Reporte Componentes R1'!Q513</f>
        <v>101292451</v>
      </c>
      <c r="Z13" s="321">
        <f>L13*-1</f>
        <v>-128990445</v>
      </c>
      <c r="AA13" s="322">
        <f>'Reporte Componentes R1'!R513+'Reporte Componentes R1'!U513+'Reporte Componentes R1'!V513</f>
        <v>10679.52</v>
      </c>
      <c r="AB13" s="323">
        <f>N13</f>
        <v>12379938.060000001</v>
      </c>
      <c r="AC13" s="322">
        <f>'Reporte Componentes R1'!T513+'Reporte Componentes R1'!W513+'Reporte Componentes R1'!X513+'Reporte Componentes R1'!Y513+'Reporte Componentes R1'!Z513+'Reporte Componentes R1'!S513</f>
        <v>4.8600000000000003</v>
      </c>
      <c r="AD13" s="293">
        <f t="shared" si="0"/>
        <v>1094096363.4099998</v>
      </c>
      <c r="AE13" s="293">
        <f>'Reporte Componentes R1'!F514</f>
        <v>-152376731</v>
      </c>
      <c r="AF13" s="324">
        <f t="shared" si="2"/>
        <v>5991670304.3800001</v>
      </c>
      <c r="AG13" s="525">
        <f>(AF13-O13)</f>
        <v>0</v>
      </c>
      <c r="AH13" s="307" t="b">
        <f t="shared" si="1"/>
        <v>1</v>
      </c>
      <c r="AI13" s="308"/>
    </row>
    <row r="14" spans="2:35" s="307" customFormat="1" ht="13.8" thickBot="1" x14ac:dyDescent="0.3">
      <c r="B14" s="329"/>
      <c r="C14" s="330" t="s">
        <v>2</v>
      </c>
      <c r="D14" s="292">
        <f>SUM(D9:D13)</f>
        <v>52863816533.539993</v>
      </c>
      <c r="E14" s="292">
        <f t="shared" ref="E14:O14" si="3">SUM(E9:E13)</f>
        <v>3296924870.29</v>
      </c>
      <c r="F14" s="292">
        <f t="shared" si="3"/>
        <v>1831941905.0600002</v>
      </c>
      <c r="G14" s="292">
        <f t="shared" ref="G14" si="4">SUM(G9:G13)</f>
        <v>974048359.35000002</v>
      </c>
      <c r="H14" s="292">
        <f t="shared" si="3"/>
        <v>15019941546.390001</v>
      </c>
      <c r="I14" s="292">
        <f t="shared" si="3"/>
        <v>523835363.45999998</v>
      </c>
      <c r="J14" s="292">
        <f t="shared" si="3"/>
        <v>-4536942176.5599995</v>
      </c>
      <c r="K14" s="302">
        <f>SUM(K9:K13)</f>
        <v>35754066665.549988</v>
      </c>
      <c r="L14" s="303">
        <f>SUM(L9:L13)</f>
        <v>859936305</v>
      </c>
      <c r="M14" s="304">
        <f t="shared" si="3"/>
        <v>34894130360.549988</v>
      </c>
      <c r="N14" s="303">
        <f t="shared" si="3"/>
        <v>70094820.140000001</v>
      </c>
      <c r="O14" s="304">
        <f t="shared" si="3"/>
        <v>34964225180.689987</v>
      </c>
      <c r="P14" s="331"/>
      <c r="Q14" s="308"/>
      <c r="S14" s="329"/>
      <c r="T14" s="330" t="s">
        <v>2</v>
      </c>
      <c r="U14" s="332">
        <f>SUM(U9:U13)</f>
        <v>4596916407.4400005</v>
      </c>
      <c r="V14" s="332">
        <f t="shared" ref="V14:AF14" si="5">SUM(V9:V13)</f>
        <v>4372016437.6099997</v>
      </c>
      <c r="W14" s="332">
        <f t="shared" si="5"/>
        <v>21312266698.669998</v>
      </c>
      <c r="X14" s="332">
        <f t="shared" si="5"/>
        <v>8166993943.1099997</v>
      </c>
      <c r="Y14" s="332">
        <f t="shared" si="5"/>
        <v>855353155.78000009</v>
      </c>
      <c r="Z14" s="292">
        <f t="shared" si="5"/>
        <v>-859936305</v>
      </c>
      <c r="AA14" s="292">
        <f t="shared" si="5"/>
        <v>-81089.319999999992</v>
      </c>
      <c r="AB14" s="292">
        <f t="shared" si="5"/>
        <v>70094820.140000001</v>
      </c>
      <c r="AC14" s="292">
        <f>SUM(AC9:AC13)</f>
        <v>-97584.290000000008</v>
      </c>
      <c r="AD14" s="292">
        <f>SUM(AD9:AD13)</f>
        <v>-3549301303.4500008</v>
      </c>
      <c r="AE14" s="292">
        <f>SUM(AE9:AE13)</f>
        <v>-8086243480.0100002</v>
      </c>
      <c r="AF14" s="333">
        <f t="shared" si="5"/>
        <v>34964225180.689995</v>
      </c>
      <c r="AG14" s="526">
        <f>SUM(AG9:AG13)</f>
        <v>8.58306884765625E-6</v>
      </c>
      <c r="AH14" s="307" t="b">
        <f>INT(AG14)=0</f>
        <v>1</v>
      </c>
      <c r="AI14" s="308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39303546642.609993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09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6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4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74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4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4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4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74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275"/>
      <c r="AI27" s="4"/>
    </row>
    <row r="28" spans="1:35" s="307" customFormat="1" ht="12" x14ac:dyDescent="0.25">
      <c r="B28" s="305">
        <v>1</v>
      </c>
      <c r="C28" s="306" t="s">
        <v>10</v>
      </c>
      <c r="D28" s="293">
        <f>'Rem. Anticipos R2'!E43</f>
        <v>30588071.020000003</v>
      </c>
      <c r="E28" s="294">
        <f>'Rem. Anticipos R2'!F43</f>
        <v>2012917.46</v>
      </c>
      <c r="F28" s="294">
        <f>'Rem. Anticipos R2'!G43</f>
        <v>1105648.06</v>
      </c>
      <c r="G28" s="294">
        <f>'Rem. Anticipos R2'!H43</f>
        <v>439435.07</v>
      </c>
      <c r="H28" s="294">
        <f>'Rem. Anticipos R2'!I43</f>
        <v>7084790.75</v>
      </c>
      <c r="I28" s="294">
        <f>'Rem. Anticipos R2'!J43</f>
        <v>260451.93</v>
      </c>
      <c r="J28" s="290">
        <v>0</v>
      </c>
      <c r="K28" s="295">
        <f>D28-E28-F28-G28-H28-I28-J28</f>
        <v>19684827.750000004</v>
      </c>
      <c r="L28" s="296">
        <v>0</v>
      </c>
      <c r="M28" s="295">
        <f>K28-L28</f>
        <v>19684827.750000004</v>
      </c>
      <c r="N28" s="296">
        <f>'Rem. Anticipos R2'!K43</f>
        <v>0</v>
      </c>
      <c r="O28" s="295">
        <f>M28+N28</f>
        <v>19684827.750000004</v>
      </c>
      <c r="Q28" s="308"/>
      <c r="S28" s="305">
        <v>1</v>
      </c>
      <c r="T28" s="306" t="s">
        <v>10</v>
      </c>
      <c r="U28" s="309">
        <f>'Rem. Anticipos R2'!L43</f>
        <v>3091186.55</v>
      </c>
      <c r="V28" s="310">
        <f>'Rem. Anticipos R2'!M43</f>
        <v>1972672.38</v>
      </c>
      <c r="W28" s="310">
        <f>'Rem. Anticipos R2'!N43</f>
        <v>9153752.8800000008</v>
      </c>
      <c r="X28" s="310">
        <f>'Rem. Anticipos R2'!O43</f>
        <v>5752725.5300000003</v>
      </c>
      <c r="Y28" s="310">
        <f>'Rem. Anticipos R2'!P43</f>
        <v>402882.84</v>
      </c>
      <c r="Z28" s="312">
        <f>L28*-1</f>
        <v>0</v>
      </c>
      <c r="AA28" s="313">
        <f>'Rem. Anticipos R2'!Q43</f>
        <v>278.97000000000003</v>
      </c>
      <c r="AB28" s="296">
        <f>N28</f>
        <v>0</v>
      </c>
      <c r="AC28" s="313">
        <f>'Rem. Anticipos R2'!R43</f>
        <v>0</v>
      </c>
      <c r="AD28" s="293">
        <f>-J28+AE28</f>
        <v>-688671.4</v>
      </c>
      <c r="AE28" s="293">
        <f>'Rem. Anticipos R2'!E44</f>
        <v>-688671.4</v>
      </c>
      <c r="AF28" s="315">
        <f>SUM(U28:AD28)</f>
        <v>19684827.75</v>
      </c>
      <c r="AG28" s="523">
        <f>(AF28-O28)</f>
        <v>-3.7252902984619141E-9</v>
      </c>
      <c r="AH28" s="307" t="b">
        <f>INT(AG28)=0</f>
        <v>0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R2'!E146</f>
        <v>95634974.320000008</v>
      </c>
      <c r="E29" s="294">
        <f>'Rem. Anticipos R2'!F146</f>
        <v>7624401.7699999996</v>
      </c>
      <c r="F29" s="294">
        <f>'Rem. Anticipos R2'!G146</f>
        <v>4364367.01</v>
      </c>
      <c r="G29" s="294">
        <f>'Rem. Anticipos R2'!H146</f>
        <v>1846002.69</v>
      </c>
      <c r="H29" s="294">
        <f>'Rem. Anticipos R2'!I146</f>
        <v>27039718.469999999</v>
      </c>
      <c r="I29" s="294">
        <f>'Rem. Anticipos R2'!J146</f>
        <v>956455.55</v>
      </c>
      <c r="J29" s="290">
        <v>0</v>
      </c>
      <c r="K29" s="297">
        <f>D29-E29-F29-G29-H29-I29-J29</f>
        <v>53804028.830000013</v>
      </c>
      <c r="L29" s="296">
        <v>0</v>
      </c>
      <c r="M29" s="297">
        <f>K29-L29</f>
        <v>53804028.830000013</v>
      </c>
      <c r="N29" s="296">
        <f>'Rem. Anticipos R2'!K146</f>
        <v>70736.95</v>
      </c>
      <c r="O29" s="297">
        <f t="shared" ref="O29:O32" si="6">M29+N29</f>
        <v>53874765.780000016</v>
      </c>
      <c r="Q29" s="308"/>
      <c r="S29" s="316">
        <v>2</v>
      </c>
      <c r="T29" s="317" t="s">
        <v>11</v>
      </c>
      <c r="U29" s="318">
        <f>'Rem. Anticipos R2'!L146</f>
        <v>9704863.6899999995</v>
      </c>
      <c r="V29" s="319">
        <f>'Rem. Anticipos R2'!M146</f>
        <v>7563501.6200000001</v>
      </c>
      <c r="W29" s="319">
        <f>'Rem. Anticipos R2'!N146</f>
        <v>32387932.390000001</v>
      </c>
      <c r="X29" s="319">
        <f>'Rem. Anticipos R2'!O146</f>
        <v>16697101.779999999</v>
      </c>
      <c r="Y29" s="320">
        <f>'Rem. Anticipos R2'!P146</f>
        <v>1395966.98</v>
      </c>
      <c r="Z29" s="321">
        <f>L29*-1</f>
        <v>0</v>
      </c>
      <c r="AA29" s="322">
        <f>'Rem. Anticipos R2'!Q146</f>
        <v>22.96</v>
      </c>
      <c r="AB29" s="296">
        <f>N29</f>
        <v>70736.95</v>
      </c>
      <c r="AC29" s="322">
        <f>'Rem. Anticipos R2'!R146</f>
        <v>6759348.8099999996</v>
      </c>
      <c r="AD29" s="293">
        <f>-J29+AE29</f>
        <v>-20704709.399999999</v>
      </c>
      <c r="AE29" s="293">
        <f>'Rem. Anticipos R2'!E147</f>
        <v>-20704709.399999999</v>
      </c>
      <c r="AF29" s="324">
        <f>SUM(U29:AD29)</f>
        <v>53874765.780000009</v>
      </c>
      <c r="AG29" s="524">
        <f>(AF29-O29)</f>
        <v>-7.4505805969238281E-9</v>
      </c>
      <c r="AH29" s="307" t="b">
        <f t="shared" ref="AH29:AH32" si="7">INT(AG29)=0</f>
        <v>0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R2'!E259</f>
        <v>14574412.029999999</v>
      </c>
      <c r="E30" s="294">
        <f>'Rem. Anticipos R2'!F259</f>
        <v>1069009.8899999999</v>
      </c>
      <c r="F30" s="294">
        <f>'Rem. Anticipos R2'!G259</f>
        <v>613827.68000000005</v>
      </c>
      <c r="G30" s="294">
        <f>'Rem. Anticipos R2'!H259</f>
        <v>410378.89</v>
      </c>
      <c r="H30" s="294">
        <f>'Rem. Anticipos R2'!I259</f>
        <v>3149813.53</v>
      </c>
      <c r="I30" s="294">
        <f>'Rem. Anticipos R2'!J259</f>
        <v>100937.15</v>
      </c>
      <c r="J30" s="290">
        <v>0</v>
      </c>
      <c r="K30" s="297">
        <f t="shared" ref="K30:K31" si="8">D30-E30-F30-G30-H30-I30-J30</f>
        <v>9230444.8899999987</v>
      </c>
      <c r="L30" s="296">
        <v>0</v>
      </c>
      <c r="M30" s="297">
        <f>K30-L30</f>
        <v>9230444.8899999987</v>
      </c>
      <c r="N30" s="296">
        <f>'Rem. Anticipos R2'!K259</f>
        <v>16082.29</v>
      </c>
      <c r="O30" s="297">
        <f t="shared" si="6"/>
        <v>9246527.1799999978</v>
      </c>
      <c r="Q30" s="308"/>
      <c r="S30" s="316">
        <v>3</v>
      </c>
      <c r="T30" s="317" t="s">
        <v>12</v>
      </c>
      <c r="U30" s="318">
        <f>'Rem. Anticipos R2'!L259</f>
        <v>1409323.39</v>
      </c>
      <c r="V30" s="319">
        <f>'Rem. Anticipos R2'!M259</f>
        <v>1076296.98</v>
      </c>
      <c r="W30" s="319">
        <f>'Rem. Anticipos R2'!N259</f>
        <v>7857677.5999999996</v>
      </c>
      <c r="X30" s="319">
        <f>'Rem. Anticipos R2'!O259</f>
        <v>2601952.1</v>
      </c>
      <c r="Y30" s="320">
        <f>'Rem. Anticipos R2'!P259</f>
        <v>150307.89000000001</v>
      </c>
      <c r="Z30" s="321">
        <f>L30*-1</f>
        <v>0</v>
      </c>
      <c r="AA30" s="322">
        <f>'Rem. Anticipos R2'!Q259</f>
        <v>2232.69</v>
      </c>
      <c r="AB30" s="296">
        <f>N30</f>
        <v>16082.29</v>
      </c>
      <c r="AC30" s="322">
        <f>'Rem. Anticipos R2'!R259</f>
        <v>0</v>
      </c>
      <c r="AD30" s="293">
        <f t="shared" ref="AD30:AD32" si="9">-J30+AE30</f>
        <v>-3867345.76</v>
      </c>
      <c r="AE30" s="293">
        <f>'Rem. Anticipos R2'!E260</f>
        <v>-3867345.76</v>
      </c>
      <c r="AF30" s="324">
        <f>SUM(U30:AD30)</f>
        <v>9246527.1799999978</v>
      </c>
      <c r="AG30" s="524">
        <f t="shared" ref="AG30:AG31" si="10">(AF30-O30)</f>
        <v>0</v>
      </c>
      <c r="AH30" s="307" t="b">
        <f t="shared" si="7"/>
        <v>1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R2'!E354</f>
        <v>29206357.07</v>
      </c>
      <c r="E31" s="294">
        <f>'Rem. Anticipos R2'!F354</f>
        <v>1731904.76</v>
      </c>
      <c r="F31" s="294">
        <f>'Rem. Anticipos R2'!G354</f>
        <v>1013035.81</v>
      </c>
      <c r="G31" s="294">
        <f>'Rem. Anticipos R2'!H354</f>
        <v>451249.43</v>
      </c>
      <c r="H31" s="294">
        <f>'Rem. Anticipos R2'!I354</f>
        <v>6174692.4800000004</v>
      </c>
      <c r="I31" s="294">
        <f>'Rem. Anticipos R2'!J354</f>
        <v>229736.09</v>
      </c>
      <c r="J31" s="290">
        <v>0</v>
      </c>
      <c r="K31" s="297">
        <f t="shared" si="8"/>
        <v>19605738.5</v>
      </c>
      <c r="L31" s="296">
        <v>0</v>
      </c>
      <c r="M31" s="297">
        <f>K31-L31</f>
        <v>19605738.5</v>
      </c>
      <c r="N31" s="296">
        <f>'Rem. Anticipos R2'!K354</f>
        <v>0</v>
      </c>
      <c r="O31" s="297">
        <f t="shared" si="6"/>
        <v>19605738.5</v>
      </c>
      <c r="Q31" s="308"/>
      <c r="S31" s="316">
        <v>4</v>
      </c>
      <c r="T31" s="317" t="s">
        <v>13</v>
      </c>
      <c r="U31" s="318">
        <f>'Rem. Anticipos R2'!L354</f>
        <v>2253122.11</v>
      </c>
      <c r="V31" s="319">
        <f>'Rem. Anticipos R2'!M354</f>
        <v>2010598.58</v>
      </c>
      <c r="W31" s="319">
        <f>'Rem. Anticipos R2'!N354</f>
        <v>9848352.6099999994</v>
      </c>
      <c r="X31" s="319">
        <f>'Rem. Anticipos R2'!O354</f>
        <v>4769718.96</v>
      </c>
      <c r="Y31" s="320">
        <f>'Rem. Anticipos R2'!P354</f>
        <v>341248.21</v>
      </c>
      <c r="Z31" s="321">
        <f>L31*-1</f>
        <v>0</v>
      </c>
      <c r="AA31" s="322">
        <f>'Rem. Anticipos R2'!Q354</f>
        <v>97.83</v>
      </c>
      <c r="AB31" s="296">
        <f>N31</f>
        <v>0</v>
      </c>
      <c r="AC31" s="322">
        <f>'Rem. Anticipos R2'!R354</f>
        <v>0</v>
      </c>
      <c r="AD31" s="293">
        <f t="shared" si="9"/>
        <v>382600.2</v>
      </c>
      <c r="AE31" s="293">
        <f>'Rem. Anticipos R2'!E355</f>
        <v>382600.2</v>
      </c>
      <c r="AF31" s="324">
        <f>SUM(U31:AD31)</f>
        <v>19605738.499999996</v>
      </c>
      <c r="AG31" s="524">
        <f t="shared" si="10"/>
        <v>-3.7252902984619141E-9</v>
      </c>
      <c r="AH31" s="307" t="b">
        <f t="shared" si="7"/>
        <v>0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R2'!E426</f>
        <v>10379542.050000001</v>
      </c>
      <c r="E32" s="299">
        <f>'Rem. Anticipos R2'!F426</f>
        <v>630945.30000000005</v>
      </c>
      <c r="F32" s="299">
        <f>'Rem. Anticipos R2'!G426</f>
        <v>361740.31</v>
      </c>
      <c r="G32" s="299">
        <f>'Rem. Anticipos R2'!H426</f>
        <v>165909.23000000001</v>
      </c>
      <c r="H32" s="299">
        <f>'Rem. Anticipos R2'!I426</f>
        <v>2288749.0499999998</v>
      </c>
      <c r="I32" s="299">
        <f>'Rem. Anticipos R2'!J426</f>
        <v>82728.38</v>
      </c>
      <c r="J32" s="291">
        <v>0</v>
      </c>
      <c r="K32" s="297">
        <f>D32-E32-F32-G32-H32-I32-J32</f>
        <v>6849469.7799999993</v>
      </c>
      <c r="L32" s="296">
        <v>0</v>
      </c>
      <c r="M32" s="300">
        <f>K32-L32</f>
        <v>6849469.7799999993</v>
      </c>
      <c r="N32" s="301">
        <f>'Rem. Anticipos R2'!K426</f>
        <v>0</v>
      </c>
      <c r="O32" s="300">
        <f t="shared" si="6"/>
        <v>6849469.7799999993</v>
      </c>
      <c r="Q32" s="308"/>
      <c r="S32" s="326">
        <v>5</v>
      </c>
      <c r="T32" s="327" t="s">
        <v>14</v>
      </c>
      <c r="U32" s="298">
        <f>'Rem. Anticipos R2'!L426</f>
        <v>747261.86</v>
      </c>
      <c r="V32" s="299">
        <f>'Rem. Anticipos R2'!M426</f>
        <v>670768.89</v>
      </c>
      <c r="W32" s="299">
        <f>'Rem. Anticipos R2'!N426</f>
        <v>3419717.36</v>
      </c>
      <c r="X32" s="299">
        <f>'Rem. Anticipos R2'!O426</f>
        <v>1915217.52</v>
      </c>
      <c r="Y32" s="291">
        <f>'Rem. Anticipos R2'!P426</f>
        <v>129945.57</v>
      </c>
      <c r="Z32" s="321">
        <f>L32*-1</f>
        <v>0</v>
      </c>
      <c r="AA32" s="322">
        <f>'Rem. Anticipos R2'!Q426</f>
        <v>-117.34</v>
      </c>
      <c r="AB32" s="296">
        <f>N32</f>
        <v>0</v>
      </c>
      <c r="AC32" s="322">
        <f>'Rem. Anticipos R2'!R426</f>
        <v>0</v>
      </c>
      <c r="AD32" s="293">
        <f t="shared" si="9"/>
        <v>-33324.080000000002</v>
      </c>
      <c r="AE32" s="293">
        <f>'Rem. Anticipos R2'!E427</f>
        <v>-33324.080000000002</v>
      </c>
      <c r="AF32" s="324">
        <f>SUM(U32:AD32)</f>
        <v>6849469.7799999993</v>
      </c>
      <c r="AG32" s="525">
        <f>(AF32-O32)</f>
        <v>0</v>
      </c>
      <c r="AH32" s="307" t="b">
        <f t="shared" si="7"/>
        <v>1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180383356.49000001</v>
      </c>
      <c r="E33" s="292">
        <f>SUM(E28:E32)</f>
        <v>13069179.180000002</v>
      </c>
      <c r="F33" s="292">
        <f t="shared" ref="F33:O33" si="11">SUM(F28:F32)</f>
        <v>7458618.8700000001</v>
      </c>
      <c r="G33" s="292">
        <f t="shared" ref="G33" si="12">SUM(G28:G32)</f>
        <v>3312975.31</v>
      </c>
      <c r="H33" s="292">
        <f t="shared" si="11"/>
        <v>45737764.280000001</v>
      </c>
      <c r="I33" s="292">
        <f t="shared" si="11"/>
        <v>1630309.1</v>
      </c>
      <c r="J33" s="292">
        <f t="shared" si="11"/>
        <v>0</v>
      </c>
      <c r="K33" s="302">
        <f t="shared" si="11"/>
        <v>109174509.75000001</v>
      </c>
      <c r="L33" s="303">
        <f t="shared" si="11"/>
        <v>0</v>
      </c>
      <c r="M33" s="304">
        <f t="shared" si="11"/>
        <v>109174509.75000001</v>
      </c>
      <c r="N33" s="303">
        <f t="shared" si="11"/>
        <v>86819.239999999991</v>
      </c>
      <c r="O33" s="304">
        <f t="shared" si="11"/>
        <v>109261328.99000001</v>
      </c>
      <c r="P33" s="331"/>
      <c r="Q33" s="308"/>
      <c r="S33" s="329"/>
      <c r="T33" s="330" t="s">
        <v>2</v>
      </c>
      <c r="U33" s="332">
        <f>SUM(U28:U32)</f>
        <v>17205757.599999998</v>
      </c>
      <c r="V33" s="332">
        <f t="shared" ref="V33:AF33" si="13">SUM(V28:V32)</f>
        <v>13293838.450000001</v>
      </c>
      <c r="W33" s="332">
        <f t="shared" si="13"/>
        <v>62667432.840000004</v>
      </c>
      <c r="X33" s="332">
        <f t="shared" si="13"/>
        <v>31736715.890000001</v>
      </c>
      <c r="Y33" s="332">
        <f t="shared" si="13"/>
        <v>2420351.4899999998</v>
      </c>
      <c r="Z33" s="292">
        <f t="shared" si="13"/>
        <v>0</v>
      </c>
      <c r="AA33" s="292">
        <f t="shared" si="13"/>
        <v>2515.1099999999997</v>
      </c>
      <c r="AB33" s="292">
        <f t="shared" si="13"/>
        <v>86819.239999999991</v>
      </c>
      <c r="AC33" s="292">
        <f t="shared" ref="AC33" si="14">SUM(AC28:AC32)</f>
        <v>6759348.8099999996</v>
      </c>
      <c r="AD33" s="292">
        <f>SUM(AD28:AD32)</f>
        <v>-24911450.439999994</v>
      </c>
      <c r="AE33" s="292">
        <f>SUM(AE28:AE32)</f>
        <v>-24911450.439999994</v>
      </c>
      <c r="AF33" s="333">
        <f t="shared" si="13"/>
        <v>109261328.98999999</v>
      </c>
      <c r="AG33" s="526">
        <f t="shared" ref="AG33" si="15">SUM(AG28:AG32)</f>
        <v>-1.4901161193847656E-8</v>
      </c>
      <c r="AH33" s="307" t="b">
        <f>INT(AG33)=0</f>
        <v>0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127324096.27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6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4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74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4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4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4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74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275"/>
      <c r="AI46" s="4"/>
    </row>
    <row r="47" spans="1:35" s="307" customFormat="1" ht="12" x14ac:dyDescent="0.25">
      <c r="B47" s="305">
        <v>1</v>
      </c>
      <c r="C47" s="306" t="s">
        <v>10</v>
      </c>
      <c r="D47" s="293">
        <f>'Reporte Componentes R1'!F60</f>
        <v>648870</v>
      </c>
      <c r="E47" s="294">
        <f>'Reporte Componentes R1'!G60</f>
        <v>29223.59</v>
      </c>
      <c r="F47" s="294">
        <f>'Reporte Componentes R1'!H60</f>
        <v>16458.47</v>
      </c>
      <c r="G47" s="294">
        <f>'Reporte Componentes R1'!I60</f>
        <v>8660.2199999999993</v>
      </c>
      <c r="H47" s="294">
        <f>'Reporte Componentes R1'!J60</f>
        <v>141425.47</v>
      </c>
      <c r="I47" s="294">
        <f>'Reporte Componentes R1'!K60</f>
        <v>5825.54</v>
      </c>
      <c r="J47" s="290">
        <v>0</v>
      </c>
      <c r="K47" s="295">
        <f>D47-E47-F47-G47-H47-I47-J47</f>
        <v>447276.71000000014</v>
      </c>
      <c r="L47" s="296">
        <v>0</v>
      </c>
      <c r="M47" s="295">
        <f>K47-L47</f>
        <v>447276.71000000014</v>
      </c>
      <c r="N47" s="296">
        <f>'Reporte Componentes R1'!L60</f>
        <v>0</v>
      </c>
      <c r="O47" s="295">
        <f>M47+N47</f>
        <v>447276.71000000014</v>
      </c>
      <c r="Q47" s="308"/>
      <c r="S47" s="305">
        <v>1</v>
      </c>
      <c r="T47" s="306" t="s">
        <v>10</v>
      </c>
      <c r="U47" s="309">
        <f>'Reporte Componentes R1'!M60</f>
        <v>51101.37</v>
      </c>
      <c r="V47" s="310">
        <f>'Reporte Componentes R1'!N60</f>
        <v>51278.68</v>
      </c>
      <c r="W47" s="310">
        <f>'Reporte Componentes R1'!O60</f>
        <v>242748.43</v>
      </c>
      <c r="X47" s="310">
        <f>'Reporte Componentes R1'!P60</f>
        <v>79815.350000000006</v>
      </c>
      <c r="Y47" s="311">
        <f>'Reporte Componentes R1'!Q60</f>
        <v>9504.83</v>
      </c>
      <c r="Z47" s="312">
        <f>-L47</f>
        <v>0</v>
      </c>
      <c r="AA47" s="322">
        <f>'Reporte Componentes R1'!R60+'Reporte Componentes R1'!V60+'Reporte Componentes R1'!U60</f>
        <v>5.12</v>
      </c>
      <c r="AB47" s="296">
        <f>N47</f>
        <v>0</v>
      </c>
      <c r="AC47" s="313">
        <f>'Reporte Componentes R1'!T60+'Reporte Componentes R1'!W60+'Reporte Componentes R1'!X60+'Reporte Componentes R1'!Y60+'Reporte Componentes R1'!Z60+'Reporte Componentes R1'!S60</f>
        <v>0</v>
      </c>
      <c r="AD47" s="293">
        <f>-J47+AE47</f>
        <v>12822.93</v>
      </c>
      <c r="AE47" s="293">
        <f>'Reporte Componentes R1'!F61</f>
        <v>12822.93</v>
      </c>
      <c r="AF47" s="315">
        <f>SUM(U47:AD47)</f>
        <v>447276.70999999996</v>
      </c>
      <c r="AG47" s="523">
        <f>(AF47-O47)</f>
        <v>-1.7462298274040222E-10</v>
      </c>
      <c r="AH47" s="307" t="b">
        <f>INT(AG47)=0</f>
        <v>0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R1'!F193</f>
        <v>9704974</v>
      </c>
      <c r="E48" s="294">
        <f>'Reporte Componentes R1'!G193</f>
        <v>651837.25</v>
      </c>
      <c r="F48" s="294">
        <f>'Reporte Componentes R1'!H193</f>
        <v>367261.1</v>
      </c>
      <c r="G48" s="294">
        <f>'Reporte Componentes R1'!I193</f>
        <v>196265.14</v>
      </c>
      <c r="H48" s="294">
        <f>'Reporte Componentes R1'!J193</f>
        <v>2936066.51</v>
      </c>
      <c r="I48" s="294">
        <f>'Reporte Componentes R1'!K193</f>
        <v>79272.710000000006</v>
      </c>
      <c r="J48" s="290">
        <v>0</v>
      </c>
      <c r="K48" s="297">
        <f t="shared" ref="K48:K51" si="16">D48-E48-F48-G48-H48-I48-J48</f>
        <v>5474271.29</v>
      </c>
      <c r="L48" s="296">
        <v>0</v>
      </c>
      <c r="M48" s="297">
        <f>K48-L48</f>
        <v>5474271.29</v>
      </c>
      <c r="N48" s="296">
        <f>'Reporte Componentes R1'!L193</f>
        <v>0</v>
      </c>
      <c r="O48" s="297">
        <f t="shared" ref="O48:O51" si="17">M48+N48</f>
        <v>5474271.29</v>
      </c>
      <c r="Q48" s="308"/>
      <c r="S48" s="316">
        <v>2</v>
      </c>
      <c r="T48" s="317" t="s">
        <v>11</v>
      </c>
      <c r="U48" s="318">
        <f>'Reporte Componentes R1'!M193</f>
        <v>695375.41</v>
      </c>
      <c r="V48" s="319">
        <f>'Reporte Componentes R1'!N193</f>
        <v>925873.97</v>
      </c>
      <c r="W48" s="319">
        <f>'Reporte Componentes R1'!O193</f>
        <v>4476434.58</v>
      </c>
      <c r="X48" s="319">
        <f>'Reporte Componentes R1'!P193</f>
        <v>1295216.93</v>
      </c>
      <c r="Y48" s="320">
        <f>'Reporte Componentes R1'!Q193</f>
        <v>130580.61</v>
      </c>
      <c r="Z48" s="321">
        <f>-L48</f>
        <v>0</v>
      </c>
      <c r="AA48" s="322">
        <f>'Reporte Componentes R1'!R193+'Reporte Componentes R1'!V193+'Reporte Componentes R1'!U193</f>
        <v>-101.63</v>
      </c>
      <c r="AB48" s="296">
        <f>N48</f>
        <v>0</v>
      </c>
      <c r="AC48" s="322">
        <f>'Reporte Componentes R1'!T193+'Reporte Componentes R1'!W193+'Reporte Componentes R1'!X193+'Reporte Componentes R1'!Y193+'Reporte Componentes R1'!Z193+'Reporte Componentes R1'!S193</f>
        <v>0.04</v>
      </c>
      <c r="AD48" s="293">
        <f t="shared" ref="AD48:AD51" si="18">-J48+AE48</f>
        <v>-2049108.62</v>
      </c>
      <c r="AE48" s="293">
        <f>'Reporte Componentes R1'!F194</f>
        <v>-2049108.62</v>
      </c>
      <c r="AF48" s="324">
        <f>SUM(U48:AD48)</f>
        <v>5474271.29</v>
      </c>
      <c r="AG48" s="524">
        <f>(AF48-O48)</f>
        <v>0</v>
      </c>
      <c r="AH48" s="307" t="b">
        <f t="shared" ref="AH48:AH51" si="19">INT(AG48)=0</f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R1'!F321</f>
        <v>0</v>
      </c>
      <c r="E49" s="294">
        <f>'Reporte Componentes R1'!G321</f>
        <v>0</v>
      </c>
      <c r="F49" s="294">
        <f>'Reporte Componentes R1'!H321</f>
        <v>0</v>
      </c>
      <c r="G49" s="294">
        <f>'Reporte Componentes R1'!I321</f>
        <v>0</v>
      </c>
      <c r="H49" s="294">
        <f>'Reporte Componentes R1'!J321</f>
        <v>0</v>
      </c>
      <c r="I49" s="294">
        <f>'Reporte Componentes R1'!K321</f>
        <v>0</v>
      </c>
      <c r="J49" s="290">
        <v>0</v>
      </c>
      <c r="K49" s="297">
        <f t="shared" si="16"/>
        <v>0</v>
      </c>
      <c r="L49" s="296">
        <v>0</v>
      </c>
      <c r="M49" s="297">
        <f>K49-L49</f>
        <v>0</v>
      </c>
      <c r="N49" s="296">
        <f>'Reporte Componentes R1'!L321</f>
        <v>0</v>
      </c>
      <c r="O49" s="297">
        <f t="shared" si="17"/>
        <v>0</v>
      </c>
      <c r="Q49" s="308"/>
      <c r="S49" s="316">
        <v>3</v>
      </c>
      <c r="T49" s="317" t="s">
        <v>12</v>
      </c>
      <c r="U49" s="318">
        <f>'Reporte Componentes R1'!M321</f>
        <v>0</v>
      </c>
      <c r="V49" s="319">
        <f>'Reporte Componentes R1'!N321</f>
        <v>0</v>
      </c>
      <c r="W49" s="319">
        <f>'Reporte Componentes R1'!O321</f>
        <v>0</v>
      </c>
      <c r="X49" s="319">
        <f>'Reporte Componentes R1'!P321</f>
        <v>0</v>
      </c>
      <c r="Y49" s="320">
        <f>'Reporte Componentes R1'!Q321</f>
        <v>0</v>
      </c>
      <c r="Z49" s="321">
        <f>-L49</f>
        <v>0</v>
      </c>
      <c r="AA49" s="322">
        <f>'Reporte Componentes R1'!R321+'Reporte Componentes R1'!V321+'Reporte Componentes R1'!U321</f>
        <v>0</v>
      </c>
      <c r="AB49" s="296">
        <f>N49</f>
        <v>0</v>
      </c>
      <c r="AC49" s="322">
        <f>'Reporte Componentes R1'!T321+'Reporte Componentes R1'!W321+'Reporte Componentes R1'!X321+'Reporte Componentes R1'!Y321+'Reporte Componentes R1'!Z321+'Reporte Componentes R1'!S321</f>
        <v>0</v>
      </c>
      <c r="AD49" s="293">
        <f t="shared" si="18"/>
        <v>0</v>
      </c>
      <c r="AE49" s="293">
        <f>'Reporte Componentes R1'!F322</f>
        <v>0</v>
      </c>
      <c r="AF49" s="324">
        <f t="shared" ref="AF49:AF51" si="20">SUM(U49:AD49)</f>
        <v>0</v>
      </c>
      <c r="AG49" s="524">
        <f t="shared" ref="AG49:AG51" si="21">(AF49-O49)</f>
        <v>0</v>
      </c>
      <c r="AH49" s="307" t="b">
        <f t="shared" si="19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R1'!F441</f>
        <v>21557177</v>
      </c>
      <c r="E50" s="294">
        <f>'Reporte Componentes R1'!G441</f>
        <v>1278757.6399999999</v>
      </c>
      <c r="F50" s="294">
        <f>'Reporte Componentes R1'!H441</f>
        <v>719798.43</v>
      </c>
      <c r="G50" s="294">
        <f>'Reporte Componentes R1'!I441</f>
        <v>385650.58</v>
      </c>
      <c r="H50" s="294">
        <f>'Reporte Componentes R1'!J441</f>
        <v>5181365.16</v>
      </c>
      <c r="I50" s="294">
        <f>'Reporte Componentes R1'!K441</f>
        <v>155526.07999999999</v>
      </c>
      <c r="J50" s="290">
        <v>0</v>
      </c>
      <c r="K50" s="297">
        <f t="shared" si="16"/>
        <v>13836079.110000001</v>
      </c>
      <c r="L50" s="296">
        <v>0</v>
      </c>
      <c r="M50" s="297">
        <f>K50-L50</f>
        <v>13836079.110000001</v>
      </c>
      <c r="N50" s="296">
        <f>'Reporte Componentes R1'!L441</f>
        <v>0</v>
      </c>
      <c r="O50" s="297">
        <f t="shared" si="17"/>
        <v>13836079.110000001</v>
      </c>
      <c r="Q50" s="308"/>
      <c r="S50" s="316">
        <v>4</v>
      </c>
      <c r="T50" s="317" t="s">
        <v>13</v>
      </c>
      <c r="U50" s="318">
        <f>'Reporte Componentes R1'!M441</f>
        <v>1351292.3</v>
      </c>
      <c r="V50" s="319">
        <f>'Reporte Componentes R1'!N441</f>
        <v>1669548.6</v>
      </c>
      <c r="W50" s="319">
        <f>'Reporte Componentes R1'!O441</f>
        <v>8617443.8699999992</v>
      </c>
      <c r="X50" s="319">
        <f>'Reporte Componentes R1'!P441</f>
        <v>3417030.91</v>
      </c>
      <c r="Y50" s="320">
        <f>'Reporte Componentes R1'!Q441</f>
        <v>255177.82</v>
      </c>
      <c r="Z50" s="321">
        <f>-L50</f>
        <v>0</v>
      </c>
      <c r="AA50" s="322">
        <f>'Reporte Componentes R1'!R441+'Reporte Componentes R1'!V441+'Reporte Componentes R1'!U441</f>
        <v>-9.0500000000000007</v>
      </c>
      <c r="AB50" s="296">
        <f>N50</f>
        <v>0</v>
      </c>
      <c r="AC50" s="322">
        <f>'Reporte Componentes R1'!T441+'Reporte Componentes R1'!W441+'Reporte Componentes R1'!X441+'Reporte Componentes R1'!Y441+'Reporte Componentes R1'!Z441+'Reporte Componentes R1'!S441</f>
        <v>0</v>
      </c>
      <c r="AD50" s="293">
        <f t="shared" si="18"/>
        <v>-1474405.34</v>
      </c>
      <c r="AE50" s="293">
        <f>'Reporte Componentes R1'!F442</f>
        <v>-1474405.34</v>
      </c>
      <c r="AF50" s="324">
        <f t="shared" si="20"/>
        <v>13836079.109999999</v>
      </c>
      <c r="AG50" s="524">
        <f t="shared" si="21"/>
        <v>-1.862645149230957E-9</v>
      </c>
      <c r="AH50" s="307" t="b">
        <f t="shared" si="19"/>
        <v>0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R1'!F515</f>
        <v>0</v>
      </c>
      <c r="E51" s="299">
        <f>'Reporte Componentes R1'!G515</f>
        <v>0</v>
      </c>
      <c r="F51" s="299">
        <f>'Reporte Componentes R1'!H515</f>
        <v>0</v>
      </c>
      <c r="G51" s="299">
        <f>'Reporte Componentes R1'!I515</f>
        <v>0</v>
      </c>
      <c r="H51" s="299">
        <f>'Reporte Componentes R1'!J515</f>
        <v>0</v>
      </c>
      <c r="I51" s="299">
        <f>'Reporte Componentes R1'!K515</f>
        <v>0</v>
      </c>
      <c r="J51" s="291">
        <v>0</v>
      </c>
      <c r="K51" s="297">
        <f t="shared" si="16"/>
        <v>0</v>
      </c>
      <c r="L51" s="296">
        <v>0</v>
      </c>
      <c r="M51" s="300">
        <f>K51-L51</f>
        <v>0</v>
      </c>
      <c r="N51" s="301">
        <f>'Reporte Componentes R1'!L515</f>
        <v>0</v>
      </c>
      <c r="O51" s="300">
        <f t="shared" si="17"/>
        <v>0</v>
      </c>
      <c r="Q51" s="308"/>
      <c r="S51" s="326">
        <v>5</v>
      </c>
      <c r="T51" s="327" t="s">
        <v>14</v>
      </c>
      <c r="U51" s="298">
        <f>'Reporte Componentes R1'!M515</f>
        <v>0</v>
      </c>
      <c r="V51" s="299">
        <f>'Reporte Componentes R1'!N515</f>
        <v>0</v>
      </c>
      <c r="W51" s="299">
        <f>'Reporte Componentes R1'!O515</f>
        <v>0</v>
      </c>
      <c r="X51" s="299">
        <f>'Reporte Componentes R1'!P515</f>
        <v>0</v>
      </c>
      <c r="Y51" s="291">
        <f>'Reporte Componentes R1'!Q515</f>
        <v>0</v>
      </c>
      <c r="Z51" s="321">
        <f>-L51</f>
        <v>0</v>
      </c>
      <c r="AA51" s="322">
        <f>'Reporte Componentes R1'!R515+'Reporte Componentes R1'!V515+'Reporte Componentes R1'!U515</f>
        <v>0</v>
      </c>
      <c r="AB51" s="296">
        <f>N51</f>
        <v>0</v>
      </c>
      <c r="AC51" s="322">
        <f>'Reporte Componentes R1'!T515+'Reporte Componentes R1'!W515+'Reporte Componentes R1'!X515+'Reporte Componentes R1'!Y515+'Reporte Componentes R1'!Z515+'Reporte Componentes R1'!S515</f>
        <v>0</v>
      </c>
      <c r="AD51" s="293">
        <f t="shared" si="18"/>
        <v>0</v>
      </c>
      <c r="AE51" s="293">
        <f>'Reporte Componentes R1'!F516</f>
        <v>0</v>
      </c>
      <c r="AF51" s="324">
        <f t="shared" si="20"/>
        <v>0</v>
      </c>
      <c r="AG51" s="525">
        <f t="shared" si="21"/>
        <v>0</v>
      </c>
      <c r="AH51" s="307" t="b">
        <f t="shared" si="19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2">SUM(D47:D51)</f>
        <v>31911021</v>
      </c>
      <c r="E52" s="292">
        <f t="shared" si="22"/>
        <v>1959818.48</v>
      </c>
      <c r="F52" s="292">
        <f t="shared" si="22"/>
        <v>1103518</v>
      </c>
      <c r="G52" s="292">
        <f t="shared" ref="G52" si="23">SUM(G47:G51)</f>
        <v>590575.94000000006</v>
      </c>
      <c r="H52" s="292">
        <f t="shared" si="22"/>
        <v>8258857.1400000006</v>
      </c>
      <c r="I52" s="292">
        <f t="shared" si="22"/>
        <v>240624.33</v>
      </c>
      <c r="J52" s="292">
        <f t="shared" si="22"/>
        <v>0</v>
      </c>
      <c r="K52" s="302">
        <f t="shared" si="22"/>
        <v>19757627.109999999</v>
      </c>
      <c r="L52" s="303">
        <f t="shared" si="22"/>
        <v>0</v>
      </c>
      <c r="M52" s="304">
        <f t="shared" si="22"/>
        <v>19757627.109999999</v>
      </c>
      <c r="N52" s="303">
        <f t="shared" si="22"/>
        <v>0</v>
      </c>
      <c r="O52" s="304">
        <f t="shared" si="22"/>
        <v>19757627.109999999</v>
      </c>
      <c r="P52" s="331"/>
      <c r="Q52" s="308"/>
      <c r="S52" s="329"/>
      <c r="T52" s="330" t="s">
        <v>2</v>
      </c>
      <c r="U52" s="332">
        <f>SUM(U47:U51)</f>
        <v>2097769.08</v>
      </c>
      <c r="V52" s="332">
        <f t="shared" ref="V52:AG52" si="24">SUM(V47:V51)</f>
        <v>2646701.25</v>
      </c>
      <c r="W52" s="332">
        <f t="shared" si="24"/>
        <v>13336626.879999999</v>
      </c>
      <c r="X52" s="332">
        <f t="shared" si="24"/>
        <v>4792063.1900000004</v>
      </c>
      <c r="Y52" s="332">
        <f t="shared" si="24"/>
        <v>395263.26</v>
      </c>
      <c r="Z52" s="292">
        <f t="shared" si="24"/>
        <v>0</v>
      </c>
      <c r="AA52" s="292">
        <f t="shared" si="24"/>
        <v>-105.55999999999999</v>
      </c>
      <c r="AB52" s="292">
        <f t="shared" si="24"/>
        <v>0</v>
      </c>
      <c r="AC52" s="292">
        <f t="shared" si="24"/>
        <v>0.04</v>
      </c>
      <c r="AD52" s="292">
        <f>SUM(AD47:AD51)</f>
        <v>-3510691.0300000003</v>
      </c>
      <c r="AE52" s="292">
        <f>SUM(AE47:AE51)</f>
        <v>-3510691.0300000003</v>
      </c>
      <c r="AF52" s="333">
        <f t="shared" si="24"/>
        <v>19757627.109999999</v>
      </c>
      <c r="AG52" s="526">
        <f t="shared" si="24"/>
        <v>-2.0372681319713593E-9</v>
      </c>
      <c r="AH52" s="307" t="b">
        <f>INT(AG52)=0</f>
        <v>0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23268423.660000004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6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4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74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4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4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4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74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275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R4'!D73</f>
        <v>-3833780</v>
      </c>
      <c r="E66" s="294">
        <f>'Reversion Pagos R4'!E73</f>
        <v>-210057.53999999998</v>
      </c>
      <c r="F66" s="294">
        <f>'Reversion Pagos R4'!F73</f>
        <v>-118190.72</v>
      </c>
      <c r="G66" s="294">
        <f>'Reversion Pagos R4'!G73</f>
        <v>-60636.25</v>
      </c>
      <c r="H66" s="294">
        <f>'Reversion Pagos R4'!H73</f>
        <v>-1073707.96</v>
      </c>
      <c r="I66" s="294">
        <f>'Reversion Pagos R4'!I73</f>
        <v>-39348.740000000005</v>
      </c>
      <c r="J66" s="290">
        <v>0</v>
      </c>
      <c r="K66" s="295">
        <f>D66-E66-F66-G66-H66-I66-J66</f>
        <v>-2331838.7899999996</v>
      </c>
      <c r="L66" s="296">
        <v>0</v>
      </c>
      <c r="M66" s="295">
        <f>K66-L66</f>
        <v>-2331838.7899999996</v>
      </c>
      <c r="N66" s="296">
        <f>'Reversion Pagos R4'!P73</f>
        <v>0</v>
      </c>
      <c r="O66" s="295">
        <f>M66+N66</f>
        <v>-2331838.7899999996</v>
      </c>
      <c r="Q66" s="308"/>
      <c r="S66" s="305">
        <v>1</v>
      </c>
      <c r="T66" s="306" t="s">
        <v>10</v>
      </c>
      <c r="U66" s="309">
        <f>'Reversion Pagos R4'!J73</f>
        <v>-355242.07</v>
      </c>
      <c r="V66" s="310">
        <f>'Reversion Pagos R4'!K73</f>
        <v>-332912.8</v>
      </c>
      <c r="W66" s="310">
        <f>'Reversion Pagos R4'!L73</f>
        <v>-1571931.73</v>
      </c>
      <c r="X66" s="310">
        <f>'Reversion Pagos R4'!M73</f>
        <v>-569354.35</v>
      </c>
      <c r="Y66" s="310">
        <f>'Reversion Pagos R4'!N73</f>
        <v>-64199.780000000006</v>
      </c>
      <c r="Z66" s="312">
        <f>-L66</f>
        <v>0</v>
      </c>
      <c r="AA66" s="322">
        <f>'Reversion Pagos R4'!O73</f>
        <v>-33.24</v>
      </c>
      <c r="AB66" s="296">
        <f>N66</f>
        <v>0</v>
      </c>
      <c r="AC66" s="322">
        <f>+'Reversion Pagos R4'!Q73+'Reversion Pagos R4'!R73</f>
        <v>0</v>
      </c>
      <c r="AD66" s="293">
        <f>-J66+AE66</f>
        <v>561835.17999999993</v>
      </c>
      <c r="AE66" s="293">
        <f>'Reversion Pagos R4'!D74</f>
        <v>561835.17999999993</v>
      </c>
      <c r="AF66" s="315">
        <f>SUM(U66:AD66)</f>
        <v>-2331838.79</v>
      </c>
      <c r="AG66" s="523">
        <f>(AF66-O66)</f>
        <v>-4.6566128730773926E-10</v>
      </c>
      <c r="AH66" s="307" t="b">
        <f>INT(AG66)=0</f>
        <v>0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R4'!D168</f>
        <v>-21803648.449999999</v>
      </c>
      <c r="E67" s="294">
        <f>'Reversion Pagos R4'!E168</f>
        <v>-2002860.95</v>
      </c>
      <c r="F67" s="294">
        <f>'Reversion Pagos R4'!F168</f>
        <v>-1068771.3399999999</v>
      </c>
      <c r="G67" s="294">
        <f>'Reversion Pagos R4'!G168</f>
        <v>-535888.42000000004</v>
      </c>
      <c r="H67" s="294">
        <f>'Reversion Pagos R4'!H168</f>
        <v>-7566499.1500000004</v>
      </c>
      <c r="I67" s="294">
        <f>'Reversion Pagos R4'!I168</f>
        <v>-267247.27</v>
      </c>
      <c r="J67" s="290">
        <v>0</v>
      </c>
      <c r="K67" s="297">
        <f t="shared" ref="K67:K70" si="25">D67-E67-F67-G67-H67-I67-J67</f>
        <v>-10362381.319999998</v>
      </c>
      <c r="L67" s="296">
        <v>0</v>
      </c>
      <c r="M67" s="297">
        <f>K67-L67</f>
        <v>-10362381.319999998</v>
      </c>
      <c r="N67" s="296">
        <f>'Reversion Pagos R4'!P168</f>
        <v>0</v>
      </c>
      <c r="O67" s="297">
        <f t="shared" ref="O67:O70" si="26">M67+N67</f>
        <v>-10362381.319999998</v>
      </c>
      <c r="Q67" s="308"/>
      <c r="S67" s="316">
        <v>2</v>
      </c>
      <c r="T67" s="317" t="s">
        <v>11</v>
      </c>
      <c r="U67" s="318">
        <f>'Reversion Pagos R4'!J168</f>
        <v>-2352070.27</v>
      </c>
      <c r="V67" s="319">
        <f>'Reversion Pagos R4'!K168</f>
        <v>-2442005.8199999998</v>
      </c>
      <c r="W67" s="319">
        <f>'Reversion Pagos R4'!L168</f>
        <v>-10568391.859999999</v>
      </c>
      <c r="X67" s="319">
        <f>'Reversion Pagos R4'!M168</f>
        <v>-4156097.49</v>
      </c>
      <c r="Y67" s="320">
        <f>'Reversion Pagos R4'!N168</f>
        <v>-436032.87</v>
      </c>
      <c r="Z67" s="321">
        <f t="shared" ref="Z67:Z70" si="27">-L67</f>
        <v>0</v>
      </c>
      <c r="AA67" s="322">
        <f>'Reversion Pagos R4'!O168</f>
        <v>-18.47</v>
      </c>
      <c r="AB67" s="296">
        <f t="shared" ref="AB67:AB70" si="28">N67</f>
        <v>0</v>
      </c>
      <c r="AC67" s="322">
        <f>+'Reversion Pagos R4'!Q168+'Reversion Pagos R4'!R168</f>
        <v>0.35</v>
      </c>
      <c r="AD67" s="293">
        <f>-J67+AE67</f>
        <v>9592235.1099999994</v>
      </c>
      <c r="AE67" s="293">
        <f>'Reversion Pagos R4'!D169</f>
        <v>9592235.1099999994</v>
      </c>
      <c r="AF67" s="324">
        <f>SUM(U67:AD67)</f>
        <v>-10362381.319999997</v>
      </c>
      <c r="AG67" s="524">
        <f>(AF67-O67)</f>
        <v>1.862645149230957E-9</v>
      </c>
      <c r="AH67" s="307" t="b">
        <f t="shared" ref="AH67:AH70" si="29">INT(AG67)=0</f>
        <v>1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R4'!D199</f>
        <v>-2259272</v>
      </c>
      <c r="E68" s="294">
        <f>'Reversion Pagos R4'!E199</f>
        <v>-142297.63</v>
      </c>
      <c r="F68" s="294">
        <f>'Reversion Pagos R4'!F199</f>
        <v>-79543.95</v>
      </c>
      <c r="G68" s="294">
        <f>'Reversion Pagos R4'!G199</f>
        <v>-41638.230000000003</v>
      </c>
      <c r="H68" s="294">
        <f>'Reversion Pagos R4'!H199</f>
        <v>-590000.48</v>
      </c>
      <c r="I68" s="294">
        <f>'Reversion Pagos R4'!I199</f>
        <v>-19083.43</v>
      </c>
      <c r="J68" s="290">
        <v>0</v>
      </c>
      <c r="K68" s="297">
        <f t="shared" si="25"/>
        <v>-1386708.2800000003</v>
      </c>
      <c r="L68" s="296">
        <v>0</v>
      </c>
      <c r="M68" s="297">
        <f>K68-L68</f>
        <v>-1386708.2800000003</v>
      </c>
      <c r="N68" s="296">
        <f>'Reversion Pagos R4'!P199</f>
        <v>0</v>
      </c>
      <c r="O68" s="297">
        <f t="shared" si="26"/>
        <v>-1386708.2800000003</v>
      </c>
      <c r="Q68" s="308"/>
      <c r="S68" s="316">
        <v>3</v>
      </c>
      <c r="T68" s="317" t="s">
        <v>12</v>
      </c>
      <c r="U68" s="318">
        <f>'Reversion Pagos R4'!J199</f>
        <v>-167398.71</v>
      </c>
      <c r="V68" s="319">
        <f>'Reversion Pagos R4'!K199</f>
        <v>-161923.62</v>
      </c>
      <c r="W68" s="319">
        <f>'Reversion Pagos R4'!L199</f>
        <v>-764905.41</v>
      </c>
      <c r="X68" s="319">
        <f>'Reversion Pagos R4'!M199</f>
        <v>-336959.22</v>
      </c>
      <c r="Y68" s="320">
        <f>'Reversion Pagos R4'!N199</f>
        <v>-31136.16</v>
      </c>
      <c r="Z68" s="321">
        <f t="shared" si="27"/>
        <v>0</v>
      </c>
      <c r="AA68" s="322">
        <f>'Reversion Pagos R4'!O199</f>
        <v>-2.16</v>
      </c>
      <c r="AB68" s="296">
        <f t="shared" si="28"/>
        <v>0</v>
      </c>
      <c r="AC68" s="322">
        <f>+'Reversion Pagos R4'!Q199+'Reversion Pagos R4'!R199</f>
        <v>0</v>
      </c>
      <c r="AD68" s="293">
        <f t="shared" ref="AD68:AD69" si="30">-J68+AE68</f>
        <v>75617</v>
      </c>
      <c r="AE68" s="293">
        <f>'Reversion Pagos R4'!D200</f>
        <v>75617</v>
      </c>
      <c r="AF68" s="324">
        <f t="shared" ref="AF68:AF70" si="31">SUM(U68:AD68)</f>
        <v>-1386708.2799999998</v>
      </c>
      <c r="AG68" s="524">
        <f t="shared" ref="AG68:AG70" si="32">(AF68-O68)</f>
        <v>4.6566128730773926E-10</v>
      </c>
      <c r="AH68" s="307" t="b">
        <f t="shared" si="29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R4'!D313</f>
        <v>-41558585.399999999</v>
      </c>
      <c r="E69" s="294">
        <f>'Reversion Pagos R4'!E313</f>
        <v>-2496334.75</v>
      </c>
      <c r="F69" s="294">
        <f>'Reversion Pagos R4'!F313</f>
        <v>-1365936.5499999998</v>
      </c>
      <c r="G69" s="294">
        <f>'Reversion Pagos R4'!G313</f>
        <v>-708861.09</v>
      </c>
      <c r="H69" s="294">
        <f>'Reversion Pagos R4'!H313</f>
        <v>-10586462.770000001</v>
      </c>
      <c r="I69" s="294">
        <f>'Reversion Pagos R4'!I313</f>
        <v>-381164.66000000003</v>
      </c>
      <c r="J69" s="290">
        <v>0</v>
      </c>
      <c r="K69" s="297">
        <f t="shared" si="25"/>
        <v>-26019825.579999994</v>
      </c>
      <c r="L69" s="296">
        <v>0</v>
      </c>
      <c r="M69" s="297">
        <f>K69-L69</f>
        <v>-26019825.579999994</v>
      </c>
      <c r="N69" s="296">
        <f>'Reversion Pagos R4'!P313</f>
        <v>0</v>
      </c>
      <c r="O69" s="297">
        <f t="shared" si="26"/>
        <v>-26019825.579999994</v>
      </c>
      <c r="Q69" s="308"/>
      <c r="S69" s="316">
        <v>4</v>
      </c>
      <c r="T69" s="317" t="s">
        <v>13</v>
      </c>
      <c r="U69" s="318">
        <f>'Reversion Pagos R4'!J313</f>
        <v>-3340357.11</v>
      </c>
      <c r="V69" s="319">
        <f>'Reversion Pagos R4'!K313</f>
        <v>-3316465.3899999997</v>
      </c>
      <c r="W69" s="319">
        <f>'Reversion Pagos R4'!L313</f>
        <v>-16693748</v>
      </c>
      <c r="X69" s="319">
        <f>'Reversion Pagos R4'!M313</f>
        <v>-6675011.3300000001</v>
      </c>
      <c r="Y69" s="320">
        <f>'Reversion Pagos R4'!N313</f>
        <v>-623716.38</v>
      </c>
      <c r="Z69" s="321">
        <f t="shared" si="27"/>
        <v>0</v>
      </c>
      <c r="AA69" s="322">
        <f>'Reversion Pagos R4'!O313</f>
        <v>-50.849999999999994</v>
      </c>
      <c r="AB69" s="296">
        <f t="shared" si="28"/>
        <v>0</v>
      </c>
      <c r="AC69" s="322">
        <f>+'Reversion Pagos R4'!Q313+'Reversion Pagos R4'!R313</f>
        <v>0</v>
      </c>
      <c r="AD69" s="293">
        <f t="shared" si="30"/>
        <v>4629523.4799999995</v>
      </c>
      <c r="AE69" s="293">
        <f>'Reversion Pagos R4'!D314</f>
        <v>4629523.4799999995</v>
      </c>
      <c r="AF69" s="324">
        <f>SUM(U69:AD69)</f>
        <v>-26019825.579999998</v>
      </c>
      <c r="AG69" s="524">
        <f>(AF69-O69)</f>
        <v>-3.7252902984619141E-9</v>
      </c>
      <c r="AH69" s="307" t="b">
        <f t="shared" si="29"/>
        <v>0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R4'!D342</f>
        <v>-3964157</v>
      </c>
      <c r="E70" s="299">
        <f>'Reversion Pagos R4'!E342</f>
        <v>-249692.11</v>
      </c>
      <c r="F70" s="299">
        <f>'Reversion Pagos R4'!F342</f>
        <v>-137439.75</v>
      </c>
      <c r="G70" s="299">
        <f>'Reversion Pagos R4'!G342</f>
        <v>-74361.94</v>
      </c>
      <c r="H70" s="299">
        <f>'Reversion Pagos R4'!H342</f>
        <v>-597920.80000000005</v>
      </c>
      <c r="I70" s="299">
        <f>'Reversion Pagos R4'!I342</f>
        <v>-20835.71</v>
      </c>
      <c r="J70" s="291">
        <v>0</v>
      </c>
      <c r="K70" s="297">
        <f t="shared" si="25"/>
        <v>-2883906.6900000004</v>
      </c>
      <c r="L70" s="296">
        <v>0</v>
      </c>
      <c r="M70" s="300">
        <f>K70-L70</f>
        <v>-2883906.6900000004</v>
      </c>
      <c r="N70" s="296">
        <f>'Reversion Pagos R4'!P342</f>
        <v>0</v>
      </c>
      <c r="O70" s="300">
        <f t="shared" si="26"/>
        <v>-2883906.6900000004</v>
      </c>
      <c r="Q70" s="308"/>
      <c r="S70" s="326">
        <v>5</v>
      </c>
      <c r="T70" s="327" t="s">
        <v>14</v>
      </c>
      <c r="U70" s="298">
        <f>'Reversion Pagos R4'!J342</f>
        <v>-182766.36</v>
      </c>
      <c r="V70" s="299">
        <f>'Reversion Pagos R4'!K342</f>
        <v>-176896.84</v>
      </c>
      <c r="W70" s="299">
        <f>'Reversion Pagos R4'!L342</f>
        <v>-902118.91</v>
      </c>
      <c r="X70" s="299">
        <f>'Reversion Pagos R4'!M342</f>
        <v>-745598.4</v>
      </c>
      <c r="Y70" s="291">
        <f>'Reversion Pagos R4'!N342</f>
        <v>-33994.58</v>
      </c>
      <c r="Z70" s="321">
        <f t="shared" si="27"/>
        <v>0</v>
      </c>
      <c r="AA70" s="322">
        <f>'Reversion Pagos R4'!O342</f>
        <v>-43.08</v>
      </c>
      <c r="AB70" s="296">
        <f t="shared" si="28"/>
        <v>0</v>
      </c>
      <c r="AC70" s="322">
        <f>+'Reversion Pagos R4'!Q342+'Reversion Pagos R4'!R342</f>
        <v>0</v>
      </c>
      <c r="AD70" s="293">
        <f>-J70+AE70</f>
        <v>-842488.52</v>
      </c>
      <c r="AE70" s="293">
        <f>'Reversion Pagos R4'!D343</f>
        <v>-842488.52</v>
      </c>
      <c r="AF70" s="324">
        <f t="shared" si="31"/>
        <v>-2883906.69</v>
      </c>
      <c r="AG70" s="525">
        <f t="shared" si="32"/>
        <v>4.6566128730773926E-10</v>
      </c>
      <c r="AH70" s="307" t="b">
        <f t="shared" si="29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3">SUM(D66:D70)</f>
        <v>-73419442.849999994</v>
      </c>
      <c r="E71" s="292">
        <f t="shared" si="33"/>
        <v>-5101242.9799999995</v>
      </c>
      <c r="F71" s="292">
        <f t="shared" si="33"/>
        <v>-2769882.3099999996</v>
      </c>
      <c r="G71" s="292">
        <f t="shared" ref="G71" si="34">SUM(G66:G70)</f>
        <v>-1421385.93</v>
      </c>
      <c r="H71" s="292">
        <f t="shared" si="33"/>
        <v>-20414591.16</v>
      </c>
      <c r="I71" s="292">
        <f t="shared" si="33"/>
        <v>-727679.81</v>
      </c>
      <c r="J71" s="292">
        <f t="shared" si="33"/>
        <v>0</v>
      </c>
      <c r="K71" s="302">
        <f t="shared" si="33"/>
        <v>-42984660.659999989</v>
      </c>
      <c r="L71" s="303">
        <f t="shared" si="33"/>
        <v>0</v>
      </c>
      <c r="M71" s="304">
        <f t="shared" si="33"/>
        <v>-42984660.659999989</v>
      </c>
      <c r="N71" s="303">
        <f t="shared" si="33"/>
        <v>0</v>
      </c>
      <c r="O71" s="304">
        <f t="shared" si="33"/>
        <v>-42984660.659999989</v>
      </c>
      <c r="P71" s="331"/>
      <c r="Q71" s="308"/>
      <c r="S71" s="329"/>
      <c r="T71" s="330" t="s">
        <v>2</v>
      </c>
      <c r="U71" s="332">
        <f>SUM(U66:U70)</f>
        <v>-6397834.5200000005</v>
      </c>
      <c r="V71" s="332">
        <f t="shared" ref="V71:AF71" si="35">SUM(V66:V70)</f>
        <v>-6430204.4699999988</v>
      </c>
      <c r="W71" s="332">
        <f t="shared" si="35"/>
        <v>-30501095.91</v>
      </c>
      <c r="X71" s="332">
        <f t="shared" si="35"/>
        <v>-12483020.790000001</v>
      </c>
      <c r="Y71" s="332">
        <f t="shared" si="35"/>
        <v>-1189079.77</v>
      </c>
      <c r="Z71" s="292">
        <f t="shared" si="35"/>
        <v>0</v>
      </c>
      <c r="AA71" s="292">
        <f>SUM(AA66:AA70)</f>
        <v>-147.80000000000001</v>
      </c>
      <c r="AB71" s="292">
        <f t="shared" si="35"/>
        <v>0</v>
      </c>
      <c r="AC71" s="292">
        <f t="shared" ref="AC71" si="36">SUM(AC66:AC70)</f>
        <v>0.35</v>
      </c>
      <c r="AD71" s="292">
        <f>SUM(AD66:AD70)</f>
        <v>14016722.25</v>
      </c>
      <c r="AE71" s="292">
        <f>SUM(AE66:AE70)</f>
        <v>14016722.25</v>
      </c>
      <c r="AF71" s="333">
        <f t="shared" si="35"/>
        <v>-42984660.659999989</v>
      </c>
      <c r="AG71" s="526">
        <f t="shared" ref="AG71" si="37">SUM(AG66:AG70)</f>
        <v>-1.3969838619232178E-9</v>
      </c>
      <c r="AH71" s="307" t="b">
        <f>INT(AG71)=0</f>
        <v>0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-57001235.460000001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6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4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74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4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4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4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74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598" t="s">
        <v>7</v>
      </c>
      <c r="AC84" s="65" t="s">
        <v>167</v>
      </c>
      <c r="AD84" s="565" t="s">
        <v>105</v>
      </c>
      <c r="AE84" s="121" t="s">
        <v>104</v>
      </c>
      <c r="AF84" s="39" t="s">
        <v>23</v>
      </c>
      <c r="AG84" s="275"/>
      <c r="AI84" s="4"/>
    </row>
    <row r="85" spans="1:35" s="307" customFormat="1" ht="12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0">
        <f>'AJUSTES - SF-T'!J47</f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f>'AJUSTES - SF-T'!N47</f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f>'AJUSTES - SF-T'!U47</f>
        <v>0</v>
      </c>
      <c r="V85" s="310">
        <f>'AJUSTES - SF-T'!V47</f>
        <v>0</v>
      </c>
      <c r="W85" s="310">
        <f>'AJUSTES - SF-T'!W47</f>
        <v>0</v>
      </c>
      <c r="X85" s="310">
        <f>'AJUSTES - SF-T'!X47</f>
        <v>0</v>
      </c>
      <c r="Y85" s="311">
        <f>'AJUSTES - SF-T'!Y47</f>
        <v>0</v>
      </c>
      <c r="Z85" s="312">
        <f>-L85</f>
        <v>0</v>
      </c>
      <c r="AA85" s="313">
        <v>0</v>
      </c>
      <c r="AB85" s="296">
        <f>N85</f>
        <v>0</v>
      </c>
      <c r="AC85" s="313">
        <f>'AJUSTES - SF-T'!AA47</f>
        <v>0</v>
      </c>
      <c r="AD85" s="596">
        <f>-J85+AE85</f>
        <v>0</v>
      </c>
      <c r="AE85" s="293">
        <f>'AJUSTES - SF-T'!AD47</f>
        <v>0</v>
      </c>
      <c r="AF85" s="315">
        <f>SUM(U85:AD85)</f>
        <v>0</v>
      </c>
      <c r="AG85" s="523">
        <f>AF85-O85</f>
        <v>0</v>
      </c>
      <c r="AH85" s="307" t="b">
        <f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f>'AJUSTES - SF-T'!D48</f>
        <v>0</v>
      </c>
      <c r="E86" s="294">
        <f>'AJUSTES - SF-T'!E48</f>
        <v>0</v>
      </c>
      <c r="F86" s="294">
        <f>'AJUSTES - SF-T'!F48</f>
        <v>0</v>
      </c>
      <c r="G86" s="294">
        <f>'AJUSTES - SF-T'!G48</f>
        <v>0</v>
      </c>
      <c r="H86" s="294">
        <f>'AJUSTES - SF-T'!H48</f>
        <v>0</v>
      </c>
      <c r="I86" s="294">
        <f>'AJUSTES - SF-T'!I48</f>
        <v>0</v>
      </c>
      <c r="J86" s="290">
        <f>'AJUSTES - SF-T'!J48</f>
        <v>0</v>
      </c>
      <c r="K86" s="297">
        <f t="shared" ref="K86:K89" si="38">D86-E86-F86-G86-H86-I86-J86</f>
        <v>0</v>
      </c>
      <c r="L86" s="296">
        <v>0</v>
      </c>
      <c r="M86" s="297">
        <f>K86-L86</f>
        <v>0</v>
      </c>
      <c r="N86" s="296">
        <f>'AJUSTES - SF-T'!N48</f>
        <v>0</v>
      </c>
      <c r="O86" s="297">
        <f t="shared" ref="O86:O89" si="39">M86+N86</f>
        <v>0</v>
      </c>
      <c r="Q86" s="308"/>
      <c r="S86" s="316">
        <v>2</v>
      </c>
      <c r="T86" s="317" t="s">
        <v>11</v>
      </c>
      <c r="U86" s="318">
        <f>'AJUSTES - SF-T'!U48</f>
        <v>0</v>
      </c>
      <c r="V86" s="319">
        <f>'AJUSTES - SF-T'!V48</f>
        <v>0</v>
      </c>
      <c r="W86" s="319">
        <f>'AJUSTES - SF-T'!W48</f>
        <v>0</v>
      </c>
      <c r="X86" s="319">
        <f>'AJUSTES - SF-T'!X48</f>
        <v>0</v>
      </c>
      <c r="Y86" s="320">
        <f>'AJUSTES - SF-T'!Y48</f>
        <v>0</v>
      </c>
      <c r="Z86" s="321">
        <f>-L86</f>
        <v>0</v>
      </c>
      <c r="AA86" s="322">
        <f>'AJUSTES - SF-T'!AA48</f>
        <v>0</v>
      </c>
      <c r="AB86" s="296">
        <f>N86</f>
        <v>0</v>
      </c>
      <c r="AC86" s="597">
        <v>0</v>
      </c>
      <c r="AD86" s="596">
        <f t="shared" ref="AD86:AD89" si="40">-J86+AE86</f>
        <v>0</v>
      </c>
      <c r="AE86" s="293">
        <f>'AJUSTES - SF-T'!AD48</f>
        <v>0</v>
      </c>
      <c r="AF86" s="324">
        <f>SUM(U86:AD86)</f>
        <v>0</v>
      </c>
      <c r="AG86" s="524">
        <f>AF86-O86</f>
        <v>0</v>
      </c>
      <c r="AH86" s="307" t="b">
        <f t="shared" ref="AH86:AH89" si="41">INT(AG86)=0</f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0">
        <f>'AJUSTES - SF-T'!J49</f>
        <v>0</v>
      </c>
      <c r="K87" s="297">
        <f t="shared" si="38"/>
        <v>0</v>
      </c>
      <c r="L87" s="296">
        <v>0</v>
      </c>
      <c r="M87" s="297">
        <f>K87-L87</f>
        <v>0</v>
      </c>
      <c r="N87" s="296">
        <f>'AJUSTES - SF-T'!N49</f>
        <v>0</v>
      </c>
      <c r="O87" s="297">
        <f t="shared" si="39"/>
        <v>0</v>
      </c>
      <c r="Q87" s="308"/>
      <c r="S87" s="316">
        <v>3</v>
      </c>
      <c r="T87" s="317" t="s">
        <v>12</v>
      </c>
      <c r="U87" s="318">
        <f>'AJUSTES - SF-T'!U49</f>
        <v>0</v>
      </c>
      <c r="V87" s="319">
        <f>'AJUSTES - SF-T'!V49</f>
        <v>0</v>
      </c>
      <c r="W87" s="319">
        <f>'AJUSTES - SF-T'!W49</f>
        <v>0</v>
      </c>
      <c r="X87" s="319">
        <f>'AJUSTES - SF-T'!X49</f>
        <v>0</v>
      </c>
      <c r="Y87" s="320">
        <f>'AJUSTES - SF-T'!Y49</f>
        <v>0</v>
      </c>
      <c r="Z87" s="321">
        <f>-L87</f>
        <v>0</v>
      </c>
      <c r="AA87" s="322">
        <f>'AJUSTES - SF-T'!AA49</f>
        <v>0</v>
      </c>
      <c r="AB87" s="296">
        <f>N87</f>
        <v>0</v>
      </c>
      <c r="AC87" s="325">
        <v>0</v>
      </c>
      <c r="AD87" s="596">
        <f t="shared" si="40"/>
        <v>0</v>
      </c>
      <c r="AE87" s="293">
        <f>'AJUSTES - SF-T'!AD49</f>
        <v>0</v>
      </c>
      <c r="AF87" s="324">
        <f t="shared" ref="AF87:AF89" si="42">SUM(U87:AD87)</f>
        <v>0</v>
      </c>
      <c r="AG87" s="524">
        <f>AF87-O87</f>
        <v>0</v>
      </c>
      <c r="AH87" s="307" t="b">
        <f t="shared" si="41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f>'AJUSTES - SF-T'!D50</f>
        <v>0</v>
      </c>
      <c r="E88" s="294">
        <f>'AJUSTES - SF-T'!E50</f>
        <v>0</v>
      </c>
      <c r="F88" s="294">
        <f>'AJUSTES - SF-T'!F50</f>
        <v>0</v>
      </c>
      <c r="G88" s="294">
        <f>'AJUSTES - SF-T'!G50</f>
        <v>0</v>
      </c>
      <c r="H88" s="294">
        <f>'AJUSTES - SF-T'!H50</f>
        <v>0</v>
      </c>
      <c r="I88" s="294">
        <f>'AJUSTES - SF-T'!I50</f>
        <v>0</v>
      </c>
      <c r="J88" s="290">
        <f>'AJUSTES - SF-T'!J50</f>
        <v>0</v>
      </c>
      <c r="K88" s="297">
        <f t="shared" si="38"/>
        <v>0</v>
      </c>
      <c r="L88" s="296">
        <v>0</v>
      </c>
      <c r="M88" s="297">
        <f>K88-L88</f>
        <v>0</v>
      </c>
      <c r="N88" s="296">
        <f>'AJUSTES - SF-T'!N50</f>
        <v>0</v>
      </c>
      <c r="O88" s="297">
        <f t="shared" si="39"/>
        <v>0</v>
      </c>
      <c r="Q88" s="308"/>
      <c r="S88" s="316">
        <v>4</v>
      </c>
      <c r="T88" s="317" t="s">
        <v>13</v>
      </c>
      <c r="U88" s="318">
        <f>'AJUSTES - SF-T'!U50</f>
        <v>0</v>
      </c>
      <c r="V88" s="319">
        <f>'AJUSTES - SF-T'!V50</f>
        <v>0</v>
      </c>
      <c r="W88" s="319">
        <f>'AJUSTES - SF-T'!W50</f>
        <v>0</v>
      </c>
      <c r="X88" s="319">
        <f>'AJUSTES - SF-T'!X50</f>
        <v>0</v>
      </c>
      <c r="Y88" s="320">
        <f>'AJUSTES - SF-T'!Y50</f>
        <v>0</v>
      </c>
      <c r="Z88" s="321">
        <f>-L88</f>
        <v>0</v>
      </c>
      <c r="AA88" s="322">
        <f>'AJUSTES - SF-T'!AA50</f>
        <v>0</v>
      </c>
      <c r="AB88" s="296">
        <f>N88</f>
        <v>0</v>
      </c>
      <c r="AC88" s="322">
        <v>0</v>
      </c>
      <c r="AD88" s="596">
        <f t="shared" si="40"/>
        <v>0</v>
      </c>
      <c r="AE88" s="293">
        <f>'AJUSTES - SF-T'!AD50</f>
        <v>0</v>
      </c>
      <c r="AF88" s="324">
        <f t="shared" si="42"/>
        <v>0</v>
      </c>
      <c r="AG88" s="524">
        <f>AF88-O88</f>
        <v>0</v>
      </c>
      <c r="AH88" s="307" t="b">
        <f t="shared" si="41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3">
        <f>'AJUSTES - SF-T'!D51</f>
        <v>0</v>
      </c>
      <c r="E89" s="294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1">
        <f>'AJUSTES - SF-T'!J51</f>
        <v>0</v>
      </c>
      <c r="K89" s="297">
        <f t="shared" si="38"/>
        <v>0</v>
      </c>
      <c r="L89" s="296">
        <v>0</v>
      </c>
      <c r="M89" s="300">
        <f>K89-L89</f>
        <v>0</v>
      </c>
      <c r="N89" s="301">
        <f>'AJUSTES - SF-T'!N51</f>
        <v>0</v>
      </c>
      <c r="O89" s="300">
        <f t="shared" si="39"/>
        <v>0</v>
      </c>
      <c r="Q89" s="308"/>
      <c r="S89" s="326">
        <v>5</v>
      </c>
      <c r="T89" s="327" t="s">
        <v>14</v>
      </c>
      <c r="U89" s="298">
        <f>'AJUSTES - SF-T'!U51</f>
        <v>0</v>
      </c>
      <c r="V89" s="299">
        <f>'AJUSTES - SF-T'!V51</f>
        <v>0</v>
      </c>
      <c r="W89" s="299">
        <f>'AJUSTES - SF-T'!W51</f>
        <v>0</v>
      </c>
      <c r="X89" s="299">
        <f>'AJUSTES - SF-T'!X51</f>
        <v>0</v>
      </c>
      <c r="Y89" s="291">
        <f>'AJUSTES - SF-T'!Y51</f>
        <v>0</v>
      </c>
      <c r="Z89" s="321">
        <f>-L89</f>
        <v>0</v>
      </c>
      <c r="AA89" s="322">
        <f>'AJUSTES - SF-T'!AA51</f>
        <v>0</v>
      </c>
      <c r="AB89" s="296">
        <f>N89</f>
        <v>0</v>
      </c>
      <c r="AC89" s="325">
        <v>0</v>
      </c>
      <c r="AD89" s="596">
        <f t="shared" si="40"/>
        <v>0</v>
      </c>
      <c r="AE89" s="293">
        <f>'AJUSTES - SF-T'!AD51</f>
        <v>0</v>
      </c>
      <c r="AF89" s="324">
        <f t="shared" si="42"/>
        <v>0</v>
      </c>
      <c r="AG89" s="525">
        <f>AF89-O89</f>
        <v>0</v>
      </c>
      <c r="AH89" s="307" t="b">
        <f t="shared" si="41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>SUM(D85:D89)</f>
        <v>0</v>
      </c>
      <c r="E90" s="292">
        <f t="shared" ref="E90:O90" si="43">SUM(E85:E89)</f>
        <v>0</v>
      </c>
      <c r="F90" s="292">
        <f t="shared" si="43"/>
        <v>0</v>
      </c>
      <c r="G90" s="292">
        <f t="shared" ref="G90" si="44">SUM(G85:G89)</f>
        <v>0</v>
      </c>
      <c r="H90" s="292">
        <f t="shared" si="43"/>
        <v>0</v>
      </c>
      <c r="I90" s="292">
        <f t="shared" si="43"/>
        <v>0</v>
      </c>
      <c r="J90" s="292">
        <f t="shared" si="43"/>
        <v>0</v>
      </c>
      <c r="K90" s="302">
        <f t="shared" si="43"/>
        <v>0</v>
      </c>
      <c r="L90" s="303">
        <f t="shared" si="43"/>
        <v>0</v>
      </c>
      <c r="M90" s="304">
        <f t="shared" si="43"/>
        <v>0</v>
      </c>
      <c r="N90" s="303">
        <f t="shared" si="43"/>
        <v>0</v>
      </c>
      <c r="O90" s="304">
        <f t="shared" si="43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5">SUM(V85:V89)</f>
        <v>0</v>
      </c>
      <c r="W90" s="332">
        <f t="shared" si="45"/>
        <v>0</v>
      </c>
      <c r="X90" s="332">
        <f t="shared" si="45"/>
        <v>0</v>
      </c>
      <c r="Y90" s="332">
        <f t="shared" si="45"/>
        <v>0</v>
      </c>
      <c r="Z90" s="292">
        <f t="shared" si="45"/>
        <v>0</v>
      </c>
      <c r="AA90" s="292">
        <f t="shared" si="45"/>
        <v>0</v>
      </c>
      <c r="AB90" s="472">
        <f t="shared" si="45"/>
        <v>0</v>
      </c>
      <c r="AC90" s="292">
        <f t="shared" ref="AC90" si="46">SUM(AC85:AC89)</f>
        <v>0</v>
      </c>
      <c r="AD90" s="599">
        <f t="shared" si="45"/>
        <v>0</v>
      </c>
      <c r="AE90" s="292">
        <f t="shared" si="45"/>
        <v>0</v>
      </c>
      <c r="AF90" s="333">
        <f t="shared" si="45"/>
        <v>0</v>
      </c>
      <c r="AG90" s="526">
        <f t="shared" si="45"/>
        <v>0</v>
      </c>
      <c r="AH90" s="307" t="b">
        <f>INT(AG90)=0</f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6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4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74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4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4"/>
      <c r="AI100" s="4"/>
    </row>
    <row r="101" spans="2:39" ht="15.6" x14ac:dyDescent="0.3">
      <c r="B101" s="8"/>
      <c r="C101" s="590" t="s">
        <v>17</v>
      </c>
      <c r="D101" s="9">
        <f>D6</f>
        <v>46314</v>
      </c>
      <c r="F101" s="58" t="s">
        <v>211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212</v>
      </c>
      <c r="V101" s="59"/>
      <c r="W101" s="60"/>
      <c r="X101" s="59"/>
      <c r="Y101" s="59"/>
      <c r="AF101" s="48"/>
      <c r="AG101" s="274"/>
      <c r="AI101" s="4"/>
    </row>
    <row r="102" spans="2:39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74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0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72" t="s">
        <v>40</v>
      </c>
      <c r="W103" s="572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275"/>
      <c r="AI103" s="4"/>
    </row>
    <row r="104" spans="2:39" s="307" customFormat="1" ht="12" x14ac:dyDescent="0.25">
      <c r="B104" s="305">
        <v>1</v>
      </c>
      <c r="C104" s="306" t="s">
        <v>10</v>
      </c>
      <c r="D104" s="293">
        <f t="shared" ref="D104:F106" si="47">D9+D28+D47+D66+D85</f>
        <v>14842425135.769999</v>
      </c>
      <c r="E104" s="294">
        <f t="shared" si="47"/>
        <v>843638119.16000009</v>
      </c>
      <c r="F104" s="294">
        <f t="shared" si="47"/>
        <v>469921887.31999999</v>
      </c>
      <c r="G104" s="294">
        <f t="shared" ref="G104" si="48">G9+G28+G47+G66+G85</f>
        <v>250044376.16</v>
      </c>
      <c r="H104" s="294">
        <f t="shared" ref="H104:J108" si="49">H9+H28+H47+H66+H85</f>
        <v>4762998618.5900011</v>
      </c>
      <c r="I104" s="294">
        <f t="shared" si="49"/>
        <v>158724902</v>
      </c>
      <c r="J104" s="290">
        <f t="shared" si="49"/>
        <v>2153950828.1600003</v>
      </c>
      <c r="K104" s="295">
        <f>D104-E104-F104-G104-H104-I104-J104</f>
        <v>6203146404.3799973</v>
      </c>
      <c r="L104" s="296">
        <f>L9+L28+L47+L66+L85</f>
        <v>189185987</v>
      </c>
      <c r="M104" s="295">
        <f>K104-L104</f>
        <v>6013960417.3799973</v>
      </c>
      <c r="N104" s="296">
        <f>N9+N28+N47+N66+N85</f>
        <v>19931693.030000001</v>
      </c>
      <c r="O104" s="295">
        <f>M104+N104</f>
        <v>6033892110.409997</v>
      </c>
      <c r="Q104" s="308"/>
      <c r="S104" s="305">
        <v>1</v>
      </c>
      <c r="T104" s="306" t="s">
        <v>10</v>
      </c>
      <c r="U104" s="309">
        <f t="shared" ref="U104:AB108" si="50">U9+U28+U47+U66+U85</f>
        <v>1394522647.0799999</v>
      </c>
      <c r="V104" s="310">
        <f t="shared" si="50"/>
        <v>1317649645.4300003</v>
      </c>
      <c r="W104" s="310">
        <f t="shared" si="50"/>
        <v>6280056756.3500004</v>
      </c>
      <c r="X104" s="310">
        <f t="shared" si="50"/>
        <v>2296152255.4400001</v>
      </c>
      <c r="Y104" s="311">
        <f t="shared" si="50"/>
        <v>259093051.75000003</v>
      </c>
      <c r="Z104" s="312">
        <f t="shared" si="50"/>
        <v>-189185987</v>
      </c>
      <c r="AA104" s="313">
        <f>AA9+AA28+AA47+AA66+AA85</f>
        <v>-27550.81</v>
      </c>
      <c r="AB104" s="296">
        <f t="shared" si="50"/>
        <v>19931693.030000001</v>
      </c>
      <c r="AC104" s="313">
        <f>AC9+AC28+AC47+AC66+AC85</f>
        <v>149.13</v>
      </c>
      <c r="AD104" s="293">
        <f>-J104+AE104</f>
        <v>-5344300549.9900007</v>
      </c>
      <c r="AE104" s="293">
        <f>AE9+AE28+AE47+AE66+AE85</f>
        <v>-3190349721.8300004</v>
      </c>
      <c r="AF104" s="315">
        <f>SUM(U104:AD104)</f>
        <v>6033892110.4100008</v>
      </c>
      <c r="AG104" s="523">
        <f>AF104-O104</f>
        <v>0</v>
      </c>
      <c r="AH104" s="307" t="b">
        <f>INT(AG104)=0</f>
        <v>1</v>
      </c>
      <c r="AI104" s="308"/>
      <c r="AM104" s="335"/>
    </row>
    <row r="105" spans="2:39" s="307" customFormat="1" ht="12" x14ac:dyDescent="0.25">
      <c r="B105" s="316">
        <v>2</v>
      </c>
      <c r="C105" s="317" t="s">
        <v>11</v>
      </c>
      <c r="D105" s="293">
        <f>D10+D29+D48+D67+D86</f>
        <v>11302637604.959999</v>
      </c>
      <c r="E105" s="294">
        <f>E10+E29+E48+E67+E86</f>
        <v>879527684.89999998</v>
      </c>
      <c r="F105" s="294">
        <f t="shared" si="47"/>
        <v>487125788.97000003</v>
      </c>
      <c r="G105" s="294">
        <f t="shared" ref="G105" si="51">G10+G29+G48+G67+G86</f>
        <v>257816032.50999999</v>
      </c>
      <c r="H105" s="294">
        <f t="shared" si="49"/>
        <v>3596029847.4699998</v>
      </c>
      <c r="I105" s="294">
        <f t="shared" si="49"/>
        <v>127396248.11999999</v>
      </c>
      <c r="J105" s="290">
        <f t="shared" si="49"/>
        <v>-4217145526.9099998</v>
      </c>
      <c r="K105" s="297">
        <f t="shared" ref="K105:K108" si="52">D105-E105-F105-G105-H105-I105-J105</f>
        <v>10171887529.900002</v>
      </c>
      <c r="L105" s="296">
        <f>L10+L29+L48+L67+L86</f>
        <v>266580255</v>
      </c>
      <c r="M105" s="297">
        <f>K105-L105</f>
        <v>9905307274.9000015</v>
      </c>
      <c r="N105" s="296">
        <f>N10+N29+N48+N67+N86</f>
        <v>9905072.7599999998</v>
      </c>
      <c r="O105" s="297">
        <f t="shared" ref="O105:O108" si="53">M105+N105</f>
        <v>9915212347.6600018</v>
      </c>
      <c r="Q105" s="308"/>
      <c r="S105" s="316">
        <v>2</v>
      </c>
      <c r="T105" s="317" t="s">
        <v>11</v>
      </c>
      <c r="U105" s="318">
        <f t="shared" si="50"/>
        <v>1119047468.5400002</v>
      </c>
      <c r="V105" s="319">
        <f t="shared" si="50"/>
        <v>1074203306.97</v>
      </c>
      <c r="W105" s="319">
        <f t="shared" si="50"/>
        <v>5100967940.6500006</v>
      </c>
      <c r="X105" s="319">
        <f t="shared" si="50"/>
        <v>1726639219.6300001</v>
      </c>
      <c r="Y105" s="320">
        <f t="shared" si="50"/>
        <v>207852475.12</v>
      </c>
      <c r="Z105" s="321">
        <f t="shared" si="50"/>
        <v>-266580255</v>
      </c>
      <c r="AA105" s="322">
        <f t="shared" si="50"/>
        <v>-14301.8</v>
      </c>
      <c r="AB105" s="296">
        <f t="shared" si="50"/>
        <v>9905072.7599999998</v>
      </c>
      <c r="AC105" s="322">
        <f t="shared" ref="AC105" si="54">AC10+AC29+AC48+AC67+AC86</f>
        <v>6703041.3899999997</v>
      </c>
      <c r="AD105" s="293">
        <f t="shared" ref="AD105:AD107" si="55">-J105+AE105</f>
        <v>936488379.4000001</v>
      </c>
      <c r="AE105" s="293">
        <f>AE10+AE29+AE48+AE67+AE86</f>
        <v>-3280657147.5099998</v>
      </c>
      <c r="AF105" s="324">
        <f>SUM(U105:AD105)</f>
        <v>9915212347.6600018</v>
      </c>
      <c r="AG105" s="524">
        <f>AF105-O105</f>
        <v>0</v>
      </c>
      <c r="AH105" s="307" t="b">
        <f t="shared" ref="AH105:AH108" si="56">INT(AG105)=0</f>
        <v>1</v>
      </c>
      <c r="AI105" s="308"/>
      <c r="AM105" s="335"/>
    </row>
    <row r="106" spans="2:39" s="307" customFormat="1" ht="12" x14ac:dyDescent="0.25">
      <c r="B106" s="316">
        <v>3</v>
      </c>
      <c r="C106" s="317" t="s">
        <v>12</v>
      </c>
      <c r="D106" s="293">
        <f t="shared" si="47"/>
        <v>8823787300.3700008</v>
      </c>
      <c r="E106" s="294">
        <f t="shared" si="47"/>
        <v>569975770.48000002</v>
      </c>
      <c r="F106" s="294">
        <f t="shared" si="47"/>
        <v>317801772.61000001</v>
      </c>
      <c r="G106" s="294">
        <f t="shared" ref="G106" si="57">G11+G30+G49+G68+G87</f>
        <v>168886539.52000001</v>
      </c>
      <c r="H106" s="294">
        <f t="shared" si="49"/>
        <v>2431581352.7200003</v>
      </c>
      <c r="I106" s="294">
        <f t="shared" si="49"/>
        <v>87065864.260000005</v>
      </c>
      <c r="J106" s="290">
        <f t="shared" si="49"/>
        <v>-1288806337.0900002</v>
      </c>
      <c r="K106" s="297">
        <f t="shared" si="52"/>
        <v>6537282337.8700008</v>
      </c>
      <c r="L106" s="296">
        <f>L11+L30+L49+L68+L87</f>
        <v>154788535</v>
      </c>
      <c r="M106" s="297">
        <f>K106-L106</f>
        <v>6382493802.8700008</v>
      </c>
      <c r="N106" s="296">
        <f>N11+N30+N49+N68+N87</f>
        <v>19321799.949999999</v>
      </c>
      <c r="O106" s="297">
        <f t="shared" si="53"/>
        <v>6401815602.8200006</v>
      </c>
      <c r="Q106" s="308"/>
      <c r="S106" s="316">
        <v>3</v>
      </c>
      <c r="T106" s="317" t="s">
        <v>12</v>
      </c>
      <c r="U106" s="318">
        <f t="shared" si="50"/>
        <v>764924627.74000001</v>
      </c>
      <c r="V106" s="319">
        <f t="shared" si="50"/>
        <v>725933197.63</v>
      </c>
      <c r="W106" s="319">
        <f t="shared" si="50"/>
        <v>3451348638.7399998</v>
      </c>
      <c r="X106" s="319">
        <f t="shared" si="50"/>
        <v>1350181167.0999999</v>
      </c>
      <c r="Y106" s="320">
        <f t="shared" si="50"/>
        <v>142145147.17000002</v>
      </c>
      <c r="Z106" s="321">
        <f t="shared" si="50"/>
        <v>-154788535</v>
      </c>
      <c r="AA106" s="322">
        <f t="shared" si="50"/>
        <v>-79474.34</v>
      </c>
      <c r="AB106" s="296">
        <f t="shared" si="50"/>
        <v>19321799.949999999</v>
      </c>
      <c r="AC106" s="322">
        <f t="shared" ref="AC106" si="58">AC11+AC30+AC49+AC68+AC87</f>
        <v>-41619.9</v>
      </c>
      <c r="AD106" s="293">
        <f t="shared" si="55"/>
        <v>102870653.73000026</v>
      </c>
      <c r="AE106" s="293">
        <f>AE11+AE30+AE49+AE68+AE87</f>
        <v>-1185935683.3599999</v>
      </c>
      <c r="AF106" s="324">
        <f>SUM(U106:AD106)</f>
        <v>6401815602.8199997</v>
      </c>
      <c r="AG106" s="524">
        <f>AF106-O106</f>
        <v>0</v>
      </c>
      <c r="AH106" s="307" t="b">
        <f t="shared" si="56"/>
        <v>1</v>
      </c>
      <c r="AI106" s="308"/>
      <c r="AM106" s="335"/>
    </row>
    <row r="107" spans="2:39" s="307" customFormat="1" ht="12" x14ac:dyDescent="0.25">
      <c r="B107" s="316">
        <v>4</v>
      </c>
      <c r="C107" s="317" t="s">
        <v>13</v>
      </c>
      <c r="D107" s="293">
        <f>D12+D31+D50+D69+D88</f>
        <v>10483172762.089998</v>
      </c>
      <c r="E107" s="294">
        <f>E12+E31+E50+E69+E88</f>
        <v>605184325.43999994</v>
      </c>
      <c r="F107" s="294">
        <f t="shared" ref="E107:F108" si="59">F12+F31+F50+F69+F88</f>
        <v>335542369.42999995</v>
      </c>
      <c r="G107" s="294">
        <f t="shared" ref="G107" si="60">G12+G31+G50+G69+G88</f>
        <v>178851000.16000003</v>
      </c>
      <c r="H107" s="294">
        <f t="shared" si="49"/>
        <v>2396955034.98</v>
      </c>
      <c r="I107" s="294">
        <f t="shared" si="49"/>
        <v>89656583.200000003</v>
      </c>
      <c r="J107" s="290">
        <f t="shared" si="49"/>
        <v>61531953.689999998</v>
      </c>
      <c r="K107" s="297">
        <f>D107-E107-F107-G107-H107-I107-J107</f>
        <v>6815451495.1899986</v>
      </c>
      <c r="L107" s="296">
        <f>L12+L31+L50+L69+L88</f>
        <v>120391083</v>
      </c>
      <c r="M107" s="297">
        <f>K107-L107</f>
        <v>6695060412.1899986</v>
      </c>
      <c r="N107" s="296">
        <f>N12+N31+N50+N69+N88</f>
        <v>8643135.5800000001</v>
      </c>
      <c r="O107" s="297">
        <f>M107+N107</f>
        <v>6703703547.7699986</v>
      </c>
      <c r="Q107" s="308"/>
      <c r="S107" s="316">
        <v>4</v>
      </c>
      <c r="T107" s="317" t="s">
        <v>13</v>
      </c>
      <c r="U107" s="318">
        <f t="shared" si="50"/>
        <v>786078524.97000003</v>
      </c>
      <c r="V107" s="319">
        <f t="shared" si="50"/>
        <v>750287945.0200001</v>
      </c>
      <c r="W107" s="319">
        <f t="shared" si="50"/>
        <v>3882318283.6399999</v>
      </c>
      <c r="X107" s="319">
        <f t="shared" si="50"/>
        <v>1602219713.7400002</v>
      </c>
      <c r="Y107" s="320">
        <f t="shared" si="50"/>
        <v>146500614.73000002</v>
      </c>
      <c r="Z107" s="321">
        <f t="shared" si="50"/>
        <v>-120391083</v>
      </c>
      <c r="AA107" s="322">
        <f>AA12+AA31+AA50+AA69+AA88</f>
        <v>31980.280000000002</v>
      </c>
      <c r="AB107" s="296">
        <f t="shared" si="50"/>
        <v>8643135.5800000001</v>
      </c>
      <c r="AC107" s="322">
        <f t="shared" ref="AC107" si="61">AC12+AC31+AC50+AC69+AC88</f>
        <v>189.43</v>
      </c>
      <c r="AD107" s="293">
        <f t="shared" si="55"/>
        <v>-351985756.61999995</v>
      </c>
      <c r="AE107" s="293">
        <f>AE12+AE31+AE50+AE69+AE88</f>
        <v>-290453802.92999995</v>
      </c>
      <c r="AF107" s="324">
        <f>SUM(U107:AD107)</f>
        <v>6703703547.7700005</v>
      </c>
      <c r="AG107" s="524">
        <f>AF107-O107</f>
        <v>0</v>
      </c>
      <c r="AH107" s="307" t="b">
        <f t="shared" si="56"/>
        <v>1</v>
      </c>
      <c r="AI107" s="308"/>
      <c r="AM107" s="335"/>
    </row>
    <row r="108" spans="2:39" s="307" customFormat="1" ht="12.6" thickBot="1" x14ac:dyDescent="0.3">
      <c r="B108" s="326">
        <v>5</v>
      </c>
      <c r="C108" s="327" t="s">
        <v>14</v>
      </c>
      <c r="D108" s="298">
        <f>D13+D32+D51+D70+D89</f>
        <v>7550668664.9899998</v>
      </c>
      <c r="E108" s="299">
        <f t="shared" si="59"/>
        <v>408526724.99000001</v>
      </c>
      <c r="F108" s="299">
        <f t="shared" si="59"/>
        <v>227342341.28999999</v>
      </c>
      <c r="G108" s="299">
        <f t="shared" ref="G108" si="62">G13+G32+G51+G70+G89</f>
        <v>120932576.32000001</v>
      </c>
      <c r="H108" s="299">
        <f t="shared" si="49"/>
        <v>1865958722.8900001</v>
      </c>
      <c r="I108" s="299">
        <f t="shared" si="49"/>
        <v>62135019.5</v>
      </c>
      <c r="J108" s="291">
        <f t="shared" si="49"/>
        <v>-1246473094.4099998</v>
      </c>
      <c r="K108" s="297">
        <f t="shared" si="52"/>
        <v>6112246374.4099998</v>
      </c>
      <c r="L108" s="296">
        <f>L13+L32+L51+L70+L89</f>
        <v>128990445</v>
      </c>
      <c r="M108" s="300">
        <f>K108-L108</f>
        <v>5983255929.4099998</v>
      </c>
      <c r="N108" s="301">
        <f>N13+N32+N51+N70+N89</f>
        <v>12379938.060000001</v>
      </c>
      <c r="O108" s="300">
        <f t="shared" si="53"/>
        <v>5995635867.4700003</v>
      </c>
      <c r="Q108" s="308"/>
      <c r="S108" s="326">
        <v>5</v>
      </c>
      <c r="T108" s="327" t="s">
        <v>14</v>
      </c>
      <c r="U108" s="298">
        <f t="shared" si="50"/>
        <v>545248831.26999998</v>
      </c>
      <c r="V108" s="299">
        <f t="shared" si="50"/>
        <v>513452677.79000002</v>
      </c>
      <c r="W108" s="299">
        <f t="shared" si="50"/>
        <v>2643078043.1000004</v>
      </c>
      <c r="X108" s="299">
        <f t="shared" si="50"/>
        <v>1215847345.4899998</v>
      </c>
      <c r="Y108" s="291">
        <f t="shared" si="50"/>
        <v>101388401.98999999</v>
      </c>
      <c r="Z108" s="321">
        <f t="shared" si="50"/>
        <v>-128990445</v>
      </c>
      <c r="AA108" s="322">
        <f t="shared" si="50"/>
        <v>10519.1</v>
      </c>
      <c r="AB108" s="296">
        <f t="shared" si="50"/>
        <v>12379938.060000001</v>
      </c>
      <c r="AC108" s="322">
        <f t="shared" ref="AC108" si="63">AC13+AC32+AC51+AC70+AC89</f>
        <v>4.8600000000000003</v>
      </c>
      <c r="AD108" s="293">
        <f>-J108+AE108</f>
        <v>1093220550.8099999</v>
      </c>
      <c r="AE108" s="293">
        <f>AE13+AE32+AE51+AE70+AE89</f>
        <v>-153252543.60000002</v>
      </c>
      <c r="AF108" s="324">
        <f>SUM(U108:AD108)</f>
        <v>5995635867.4699993</v>
      </c>
      <c r="AG108" s="525">
        <f>AF108-O108</f>
        <v>0</v>
      </c>
      <c r="AH108" s="307" t="b">
        <f t="shared" si="56"/>
        <v>1</v>
      </c>
      <c r="AI108" s="308"/>
      <c r="AM108" s="335"/>
    </row>
    <row r="109" spans="2:39" s="307" customFormat="1" ht="13.8" thickBot="1" x14ac:dyDescent="0.3">
      <c r="B109" s="329"/>
      <c r="C109" s="330" t="s">
        <v>2</v>
      </c>
      <c r="D109" s="292">
        <f t="shared" ref="D109:N109" si="64">SUM(D104:D108)</f>
        <v>53002691468.179993</v>
      </c>
      <c r="E109" s="292">
        <f t="shared" si="64"/>
        <v>3306852624.9700003</v>
      </c>
      <c r="F109" s="292">
        <f t="shared" si="64"/>
        <v>1837734159.6199999</v>
      </c>
      <c r="G109" s="292">
        <f t="shared" ref="G109" si="65">SUM(G104:G108)</f>
        <v>976530524.66999996</v>
      </c>
      <c r="H109" s="292">
        <f t="shared" si="64"/>
        <v>15053523576.650002</v>
      </c>
      <c r="I109" s="292">
        <f t="shared" si="64"/>
        <v>524978617.07999998</v>
      </c>
      <c r="J109" s="292">
        <f t="shared" si="64"/>
        <v>-4536942176.5599995</v>
      </c>
      <c r="K109" s="302">
        <f t="shared" si="64"/>
        <v>35840014141.75</v>
      </c>
      <c r="L109" s="303">
        <f t="shared" si="64"/>
        <v>859936305</v>
      </c>
      <c r="M109" s="304">
        <f t="shared" si="64"/>
        <v>34980077836.75</v>
      </c>
      <c r="N109" s="303">
        <f t="shared" si="64"/>
        <v>70181639.379999995</v>
      </c>
      <c r="O109" s="304">
        <f>SUM(O104:O108)</f>
        <v>35050259476.129997</v>
      </c>
      <c r="P109" s="331"/>
      <c r="Q109" s="308"/>
      <c r="S109" s="329"/>
      <c r="T109" s="330" t="s">
        <v>2</v>
      </c>
      <c r="U109" s="332">
        <f>SUM(U104:U108)</f>
        <v>4609822099.6000004</v>
      </c>
      <c r="V109" s="332">
        <f t="shared" ref="V109:AF109" si="66">SUM(V104:V108)</f>
        <v>4381526772.8400011</v>
      </c>
      <c r="W109" s="332">
        <f t="shared" si="66"/>
        <v>21357769662.480003</v>
      </c>
      <c r="X109" s="332">
        <f t="shared" si="66"/>
        <v>8191039701.3999996</v>
      </c>
      <c r="Y109" s="332">
        <f t="shared" si="66"/>
        <v>856979690.75999999</v>
      </c>
      <c r="Z109" s="292">
        <f t="shared" si="66"/>
        <v>-859936305</v>
      </c>
      <c r="AA109" s="292">
        <f t="shared" si="66"/>
        <v>-78827.569999999992</v>
      </c>
      <c r="AB109" s="292">
        <f t="shared" si="66"/>
        <v>70181639.379999995</v>
      </c>
      <c r="AC109" s="292">
        <f t="shared" ref="AC109" si="67">SUM(AC104:AC108)</f>
        <v>6661764.9099999992</v>
      </c>
      <c r="AD109" s="292">
        <f t="shared" si="66"/>
        <v>-3563706722.6699996</v>
      </c>
      <c r="AE109" s="292">
        <f>SUM(AE104:AE108)</f>
        <v>-8100648899.2300005</v>
      </c>
      <c r="AF109" s="333">
        <f t="shared" si="66"/>
        <v>35050259476.130005</v>
      </c>
      <c r="AG109" s="526">
        <f>SUM(AG104:AG108)</f>
        <v>0</v>
      </c>
      <c r="AH109" s="307" t="b">
        <f>INT(AG109)=0</f>
        <v>1</v>
      </c>
      <c r="AI109" s="308"/>
      <c r="AM109" s="335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83"/>
      <c r="W111" s="583"/>
      <c r="Y111" s="86">
        <f>SUM(U109:Y109)</f>
        <v>39397137927.080009</v>
      </c>
      <c r="AA111" s="1" t="s">
        <v>1</v>
      </c>
      <c r="AB111" s="1" t="s">
        <v>1</v>
      </c>
      <c r="AD111" s="307"/>
      <c r="AF111" s="307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7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7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0"/>
      <c r="W116" s="580"/>
      <c r="AA116" s="307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  <c r="AA117" s="307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7"/>
      <c r="Y118" s="307"/>
      <c r="AA118" s="307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7"/>
      <c r="Y119" s="307"/>
      <c r="AA119" s="307"/>
    </row>
    <row r="120" spans="1:35" ht="12" x14ac:dyDescent="0.25">
      <c r="B120" s="8"/>
      <c r="I120" s="2"/>
      <c r="J120" s="2"/>
      <c r="O120" s="10"/>
      <c r="P120" s="2"/>
      <c r="Q120" s="4"/>
      <c r="X120" s="307"/>
      <c r="Y120" s="307"/>
      <c r="AA120" s="307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7"/>
      <c r="Y121" s="307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  <c r="X122" s="307"/>
      <c r="Y122" s="307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7"/>
      <c r="Y123" s="307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ht="12" x14ac:dyDescent="0.25">
      <c r="B125" s="336">
        <v>1</v>
      </c>
      <c r="C125" s="337" t="s">
        <v>10</v>
      </c>
      <c r="D125" s="387">
        <f>'ANTICIPOS USUARIOS'!C3</f>
        <v>46857237.219999999</v>
      </c>
      <c r="E125" s="311">
        <v>0</v>
      </c>
      <c r="G125" s="338">
        <f>D47+N47</f>
        <v>648870</v>
      </c>
      <c r="H125" s="312">
        <f>D28+N28</f>
        <v>30588071.020000003</v>
      </c>
      <c r="I125" s="311">
        <f>D85+N85</f>
        <v>0</v>
      </c>
      <c r="J125" s="311">
        <f>D66+N66</f>
        <v>-3833780</v>
      </c>
      <c r="K125" s="311">
        <f>'ANTICIPOS USUARIOS'!C12</f>
        <v>0</v>
      </c>
      <c r="L125" s="311">
        <f>-'ANTICIPOS USUARIOS'!C21</f>
        <v>0</v>
      </c>
      <c r="O125" s="339"/>
      <c r="Q125" s="308"/>
      <c r="AG125" s="335"/>
    </row>
    <row r="126" spans="1:35" s="307" customFormat="1" ht="12" x14ac:dyDescent="0.25">
      <c r="B126" s="316">
        <v>2</v>
      </c>
      <c r="C126" s="340" t="s">
        <v>11</v>
      </c>
      <c r="D126" s="294">
        <f>'ANTICIPOS USUARIOS'!C4</f>
        <v>52275662.099999994</v>
      </c>
      <c r="E126" s="290">
        <v>0</v>
      </c>
      <c r="G126" s="341">
        <f>D48+N48</f>
        <v>9704974</v>
      </c>
      <c r="H126" s="342">
        <f>D29+N29</f>
        <v>95705711.270000011</v>
      </c>
      <c r="I126" s="290">
        <f>D86+N86</f>
        <v>0</v>
      </c>
      <c r="J126" s="290">
        <f>D67+N67</f>
        <v>-21803648.449999999</v>
      </c>
      <c r="K126" s="290">
        <f>'ANTICIPOS USUARIOS'!C13</f>
        <v>6055989</v>
      </c>
      <c r="L126" s="290">
        <f>-'ANTICIPOS USUARIOS'!C22</f>
        <v>255254.55</v>
      </c>
      <c r="O126" s="339"/>
      <c r="Q126" s="308"/>
      <c r="AG126" s="335"/>
    </row>
    <row r="127" spans="1:35" s="307" customFormat="1" ht="12" x14ac:dyDescent="0.25">
      <c r="B127" s="316">
        <v>3</v>
      </c>
      <c r="C127" s="340" t="s">
        <v>12</v>
      </c>
      <c r="D127" s="294">
        <f>'ANTICIPOS USUARIOS'!C5</f>
        <v>13754369</v>
      </c>
      <c r="E127" s="290">
        <v>0</v>
      </c>
      <c r="G127" s="341">
        <f>D49+N49</f>
        <v>0</v>
      </c>
      <c r="H127" s="342">
        <f>D30+N30</f>
        <v>14590494.319999998</v>
      </c>
      <c r="I127" s="290">
        <f>D87+N87</f>
        <v>0</v>
      </c>
      <c r="J127" s="290">
        <f t="shared" ref="J127:J129" si="68">D68+N68</f>
        <v>-2259272</v>
      </c>
      <c r="K127" s="290">
        <f>'ANTICIPOS USUARIOS'!C14</f>
        <v>0</v>
      </c>
      <c r="L127" s="290">
        <f>-'ANTICIPOS USUARIOS'!C23</f>
        <v>0</v>
      </c>
      <c r="O127" s="339"/>
      <c r="Q127" s="308"/>
      <c r="AG127" s="335"/>
    </row>
    <row r="128" spans="1:35" s="307" customFormat="1" ht="12" x14ac:dyDescent="0.25">
      <c r="B128" s="316">
        <v>4</v>
      </c>
      <c r="C128" s="340" t="s">
        <v>13</v>
      </c>
      <c r="D128" s="294">
        <f>'ANTICIPOS USUARIOS'!C6</f>
        <v>49700940</v>
      </c>
      <c r="E128" s="290">
        <v>0</v>
      </c>
      <c r="G128" s="341">
        <f>D50+N50</f>
        <v>21557177</v>
      </c>
      <c r="H128" s="342">
        <f>D31+N31</f>
        <v>29206357.07</v>
      </c>
      <c r="I128" s="290">
        <f>D88+N88</f>
        <v>0</v>
      </c>
      <c r="J128" s="290">
        <f t="shared" si="68"/>
        <v>-41558585.399999999</v>
      </c>
      <c r="K128" s="290">
        <f>'ANTICIPOS USUARIOS'!C15</f>
        <v>19678542</v>
      </c>
      <c r="L128" s="290">
        <f>-'ANTICIPOS USUARIOS'!C24</f>
        <v>1258817.5999999999</v>
      </c>
      <c r="O128" s="339"/>
      <c r="Q128" s="308"/>
      <c r="AG128" s="335"/>
    </row>
    <row r="129" spans="1:33" s="307" customFormat="1" ht="12" x14ac:dyDescent="0.25">
      <c r="B129" s="343">
        <v>5</v>
      </c>
      <c r="C129" s="344" t="s">
        <v>14</v>
      </c>
      <c r="D129" s="345">
        <f>'ANTICIPOS USUARIOS'!C7</f>
        <v>8596000</v>
      </c>
      <c r="E129" s="346">
        <v>0</v>
      </c>
      <c r="G129" s="341">
        <f>D51+N51</f>
        <v>0</v>
      </c>
      <c r="H129" s="342">
        <f>D32+N32</f>
        <v>10379542.050000001</v>
      </c>
      <c r="I129" s="290">
        <f>D89+N89</f>
        <v>0</v>
      </c>
      <c r="J129" s="290">
        <f t="shared" si="68"/>
        <v>-3964157</v>
      </c>
      <c r="K129" s="290">
        <f>'ANTICIPOS USUARIOS'!C16</f>
        <v>0</v>
      </c>
      <c r="L129" s="290">
        <f>-'ANTICIPOS USUARIOS'!C25</f>
        <v>41240</v>
      </c>
      <c r="O129" s="339"/>
      <c r="Q129" s="308"/>
      <c r="AG129" s="335"/>
    </row>
    <row r="130" spans="1:33" s="307" customFormat="1" ht="12.6" thickBot="1" x14ac:dyDescent="0.3">
      <c r="B130" s="326" t="s">
        <v>89</v>
      </c>
      <c r="C130" s="347" t="s">
        <v>113</v>
      </c>
      <c r="D130" s="299"/>
      <c r="E130" s="291">
        <f>'Recaudo Directa Occidente'!D26</f>
        <v>0</v>
      </c>
      <c r="G130" s="348"/>
      <c r="H130" s="349"/>
      <c r="I130" s="291"/>
      <c r="J130" s="291"/>
      <c r="K130" s="291"/>
      <c r="L130" s="291"/>
      <c r="O130" s="339"/>
      <c r="Q130" s="308"/>
      <c r="AG130" s="335"/>
    </row>
    <row r="131" spans="1:33" s="307" customFormat="1" ht="12.6" thickBot="1" x14ac:dyDescent="0.3">
      <c r="B131" s="350"/>
      <c r="C131" s="351" t="s">
        <v>2</v>
      </c>
      <c r="D131" s="352">
        <f>SUM(D125:D130)</f>
        <v>171184208.31999999</v>
      </c>
      <c r="E131" s="352">
        <f>SUM(E125:E130)</f>
        <v>0</v>
      </c>
      <c r="F131" s="353"/>
      <c r="G131" s="352">
        <f t="shared" ref="G131" si="69">SUM(G125:G129)</f>
        <v>31911021</v>
      </c>
      <c r="H131" s="352">
        <f>SUM(H125:H130)</f>
        <v>180470175.73000002</v>
      </c>
      <c r="I131" s="352">
        <f>SUM(I125:I130)</f>
        <v>0</v>
      </c>
      <c r="J131" s="352">
        <f>SUM(J125:J130)</f>
        <v>-73419442.849999994</v>
      </c>
      <c r="K131" s="352">
        <f>SUM(K125:K130)</f>
        <v>25734531</v>
      </c>
      <c r="L131" s="352">
        <f>SUM(L125:L130)</f>
        <v>1555312.15</v>
      </c>
      <c r="M131" s="353"/>
      <c r="N131" s="353"/>
      <c r="O131" s="354"/>
      <c r="P131" s="331"/>
      <c r="Q131" s="308"/>
      <c r="AG131" s="335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14909214066.019999</v>
      </c>
      <c r="E142" s="110">
        <f>'Recaudo EAAB Reciprocidad'!D21+'Recaudo EAAB + Ciud Limp'!D21+'Recaudo Directa Occidente'!D21+'Recaudo ENEL'!D21+'Recaudo ENERBIT'!D21</f>
        <v>14881810905</v>
      </c>
      <c r="F142" s="110">
        <f>D28+N28</f>
        <v>30588071.020000003</v>
      </c>
      <c r="G142" s="110">
        <f>D66+N66</f>
        <v>-3833780</v>
      </c>
      <c r="H142" s="110">
        <f>D85+N85</f>
        <v>0</v>
      </c>
      <c r="I142" s="110">
        <f>('REPORTE RECAUDO x BANCO'!E62+'REPORTE RECAUDO x BANCO'!E63+'REPORTE RECAUDO x BANCO'!E75)*-1</f>
        <v>0</v>
      </c>
      <c r="J142" s="110">
        <f t="shared" ref="J142:K146" si="70">G125</f>
        <v>648870</v>
      </c>
      <c r="K142" s="111">
        <f t="shared" si="70"/>
        <v>30588071.020000003</v>
      </c>
      <c r="L142" s="589">
        <f>D142-E142-F142-G142-J142-H142-I142</f>
        <v>-1.4528632164001465E-6</v>
      </c>
      <c r="M142" s="1" t="b">
        <f t="shared" ref="M142:M147" si="71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11364818339.82</v>
      </c>
      <c r="E143" s="18">
        <f>'Recaudo EAAB Reciprocidad'!D22+'Recaudo EAAB + Ciud Limp'!D22+'Recaudo Directa Occidente'!D22+'Recaudo ENEL'!D22+'Recaudo ENERBIT'!D22</f>
        <v>11279865753</v>
      </c>
      <c r="F143" s="18">
        <f>D29+N29</f>
        <v>95705711.270000011</v>
      </c>
      <c r="G143" s="18">
        <f>D67+N67</f>
        <v>-21803648.449999999</v>
      </c>
      <c r="H143" s="18">
        <f>D86+N86</f>
        <v>0</v>
      </c>
      <c r="I143" s="18">
        <f>('REPORTE RECAUDO x BANCO'!E64+'REPORTE RECAUDO x BANCO'!E65+'REPORTE RECAUDO x BANCO'!E66+'REPORTE RECAUDO x BANCO'!E76)</f>
        <v>1345550</v>
      </c>
      <c r="J143" s="18">
        <f>G126</f>
        <v>9704974</v>
      </c>
      <c r="K143" s="83">
        <f>H126</f>
        <v>95705711.270000011</v>
      </c>
      <c r="L143" s="589">
        <f>D143-E143-F143-G143-J143-H143-I143</f>
        <v>-3.166496753692627E-7</v>
      </c>
      <c r="M143" s="1" t="b">
        <f t="shared" si="71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8856863469.3200016</v>
      </c>
      <c r="E144" s="18">
        <f>'Recaudo EAAB Reciprocidad'!D23+'Recaudo EAAB + Ciud Limp'!D23+'Recaudo Directa Occidente'!D23+'Recaudo ENEL'!D23+'Recaudo ENERBIT'!D23</f>
        <v>8844067825</v>
      </c>
      <c r="F144" s="18">
        <f>D30+N30</f>
        <v>14590494.319999998</v>
      </c>
      <c r="G144" s="18">
        <f>D68+N68</f>
        <v>-2259272</v>
      </c>
      <c r="H144" s="18">
        <f>D87+N87</f>
        <v>0</v>
      </c>
      <c r="I144" s="18">
        <f>('REPORTE RECAUDO x BANCO'!E67+'REPORTE RECAUDO x BANCO'!E68+'REPORTE RECAUDO x BANCO'!E77)</f>
        <v>464422</v>
      </c>
      <c r="J144" s="18">
        <f>G127</f>
        <v>0</v>
      </c>
      <c r="K144" s="83">
        <f t="shared" si="70"/>
        <v>14590494.319999998</v>
      </c>
      <c r="L144" s="589">
        <f>D144-E144-F144-G144-J144-H144-I144</f>
        <v>1.603737473487854E-6</v>
      </c>
      <c r="M144" s="1" t="b">
        <f t="shared" si="7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10541516837.669998</v>
      </c>
      <c r="E145" s="18">
        <f>'Recaudo EAAB Reciprocidad'!D24+'Recaudo EAAB + Ciud Limp'!D24+'Recaudo Directa Occidente'!D24+'Recaudo ENEL'!D24+'Recaudo ENERBIT'!D24</f>
        <v>10532093305</v>
      </c>
      <c r="F145" s="18">
        <f>D31+N31</f>
        <v>29206357.07</v>
      </c>
      <c r="G145" s="18">
        <f>D69+N69</f>
        <v>-41558585.399999999</v>
      </c>
      <c r="H145" s="18">
        <f>D88+N88</f>
        <v>0</v>
      </c>
      <c r="I145" s="18">
        <f>('REPORTE RECAUDO x BANCO'!E69+'REPORTE RECAUDO x BANCO'!E70+'REPORTE RECAUDO x BANCO'!E71+'REPORTE RECAUDO x BANCO'!E78)</f>
        <v>218584</v>
      </c>
      <c r="J145" s="18">
        <f t="shared" si="70"/>
        <v>21557177</v>
      </c>
      <c r="K145" s="83">
        <f>H128</f>
        <v>29206357.07</v>
      </c>
      <c r="L145" s="589">
        <f t="shared" ref="L145:L147" si="72">D145-E145-F145-G145-J145-H145-I145</f>
        <v>-1.8328428268432617E-6</v>
      </c>
      <c r="M145" s="1" t="b">
        <f t="shared" si="7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7571644603.0500002</v>
      </c>
      <c r="E146" s="18">
        <f>'Recaudo EAAB Reciprocidad'!D25+'Recaudo EAAB + Ciud Limp'!D25+'Recaudo Directa Occidente'!D25+'Recaudo ENEL'!D25+'Recaudo ENERBIT'!D25</f>
        <v>7564541998</v>
      </c>
      <c r="F146" s="134">
        <f>D32+N32</f>
        <v>10379542.050000001</v>
      </c>
      <c r="G146" s="134">
        <f>D70+N70</f>
        <v>-3964157</v>
      </c>
      <c r="H146" s="134">
        <f>D89+N89</f>
        <v>0</v>
      </c>
      <c r="I146" s="134">
        <f>('REPORTE RECAUDO x BANCO'!E72+'REPORTE RECAUDO x BANCO'!E73+'REPORTE RECAUDO x BANCO'!E79)</f>
        <v>687220</v>
      </c>
      <c r="J146" s="134">
        <f t="shared" si="70"/>
        <v>0</v>
      </c>
      <c r="K146" s="136">
        <f t="shared" si="70"/>
        <v>10379542.050000001</v>
      </c>
      <c r="L146" s="589">
        <f t="shared" si="72"/>
        <v>1.8998980522155762E-7</v>
      </c>
      <c r="M146" s="1" t="b">
        <f t="shared" si="7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53244057315.879997</v>
      </c>
      <c r="E147" s="47">
        <f>SUM(E142:E146)</f>
        <v>53102379786</v>
      </c>
      <c r="F147" s="47">
        <f t="shared" ref="F147:K147" si="73">SUM(F142:F146)</f>
        <v>180470175.73000002</v>
      </c>
      <c r="G147" s="47">
        <f t="shared" si="73"/>
        <v>-73419442.849999994</v>
      </c>
      <c r="H147" s="47">
        <f t="shared" si="73"/>
        <v>0</v>
      </c>
      <c r="I147" s="47">
        <f t="shared" si="73"/>
        <v>2715776</v>
      </c>
      <c r="J147" s="47">
        <f t="shared" si="73"/>
        <v>31911021</v>
      </c>
      <c r="K147" s="47">
        <f t="shared" si="73"/>
        <v>180470175.73000002</v>
      </c>
      <c r="L147" s="589">
        <f t="shared" si="72"/>
        <v>-2.7716159820556641E-6</v>
      </c>
      <c r="M147" s="1" t="b">
        <f t="shared" si="71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7"/>
      <c r="E154" s="96"/>
      <c r="F154" s="307"/>
      <c r="G154" s="307"/>
      <c r="H154" s="307"/>
      <c r="K154" s="580"/>
      <c r="N154" s="24"/>
      <c r="O154" s="24"/>
      <c r="Q154" s="24"/>
      <c r="T154" s="24"/>
    </row>
    <row r="155" spans="1:20" x14ac:dyDescent="0.2">
      <c r="D155" s="307"/>
      <c r="K155" s="581"/>
      <c r="N155" s="24"/>
      <c r="O155" s="24"/>
      <c r="Q155" s="24"/>
      <c r="T155" s="24"/>
    </row>
    <row r="156" spans="1:20" x14ac:dyDescent="0.2">
      <c r="D156" s="580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5 K104:K106 AD104:AD108 K108 M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B1" sqref="B1"/>
    </sheetView>
  </sheetViews>
  <sheetFormatPr baseColWidth="10" defaultRowHeight="13.2" x14ac:dyDescent="0.25"/>
  <cols>
    <col min="1" max="1" width="3" customWidth="1"/>
    <col min="2" max="2" width="4.21875" bestFit="1" customWidth="1"/>
    <col min="3" max="4" width="16.777343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6" bestFit="1" customWidth="1"/>
    <col min="16" max="16" width="14.44140625" customWidth="1"/>
    <col min="17" max="17" width="12.554687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Reciprocidad'!D21+'Recaudo EAAB + Ciud Limp'!D21+'Recaudo Directa Occidente'!D21+'Recaudo ENEL'!D21+'Recaudo ENERBIT'!D21</f>
        <v>14881810905</v>
      </c>
      <c r="D3" s="294">
        <f>'CONSOLIDADO_TOTAL RECAUDO'!G125</f>
        <v>648870</v>
      </c>
      <c r="E3" s="294">
        <f>'CONSOLIDADO_TOTAL RECAUDO'!D28+'CONSOLIDADO_TOTAL RECAUDO'!N28</f>
        <v>30588071.020000003</v>
      </c>
      <c r="F3" s="294">
        <f>'CONSOLIDADO_TOTAL RECAUDO'!I142</f>
        <v>0</v>
      </c>
      <c r="G3" s="294">
        <f>'CONSOLIDADO_TOTAL RECAUDO'!H142</f>
        <v>0</v>
      </c>
      <c r="H3" s="342">
        <f>SUM(C3:G3)</f>
        <v>14913047846.02</v>
      </c>
      <c r="I3" s="293">
        <f>'CONSOLIDADO_TOTAL RECAUDO'!D104</f>
        <v>14842425135.769999</v>
      </c>
      <c r="J3" s="294">
        <f>'CONSOLIDADO_TOTAL RECAUDO'!N104</f>
        <v>19931693.030000001</v>
      </c>
      <c r="K3" s="294">
        <f>'CONSOLIDADO_TOTAL RECAUDO'!D125</f>
        <v>46857237.219999999</v>
      </c>
      <c r="L3" s="355">
        <f>'CONSOLIDADO_TOTAL RECAUDO'!E125</f>
        <v>0</v>
      </c>
      <c r="M3" s="294">
        <f>-'CONSOLIDADO_TOTAL RECAUDO'!D66-'CONSOLIDADO_TOTAL RECAUDO'!N66</f>
        <v>3833780</v>
      </c>
      <c r="N3" s="290">
        <f>SUM(I3:M3)</f>
        <v>14913047846.019999</v>
      </c>
      <c r="O3" s="356">
        <f>H3-N3</f>
        <v>0</v>
      </c>
      <c r="P3" s="1" t="b">
        <f t="shared" ref="P3:P9" si="0">INT(O3)=0</f>
        <v>1</v>
      </c>
    </row>
    <row r="4" spans="2:16" s="357" customFormat="1" x14ac:dyDescent="0.25">
      <c r="B4" s="316">
        <v>2</v>
      </c>
      <c r="C4" s="294">
        <f>'Recaudo EAAB Reciprocidad'!D22+'Recaudo EAAB + Ciud Limp'!D22+'Recaudo Directa Occidente'!D22+'Recaudo ENEL'!D22+'Recaudo ENERBIT'!D22</f>
        <v>11279865753</v>
      </c>
      <c r="D4" s="294">
        <f>'CONSOLIDADO_TOTAL RECAUDO'!G126</f>
        <v>9704974</v>
      </c>
      <c r="E4" s="294">
        <f>'CONSOLIDADO_TOTAL RECAUDO'!D29+'CONSOLIDADO_TOTAL RECAUDO'!N29</f>
        <v>95705711.270000011</v>
      </c>
      <c r="F4" s="294">
        <f>'CONSOLIDADO_TOTAL RECAUDO'!I143</f>
        <v>1345550</v>
      </c>
      <c r="G4" s="294">
        <f>'CONSOLIDADO_TOTAL RECAUDO'!H143</f>
        <v>0</v>
      </c>
      <c r="H4" s="342">
        <f t="shared" ref="H4:H8" si="1">SUM(C4:G4)</f>
        <v>11386621988.27</v>
      </c>
      <c r="I4" s="293">
        <f>'CONSOLIDADO_TOTAL RECAUDO'!D105</f>
        <v>11302637604.959999</v>
      </c>
      <c r="J4" s="294">
        <f>'CONSOLIDADO_TOTAL RECAUDO'!N105</f>
        <v>9905072.7599999998</v>
      </c>
      <c r="K4" s="294">
        <f>'CONSOLIDADO_TOTAL RECAUDO'!D126</f>
        <v>52275662.099999994</v>
      </c>
      <c r="L4" s="355">
        <f>'CONSOLIDADO_TOTAL RECAUDO'!E126</f>
        <v>0</v>
      </c>
      <c r="M4" s="294">
        <f>-'CONSOLIDADO_TOTAL RECAUDO'!D67-'CONSOLIDADO_TOTAL RECAUDO'!N67</f>
        <v>21803648.449999999</v>
      </c>
      <c r="N4" s="320">
        <f>SUM(I4:M4)</f>
        <v>11386621988.27</v>
      </c>
      <c r="O4" s="356">
        <f t="shared" ref="O4:O6" si="2">H4-N4</f>
        <v>0</v>
      </c>
      <c r="P4" s="1" t="b">
        <f t="shared" si="0"/>
        <v>1</v>
      </c>
    </row>
    <row r="5" spans="2:16" s="357" customFormat="1" x14ac:dyDescent="0.25">
      <c r="B5" s="316">
        <v>3</v>
      </c>
      <c r="C5" s="294">
        <f>'Recaudo EAAB Reciprocidad'!D23+'Recaudo EAAB + Ciud Limp'!D23+'Recaudo Directa Occidente'!D23+'Recaudo ENEL'!D23+'Recaudo ENERBIT'!D23</f>
        <v>8844067825</v>
      </c>
      <c r="D5" s="294">
        <f>'CONSOLIDADO_TOTAL RECAUDO'!G127</f>
        <v>0</v>
      </c>
      <c r="E5" s="294">
        <f>'CONSOLIDADO_TOTAL RECAUDO'!D30+'CONSOLIDADO_TOTAL RECAUDO'!N30</f>
        <v>14590494.319999998</v>
      </c>
      <c r="F5" s="294">
        <f>'CONSOLIDADO_TOTAL RECAUDO'!I144</f>
        <v>464422</v>
      </c>
      <c r="G5" s="294">
        <f>'CONSOLIDADO_TOTAL RECAUDO'!H144</f>
        <v>0</v>
      </c>
      <c r="H5" s="342">
        <f t="shared" si="1"/>
        <v>8859122741.3199997</v>
      </c>
      <c r="I5" s="293">
        <f>'CONSOLIDADO_TOTAL RECAUDO'!D106</f>
        <v>8823787300.3700008</v>
      </c>
      <c r="J5" s="294">
        <f>'CONSOLIDADO_TOTAL RECAUDO'!N106</f>
        <v>19321799.949999999</v>
      </c>
      <c r="K5" s="294">
        <f>'CONSOLIDADO_TOTAL RECAUDO'!D127</f>
        <v>13754369</v>
      </c>
      <c r="L5" s="355">
        <f>'CONSOLIDADO_TOTAL RECAUDO'!E127</f>
        <v>0</v>
      </c>
      <c r="M5" s="294">
        <f>-'CONSOLIDADO_TOTAL RECAUDO'!D68-'CONSOLIDADO_TOTAL RECAUDO'!N68</f>
        <v>2259272</v>
      </c>
      <c r="N5" s="320">
        <f>SUM(I5:M5)</f>
        <v>8859122741.3200016</v>
      </c>
      <c r="O5" s="356">
        <f>H5-N5</f>
        <v>0</v>
      </c>
      <c r="P5" s="1" t="b">
        <f t="shared" si="0"/>
        <v>1</v>
      </c>
    </row>
    <row r="6" spans="2:16" s="357" customFormat="1" x14ac:dyDescent="0.25">
      <c r="B6" s="316">
        <v>4</v>
      </c>
      <c r="C6" s="294">
        <f>'Recaudo EAAB Reciprocidad'!D24+'Recaudo EAAB + Ciud Limp'!D24+'Recaudo Directa Occidente'!D24+'Recaudo ENEL'!D24+'Recaudo ENERBIT'!D24</f>
        <v>10532093305</v>
      </c>
      <c r="D6" s="294">
        <f>'CONSOLIDADO_TOTAL RECAUDO'!G128</f>
        <v>21557177</v>
      </c>
      <c r="E6" s="294">
        <f>'CONSOLIDADO_TOTAL RECAUDO'!D31+'CONSOLIDADO_TOTAL RECAUDO'!N31</f>
        <v>29206357.07</v>
      </c>
      <c r="F6" s="294">
        <f>'CONSOLIDADO_TOTAL RECAUDO'!I145</f>
        <v>218584</v>
      </c>
      <c r="G6" s="294">
        <f>'CONSOLIDADO_TOTAL RECAUDO'!H145</f>
        <v>0</v>
      </c>
      <c r="H6" s="342">
        <f t="shared" si="1"/>
        <v>10583075423.07</v>
      </c>
      <c r="I6" s="293">
        <f>'CONSOLIDADO_TOTAL RECAUDO'!D107</f>
        <v>10483172762.089998</v>
      </c>
      <c r="J6" s="294">
        <f>'CONSOLIDADO_TOTAL RECAUDO'!N107</f>
        <v>8643135.5800000001</v>
      </c>
      <c r="K6" s="294">
        <f>'CONSOLIDADO_TOTAL RECAUDO'!D128</f>
        <v>49700940</v>
      </c>
      <c r="L6" s="355">
        <f>'CONSOLIDADO_TOTAL RECAUDO'!E128</f>
        <v>0</v>
      </c>
      <c r="M6" s="294">
        <f>-'CONSOLIDADO_TOTAL RECAUDO'!D69-'CONSOLIDADO_TOTAL RECAUDO'!N69</f>
        <v>41558585.399999999</v>
      </c>
      <c r="N6" s="320">
        <f t="shared" ref="N6:N7" si="3">SUM(I6:M6)</f>
        <v>10583075423.069998</v>
      </c>
      <c r="O6" s="356">
        <f t="shared" si="2"/>
        <v>0</v>
      </c>
      <c r="P6" s="1" t="b">
        <f t="shared" si="0"/>
        <v>1</v>
      </c>
    </row>
    <row r="7" spans="2:16" s="357" customFormat="1" x14ac:dyDescent="0.25">
      <c r="B7" s="316">
        <v>5</v>
      </c>
      <c r="C7" s="294">
        <f>'Recaudo EAAB Reciprocidad'!D25+'Recaudo EAAB + Ciud Limp'!D25+'Recaudo Directa Occidente'!D25+'Recaudo ENEL'!D25+'Recaudo ENERBIT'!D25</f>
        <v>7564541998</v>
      </c>
      <c r="D7" s="294">
        <f>'CONSOLIDADO_TOTAL RECAUDO'!G129</f>
        <v>0</v>
      </c>
      <c r="E7" s="294">
        <f>'CONSOLIDADO_TOTAL RECAUDO'!D32+'CONSOLIDADO_TOTAL RECAUDO'!N32</f>
        <v>10379542.050000001</v>
      </c>
      <c r="F7" s="294">
        <f>'CONSOLIDADO_TOTAL RECAUDO'!I146</f>
        <v>687220</v>
      </c>
      <c r="G7" s="294">
        <f>'CONSOLIDADO_TOTAL RECAUDO'!H146</f>
        <v>0</v>
      </c>
      <c r="H7" s="342">
        <f>SUM(C7:G7)</f>
        <v>7575608760.0500002</v>
      </c>
      <c r="I7" s="293">
        <f>'CONSOLIDADO_TOTAL RECAUDO'!D108</f>
        <v>7550668664.9899998</v>
      </c>
      <c r="J7" s="294">
        <f>'CONSOLIDADO_TOTAL RECAUDO'!N108</f>
        <v>12379938.060000001</v>
      </c>
      <c r="K7" s="294">
        <f>'CONSOLIDADO_TOTAL RECAUDO'!D129</f>
        <v>8596000</v>
      </c>
      <c r="L7" s="355">
        <f>'CONSOLIDADO_TOTAL RECAUDO'!E129</f>
        <v>0</v>
      </c>
      <c r="M7" s="294">
        <f>-'CONSOLIDADO_TOTAL RECAUDO'!D70-'CONSOLIDADO_TOTAL RECAUDO'!N70</f>
        <v>3964157</v>
      </c>
      <c r="N7" s="320">
        <f t="shared" si="3"/>
        <v>7575608760.0500002</v>
      </c>
      <c r="O7" s="356">
        <f>H7-N7</f>
        <v>0</v>
      </c>
      <c r="P7" s="1" t="b">
        <f t="shared" si="0"/>
        <v>1</v>
      </c>
    </row>
    <row r="8" spans="2:16" s="357" customFormat="1" ht="13.8" thickBot="1" x14ac:dyDescent="0.3">
      <c r="B8" s="343" t="s">
        <v>89</v>
      </c>
      <c r="C8" s="358">
        <f>'Recaudo EAAB Reciprocidad'!D26+'Recaudo EAAB + Ciud Limp'!D26+'Recaudo Directa Occidente'!D26+'Recaudo ENEL'!D26+'Recaudo ENERBIT'!D26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'CONSOLIDADO_TOTAL RECAUDO'!E130</f>
        <v>0</v>
      </c>
      <c r="M8" s="358">
        <v>0</v>
      </c>
      <c r="N8" s="360">
        <f>SUM(I8:L8)-M8</f>
        <v>0</v>
      </c>
      <c r="O8" s="356">
        <f>H8-N8</f>
        <v>0</v>
      </c>
      <c r="P8" s="1" t="b">
        <f t="shared" si="0"/>
        <v>1</v>
      </c>
    </row>
    <row r="9" spans="2:16" s="357" customFormat="1" ht="13.8" thickBot="1" x14ac:dyDescent="0.3">
      <c r="B9" s="329"/>
      <c r="C9" s="292">
        <f>SUM(C3:C8)</f>
        <v>53102379786</v>
      </c>
      <c r="D9" s="292">
        <f t="shared" ref="D9:L9" si="4">SUM(D3:D8)</f>
        <v>31911021</v>
      </c>
      <c r="E9" s="292">
        <f t="shared" si="4"/>
        <v>180470175.73000002</v>
      </c>
      <c r="F9" s="292">
        <f t="shared" si="4"/>
        <v>2715776</v>
      </c>
      <c r="G9" s="292">
        <f t="shared" si="4"/>
        <v>0</v>
      </c>
      <c r="H9" s="292">
        <f t="shared" si="4"/>
        <v>53317476758.730003</v>
      </c>
      <c r="I9" s="292">
        <f t="shared" si="4"/>
        <v>53002691468.179993</v>
      </c>
      <c r="J9" s="292">
        <f t="shared" si="4"/>
        <v>70181639.379999995</v>
      </c>
      <c r="K9" s="292">
        <f t="shared" si="4"/>
        <v>171184208.31999999</v>
      </c>
      <c r="L9" s="292">
        <f t="shared" si="4"/>
        <v>0</v>
      </c>
      <c r="M9" s="292">
        <f>SUM(M3:M8)</f>
        <v>73419442.849999994</v>
      </c>
      <c r="N9" s="292">
        <f>SUM(N3:N8)</f>
        <v>53317476758.730003</v>
      </c>
      <c r="O9" s="361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  <c r="M12" s="357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53102379786</v>
      </c>
      <c r="D14" s="212"/>
    </row>
    <row r="15" spans="2:16" x14ac:dyDescent="0.25">
      <c r="C15" s="249" t="b">
        <f>C14=C9</f>
        <v>1</v>
      </c>
    </row>
    <row r="16" spans="2:16" x14ac:dyDescent="0.25">
      <c r="C16" s="357"/>
    </row>
    <row r="18" spans="3:18" ht="13.8" thickBot="1" x14ac:dyDescent="0.3">
      <c r="D18" s="697" t="s">
        <v>268</v>
      </c>
      <c r="E18" s="697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202</v>
      </c>
      <c r="D20" s="688">
        <f>VALIDACION_RECIP!C9</f>
        <v>0</v>
      </c>
      <c r="E20" s="688">
        <f>VALIDACION_RECIP!D9</f>
        <v>309350</v>
      </c>
      <c r="F20" s="688">
        <f>VALIDACION_RECIP!E9</f>
        <v>13851564.609999998</v>
      </c>
      <c r="G20" s="688">
        <f>VALIDACION_RECIP!F9</f>
        <v>0</v>
      </c>
      <c r="H20" s="688">
        <f>VALIDACION_RECIP!G9</f>
        <v>0</v>
      </c>
      <c r="I20" s="688">
        <f>VALIDACION_RECIP!H9</f>
        <v>14160914.609999998</v>
      </c>
      <c r="J20" s="688">
        <f>VALIDACION_RECIP!I9</f>
        <v>13606834.609999998</v>
      </c>
      <c r="K20" s="688">
        <f>VALIDACION_RECIP!J9</f>
        <v>0</v>
      </c>
      <c r="L20" s="688">
        <f>VALIDACION_RECIP!K9</f>
        <v>0</v>
      </c>
      <c r="M20" s="688">
        <f>VALIDACION_RECIP!L9</f>
        <v>0</v>
      </c>
      <c r="N20" s="688">
        <f>VALIDACION_RECIP!M9</f>
        <v>554080</v>
      </c>
      <c r="O20" s="688">
        <f>VALIDACION_RECIP!N9</f>
        <v>14160914.609999998</v>
      </c>
    </row>
    <row r="21" spans="3:18" x14ac:dyDescent="0.25">
      <c r="C21" s="167" t="s">
        <v>155</v>
      </c>
      <c r="D21" s="688">
        <f>VALIDACION_ENEL!C9</f>
        <v>50406458396</v>
      </c>
      <c r="E21" s="688">
        <f>VALIDACION_ENEL!D9</f>
        <v>30151870</v>
      </c>
      <c r="F21" s="688">
        <f>VALIDACION_ENEL!E9</f>
        <v>111465147.73</v>
      </c>
      <c r="G21" s="688">
        <f>VALIDACION_ENEL!F9</f>
        <v>2715776</v>
      </c>
      <c r="H21" s="688">
        <f>VALIDACION_ENEL!G9</f>
        <v>0</v>
      </c>
      <c r="I21" s="688">
        <f>VALIDACION_ENEL!H9</f>
        <v>50550791189.730003</v>
      </c>
      <c r="J21" s="688">
        <f>VALIDACION_ENEL!I9</f>
        <v>50322380909.650002</v>
      </c>
      <c r="K21" s="688">
        <f>VALIDACION_ENEL!J9</f>
        <v>49684982.099999994</v>
      </c>
      <c r="L21" s="688">
        <f>VALIDACION_ENEL!K9</f>
        <v>108311160.13</v>
      </c>
      <c r="M21" s="688">
        <f>VALIDACION_ENEL!L9</f>
        <v>0</v>
      </c>
      <c r="N21" s="688">
        <f>VALIDACION_ENEL!M9</f>
        <v>70414137.849999994</v>
      </c>
      <c r="O21" s="688">
        <f>VALIDACION_ENEL!N9</f>
        <v>50550791189.729996</v>
      </c>
    </row>
    <row r="22" spans="3:18" x14ac:dyDescent="0.25">
      <c r="C22" s="746" t="s">
        <v>324</v>
      </c>
      <c r="D22" s="688">
        <f>VALIDACION_ENERBIT!C9</f>
        <v>140424760</v>
      </c>
      <c r="E22" s="688">
        <f>VALIDACION_ENERBIT!D9</f>
        <v>0</v>
      </c>
      <c r="F22" s="688">
        <f>VALIDACION_ENERBIT!E9</f>
        <v>0</v>
      </c>
      <c r="G22" s="688">
        <f>VALIDACION_ENERBIT!F9</f>
        <v>0</v>
      </c>
      <c r="H22" s="688">
        <f>VALIDACION_ENERBIT!G9</f>
        <v>0</v>
      </c>
      <c r="I22" s="688">
        <f>VALIDACION_ENERBIT!H9</f>
        <v>140424760</v>
      </c>
      <c r="J22" s="688">
        <f>VALIDACION_ENERBIT!I9</f>
        <v>139510580</v>
      </c>
      <c r="K22" s="688">
        <f>VALIDACION_ENERBIT!J9</f>
        <v>0</v>
      </c>
      <c r="L22" s="688">
        <f>VALIDACION_ENERBIT!K9</f>
        <v>914180</v>
      </c>
      <c r="M22" s="688">
        <f>VALIDACION_ENERBIT!L9</f>
        <v>0</v>
      </c>
      <c r="N22" s="688">
        <f>VALIDACION_ENERBIT!M9</f>
        <v>0</v>
      </c>
      <c r="O22" s="688">
        <f>VALIDACION_ENERBIT!N9</f>
        <v>140424760</v>
      </c>
    </row>
    <row r="23" spans="3:18" x14ac:dyDescent="0.25">
      <c r="C23" s="212" t="s">
        <v>119</v>
      </c>
      <c r="D23" s="688">
        <f>VALIDACION_OCCIDENTE!C9</f>
        <v>2555496630</v>
      </c>
      <c r="E23" s="688">
        <f>VALIDACION_OCCIDENTE!D9</f>
        <v>1449801</v>
      </c>
      <c r="F23" s="688">
        <f>VALIDACION_OCCIDENTE!E9</f>
        <v>55153463.390000008</v>
      </c>
      <c r="G23" s="688">
        <f>VALIDACION_OCCIDENTE!F9</f>
        <v>0</v>
      </c>
      <c r="H23" s="688">
        <f>VALIDACION_OCCIDENTE!G9</f>
        <v>0</v>
      </c>
      <c r="I23" s="688">
        <f>VALIDACION_OCCIDENTE!H9</f>
        <v>2612099894.3899999</v>
      </c>
      <c r="J23" s="688">
        <f>VALIDACION_OCCIDENTE!I9</f>
        <v>2527193143.9200006</v>
      </c>
      <c r="K23" s="688">
        <f>VALIDACION_OCCIDENTE!J9</f>
        <v>20496657.280000001</v>
      </c>
      <c r="L23" s="688">
        <f>VALIDACION_OCCIDENTE!K9</f>
        <v>61958868.189999998</v>
      </c>
      <c r="M23" s="688">
        <f>VALIDACION_OCCIDENTE!L9</f>
        <v>0</v>
      </c>
      <c r="N23" s="688">
        <f>VALIDACION_OCCIDENTE!M9</f>
        <v>2451225</v>
      </c>
      <c r="O23" s="688">
        <f>VALIDACION_OCCIDENTE!N9</f>
        <v>2612099894.3899999</v>
      </c>
    </row>
    <row r="24" spans="3:18" x14ac:dyDescent="0.25">
      <c r="D24" s="698">
        <f>SUM(D20:D23)</f>
        <v>53102379786</v>
      </c>
      <c r="E24" s="141">
        <f t="shared" ref="E24:O24" si="5">SUM(E20:E23)</f>
        <v>31911021</v>
      </c>
      <c r="F24" s="141">
        <f>SUM(F20:F23)</f>
        <v>180470175.73000002</v>
      </c>
      <c r="G24" s="141">
        <f t="shared" si="5"/>
        <v>2715776</v>
      </c>
      <c r="H24" s="141">
        <f t="shared" si="5"/>
        <v>0</v>
      </c>
      <c r="I24" s="141">
        <f t="shared" si="5"/>
        <v>53317476758.730003</v>
      </c>
      <c r="J24" s="141">
        <f t="shared" si="5"/>
        <v>53002691468.18</v>
      </c>
      <c r="K24" s="141">
        <f t="shared" si="5"/>
        <v>70181639.379999995</v>
      </c>
      <c r="L24" s="141">
        <f t="shared" si="5"/>
        <v>171184208.31999999</v>
      </c>
      <c r="M24" s="141">
        <f t="shared" si="5"/>
        <v>0</v>
      </c>
      <c r="N24" s="141">
        <f t="shared" si="5"/>
        <v>73419442.849999994</v>
      </c>
      <c r="O24" s="141">
        <f t="shared" si="5"/>
        <v>53317476758.729996</v>
      </c>
    </row>
    <row r="25" spans="3:18" x14ac:dyDescent="0.25">
      <c r="D25" t="b">
        <f>D24=C9</f>
        <v>1</v>
      </c>
      <c r="E25" t="b">
        <f t="shared" ref="E25:O25" si="6">E24=D9</f>
        <v>1</v>
      </c>
      <c r="F25" t="b">
        <f>F24=E9</f>
        <v>1</v>
      </c>
      <c r="G25" t="b">
        <f t="shared" si="6"/>
        <v>1</v>
      </c>
      <c r="H25" t="b">
        <f t="shared" si="6"/>
        <v>1</v>
      </c>
      <c r="I25" t="b">
        <f t="shared" si="6"/>
        <v>1</v>
      </c>
      <c r="J25" t="b">
        <f>J24=I9</f>
        <v>1</v>
      </c>
      <c r="K25" t="b">
        <f t="shared" si="6"/>
        <v>1</v>
      </c>
      <c r="L25" t="b">
        <f t="shared" si="6"/>
        <v>1</v>
      </c>
      <c r="M25" t="b">
        <f t="shared" si="6"/>
        <v>1</v>
      </c>
      <c r="N25" t="b">
        <f t="shared" si="6"/>
        <v>1</v>
      </c>
      <c r="O25" t="b">
        <f t="shared" si="6"/>
        <v>1</v>
      </c>
    </row>
    <row r="27" spans="3:18" ht="13.8" thickBot="1" x14ac:dyDescent="0.3">
      <c r="D27" s="697" t="s">
        <v>269</v>
      </c>
    </row>
    <row r="28" spans="3:18" ht="57" customHeight="1" thickBot="1" x14ac:dyDescent="0.3">
      <c r="D28" s="11" t="s">
        <v>4</v>
      </c>
      <c r="E28" s="12" t="s">
        <v>7</v>
      </c>
      <c r="F28" s="12" t="s">
        <v>273</v>
      </c>
      <c r="G28" s="12" t="s">
        <v>190</v>
      </c>
      <c r="I28" s="12" t="s">
        <v>38</v>
      </c>
      <c r="J28" s="85" t="s">
        <v>271</v>
      </c>
      <c r="K28" s="65" t="s">
        <v>47</v>
      </c>
      <c r="L28" s="372" t="s">
        <v>56</v>
      </c>
      <c r="M28" s="73" t="s">
        <v>272</v>
      </c>
      <c r="N28" s="73" t="s">
        <v>171</v>
      </c>
      <c r="O28" s="28" t="s">
        <v>129</v>
      </c>
      <c r="P28" s="12" t="s">
        <v>190</v>
      </c>
      <c r="Q28" s="12" t="s">
        <v>270</v>
      </c>
    </row>
    <row r="29" spans="3:18" x14ac:dyDescent="0.25">
      <c r="C29" t="s">
        <v>202</v>
      </c>
      <c r="D29" s="688">
        <f>'REMUNERACION Reciprocidad EAAB'!D109</f>
        <v>13606834.609999998</v>
      </c>
      <c r="E29" s="688">
        <f>'REMUNERACION Reciprocidad EAAB'!N109</f>
        <v>0</v>
      </c>
      <c r="F29" s="688">
        <f>D29+E29</f>
        <v>13606834.609999998</v>
      </c>
      <c r="G29" s="699">
        <f>D20-F29</f>
        <v>-13606834.609999998</v>
      </c>
      <c r="H29" s="688"/>
      <c r="I29" s="688">
        <f>'REMUNERACION Reciprocidad EAAB'!D131</f>
        <v>0</v>
      </c>
      <c r="J29" s="688"/>
      <c r="K29" s="688">
        <f>'REMUNERACION Reciprocidad EAAB'!G131</f>
        <v>309350</v>
      </c>
      <c r="L29" s="688">
        <f>'REMUNERACION Reciprocidad EAAB'!H131</f>
        <v>13851564.609999998</v>
      </c>
      <c r="M29" s="688">
        <f>'REMUNERACION Reciprocidad EAAB'!I131</f>
        <v>0</v>
      </c>
      <c r="N29" s="688">
        <f>+'REMUNERACION Reciprocidad EAAB'!J131</f>
        <v>-554080</v>
      </c>
      <c r="O29" s="688">
        <f>'REMUNERACION Reciprocidad EAAB'!I147</f>
        <v>0</v>
      </c>
      <c r="P29" s="699">
        <f>I29+J29-K29-L29-M29-N29-O29</f>
        <v>-13606834.609999998</v>
      </c>
      <c r="Q29" s="700">
        <f>G29-P29</f>
        <v>0</v>
      </c>
      <c r="R29" s="141"/>
    </row>
    <row r="30" spans="3:18" x14ac:dyDescent="0.25">
      <c r="C30" s="167" t="s">
        <v>155</v>
      </c>
      <c r="D30" s="688">
        <f>REMUNERACION_ENEL!D109</f>
        <v>50322380909.650002</v>
      </c>
      <c r="E30" s="688">
        <f>REMUNERACION_ENEL!N109</f>
        <v>49684982.099999994</v>
      </c>
      <c r="F30" s="688">
        <f>D30+E30</f>
        <v>50372065891.75</v>
      </c>
      <c r="G30" s="701">
        <f>D21-F30</f>
        <v>34392504.25</v>
      </c>
      <c r="H30" s="688"/>
      <c r="I30" s="688">
        <f>REMUNERACION_ENEL!D131</f>
        <v>108311160.13</v>
      </c>
      <c r="J30" s="688"/>
      <c r="K30" s="688">
        <f>REMUNERACION_ENEL!G131</f>
        <v>30151870</v>
      </c>
      <c r="L30" s="688">
        <f>REMUNERACION_ENEL!H131</f>
        <v>111465147.73</v>
      </c>
      <c r="M30" s="688">
        <f>REMUNERACION_ENEL!I131</f>
        <v>0</v>
      </c>
      <c r="N30" s="688">
        <f>REMUNERACION_ENEL!J131</f>
        <v>-70414137.849999994</v>
      </c>
      <c r="O30" s="688">
        <f>REMUNERACION_ENEL!I147</f>
        <v>2715776</v>
      </c>
      <c r="P30" s="699">
        <f>I30+J30-K30-L30-M30-N30-O30</f>
        <v>34392504.249999985</v>
      </c>
      <c r="Q30" s="700">
        <f>G30-P30</f>
        <v>0</v>
      </c>
      <c r="R30" s="141"/>
    </row>
    <row r="31" spans="3:18" x14ac:dyDescent="0.25">
      <c r="C31" s="746" t="s">
        <v>324</v>
      </c>
      <c r="D31" s="688">
        <f>REMUNERACION_ENERBIT!D109</f>
        <v>139510580</v>
      </c>
      <c r="E31" s="688">
        <f>REMUNERACION_ENERBIT!N109</f>
        <v>0</v>
      </c>
      <c r="F31" s="688">
        <f>D31+E31</f>
        <v>139510580</v>
      </c>
      <c r="G31" s="701">
        <f>D22-F31</f>
        <v>914180</v>
      </c>
      <c r="H31" s="688"/>
      <c r="I31" s="688">
        <f>REMUNERACION_ENERBIT!D131</f>
        <v>914180</v>
      </c>
      <c r="J31" s="688"/>
      <c r="K31" s="688">
        <f>REMUNERACION_ENERBIT!G132</f>
        <v>0</v>
      </c>
      <c r="L31" s="688">
        <f>REMUNERACION_ENERBIT!H132</f>
        <v>0</v>
      </c>
      <c r="M31" s="688">
        <f>REMUNERACION_ENERBIT!I132</f>
        <v>0</v>
      </c>
      <c r="N31" s="688">
        <f>REMUNERACION_ENERBIT!J132</f>
        <v>0</v>
      </c>
      <c r="O31" s="688">
        <f>REMUNERACION_ENERBIT!K132</f>
        <v>0</v>
      </c>
      <c r="P31" s="699">
        <f t="shared" ref="P31:P32" si="7">I31+J31-K31-L31-M31-N31-O31</f>
        <v>914180</v>
      </c>
      <c r="Q31" s="700"/>
      <c r="R31" s="141"/>
    </row>
    <row r="32" spans="3:18" x14ac:dyDescent="0.25">
      <c r="C32" s="212" t="s">
        <v>119</v>
      </c>
      <c r="D32" s="688">
        <f>'REMUNERACION_OCCIDENTE_ Directa'!D109</f>
        <v>2527193143.9200006</v>
      </c>
      <c r="E32" s="688">
        <f>'REMUNERACION_OCCIDENTE_ Directa'!N109</f>
        <v>20496657.280000001</v>
      </c>
      <c r="F32" s="688">
        <f t="shared" ref="F32" si="8">D32+E32</f>
        <v>2547689801.2000008</v>
      </c>
      <c r="G32" s="701">
        <f>D23-F32</f>
        <v>7806828.7999992371</v>
      </c>
      <c r="H32" s="688"/>
      <c r="I32" s="688">
        <f>'REMUNERACION_OCCIDENTE_ Directa'!D131</f>
        <v>61958868.189999998</v>
      </c>
      <c r="J32" s="688">
        <f>'CONSOLIDADO_TOTAL RECAUDO'!E131</f>
        <v>0</v>
      </c>
      <c r="K32" s="688">
        <f>'REMUNERACION_OCCIDENTE_ Directa'!G131</f>
        <v>1449801</v>
      </c>
      <c r="L32" s="688">
        <f>'REMUNERACION_OCCIDENTE_ Directa'!H131</f>
        <v>55153463.390000008</v>
      </c>
      <c r="M32" s="688">
        <f>'REMUNERACION_OCCIDENTE_ Directa'!I131</f>
        <v>0</v>
      </c>
      <c r="N32" s="688">
        <f>'REMUNERACION_OCCIDENTE_ Directa'!J131</f>
        <v>-2451225</v>
      </c>
      <c r="O32" s="688">
        <f>'REMUNERACION_OCCIDENTE_ Directa'!I147</f>
        <v>0</v>
      </c>
      <c r="P32" s="699">
        <f t="shared" si="7"/>
        <v>7806828.7999999896</v>
      </c>
      <c r="Q32" s="700">
        <f>G32-P32</f>
        <v>-7.5250864028930664E-7</v>
      </c>
      <c r="R32" s="141"/>
    </row>
    <row r="33" spans="4:17" x14ac:dyDescent="0.25">
      <c r="D33" s="688">
        <f>SUM(D29:D32)</f>
        <v>53002691468.18</v>
      </c>
      <c r="E33" s="688">
        <f>SUM(E29:E32)</f>
        <v>70181639.379999995</v>
      </c>
      <c r="F33" s="702">
        <f t="shared" ref="F33" si="9">SUM(F29:F32)</f>
        <v>53072873107.559998</v>
      </c>
      <c r="G33" s="703">
        <f>D24-F33</f>
        <v>29506678.440002441</v>
      </c>
      <c r="H33" s="688"/>
      <c r="I33" s="688">
        <f>SUM(I29:I32)</f>
        <v>171184208.31999999</v>
      </c>
      <c r="J33" s="688">
        <f>SUM(J29:J32)</f>
        <v>0</v>
      </c>
      <c r="K33" s="688">
        <f>SUM(K29:K32)</f>
        <v>31911021</v>
      </c>
      <c r="L33" s="688">
        <f t="shared" ref="L33:N33" si="10">SUM(L29:L32)</f>
        <v>180470175.73000002</v>
      </c>
      <c r="M33" s="688">
        <f t="shared" si="10"/>
        <v>0</v>
      </c>
      <c r="N33" s="688">
        <f t="shared" si="10"/>
        <v>-73419442.849999994</v>
      </c>
      <c r="O33" s="688">
        <f>SUM(O29:O32)</f>
        <v>2715776</v>
      </c>
      <c r="P33" s="704">
        <f>SUM(P29:P32)</f>
        <v>29506678.439999975</v>
      </c>
      <c r="Q33" s="700">
        <f>SUM(Q29:Q32)</f>
        <v>-7.5250864028930664E-7</v>
      </c>
    </row>
    <row r="34" spans="4:17" x14ac:dyDescent="0.25">
      <c r="D34" s="688" t="b">
        <f>D33='CONSOLIDADO_TOTAL RECAUDO'!D109</f>
        <v>1</v>
      </c>
      <c r="E34" s="688" t="b">
        <f>E33='CONSOLIDADO_TOTAL RECAUDO'!N109</f>
        <v>1</v>
      </c>
      <c r="F34" s="688" t="b">
        <f>F33='CONSOLIDADO_TOTAL RECAUDO'!D109+'CONSOLIDADO_TOTAL RECAUDO'!N109</f>
        <v>1</v>
      </c>
      <c r="G34" s="688"/>
      <c r="H34" s="688"/>
      <c r="I34" s="688"/>
      <c r="J34" s="688"/>
      <c r="K34" s="688"/>
      <c r="L34" s="688"/>
      <c r="M34" s="688"/>
      <c r="N34" s="688"/>
      <c r="O34" s="688"/>
    </row>
    <row r="36" spans="4:17" x14ac:dyDescent="0.25">
      <c r="P36" s="141"/>
    </row>
    <row r="37" spans="4:17" x14ac:dyDescent="0.25">
      <c r="P37" s="593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B1" sqref="B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4.77734375" style="1" bestFit="1" customWidth="1"/>
    <col min="5" max="5" width="15.44140625" style="1" bestFit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1.218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1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'CONSOLIDADO_TOTAL RECAUDO'!D101</f>
        <v>46314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592" t="s">
        <v>0</v>
      </c>
      <c r="D7" s="548">
        <f>'CONSOLIDADO_TOTAL RECAUDO'!D102</f>
        <v>0.58333333333333337</v>
      </c>
      <c r="E7" s="45"/>
      <c r="F7" s="547" t="s">
        <v>27</v>
      </c>
      <c r="G7" s="549">
        <f>'CONSOLIDADO_TOTAL RECAUDO'!G102</f>
        <v>46296</v>
      </c>
      <c r="H7" s="45"/>
      <c r="I7" s="45"/>
      <c r="J7" s="547" t="s">
        <v>28</v>
      </c>
      <c r="K7" s="549">
        <f>'CONSOLIDADO_TOTAL RECAUDO'!K102</f>
        <v>46310</v>
      </c>
      <c r="L7" s="45"/>
      <c r="M7" s="45"/>
      <c r="N7" s="45"/>
      <c r="O7" s="55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14842425135.769999</v>
      </c>
      <c r="E9" s="66">
        <f>'CONSOLIDADO_TOTAL RECAUDO'!E104</f>
        <v>843638119.16000009</v>
      </c>
      <c r="F9" s="66">
        <f>'CONSOLIDADO_TOTAL RECAUDO'!F104</f>
        <v>469921887.31999999</v>
      </c>
      <c r="G9" s="66">
        <f>'CONSOLIDADO_TOTAL RECAUDO'!G104</f>
        <v>250044376.16</v>
      </c>
      <c r="H9" s="66">
        <f>'CONSOLIDADO_TOTAL RECAUDO'!H104</f>
        <v>4762998618.5900011</v>
      </c>
      <c r="I9" s="66">
        <f>'CONSOLIDADO_TOTAL RECAUDO'!I104</f>
        <v>158724902</v>
      </c>
      <c r="J9" s="66">
        <f>'CONSOLIDADO_TOTAL RECAUDO'!J104</f>
        <v>2153950828.1600003</v>
      </c>
      <c r="K9" s="30">
        <f>D9-E9-F9-G9-H9-I9-J9</f>
        <v>6203146404.3799973</v>
      </c>
      <c r="L9" s="66">
        <f>'CONSOLIDADO_TOTAL RECAUDO'!L104</f>
        <v>189185987</v>
      </c>
      <c r="M9" s="30">
        <f>K9-L9</f>
        <v>6013960417.3799973</v>
      </c>
      <c r="N9" s="66">
        <f>'CONSOLIDADO_TOTAL RECAUDO'!N104</f>
        <v>19931693.030000001</v>
      </c>
      <c r="O9" s="30">
        <f>M9+N9</f>
        <v>6033892110.409997</v>
      </c>
      <c r="Q9" s="4"/>
      <c r="S9" s="14">
        <v>1</v>
      </c>
      <c r="T9" s="61" t="s">
        <v>10</v>
      </c>
      <c r="U9" s="66">
        <f>'CONSOLIDADO_TOTAL RECAUDO'!U104</f>
        <v>1394522647.0799999</v>
      </c>
      <c r="V9" s="66">
        <f>'CONSOLIDADO_TOTAL RECAUDO'!V104</f>
        <v>1317649645.4300003</v>
      </c>
      <c r="W9" s="66">
        <f>'CONSOLIDADO_TOTAL RECAUDO'!W104</f>
        <v>6280056756.3500004</v>
      </c>
      <c r="X9" s="66">
        <f>'CONSOLIDADO_TOTAL RECAUDO'!X104</f>
        <v>2296152255.4400001</v>
      </c>
      <c r="Y9" s="66">
        <f>'CONSOLIDADO_TOTAL RECAUDO'!Y104</f>
        <v>259093051.75000003</v>
      </c>
      <c r="Z9" s="66">
        <f>'CONSOLIDADO_TOTAL RECAUDO'!Z104</f>
        <v>-189185987</v>
      </c>
      <c r="AA9" s="66">
        <f>'CONSOLIDADO_TOTAL RECAUDO'!AA104</f>
        <v>-27550.81</v>
      </c>
      <c r="AB9" s="66">
        <f>'CONSOLIDADO_TOTAL RECAUDO'!AB104</f>
        <v>19931693.030000001</v>
      </c>
      <c r="AC9" s="66">
        <f>'CONSOLIDADO_TOTAL RECAUDO'!AC104</f>
        <v>149.13</v>
      </c>
      <c r="AD9" s="66">
        <f>'CONSOLIDADO_TOTAL RECAUDO'!AD104</f>
        <v>-5344300549.9900007</v>
      </c>
      <c r="AE9" s="66">
        <f>'CONSOLIDADO_TOTAL RECAUDO'!AE104</f>
        <v>-3190349721.8300004</v>
      </c>
      <c r="AF9" s="69">
        <f>SUM(U9:AD9)</f>
        <v>6033892110.4100008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11302637604.959999</v>
      </c>
      <c r="E10" s="66">
        <f>'CONSOLIDADO_TOTAL RECAUDO'!E105</f>
        <v>879527684.89999998</v>
      </c>
      <c r="F10" s="66">
        <f>'CONSOLIDADO_TOTAL RECAUDO'!F105</f>
        <v>487125788.97000003</v>
      </c>
      <c r="G10" s="66">
        <f>'CONSOLIDADO_TOTAL RECAUDO'!G105</f>
        <v>257816032.50999999</v>
      </c>
      <c r="H10" s="66">
        <f>'CONSOLIDADO_TOTAL RECAUDO'!H105</f>
        <v>3596029847.4699998</v>
      </c>
      <c r="I10" s="66">
        <f>'CONSOLIDADO_TOTAL RECAUDO'!I105</f>
        <v>127396248.11999999</v>
      </c>
      <c r="J10" s="66">
        <f>'CONSOLIDADO_TOTAL RECAUDO'!J105</f>
        <v>-4217145526.9099998</v>
      </c>
      <c r="K10" s="31">
        <f t="shared" ref="K10:K13" si="0">D10-E10-F10-G10-H10-I10-J10</f>
        <v>10171887529.900002</v>
      </c>
      <c r="L10" s="66">
        <f>'CONSOLIDADO_TOTAL RECAUDO'!L105</f>
        <v>266580255</v>
      </c>
      <c r="M10" s="31">
        <f>K10-L10</f>
        <v>9905307274.9000015</v>
      </c>
      <c r="N10" s="66">
        <f>'CONSOLIDADO_TOTAL RECAUDO'!N105</f>
        <v>9905072.7599999998</v>
      </c>
      <c r="O10" s="31">
        <f t="shared" ref="O10:O13" si="1">M10+N10</f>
        <v>9915212347.6600018</v>
      </c>
      <c r="Q10" s="4"/>
      <c r="S10" s="16">
        <v>2</v>
      </c>
      <c r="T10" s="62" t="s">
        <v>11</v>
      </c>
      <c r="U10" s="66">
        <f>'CONSOLIDADO_TOTAL RECAUDO'!U105</f>
        <v>1119047468.5400002</v>
      </c>
      <c r="V10" s="66">
        <f>'CONSOLIDADO_TOTAL RECAUDO'!V105</f>
        <v>1074203306.97</v>
      </c>
      <c r="W10" s="66">
        <f>'CONSOLIDADO_TOTAL RECAUDO'!W105</f>
        <v>5100967940.6500006</v>
      </c>
      <c r="X10" s="66">
        <f>'CONSOLIDADO_TOTAL RECAUDO'!X105</f>
        <v>1726639219.6300001</v>
      </c>
      <c r="Y10" s="66">
        <f>'CONSOLIDADO_TOTAL RECAUDO'!Y105</f>
        <v>207852475.12</v>
      </c>
      <c r="Z10" s="66">
        <f>'CONSOLIDADO_TOTAL RECAUDO'!Z105</f>
        <v>-266580255</v>
      </c>
      <c r="AA10" s="66">
        <f>'CONSOLIDADO_TOTAL RECAUDO'!AA105</f>
        <v>-14301.8</v>
      </c>
      <c r="AB10" s="66">
        <f>'CONSOLIDADO_TOTAL RECAUDO'!AB105</f>
        <v>9905072.7599999998</v>
      </c>
      <c r="AC10" s="66">
        <f>'CONSOLIDADO_TOTAL RECAUDO'!AC105</f>
        <v>6703041.3899999997</v>
      </c>
      <c r="AD10" s="66">
        <f>'CONSOLIDADO_TOTAL RECAUDO'!AD105</f>
        <v>936488379.4000001</v>
      </c>
      <c r="AE10" s="66">
        <f>'CONSOLIDADO_TOTAL RECAUDO'!AE105</f>
        <v>-3280657147.5099998</v>
      </c>
      <c r="AF10" s="70">
        <f>SUM(U10:AD10)</f>
        <v>9915212347.6600018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8823787300.3700008</v>
      </c>
      <c r="E11" s="66">
        <f>'CONSOLIDADO_TOTAL RECAUDO'!E106</f>
        <v>569975770.48000002</v>
      </c>
      <c r="F11" s="66">
        <f>'CONSOLIDADO_TOTAL RECAUDO'!F106</f>
        <v>317801772.61000001</v>
      </c>
      <c r="G11" s="66">
        <f>'CONSOLIDADO_TOTAL RECAUDO'!G106</f>
        <v>168886539.52000001</v>
      </c>
      <c r="H11" s="66">
        <f>'CONSOLIDADO_TOTAL RECAUDO'!H106</f>
        <v>2431581352.7200003</v>
      </c>
      <c r="I11" s="66">
        <f>'CONSOLIDADO_TOTAL RECAUDO'!I106</f>
        <v>87065864.260000005</v>
      </c>
      <c r="J11" s="66">
        <f>'CONSOLIDADO_TOTAL RECAUDO'!J106</f>
        <v>-1288806337.0900002</v>
      </c>
      <c r="K11" s="31">
        <f t="shared" si="0"/>
        <v>6537282337.8700008</v>
      </c>
      <c r="L11" s="66">
        <f>'CONSOLIDADO_TOTAL RECAUDO'!L106</f>
        <v>154788535</v>
      </c>
      <c r="M11" s="31">
        <f>K11-L11</f>
        <v>6382493802.8700008</v>
      </c>
      <c r="N11" s="66">
        <f>'CONSOLIDADO_TOTAL RECAUDO'!N106</f>
        <v>19321799.949999999</v>
      </c>
      <c r="O11" s="31">
        <f t="shared" si="1"/>
        <v>6401815602.8200006</v>
      </c>
      <c r="Q11" s="4"/>
      <c r="S11" s="16">
        <v>3</v>
      </c>
      <c r="T11" s="62" t="s">
        <v>12</v>
      </c>
      <c r="U11" s="66">
        <f>'CONSOLIDADO_TOTAL RECAUDO'!U106</f>
        <v>764924627.74000001</v>
      </c>
      <c r="V11" s="66">
        <f>'CONSOLIDADO_TOTAL RECAUDO'!V106</f>
        <v>725933197.63</v>
      </c>
      <c r="W11" s="66">
        <f>'CONSOLIDADO_TOTAL RECAUDO'!W106</f>
        <v>3451348638.7399998</v>
      </c>
      <c r="X11" s="66">
        <f>'CONSOLIDADO_TOTAL RECAUDO'!X106</f>
        <v>1350181167.0999999</v>
      </c>
      <c r="Y11" s="66">
        <f>'CONSOLIDADO_TOTAL RECAUDO'!Y106</f>
        <v>142145147.17000002</v>
      </c>
      <c r="Z11" s="66">
        <f>'CONSOLIDADO_TOTAL RECAUDO'!Z106</f>
        <v>-154788535</v>
      </c>
      <c r="AA11" s="66">
        <f>'CONSOLIDADO_TOTAL RECAUDO'!AA106</f>
        <v>-79474.34</v>
      </c>
      <c r="AB11" s="66">
        <f>'CONSOLIDADO_TOTAL RECAUDO'!AB106</f>
        <v>19321799.949999999</v>
      </c>
      <c r="AC11" s="66">
        <f>'CONSOLIDADO_TOTAL RECAUDO'!AC106</f>
        <v>-41619.9</v>
      </c>
      <c r="AD11" s="66">
        <f>'CONSOLIDADO_TOTAL RECAUDO'!AD106</f>
        <v>102870653.73000026</v>
      </c>
      <c r="AE11" s="66">
        <f>'CONSOLIDADO_TOTAL RECAUDO'!AE106</f>
        <v>-1185935683.3599999</v>
      </c>
      <c r="AF11" s="70">
        <f>SUM(U11:AD11)</f>
        <v>6401815602.8199997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10483172762.089998</v>
      </c>
      <c r="E12" s="66">
        <f>'CONSOLIDADO_TOTAL RECAUDO'!E107</f>
        <v>605184325.43999994</v>
      </c>
      <c r="F12" s="66">
        <f>'CONSOLIDADO_TOTAL RECAUDO'!F107</f>
        <v>335542369.42999995</v>
      </c>
      <c r="G12" s="66">
        <f>'CONSOLIDADO_TOTAL RECAUDO'!G107</f>
        <v>178851000.16000003</v>
      </c>
      <c r="H12" s="66">
        <f>'CONSOLIDADO_TOTAL RECAUDO'!H107</f>
        <v>2396955034.98</v>
      </c>
      <c r="I12" s="66">
        <f>'CONSOLIDADO_TOTAL RECAUDO'!I107</f>
        <v>89656583.200000003</v>
      </c>
      <c r="J12" s="66">
        <f>'CONSOLIDADO_TOTAL RECAUDO'!J107</f>
        <v>61531953.689999998</v>
      </c>
      <c r="K12" s="31">
        <f t="shared" si="0"/>
        <v>6815451495.1899986</v>
      </c>
      <c r="L12" s="66">
        <f>'CONSOLIDADO_TOTAL RECAUDO'!L107</f>
        <v>120391083</v>
      </c>
      <c r="M12" s="31">
        <f>K12-L12</f>
        <v>6695060412.1899986</v>
      </c>
      <c r="N12" s="66">
        <f>'CONSOLIDADO_TOTAL RECAUDO'!N107</f>
        <v>8643135.5800000001</v>
      </c>
      <c r="O12" s="31">
        <f t="shared" si="1"/>
        <v>6703703547.7699986</v>
      </c>
      <c r="Q12" s="4"/>
      <c r="S12" s="16">
        <v>4</v>
      </c>
      <c r="T12" s="62" t="s">
        <v>13</v>
      </c>
      <c r="U12" s="66">
        <f>'CONSOLIDADO_TOTAL RECAUDO'!U107</f>
        <v>786078524.97000003</v>
      </c>
      <c r="V12" s="66">
        <f>'CONSOLIDADO_TOTAL RECAUDO'!V107</f>
        <v>750287945.0200001</v>
      </c>
      <c r="W12" s="66">
        <f>'CONSOLIDADO_TOTAL RECAUDO'!W107</f>
        <v>3882318283.6399999</v>
      </c>
      <c r="X12" s="66">
        <f>'CONSOLIDADO_TOTAL RECAUDO'!X107</f>
        <v>1602219713.7400002</v>
      </c>
      <c r="Y12" s="66">
        <f>'CONSOLIDADO_TOTAL RECAUDO'!Y107</f>
        <v>146500614.73000002</v>
      </c>
      <c r="Z12" s="66">
        <f>'CONSOLIDADO_TOTAL RECAUDO'!Z107</f>
        <v>-120391083</v>
      </c>
      <c r="AA12" s="66">
        <f>'CONSOLIDADO_TOTAL RECAUDO'!AA107</f>
        <v>31980.280000000002</v>
      </c>
      <c r="AB12" s="66">
        <f>'CONSOLIDADO_TOTAL RECAUDO'!AB107</f>
        <v>8643135.5800000001</v>
      </c>
      <c r="AC12" s="66">
        <f>'CONSOLIDADO_TOTAL RECAUDO'!AC107</f>
        <v>189.43</v>
      </c>
      <c r="AD12" s="66">
        <f>'CONSOLIDADO_TOTAL RECAUDO'!AD107</f>
        <v>-351985756.61999995</v>
      </c>
      <c r="AE12" s="66">
        <f>'CONSOLIDADO_TOTAL RECAUDO'!AE107</f>
        <v>-290453802.92999995</v>
      </c>
      <c r="AF12" s="70">
        <f>SUM(U12:AD12)</f>
        <v>6703703547.7700005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7550668664.9899998</v>
      </c>
      <c r="E13" s="66">
        <f>'CONSOLIDADO_TOTAL RECAUDO'!E108</f>
        <v>408526724.99000001</v>
      </c>
      <c r="F13" s="66">
        <f>'CONSOLIDADO_TOTAL RECAUDO'!F108</f>
        <v>227342341.28999999</v>
      </c>
      <c r="G13" s="66">
        <f>'CONSOLIDADO_TOTAL RECAUDO'!G108</f>
        <v>120932576.32000001</v>
      </c>
      <c r="H13" s="66">
        <f>'CONSOLIDADO_TOTAL RECAUDO'!H108</f>
        <v>1865958722.8900001</v>
      </c>
      <c r="I13" s="66">
        <f>'CONSOLIDADO_TOTAL RECAUDO'!I108</f>
        <v>62135019.5</v>
      </c>
      <c r="J13" s="66">
        <f>'CONSOLIDADO_TOTAL RECAUDO'!J108</f>
        <v>-1246473094.4099998</v>
      </c>
      <c r="K13" s="31">
        <f t="shared" si="0"/>
        <v>6112246374.4099998</v>
      </c>
      <c r="L13" s="66">
        <f>'CONSOLIDADO_TOTAL RECAUDO'!L108</f>
        <v>128990445</v>
      </c>
      <c r="M13" s="40">
        <f>K13-L13</f>
        <v>5983255929.4099998</v>
      </c>
      <c r="N13" s="66">
        <f>'CONSOLIDADO_TOTAL RECAUDO'!N108</f>
        <v>12379938.060000001</v>
      </c>
      <c r="O13" s="40">
        <f t="shared" si="1"/>
        <v>5995635867.4700003</v>
      </c>
      <c r="Q13" s="4"/>
      <c r="S13" s="19">
        <v>5</v>
      </c>
      <c r="T13" s="63" t="s">
        <v>14</v>
      </c>
      <c r="U13" s="66">
        <f>'CONSOLIDADO_TOTAL RECAUDO'!U108</f>
        <v>545248831.26999998</v>
      </c>
      <c r="V13" s="66">
        <f>'CONSOLIDADO_TOTAL RECAUDO'!V108</f>
        <v>513452677.79000002</v>
      </c>
      <c r="W13" s="66">
        <f>'CONSOLIDADO_TOTAL RECAUDO'!W108</f>
        <v>2643078043.1000004</v>
      </c>
      <c r="X13" s="66">
        <f>'CONSOLIDADO_TOTAL RECAUDO'!X108</f>
        <v>1215847345.4899998</v>
      </c>
      <c r="Y13" s="66">
        <f>'CONSOLIDADO_TOTAL RECAUDO'!Y108</f>
        <v>101388401.98999999</v>
      </c>
      <c r="Z13" s="66">
        <f>'CONSOLIDADO_TOTAL RECAUDO'!Z108</f>
        <v>-128990445</v>
      </c>
      <c r="AA13" s="66">
        <f>'CONSOLIDADO_TOTAL RECAUDO'!AA108</f>
        <v>10519.1</v>
      </c>
      <c r="AB13" s="66">
        <f>'CONSOLIDADO_TOTAL RECAUDO'!AB108</f>
        <v>12379938.060000001</v>
      </c>
      <c r="AC13" s="66">
        <f>'CONSOLIDADO_TOTAL RECAUDO'!AC108</f>
        <v>4.8600000000000003</v>
      </c>
      <c r="AD13" s="66">
        <f>'CONSOLIDADO_TOTAL RECAUDO'!AD108</f>
        <v>1093220550.8099999</v>
      </c>
      <c r="AE13" s="66">
        <f>'CONSOLIDADO_TOTAL RECAUDO'!AE108</f>
        <v>-153252543.60000002</v>
      </c>
      <c r="AF13" s="70">
        <f>SUM(U13:AD13)</f>
        <v>5995635867.4699993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53002691468.179993</v>
      </c>
      <c r="E14" s="43">
        <f t="shared" si="3"/>
        <v>3306852624.9700003</v>
      </c>
      <c r="F14" s="43">
        <f t="shared" si="3"/>
        <v>1837734159.6199999</v>
      </c>
      <c r="G14" s="43">
        <f t="shared" si="3"/>
        <v>976530524.66999996</v>
      </c>
      <c r="H14" s="43">
        <f t="shared" si="3"/>
        <v>15053523576.650002</v>
      </c>
      <c r="I14" s="43">
        <f t="shared" si="3"/>
        <v>524978617.07999998</v>
      </c>
      <c r="J14" s="43">
        <f t="shared" si="3"/>
        <v>-4536942176.5599995</v>
      </c>
      <c r="K14" s="32">
        <f t="shared" si="3"/>
        <v>35840014141.75</v>
      </c>
      <c r="L14" s="23">
        <f t="shared" si="3"/>
        <v>859936305</v>
      </c>
      <c r="M14" s="76">
        <f t="shared" si="3"/>
        <v>34980077836.75</v>
      </c>
      <c r="N14" s="23">
        <f t="shared" si="3"/>
        <v>70181639.379999995</v>
      </c>
      <c r="O14" s="76">
        <f t="shared" si="3"/>
        <v>35050259476.129997</v>
      </c>
      <c r="P14" s="2"/>
      <c r="Q14" s="4"/>
      <c r="S14" s="21"/>
      <c r="T14" s="22" t="s">
        <v>2</v>
      </c>
      <c r="U14" s="43">
        <f>SUM(U9:U13)</f>
        <v>4609822099.6000004</v>
      </c>
      <c r="V14" s="43">
        <f t="shared" ref="V14:AG14" si="4">SUM(V9:V13)</f>
        <v>4381526772.8400011</v>
      </c>
      <c r="W14" s="43">
        <f t="shared" si="4"/>
        <v>21357769662.480003</v>
      </c>
      <c r="X14" s="43">
        <f t="shared" si="4"/>
        <v>8191039701.3999996</v>
      </c>
      <c r="Y14" s="43">
        <f t="shared" si="4"/>
        <v>856979690.75999999</v>
      </c>
      <c r="Z14" s="43">
        <f t="shared" si="4"/>
        <v>-859936305</v>
      </c>
      <c r="AA14" s="43">
        <f t="shared" si="4"/>
        <v>-78827.569999999992</v>
      </c>
      <c r="AB14" s="43">
        <f t="shared" si="4"/>
        <v>70181639.379999995</v>
      </c>
      <c r="AC14" s="43">
        <f t="shared" si="4"/>
        <v>6661764.9099999992</v>
      </c>
      <c r="AD14" s="43">
        <f t="shared" ref="AD14" si="5">SUM(AD9:AD13)</f>
        <v>-3563706722.6699996</v>
      </c>
      <c r="AE14" s="43">
        <f>SUM(AE9:AE13)</f>
        <v>-8100648899.2300005</v>
      </c>
      <c r="AF14" s="68">
        <f t="shared" si="4"/>
        <v>35050259476.130005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39397137927.080009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46857237.219999999</v>
      </c>
      <c r="E30" s="111">
        <f>'CONSOLIDADO_TOTAL RECAUDO'!E125</f>
        <v>0</v>
      </c>
      <c r="G30" s="140">
        <f>'CONSOLIDADO_TOTAL RECAUDO'!G125</f>
        <v>648870</v>
      </c>
      <c r="H30" s="110">
        <f>'CONSOLIDADO_TOTAL RECAUDO'!H125</f>
        <v>30588071.020000003</v>
      </c>
      <c r="I30" s="111">
        <f>'CONSOLIDADO_TOTAL RECAUDO'!I125</f>
        <v>0</v>
      </c>
      <c r="J30" s="111">
        <f>'CONSOLIDADO_TOTAL RECAUDO'!J125</f>
        <v>-3833780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52275662.099999994</v>
      </c>
      <c r="E31" s="74">
        <f>'CONSOLIDADO_TOTAL RECAUDO'!E126</f>
        <v>0</v>
      </c>
      <c r="G31" s="82">
        <f>'CONSOLIDADO_TOTAL RECAUDO'!G126</f>
        <v>9704974</v>
      </c>
      <c r="H31" s="18">
        <f>'CONSOLIDADO_TOTAL RECAUDO'!H126</f>
        <v>95705711.270000011</v>
      </c>
      <c r="I31" s="83">
        <f>'CONSOLIDADO_TOTAL RECAUDO'!I126</f>
        <v>0</v>
      </c>
      <c r="J31" s="83">
        <f>'CONSOLIDADO_TOTAL RECAUDO'!J126</f>
        <v>-21803648.449999999</v>
      </c>
      <c r="K31" s="83">
        <f>'CONSOLIDADO_TOTAL RECAUDO'!K126</f>
        <v>6055989</v>
      </c>
      <c r="L31" s="83">
        <f>'CONSOLIDADO_TOTAL RECAUDO'!L126</f>
        <v>255254.55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13754369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14590494.319999998</v>
      </c>
      <c r="I32" s="83">
        <f>'CONSOLIDADO_TOTAL RECAUDO'!I127</f>
        <v>0</v>
      </c>
      <c r="J32" s="83">
        <f>'CONSOLIDADO_TOTAL RECAUDO'!J127</f>
        <v>-2259272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49700940</v>
      </c>
      <c r="E33" s="74">
        <f>'CONSOLIDADO_TOTAL RECAUDO'!E128</f>
        <v>0</v>
      </c>
      <c r="G33" s="82">
        <f>'CONSOLIDADO_TOTAL RECAUDO'!G128</f>
        <v>21557177</v>
      </c>
      <c r="H33" s="18">
        <f>'CONSOLIDADO_TOTAL RECAUDO'!H128</f>
        <v>29206357.07</v>
      </c>
      <c r="I33" s="83">
        <f>'CONSOLIDADO_TOTAL RECAUDO'!I128</f>
        <v>0</v>
      </c>
      <c r="J33" s="83">
        <f>'CONSOLIDADO_TOTAL RECAUDO'!J128</f>
        <v>-41558585.399999999</v>
      </c>
      <c r="K33" s="83">
        <f>'CONSOLIDADO_TOTAL RECAUDO'!K128</f>
        <v>19678542</v>
      </c>
      <c r="L33" s="83">
        <f>'CONSOLIDADO_TOTAL RECAUDO'!L128</f>
        <v>1258817.5999999999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8596000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10379542.050000001</v>
      </c>
      <c r="I34" s="83">
        <f>'CONSOLIDADO_TOTAL RECAUDO'!I129</f>
        <v>0</v>
      </c>
      <c r="J34" s="83">
        <f>'CONSOLIDADO_TOTAL RECAUDO'!J129</f>
        <v>-3964157</v>
      </c>
      <c r="K34" s="83">
        <f>'CONSOLIDADO_TOTAL RECAUDO'!K129</f>
        <v>0</v>
      </c>
      <c r="L34" s="83">
        <f>'CONSOLIDADO_TOTAL RECAUDO'!L129</f>
        <v>41240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171184208.31999999</v>
      </c>
      <c r="E36" s="107">
        <f>'CONSOLIDADO_TOTAL RECAUDO'!E131</f>
        <v>0</v>
      </c>
      <c r="F36" s="45"/>
      <c r="G36" s="107">
        <f t="shared" ref="G36" si="7">SUM(G30:G34)</f>
        <v>31911021</v>
      </c>
      <c r="H36" s="107">
        <f t="shared" ref="H36:L36" si="8">SUM(H30:H34)</f>
        <v>180470175.73000002</v>
      </c>
      <c r="I36" s="107">
        <f t="shared" si="8"/>
        <v>0</v>
      </c>
      <c r="J36" s="107">
        <f t="shared" ref="J36" si="9">SUM(J30:J34)</f>
        <v>-73419442.849999994</v>
      </c>
      <c r="K36" s="107">
        <f t="shared" si="8"/>
        <v>25734531</v>
      </c>
      <c r="L36" s="107">
        <f t="shared" si="8"/>
        <v>1555312.15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9" t="b">
        <f>D14='CONSOLIDADO_TOTAL RECAUDO'!D109</f>
        <v>1</v>
      </c>
      <c r="E44" s="269" t="b">
        <f>E14='CONSOLIDADO_TOTAL RECAUDO'!E109</f>
        <v>1</v>
      </c>
      <c r="F44" s="269" t="b">
        <f>F14='CONSOLIDADO_TOTAL RECAUDO'!F109</f>
        <v>1</v>
      </c>
      <c r="G44" s="269" t="b">
        <f>G14='CONSOLIDADO_TOTAL RECAUDO'!G109</f>
        <v>1</v>
      </c>
      <c r="H44" s="269" t="b">
        <f>H14='CONSOLIDADO_TOTAL RECAUDO'!H109</f>
        <v>1</v>
      </c>
      <c r="I44" s="269" t="b">
        <f>I14='CONSOLIDADO_TOTAL RECAUDO'!I109</f>
        <v>1</v>
      </c>
      <c r="J44" s="269" t="b">
        <f>J14='CONSOLIDADO_TOTAL RECAUDO'!J109</f>
        <v>1</v>
      </c>
      <c r="K44" s="269" t="b">
        <f>K14='CONSOLIDADO_TOTAL RECAUDO'!K109</f>
        <v>1</v>
      </c>
      <c r="L44" s="269" t="b">
        <f>L14='CONSOLIDADO_TOTAL RECAUDO'!L109</f>
        <v>1</v>
      </c>
      <c r="M44" s="269" t="b">
        <f>M14='CONSOLIDADO_TOTAL RECAUDO'!M109</f>
        <v>1</v>
      </c>
      <c r="N44" s="269" t="b">
        <f>N14='CONSOLIDADO_TOTAL RECAUDO'!N109</f>
        <v>1</v>
      </c>
      <c r="O44" s="269" t="b">
        <f>O14='CONSOLIDADO_TOTAL RECAUDO'!O109</f>
        <v>1</v>
      </c>
      <c r="Q44" s="24"/>
      <c r="T44" s="24"/>
    </row>
    <row r="45" spans="1:20" x14ac:dyDescent="0.2">
      <c r="D45" s="269" t="b">
        <f>D36='CONSOLIDADO_TOTAL RECAUDO'!D131</f>
        <v>1</v>
      </c>
      <c r="E45" s="269" t="b">
        <f>E36='CONSOLIDADO_TOTAL RECAUDO'!E131</f>
        <v>1</v>
      </c>
      <c r="F45" s="269" t="b">
        <f>F36='CONSOLIDADO_TOTAL RECAUDO'!F131</f>
        <v>1</v>
      </c>
      <c r="G45" s="269" t="b">
        <f>G36='CONSOLIDADO_TOTAL RECAUDO'!G131</f>
        <v>1</v>
      </c>
      <c r="H45" s="269" t="b">
        <f>H36='CONSOLIDADO_TOTAL RECAUDO'!H131</f>
        <v>1</v>
      </c>
      <c r="I45" s="269" t="b">
        <f>I36='CONSOLIDADO_TOTAL RECAUDO'!I131</f>
        <v>1</v>
      </c>
      <c r="J45" s="269" t="b">
        <f>K36='CONSOLIDADO_TOTAL RECAUDO'!K131</f>
        <v>1</v>
      </c>
      <c r="K45" s="269" t="b">
        <f>K36='CONSOLIDADO_TOTAL RECAUDO'!K131</f>
        <v>1</v>
      </c>
      <c r="L45" s="269" t="b">
        <f>L36='CONSOLIDADO_TOTAL RECAUDO'!L131</f>
        <v>1</v>
      </c>
      <c r="M45" s="269" t="b">
        <f>M36='CONSOLIDADO_TOTAL RECAUDO'!M131</f>
        <v>1</v>
      </c>
      <c r="N45" s="269" t="b">
        <f>N36='CONSOLIDADO_TOTAL RECAUDO'!N131</f>
        <v>1</v>
      </c>
      <c r="O45" s="269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6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77734375" style="1" customWidth="1"/>
    <col min="13" max="13" width="18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0" t="s">
        <v>17</v>
      </c>
      <c r="D6" s="9">
        <f>'CONSOLIDADO_TOTAL RECAUDO'!D6</f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0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ht="12" x14ac:dyDescent="0.25">
      <c r="B9" s="305">
        <v>1</v>
      </c>
      <c r="C9" s="306" t="s">
        <v>10</v>
      </c>
      <c r="D9" s="293">
        <f>'Reporte Componentes R1'!F63</f>
        <v>0</v>
      </c>
      <c r="E9" s="294">
        <f>'Reporte Componentes R1'!G63</f>
        <v>0</v>
      </c>
      <c r="F9" s="294">
        <f>'Reporte Componentes R1'!H63</f>
        <v>0</v>
      </c>
      <c r="G9" s="294">
        <f>'Reporte Componentes R1'!I63</f>
        <v>0</v>
      </c>
      <c r="H9" s="294">
        <f>'Reporte Componentes R1'!J63</f>
        <v>0</v>
      </c>
      <c r="I9" s="294">
        <f>'Reporte Componentes R1'!K63</f>
        <v>0</v>
      </c>
      <c r="J9" s="290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R1'!L63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R1'!M63</f>
        <v>0</v>
      </c>
      <c r="V9" s="310">
        <f>'Reporte Componentes R1'!N63</f>
        <v>0</v>
      </c>
      <c r="W9" s="310">
        <f>'Reporte Componentes R1'!O63</f>
        <v>0</v>
      </c>
      <c r="X9" s="310">
        <f>'Reporte Componentes R1'!P63</f>
        <v>0</v>
      </c>
      <c r="Y9" s="311">
        <f>'Reporte Componentes R1'!Q63</f>
        <v>0</v>
      </c>
      <c r="Z9" s="312">
        <f>L9*-1</f>
        <v>0</v>
      </c>
      <c r="AA9" s="313">
        <f>'Reporte Componentes R1'!R63+'Reporte Componentes R1'!V63+'Reporte Componentes R1'!U63</f>
        <v>0</v>
      </c>
      <c r="AB9" s="296">
        <f>N9</f>
        <v>0</v>
      </c>
      <c r="AC9" s="313">
        <f>'Reporte Componentes R1'!T63+'Reporte Componentes R1'!W63+'Reporte Componentes R1'!X63+'Reporte Componentes R1'!Y63+'Reporte Componentes R1'!Z63+'Reporte Componentes R1'!S63</f>
        <v>0</v>
      </c>
      <c r="AD9" s="293">
        <f>-J9+AE9</f>
        <v>0</v>
      </c>
      <c r="AE9" s="293">
        <f>'Reporte Componentes R1'!F64</f>
        <v>0</v>
      </c>
      <c r="AF9" s="315">
        <f>SUM(U9:AD9)</f>
        <v>0</v>
      </c>
      <c r="AG9" s="523">
        <f>(AF9-O9)</f>
        <v>0</v>
      </c>
      <c r="AH9" s="1" t="b">
        <f>INT(AG9)=0</f>
        <v>1</v>
      </c>
      <c r="AI9" s="308"/>
    </row>
    <row r="10" spans="1:35" s="307" customFormat="1" ht="12" x14ac:dyDescent="0.25">
      <c r="B10" s="316">
        <v>2</v>
      </c>
      <c r="C10" s="317" t="s">
        <v>11</v>
      </c>
      <c r="D10" s="293">
        <f>'Reporte Componentes R1'!F196</f>
        <v>0</v>
      </c>
      <c r="E10" s="294">
        <f>'Reporte Componentes R1'!G196</f>
        <v>0</v>
      </c>
      <c r="F10" s="294">
        <f>'Reporte Componentes R1'!H196</f>
        <v>0</v>
      </c>
      <c r="G10" s="294">
        <f>'Reporte Componentes R1'!I196</f>
        <v>0</v>
      </c>
      <c r="H10" s="294">
        <f>'Reporte Componentes R1'!J196</f>
        <v>0</v>
      </c>
      <c r="I10" s="294">
        <f>'Reporte Componentes R1'!K196</f>
        <v>0</v>
      </c>
      <c r="J10" s="290">
        <v>0</v>
      </c>
      <c r="K10" s="297">
        <f t="shared" ref="K10:K13" si="0">D10-E10-F10-G10-H10-I10-J10</f>
        <v>0</v>
      </c>
      <c r="L10" s="296">
        <v>0</v>
      </c>
      <c r="M10" s="297">
        <f>K10-L10</f>
        <v>0</v>
      </c>
      <c r="N10" s="296">
        <f>'Reporte Componentes R1'!L196</f>
        <v>0</v>
      </c>
      <c r="O10" s="297">
        <f t="shared" ref="O10:O12" si="1">M10+N10</f>
        <v>0</v>
      </c>
      <c r="Q10" s="308"/>
      <c r="S10" s="316">
        <v>2</v>
      </c>
      <c r="T10" s="317" t="s">
        <v>11</v>
      </c>
      <c r="U10" s="318">
        <f>'Reporte Componentes R1'!M196</f>
        <v>0</v>
      </c>
      <c r="V10" s="319">
        <f>'Reporte Componentes R1'!N196</f>
        <v>0</v>
      </c>
      <c r="W10" s="319">
        <f>'Reporte Componentes R1'!O196</f>
        <v>0</v>
      </c>
      <c r="X10" s="319">
        <f>'Reporte Componentes R1'!P196</f>
        <v>0</v>
      </c>
      <c r="Y10" s="320">
        <f>'Reporte Componentes R1'!Q196</f>
        <v>0</v>
      </c>
      <c r="Z10" s="321">
        <f>L10*-1</f>
        <v>0</v>
      </c>
      <c r="AA10" s="322">
        <f>'Reporte Componentes R1'!R196+'Reporte Componentes R1'!V196+'Reporte Componentes R1'!U196</f>
        <v>0</v>
      </c>
      <c r="AB10" s="296">
        <f>N10</f>
        <v>0</v>
      </c>
      <c r="AC10" s="322">
        <f>'Reporte Componentes R1'!T196+'Reporte Componentes R1'!W196+'Reporte Componentes R1'!X196+'Reporte Componentes R1'!Y196+'Reporte Componentes R1'!Z196++'Reporte Componentes R1'!S196</f>
        <v>0</v>
      </c>
      <c r="AD10" s="293">
        <f t="shared" ref="AD10:AD13" si="2">-J10+AE10</f>
        <v>0</v>
      </c>
      <c r="AE10" s="293">
        <f>'Reporte Componentes R1'!F197</f>
        <v>0</v>
      </c>
      <c r="AF10" s="324">
        <f>SUM(U10:AD10)</f>
        <v>0</v>
      </c>
      <c r="AG10" s="524">
        <f>(AF10-O10)</f>
        <v>0</v>
      </c>
      <c r="AH10" s="1" t="b">
        <f t="shared" ref="AH10:AH14" si="3">INT(AG10)=0</f>
        <v>1</v>
      </c>
      <c r="AI10" s="308"/>
    </row>
    <row r="11" spans="1:35" s="307" customFormat="1" ht="12" x14ac:dyDescent="0.25">
      <c r="B11" s="316">
        <v>3</v>
      </c>
      <c r="C11" s="317" t="s">
        <v>12</v>
      </c>
      <c r="D11" s="293">
        <f>'Reporte Componentes R1'!F324</f>
        <v>0</v>
      </c>
      <c r="E11" s="294">
        <f>'Reporte Componentes R1'!G324</f>
        <v>0</v>
      </c>
      <c r="F11" s="294">
        <f>'Reporte Componentes R1'!H324</f>
        <v>0</v>
      </c>
      <c r="G11" s="294">
        <f>'Reporte Componentes R1'!I324</f>
        <v>0</v>
      </c>
      <c r="H11" s="294">
        <f>'Reporte Componentes R1'!J324</f>
        <v>0</v>
      </c>
      <c r="I11" s="294">
        <f>'Reporte Componentes R1'!K324</f>
        <v>0</v>
      </c>
      <c r="J11" s="290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R1'!L324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R1'!M324</f>
        <v>0</v>
      </c>
      <c r="V11" s="319">
        <f>'Reporte Componentes R1'!N324</f>
        <v>0</v>
      </c>
      <c r="W11" s="319">
        <f>'Reporte Componentes R1'!O324</f>
        <v>0</v>
      </c>
      <c r="X11" s="319">
        <f>'Reporte Componentes R1'!P324</f>
        <v>0</v>
      </c>
      <c r="Y11" s="320">
        <f>'Reporte Componentes R1'!Q324</f>
        <v>0</v>
      </c>
      <c r="Z11" s="321">
        <f>L11*-1</f>
        <v>0</v>
      </c>
      <c r="AA11" s="322">
        <f>'Reporte Componentes R1'!R324+'Reporte Componentes R1'!V324+'Reporte Componentes R1'!U324</f>
        <v>0</v>
      </c>
      <c r="AB11" s="296">
        <f>N11</f>
        <v>0</v>
      </c>
      <c r="AC11" s="322">
        <f>'Reporte Componentes R1'!T324+'Reporte Componentes R1'!W324+'Reporte Componentes R1'!X324+'Reporte Componentes R1'!Y324+'Reporte Componentes R1'!Z324++'Reporte Componentes R1'!S324</f>
        <v>0</v>
      </c>
      <c r="AD11" s="293">
        <f t="shared" si="2"/>
        <v>0</v>
      </c>
      <c r="AE11" s="293">
        <f>'Reporte Componentes R1'!F325</f>
        <v>0</v>
      </c>
      <c r="AF11" s="324">
        <f t="shared" ref="AF11:AF13" si="4">SUM(U11:AD11)</f>
        <v>0</v>
      </c>
      <c r="AG11" s="524">
        <f>(AF11-O11)</f>
        <v>0</v>
      </c>
      <c r="AH11" s="1" t="b">
        <f t="shared" si="3"/>
        <v>1</v>
      </c>
      <c r="AI11" s="308"/>
    </row>
    <row r="12" spans="1:35" s="307" customFormat="1" ht="12" x14ac:dyDescent="0.25">
      <c r="B12" s="316">
        <v>4</v>
      </c>
      <c r="C12" s="317" t="s">
        <v>13</v>
      </c>
      <c r="D12" s="293">
        <f>'Reporte Componentes R1'!F444</f>
        <v>0</v>
      </c>
      <c r="E12" s="294">
        <f>'Reporte Componentes R1'!G444</f>
        <v>0</v>
      </c>
      <c r="F12" s="294">
        <f>'Reporte Componentes R1'!H444</f>
        <v>0</v>
      </c>
      <c r="G12" s="294">
        <f>'Reporte Componentes R1'!I444</f>
        <v>0</v>
      </c>
      <c r="H12" s="294">
        <f>'Reporte Componentes R1'!J444</f>
        <v>0</v>
      </c>
      <c r="I12" s="294">
        <f>'Reporte Componentes R1'!K444</f>
        <v>0</v>
      </c>
      <c r="J12" s="290">
        <v>0</v>
      </c>
      <c r="K12" s="297">
        <f t="shared" si="0"/>
        <v>0</v>
      </c>
      <c r="L12" s="296">
        <v>0</v>
      </c>
      <c r="M12" s="297">
        <f>K12-L12</f>
        <v>0</v>
      </c>
      <c r="N12" s="296">
        <f>'Reporte Componentes R1'!L444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318">
        <f>'Reporte Componentes R1'!M444</f>
        <v>0</v>
      </c>
      <c r="V12" s="319">
        <f>'Reporte Componentes R1'!N444</f>
        <v>0</v>
      </c>
      <c r="W12" s="319">
        <f>'Reporte Componentes R1'!O444</f>
        <v>0</v>
      </c>
      <c r="X12" s="319">
        <f>'Reporte Componentes R1'!P444</f>
        <v>0</v>
      </c>
      <c r="Y12" s="320">
        <f>'Reporte Componentes R1'!Q444</f>
        <v>0</v>
      </c>
      <c r="Z12" s="321">
        <f>L12*-1</f>
        <v>0</v>
      </c>
      <c r="AA12" s="322">
        <f>'Reporte Componentes R1'!R444+'Reporte Componentes R1'!V444+'Reporte Componentes R1'!U444</f>
        <v>0</v>
      </c>
      <c r="AB12" s="296">
        <f>N12</f>
        <v>0</v>
      </c>
      <c r="AC12" s="322">
        <f>'Reporte Componentes R1'!T444+'Reporte Componentes R1'!W444+'Reporte Componentes R1'!X444+'Reporte Componentes R1'!Y444+'Reporte Componentes R1'!Z444++'Reporte Componentes R1'!S444</f>
        <v>0</v>
      </c>
      <c r="AD12" s="293">
        <f t="shared" si="2"/>
        <v>0</v>
      </c>
      <c r="AE12" s="293">
        <f>'Reporte Componentes R1'!F445</f>
        <v>0</v>
      </c>
      <c r="AF12" s="324">
        <f t="shared" si="4"/>
        <v>0</v>
      </c>
      <c r="AG12" s="524">
        <f>(AF12-O12)</f>
        <v>0</v>
      </c>
      <c r="AH12" s="1" t="b">
        <f t="shared" si="3"/>
        <v>1</v>
      </c>
      <c r="AI12" s="308"/>
    </row>
    <row r="13" spans="1:35" s="307" customFormat="1" ht="12.6" thickBot="1" x14ac:dyDescent="0.3">
      <c r="B13" s="326">
        <v>5</v>
      </c>
      <c r="C13" s="327" t="s">
        <v>14</v>
      </c>
      <c r="D13" s="298">
        <f>'Reporte Componentes R1'!F518</f>
        <v>0</v>
      </c>
      <c r="E13" s="299">
        <f>'Reporte Componentes R1'!G518</f>
        <v>0</v>
      </c>
      <c r="F13" s="299">
        <f>'Reporte Componentes R1'!H518</f>
        <v>0</v>
      </c>
      <c r="G13" s="299">
        <f>'Reporte Componentes R1'!I518</f>
        <v>0</v>
      </c>
      <c r="H13" s="299">
        <f>'Reporte Componentes R1'!J518</f>
        <v>0</v>
      </c>
      <c r="I13" s="299">
        <f>'Reporte Componentes R1'!K518</f>
        <v>0</v>
      </c>
      <c r="J13" s="291">
        <v>0</v>
      </c>
      <c r="K13" s="297">
        <f t="shared" si="0"/>
        <v>0</v>
      </c>
      <c r="L13" s="296">
        <v>0</v>
      </c>
      <c r="M13" s="300">
        <f>K13-L13</f>
        <v>0</v>
      </c>
      <c r="N13" s="301">
        <f>'Reporte Componentes R1'!L518</f>
        <v>0</v>
      </c>
      <c r="O13" s="300">
        <f>M13+N13</f>
        <v>0</v>
      </c>
      <c r="Q13" s="308"/>
      <c r="S13" s="326">
        <v>5</v>
      </c>
      <c r="T13" s="327" t="s">
        <v>14</v>
      </c>
      <c r="U13" s="298">
        <f>'Reporte Componentes R1'!M518</f>
        <v>0</v>
      </c>
      <c r="V13" s="299">
        <f>'Reporte Componentes R1'!N518</f>
        <v>0</v>
      </c>
      <c r="W13" s="299">
        <f>'Reporte Componentes R1'!O518</f>
        <v>0</v>
      </c>
      <c r="X13" s="299">
        <f>'Reporte Componentes R1'!P518</f>
        <v>0</v>
      </c>
      <c r="Y13" s="291">
        <f>'Reporte Componentes R1'!Q518</f>
        <v>0</v>
      </c>
      <c r="Z13" s="321">
        <f>L13*-1</f>
        <v>0</v>
      </c>
      <c r="AA13" s="322">
        <f>'Reporte Componentes R1'!R518+'Reporte Componentes R1'!V518+'Reporte Componentes R1'!U518</f>
        <v>0</v>
      </c>
      <c r="AB13" s="296">
        <f>N13</f>
        <v>0</v>
      </c>
      <c r="AC13" s="322">
        <f>'Reporte Componentes R1'!T518+'Reporte Componentes R1'!W518+'Reporte Componentes R1'!X518+'Reporte Componentes R1'!Y518+'Reporte Componentes R1'!Z518+'Reporte Componentes R1'!S518</f>
        <v>0</v>
      </c>
      <c r="AD13" s="293">
        <f t="shared" si="2"/>
        <v>0</v>
      </c>
      <c r="AE13" s="293">
        <f>'Reporte Componentes R1'!F519</f>
        <v>0</v>
      </c>
      <c r="AF13" s="324">
        <f t="shared" si="4"/>
        <v>0</v>
      </c>
      <c r="AG13" s="525">
        <f>(AF13-O13)</f>
        <v>0</v>
      </c>
      <c r="AH13" s="1" t="b">
        <f t="shared" si="3"/>
        <v>1</v>
      </c>
      <c r="AI13" s="308"/>
    </row>
    <row r="14" spans="1:35" s="307" customFormat="1" ht="13.8" thickBot="1" x14ac:dyDescent="0.3">
      <c r="B14" s="329"/>
      <c r="C14" s="330" t="s">
        <v>2</v>
      </c>
      <c r="D14" s="292">
        <f>SUM(D9:D13)</f>
        <v>0</v>
      </c>
      <c r="E14" s="292">
        <f t="shared" ref="E14:O14" si="5">SUM(E9:E13)</f>
        <v>0</v>
      </c>
      <c r="F14" s="292">
        <f t="shared" si="5"/>
        <v>0</v>
      </c>
      <c r="G14" s="292">
        <f t="shared" si="5"/>
        <v>0</v>
      </c>
      <c r="H14" s="292">
        <f t="shared" si="5"/>
        <v>0</v>
      </c>
      <c r="I14" s="292">
        <f t="shared" si="5"/>
        <v>0</v>
      </c>
      <c r="J14" s="292">
        <f t="shared" si="5"/>
        <v>0</v>
      </c>
      <c r="K14" s="302">
        <f t="shared" si="5"/>
        <v>0</v>
      </c>
      <c r="L14" s="303">
        <f>SUM(L9:L13)</f>
        <v>0</v>
      </c>
      <c r="M14" s="304">
        <f t="shared" si="5"/>
        <v>0</v>
      </c>
      <c r="N14" s="303">
        <f t="shared" si="5"/>
        <v>0</v>
      </c>
      <c r="O14" s="304">
        <f t="shared" si="5"/>
        <v>0</v>
      </c>
      <c r="P14" s="331"/>
      <c r="Q14" s="308"/>
      <c r="S14" s="329"/>
      <c r="T14" s="330" t="s">
        <v>2</v>
      </c>
      <c r="U14" s="332">
        <f>SUM(U9:U13)</f>
        <v>0</v>
      </c>
      <c r="V14" s="332">
        <f t="shared" ref="V14:AF14" si="6">SUM(V9:V13)</f>
        <v>0</v>
      </c>
      <c r="W14" s="332">
        <f t="shared" si="6"/>
        <v>0</v>
      </c>
      <c r="X14" s="332">
        <f t="shared" si="6"/>
        <v>0</v>
      </c>
      <c r="Y14" s="332">
        <f t="shared" si="6"/>
        <v>0</v>
      </c>
      <c r="Z14" s="292">
        <f t="shared" si="6"/>
        <v>0</v>
      </c>
      <c r="AA14" s="292">
        <f t="shared" si="6"/>
        <v>0</v>
      </c>
      <c r="AB14" s="292">
        <f t="shared" si="6"/>
        <v>0</v>
      </c>
      <c r="AC14" s="292">
        <f t="shared" si="6"/>
        <v>0</v>
      </c>
      <c r="AD14" s="292">
        <f>SUM(AD9:AD13)</f>
        <v>0</v>
      </c>
      <c r="AE14" s="292">
        <f>SUM(AE9:AE13)</f>
        <v>0</v>
      </c>
      <c r="AF14" s="333">
        <f t="shared" si="6"/>
        <v>0</v>
      </c>
      <c r="AG14" s="526">
        <f>SUM(AG9:AG13)</f>
        <v>0</v>
      </c>
      <c r="AH14" s="1" t="b">
        <f t="shared" si="3"/>
        <v>1</v>
      </c>
      <c r="AI14" s="308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0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ht="12" x14ac:dyDescent="0.25">
      <c r="B28" s="305">
        <v>1</v>
      </c>
      <c r="C28" s="306" t="s">
        <v>10</v>
      </c>
      <c r="D28" s="293">
        <f>'Rem. Anticipos R2'!E46</f>
        <v>0</v>
      </c>
      <c r="E28" s="294">
        <f>'Rem. Anticipos R2'!F46</f>
        <v>0</v>
      </c>
      <c r="F28" s="294">
        <f>'Rem. Anticipos R2'!G46</f>
        <v>0</v>
      </c>
      <c r="G28" s="294">
        <f>'Rem. Anticipos R2'!H46</f>
        <v>0</v>
      </c>
      <c r="H28" s="294">
        <f>'Rem. Anticipos R2'!I46</f>
        <v>0</v>
      </c>
      <c r="I28" s="294">
        <f>'Rem. Anticipos R2'!J46</f>
        <v>0</v>
      </c>
      <c r="J28" s="290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R2'!K46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R2'!L46</f>
        <v>0</v>
      </c>
      <c r="V28" s="310">
        <f>'Rem. Anticipos R2'!M46</f>
        <v>0</v>
      </c>
      <c r="W28" s="310">
        <f>'Rem. Anticipos R2'!N46</f>
        <v>0</v>
      </c>
      <c r="X28" s="310">
        <f>'Rem. Anticipos R2'!O46</f>
        <v>0</v>
      </c>
      <c r="Y28" s="311">
        <f>'Rem. Anticipos R2'!P46</f>
        <v>0</v>
      </c>
      <c r="Z28" s="312">
        <f>L28*-1</f>
        <v>0</v>
      </c>
      <c r="AA28" s="313">
        <f>'Rem. Anticipos R2'!Q46</f>
        <v>0</v>
      </c>
      <c r="AB28" s="296">
        <f>N28</f>
        <v>0</v>
      </c>
      <c r="AC28" s="313">
        <f>'Rem. Anticipos R2'!R46</f>
        <v>0</v>
      </c>
      <c r="AD28" s="293">
        <f>-J28+AE28</f>
        <v>0</v>
      </c>
      <c r="AE28" s="293">
        <f>'Rem. Anticipos R2'!E47</f>
        <v>0</v>
      </c>
      <c r="AF28" s="315">
        <f>SUM(U28:AD28)</f>
        <v>0</v>
      </c>
      <c r="AG28" s="523">
        <f>(AF28-O28)</f>
        <v>0</v>
      </c>
      <c r="AH28" s="1" t="b">
        <f>INT(AG28)=0</f>
        <v>1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R2'!E149</f>
        <v>11762381.269999998</v>
      </c>
      <c r="E29" s="294">
        <f>'Rem. Anticipos R2'!F149</f>
        <v>970731.18</v>
      </c>
      <c r="F29" s="294">
        <f>'Rem. Anticipos R2'!G149</f>
        <v>533860.09000000008</v>
      </c>
      <c r="G29" s="294">
        <f>'Rem. Anticipos R2'!H149</f>
        <v>192854.22</v>
      </c>
      <c r="H29" s="294">
        <f>'Rem. Anticipos R2'!I149</f>
        <v>4921384.82</v>
      </c>
      <c r="I29" s="294">
        <f>'Rem. Anticipos R2'!J149</f>
        <v>177446.98</v>
      </c>
      <c r="J29" s="290">
        <v>0</v>
      </c>
      <c r="K29" s="297">
        <f t="shared" ref="K29:K31" si="7">D29-E29-F29-G29-H29-I29-J29</f>
        <v>4966103.9799999967</v>
      </c>
      <c r="L29" s="296">
        <v>0</v>
      </c>
      <c r="M29" s="297">
        <f>K29-L29</f>
        <v>4966103.9799999967</v>
      </c>
      <c r="N29" s="296">
        <f>'Rem. Anticipos R2'!K149</f>
        <v>0</v>
      </c>
      <c r="O29" s="297">
        <f t="shared" ref="O29:O32" si="8">M29+N29</f>
        <v>4966103.9799999967</v>
      </c>
      <c r="Q29" s="308"/>
      <c r="S29" s="316">
        <v>2</v>
      </c>
      <c r="T29" s="317" t="s">
        <v>11</v>
      </c>
      <c r="U29" s="318">
        <f>'Rem. Anticipos R2'!L149</f>
        <v>1381104.32</v>
      </c>
      <c r="V29" s="319">
        <f>'Rem. Anticipos R2'!M149</f>
        <v>1208217.5999999999</v>
      </c>
      <c r="W29" s="319">
        <f>'Rem. Anticipos R2'!N149</f>
        <v>4584200.43</v>
      </c>
      <c r="X29" s="319">
        <f>'Rem. Anticipos R2'!O149</f>
        <v>1976769.69</v>
      </c>
      <c r="Y29" s="320">
        <f>'Rem. Anticipos R2'!P149</f>
        <v>217647.76</v>
      </c>
      <c r="Z29" s="321">
        <f>L29*-1</f>
        <v>0</v>
      </c>
      <c r="AA29" s="322">
        <f>'Rem. Anticipos R2'!Q149</f>
        <v>-2.29</v>
      </c>
      <c r="AB29" s="296">
        <f>N29</f>
        <v>0</v>
      </c>
      <c r="AC29" s="322">
        <f>'Rem. Anticipos R2'!R149</f>
        <v>0</v>
      </c>
      <c r="AD29" s="293">
        <f>-J29+AE29</f>
        <v>-4401833.53</v>
      </c>
      <c r="AE29" s="293">
        <f>'Rem. Anticipos R2'!E150</f>
        <v>-4401833.53</v>
      </c>
      <c r="AF29" s="324">
        <f>SUM(U29:AD29)</f>
        <v>4966103.9799999995</v>
      </c>
      <c r="AG29" s="524">
        <f>(AF29-O29)</f>
        <v>2.7939677238464355E-9</v>
      </c>
      <c r="AH29" s="1" t="b">
        <f t="shared" ref="AH29:AH33" si="9">INT(AG29)=0</f>
        <v>1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R2'!E262</f>
        <v>0</v>
      </c>
      <c r="E30" s="294">
        <f>'Rem. Anticipos R2'!F262</f>
        <v>0</v>
      </c>
      <c r="F30" s="294">
        <f>'Rem. Anticipos R2'!G262</f>
        <v>0</v>
      </c>
      <c r="G30" s="294">
        <f>'Rem. Anticipos R2'!H262</f>
        <v>0</v>
      </c>
      <c r="H30" s="294">
        <f>'Rem. Anticipos R2'!I262</f>
        <v>0</v>
      </c>
      <c r="I30" s="294">
        <f>'Rem. Anticipos R2'!J262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R2'!K262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R2'!L262</f>
        <v>0</v>
      </c>
      <c r="V30" s="319">
        <f>'Rem. Anticipos R2'!M262</f>
        <v>0</v>
      </c>
      <c r="W30" s="319">
        <f>'Rem. Anticipos R2'!N262</f>
        <v>0</v>
      </c>
      <c r="X30" s="319">
        <f>'Rem. Anticipos R2'!O262</f>
        <v>0</v>
      </c>
      <c r="Y30" s="320">
        <f>'Rem. Anticipos R2'!P262</f>
        <v>0</v>
      </c>
      <c r="Z30" s="321">
        <f>L30*-1</f>
        <v>0</v>
      </c>
      <c r="AA30" s="322">
        <f>'Rem. Anticipos R2'!Q262</f>
        <v>0</v>
      </c>
      <c r="AB30" s="296">
        <f>N30</f>
        <v>0</v>
      </c>
      <c r="AC30" s="322">
        <f>'Rem. Anticipos R2'!R262</f>
        <v>0</v>
      </c>
      <c r="AD30" s="293">
        <f t="shared" ref="AD30:AD32" si="10">-J30+AE30</f>
        <v>0</v>
      </c>
      <c r="AE30" s="293">
        <f>'Rem. Anticipos R2'!E263</f>
        <v>0</v>
      </c>
      <c r="AF30" s="324">
        <f>SUM(U30:AD30)</f>
        <v>0</v>
      </c>
      <c r="AG30" s="524">
        <f t="shared" ref="AG30:AG31" si="11">(AF30-O30)</f>
        <v>0</v>
      </c>
      <c r="AH30" s="1" t="b">
        <f t="shared" si="9"/>
        <v>1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R2'!E357</f>
        <v>2089183.34</v>
      </c>
      <c r="E31" s="294">
        <f>'Rem. Anticipos R2'!F357</f>
        <v>121368.73</v>
      </c>
      <c r="F31" s="294">
        <f>'Rem. Anticipos R2'!G357</f>
        <v>73126.38</v>
      </c>
      <c r="G31" s="294">
        <f>'Rem. Anticipos R2'!H357</f>
        <v>33127.629999999997</v>
      </c>
      <c r="H31" s="294">
        <f>'Rem. Anticipos R2'!I357</f>
        <v>455316.06</v>
      </c>
      <c r="I31" s="294">
        <f>'Rem. Anticipos R2'!J357</f>
        <v>16819.419999999998</v>
      </c>
      <c r="J31" s="290">
        <v>0</v>
      </c>
      <c r="K31" s="297">
        <f t="shared" si="7"/>
        <v>1389425.12</v>
      </c>
      <c r="L31" s="296">
        <v>0</v>
      </c>
      <c r="M31" s="297">
        <f>K31-L31</f>
        <v>1389425.12</v>
      </c>
      <c r="N31" s="296">
        <f>'Rem. Anticipos R2'!K357</f>
        <v>0</v>
      </c>
      <c r="O31" s="297">
        <f t="shared" si="8"/>
        <v>1389425.12</v>
      </c>
      <c r="Q31" s="308"/>
      <c r="S31" s="316">
        <v>4</v>
      </c>
      <c r="T31" s="317" t="s">
        <v>13</v>
      </c>
      <c r="U31" s="318">
        <f>'Rem. Anticipos R2'!L357</f>
        <v>161565.29999999999</v>
      </c>
      <c r="V31" s="319">
        <f>'Rem. Anticipos R2'!M357</f>
        <v>149342.82999999999</v>
      </c>
      <c r="W31" s="319">
        <f>'Rem. Anticipos R2'!N357</f>
        <v>678643.78</v>
      </c>
      <c r="X31" s="319">
        <f>'Rem. Anticipos R2'!O357</f>
        <v>332683.48</v>
      </c>
      <c r="Y31" s="320">
        <f>'Rem. Anticipos R2'!P357</f>
        <v>25544.6</v>
      </c>
      <c r="Z31" s="321">
        <f>L31*-1</f>
        <v>0</v>
      </c>
      <c r="AA31" s="322">
        <f>'Rem. Anticipos R2'!Q357</f>
        <v>-0.61</v>
      </c>
      <c r="AB31" s="296">
        <f>N31</f>
        <v>0</v>
      </c>
      <c r="AC31" s="322">
        <f>'Rem. Anticipos R2'!R357</f>
        <v>0</v>
      </c>
      <c r="AD31" s="293">
        <f t="shared" si="10"/>
        <v>41645.74</v>
      </c>
      <c r="AE31" s="293">
        <f>'Rem. Anticipos R2'!E358</f>
        <v>41645.74</v>
      </c>
      <c r="AF31" s="324">
        <f>SUM(U31:AD31)</f>
        <v>1389425.12</v>
      </c>
      <c r="AG31" s="524">
        <f t="shared" si="11"/>
        <v>0</v>
      </c>
      <c r="AH31" s="1" t="b">
        <f t="shared" si="9"/>
        <v>1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R2'!E429</f>
        <v>0</v>
      </c>
      <c r="E32" s="299">
        <f>'Rem. Anticipos R2'!F429</f>
        <v>0</v>
      </c>
      <c r="F32" s="299">
        <f>'Rem. Anticipos R2'!G429</f>
        <v>0</v>
      </c>
      <c r="G32" s="299">
        <f>'Rem. Anticipos R2'!H429</f>
        <v>0</v>
      </c>
      <c r="H32" s="299">
        <f>'Rem. Anticipos R2'!I429</f>
        <v>0</v>
      </c>
      <c r="I32" s="299">
        <f>'Rem. Anticipos R2'!J429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R2'!K429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R2'!L429</f>
        <v>0</v>
      </c>
      <c r="V32" s="299">
        <f>'Rem. Anticipos R2'!M429</f>
        <v>0</v>
      </c>
      <c r="W32" s="299">
        <f>'Rem. Anticipos R2'!N429</f>
        <v>0</v>
      </c>
      <c r="X32" s="299">
        <f>'Rem. Anticipos R2'!O429</f>
        <v>0</v>
      </c>
      <c r="Y32" s="291">
        <f>'Rem. Anticipos R2'!P429</f>
        <v>0</v>
      </c>
      <c r="Z32" s="321">
        <f>L32*-1</f>
        <v>0</v>
      </c>
      <c r="AA32" s="322">
        <f>'Rem. Anticipos R2'!Q429</f>
        <v>0</v>
      </c>
      <c r="AB32" s="296">
        <f>N32</f>
        <v>0</v>
      </c>
      <c r="AC32" s="322">
        <f>'Rem. Anticipos R2'!R429</f>
        <v>0</v>
      </c>
      <c r="AD32" s="293">
        <f t="shared" si="10"/>
        <v>0</v>
      </c>
      <c r="AE32" s="293">
        <f>'Rem. Anticipos R2'!E430</f>
        <v>0</v>
      </c>
      <c r="AF32" s="324">
        <f>SUM(U32:AD32)</f>
        <v>0</v>
      </c>
      <c r="AG32" s="525">
        <f>(AF32-O32)</f>
        <v>0</v>
      </c>
      <c r="AH32" s="1" t="b">
        <f t="shared" si="9"/>
        <v>1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13851564.609999998</v>
      </c>
      <c r="E33" s="292">
        <f>SUM(E28:E32)</f>
        <v>1092099.9100000001</v>
      </c>
      <c r="F33" s="292">
        <f t="shared" ref="F33:O33" si="12">SUM(F28:F32)</f>
        <v>606986.47000000009</v>
      </c>
      <c r="G33" s="292">
        <f t="shared" si="12"/>
        <v>225981.85</v>
      </c>
      <c r="H33" s="292">
        <f t="shared" si="12"/>
        <v>5376700.8799999999</v>
      </c>
      <c r="I33" s="292">
        <f t="shared" si="12"/>
        <v>194266.40000000002</v>
      </c>
      <c r="J33" s="292">
        <f t="shared" si="12"/>
        <v>0</v>
      </c>
      <c r="K33" s="302">
        <f t="shared" si="12"/>
        <v>6355529.0999999968</v>
      </c>
      <c r="L33" s="303">
        <f t="shared" si="12"/>
        <v>0</v>
      </c>
      <c r="M33" s="304">
        <f t="shared" si="12"/>
        <v>6355529.0999999968</v>
      </c>
      <c r="N33" s="303">
        <f t="shared" si="12"/>
        <v>0</v>
      </c>
      <c r="O33" s="304">
        <f t="shared" si="12"/>
        <v>6355529.0999999968</v>
      </c>
      <c r="P33" s="331"/>
      <c r="Q33" s="308"/>
      <c r="S33" s="329"/>
      <c r="T33" s="330" t="s">
        <v>2</v>
      </c>
      <c r="U33" s="332">
        <f>SUM(U28:U32)</f>
        <v>1542669.62</v>
      </c>
      <c r="V33" s="332">
        <f t="shared" ref="V33:AG33" si="13">SUM(V28:V32)</f>
        <v>1357560.43</v>
      </c>
      <c r="W33" s="332">
        <f t="shared" si="13"/>
        <v>5262844.21</v>
      </c>
      <c r="X33" s="332">
        <f t="shared" si="13"/>
        <v>2309453.17</v>
      </c>
      <c r="Y33" s="332">
        <f t="shared" si="13"/>
        <v>243192.36000000002</v>
      </c>
      <c r="Z33" s="292">
        <f t="shared" si="13"/>
        <v>0</v>
      </c>
      <c r="AA33" s="292">
        <f t="shared" si="13"/>
        <v>-2.9</v>
      </c>
      <c r="AB33" s="292">
        <f t="shared" si="13"/>
        <v>0</v>
      </c>
      <c r="AC33" s="292">
        <f t="shared" ref="AC33" si="14">SUM(AC28:AC32)</f>
        <v>0</v>
      </c>
      <c r="AD33" s="292">
        <f>SUM(AD28:AD32)</f>
        <v>-4360187.79</v>
      </c>
      <c r="AE33" s="292">
        <f>SUM(AE28:AE32)</f>
        <v>-4360187.79</v>
      </c>
      <c r="AF33" s="333">
        <f t="shared" si="13"/>
        <v>6355529.0999999996</v>
      </c>
      <c r="AG33" s="526">
        <f t="shared" si="13"/>
        <v>2.7939677238464355E-9</v>
      </c>
      <c r="AH33" s="1" t="b">
        <f t="shared" si="9"/>
        <v>1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10715719.789999999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0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ht="12" x14ac:dyDescent="0.25">
      <c r="B47" s="305">
        <v>1</v>
      </c>
      <c r="C47" s="306" t="s">
        <v>10</v>
      </c>
      <c r="D47" s="293">
        <f>'Reporte Componentes R1'!F65</f>
        <v>0</v>
      </c>
      <c r="E47" s="294">
        <f>'Reporte Componentes R1'!G65</f>
        <v>0</v>
      </c>
      <c r="F47" s="294">
        <f>'Reporte Componentes R1'!H65</f>
        <v>0</v>
      </c>
      <c r="G47" s="294">
        <f>'Reporte Componentes R1'!I65</f>
        <v>0</v>
      </c>
      <c r="H47" s="294">
        <f>'Reporte Componentes R1'!J65</f>
        <v>0</v>
      </c>
      <c r="I47" s="294">
        <f>'Reporte Componentes R1'!K65</f>
        <v>0</v>
      </c>
      <c r="J47" s="290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R1'!L65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R1'!M65</f>
        <v>0</v>
      </c>
      <c r="V47" s="310">
        <f>'Reporte Componentes R1'!N65</f>
        <v>0</v>
      </c>
      <c r="W47" s="310">
        <f>'Reporte Componentes R1'!O65</f>
        <v>0</v>
      </c>
      <c r="X47" s="310">
        <f>'Reporte Componentes R1'!P65</f>
        <v>0</v>
      </c>
      <c r="Y47" s="311">
        <f>'Reporte Componentes R1'!Q65</f>
        <v>0</v>
      </c>
      <c r="Z47" s="312">
        <f>-L47</f>
        <v>0</v>
      </c>
      <c r="AA47" s="313">
        <f>'Reporte Componentes R1'!R65+'Reporte Componentes R1'!V65+'Reporte Componentes R1'!U65</f>
        <v>0</v>
      </c>
      <c r="AB47" s="296">
        <f>N47</f>
        <v>0</v>
      </c>
      <c r="AC47" s="313">
        <f>'Reporte Componentes R1'!T65+'Reporte Componentes R1'!W65+'Reporte Componentes R1'!X65+'Reporte Componentes R1'!Y65+'Reporte Componentes R1'!Z65+'Reporte Componentes R1'!S65</f>
        <v>0</v>
      </c>
      <c r="AD47" s="293">
        <f>-J47+AE47</f>
        <v>0</v>
      </c>
      <c r="AE47" s="293">
        <f>'Reporte Componentes R1'!F66</f>
        <v>0</v>
      </c>
      <c r="AF47" s="315">
        <f>SUM(U47:AD47)</f>
        <v>0</v>
      </c>
      <c r="AG47" s="523">
        <f>(AF47-O47)</f>
        <v>0</v>
      </c>
      <c r="AH47" s="1" t="b">
        <f t="shared" ref="AH47:AH52" si="15">INT(AG47)=0</f>
        <v>1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R1'!F198</f>
        <v>0</v>
      </c>
      <c r="E48" s="294">
        <f>'Reporte Componentes R1'!G198</f>
        <v>0</v>
      </c>
      <c r="F48" s="294">
        <f>'Reporte Componentes R1'!H198</f>
        <v>0</v>
      </c>
      <c r="G48" s="294">
        <f>'Reporte Componentes R1'!I198</f>
        <v>0</v>
      </c>
      <c r="H48" s="294">
        <f>'Reporte Componentes R1'!J198</f>
        <v>0</v>
      </c>
      <c r="I48" s="294">
        <f>'Reporte Componentes R1'!K198</f>
        <v>0</v>
      </c>
      <c r="J48" s="290">
        <v>0</v>
      </c>
      <c r="K48" s="297">
        <f t="shared" ref="K48:K51" si="16">D48-E48-F48-G48-H48-I48-J48</f>
        <v>0</v>
      </c>
      <c r="L48" s="296">
        <v>0</v>
      </c>
      <c r="M48" s="297">
        <f>K48-L48</f>
        <v>0</v>
      </c>
      <c r="N48" s="296">
        <f>'Reporte Componentes R1'!L198</f>
        <v>0</v>
      </c>
      <c r="O48" s="297">
        <f t="shared" ref="O48:O51" si="17">M48+N48</f>
        <v>0</v>
      </c>
      <c r="Q48" s="308"/>
      <c r="S48" s="316">
        <v>2</v>
      </c>
      <c r="T48" s="317" t="s">
        <v>11</v>
      </c>
      <c r="U48" s="318">
        <f>'Reporte Componentes R1'!M198</f>
        <v>0</v>
      </c>
      <c r="V48" s="319">
        <f>'Reporte Componentes R1'!N198</f>
        <v>0</v>
      </c>
      <c r="W48" s="319">
        <f>'Reporte Componentes R1'!O198</f>
        <v>0</v>
      </c>
      <c r="X48" s="319">
        <f>'Reporte Componentes R1'!P198</f>
        <v>0</v>
      </c>
      <c r="Y48" s="320">
        <f>'Reporte Componentes R1'!Q198</f>
        <v>0</v>
      </c>
      <c r="Z48" s="321">
        <f>-L48</f>
        <v>0</v>
      </c>
      <c r="AA48" s="322">
        <f>'Reporte Componentes R1'!R198+'Reporte Componentes R1'!V198+'Reporte Componentes R1'!U198</f>
        <v>0</v>
      </c>
      <c r="AB48" s="296">
        <f>N48</f>
        <v>0</v>
      </c>
      <c r="AC48" s="322">
        <f>'Reporte Componentes R1'!T198+'Reporte Componentes R1'!W198+'Reporte Componentes R1'!X198+'Reporte Componentes R1'!Y198+'Reporte Componentes R1'!Z198+'Reporte Componentes R1'!S198</f>
        <v>0</v>
      </c>
      <c r="AD48" s="293">
        <f t="shared" ref="AD48:AD51" si="18">-J48+AE48</f>
        <v>0</v>
      </c>
      <c r="AE48" s="293">
        <f>'Reporte Componentes R1'!F199</f>
        <v>0</v>
      </c>
      <c r="AF48" s="324">
        <f>SUM(U48:AD48)</f>
        <v>0</v>
      </c>
      <c r="AG48" s="524">
        <f>(AF48-O48)</f>
        <v>0</v>
      </c>
      <c r="AH48" s="1" t="b">
        <f t="shared" si="15"/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R1'!F326</f>
        <v>0</v>
      </c>
      <c r="E49" s="294">
        <f>'Reporte Componentes R1'!G326</f>
        <v>0</v>
      </c>
      <c r="F49" s="294">
        <f>'Reporte Componentes R1'!H326</f>
        <v>0</v>
      </c>
      <c r="G49" s="294">
        <f>'Reporte Componentes R1'!I326</f>
        <v>0</v>
      </c>
      <c r="H49" s="294">
        <f>'Reporte Componentes R1'!J326</f>
        <v>0</v>
      </c>
      <c r="I49" s="294">
        <f>'Reporte Componentes R1'!K326</f>
        <v>0</v>
      </c>
      <c r="J49" s="290">
        <v>0</v>
      </c>
      <c r="K49" s="297">
        <f t="shared" si="16"/>
        <v>0</v>
      </c>
      <c r="L49" s="296">
        <v>0</v>
      </c>
      <c r="M49" s="297">
        <f>K49-L49</f>
        <v>0</v>
      </c>
      <c r="N49" s="296">
        <f>'Reporte Componentes R1'!L326</f>
        <v>0</v>
      </c>
      <c r="O49" s="297">
        <f t="shared" si="17"/>
        <v>0</v>
      </c>
      <c r="Q49" s="308"/>
      <c r="S49" s="316">
        <v>3</v>
      </c>
      <c r="T49" s="317" t="s">
        <v>12</v>
      </c>
      <c r="U49" s="318">
        <f>'Reporte Componentes R1'!M326</f>
        <v>0</v>
      </c>
      <c r="V49" s="319">
        <f>'Reporte Componentes R1'!N326</f>
        <v>0</v>
      </c>
      <c r="W49" s="319">
        <f>'Reporte Componentes R1'!O326</f>
        <v>0</v>
      </c>
      <c r="X49" s="319">
        <f>'Reporte Componentes R1'!P326</f>
        <v>0</v>
      </c>
      <c r="Y49" s="320">
        <f>'Reporte Componentes R1'!Q326</f>
        <v>0</v>
      </c>
      <c r="Z49" s="321">
        <f>-L49</f>
        <v>0</v>
      </c>
      <c r="AA49" s="322">
        <f>'Reporte Componentes R1'!R326+'Reporte Componentes R1'!V326+'Reporte Componentes R1'!U326</f>
        <v>0</v>
      </c>
      <c r="AB49" s="296">
        <f>N49</f>
        <v>0</v>
      </c>
      <c r="AC49" s="322">
        <f>'Reporte Componentes R1'!T326+'Reporte Componentes R1'!W326+'Reporte Componentes R1'!X326+'Reporte Componentes R1'!Y326+'Reporte Componentes R1'!Z326+'Reporte Componentes R1'!S326</f>
        <v>0</v>
      </c>
      <c r="AD49" s="293">
        <f t="shared" si="18"/>
        <v>0</v>
      </c>
      <c r="AE49" s="293">
        <f>'Reporte Componentes R1'!F327</f>
        <v>0</v>
      </c>
      <c r="AF49" s="324">
        <f t="shared" ref="AF49:AF51" si="19">SUM(U49:AD49)</f>
        <v>0</v>
      </c>
      <c r="AG49" s="524">
        <f t="shared" ref="AG49:AG51" si="20">(AF49-O49)</f>
        <v>0</v>
      </c>
      <c r="AH49" s="1" t="b">
        <f t="shared" si="15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R1'!F446</f>
        <v>309350</v>
      </c>
      <c r="E50" s="294">
        <f>'Reporte Componentes R1'!G446</f>
        <v>14115.53</v>
      </c>
      <c r="F50" s="294">
        <f>'Reporte Componentes R1'!H446</f>
        <v>7860.38</v>
      </c>
      <c r="G50" s="294">
        <f>'Reporte Componentes R1'!I446</f>
        <v>4733.42</v>
      </c>
      <c r="H50" s="294">
        <f>'Reporte Componentes R1'!J446</f>
        <v>53691.78</v>
      </c>
      <c r="I50" s="294">
        <f>'Reporte Componentes R1'!K446</f>
        <v>3705.22</v>
      </c>
      <c r="J50" s="290">
        <v>0</v>
      </c>
      <c r="K50" s="297">
        <f t="shared" si="16"/>
        <v>225243.66999999998</v>
      </c>
      <c r="L50" s="296">
        <v>0</v>
      </c>
      <c r="M50" s="297">
        <f>K50-L50</f>
        <v>225243.66999999998</v>
      </c>
      <c r="N50" s="296">
        <f>'Reporte Componentes R1'!L446</f>
        <v>0</v>
      </c>
      <c r="O50" s="297">
        <f t="shared" si="17"/>
        <v>225243.66999999998</v>
      </c>
      <c r="Q50" s="308"/>
      <c r="S50" s="316">
        <v>4</v>
      </c>
      <c r="T50" s="317" t="s">
        <v>13</v>
      </c>
      <c r="U50" s="318">
        <f>'Reporte Componentes R1'!M446</f>
        <v>27762.35</v>
      </c>
      <c r="V50" s="319">
        <f>'Reporte Componentes R1'!N446</f>
        <v>31827.74</v>
      </c>
      <c r="W50" s="319">
        <f>'Reporte Componentes R1'!O446</f>
        <v>169721.42</v>
      </c>
      <c r="X50" s="319">
        <f>'Reporte Componentes R1'!P446</f>
        <v>37127.96</v>
      </c>
      <c r="Y50" s="320">
        <f>'Reporte Componentes R1'!Q446</f>
        <v>6045.35</v>
      </c>
      <c r="Z50" s="321">
        <f>-L50</f>
        <v>0</v>
      </c>
      <c r="AA50" s="322">
        <f>'Reporte Componentes R1'!R446+'Reporte Componentes R1'!V446+'Reporte Componentes R1'!U446</f>
        <v>-6.48</v>
      </c>
      <c r="AB50" s="296">
        <f>N50</f>
        <v>0</v>
      </c>
      <c r="AC50" s="322">
        <f>'Reporte Componentes R1'!T446+'Reporte Componentes R1'!W446+'Reporte Componentes R1'!X446+'Reporte Componentes R1'!Y446+'Reporte Componentes R1'!Z446+'Reporte Componentes R1'!S446</f>
        <v>0</v>
      </c>
      <c r="AD50" s="293">
        <f t="shared" si="18"/>
        <v>-47234.67</v>
      </c>
      <c r="AE50" s="293">
        <f>'Reporte Componentes R1'!F447</f>
        <v>-47234.67</v>
      </c>
      <c r="AF50" s="324">
        <f t="shared" si="19"/>
        <v>225243.67000000004</v>
      </c>
      <c r="AG50" s="524">
        <f t="shared" si="20"/>
        <v>5.8207660913467407E-11</v>
      </c>
      <c r="AH50" s="1" t="b">
        <f t="shared" si="15"/>
        <v>1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R1'!F520</f>
        <v>0</v>
      </c>
      <c r="E51" s="299">
        <f>'Reporte Componentes R1'!G520</f>
        <v>0</v>
      </c>
      <c r="F51" s="299">
        <f>'Reporte Componentes R1'!H520</f>
        <v>0</v>
      </c>
      <c r="G51" s="299">
        <f>'Reporte Componentes R1'!I520</f>
        <v>0</v>
      </c>
      <c r="H51" s="299">
        <f>'Reporte Componentes R1'!J520</f>
        <v>0</v>
      </c>
      <c r="I51" s="299">
        <f>'Reporte Componentes R1'!K520</f>
        <v>0</v>
      </c>
      <c r="J51" s="291">
        <v>0</v>
      </c>
      <c r="K51" s="297">
        <f t="shared" si="16"/>
        <v>0</v>
      </c>
      <c r="L51" s="296">
        <v>0</v>
      </c>
      <c r="M51" s="300">
        <f>K51-L51</f>
        <v>0</v>
      </c>
      <c r="N51" s="301">
        <f>'Reporte Componentes R1'!L520</f>
        <v>0</v>
      </c>
      <c r="O51" s="300">
        <f t="shared" si="17"/>
        <v>0</v>
      </c>
      <c r="Q51" s="308"/>
      <c r="S51" s="326">
        <v>5</v>
      </c>
      <c r="T51" s="327" t="s">
        <v>14</v>
      </c>
      <c r="U51" s="298">
        <f>'Reporte Componentes R1'!M520</f>
        <v>0</v>
      </c>
      <c r="V51" s="299">
        <f>'Reporte Componentes R1'!N520</f>
        <v>0</v>
      </c>
      <c r="W51" s="299">
        <f>'Reporte Componentes R1'!O520</f>
        <v>0</v>
      </c>
      <c r="X51" s="299">
        <f>'Reporte Componentes R1'!P520</f>
        <v>0</v>
      </c>
      <c r="Y51" s="291">
        <f>'Reporte Componentes R1'!Q520</f>
        <v>0</v>
      </c>
      <c r="Z51" s="321">
        <f>-L51</f>
        <v>0</v>
      </c>
      <c r="AA51" s="322">
        <f>'Reporte Componentes R1'!R520+'Reporte Componentes R1'!V520+'Reporte Componentes R1'!U520</f>
        <v>0</v>
      </c>
      <c r="AB51" s="296">
        <f>N51</f>
        <v>0</v>
      </c>
      <c r="AC51" s="322">
        <f>'Reporte Componentes R1'!T520+'Reporte Componentes R1'!W520+'Reporte Componentes R1'!X520+'Reporte Componentes R1'!Y520+'Reporte Componentes R1'!Z520+'Reporte Componentes R1'!S520</f>
        <v>0</v>
      </c>
      <c r="AD51" s="293">
        <f t="shared" si="18"/>
        <v>0</v>
      </c>
      <c r="AE51" s="293">
        <f>'Reporte Componentes R1'!F521</f>
        <v>0</v>
      </c>
      <c r="AF51" s="324">
        <f t="shared" si="19"/>
        <v>0</v>
      </c>
      <c r="AG51" s="525">
        <f t="shared" si="20"/>
        <v>0</v>
      </c>
      <c r="AH51" s="1" t="b">
        <f t="shared" si="15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1">SUM(D47:D51)</f>
        <v>309350</v>
      </c>
      <c r="E52" s="292">
        <f t="shared" si="21"/>
        <v>14115.53</v>
      </c>
      <c r="F52" s="292">
        <f t="shared" si="21"/>
        <v>7860.38</v>
      </c>
      <c r="G52" s="292">
        <f t="shared" ref="G52" si="22">SUM(G47:G51)</f>
        <v>4733.42</v>
      </c>
      <c r="H52" s="292">
        <f t="shared" si="21"/>
        <v>53691.78</v>
      </c>
      <c r="I52" s="292">
        <f t="shared" si="21"/>
        <v>3705.22</v>
      </c>
      <c r="J52" s="292">
        <f t="shared" si="21"/>
        <v>0</v>
      </c>
      <c r="K52" s="302">
        <f t="shared" si="21"/>
        <v>225243.66999999998</v>
      </c>
      <c r="L52" s="303">
        <f t="shared" si="21"/>
        <v>0</v>
      </c>
      <c r="M52" s="304">
        <f t="shared" si="21"/>
        <v>225243.66999999998</v>
      </c>
      <c r="N52" s="303">
        <f t="shared" si="21"/>
        <v>0</v>
      </c>
      <c r="O52" s="304">
        <f t="shared" si="21"/>
        <v>225243.66999999998</v>
      </c>
      <c r="P52" s="331"/>
      <c r="Q52" s="308"/>
      <c r="S52" s="329"/>
      <c r="T52" s="330" t="s">
        <v>2</v>
      </c>
      <c r="U52" s="332">
        <f>SUM(U47:U51)</f>
        <v>27762.35</v>
      </c>
      <c r="V52" s="332">
        <f t="shared" ref="V52:AG52" si="23">SUM(V47:V51)</f>
        <v>31827.74</v>
      </c>
      <c r="W52" s="332">
        <f t="shared" si="23"/>
        <v>169721.42</v>
      </c>
      <c r="X52" s="332">
        <f t="shared" si="23"/>
        <v>37127.96</v>
      </c>
      <c r="Y52" s="332">
        <f t="shared" si="23"/>
        <v>6045.35</v>
      </c>
      <c r="Z52" s="292">
        <f t="shared" si="23"/>
        <v>0</v>
      </c>
      <c r="AA52" s="292">
        <f t="shared" si="23"/>
        <v>-6.48</v>
      </c>
      <c r="AB52" s="292">
        <f t="shared" si="23"/>
        <v>0</v>
      </c>
      <c r="AC52" s="292">
        <f t="shared" si="23"/>
        <v>0</v>
      </c>
      <c r="AD52" s="292">
        <f>SUM(AD47:AD51)</f>
        <v>-47234.67</v>
      </c>
      <c r="AE52" s="292">
        <f>SUM(AE47:AE51)</f>
        <v>-47234.67</v>
      </c>
      <c r="AF52" s="333">
        <f t="shared" si="23"/>
        <v>225243.67000000004</v>
      </c>
      <c r="AG52" s="526">
        <f t="shared" si="23"/>
        <v>5.8207660913467407E-11</v>
      </c>
      <c r="AH52" s="1" t="b">
        <f t="shared" si="15"/>
        <v>1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272484.82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0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R4'!D76</f>
        <v>0</v>
      </c>
      <c r="E66" s="294">
        <f>'Reversion Pagos R4'!E76</f>
        <v>0</v>
      </c>
      <c r="F66" s="294">
        <f>'Reversion Pagos R4'!F76</f>
        <v>0</v>
      </c>
      <c r="G66" s="294">
        <f>'Reversion Pagos R4'!G76</f>
        <v>0</v>
      </c>
      <c r="H66" s="294">
        <f>'Reversion Pagos R4'!H76</f>
        <v>0</v>
      </c>
      <c r="I66" s="294">
        <f>'Reversion Pagos R4'!I76</f>
        <v>0</v>
      </c>
      <c r="J66" s="290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R4'!P76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R4'!J76</f>
        <v>0</v>
      </c>
      <c r="V66" s="310">
        <f>'Reversion Pagos R4'!K76</f>
        <v>0</v>
      </c>
      <c r="W66" s="310">
        <f>'Reversion Pagos R4'!L76</f>
        <v>0</v>
      </c>
      <c r="X66" s="310">
        <f>'Reversion Pagos R4'!M76</f>
        <v>0</v>
      </c>
      <c r="Y66" s="311">
        <f>'Reversion Pagos R4'!N76</f>
        <v>0</v>
      </c>
      <c r="Z66" s="312">
        <f>-L66</f>
        <v>0</v>
      </c>
      <c r="AA66" s="322">
        <f>'Reversion Pagos R4'!O76</f>
        <v>0</v>
      </c>
      <c r="AB66" s="296">
        <f>N66</f>
        <v>0</v>
      </c>
      <c r="AC66" s="322">
        <f>+'Reversion Pagos R4'!Q76+'Reversion Pagos R4'!R76</f>
        <v>0</v>
      </c>
      <c r="AD66" s="293">
        <f>-J66+AE66</f>
        <v>0</v>
      </c>
      <c r="AE66" s="293">
        <f>'Reversion Pagos R4'!D77</f>
        <v>0</v>
      </c>
      <c r="AF66" s="315">
        <f>SUM(U66:AD66)</f>
        <v>0</v>
      </c>
      <c r="AG66" s="523">
        <f>(AF66-O66)</f>
        <v>0</v>
      </c>
      <c r="AH66" s="1" t="b">
        <f t="shared" ref="AH66:AH71" si="24">INT(AG66)=0</f>
        <v>1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R4'!D171</f>
        <v>0</v>
      </c>
      <c r="E67" s="294">
        <f>'Reversion Pagos R4'!E171</f>
        <v>0</v>
      </c>
      <c r="F67" s="294">
        <f>'Reversion Pagos R4'!F171</f>
        <v>0</v>
      </c>
      <c r="G67" s="294">
        <f>'Reversion Pagos R4'!G171</f>
        <v>0</v>
      </c>
      <c r="H67" s="294">
        <f>'Reversion Pagos R4'!H171</f>
        <v>0</v>
      </c>
      <c r="I67" s="294">
        <f>'Reversion Pagos R4'!I171</f>
        <v>0</v>
      </c>
      <c r="J67" s="290">
        <v>0</v>
      </c>
      <c r="K67" s="297">
        <f t="shared" ref="K67:K70" si="25">D67-E67-F67-G67-H67-I67-J67</f>
        <v>0</v>
      </c>
      <c r="L67" s="296">
        <v>0</v>
      </c>
      <c r="M67" s="297">
        <f>K67-L67</f>
        <v>0</v>
      </c>
      <c r="N67" s="296">
        <f>'Reversion Pagos R4'!P171</f>
        <v>0</v>
      </c>
      <c r="O67" s="297">
        <f t="shared" ref="O67:O70" si="26">M67+N67</f>
        <v>0</v>
      </c>
      <c r="Q67" s="308"/>
      <c r="S67" s="316">
        <v>2</v>
      </c>
      <c r="T67" s="317" t="s">
        <v>11</v>
      </c>
      <c r="U67" s="318">
        <f>'Reversion Pagos R4'!J171</f>
        <v>0</v>
      </c>
      <c r="V67" s="319">
        <f>'Reversion Pagos R4'!K171</f>
        <v>0</v>
      </c>
      <c r="W67" s="319">
        <f>'Reversion Pagos R4'!L171</f>
        <v>0</v>
      </c>
      <c r="X67" s="319">
        <f>'Reversion Pagos R4'!M171</f>
        <v>0</v>
      </c>
      <c r="Y67" s="320">
        <f>'Reversion Pagos R4'!N171</f>
        <v>0</v>
      </c>
      <c r="Z67" s="321">
        <f t="shared" ref="Z67:Z70" si="27">-L67</f>
        <v>0</v>
      </c>
      <c r="AA67" s="322">
        <f>'Reversion Pagos R4'!O171</f>
        <v>0</v>
      </c>
      <c r="AB67" s="296">
        <f t="shared" ref="AB67:AB70" si="28">N67</f>
        <v>0</v>
      </c>
      <c r="AC67" s="322">
        <f>+'Reversion Pagos R4'!Q171+'Reversion Pagos R4'!R171</f>
        <v>0</v>
      </c>
      <c r="AD67" s="293">
        <f t="shared" ref="AD67:AD70" si="29">-J67+AE67</f>
        <v>0</v>
      </c>
      <c r="AE67" s="293">
        <f>'Reversion Pagos R4'!D172</f>
        <v>0</v>
      </c>
      <c r="AF67" s="324">
        <f>SUM(U67:AD67)</f>
        <v>0</v>
      </c>
      <c r="AG67" s="524">
        <f>(AF67-O67)</f>
        <v>0</v>
      </c>
      <c r="AH67" s="1" t="b">
        <f t="shared" si="24"/>
        <v>1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R4'!D202</f>
        <v>0</v>
      </c>
      <c r="E68" s="294">
        <f>'Reversion Pagos R4'!E202</f>
        <v>0</v>
      </c>
      <c r="F68" s="294">
        <f>'Reversion Pagos R4'!F202</f>
        <v>0</v>
      </c>
      <c r="G68" s="294">
        <f>'Reversion Pagos R4'!G202</f>
        <v>0</v>
      </c>
      <c r="H68" s="294">
        <f>'Reversion Pagos R4'!H202</f>
        <v>0</v>
      </c>
      <c r="I68" s="294">
        <f>'Reversion Pagos R4'!I202</f>
        <v>0</v>
      </c>
      <c r="J68" s="290">
        <v>0</v>
      </c>
      <c r="K68" s="297">
        <f t="shared" si="25"/>
        <v>0</v>
      </c>
      <c r="L68" s="296">
        <v>0</v>
      </c>
      <c r="M68" s="297">
        <f>K68-L68</f>
        <v>0</v>
      </c>
      <c r="N68" s="296">
        <f>'Reversion Pagos R4'!P202</f>
        <v>0</v>
      </c>
      <c r="O68" s="297">
        <f t="shared" si="26"/>
        <v>0</v>
      </c>
      <c r="Q68" s="308"/>
      <c r="S68" s="316">
        <v>3</v>
      </c>
      <c r="T68" s="317" t="s">
        <v>12</v>
      </c>
      <c r="U68" s="318">
        <f>'Reversion Pagos R4'!J202</f>
        <v>0</v>
      </c>
      <c r="V68" s="319">
        <f>'Reversion Pagos R4'!K202</f>
        <v>0</v>
      </c>
      <c r="W68" s="319">
        <f>'Reversion Pagos R4'!L202</f>
        <v>0</v>
      </c>
      <c r="X68" s="319">
        <f>'Reversion Pagos R4'!M202</f>
        <v>0</v>
      </c>
      <c r="Y68" s="320">
        <f>'Reversion Pagos R4'!N202</f>
        <v>0</v>
      </c>
      <c r="Z68" s="321">
        <f t="shared" si="27"/>
        <v>0</v>
      </c>
      <c r="AA68" s="322">
        <f>'Reversion Pagos R4'!O202</f>
        <v>0</v>
      </c>
      <c r="AB68" s="296">
        <f t="shared" si="28"/>
        <v>0</v>
      </c>
      <c r="AC68" s="322">
        <f>+'Reversion Pagos R4'!Q202+'Reversion Pagos R4'!R202</f>
        <v>0</v>
      </c>
      <c r="AD68" s="293">
        <f t="shared" si="29"/>
        <v>0</v>
      </c>
      <c r="AE68" s="293">
        <f>'Reversion Pagos R4'!D203</f>
        <v>0</v>
      </c>
      <c r="AF68" s="324">
        <f t="shared" ref="AF68:AF70" si="30">SUM(U68:AD68)</f>
        <v>0</v>
      </c>
      <c r="AG68" s="524">
        <f t="shared" ref="AG68:AG70" si="31">(AF68-O68)</f>
        <v>0</v>
      </c>
      <c r="AH68" s="1" t="b">
        <f t="shared" si="24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R4'!D316</f>
        <v>-554080</v>
      </c>
      <c r="E69" s="294">
        <f>'Reversion Pagos R4'!E316</f>
        <v>-34477.39</v>
      </c>
      <c r="F69" s="294">
        <f>'Reversion Pagos R4'!F316</f>
        <v>-18655.84</v>
      </c>
      <c r="G69" s="294">
        <f>'Reversion Pagos R4'!G316</f>
        <v>-10168.719999999999</v>
      </c>
      <c r="H69" s="294">
        <f>'Reversion Pagos R4'!H316</f>
        <v>-130219.57</v>
      </c>
      <c r="I69" s="294">
        <f>'Reversion Pagos R4'!I316</f>
        <v>-3589.29</v>
      </c>
      <c r="J69" s="290">
        <v>0</v>
      </c>
      <c r="K69" s="297">
        <f t="shared" si="25"/>
        <v>-356969.19</v>
      </c>
      <c r="L69" s="296">
        <v>0</v>
      </c>
      <c r="M69" s="297">
        <f>K69-L69</f>
        <v>-356969.19</v>
      </c>
      <c r="N69" s="296">
        <f>'Reversion Pagos R4'!P316</f>
        <v>0</v>
      </c>
      <c r="O69" s="297">
        <f t="shared" si="26"/>
        <v>-356969.19</v>
      </c>
      <c r="Q69" s="308"/>
      <c r="S69" s="316">
        <v>4</v>
      </c>
      <c r="T69" s="317" t="s">
        <v>13</v>
      </c>
      <c r="U69" s="318">
        <f>'Reversion Pagos R4'!J316</f>
        <v>-31485.42</v>
      </c>
      <c r="V69" s="319">
        <f>'Reversion Pagos R4'!K316</f>
        <v>-41315.21</v>
      </c>
      <c r="W69" s="319">
        <f>'Reversion Pagos R4'!L316</f>
        <v>-197891.76</v>
      </c>
      <c r="X69" s="319">
        <f>'Reversion Pagos R4'!M316</f>
        <v>-91670.04</v>
      </c>
      <c r="Y69" s="320">
        <f>'Reversion Pagos R4'!N316</f>
        <v>-5856.25</v>
      </c>
      <c r="Z69" s="321">
        <f t="shared" si="27"/>
        <v>0</v>
      </c>
      <c r="AA69" s="322">
        <f>'Reversion Pagos R4'!O316</f>
        <v>-8.99</v>
      </c>
      <c r="AB69" s="296">
        <f t="shared" si="28"/>
        <v>0</v>
      </c>
      <c r="AC69" s="322">
        <f>+'Reversion Pagos R4'!Q316+'Reversion Pagos R4'!R316</f>
        <v>0</v>
      </c>
      <c r="AD69" s="293">
        <f t="shared" si="29"/>
        <v>11258.48</v>
      </c>
      <c r="AE69" s="293">
        <f>'Reversion Pagos R4'!D317</f>
        <v>11258.48</v>
      </c>
      <c r="AF69" s="324">
        <f>SUM(U69:AD69)</f>
        <v>-356969.19</v>
      </c>
      <c r="AG69" s="524">
        <f>(AF69-O69)</f>
        <v>0</v>
      </c>
      <c r="AH69" s="1" t="b">
        <f t="shared" si="24"/>
        <v>1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R4'!D345</f>
        <v>0</v>
      </c>
      <c r="E70" s="299">
        <f>'Reversion Pagos R4'!E345</f>
        <v>0</v>
      </c>
      <c r="F70" s="299">
        <f>'Reversion Pagos R4'!F345</f>
        <v>0</v>
      </c>
      <c r="G70" s="299">
        <f>'Reversion Pagos R4'!G345</f>
        <v>0</v>
      </c>
      <c r="H70" s="299">
        <f>'Reversion Pagos R4'!H345</f>
        <v>0</v>
      </c>
      <c r="I70" s="299">
        <f>'Reversion Pagos R4'!I345</f>
        <v>0</v>
      </c>
      <c r="J70" s="291">
        <v>0</v>
      </c>
      <c r="K70" s="297">
        <f t="shared" si="25"/>
        <v>0</v>
      </c>
      <c r="L70" s="296">
        <v>0</v>
      </c>
      <c r="M70" s="300">
        <f>K70-L70</f>
        <v>0</v>
      </c>
      <c r="N70" s="296">
        <f>'Reversion Pagos R4'!P345</f>
        <v>0</v>
      </c>
      <c r="O70" s="300">
        <f t="shared" si="26"/>
        <v>0</v>
      </c>
      <c r="Q70" s="308"/>
      <c r="S70" s="326">
        <v>5</v>
      </c>
      <c r="T70" s="327" t="s">
        <v>14</v>
      </c>
      <c r="U70" s="298">
        <f>'Reversion Pagos R4'!J345</f>
        <v>0</v>
      </c>
      <c r="V70" s="299">
        <f>'Reversion Pagos R4'!K345</f>
        <v>0</v>
      </c>
      <c r="W70" s="299">
        <f>'Reversion Pagos R4'!L345</f>
        <v>0</v>
      </c>
      <c r="X70" s="299">
        <f>'Reversion Pagos R4'!M345</f>
        <v>0</v>
      </c>
      <c r="Y70" s="291">
        <f>'Reversion Pagos R4'!N345</f>
        <v>0</v>
      </c>
      <c r="Z70" s="321">
        <f t="shared" si="27"/>
        <v>0</v>
      </c>
      <c r="AA70" s="322">
        <f>'Reversion Pagos R4'!O345</f>
        <v>0</v>
      </c>
      <c r="AB70" s="296">
        <f t="shared" si="28"/>
        <v>0</v>
      </c>
      <c r="AC70" s="322">
        <f>+'Reversion Pagos R4'!Q345+'Reversion Pagos R4'!R345</f>
        <v>0</v>
      </c>
      <c r="AD70" s="293">
        <f t="shared" si="29"/>
        <v>0</v>
      </c>
      <c r="AE70" s="293">
        <f>'Reversion Pagos R4'!D346</f>
        <v>0</v>
      </c>
      <c r="AF70" s="324">
        <f t="shared" si="30"/>
        <v>0</v>
      </c>
      <c r="AG70" s="525">
        <f t="shared" si="31"/>
        <v>0</v>
      </c>
      <c r="AH70" s="1" t="b">
        <f t="shared" si="24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2">SUM(D66:D70)</f>
        <v>-554080</v>
      </c>
      <c r="E71" s="292">
        <f t="shared" si="32"/>
        <v>-34477.39</v>
      </c>
      <c r="F71" s="292">
        <f t="shared" si="32"/>
        <v>-18655.84</v>
      </c>
      <c r="G71" s="292">
        <f t="shared" si="32"/>
        <v>-10168.719999999999</v>
      </c>
      <c r="H71" s="292">
        <f t="shared" si="32"/>
        <v>-130219.57</v>
      </c>
      <c r="I71" s="292">
        <f t="shared" si="32"/>
        <v>-3589.29</v>
      </c>
      <c r="J71" s="292">
        <f t="shared" si="32"/>
        <v>0</v>
      </c>
      <c r="K71" s="302">
        <f t="shared" si="32"/>
        <v>-356969.19</v>
      </c>
      <c r="L71" s="303">
        <f t="shared" si="32"/>
        <v>0</v>
      </c>
      <c r="M71" s="304">
        <f t="shared" si="32"/>
        <v>-356969.19</v>
      </c>
      <c r="N71" s="303">
        <f t="shared" si="32"/>
        <v>0</v>
      </c>
      <c r="O71" s="304">
        <f t="shared" si="32"/>
        <v>-356969.19</v>
      </c>
      <c r="P71" s="331"/>
      <c r="Q71" s="308"/>
      <c r="S71" s="329"/>
      <c r="T71" s="330" t="s">
        <v>2</v>
      </c>
      <c r="U71" s="332">
        <f>SUM(U66:U70)</f>
        <v>-31485.42</v>
      </c>
      <c r="V71" s="332">
        <f t="shared" ref="V71:AG71" si="33">SUM(V66:V70)</f>
        <v>-41315.21</v>
      </c>
      <c r="W71" s="332">
        <f t="shared" si="33"/>
        <v>-197891.76</v>
      </c>
      <c r="X71" s="332">
        <f t="shared" si="33"/>
        <v>-91670.04</v>
      </c>
      <c r="Y71" s="332">
        <f t="shared" si="33"/>
        <v>-5856.25</v>
      </c>
      <c r="Z71" s="292">
        <f t="shared" si="33"/>
        <v>0</v>
      </c>
      <c r="AA71" s="292">
        <f>SUM(AA66:AA70)</f>
        <v>-8.99</v>
      </c>
      <c r="AB71" s="292">
        <f t="shared" si="33"/>
        <v>0</v>
      </c>
      <c r="AC71" s="292">
        <f t="shared" ref="AC71" si="34">SUM(AC66:AC70)</f>
        <v>0</v>
      </c>
      <c r="AD71" s="292">
        <f>SUM(AD66:AD70)</f>
        <v>11258.48</v>
      </c>
      <c r="AE71" s="292">
        <f>SUM(AE66:AE70)</f>
        <v>11258.48</v>
      </c>
      <c r="AF71" s="333">
        <f t="shared" si="33"/>
        <v>-356969.19</v>
      </c>
      <c r="AG71" s="526">
        <f t="shared" si="33"/>
        <v>0</v>
      </c>
      <c r="AH71" s="1" t="b">
        <f t="shared" si="24"/>
        <v>1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-368218.68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0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ht="12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f>'AJUSTES - SF-T'!J47</f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f>-L85</f>
        <v>0</v>
      </c>
      <c r="AA85" s="313">
        <v>0</v>
      </c>
      <c r="AB85" s="296">
        <f>N85</f>
        <v>0</v>
      </c>
      <c r="AC85" s="313">
        <v>0</v>
      </c>
      <c r="AD85" s="293">
        <f>-J85+AE85</f>
        <v>0</v>
      </c>
      <c r="AE85" s="293">
        <v>0</v>
      </c>
      <c r="AF85" s="315">
        <f>SUM(U85:AD85)</f>
        <v>0</v>
      </c>
      <c r="AG85" s="523">
        <f>AF85-O85</f>
        <v>0</v>
      </c>
      <c r="AH85" s="1" t="b">
        <f t="shared" ref="AH85:AH90" si="35"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f>'AJUSTES - SF-T'!D48</f>
        <v>0</v>
      </c>
      <c r="E86" s="294">
        <f>'AJUSTES - SF-T'!E48</f>
        <v>0</v>
      </c>
      <c r="F86" s="294">
        <f>'AJUSTES - SF-T'!F48</f>
        <v>0</v>
      </c>
      <c r="G86" s="294">
        <f>'AJUSTES - SF-T'!G48</f>
        <v>0</v>
      </c>
      <c r="H86" s="294">
        <f>'AJUSTES - SF-T'!H48</f>
        <v>0</v>
      </c>
      <c r="I86" s="294">
        <f>'AJUSTES - SF-T'!I48</f>
        <v>0</v>
      </c>
      <c r="J86" s="290">
        <f>'AJUSTES - SF-T'!J48</f>
        <v>0</v>
      </c>
      <c r="K86" s="297">
        <f t="shared" ref="K86:K89" si="36">D86-E86-F86-G86-H86-I86-J86</f>
        <v>0</v>
      </c>
      <c r="L86" s="296">
        <v>0</v>
      </c>
      <c r="M86" s="297">
        <f>K86-L86</f>
        <v>0</v>
      </c>
      <c r="N86" s="296">
        <f>'AJUSTES - SF-T'!N48</f>
        <v>0</v>
      </c>
      <c r="O86" s="297">
        <f t="shared" ref="O86:O89" si="37">M86+N86</f>
        <v>0</v>
      </c>
      <c r="Q86" s="308"/>
      <c r="S86" s="316">
        <v>2</v>
      </c>
      <c r="T86" s="317" t="s">
        <v>11</v>
      </c>
      <c r="U86" s="318">
        <f>'AJUSTES - SF-T'!U48</f>
        <v>0</v>
      </c>
      <c r="V86" s="319">
        <f>'AJUSTES - SF-T'!V48</f>
        <v>0</v>
      </c>
      <c r="W86" s="319">
        <f>'AJUSTES - SF-T'!W48</f>
        <v>0</v>
      </c>
      <c r="X86" s="319">
        <f>'AJUSTES - SF-T'!X48</f>
        <v>0</v>
      </c>
      <c r="Y86" s="320">
        <f>'AJUSTES - SF-T'!Y48</f>
        <v>0</v>
      </c>
      <c r="Z86" s="321">
        <f>-L86</f>
        <v>0</v>
      </c>
      <c r="AA86" s="322">
        <f>'AJUSTES - SF-T'!AA48</f>
        <v>0</v>
      </c>
      <c r="AB86" s="296">
        <f>N86</f>
        <v>0</v>
      </c>
      <c r="AC86" s="322">
        <v>0</v>
      </c>
      <c r="AD86" s="293">
        <f t="shared" ref="AD86:AD88" si="38">-J86+AE86</f>
        <v>0</v>
      </c>
      <c r="AE86" s="293">
        <f>'AJUSTES - SF-T'!AD48</f>
        <v>0</v>
      </c>
      <c r="AF86" s="324">
        <f>SUM(U86:AD86)</f>
        <v>0</v>
      </c>
      <c r="AG86" s="524">
        <f>AF86-O86</f>
        <v>0</v>
      </c>
      <c r="AH86" s="1" t="b">
        <f t="shared" si="35"/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6"/>
        <v>0</v>
      </c>
      <c r="L87" s="296">
        <v>0</v>
      </c>
      <c r="M87" s="297">
        <f>K87-L87</f>
        <v>0</v>
      </c>
      <c r="N87" s="296">
        <v>0</v>
      </c>
      <c r="O87" s="297">
        <f t="shared" si="37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v>0</v>
      </c>
      <c r="AA87" s="322">
        <v>0</v>
      </c>
      <c r="AB87" s="296">
        <v>0</v>
      </c>
      <c r="AC87" s="322">
        <v>0</v>
      </c>
      <c r="AD87" s="293">
        <f t="shared" si="38"/>
        <v>0</v>
      </c>
      <c r="AE87" s="293">
        <v>0</v>
      </c>
      <c r="AF87" s="324">
        <f t="shared" ref="AF87:AF89" si="39">SUM(U87:AD87)</f>
        <v>0</v>
      </c>
      <c r="AG87" s="524">
        <f>AF87-O87</f>
        <v>0</v>
      </c>
      <c r="AH87" s="1" t="b">
        <f t="shared" si="35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f>'AJUSTES - SF-T'!D50</f>
        <v>0</v>
      </c>
      <c r="E88" s="294">
        <f>'AJUSTES - SF-T'!E50</f>
        <v>0</v>
      </c>
      <c r="F88" s="294">
        <f>'AJUSTES - SF-T'!F50</f>
        <v>0</v>
      </c>
      <c r="G88" s="294">
        <f>'AJUSTES - SF-T'!G50</f>
        <v>0</v>
      </c>
      <c r="H88" s="294">
        <f>'AJUSTES - SF-T'!H50</f>
        <v>0</v>
      </c>
      <c r="I88" s="294">
        <f>'AJUSTES - SF-T'!I50</f>
        <v>0</v>
      </c>
      <c r="J88" s="290">
        <f>'AJUSTES - SF-T'!J50</f>
        <v>0</v>
      </c>
      <c r="K88" s="297">
        <f t="shared" si="36"/>
        <v>0</v>
      </c>
      <c r="L88" s="296">
        <v>0</v>
      </c>
      <c r="M88" s="297">
        <f>K88-L88</f>
        <v>0</v>
      </c>
      <c r="N88" s="296">
        <f>'AJUSTES - SF-T'!N50</f>
        <v>0</v>
      </c>
      <c r="O88" s="297">
        <f t="shared" si="37"/>
        <v>0</v>
      </c>
      <c r="Q88" s="308"/>
      <c r="S88" s="316">
        <v>4</v>
      </c>
      <c r="T88" s="317" t="s">
        <v>13</v>
      </c>
      <c r="U88" s="318">
        <f>'AJUSTES - SF-T'!U50</f>
        <v>0</v>
      </c>
      <c r="V88" s="319">
        <f>'AJUSTES - SF-T'!V50</f>
        <v>0</v>
      </c>
      <c r="W88" s="319">
        <f>'AJUSTES - SF-T'!W50</f>
        <v>0</v>
      </c>
      <c r="X88" s="319">
        <f>'AJUSTES - SF-T'!X50</f>
        <v>0</v>
      </c>
      <c r="Y88" s="320">
        <f>'AJUSTES - SF-T'!Y50</f>
        <v>0</v>
      </c>
      <c r="Z88" s="321">
        <f>-L88</f>
        <v>0</v>
      </c>
      <c r="AA88" s="322">
        <f>'AJUSTES - SF-T'!AA50</f>
        <v>0</v>
      </c>
      <c r="AB88" s="296">
        <f>N88</f>
        <v>0</v>
      </c>
      <c r="AC88" s="322">
        <v>0</v>
      </c>
      <c r="AD88" s="293">
        <f t="shared" si="38"/>
        <v>0</v>
      </c>
      <c r="AE88" s="293">
        <f>'AJUSTES - SF-T'!AD50</f>
        <v>0</v>
      </c>
      <c r="AF88" s="324">
        <f t="shared" si="39"/>
        <v>0</v>
      </c>
      <c r="AG88" s="524">
        <f>AF88-O88</f>
        <v>0</v>
      </c>
      <c r="AH88" s="1" t="b">
        <f t="shared" si="35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6"/>
        <v>0</v>
      </c>
      <c r="L89" s="296">
        <v>0</v>
      </c>
      <c r="M89" s="300">
        <f>K89-L89</f>
        <v>0</v>
      </c>
      <c r="N89" s="301">
        <v>0</v>
      </c>
      <c r="O89" s="300">
        <f t="shared" si="37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v>0</v>
      </c>
      <c r="AA89" s="322">
        <v>0</v>
      </c>
      <c r="AB89" s="296">
        <v>0</v>
      </c>
      <c r="AC89" s="322">
        <v>0</v>
      </c>
      <c r="AD89" s="293">
        <v>0</v>
      </c>
      <c r="AE89" s="293">
        <v>0</v>
      </c>
      <c r="AF89" s="324">
        <f t="shared" si="39"/>
        <v>0</v>
      </c>
      <c r="AG89" s="525">
        <f>AF89-O89</f>
        <v>0</v>
      </c>
      <c r="AH89" s="1" t="b">
        <f t="shared" si="35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 t="shared" ref="D90:O90" si="40">SUM(D85:D89)</f>
        <v>0</v>
      </c>
      <c r="E90" s="292">
        <f t="shared" si="40"/>
        <v>0</v>
      </c>
      <c r="F90" s="292">
        <f t="shared" si="40"/>
        <v>0</v>
      </c>
      <c r="G90" s="292">
        <f t="shared" si="40"/>
        <v>0</v>
      </c>
      <c r="H90" s="292">
        <f t="shared" si="40"/>
        <v>0</v>
      </c>
      <c r="I90" s="292">
        <f t="shared" si="40"/>
        <v>0</v>
      </c>
      <c r="J90" s="292">
        <f t="shared" si="40"/>
        <v>0</v>
      </c>
      <c r="K90" s="302">
        <f t="shared" si="40"/>
        <v>0</v>
      </c>
      <c r="L90" s="303">
        <f t="shared" si="40"/>
        <v>0</v>
      </c>
      <c r="M90" s="304">
        <f t="shared" si="40"/>
        <v>0</v>
      </c>
      <c r="N90" s="303">
        <f t="shared" si="40"/>
        <v>0</v>
      </c>
      <c r="O90" s="304">
        <f t="shared" si="40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1">SUM(V85:V89)</f>
        <v>0</v>
      </c>
      <c r="W90" s="332">
        <f t="shared" si="41"/>
        <v>0</v>
      </c>
      <c r="X90" s="332">
        <f t="shared" si="41"/>
        <v>0</v>
      </c>
      <c r="Y90" s="332">
        <f t="shared" si="41"/>
        <v>0</v>
      </c>
      <c r="Z90" s="292">
        <f t="shared" si="41"/>
        <v>0</v>
      </c>
      <c r="AA90" s="292">
        <f t="shared" si="41"/>
        <v>0</v>
      </c>
      <c r="AB90" s="292">
        <f t="shared" si="41"/>
        <v>0</v>
      </c>
      <c r="AC90" s="292">
        <f t="shared" ref="AC90" si="42">SUM(AC85:AC89)</f>
        <v>0</v>
      </c>
      <c r="AD90" s="292">
        <f t="shared" si="41"/>
        <v>0</v>
      </c>
      <c r="AE90" s="292">
        <f t="shared" si="41"/>
        <v>0</v>
      </c>
      <c r="AF90" s="333">
        <f t="shared" si="41"/>
        <v>0</v>
      </c>
      <c r="AG90" s="526">
        <f t="shared" si="41"/>
        <v>0</v>
      </c>
      <c r="AH90" s="1" t="b">
        <f t="shared" si="35"/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0" t="s">
        <v>17</v>
      </c>
      <c r="D101" s="9">
        <f>D6</f>
        <v>46314</v>
      </c>
      <c r="F101" s="58" t="s">
        <v>213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214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0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ht="12" x14ac:dyDescent="0.25">
      <c r="B104" s="305">
        <v>1</v>
      </c>
      <c r="C104" s="306" t="s">
        <v>10</v>
      </c>
      <c r="D104" s="293">
        <f t="shared" ref="D104:J108" si="43">D9+D28+D47+D66+D85</f>
        <v>0</v>
      </c>
      <c r="E104" s="294">
        <f t="shared" si="43"/>
        <v>0</v>
      </c>
      <c r="F104" s="294">
        <f t="shared" si="43"/>
        <v>0</v>
      </c>
      <c r="G104" s="294">
        <f t="shared" si="43"/>
        <v>0</v>
      </c>
      <c r="H104" s="294">
        <f t="shared" si="43"/>
        <v>0</v>
      </c>
      <c r="I104" s="294">
        <f t="shared" si="43"/>
        <v>0</v>
      </c>
      <c r="J104" s="290">
        <f t="shared" si="43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C108" si="44">U9+U28+U47+U66+U85</f>
        <v>0</v>
      </c>
      <c r="V104" s="310">
        <f t="shared" si="44"/>
        <v>0</v>
      </c>
      <c r="W104" s="310">
        <f t="shared" si="44"/>
        <v>0</v>
      </c>
      <c r="X104" s="310">
        <f t="shared" si="44"/>
        <v>0</v>
      </c>
      <c r="Y104" s="311">
        <f t="shared" si="44"/>
        <v>0</v>
      </c>
      <c r="Z104" s="312">
        <f t="shared" si="44"/>
        <v>0</v>
      </c>
      <c r="AA104" s="313">
        <f t="shared" si="44"/>
        <v>0</v>
      </c>
      <c r="AB104" s="296">
        <f t="shared" si="44"/>
        <v>0</v>
      </c>
      <c r="AC104" s="313">
        <f t="shared" si="44"/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523">
        <f>AF104-O104</f>
        <v>0</v>
      </c>
      <c r="AH104" s="1" t="b">
        <f t="shared" ref="AH104:AH109" si="45">INT(AG104)=0</f>
        <v>1</v>
      </c>
      <c r="AI104" s="308"/>
    </row>
    <row r="105" spans="2:36" s="307" customFormat="1" ht="12" x14ac:dyDescent="0.25">
      <c r="B105" s="316">
        <v>2</v>
      </c>
      <c r="C105" s="317" t="s">
        <v>11</v>
      </c>
      <c r="D105" s="293">
        <f t="shared" si="43"/>
        <v>11762381.269999998</v>
      </c>
      <c r="E105" s="294">
        <f t="shared" si="43"/>
        <v>970731.18</v>
      </c>
      <c r="F105" s="294">
        <f t="shared" si="43"/>
        <v>533860.09000000008</v>
      </c>
      <c r="G105" s="294">
        <f t="shared" si="43"/>
        <v>192854.22</v>
      </c>
      <c r="H105" s="294">
        <f t="shared" si="43"/>
        <v>4921384.82</v>
      </c>
      <c r="I105" s="294">
        <f t="shared" si="43"/>
        <v>177446.98</v>
      </c>
      <c r="J105" s="290">
        <f t="shared" si="43"/>
        <v>0</v>
      </c>
      <c r="K105" s="297">
        <f t="shared" ref="K105:K108" si="46">D105-E105-F105-G105-H105-I105-J105</f>
        <v>4966103.9799999967</v>
      </c>
      <c r="L105" s="296">
        <f>L10+L29+L48+L67+L86</f>
        <v>0</v>
      </c>
      <c r="M105" s="297">
        <f>K105-L105</f>
        <v>4966103.9799999967</v>
      </c>
      <c r="N105" s="296">
        <f>N10+N29+N48+N67+N86</f>
        <v>0</v>
      </c>
      <c r="O105" s="297">
        <f t="shared" ref="O105:O108" si="47">M105+N105</f>
        <v>4966103.9799999967</v>
      </c>
      <c r="Q105" s="308"/>
      <c r="S105" s="316">
        <v>2</v>
      </c>
      <c r="T105" s="317" t="s">
        <v>11</v>
      </c>
      <c r="U105" s="318">
        <f t="shared" si="44"/>
        <v>1381104.32</v>
      </c>
      <c r="V105" s="319">
        <f t="shared" si="44"/>
        <v>1208217.5999999999</v>
      </c>
      <c r="W105" s="319">
        <f t="shared" si="44"/>
        <v>4584200.43</v>
      </c>
      <c r="X105" s="319">
        <f t="shared" si="44"/>
        <v>1976769.69</v>
      </c>
      <c r="Y105" s="320">
        <f t="shared" si="44"/>
        <v>217647.76</v>
      </c>
      <c r="Z105" s="321">
        <f t="shared" si="44"/>
        <v>0</v>
      </c>
      <c r="AA105" s="322">
        <f t="shared" si="44"/>
        <v>-2.29</v>
      </c>
      <c r="AB105" s="296">
        <f t="shared" si="44"/>
        <v>0</v>
      </c>
      <c r="AC105" s="322">
        <f t="shared" si="44"/>
        <v>0</v>
      </c>
      <c r="AD105" s="293">
        <f t="shared" ref="AD105:AD107" si="48">-J105+AE105</f>
        <v>-4401833.53</v>
      </c>
      <c r="AE105" s="293">
        <f>AE10+AE29+AE48+AE67+AE86</f>
        <v>-4401833.53</v>
      </c>
      <c r="AF105" s="324">
        <f>SUM(U105:AD105)</f>
        <v>4966103.9799999995</v>
      </c>
      <c r="AG105" s="524">
        <f>AF105-O105</f>
        <v>0</v>
      </c>
      <c r="AH105" s="1" t="b">
        <f t="shared" si="45"/>
        <v>1</v>
      </c>
      <c r="AI105" s="308"/>
    </row>
    <row r="106" spans="2:36" s="307" customFormat="1" ht="12" x14ac:dyDescent="0.25">
      <c r="B106" s="316">
        <v>3</v>
      </c>
      <c r="C106" s="317" t="s">
        <v>12</v>
      </c>
      <c r="D106" s="293">
        <f t="shared" si="43"/>
        <v>0</v>
      </c>
      <c r="E106" s="294">
        <f t="shared" si="43"/>
        <v>0</v>
      </c>
      <c r="F106" s="294">
        <f t="shared" si="43"/>
        <v>0</v>
      </c>
      <c r="G106" s="294">
        <f t="shared" si="43"/>
        <v>0</v>
      </c>
      <c r="H106" s="294">
        <f t="shared" si="43"/>
        <v>0</v>
      </c>
      <c r="I106" s="294">
        <f t="shared" si="43"/>
        <v>0</v>
      </c>
      <c r="J106" s="290">
        <f t="shared" si="43"/>
        <v>0</v>
      </c>
      <c r="K106" s="297">
        <f t="shared" si="46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7"/>
        <v>0</v>
      </c>
      <c r="Q106" s="308"/>
      <c r="S106" s="316">
        <v>3</v>
      </c>
      <c r="T106" s="317" t="s">
        <v>12</v>
      </c>
      <c r="U106" s="318">
        <f t="shared" si="44"/>
        <v>0</v>
      </c>
      <c r="V106" s="319">
        <f t="shared" si="44"/>
        <v>0</v>
      </c>
      <c r="W106" s="319">
        <f t="shared" si="44"/>
        <v>0</v>
      </c>
      <c r="X106" s="319">
        <f t="shared" si="44"/>
        <v>0</v>
      </c>
      <c r="Y106" s="320">
        <f t="shared" si="44"/>
        <v>0</v>
      </c>
      <c r="Z106" s="321">
        <f t="shared" si="44"/>
        <v>0</v>
      </c>
      <c r="AA106" s="322">
        <f t="shared" si="44"/>
        <v>0</v>
      </c>
      <c r="AB106" s="296">
        <f t="shared" si="44"/>
        <v>0</v>
      </c>
      <c r="AC106" s="322">
        <f t="shared" si="44"/>
        <v>0</v>
      </c>
      <c r="AD106" s="293">
        <f t="shared" si="48"/>
        <v>0</v>
      </c>
      <c r="AE106" s="293">
        <f>AE11+AE30+AE49+AE68+AE87</f>
        <v>0</v>
      </c>
      <c r="AF106" s="324">
        <f>SUM(U106:AD106)</f>
        <v>0</v>
      </c>
      <c r="AG106" s="524">
        <f>AF106-O106</f>
        <v>0</v>
      </c>
      <c r="AH106" s="1" t="b">
        <f t="shared" si="45"/>
        <v>1</v>
      </c>
      <c r="AI106" s="308"/>
    </row>
    <row r="107" spans="2:36" s="307" customFormat="1" ht="12" x14ac:dyDescent="0.25">
      <c r="B107" s="316">
        <v>4</v>
      </c>
      <c r="C107" s="317" t="s">
        <v>13</v>
      </c>
      <c r="D107" s="293">
        <f t="shared" si="43"/>
        <v>1844453.3399999999</v>
      </c>
      <c r="E107" s="294">
        <f t="shared" si="43"/>
        <v>101006.87000000001</v>
      </c>
      <c r="F107" s="294">
        <f t="shared" si="43"/>
        <v>62330.920000000013</v>
      </c>
      <c r="G107" s="294">
        <f t="shared" si="43"/>
        <v>27692.329999999994</v>
      </c>
      <c r="H107" s="294">
        <f t="shared" si="43"/>
        <v>378788.26999999996</v>
      </c>
      <c r="I107" s="294">
        <f t="shared" si="43"/>
        <v>16935.349999999999</v>
      </c>
      <c r="J107" s="290">
        <f t="shared" si="43"/>
        <v>0</v>
      </c>
      <c r="K107" s="297">
        <f t="shared" si="46"/>
        <v>1257699.5999999996</v>
      </c>
      <c r="L107" s="296">
        <f>L12+L31+L50+L69+L88</f>
        <v>0</v>
      </c>
      <c r="M107" s="297">
        <f>K107-L107</f>
        <v>1257699.5999999996</v>
      </c>
      <c r="N107" s="296">
        <f>N12+N31+N50+N69+N88</f>
        <v>0</v>
      </c>
      <c r="O107" s="297">
        <f t="shared" si="47"/>
        <v>1257699.5999999996</v>
      </c>
      <c r="Q107" s="308"/>
      <c r="S107" s="316">
        <v>4</v>
      </c>
      <c r="T107" s="317" t="s">
        <v>13</v>
      </c>
      <c r="U107" s="318">
        <f t="shared" si="44"/>
        <v>157842.22999999998</v>
      </c>
      <c r="V107" s="319">
        <f t="shared" si="44"/>
        <v>139855.35999999999</v>
      </c>
      <c r="W107" s="319">
        <f t="shared" si="44"/>
        <v>650473.44000000006</v>
      </c>
      <c r="X107" s="319">
        <f t="shared" si="44"/>
        <v>278141.40000000002</v>
      </c>
      <c r="Y107" s="320">
        <f t="shared" si="44"/>
        <v>25733.699999999997</v>
      </c>
      <c r="Z107" s="321">
        <f t="shared" si="44"/>
        <v>0</v>
      </c>
      <c r="AA107" s="322">
        <f t="shared" si="44"/>
        <v>-16.080000000000002</v>
      </c>
      <c r="AB107" s="296">
        <f t="shared" si="44"/>
        <v>0</v>
      </c>
      <c r="AC107" s="322">
        <f t="shared" si="44"/>
        <v>0</v>
      </c>
      <c r="AD107" s="293">
        <f t="shared" si="48"/>
        <v>5669.5499999999993</v>
      </c>
      <c r="AE107" s="293">
        <f>AE12+AE31+AE50+AE69+AE88</f>
        <v>5669.5499999999993</v>
      </c>
      <c r="AF107" s="324">
        <f>SUM(U107:AD107)</f>
        <v>1257699.6000000001</v>
      </c>
      <c r="AG107" s="524">
        <f>AF107-O107</f>
        <v>0</v>
      </c>
      <c r="AH107" s="1" t="b">
        <f t="shared" si="45"/>
        <v>1</v>
      </c>
      <c r="AI107" s="308"/>
    </row>
    <row r="108" spans="2:36" s="307" customFormat="1" ht="12.6" thickBot="1" x14ac:dyDescent="0.3">
      <c r="B108" s="326">
        <v>5</v>
      </c>
      <c r="C108" s="327" t="s">
        <v>14</v>
      </c>
      <c r="D108" s="298">
        <f>D13+D32+D51+D70+D89</f>
        <v>0</v>
      </c>
      <c r="E108" s="299">
        <f t="shared" si="43"/>
        <v>0</v>
      </c>
      <c r="F108" s="299">
        <f t="shared" si="43"/>
        <v>0</v>
      </c>
      <c r="G108" s="299">
        <f t="shared" si="43"/>
        <v>0</v>
      </c>
      <c r="H108" s="299">
        <f t="shared" si="43"/>
        <v>0</v>
      </c>
      <c r="I108" s="299">
        <f t="shared" si="43"/>
        <v>0</v>
      </c>
      <c r="J108" s="291">
        <f t="shared" si="43"/>
        <v>0</v>
      </c>
      <c r="K108" s="297">
        <f t="shared" si="46"/>
        <v>0</v>
      </c>
      <c r="L108" s="296">
        <f>L13+L32+L51+L70+L89</f>
        <v>0</v>
      </c>
      <c r="M108" s="300">
        <f>K108-L108</f>
        <v>0</v>
      </c>
      <c r="N108" s="301">
        <f>N13+N32+N51+N70+N89</f>
        <v>0</v>
      </c>
      <c r="O108" s="300">
        <f t="shared" si="47"/>
        <v>0</v>
      </c>
      <c r="Q108" s="308"/>
      <c r="S108" s="326">
        <v>5</v>
      </c>
      <c r="T108" s="327" t="s">
        <v>14</v>
      </c>
      <c r="U108" s="298">
        <f t="shared" si="44"/>
        <v>0</v>
      </c>
      <c r="V108" s="299">
        <f t="shared" si="44"/>
        <v>0</v>
      </c>
      <c r="W108" s="299">
        <f t="shared" si="44"/>
        <v>0</v>
      </c>
      <c r="X108" s="299">
        <f t="shared" si="44"/>
        <v>0</v>
      </c>
      <c r="Y108" s="291">
        <f t="shared" si="44"/>
        <v>0</v>
      </c>
      <c r="Z108" s="321">
        <f t="shared" si="44"/>
        <v>0</v>
      </c>
      <c r="AA108" s="322">
        <f t="shared" si="44"/>
        <v>0</v>
      </c>
      <c r="AB108" s="296">
        <f t="shared" si="44"/>
        <v>0</v>
      </c>
      <c r="AC108" s="322">
        <f t="shared" si="44"/>
        <v>0</v>
      </c>
      <c r="AD108" s="293">
        <f>-J108+AE108</f>
        <v>0</v>
      </c>
      <c r="AE108" s="293">
        <f>AE13+AE32+AE51+AE70+AE89</f>
        <v>0</v>
      </c>
      <c r="AF108" s="324">
        <f>SUM(U108:AD108)</f>
        <v>0</v>
      </c>
      <c r="AG108" s="525">
        <f>AF108-O108</f>
        <v>0</v>
      </c>
      <c r="AH108" s="1" t="b">
        <f t="shared" si="45"/>
        <v>1</v>
      </c>
      <c r="AI108" s="308"/>
    </row>
    <row r="109" spans="2:36" s="307" customFormat="1" ht="13.8" thickBot="1" x14ac:dyDescent="0.3">
      <c r="B109" s="329"/>
      <c r="C109" s="330" t="s">
        <v>2</v>
      </c>
      <c r="D109" s="292">
        <f t="shared" ref="D109:O109" si="49">SUM(D104:D108)</f>
        <v>13606834.609999998</v>
      </c>
      <c r="E109" s="292">
        <f t="shared" si="49"/>
        <v>1071738.05</v>
      </c>
      <c r="F109" s="292">
        <f t="shared" si="49"/>
        <v>596191.01000000013</v>
      </c>
      <c r="G109" s="292">
        <f t="shared" si="49"/>
        <v>220546.55</v>
      </c>
      <c r="H109" s="292">
        <f t="shared" si="49"/>
        <v>5300173.09</v>
      </c>
      <c r="I109" s="292">
        <f t="shared" si="49"/>
        <v>194382.33000000002</v>
      </c>
      <c r="J109" s="292">
        <f t="shared" si="49"/>
        <v>0</v>
      </c>
      <c r="K109" s="302">
        <f t="shared" si="49"/>
        <v>6223803.5799999963</v>
      </c>
      <c r="L109" s="303">
        <f t="shared" si="49"/>
        <v>0</v>
      </c>
      <c r="M109" s="304">
        <f t="shared" si="49"/>
        <v>6223803.5799999963</v>
      </c>
      <c r="N109" s="303">
        <f t="shared" si="49"/>
        <v>0</v>
      </c>
      <c r="O109" s="304">
        <f t="shared" si="49"/>
        <v>6223803.5799999963</v>
      </c>
      <c r="P109" s="331"/>
      <c r="Q109" s="308"/>
      <c r="S109" s="329"/>
      <c r="T109" s="330" t="s">
        <v>2</v>
      </c>
      <c r="U109" s="332">
        <f>SUM(U104:U108)</f>
        <v>1538946.55</v>
      </c>
      <c r="V109" s="332">
        <f t="shared" ref="V109:AF109" si="50">SUM(V104:V108)</f>
        <v>1348072.96</v>
      </c>
      <c r="W109" s="332">
        <f t="shared" si="50"/>
        <v>5234673.87</v>
      </c>
      <c r="X109" s="332">
        <f t="shared" si="50"/>
        <v>2254911.09</v>
      </c>
      <c r="Y109" s="332">
        <f t="shared" si="50"/>
        <v>243381.46000000002</v>
      </c>
      <c r="Z109" s="292">
        <f t="shared" si="50"/>
        <v>0</v>
      </c>
      <c r="AA109" s="292">
        <f t="shared" si="50"/>
        <v>-18.37</v>
      </c>
      <c r="AB109" s="292">
        <f t="shared" si="50"/>
        <v>0</v>
      </c>
      <c r="AC109" s="292">
        <f t="shared" si="50"/>
        <v>0</v>
      </c>
      <c r="AD109" s="292">
        <f t="shared" si="50"/>
        <v>-4396163.9800000004</v>
      </c>
      <c r="AE109" s="292">
        <f>SUM(AE104:AE108)</f>
        <v>-4396163.9800000004</v>
      </c>
      <c r="AF109" s="333">
        <f t="shared" si="50"/>
        <v>6223803.5800000001</v>
      </c>
      <c r="AG109" s="526">
        <f>SUM(AG104:AG108)</f>
        <v>0</v>
      </c>
      <c r="AH109" s="1" t="b">
        <f t="shared" si="45"/>
        <v>1</v>
      </c>
      <c r="AI109" s="308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10619985.93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2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USUARIOS'!F12</f>
        <v>0</v>
      </c>
      <c r="L125" s="311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41">
        <f>D48+N48</f>
        <v>0</v>
      </c>
      <c r="H126" s="342">
        <f>D29+N29</f>
        <v>11762381.269999998</v>
      </c>
      <c r="I126" s="290">
        <f>D86+N86</f>
        <v>0</v>
      </c>
      <c r="J126" s="290">
        <f t="shared" ref="J126:J129" si="51">D67+N67</f>
        <v>0</v>
      </c>
      <c r="K126" s="290">
        <f>'ANTICIPOS USUARIOS'!F13</f>
        <v>0</v>
      </c>
      <c r="L126" s="290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51"/>
        <v>0</v>
      </c>
      <c r="K127" s="290">
        <f>'ANTICIPOS USUARIOS'!F14</f>
        <v>0</v>
      </c>
      <c r="L127" s="290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41">
        <f>D50+N50</f>
        <v>309350</v>
      </c>
      <c r="H128" s="342">
        <f>D31+N31</f>
        <v>2089183.34</v>
      </c>
      <c r="I128" s="290">
        <f>D88+N88</f>
        <v>0</v>
      </c>
      <c r="J128" s="290">
        <f t="shared" si="51"/>
        <v>-554080</v>
      </c>
      <c r="K128" s="290">
        <f>'ANTICIPOS USUARIOS'!F15</f>
        <v>244730</v>
      </c>
      <c r="L128" s="290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51"/>
        <v>0</v>
      </c>
      <c r="K129" s="290">
        <f>'ANTICIPOS USUARIOS'!F16</f>
        <v>0</v>
      </c>
      <c r="L129" s="290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2">
        <f t="shared" ref="G131" si="52">SUM(G125:G129)</f>
        <v>309350</v>
      </c>
      <c r="H131" s="352">
        <f>SUM(H125:H130)</f>
        <v>13851564.609999998</v>
      </c>
      <c r="I131" s="352">
        <f>SUM(I125:I130)</f>
        <v>0</v>
      </c>
      <c r="J131" s="352">
        <f>SUM(J125:J130)</f>
        <v>-554080</v>
      </c>
      <c r="K131" s="352">
        <f>SUM(K125:K130)</f>
        <v>244730</v>
      </c>
      <c r="L131" s="352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89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11762381.269999998</v>
      </c>
      <c r="E143" s="18">
        <f>'Recaudo EAAB Reciprocidad'!D22</f>
        <v>0</v>
      </c>
      <c r="F143" s="18">
        <f>D29+N29</f>
        <v>11762381.269999998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11762381.269999998</v>
      </c>
      <c r="L143" s="589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89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1844453.3399999999</v>
      </c>
      <c r="E145" s="18">
        <f>'Recaudo EAAB Reciprocidad'!D24</f>
        <v>0</v>
      </c>
      <c r="F145" s="18">
        <f>D31+N31</f>
        <v>2089183.34</v>
      </c>
      <c r="G145" s="18">
        <f>D69+N69</f>
        <v>-554080</v>
      </c>
      <c r="H145" s="18">
        <f>D88+N88</f>
        <v>0</v>
      </c>
      <c r="I145" s="18">
        <f>('REPORTE RECAUDO x BANCO'!E69)</f>
        <v>0</v>
      </c>
      <c r="J145" s="18">
        <f t="shared" si="53"/>
        <v>309350</v>
      </c>
      <c r="K145" s="83">
        <f t="shared" si="53"/>
        <v>2089183.34</v>
      </c>
      <c r="L145" s="589">
        <f>D145-E145-F145-G145-J145-H145-I145</f>
        <v>-2.3283064365386963E-10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Reciprocidad'!D25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89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13606834.609999998</v>
      </c>
      <c r="E147" s="47">
        <f>SUM(E142:E146)</f>
        <v>0</v>
      </c>
      <c r="F147" s="47">
        <f t="shared" ref="F147:K147" si="55">SUM(F142:F146)</f>
        <v>13851564.609999998</v>
      </c>
      <c r="G147" s="47">
        <f t="shared" si="55"/>
        <v>-554080</v>
      </c>
      <c r="H147" s="47">
        <f t="shared" si="55"/>
        <v>0</v>
      </c>
      <c r="I147" s="47">
        <f t="shared" si="55"/>
        <v>0</v>
      </c>
      <c r="J147" s="47">
        <f t="shared" si="55"/>
        <v>309350</v>
      </c>
      <c r="K147" s="47">
        <f t="shared" si="55"/>
        <v>13851564.609999998</v>
      </c>
      <c r="L147" s="589">
        <f>SUM(L142:L146)</f>
        <v>-2.3283064365386963E-10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0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/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Reciprocidad'!D21</f>
        <v>0</v>
      </c>
      <c r="D3" s="294">
        <f>'REMUNERACION Reciprocidad EAAB'!G125</f>
        <v>0</v>
      </c>
      <c r="E3" s="294">
        <f>'REMUNERACION Reciprocidad EAAB'!D28+'REMUNERACION Reciprocidad EAAB'!N28</f>
        <v>0</v>
      </c>
      <c r="F3" s="294">
        <f>'REMUNERACION Reciprocidad EAAB'!I142</f>
        <v>0</v>
      </c>
      <c r="G3" s="294">
        <f>'REMUNERACION Reciprocidad EAAB'!H142</f>
        <v>0</v>
      </c>
      <c r="H3" s="342">
        <f>SUM(C3:G3)</f>
        <v>0</v>
      </c>
      <c r="I3" s="293">
        <f>'REMUNERACION Reciprocidad EAAB'!D104</f>
        <v>0</v>
      </c>
      <c r="J3" s="294">
        <f>'REMUNERACION Reciprocidad EAAB'!N104</f>
        <v>0</v>
      </c>
      <c r="K3" s="294">
        <f>'REMUNERACION Reciprocidad EAAB'!D125</f>
        <v>0</v>
      </c>
      <c r="L3" s="355">
        <f>'REMUNERACION Reciprocidad EAAB'!E125</f>
        <v>0</v>
      </c>
      <c r="M3" s="294">
        <f>-'REMUNERACION Reciprocidad EAAB'!D66-'REMUNERACION Reciprocidad EAAB'!N66</f>
        <v>0</v>
      </c>
      <c r="N3" s="290">
        <f>SUM(I3:M3)</f>
        <v>0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EAAB Reciprocidad'!D22</f>
        <v>0</v>
      </c>
      <c r="D4" s="294">
        <f>'REMUNERACION Reciprocidad EAAB'!G126</f>
        <v>0</v>
      </c>
      <c r="E4" s="294">
        <f>'REMUNERACION Reciprocidad EAAB'!D29+'REMUNERACION Reciprocidad EAAB'!N29</f>
        <v>11762381.269999998</v>
      </c>
      <c r="F4" s="294">
        <f>'REMUNERACION Reciprocidad EAAB'!I143</f>
        <v>0</v>
      </c>
      <c r="G4" s="294">
        <f>'REMUNERACION Reciprocidad EAAB'!H143</f>
        <v>0</v>
      </c>
      <c r="H4" s="342">
        <f t="shared" ref="H4:H8" si="1">SUM(C4:G4)</f>
        <v>11762381.269999998</v>
      </c>
      <c r="I4" s="293">
        <f>'REMUNERACION Reciprocidad EAAB'!D105</f>
        <v>11762381.269999998</v>
      </c>
      <c r="J4" s="294">
        <f>'REMUNERACION Reciprocidad EAAB'!N105</f>
        <v>0</v>
      </c>
      <c r="K4" s="294">
        <f>'REMUNERACION Reciprocidad EAAB'!D126</f>
        <v>0</v>
      </c>
      <c r="L4" s="355">
        <f>'REMUNERACION Reciprocidad EAAB'!E126</f>
        <v>0</v>
      </c>
      <c r="M4" s="294">
        <f>-'REMUNERACION Reciprocidad EAAB'!D67-'REMUNERACION Reciprocidad EAAB'!N67</f>
        <v>0</v>
      </c>
      <c r="N4" s="320">
        <f>SUM(I4:M4)</f>
        <v>11762381.269999998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EAAB Reciprocidad'!D23</f>
        <v>0</v>
      </c>
      <c r="D5" s="294">
        <f>'REMUNERACION Reciprocidad EAAB'!G127</f>
        <v>0</v>
      </c>
      <c r="E5" s="294">
        <f>'REMUNERACION Reciprocidad EAAB'!D30+'REMUNERACION Reciprocidad EAAB'!N30</f>
        <v>0</v>
      </c>
      <c r="F5" s="294">
        <f>'REMUNERACION Reciprocidad EAAB'!I144</f>
        <v>0</v>
      </c>
      <c r="G5" s="294">
        <f>'REMUNERACION Reciprocidad EAAB'!H144</f>
        <v>0</v>
      </c>
      <c r="H5" s="342">
        <f t="shared" si="1"/>
        <v>0</v>
      </c>
      <c r="I5" s="293">
        <f>'REMUNERACION Reciprocidad EAAB'!D106</f>
        <v>0</v>
      </c>
      <c r="J5" s="294">
        <f>'REMUNERACION Reciprocidad EAAB'!N106</f>
        <v>0</v>
      </c>
      <c r="K5" s="294">
        <f>'REMUNERACION Reciprocidad EAAB'!D127</f>
        <v>0</v>
      </c>
      <c r="L5" s="355">
        <f>'REMUNERACION Reciprocidad EAAB'!E127</f>
        <v>0</v>
      </c>
      <c r="M5" s="294">
        <f>-'REMUNERACION Reciprocidad EAAB'!D68-'REMUNERACION Reciprocidad EAAB'!N68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EAAB Reciprocidad'!D24</f>
        <v>0</v>
      </c>
      <c r="D6" s="294">
        <f>'REMUNERACION Reciprocidad EAAB'!G128</f>
        <v>309350</v>
      </c>
      <c r="E6" s="294">
        <f>'REMUNERACION Reciprocidad EAAB'!D31+'REMUNERACION Reciprocidad EAAB'!N31</f>
        <v>2089183.34</v>
      </c>
      <c r="F6" s="294">
        <f>'REMUNERACION Reciprocidad EAAB'!I145</f>
        <v>0</v>
      </c>
      <c r="G6" s="294">
        <f>'REMUNERACION Reciprocidad EAAB'!H145</f>
        <v>0</v>
      </c>
      <c r="H6" s="342">
        <f t="shared" si="1"/>
        <v>2398533.34</v>
      </c>
      <c r="I6" s="293">
        <f>'REMUNERACION Reciprocidad EAAB'!D107</f>
        <v>1844453.3399999999</v>
      </c>
      <c r="J6" s="294">
        <f>'REMUNERACION Reciprocidad EAAB'!N107</f>
        <v>0</v>
      </c>
      <c r="K6" s="294">
        <f>'REMUNERACION Reciprocidad EAAB'!D128</f>
        <v>0</v>
      </c>
      <c r="L6" s="355">
        <f>'REMUNERACION Reciprocidad EAAB'!E128</f>
        <v>0</v>
      </c>
      <c r="M6" s="294">
        <f>-'REMUNERACION Reciprocidad EAAB'!D69-'REMUNERACION Reciprocidad EAAB'!N69</f>
        <v>554080</v>
      </c>
      <c r="N6" s="320">
        <f t="shared" ref="N6:N7" si="3">SUM(I6:M6)</f>
        <v>2398533.34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EAAB Reciprocidad'!D25</f>
        <v>0</v>
      </c>
      <c r="D7" s="294">
        <f>'REMUNERACION Reciprocidad EAAB'!G129</f>
        <v>0</v>
      </c>
      <c r="E7" s="294">
        <f>'REMUNERACION Reciprocidad EAAB'!D32+'REMUNERACION Reciprocidad EAAB'!N32</f>
        <v>0</v>
      </c>
      <c r="F7" s="294">
        <f>'REMUNERACION Reciprocidad EAAB'!I146</f>
        <v>0</v>
      </c>
      <c r="G7" s="294">
        <f>'REMUNERACION Reciprocidad EAAB'!H146</f>
        <v>0</v>
      </c>
      <c r="H7" s="342">
        <f t="shared" si="1"/>
        <v>0</v>
      </c>
      <c r="I7" s="293">
        <f>'REMUNERACION Reciprocidad EAAB'!D108</f>
        <v>0</v>
      </c>
      <c r="J7" s="294">
        <f>'REMUNERACION Reciprocidad EAAB'!N108</f>
        <v>0</v>
      </c>
      <c r="K7" s="294">
        <f>'REMUNERACION Reciprocidad EAAB'!D129</f>
        <v>0</v>
      </c>
      <c r="L7" s="355">
        <f>'REMUNERACION Reciprocidad EAAB'!E129</f>
        <v>0</v>
      </c>
      <c r="M7" s="294">
        <f>-'REMUNERACION Reciprocidad EAAB'!D70-'REMUNERACION Reciprocidad EAAB'!N70</f>
        <v>0</v>
      </c>
      <c r="N7" s="320">
        <f t="shared" si="3"/>
        <v>0</v>
      </c>
      <c r="O7" s="356">
        <f>H7-N7</f>
        <v>0</v>
      </c>
      <c r="P7" s="1" t="b">
        <f t="shared" si="2"/>
        <v>1</v>
      </c>
    </row>
    <row r="8" spans="2:16" s="357" customFormat="1" ht="13.8" thickBot="1" x14ac:dyDescent="0.3">
      <c r="B8" s="343" t="s">
        <v>89</v>
      </c>
      <c r="C8" s="319">
        <f>'Recaudo EAAB Reciprocidad'!D26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'REMUNERACION Reciprocidad EAAB'!E130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.8" thickBot="1" x14ac:dyDescent="0.3">
      <c r="B9" s="329"/>
      <c r="C9" s="292">
        <f>SUM(C3:C8)</f>
        <v>0</v>
      </c>
      <c r="D9" s="292">
        <f t="shared" ref="D9:M9" si="4">SUM(D3:D8)</f>
        <v>309350</v>
      </c>
      <c r="E9" s="292">
        <f>SUM(E3:E8)</f>
        <v>13851564.609999998</v>
      </c>
      <c r="F9" s="292">
        <f t="shared" si="4"/>
        <v>0</v>
      </c>
      <c r="G9" s="292">
        <f t="shared" si="4"/>
        <v>0</v>
      </c>
      <c r="H9" s="292">
        <f t="shared" si="4"/>
        <v>14160914.609999998</v>
      </c>
      <c r="I9" s="292">
        <f t="shared" si="4"/>
        <v>13606834.609999998</v>
      </c>
      <c r="J9" s="292">
        <f t="shared" si="4"/>
        <v>0</v>
      </c>
      <c r="K9" s="292">
        <f t="shared" si="4"/>
        <v>0</v>
      </c>
      <c r="L9" s="292">
        <f t="shared" si="4"/>
        <v>0</v>
      </c>
      <c r="M9" s="292">
        <f t="shared" si="4"/>
        <v>554080</v>
      </c>
      <c r="N9" s="292">
        <f>SUM(N3:N8)</f>
        <v>14160914.609999998</v>
      </c>
      <c r="O9" s="361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9.777343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'REMUNERACION Reciprocidad EAAB'!D101</f>
        <v>46314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46296</v>
      </c>
      <c r="J7" s="2" t="s">
        <v>28</v>
      </c>
      <c r="K7" s="9">
        <f>'REMUNERACION Reciprocidad EAAB'!K102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11762381.269999998</v>
      </c>
      <c r="E10" s="66">
        <f>'REMUNERACION Reciprocidad EAAB'!E105</f>
        <v>970731.18</v>
      </c>
      <c r="F10" s="66">
        <f>'REMUNERACION Reciprocidad EAAB'!F105</f>
        <v>533860.09000000008</v>
      </c>
      <c r="G10" s="66">
        <f>'REMUNERACION Reciprocidad EAAB'!G105</f>
        <v>192854.22</v>
      </c>
      <c r="H10" s="66">
        <f>'REMUNERACION Reciprocidad EAAB'!H105</f>
        <v>4921384.82</v>
      </c>
      <c r="I10" s="66">
        <f>'REMUNERACION Reciprocidad EAAB'!I105</f>
        <v>177446.98</v>
      </c>
      <c r="J10" s="66">
        <f>'REMUNERACION Reciprocidad EAAB'!J105</f>
        <v>0</v>
      </c>
      <c r="K10" s="31">
        <f t="shared" ref="K10:K13" si="0">D10-E10-F10-G10-H10-I10-J10</f>
        <v>4966103.9799999967</v>
      </c>
      <c r="L10" s="66">
        <f>'REMUNERACION Reciprocidad EAAB'!L105</f>
        <v>0</v>
      </c>
      <c r="M10" s="31">
        <f>K10-L10</f>
        <v>4966103.9799999967</v>
      </c>
      <c r="N10" s="66">
        <f>'REMUNERACION Reciprocidad EAAB'!N105</f>
        <v>0</v>
      </c>
      <c r="O10" s="31">
        <f t="shared" ref="O10:O13" si="1">M10+N10</f>
        <v>4966103.9799999967</v>
      </c>
      <c r="Q10" s="4"/>
      <c r="S10" s="16">
        <v>2</v>
      </c>
      <c r="T10" s="62" t="s">
        <v>11</v>
      </c>
      <c r="U10" s="66">
        <f>'REMUNERACION Reciprocidad EAAB'!U105</f>
        <v>1381104.32</v>
      </c>
      <c r="V10" s="66">
        <f>'REMUNERACION Reciprocidad EAAB'!V105</f>
        <v>1208217.5999999999</v>
      </c>
      <c r="W10" s="66">
        <f>'REMUNERACION Reciprocidad EAAB'!W105</f>
        <v>4584200.43</v>
      </c>
      <c r="X10" s="66">
        <f>'REMUNERACION Reciprocidad EAAB'!X105</f>
        <v>1976769.69</v>
      </c>
      <c r="Y10" s="66">
        <f>'REMUNERACION Reciprocidad EAAB'!Y105</f>
        <v>217647.76</v>
      </c>
      <c r="Z10" s="66">
        <f>'REMUNERACION Reciprocidad EAAB'!Z105</f>
        <v>0</v>
      </c>
      <c r="AA10" s="66">
        <f>'REMUNERACION Reciprocidad EAAB'!AA105</f>
        <v>-2.29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-4401833.53</v>
      </c>
      <c r="AE10" s="66">
        <f>'REMUNERACION Reciprocidad EAAB'!AE105</f>
        <v>-4401833.53</v>
      </c>
      <c r="AF10" s="70">
        <f>SUM(U10:AD10)</f>
        <v>4966103.9799999995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1844453.3399999999</v>
      </c>
      <c r="E12" s="66">
        <f>'REMUNERACION Reciprocidad EAAB'!E107</f>
        <v>101006.87000000001</v>
      </c>
      <c r="F12" s="66">
        <f>'REMUNERACION Reciprocidad EAAB'!F107</f>
        <v>62330.920000000013</v>
      </c>
      <c r="G12" s="66">
        <f>'REMUNERACION Reciprocidad EAAB'!G107</f>
        <v>27692.329999999994</v>
      </c>
      <c r="H12" s="66">
        <f>'REMUNERACION Reciprocidad EAAB'!H107</f>
        <v>378788.26999999996</v>
      </c>
      <c r="I12" s="66">
        <f>'REMUNERACION Reciprocidad EAAB'!I107</f>
        <v>16935.349999999999</v>
      </c>
      <c r="J12" s="66">
        <f>'REMUNERACION Reciprocidad EAAB'!J107</f>
        <v>0</v>
      </c>
      <c r="K12" s="31">
        <f t="shared" si="0"/>
        <v>1257699.5999999996</v>
      </c>
      <c r="L12" s="66">
        <f>'REMUNERACION Reciprocidad EAAB'!L107</f>
        <v>0</v>
      </c>
      <c r="M12" s="31">
        <f>K12-L12</f>
        <v>1257699.5999999996</v>
      </c>
      <c r="N12" s="66">
        <f>'REMUNERACION Reciprocidad EAAB'!N107</f>
        <v>0</v>
      </c>
      <c r="O12" s="31">
        <f t="shared" si="1"/>
        <v>1257699.5999999996</v>
      </c>
      <c r="Q12" s="4"/>
      <c r="S12" s="16">
        <v>4</v>
      </c>
      <c r="T12" s="62" t="s">
        <v>13</v>
      </c>
      <c r="U12" s="66">
        <f>'REMUNERACION Reciprocidad EAAB'!U107</f>
        <v>157842.22999999998</v>
      </c>
      <c r="V12" s="66">
        <f>'REMUNERACION Reciprocidad EAAB'!V107</f>
        <v>139855.35999999999</v>
      </c>
      <c r="W12" s="66">
        <f>'REMUNERACION Reciprocidad EAAB'!W107</f>
        <v>650473.44000000006</v>
      </c>
      <c r="X12" s="66">
        <f>'REMUNERACION Reciprocidad EAAB'!X107</f>
        <v>278141.40000000002</v>
      </c>
      <c r="Y12" s="66">
        <f>'REMUNERACION Reciprocidad EAAB'!Y107</f>
        <v>25733.699999999997</v>
      </c>
      <c r="Z12" s="66">
        <f>'REMUNERACION Reciprocidad EAAB'!Z107</f>
        <v>0</v>
      </c>
      <c r="AA12" s="66">
        <f>'REMUNERACION Reciprocidad EAAB'!AA107</f>
        <v>-16.080000000000002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5669.5499999999993</v>
      </c>
      <c r="AE12" s="66">
        <f>'REMUNERACION Reciprocidad EAAB'!AE107</f>
        <v>5669.5499999999993</v>
      </c>
      <c r="AF12" s="70">
        <f>SUM(U12:AD12)</f>
        <v>1257699.6000000001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13606834.609999998</v>
      </c>
      <c r="E14" s="43">
        <f t="shared" si="3"/>
        <v>1071738.05</v>
      </c>
      <c r="F14" s="43">
        <f t="shared" si="3"/>
        <v>596191.01000000013</v>
      </c>
      <c r="G14" s="43">
        <f t="shared" si="3"/>
        <v>220546.55</v>
      </c>
      <c r="H14" s="43">
        <f t="shared" si="3"/>
        <v>5300173.09</v>
      </c>
      <c r="I14" s="43">
        <f t="shared" si="3"/>
        <v>194382.33000000002</v>
      </c>
      <c r="J14" s="43">
        <f t="shared" si="3"/>
        <v>0</v>
      </c>
      <c r="K14" s="32">
        <f t="shared" si="3"/>
        <v>6223803.5799999963</v>
      </c>
      <c r="L14" s="23">
        <f t="shared" si="3"/>
        <v>0</v>
      </c>
      <c r="M14" s="76">
        <f t="shared" si="3"/>
        <v>6223803.5799999963</v>
      </c>
      <c r="N14" s="23">
        <f t="shared" si="3"/>
        <v>0</v>
      </c>
      <c r="O14" s="76">
        <f t="shared" si="3"/>
        <v>6223803.5799999963</v>
      </c>
      <c r="P14" s="2"/>
      <c r="Q14" s="4"/>
      <c r="S14" s="21"/>
      <c r="T14" s="22" t="s">
        <v>2</v>
      </c>
      <c r="U14" s="43">
        <f>SUM(U9:U13)</f>
        <v>1538946.55</v>
      </c>
      <c r="V14" s="43">
        <f t="shared" ref="V14:AG14" si="4">SUM(V9:V13)</f>
        <v>1348072.96</v>
      </c>
      <c r="W14" s="43">
        <f t="shared" si="4"/>
        <v>5234673.87</v>
      </c>
      <c r="X14" s="43">
        <f t="shared" si="4"/>
        <v>2254911.09</v>
      </c>
      <c r="Y14" s="43">
        <f t="shared" si="4"/>
        <v>243381.46000000002</v>
      </c>
      <c r="Z14" s="43">
        <f t="shared" si="4"/>
        <v>0</v>
      </c>
      <c r="AA14" s="43">
        <f t="shared" si="4"/>
        <v>-18.37</v>
      </c>
      <c r="AB14" s="43">
        <f t="shared" si="4"/>
        <v>0</v>
      </c>
      <c r="AC14" s="43">
        <f t="shared" si="4"/>
        <v>0</v>
      </c>
      <c r="AD14" s="43">
        <f t="shared" si="4"/>
        <v>-4396163.9800000004</v>
      </c>
      <c r="AE14" s="43">
        <f>SUM(AE9:AE13)</f>
        <v>-4396163.9800000004</v>
      </c>
      <c r="AF14" s="68">
        <f t="shared" si="4"/>
        <v>6223803.5800000001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10619985.93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46296</v>
      </c>
      <c r="J27" s="2" t="s">
        <v>28</v>
      </c>
      <c r="K27" s="9">
        <f>'REMUNERACION Reciprocidad EAAB'!K122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2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8">
        <f>'REMUNERACION Reciprocidad EAAB'!G125</f>
        <v>0</v>
      </c>
      <c r="H30" s="312">
        <f>'REMUNERACION Reciprocidad EAAB'!H125</f>
        <v>0</v>
      </c>
      <c r="I30" s="311">
        <f>'REMUNERACION Reciprocidad EAAB'!I125</f>
        <v>0</v>
      </c>
      <c r="J30" s="311">
        <f>'REMUNERACION Reciprocidad EAAB'!J125</f>
        <v>0</v>
      </c>
      <c r="K30" s="311">
        <f>'REMUNERACION Reciprocidad EAAB'!K125</f>
        <v>0</v>
      </c>
      <c r="L30" s="311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41">
        <f>'REMUNERACION Reciprocidad EAAB'!G126</f>
        <v>0</v>
      </c>
      <c r="H31" s="342">
        <f>'REMUNERACION Reciprocidad EAAB'!H126</f>
        <v>11762381.269999998</v>
      </c>
      <c r="I31" s="290">
        <f>'REMUNERACION Reciprocidad EAAB'!I126</f>
        <v>0</v>
      </c>
      <c r="J31" s="290">
        <f>'REMUNERACION Reciprocidad EAAB'!J126</f>
        <v>0</v>
      </c>
      <c r="K31" s="290">
        <f>'REMUNERACION Reciprocidad EAAB'!K126</f>
        <v>0</v>
      </c>
      <c r="L31" s="290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41">
        <f>'REMUNERACION Reciprocidad EAAB'!G127</f>
        <v>0</v>
      </c>
      <c r="H32" s="342">
        <f>'REMUNERACION Reciprocidad EAAB'!H127</f>
        <v>0</v>
      </c>
      <c r="I32" s="290">
        <f>'REMUNERACION Reciprocidad EAAB'!I127</f>
        <v>0</v>
      </c>
      <c r="J32" s="290">
        <f>'REMUNERACION Reciprocidad EAAB'!J127</f>
        <v>0</v>
      </c>
      <c r="K32" s="290">
        <f>'REMUNERACION Reciprocidad EAAB'!K127</f>
        <v>0</v>
      </c>
      <c r="L32" s="290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41">
        <f>'REMUNERACION Reciprocidad EAAB'!G128</f>
        <v>309350</v>
      </c>
      <c r="H33" s="342">
        <f>'REMUNERACION Reciprocidad EAAB'!H128</f>
        <v>2089183.34</v>
      </c>
      <c r="I33" s="290">
        <f>'REMUNERACION Reciprocidad EAAB'!I128</f>
        <v>0</v>
      </c>
      <c r="J33" s="290">
        <f>'REMUNERACION Reciprocidad EAAB'!J128</f>
        <v>-554080</v>
      </c>
      <c r="K33" s="290">
        <f>'REMUNERACION Reciprocidad EAAB'!K128</f>
        <v>244730</v>
      </c>
      <c r="L33" s="290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41">
        <f>'REMUNERACION Reciprocidad EAAB'!G129</f>
        <v>0</v>
      </c>
      <c r="H34" s="342">
        <f>'REMUNERACION Reciprocidad EAAB'!H129</f>
        <v>0</v>
      </c>
      <c r="I34" s="290">
        <f>'REMUNERACION Reciprocidad EAAB'!I129</f>
        <v>0</v>
      </c>
      <c r="J34" s="290">
        <f>'REMUNERACION Reciprocidad EAAB'!J129</f>
        <v>0</v>
      </c>
      <c r="K34" s="290">
        <f>'REMUNERACION Reciprocidad EAAB'!K129</f>
        <v>0</v>
      </c>
      <c r="L34" s="290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2">
        <f t="shared" ref="G36:L36" si="5">SUM(G30:G34)</f>
        <v>309350</v>
      </c>
      <c r="H36" s="352">
        <f t="shared" si="5"/>
        <v>13851564.609999998</v>
      </c>
      <c r="I36" s="352">
        <f t="shared" si="5"/>
        <v>0</v>
      </c>
      <c r="J36" s="352">
        <f t="shared" si="5"/>
        <v>-554080</v>
      </c>
      <c r="K36" s="352">
        <f t="shared" si="5"/>
        <v>244730</v>
      </c>
      <c r="L36" s="352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9" t="b">
        <f>D14='REMUNERACION Reciprocidad EAAB'!D109</f>
        <v>1</v>
      </c>
      <c r="E44" s="269" t="b">
        <f>E14='REMUNERACION Reciprocidad EAAB'!E109</f>
        <v>1</v>
      </c>
      <c r="F44" s="269" t="b">
        <f>F14='REMUNERACION Reciprocidad EAAB'!F109</f>
        <v>1</v>
      </c>
      <c r="G44" s="269" t="b">
        <f>G14='REMUNERACION Reciprocidad EAAB'!G109</f>
        <v>1</v>
      </c>
      <c r="H44" s="269" t="b">
        <f>H14='REMUNERACION Reciprocidad EAAB'!H109</f>
        <v>1</v>
      </c>
      <c r="I44" s="269" t="b">
        <f>I14='REMUNERACION Reciprocidad EAAB'!I109</f>
        <v>1</v>
      </c>
      <c r="J44" s="269" t="b">
        <f>J14='REMUNERACION Reciprocidad EAAB'!J109</f>
        <v>1</v>
      </c>
      <c r="K44" s="269" t="b">
        <f>K14='REMUNERACION Reciprocidad EAAB'!K109</f>
        <v>1</v>
      </c>
      <c r="L44" s="269" t="b">
        <f>L14='REMUNERACION Reciprocidad EAAB'!L109</f>
        <v>1</v>
      </c>
      <c r="M44" s="269" t="b">
        <f>M14='REMUNERACION Reciprocidad EAAB'!M109</f>
        <v>1</v>
      </c>
      <c r="N44" s="269" t="b">
        <f>N14='REMUNERACION Reciprocidad EAAB'!N109</f>
        <v>1</v>
      </c>
      <c r="O44" s="269" t="b">
        <f>O14='REMUNERACION Reciprocidad EAAB'!O109</f>
        <v>1</v>
      </c>
      <c r="Q44" s="24"/>
      <c r="T44" s="24"/>
    </row>
    <row r="45" spans="1:20" x14ac:dyDescent="0.2">
      <c r="D45" s="269" t="b">
        <f>D36='REMUNERACION Reciprocidad EAAB'!D131</f>
        <v>1</v>
      </c>
      <c r="E45" s="269" t="b">
        <f>E36='REMUNERACION Reciprocidad EAAB'!E131</f>
        <v>1</v>
      </c>
      <c r="F45" s="269" t="b">
        <f>F36='REMUNERACION Reciprocidad EAAB'!F131</f>
        <v>1</v>
      </c>
      <c r="G45" s="269" t="b">
        <f>G36='REMUNERACION Reciprocidad EAAB'!G131</f>
        <v>1</v>
      </c>
      <c r="H45" s="269" t="b">
        <f>H36='REMUNERACION Reciprocidad EAAB'!H131</f>
        <v>1</v>
      </c>
      <c r="I45" s="269" t="b">
        <f>I36='REMUNERACION Reciprocidad EAAB'!I131</f>
        <v>1</v>
      </c>
      <c r="J45" s="269" t="b">
        <f>J36='REMUNERACION Reciprocidad EAAB'!J131</f>
        <v>1</v>
      </c>
      <c r="K45" s="269" t="b">
        <f>K36='REMUNERACION Reciprocidad EAAB'!K131</f>
        <v>1</v>
      </c>
      <c r="L45" s="269" t="b">
        <f>L36='REMUNERACION Reciprocidad EAAB'!L131</f>
        <v>1</v>
      </c>
      <c r="M45" s="269" t="b">
        <f>M36='REMUNERACION Reciprocidad EAAB'!M131</f>
        <v>1</v>
      </c>
      <c r="N45" s="269" t="b">
        <f>N36='REMUNERACION Reciprocidad EAAB'!N131</f>
        <v>1</v>
      </c>
      <c r="O45" s="269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6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77734375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0" t="s">
        <v>17</v>
      </c>
      <c r="D6" s="9">
        <f>'CONSOLIDADO_TOTAL RECAUDO'!D6</f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ht="12" x14ac:dyDescent="0.25">
      <c r="B9" s="305">
        <v>1</v>
      </c>
      <c r="C9" s="306" t="s">
        <v>10</v>
      </c>
      <c r="D9" s="293">
        <f>'Reporte Componentes R1'!F68</f>
        <v>14471399690.9</v>
      </c>
      <c r="E9" s="294">
        <f>'Reporte Componentes R1'!G68</f>
        <v>808230383.38</v>
      </c>
      <c r="F9" s="294">
        <f>'Reporte Componentes R1'!H68</f>
        <v>450240430.11000001</v>
      </c>
      <c r="G9" s="294">
        <f>'Reporte Componentes R1'!I68</f>
        <v>239670565.69999999</v>
      </c>
      <c r="H9" s="294">
        <f>'Reporte Componentes R1'!J68</f>
        <v>4717756385.7200003</v>
      </c>
      <c r="I9" s="294">
        <f>'Reporte Componentes R1'!K68</f>
        <v>157336840.31</v>
      </c>
      <c r="J9" s="294">
        <f>'CONSOLIDADO_TOTAL RECAUDO'!J9</f>
        <v>2153950828.1600003</v>
      </c>
      <c r="K9" s="295">
        <f>D9-E9-F9-G9-H9-I9-J9</f>
        <v>5944214257.5199986</v>
      </c>
      <c r="L9" s="296">
        <f>'CONSOLIDADO_TOTAL RECAUDO'!L9</f>
        <v>189185987</v>
      </c>
      <c r="M9" s="295">
        <f>K9-L9</f>
        <v>5755028270.5199986</v>
      </c>
      <c r="N9" s="296">
        <f>'Reporte Componentes R1'!L68</f>
        <v>9937924.0999999996</v>
      </c>
      <c r="O9" s="295">
        <f>M9+N9</f>
        <v>5764966194.6199989</v>
      </c>
      <c r="Q9" s="308"/>
      <c r="S9" s="305">
        <v>1</v>
      </c>
      <c r="T9" s="306" t="s">
        <v>10</v>
      </c>
      <c r="U9" s="309">
        <f>'Reporte Componentes R1'!M68</f>
        <v>1381589612.9199998</v>
      </c>
      <c r="V9" s="310">
        <f>'Reporte Componentes R1'!N68</f>
        <v>1303026874.6500001</v>
      </c>
      <c r="W9" s="310">
        <f>'Reporte Componentes R1'!O68</f>
        <v>6211087021.9399996</v>
      </c>
      <c r="X9" s="310">
        <f>'Reporte Componentes R1'!P68</f>
        <v>2199244647.2399998</v>
      </c>
      <c r="Y9" s="311">
        <f>'Reporte Componentes R1'!Q68</f>
        <v>256848645.77000001</v>
      </c>
      <c r="Z9" s="312">
        <f>L9*-1</f>
        <v>-189185987</v>
      </c>
      <c r="AA9" s="313">
        <f>'Reporte Componentes R1'!R68+'Reporte Componentes R1'!V68+'Reporte Componentes R1'!U68</f>
        <v>-24225.34</v>
      </c>
      <c r="AB9" s="296">
        <f>N9</f>
        <v>9937924.0999999996</v>
      </c>
      <c r="AC9" s="313">
        <f>'Reporte Componentes R1'!T68+'Reporte Componentes R1'!W68+'Reporte Componentes R1'!X68+'Reporte Componentes R1'!Y68+'Reporte Componentes R1'!Z68+'Reporte Componentes R1'!S68</f>
        <v>149.04</v>
      </c>
      <c r="AD9" s="293">
        <f>-J9+AE9</f>
        <v>-5407558468.7000008</v>
      </c>
      <c r="AE9" s="293">
        <f>'Reporte Componentes R1'!F69</f>
        <v>-3253607640.54</v>
      </c>
      <c r="AF9" s="315">
        <f>SUM(U9:AD9)</f>
        <v>5764966194.6199989</v>
      </c>
      <c r="AG9" s="313">
        <f>(AF9-O9)</f>
        <v>0</v>
      </c>
      <c r="AH9" s="1" t="b">
        <f>INT(AG9)=0</f>
        <v>1</v>
      </c>
      <c r="AI9" s="308"/>
    </row>
    <row r="10" spans="1:35" s="307" customFormat="1" ht="12" x14ac:dyDescent="0.25">
      <c r="B10" s="316">
        <v>2</v>
      </c>
      <c r="C10" s="317" t="s">
        <v>11</v>
      </c>
      <c r="D10" s="293">
        <f>'Reporte Componentes R1'!F201</f>
        <v>10280213362.66</v>
      </c>
      <c r="E10" s="294">
        <f>'Reporte Componentes R1'!G201</f>
        <v>761018413.75</v>
      </c>
      <c r="F10" s="294">
        <f>'Reporte Componentes R1'!H201</f>
        <v>421539408.77999997</v>
      </c>
      <c r="G10" s="294">
        <f>'Reporte Componentes R1'!I201</f>
        <v>223598944.56999999</v>
      </c>
      <c r="H10" s="294">
        <f>'Reporte Componentes R1'!J201</f>
        <v>3457771027.23</v>
      </c>
      <c r="I10" s="294">
        <f>'Reporte Componentes R1'!K201</f>
        <v>123618520.53999999</v>
      </c>
      <c r="J10" s="294">
        <f>'CONSOLIDADO_TOTAL RECAUDO'!J10</f>
        <v>-4217145526.9099998</v>
      </c>
      <c r="K10" s="297">
        <f t="shared" ref="K10:K13" si="0">D10-E10-F10-G10-H10-I10-J10</f>
        <v>9509812574.7000008</v>
      </c>
      <c r="L10" s="296">
        <f>'CONSOLIDADO_TOTAL RECAUDO'!L10</f>
        <v>266580255</v>
      </c>
      <c r="M10" s="297">
        <f>K10-L10</f>
        <v>9243232319.7000008</v>
      </c>
      <c r="N10" s="296">
        <f>'Reporte Componentes R1'!L201</f>
        <v>6722063.21</v>
      </c>
      <c r="O10" s="297">
        <f t="shared" ref="O10:O12" si="1">M10+N10</f>
        <v>9249954382.9099998</v>
      </c>
      <c r="Q10" s="308"/>
      <c r="S10" s="316">
        <v>2</v>
      </c>
      <c r="T10" s="317" t="s">
        <v>11</v>
      </c>
      <c r="U10" s="318">
        <f>'Reporte Componentes R1'!M201</f>
        <v>1083903765.4000001</v>
      </c>
      <c r="V10" s="319">
        <f>'Reporte Componentes R1'!N201</f>
        <v>1031752345.1600001</v>
      </c>
      <c r="W10" s="319">
        <f>'Reporte Componentes R1'!O201</f>
        <v>4903307713.3400002</v>
      </c>
      <c r="X10" s="319">
        <f>'Reporte Componentes R1'!P201</f>
        <v>1489981474</v>
      </c>
      <c r="Y10" s="320">
        <f>'Reporte Componentes R1'!Q201</f>
        <v>201832007.78999999</v>
      </c>
      <c r="Z10" s="321">
        <f>L10*-1</f>
        <v>-266580255</v>
      </c>
      <c r="AA10" s="322">
        <f>'Reporte Componentes R1'!R201+'Reporte Componentes R1'!V201+'Reporte Componentes R1'!U201</f>
        <v>-13258.12</v>
      </c>
      <c r="AB10" s="296">
        <f>N10</f>
        <v>6722063.21</v>
      </c>
      <c r="AC10" s="322">
        <f>'Reporte Componentes R1'!T201+'Reporte Componentes R1'!W201+'Reporte Componentes R1'!X201+'Reporte Componentes R1'!Y201+'Reporte Componentes R1'!Z201+'Reporte Componentes R1'!S201</f>
        <v>-48.93</v>
      </c>
      <c r="AD10" s="293">
        <f t="shared" ref="AD10:AD13" si="2">-J10+AE10</f>
        <v>799048576.05999994</v>
      </c>
      <c r="AE10" s="293">
        <f>'Reporte Componentes R1'!F202</f>
        <v>-3418096950.8499999</v>
      </c>
      <c r="AF10" s="324">
        <f>SUM(U10:AD10)</f>
        <v>9249954382.9099998</v>
      </c>
      <c r="AG10" s="325">
        <f>(AF10-O10)</f>
        <v>0</v>
      </c>
      <c r="AH10" s="1" t="b">
        <f t="shared" ref="AH10:AH14" si="3">INT(AG10)=0</f>
        <v>1</v>
      </c>
      <c r="AI10" s="308"/>
    </row>
    <row r="11" spans="1:35" s="307" customFormat="1" ht="12" x14ac:dyDescent="0.25">
      <c r="B11" s="316">
        <v>3</v>
      </c>
      <c r="C11" s="317" t="s">
        <v>12</v>
      </c>
      <c r="D11" s="293">
        <f>'Reporte Componentes R1'!F329</f>
        <v>8384082826.1500006</v>
      </c>
      <c r="E11" s="294">
        <f>'Reporte Componentes R1'!G329</f>
        <v>519485736.51999998</v>
      </c>
      <c r="F11" s="294">
        <f>'Reporte Componentes R1'!H329</f>
        <v>289280679.71999997</v>
      </c>
      <c r="G11" s="294">
        <f>'Reporte Componentes R1'!I329</f>
        <v>153855222.93000001</v>
      </c>
      <c r="H11" s="294">
        <f>'Reporte Componentes R1'!J329</f>
        <v>2406618472.7000003</v>
      </c>
      <c r="I11" s="294">
        <f>'Reporte Componentes R1'!K329</f>
        <v>86333540.400000006</v>
      </c>
      <c r="J11" s="294">
        <f>'CONSOLIDADO_TOTAL RECAUDO'!J11</f>
        <v>-1288806337.0900002</v>
      </c>
      <c r="K11" s="297">
        <f t="shared" si="0"/>
        <v>6217315510.9700012</v>
      </c>
      <c r="L11" s="296">
        <f>'CONSOLIDADO_TOTAL RECAUDO'!L11</f>
        <v>154788535</v>
      </c>
      <c r="M11" s="297">
        <f>K11-L11</f>
        <v>6062526975.9700012</v>
      </c>
      <c r="N11" s="296">
        <f>'Reporte Componentes R1'!L329</f>
        <v>14494105.85</v>
      </c>
      <c r="O11" s="297">
        <f t="shared" si="1"/>
        <v>6077021081.8200016</v>
      </c>
      <c r="Q11" s="308"/>
      <c r="S11" s="316">
        <v>3</v>
      </c>
      <c r="T11" s="317" t="s">
        <v>12</v>
      </c>
      <c r="U11" s="318">
        <f>'Reporte Componentes R1'!M329</f>
        <v>757964762.67000008</v>
      </c>
      <c r="V11" s="319">
        <f>'Reporte Componentes R1'!N329</f>
        <v>717589277.52999997</v>
      </c>
      <c r="W11" s="319">
        <f>'Reporte Componentes R1'!O329</f>
        <v>3409164597.5999999</v>
      </c>
      <c r="X11" s="319">
        <f>'Reporte Componentes R1'!P329</f>
        <v>1230549027.6600001</v>
      </c>
      <c r="Y11" s="320">
        <f>'Reporte Componentes R1'!Q329</f>
        <v>140956999.82000002</v>
      </c>
      <c r="Z11" s="321">
        <f>L11*-1</f>
        <v>-154788535</v>
      </c>
      <c r="AA11" s="322">
        <f>'Reporte Componentes R1'!R329+'Reporte Componentes R1'!V329+'Reporte Componentes R1'!U329</f>
        <v>-82499.44</v>
      </c>
      <c r="AB11" s="296">
        <f>N11</f>
        <v>14494105.85</v>
      </c>
      <c r="AC11" s="322">
        <f>'Reporte Componentes R1'!T329+'Reporte Componentes R1'!W329+'Reporte Componentes R1'!X329+'Reporte Componentes R1'!Y329+'Reporte Componentes R1'!Z329+'Reporte Componentes R1'!S329</f>
        <v>1.1100000000000001</v>
      </c>
      <c r="AD11" s="293">
        <f t="shared" si="2"/>
        <v>-38826655.979999781</v>
      </c>
      <c r="AE11" s="293">
        <f>'Reporte Componentes R1'!F330</f>
        <v>-1327632993.0699999</v>
      </c>
      <c r="AF11" s="324">
        <f t="shared" ref="AF11:AF13" si="4">SUM(U11:AD11)</f>
        <v>6077021081.8200006</v>
      </c>
      <c r="AG11" s="325">
        <f>(AF11-O11)</f>
        <v>-9.5367431640625E-7</v>
      </c>
      <c r="AH11" s="1" t="b">
        <f t="shared" si="3"/>
        <v>0</v>
      </c>
      <c r="AI11" s="308"/>
    </row>
    <row r="12" spans="1:35" s="307" customFormat="1" ht="12" x14ac:dyDescent="0.25">
      <c r="B12" s="316">
        <v>4</v>
      </c>
      <c r="C12" s="317" t="s">
        <v>13</v>
      </c>
      <c r="D12" s="293">
        <f>'Reporte Componentes R1'!F449</f>
        <v>9882391541.1699982</v>
      </c>
      <c r="E12" s="294">
        <f>'Reporte Componentes R1'!G449</f>
        <v>552701389.09000003</v>
      </c>
      <c r="F12" s="294">
        <f>'Reporte Componentes R1'!H449</f>
        <v>306639269.15999997</v>
      </c>
      <c r="G12" s="294">
        <f>'Reporte Componentes R1'!I449</f>
        <v>163121346.86000001</v>
      </c>
      <c r="H12" s="294">
        <f>'Reporte Componentes R1'!J449</f>
        <v>2332342933.2199998</v>
      </c>
      <c r="I12" s="294">
        <f>'Reporte Componentes R1'!K449</f>
        <v>87818254.819999993</v>
      </c>
      <c r="J12" s="294">
        <f>'CONSOLIDADO_TOTAL RECAUDO'!J12</f>
        <v>61531953.689999998</v>
      </c>
      <c r="K12" s="297">
        <f t="shared" si="0"/>
        <v>6378236394.329999</v>
      </c>
      <c r="L12" s="296">
        <f>'CONSOLIDADO_TOTAL RECAUDO'!L12</f>
        <v>120391083</v>
      </c>
      <c r="M12" s="297">
        <f>K12-L12</f>
        <v>6257845311.329999</v>
      </c>
      <c r="N12" s="296">
        <f>'Reporte Componentes R1'!L449</f>
        <v>7972372.8300000001</v>
      </c>
      <c r="O12" s="297">
        <f t="shared" si="1"/>
        <v>6265817684.1599989</v>
      </c>
      <c r="Q12" s="308"/>
      <c r="S12" s="316">
        <v>4</v>
      </c>
      <c r="T12" s="317" t="s">
        <v>13</v>
      </c>
      <c r="U12" s="318">
        <f>'Reporte Componentes R1'!M449</f>
        <v>769876014.52999997</v>
      </c>
      <c r="V12" s="319">
        <f>'Reporte Componentes R1'!N449</f>
        <v>729151010.75999999</v>
      </c>
      <c r="W12" s="319">
        <f>'Reporte Componentes R1'!O449</f>
        <v>3775108952.6199999</v>
      </c>
      <c r="X12" s="319">
        <f>'Reporte Componentes R1'!P449</f>
        <v>1463080272.1400001</v>
      </c>
      <c r="Y12" s="320">
        <f>'Reporte Componentes R1'!Q449</f>
        <v>143514452.23000002</v>
      </c>
      <c r="Z12" s="321">
        <f>L12*-1</f>
        <v>-120391083</v>
      </c>
      <c r="AA12" s="322">
        <f>'Reporte Componentes R1'!R449+'Reporte Componentes R1'!V449+'Reporte Componentes R1'!U449</f>
        <v>31622.18</v>
      </c>
      <c r="AB12" s="296">
        <f>N12</f>
        <v>7972372.8300000001</v>
      </c>
      <c r="AC12" s="322">
        <f>'Reporte Componentes R1'!T449+'Reporte Componentes R1'!W449+'Reporte Componentes R1'!X449+'Reporte Componentes R1'!Y449+'Reporte Componentes R1'!Z449+'Reporte Componentes R1'!S449</f>
        <v>189.23</v>
      </c>
      <c r="AD12" s="293">
        <f t="shared" si="2"/>
        <v>-502526119.36000001</v>
      </c>
      <c r="AE12" s="293">
        <f>'Reporte Componentes R1'!F450</f>
        <v>-440994165.67000002</v>
      </c>
      <c r="AF12" s="324">
        <f t="shared" si="4"/>
        <v>6265817684.1600008</v>
      </c>
      <c r="AG12" s="325">
        <f>(AF12-O12)</f>
        <v>1.9073486328125E-6</v>
      </c>
      <c r="AH12" s="1" t="b">
        <f t="shared" si="3"/>
        <v>1</v>
      </c>
      <c r="AI12" s="308"/>
    </row>
    <row r="13" spans="1:35" s="307" customFormat="1" ht="12.6" thickBot="1" x14ac:dyDescent="0.3">
      <c r="B13" s="326">
        <v>5</v>
      </c>
      <c r="C13" s="327" t="s">
        <v>14</v>
      </c>
      <c r="D13" s="298">
        <f>'Reporte Componentes R1'!F523</f>
        <v>7233177428.1300001</v>
      </c>
      <c r="E13" s="299">
        <f>'Reporte Componentes R1'!G523</f>
        <v>383226244.79000002</v>
      </c>
      <c r="F13" s="299">
        <f>'Reporte Componentes R1'!H523</f>
        <v>213399131.62</v>
      </c>
      <c r="G13" s="299">
        <f>'Reporte Componentes R1'!I523</f>
        <v>113487155.67</v>
      </c>
      <c r="H13" s="299">
        <f>'Reporte Componentes R1'!J523</f>
        <v>1813158921.0699999</v>
      </c>
      <c r="I13" s="299">
        <f>'Reporte Componentes R1'!K523</f>
        <v>60280537.299999997</v>
      </c>
      <c r="J13" s="299">
        <f>'CONSOLIDADO_TOTAL RECAUDO'!J13</f>
        <v>-1246473094.4099998</v>
      </c>
      <c r="K13" s="297">
        <f t="shared" si="0"/>
        <v>5896098532.0900002</v>
      </c>
      <c r="L13" s="296">
        <f>'CONSOLIDADO_TOTAL RECAUDO'!L13</f>
        <v>128990445</v>
      </c>
      <c r="M13" s="300">
        <f>K13-L13</f>
        <v>5767108087.0900002</v>
      </c>
      <c r="N13" s="301">
        <f>'Reporte Componentes R1'!L523</f>
        <v>10471696.869999999</v>
      </c>
      <c r="O13" s="300">
        <f>M13+N13</f>
        <v>5777579783.96</v>
      </c>
      <c r="Q13" s="308"/>
      <c r="S13" s="326">
        <v>5</v>
      </c>
      <c r="T13" s="327" t="s">
        <v>14</v>
      </c>
      <c r="U13" s="298">
        <f>'Reporte Componentes R1'!M523</f>
        <v>528865960.60000002</v>
      </c>
      <c r="V13" s="299">
        <f>'Reporte Componentes R1'!N523</f>
        <v>496788585.52999997</v>
      </c>
      <c r="W13" s="299">
        <f>'Reporte Componentes R1'!O523</f>
        <v>2555805599.5999999</v>
      </c>
      <c r="X13" s="299">
        <f>'Reporte Componentes R1'!P523</f>
        <v>1140353351.6900001</v>
      </c>
      <c r="Y13" s="291">
        <f>'Reporte Componentes R1'!Q523</f>
        <v>98362156.760000005</v>
      </c>
      <c r="Z13" s="321">
        <f>L13*-1</f>
        <v>-128990445</v>
      </c>
      <c r="AA13" s="322">
        <f>'Reporte Componentes R1'!R523+'Reporte Componentes R1'!V523+'Reporte Componentes R1'!U523</f>
        <v>11598.57</v>
      </c>
      <c r="AB13" s="296">
        <f>N13</f>
        <v>10471696.869999999</v>
      </c>
      <c r="AC13" s="322">
        <f>'Reporte Componentes R1'!T523+'Reporte Componentes R1'!W523+'Reporte Componentes R1'!X523+'Reporte Componentes R1'!Y523+'Reporte Componentes R1'!Z523+'Reporte Componentes R1'!S523</f>
        <v>4.82</v>
      </c>
      <c r="AD13" s="293">
        <f t="shared" si="2"/>
        <v>1075911274.52</v>
      </c>
      <c r="AE13" s="293">
        <f>'Reporte Componentes R1'!F524</f>
        <v>-170561819.88999999</v>
      </c>
      <c r="AF13" s="324">
        <f t="shared" si="4"/>
        <v>5777579783.9599991</v>
      </c>
      <c r="AG13" s="328">
        <f>(AF13-O13)</f>
        <v>-9.5367431640625E-7</v>
      </c>
      <c r="AH13" s="1" t="b">
        <f t="shared" si="3"/>
        <v>0</v>
      </c>
      <c r="AI13" s="308"/>
    </row>
    <row r="14" spans="1:35" s="307" customFormat="1" ht="13.8" thickBot="1" x14ac:dyDescent="0.3">
      <c r="B14" s="329"/>
      <c r="C14" s="330" t="s">
        <v>2</v>
      </c>
      <c r="D14" s="292">
        <f>SUM(D9:D13)</f>
        <v>50251264849.009995</v>
      </c>
      <c r="E14" s="292">
        <f t="shared" ref="E14:O14" si="5">SUM(E9:E13)</f>
        <v>3024662167.5300002</v>
      </c>
      <c r="F14" s="292">
        <f t="shared" si="5"/>
        <v>1681098919.3899999</v>
      </c>
      <c r="G14" s="292">
        <f t="shared" si="5"/>
        <v>893733235.73000002</v>
      </c>
      <c r="H14" s="292">
        <f t="shared" si="5"/>
        <v>14727647739.940001</v>
      </c>
      <c r="I14" s="292">
        <f t="shared" si="5"/>
        <v>515387693.37</v>
      </c>
      <c r="J14" s="292">
        <f t="shared" si="5"/>
        <v>-4536942176.5599995</v>
      </c>
      <c r="K14" s="302">
        <f t="shared" si="5"/>
        <v>33945677269.610001</v>
      </c>
      <c r="L14" s="303">
        <f>SUM(L9:L13)</f>
        <v>859936305</v>
      </c>
      <c r="M14" s="304">
        <f t="shared" si="5"/>
        <v>33085740964.610001</v>
      </c>
      <c r="N14" s="303">
        <f t="shared" si="5"/>
        <v>49598162.859999992</v>
      </c>
      <c r="O14" s="304">
        <f t="shared" si="5"/>
        <v>33135339127.469997</v>
      </c>
      <c r="P14" s="331"/>
      <c r="Q14" s="308"/>
      <c r="S14" s="329"/>
      <c r="T14" s="330" t="s">
        <v>2</v>
      </c>
      <c r="U14" s="332">
        <f>SUM(U9:U13)</f>
        <v>4522200116.1199999</v>
      </c>
      <c r="V14" s="332">
        <f t="shared" ref="V14:AF14" si="6">SUM(V9:V13)</f>
        <v>4278308093.6300001</v>
      </c>
      <c r="W14" s="332">
        <f t="shared" si="6"/>
        <v>20854473885.099998</v>
      </c>
      <c r="X14" s="332">
        <f t="shared" si="6"/>
        <v>7523208772.7299995</v>
      </c>
      <c r="Y14" s="332">
        <f t="shared" si="6"/>
        <v>841514262.37</v>
      </c>
      <c r="Z14" s="292">
        <f t="shared" si="6"/>
        <v>-859936305</v>
      </c>
      <c r="AA14" s="292">
        <f t="shared" si="6"/>
        <v>-76762.149999999994</v>
      </c>
      <c r="AB14" s="292">
        <f t="shared" si="6"/>
        <v>49598162.859999992</v>
      </c>
      <c r="AC14" s="292">
        <f t="shared" si="6"/>
        <v>295.27</v>
      </c>
      <c r="AD14" s="292">
        <f>SUM(AD9:AD13)</f>
        <v>-4073951393.4600005</v>
      </c>
      <c r="AE14" s="292">
        <f>SUM(AE9:AE13)</f>
        <v>-8610893570.0199986</v>
      </c>
      <c r="AF14" s="333">
        <f t="shared" si="6"/>
        <v>33135339127.469997</v>
      </c>
      <c r="AG14" s="334">
        <f>SUM(AG9:AG13)</f>
        <v>0</v>
      </c>
      <c r="AH14" s="1" t="b">
        <f t="shared" si="3"/>
        <v>1</v>
      </c>
      <c r="AI14" s="308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38019705129.950005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ht="12.6" thickBot="1" x14ac:dyDescent="0.3">
      <c r="B28" s="305">
        <v>1</v>
      </c>
      <c r="C28" s="306" t="s">
        <v>10</v>
      </c>
      <c r="D28" s="293">
        <f>'Rem. Anticipos R2'!E49</f>
        <v>26731349.390000001</v>
      </c>
      <c r="E28" s="294">
        <f>'Rem. Anticipos R2'!F49</f>
        <v>1878614.22</v>
      </c>
      <c r="F28" s="294">
        <f>'Rem. Anticipos R2'!G49</f>
        <v>986043.79</v>
      </c>
      <c r="G28" s="294">
        <f>'Rem. Anticipos R2'!H49</f>
        <v>400169.89</v>
      </c>
      <c r="H28" s="294">
        <f>'Rem. Anticipos R2'!I49</f>
        <v>6331134.7599999998</v>
      </c>
      <c r="I28" s="294">
        <f>'Rem. Anticipos R2'!J49</f>
        <v>223676.1</v>
      </c>
      <c r="J28" s="291">
        <v>0</v>
      </c>
      <c r="K28" s="295">
        <f>D28-E28-F28-G28-H28-I28-J28</f>
        <v>16911710.630000003</v>
      </c>
      <c r="L28" s="296">
        <v>0</v>
      </c>
      <c r="M28" s="295">
        <f>K28-L28</f>
        <v>16911710.630000003</v>
      </c>
      <c r="N28" s="296">
        <f>'Rem. Anticipos R2'!K49</f>
        <v>0</v>
      </c>
      <c r="O28" s="295">
        <f>M28+N28</f>
        <v>16911710.630000003</v>
      </c>
      <c r="Q28" s="308"/>
      <c r="S28" s="305">
        <v>1</v>
      </c>
      <c r="T28" s="306" t="s">
        <v>10</v>
      </c>
      <c r="U28" s="309">
        <f>'Rem. Anticipos R2'!L49</f>
        <v>2828605.56</v>
      </c>
      <c r="V28" s="310">
        <f>'Rem. Anticipos R2'!M49</f>
        <v>1761963.98</v>
      </c>
      <c r="W28" s="310">
        <f>'Rem. Anticipos R2'!N49</f>
        <v>8196762.3099999996</v>
      </c>
      <c r="X28" s="310">
        <f>'Rem. Anticipos R2'!O49</f>
        <v>5328237.76</v>
      </c>
      <c r="Y28" s="311">
        <f>'Rem. Anticipos R2'!P49</f>
        <v>345850.35</v>
      </c>
      <c r="Z28" s="312">
        <f>L28*-1</f>
        <v>0</v>
      </c>
      <c r="AA28" s="313">
        <f>'Rem. Anticipos R2'!Q49</f>
        <v>160.05000000000001</v>
      </c>
      <c r="AB28" s="296">
        <f>N28</f>
        <v>0</v>
      </c>
      <c r="AC28" s="313">
        <f>'Rem. Anticipos R2'!R49</f>
        <v>0</v>
      </c>
      <c r="AD28" s="293">
        <f>-J28+AE28</f>
        <v>-1549869.38</v>
      </c>
      <c r="AE28" s="293">
        <f>'Rem. Anticipos R2'!E50</f>
        <v>-1549869.38</v>
      </c>
      <c r="AF28" s="315">
        <f>SUM(U28:AD28)</f>
        <v>16911710.630000003</v>
      </c>
      <c r="AG28" s="313">
        <f>(AF28-O28)</f>
        <v>0</v>
      </c>
      <c r="AH28" s="1" t="b">
        <f>INT(AG28)=0</f>
        <v>1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R2'!E152</f>
        <v>39342901.739999995</v>
      </c>
      <c r="E29" s="294">
        <f>'Rem. Anticipos R2'!F152</f>
        <v>3197361.15</v>
      </c>
      <c r="F29" s="294">
        <f>'Rem. Anticipos R2'!G152</f>
        <v>1901273.42</v>
      </c>
      <c r="G29" s="294">
        <f>'Rem. Anticipos R2'!H152</f>
        <v>686683.43</v>
      </c>
      <c r="H29" s="294">
        <f>'Rem. Anticipos R2'!I152</f>
        <v>15219079.890000001</v>
      </c>
      <c r="I29" s="294">
        <f>'Rem. Anticipos R2'!J152</f>
        <v>516811.93</v>
      </c>
      <c r="J29" s="290">
        <v>0</v>
      </c>
      <c r="K29" s="297">
        <f t="shared" ref="K29:K31" si="7">D29-E29-F29-G29-H29-I29-J29</f>
        <v>17821691.919999994</v>
      </c>
      <c r="L29" s="296">
        <v>0</v>
      </c>
      <c r="M29" s="297">
        <f>K29-L29</f>
        <v>17821691.919999994</v>
      </c>
      <c r="N29" s="296">
        <f>'Rem. Anticipos R2'!K152</f>
        <v>70736.95</v>
      </c>
      <c r="O29" s="297">
        <f t="shared" ref="O29:O32" si="8">M29+N29</f>
        <v>17892428.869999994</v>
      </c>
      <c r="Q29" s="308"/>
      <c r="S29" s="316">
        <v>2</v>
      </c>
      <c r="T29" s="317" t="s">
        <v>11</v>
      </c>
      <c r="U29" s="318">
        <f>'Rem. Anticipos R2'!L152</f>
        <v>5896774.25</v>
      </c>
      <c r="V29" s="319">
        <f>'Rem. Anticipos R2'!M152</f>
        <v>4173878.86</v>
      </c>
      <c r="W29" s="319">
        <f>'Rem. Anticipos R2'!N152</f>
        <v>18535926.93</v>
      </c>
      <c r="X29" s="319">
        <f>'Rem. Anticipos R2'!O152</f>
        <v>7537754.8899999997</v>
      </c>
      <c r="Y29" s="320">
        <f>'Rem. Anticipos R2'!P152</f>
        <v>807729.23</v>
      </c>
      <c r="Z29" s="321">
        <f>L29*-1</f>
        <v>0</v>
      </c>
      <c r="AA29" s="322">
        <f>'Rem. Anticipos R2'!Q152</f>
        <v>31.4</v>
      </c>
      <c r="AB29" s="296">
        <f>N29</f>
        <v>70736.95</v>
      </c>
      <c r="AC29" s="322">
        <f>'Rem. Anticipos R2'!R152</f>
        <v>0</v>
      </c>
      <c r="AD29" s="293">
        <f>-J29+AE29</f>
        <v>-19130403.640000001</v>
      </c>
      <c r="AE29" s="293">
        <f>'Rem. Anticipos R2'!E153</f>
        <v>-19130403.640000001</v>
      </c>
      <c r="AF29" s="324">
        <f>SUM(U29:AD29)</f>
        <v>17892428.869999997</v>
      </c>
      <c r="AG29" s="325">
        <f>(AF29-O29)</f>
        <v>3.7252902984619141E-9</v>
      </c>
      <c r="AH29" s="1" t="b">
        <f t="shared" ref="AH29:AH33" si="9">INT(AG29)=0</f>
        <v>1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R2'!E265</f>
        <v>12369060.75</v>
      </c>
      <c r="E30" s="294">
        <f>'Rem. Anticipos R2'!F265</f>
        <v>831683</v>
      </c>
      <c r="F30" s="294">
        <f>'Rem. Anticipos R2'!G265</f>
        <v>483206.62</v>
      </c>
      <c r="G30" s="294">
        <f>'Rem. Anticipos R2'!H265</f>
        <v>343835.3</v>
      </c>
      <c r="H30" s="294">
        <f>'Rem. Anticipos R2'!I265</f>
        <v>3005765.16</v>
      </c>
      <c r="I30" s="294">
        <f>'Rem. Anticipos R2'!J265</f>
        <v>95184.71</v>
      </c>
      <c r="J30" s="290">
        <v>0</v>
      </c>
      <c r="K30" s="297">
        <f t="shared" si="7"/>
        <v>7609385.96</v>
      </c>
      <c r="L30" s="296">
        <v>0</v>
      </c>
      <c r="M30" s="297">
        <f>K30-L30</f>
        <v>7609385.96</v>
      </c>
      <c r="N30" s="296">
        <f>'Rem. Anticipos R2'!K265</f>
        <v>16082.29</v>
      </c>
      <c r="O30" s="297">
        <f t="shared" si="8"/>
        <v>7625468.25</v>
      </c>
      <c r="Q30" s="308"/>
      <c r="S30" s="316">
        <v>3</v>
      </c>
      <c r="T30" s="317" t="s">
        <v>12</v>
      </c>
      <c r="U30" s="318">
        <f>'Rem. Anticipos R2'!L265</f>
        <v>1344638.15</v>
      </c>
      <c r="V30" s="319">
        <f>'Rem. Anticipos R2'!M265</f>
        <v>1007355.71</v>
      </c>
      <c r="W30" s="319">
        <f>'Rem. Anticipos R2'!N265</f>
        <v>7507903.1600000001</v>
      </c>
      <c r="X30" s="319">
        <f>'Rem. Anticipos R2'!O265</f>
        <v>2040301.82</v>
      </c>
      <c r="Y30" s="320">
        <f>'Rem. Anticipos R2'!P265</f>
        <v>139881.04</v>
      </c>
      <c r="Z30" s="321">
        <f>L30*-1</f>
        <v>0</v>
      </c>
      <c r="AA30" s="322">
        <f>'Rem. Anticipos R2'!Q265</f>
        <v>2232.9</v>
      </c>
      <c r="AB30" s="296">
        <f>N30</f>
        <v>16082.29</v>
      </c>
      <c r="AC30" s="322">
        <f>'Rem. Anticipos R2'!R265</f>
        <v>0</v>
      </c>
      <c r="AD30" s="293">
        <f t="shared" ref="AD30:AD32" si="10">-J30+AE30</f>
        <v>-4432926.82</v>
      </c>
      <c r="AE30" s="293">
        <f>'Rem. Anticipos R2'!E266</f>
        <v>-4432926.82</v>
      </c>
      <c r="AF30" s="324">
        <f>SUM(U30:AD30)</f>
        <v>7625468.2499999981</v>
      </c>
      <c r="AG30" s="325">
        <f t="shared" ref="AG30:AG31" si="11">(AF30-O30)</f>
        <v>-1.862645149230957E-9</v>
      </c>
      <c r="AH30" s="1" t="b">
        <f t="shared" si="9"/>
        <v>0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R2'!E360</f>
        <v>23742361.280000001</v>
      </c>
      <c r="E31" s="294">
        <f>'Rem. Anticipos R2'!F360</f>
        <v>1354756.42</v>
      </c>
      <c r="F31" s="294">
        <f>'Rem. Anticipos R2'!G360</f>
        <v>828147.39</v>
      </c>
      <c r="G31" s="294">
        <f>'Rem. Anticipos R2'!H360</f>
        <v>348916.43</v>
      </c>
      <c r="H31" s="294">
        <f>'Rem. Anticipos R2'!I360</f>
        <v>5085346.71</v>
      </c>
      <c r="I31" s="294">
        <f>'Rem. Anticipos R2'!J360</f>
        <v>187493.7</v>
      </c>
      <c r="J31" s="290">
        <v>0</v>
      </c>
      <c r="K31" s="297">
        <f t="shared" si="7"/>
        <v>15937700.629999999</v>
      </c>
      <c r="L31" s="296">
        <v>0</v>
      </c>
      <c r="M31" s="297">
        <f>K31-L31</f>
        <v>15937700.629999999</v>
      </c>
      <c r="N31" s="296">
        <f>'Rem. Anticipos R2'!K360</f>
        <v>0</v>
      </c>
      <c r="O31" s="297">
        <f t="shared" si="8"/>
        <v>15937700.629999999</v>
      </c>
      <c r="Q31" s="308"/>
      <c r="S31" s="316">
        <v>4</v>
      </c>
      <c r="T31" s="317" t="s">
        <v>13</v>
      </c>
      <c r="U31" s="318">
        <f>'Rem. Anticipos R2'!L360</f>
        <v>1875263.02</v>
      </c>
      <c r="V31" s="319">
        <f>'Rem. Anticipos R2'!M360</f>
        <v>1670823.54</v>
      </c>
      <c r="W31" s="319">
        <f>'Rem. Anticipos R2'!N360</f>
        <v>8141402.9400000004</v>
      </c>
      <c r="X31" s="319">
        <f>'Rem. Anticipos R2'!O360</f>
        <v>3884069.39</v>
      </c>
      <c r="Y31" s="320">
        <f>'Rem. Anticipos R2'!P360</f>
        <v>281932.74</v>
      </c>
      <c r="Z31" s="321">
        <f>L31*-1</f>
        <v>0</v>
      </c>
      <c r="AA31" s="322">
        <f>'Rem. Anticipos R2'!Q360</f>
        <v>98.04</v>
      </c>
      <c r="AB31" s="296">
        <f>N31</f>
        <v>0</v>
      </c>
      <c r="AC31" s="322">
        <f>'Rem. Anticipos R2'!R360</f>
        <v>0</v>
      </c>
      <c r="AD31" s="293">
        <f t="shared" si="10"/>
        <v>84110.96</v>
      </c>
      <c r="AE31" s="293">
        <f>'Rem. Anticipos R2'!E361</f>
        <v>84110.96</v>
      </c>
      <c r="AF31" s="324">
        <f>SUM(U31:AD31)</f>
        <v>15937700.630000001</v>
      </c>
      <c r="AG31" s="325">
        <f t="shared" si="11"/>
        <v>1.862645149230957E-9</v>
      </c>
      <c r="AH31" s="1" t="b">
        <f t="shared" si="9"/>
        <v>1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R2'!E432</f>
        <v>9192655.3300000001</v>
      </c>
      <c r="E32" s="299">
        <f>'Rem. Anticipos R2'!F432</f>
        <v>554426.06999999995</v>
      </c>
      <c r="F32" s="299">
        <f>'Rem. Anticipos R2'!G432</f>
        <v>315515.52000000002</v>
      </c>
      <c r="G32" s="299">
        <f>'Rem. Anticipos R2'!H432</f>
        <v>142543.42000000001</v>
      </c>
      <c r="H32" s="299">
        <f>'Rem. Anticipos R2'!I432</f>
        <v>2015452.51</v>
      </c>
      <c r="I32" s="299">
        <f>'Rem. Anticipos R2'!J432</f>
        <v>73835.460000000006</v>
      </c>
      <c r="J32" s="291">
        <v>0</v>
      </c>
      <c r="K32" s="297">
        <f>D32-E32-F32-G32-H32-I32-J32</f>
        <v>6090882.3500000006</v>
      </c>
      <c r="L32" s="296">
        <v>0</v>
      </c>
      <c r="M32" s="300">
        <f>K32-L32</f>
        <v>6090882.3500000006</v>
      </c>
      <c r="N32" s="301">
        <f>'Rem. Anticipos R2'!K432</f>
        <v>0</v>
      </c>
      <c r="O32" s="300">
        <f t="shared" si="8"/>
        <v>6090882.3500000006</v>
      </c>
      <c r="Q32" s="308"/>
      <c r="S32" s="326">
        <v>5</v>
      </c>
      <c r="T32" s="327" t="s">
        <v>14</v>
      </c>
      <c r="U32" s="298">
        <f>'Rem. Anticipos R2'!L432</f>
        <v>662472.53</v>
      </c>
      <c r="V32" s="299">
        <f>'Rem. Anticipos R2'!M432</f>
        <v>595017.18999999994</v>
      </c>
      <c r="W32" s="299">
        <f>'Rem. Anticipos R2'!N432</f>
        <v>3008789.49</v>
      </c>
      <c r="X32" s="299">
        <f>'Rem. Anticipos R2'!O432</f>
        <v>1660552.42</v>
      </c>
      <c r="Y32" s="291">
        <f>'Rem. Anticipos R2'!P432</f>
        <v>115408.37</v>
      </c>
      <c r="Z32" s="321">
        <f>L32*-1</f>
        <v>0</v>
      </c>
      <c r="AA32" s="322">
        <f>'Rem. Anticipos R2'!Q432</f>
        <v>-124.42</v>
      </c>
      <c r="AB32" s="296">
        <f>N32</f>
        <v>0</v>
      </c>
      <c r="AC32" s="322">
        <f>'Rem. Anticipos R2'!R432</f>
        <v>0</v>
      </c>
      <c r="AD32" s="293">
        <f t="shared" si="10"/>
        <v>48766.77</v>
      </c>
      <c r="AE32" s="293">
        <f>'Rem. Anticipos R2'!E433</f>
        <v>48766.77</v>
      </c>
      <c r="AF32" s="324">
        <f>SUM(U32:AD32)</f>
        <v>6090882.3499999996</v>
      </c>
      <c r="AG32" s="328">
        <f>(AF32-O32)</f>
        <v>-9.3132257461547852E-10</v>
      </c>
      <c r="AH32" s="1" t="b">
        <f t="shared" si="9"/>
        <v>0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111378328.48999999</v>
      </c>
      <c r="E33" s="292">
        <f>SUM(E28:E32)</f>
        <v>7816840.8600000003</v>
      </c>
      <c r="F33" s="292">
        <f t="shared" ref="F33:O33" si="12">SUM(F28:F32)</f>
        <v>4514186.74</v>
      </c>
      <c r="G33" s="292">
        <f t="shared" si="12"/>
        <v>1922148.47</v>
      </c>
      <c r="H33" s="292">
        <f t="shared" si="12"/>
        <v>31656779.030000001</v>
      </c>
      <c r="I33" s="292">
        <f t="shared" si="12"/>
        <v>1097001.8999999999</v>
      </c>
      <c r="J33" s="292">
        <f t="shared" si="12"/>
        <v>0</v>
      </c>
      <c r="K33" s="302">
        <f t="shared" si="12"/>
        <v>64371371.490000002</v>
      </c>
      <c r="L33" s="303">
        <f t="shared" si="12"/>
        <v>0</v>
      </c>
      <c r="M33" s="304">
        <f t="shared" si="12"/>
        <v>64371371.490000002</v>
      </c>
      <c r="N33" s="303">
        <f t="shared" si="12"/>
        <v>86819.239999999991</v>
      </c>
      <c r="O33" s="304">
        <f t="shared" si="12"/>
        <v>64458190.729999997</v>
      </c>
      <c r="P33" s="331"/>
      <c r="Q33" s="308"/>
      <c r="S33" s="329"/>
      <c r="T33" s="330" t="s">
        <v>2</v>
      </c>
      <c r="U33" s="332">
        <f>SUM(U28:U32)</f>
        <v>12607753.51</v>
      </c>
      <c r="V33" s="332">
        <f t="shared" ref="V33:AG33" si="13">SUM(V28:V32)</f>
        <v>9209039.2799999993</v>
      </c>
      <c r="W33" s="332">
        <f t="shared" si="13"/>
        <v>45390784.829999998</v>
      </c>
      <c r="X33" s="332">
        <f t="shared" si="13"/>
        <v>20450916.280000001</v>
      </c>
      <c r="Y33" s="332">
        <f t="shared" si="13"/>
        <v>1690801.73</v>
      </c>
      <c r="Z33" s="292">
        <f t="shared" si="13"/>
        <v>0</v>
      </c>
      <c r="AA33" s="292">
        <f t="shared" si="13"/>
        <v>2397.9699999999998</v>
      </c>
      <c r="AB33" s="292">
        <f t="shared" si="13"/>
        <v>86819.239999999991</v>
      </c>
      <c r="AC33" s="292">
        <f t="shared" ref="AC33" si="14">SUM(AC28:AC32)</f>
        <v>0</v>
      </c>
      <c r="AD33" s="292">
        <f>SUM(AD28:AD32)</f>
        <v>-24980322.109999999</v>
      </c>
      <c r="AE33" s="292">
        <f>SUM(AE28:AE32)</f>
        <v>-24980322.109999999</v>
      </c>
      <c r="AF33" s="333">
        <f t="shared" si="13"/>
        <v>64458190.730000004</v>
      </c>
      <c r="AG33" s="334">
        <f t="shared" si="13"/>
        <v>2.7939677238464355E-9</v>
      </c>
      <c r="AH33" s="1" t="b">
        <f t="shared" si="9"/>
        <v>1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89349295.63000001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ht="12.6" thickBot="1" x14ac:dyDescent="0.3">
      <c r="B47" s="305">
        <v>1</v>
      </c>
      <c r="C47" s="306" t="s">
        <v>10</v>
      </c>
      <c r="D47" s="293">
        <f>'Reporte Componentes R1'!F70</f>
        <v>513960</v>
      </c>
      <c r="E47" s="294">
        <f>'Reporte Componentes R1'!G70</f>
        <v>23589.91</v>
      </c>
      <c r="F47" s="294">
        <f>'Reporte Componentes R1'!H70</f>
        <v>13315.42</v>
      </c>
      <c r="G47" s="294">
        <f>'Reporte Componentes R1'!I70</f>
        <v>6990.72</v>
      </c>
      <c r="H47" s="294">
        <f>'Reporte Componentes R1'!J70</f>
        <v>120363.97</v>
      </c>
      <c r="I47" s="294">
        <f>'Reporte Componentes R1'!K70</f>
        <v>5305.85</v>
      </c>
      <c r="J47" s="291">
        <v>0</v>
      </c>
      <c r="K47" s="295">
        <f>D47-E47-F47-G47-H47-I47-J47</f>
        <v>344394.13000000012</v>
      </c>
      <c r="L47" s="296">
        <v>0</v>
      </c>
      <c r="M47" s="295">
        <f>K47-L47</f>
        <v>344394.13000000012</v>
      </c>
      <c r="N47" s="296">
        <f>'Reporte Componentes R1'!L70</f>
        <v>0</v>
      </c>
      <c r="O47" s="295">
        <f>M47+N47</f>
        <v>344394.13000000012</v>
      </c>
      <c r="Q47" s="308"/>
      <c r="S47" s="305">
        <v>1</v>
      </c>
      <c r="T47" s="306" t="s">
        <v>10</v>
      </c>
      <c r="U47" s="309">
        <f>'Reporte Componentes R1'!M70</f>
        <v>46542.54</v>
      </c>
      <c r="V47" s="310">
        <f>'Reporte Componentes R1'!N70</f>
        <v>44798.14</v>
      </c>
      <c r="W47" s="310">
        <f>'Reporte Componentes R1'!O70</f>
        <v>212067.75</v>
      </c>
      <c r="X47" s="310">
        <f>'Reporte Componentes R1'!P70</f>
        <v>64428.39</v>
      </c>
      <c r="Y47" s="311">
        <f>'Reporte Componentes R1'!Q70</f>
        <v>8656.8700000000008</v>
      </c>
      <c r="Z47" s="312">
        <f>-L47</f>
        <v>0</v>
      </c>
      <c r="AA47" s="322">
        <f>'Reporte Componentes R1'!R70+'Reporte Componentes R1'!V70+'Reporte Componentes R1'!U70</f>
        <v>0.08</v>
      </c>
      <c r="AB47" s="296">
        <f>N47</f>
        <v>0</v>
      </c>
      <c r="AC47" s="313">
        <f>'Reporte Componentes R1'!T70+'Reporte Componentes R1'!W70+'Reporte Componentes R1'!X70+'Reporte Componentes R1'!Y70+'Reporte Componentes R1'!Z70+'Reporte Componentes R1'!S70</f>
        <v>0</v>
      </c>
      <c r="AD47" s="293">
        <f>-J47+AE47</f>
        <v>-32099.64</v>
      </c>
      <c r="AE47" s="293">
        <f>'Reporte Componentes R1'!F71</f>
        <v>-32099.64</v>
      </c>
      <c r="AF47" s="315">
        <f>SUM(U47:AD47)</f>
        <v>344394.13</v>
      </c>
      <c r="AG47" s="313">
        <f>(AF47-O47)</f>
        <v>-1.1641532182693481E-10</v>
      </c>
      <c r="AH47" s="1" t="b">
        <f>INT(AG47)=0</f>
        <v>0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R1'!F203</f>
        <v>9240820</v>
      </c>
      <c r="E48" s="294">
        <f>'Reporte Componentes R1'!G203</f>
        <v>619369.35</v>
      </c>
      <c r="F48" s="294">
        <f>'Reporte Componentes R1'!H203</f>
        <v>348940.76</v>
      </c>
      <c r="G48" s="294">
        <f>'Reporte Componentes R1'!I203</f>
        <v>186556.4</v>
      </c>
      <c r="H48" s="294">
        <f>'Reporte Componentes R1'!J203</f>
        <v>2777266.1</v>
      </c>
      <c r="I48" s="294">
        <f>'Reporte Componentes R1'!K203</f>
        <v>74214.44</v>
      </c>
      <c r="J48" s="290">
        <v>0</v>
      </c>
      <c r="K48" s="297">
        <f t="shared" ref="K48:K51" si="15">D48-E48-F48-G48-H48-I48-J48</f>
        <v>5234472.95</v>
      </c>
      <c r="L48" s="296">
        <v>0</v>
      </c>
      <c r="M48" s="297">
        <f>K48-L48</f>
        <v>5234472.95</v>
      </c>
      <c r="N48" s="296">
        <f>'Reporte Componentes R1'!L203</f>
        <v>0</v>
      </c>
      <c r="O48" s="297">
        <f t="shared" ref="O48:O51" si="16">M48+N48</f>
        <v>5234472.95</v>
      </c>
      <c r="Q48" s="308"/>
      <c r="S48" s="316">
        <v>2</v>
      </c>
      <c r="T48" s="317" t="s">
        <v>11</v>
      </c>
      <c r="U48" s="318">
        <f>'Reporte Componentes R1'!M203</f>
        <v>651004.74</v>
      </c>
      <c r="V48" s="319">
        <f>'Reporte Componentes R1'!N203</f>
        <v>869550.37</v>
      </c>
      <c r="W48" s="319">
        <f>'Reporte Componentes R1'!O203</f>
        <v>4207125.5599999996</v>
      </c>
      <c r="X48" s="319">
        <f>'Reporte Componentes R1'!P203</f>
        <v>1231696.32</v>
      </c>
      <c r="Y48" s="320">
        <f>'Reporte Componentes R1'!Q203</f>
        <v>122327.65</v>
      </c>
      <c r="Z48" s="321">
        <f>-L48</f>
        <v>0</v>
      </c>
      <c r="AA48" s="322">
        <f>'Reporte Componentes R1'!R203+'Reporte Componentes R1'!V203+'Reporte Componentes R1'!U203</f>
        <v>-111.65</v>
      </c>
      <c r="AB48" s="296">
        <f>N48</f>
        <v>0</v>
      </c>
      <c r="AC48" s="322">
        <f>'Reporte Componentes R1'!T203+'Reporte Componentes R1'!W203+'Reporte Componentes R1'!X203+'Reporte Componentes R1'!Y203+'Reporte Componentes R1'!Z203+'Reporte Componentes R1'!S203</f>
        <v>0.04</v>
      </c>
      <c r="AD48" s="293">
        <f t="shared" ref="AD48:AD51" si="17">-J48+AE48</f>
        <v>-1847120.08</v>
      </c>
      <c r="AE48" s="293">
        <f>'Reporte Componentes R1'!F204</f>
        <v>-1847120.08</v>
      </c>
      <c r="AF48" s="324">
        <f>SUM(U48:AD48)</f>
        <v>5234472.95</v>
      </c>
      <c r="AG48" s="325">
        <f>(AF48-O48)</f>
        <v>0</v>
      </c>
      <c r="AH48" s="1" t="b">
        <f t="shared" ref="AH48:AH52" si="18">INT(AG48)=0</f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R1'!F331</f>
        <v>0</v>
      </c>
      <c r="E49" s="294">
        <f>'Reporte Componentes R1'!G331</f>
        <v>0</v>
      </c>
      <c r="F49" s="294">
        <f>'Reporte Componentes R1'!H331</f>
        <v>0</v>
      </c>
      <c r="G49" s="294">
        <f>'Reporte Componentes R1'!I331</f>
        <v>0</v>
      </c>
      <c r="H49" s="294">
        <f>'Reporte Componentes R1'!J331</f>
        <v>0</v>
      </c>
      <c r="I49" s="294">
        <f>'Reporte Componentes R1'!K331</f>
        <v>0</v>
      </c>
      <c r="J49" s="290">
        <v>0</v>
      </c>
      <c r="K49" s="297">
        <f t="shared" si="15"/>
        <v>0</v>
      </c>
      <c r="L49" s="296">
        <v>0</v>
      </c>
      <c r="M49" s="297">
        <f>K49-L49</f>
        <v>0</v>
      </c>
      <c r="N49" s="296">
        <f>'Reporte Componentes R1'!L331</f>
        <v>0</v>
      </c>
      <c r="O49" s="297">
        <f t="shared" si="16"/>
        <v>0</v>
      </c>
      <c r="Q49" s="308"/>
      <c r="S49" s="316">
        <v>3</v>
      </c>
      <c r="T49" s="317" t="s">
        <v>12</v>
      </c>
      <c r="U49" s="318">
        <f>'Reporte Componentes R1'!M331</f>
        <v>0</v>
      </c>
      <c r="V49" s="319">
        <f>'Reporte Componentes R1'!N331</f>
        <v>0</v>
      </c>
      <c r="W49" s="319">
        <f>'Reporte Componentes R1'!O331</f>
        <v>0</v>
      </c>
      <c r="X49" s="319">
        <f>'Reporte Componentes R1'!P331</f>
        <v>0</v>
      </c>
      <c r="Y49" s="320">
        <f>'Reporte Componentes R1'!Q331</f>
        <v>0</v>
      </c>
      <c r="Z49" s="321">
        <f>-L49</f>
        <v>0</v>
      </c>
      <c r="AA49" s="322">
        <f>'Reporte Componentes R1'!R331+'Reporte Componentes R1'!V331+'Reporte Componentes R1'!U331</f>
        <v>0</v>
      </c>
      <c r="AB49" s="296">
        <f>N49</f>
        <v>0</v>
      </c>
      <c r="AC49" s="322">
        <f>'Reporte Componentes R1'!T331+'Reporte Componentes R1'!W331+'Reporte Componentes R1'!X331+'Reporte Componentes R1'!Y331+'Reporte Componentes R1'!Z331+'Reporte Componentes R1'!S331</f>
        <v>0</v>
      </c>
      <c r="AD49" s="293">
        <f t="shared" si="17"/>
        <v>0</v>
      </c>
      <c r="AE49" s="293">
        <f>'Reporte Componentes R1'!F332</f>
        <v>0</v>
      </c>
      <c r="AF49" s="324">
        <f t="shared" ref="AF49:AF51" si="19">SUM(U49:AD49)</f>
        <v>0</v>
      </c>
      <c r="AG49" s="325">
        <f t="shared" ref="AG49:AG51" si="20">(AF49-O49)</f>
        <v>0</v>
      </c>
      <c r="AH49" s="1" t="b">
        <f t="shared" si="18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R1'!F451</f>
        <v>20397090</v>
      </c>
      <c r="E50" s="294">
        <f>'Reporte Componentes R1'!G451</f>
        <v>1227244.8600000001</v>
      </c>
      <c r="F50" s="294">
        <f>'Reporte Componentes R1'!H451</f>
        <v>691386.19</v>
      </c>
      <c r="G50" s="294">
        <f>'Reporte Componentes R1'!I451</f>
        <v>369846.57</v>
      </c>
      <c r="H50" s="294">
        <f>'Reporte Componentes R1'!J451</f>
        <v>4959152.18</v>
      </c>
      <c r="I50" s="294">
        <f>'Reporte Componentes R1'!K451</f>
        <v>146012.85</v>
      </c>
      <c r="J50" s="290">
        <v>0</v>
      </c>
      <c r="K50" s="297">
        <f t="shared" si="15"/>
        <v>13003447.35</v>
      </c>
      <c r="L50" s="296">
        <v>0</v>
      </c>
      <c r="M50" s="297">
        <f>K50-L50</f>
        <v>13003447.35</v>
      </c>
      <c r="N50" s="296">
        <f>'Reporte Componentes R1'!L451</f>
        <v>0</v>
      </c>
      <c r="O50" s="297">
        <f t="shared" si="16"/>
        <v>13003447.35</v>
      </c>
      <c r="Q50" s="308"/>
      <c r="S50" s="316">
        <v>4</v>
      </c>
      <c r="T50" s="317" t="s">
        <v>13</v>
      </c>
      <c r="U50" s="318">
        <f>'Reporte Componentes R1'!M451</f>
        <v>1272582.42</v>
      </c>
      <c r="V50" s="319">
        <f>'Reporte Componentes R1'!N451</f>
        <v>1586745.82</v>
      </c>
      <c r="W50" s="319">
        <f>'Reporte Componentes R1'!O451</f>
        <v>8184557.6900000004</v>
      </c>
      <c r="X50" s="319">
        <f>'Reporte Componentes R1'!P451</f>
        <v>3280785.35</v>
      </c>
      <c r="Y50" s="320">
        <f>'Reporte Componentes R1'!Q451</f>
        <v>239656.33</v>
      </c>
      <c r="Z50" s="321">
        <f>-L50</f>
        <v>0</v>
      </c>
      <c r="AA50" s="322">
        <f>'Reporte Componentes R1'!R451+'Reporte Componentes R1'!V451+'Reporte Componentes R1'!U451</f>
        <v>-3.29</v>
      </c>
      <c r="AB50" s="296">
        <f>N50</f>
        <v>0</v>
      </c>
      <c r="AC50" s="322">
        <f>'Reporte Componentes R1'!T451+'Reporte Componentes R1'!W451+'Reporte Componentes R1'!X451+'Reporte Componentes R1'!Y451+'Reporte Componentes R1'!Z451+'Reporte Componentes R1'!S451</f>
        <v>0</v>
      </c>
      <c r="AD50" s="293">
        <f t="shared" si="17"/>
        <v>-1560876.97</v>
      </c>
      <c r="AE50" s="293">
        <f>'Reporte Componentes R1'!F452</f>
        <v>-1560876.97</v>
      </c>
      <c r="AF50" s="324">
        <f t="shared" si="19"/>
        <v>13003447.35</v>
      </c>
      <c r="AG50" s="325">
        <f t="shared" si="20"/>
        <v>0</v>
      </c>
      <c r="AH50" s="1" t="b">
        <f t="shared" si="18"/>
        <v>1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R1'!F525</f>
        <v>0</v>
      </c>
      <c r="E51" s="299">
        <f>'Reporte Componentes R1'!G525</f>
        <v>0</v>
      </c>
      <c r="F51" s="299">
        <f>'Reporte Componentes R1'!H525</f>
        <v>0</v>
      </c>
      <c r="G51" s="299">
        <f>'Reporte Componentes R1'!I525</f>
        <v>0</v>
      </c>
      <c r="H51" s="299">
        <f>'Reporte Componentes R1'!J525</f>
        <v>0</v>
      </c>
      <c r="I51" s="299">
        <f>'Reporte Componentes R1'!K525</f>
        <v>0</v>
      </c>
      <c r="J51" s="291">
        <v>0</v>
      </c>
      <c r="K51" s="297">
        <f t="shared" si="15"/>
        <v>0</v>
      </c>
      <c r="L51" s="296">
        <v>0</v>
      </c>
      <c r="M51" s="300">
        <f>K51-L51</f>
        <v>0</v>
      </c>
      <c r="N51" s="301">
        <f>'Reporte Componentes R1'!L525</f>
        <v>0</v>
      </c>
      <c r="O51" s="300">
        <f t="shared" si="16"/>
        <v>0</v>
      </c>
      <c r="Q51" s="308"/>
      <c r="S51" s="326">
        <v>5</v>
      </c>
      <c r="T51" s="327" t="s">
        <v>14</v>
      </c>
      <c r="U51" s="298">
        <f>'Reporte Componentes R1'!M525</f>
        <v>0</v>
      </c>
      <c r="V51" s="299">
        <f>'Reporte Componentes R1'!N525</f>
        <v>0</v>
      </c>
      <c r="W51" s="299">
        <f>'Reporte Componentes R1'!O525</f>
        <v>0</v>
      </c>
      <c r="X51" s="299">
        <f>'Reporte Componentes R1'!P525</f>
        <v>0</v>
      </c>
      <c r="Y51" s="291">
        <f>'Reporte Componentes R1'!Q525</f>
        <v>0</v>
      </c>
      <c r="Z51" s="321">
        <f>-L51</f>
        <v>0</v>
      </c>
      <c r="AA51" s="322">
        <f>'Reporte Componentes R1'!R525+'Reporte Componentes R1'!V525+'Reporte Componentes R1'!U525</f>
        <v>0</v>
      </c>
      <c r="AB51" s="296">
        <f>N51</f>
        <v>0</v>
      </c>
      <c r="AC51" s="322">
        <f>'Reporte Componentes R1'!T525+'Reporte Componentes R1'!W525+'Reporte Componentes R1'!X525+'Reporte Componentes R1'!Y525+'Reporte Componentes R1'!Z525+'Reporte Componentes R1'!S525</f>
        <v>0</v>
      </c>
      <c r="AD51" s="293">
        <f t="shared" si="17"/>
        <v>0</v>
      </c>
      <c r="AE51" s="293">
        <f>'Reporte Componentes R1'!F526</f>
        <v>0</v>
      </c>
      <c r="AF51" s="324">
        <f t="shared" si="19"/>
        <v>0</v>
      </c>
      <c r="AG51" s="328">
        <f t="shared" si="20"/>
        <v>0</v>
      </c>
      <c r="AH51" s="1" t="b">
        <f t="shared" si="18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1">SUM(D47:D51)</f>
        <v>30151870</v>
      </c>
      <c r="E52" s="292">
        <f t="shared" si="21"/>
        <v>1870204.12</v>
      </c>
      <c r="F52" s="292">
        <f t="shared" si="21"/>
        <v>1053642.3699999999</v>
      </c>
      <c r="G52" s="292">
        <f t="shared" ref="G52" si="22">SUM(G47:G51)</f>
        <v>563393.68999999994</v>
      </c>
      <c r="H52" s="292">
        <f t="shared" si="21"/>
        <v>7856782.25</v>
      </c>
      <c r="I52" s="292">
        <f t="shared" si="21"/>
        <v>225533.14</v>
      </c>
      <c r="J52" s="292">
        <f t="shared" si="21"/>
        <v>0</v>
      </c>
      <c r="K52" s="302">
        <f t="shared" si="21"/>
        <v>18582314.43</v>
      </c>
      <c r="L52" s="303">
        <f t="shared" si="21"/>
        <v>0</v>
      </c>
      <c r="M52" s="304">
        <f t="shared" si="21"/>
        <v>18582314.43</v>
      </c>
      <c r="N52" s="303">
        <f t="shared" si="21"/>
        <v>0</v>
      </c>
      <c r="O52" s="304">
        <f t="shared" si="21"/>
        <v>18582314.43</v>
      </c>
      <c r="P52" s="331"/>
      <c r="Q52" s="308"/>
      <c r="S52" s="329"/>
      <c r="T52" s="330" t="s">
        <v>2</v>
      </c>
      <c r="U52" s="332">
        <f>SUM(U47:U51)</f>
        <v>1970129.7</v>
      </c>
      <c r="V52" s="332">
        <f t="shared" ref="V52:AG52" si="23">SUM(V47:V51)</f>
        <v>2501094.33</v>
      </c>
      <c r="W52" s="332">
        <f t="shared" si="23"/>
        <v>12603751</v>
      </c>
      <c r="X52" s="332">
        <f t="shared" si="23"/>
        <v>4576910.0600000005</v>
      </c>
      <c r="Y52" s="332">
        <f t="shared" si="23"/>
        <v>370640.85</v>
      </c>
      <c r="Z52" s="292">
        <f t="shared" si="23"/>
        <v>0</v>
      </c>
      <c r="AA52" s="292">
        <f t="shared" si="23"/>
        <v>-114.86000000000001</v>
      </c>
      <c r="AB52" s="292">
        <f t="shared" si="23"/>
        <v>0</v>
      </c>
      <c r="AC52" s="292">
        <f t="shared" si="23"/>
        <v>0.04</v>
      </c>
      <c r="AD52" s="292">
        <f>SUM(AD47:AD51)</f>
        <v>-3440096.69</v>
      </c>
      <c r="AE52" s="292">
        <f>SUM(AE47:AE51)</f>
        <v>-3440096.69</v>
      </c>
      <c r="AF52" s="333">
        <f t="shared" si="23"/>
        <v>18582314.43</v>
      </c>
      <c r="AG52" s="334">
        <f t="shared" si="23"/>
        <v>-1.1641532182693481E-10</v>
      </c>
      <c r="AH52" s="1" t="b">
        <f t="shared" si="18"/>
        <v>0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22022525.940000005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R4'!D79</f>
        <v>-3698870</v>
      </c>
      <c r="E66" s="294">
        <f>'Reversion Pagos R4'!E79</f>
        <v>-204255.05</v>
      </c>
      <c r="F66" s="294">
        <f>'Reversion Pagos R4'!F79</f>
        <v>-114914.64</v>
      </c>
      <c r="G66" s="294">
        <f>'Reversion Pagos R4'!G79</f>
        <v>-58916.74</v>
      </c>
      <c r="H66" s="294">
        <f>'Reversion Pagos R4'!H79</f>
        <v>-1052536.8799999999</v>
      </c>
      <c r="I66" s="294">
        <f>'Reversion Pagos R4'!I79</f>
        <v>-38844.410000000003</v>
      </c>
      <c r="J66" s="311">
        <v>0</v>
      </c>
      <c r="K66" s="295">
        <f>D66-E66-F66-G66-H66-I66-J66</f>
        <v>-2229402.2799999998</v>
      </c>
      <c r="L66" s="296">
        <v>0</v>
      </c>
      <c r="M66" s="295">
        <f>K66-L66</f>
        <v>-2229402.2799999998</v>
      </c>
      <c r="N66" s="296">
        <f>'Reversion Pagos R4'!P79</f>
        <v>0</v>
      </c>
      <c r="O66" s="295">
        <f>M66+N66</f>
        <v>-2229402.2799999998</v>
      </c>
      <c r="Q66" s="308"/>
      <c r="S66" s="305">
        <v>1</v>
      </c>
      <c r="T66" s="306" t="s">
        <v>10</v>
      </c>
      <c r="U66" s="309">
        <f>'Reversion Pagos R4'!J79</f>
        <v>-350818.05</v>
      </c>
      <c r="V66" s="310">
        <f>'Reversion Pagos R4'!K79</f>
        <v>-326448.56</v>
      </c>
      <c r="W66" s="310">
        <f>'Reversion Pagos R4'!L79</f>
        <v>-1541441.27</v>
      </c>
      <c r="X66" s="310">
        <f>'Reversion Pagos R4'!M79</f>
        <v>-553506.85</v>
      </c>
      <c r="Y66" s="311">
        <f>'Reversion Pagos R4'!N79</f>
        <v>-63376.91</v>
      </c>
      <c r="Z66" s="312">
        <f>-L66</f>
        <v>0</v>
      </c>
      <c r="AA66" s="313">
        <f>+'Reversion Pagos R4'!O79</f>
        <v>-35.11</v>
      </c>
      <c r="AB66" s="296">
        <f>N66</f>
        <v>0</v>
      </c>
      <c r="AC66" s="313">
        <f>+'Reversion Pagos R4'!Q79+'Reversion Pagos R4'!R79</f>
        <v>0</v>
      </c>
      <c r="AD66" s="293">
        <f>-J66+AE66</f>
        <v>606224.47</v>
      </c>
      <c r="AE66" s="293">
        <f>'Reversion Pagos R4'!D80</f>
        <v>606224.47</v>
      </c>
      <c r="AF66" s="315">
        <f>SUM(U66:AD66)</f>
        <v>-2229402.2800000003</v>
      </c>
      <c r="AG66" s="313">
        <f>(AF66-O66)</f>
        <v>-4.6566128730773926E-10</v>
      </c>
      <c r="AH66" s="1" t="b">
        <f>INT(AG66)=0</f>
        <v>0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R4'!D174</f>
        <v>-20858585.449999999</v>
      </c>
      <c r="E67" s="294">
        <f>'Reversion Pagos R4'!E174</f>
        <v>-1714585.47</v>
      </c>
      <c r="F67" s="294">
        <f>'Reversion Pagos R4'!F174</f>
        <v>-925822.44</v>
      </c>
      <c r="G67" s="294">
        <f>'Reversion Pagos R4'!G174</f>
        <v>-471821.5</v>
      </c>
      <c r="H67" s="294">
        <f>'Reversion Pagos R4'!H174</f>
        <v>-6592543.9800000004</v>
      </c>
      <c r="I67" s="294">
        <f>'Reversion Pagos R4'!I174</f>
        <v>-233889.21</v>
      </c>
      <c r="J67" s="290">
        <v>0</v>
      </c>
      <c r="K67" s="297">
        <f t="shared" ref="K67:K70" si="24">D67-E67-F67-G67-H67-I67-J67</f>
        <v>-10919922.849999998</v>
      </c>
      <c r="L67" s="296">
        <v>0</v>
      </c>
      <c r="M67" s="297">
        <f>K67-L67</f>
        <v>-10919922.849999998</v>
      </c>
      <c r="N67" s="296">
        <f>'Reversion Pagos R4'!P174</f>
        <v>0</v>
      </c>
      <c r="O67" s="297">
        <f t="shared" ref="O67:O70" si="25">M67+N67</f>
        <v>-10919922.849999998</v>
      </c>
      <c r="Q67" s="308"/>
      <c r="S67" s="316">
        <v>2</v>
      </c>
      <c r="T67" s="317" t="s">
        <v>11</v>
      </c>
      <c r="U67" s="318">
        <f>'Reversion Pagos R4'!J174</f>
        <v>-2061599.43</v>
      </c>
      <c r="V67" s="319">
        <f>'Reversion Pagos R4'!K174</f>
        <v>-2091037.99</v>
      </c>
      <c r="W67" s="319">
        <f>'Reversion Pagos R4'!L174</f>
        <v>-9310052.5800000001</v>
      </c>
      <c r="X67" s="319">
        <f>'Reversion Pagos R4'!M174</f>
        <v>-3614411.37</v>
      </c>
      <c r="Y67" s="320">
        <f>'Reversion Pagos R4'!N174</f>
        <v>-381606.57</v>
      </c>
      <c r="Z67" s="321">
        <f t="shared" ref="Z67:Z70" si="26">-L67</f>
        <v>0</v>
      </c>
      <c r="AA67" s="322">
        <f>'Reversion Pagos R4'!O174</f>
        <v>-64.36</v>
      </c>
      <c r="AB67" s="296">
        <f t="shared" ref="AB67:AB70" si="27">N67</f>
        <v>0</v>
      </c>
      <c r="AC67" s="322">
        <f>'Reversion Pagos R4'!Q174+'Reversion Pagos R4'!R174</f>
        <v>0.19</v>
      </c>
      <c r="AD67" s="293">
        <f t="shared" ref="AD67:AD70" si="28">-J67+AE67</f>
        <v>6538849.2599999998</v>
      </c>
      <c r="AE67" s="293">
        <f>'Reversion Pagos R4'!D175</f>
        <v>6538849.2599999998</v>
      </c>
      <c r="AF67" s="324">
        <f>SUM(U67:AD67)</f>
        <v>-10919922.85</v>
      </c>
      <c r="AG67" s="325">
        <f>(AF67-O67)</f>
        <v>-1.862645149230957E-9</v>
      </c>
      <c r="AH67" s="1" t="b">
        <f t="shared" ref="AH67:AH71" si="29">INT(AG67)=0</f>
        <v>0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R4'!D205</f>
        <v>-2259272</v>
      </c>
      <c r="E68" s="294">
        <f>'Reversion Pagos R4'!E205</f>
        <v>-142297.63</v>
      </c>
      <c r="F68" s="294">
        <f>'Reversion Pagos R4'!F205</f>
        <v>-79543.95</v>
      </c>
      <c r="G68" s="294">
        <f>'Reversion Pagos R4'!G205</f>
        <v>-41638.230000000003</v>
      </c>
      <c r="H68" s="294">
        <f>'Reversion Pagos R4'!H205</f>
        <v>-590000.48</v>
      </c>
      <c r="I68" s="294">
        <f>'Reversion Pagos R4'!I205</f>
        <v>-19083.43</v>
      </c>
      <c r="J68" s="290">
        <v>0</v>
      </c>
      <c r="K68" s="297">
        <f t="shared" si="24"/>
        <v>-1386708.2800000003</v>
      </c>
      <c r="L68" s="296">
        <v>0</v>
      </c>
      <c r="M68" s="297">
        <f>K68-L68</f>
        <v>-1386708.2800000003</v>
      </c>
      <c r="N68" s="296">
        <f>'Reversion Pagos R4'!P205</f>
        <v>0</v>
      </c>
      <c r="O68" s="297">
        <f t="shared" si="25"/>
        <v>-1386708.2800000003</v>
      </c>
      <c r="Q68" s="308"/>
      <c r="S68" s="316">
        <v>3</v>
      </c>
      <c r="T68" s="317" t="s">
        <v>12</v>
      </c>
      <c r="U68" s="318">
        <f>'Reversion Pagos R4'!J205</f>
        <v>-167398.71</v>
      </c>
      <c r="V68" s="319">
        <f>'Reversion Pagos R4'!K205</f>
        <v>-161923.62</v>
      </c>
      <c r="W68" s="319">
        <f>'Reversion Pagos R4'!L205</f>
        <v>-764905.41</v>
      </c>
      <c r="X68" s="319">
        <f>'Reversion Pagos R4'!M205</f>
        <v>-336959.22</v>
      </c>
      <c r="Y68" s="320">
        <f>'Reversion Pagos R4'!N205</f>
        <v>-31136.16</v>
      </c>
      <c r="Z68" s="321">
        <f t="shared" si="26"/>
        <v>0</v>
      </c>
      <c r="AA68" s="322">
        <f>'Reversion Pagos R4'!O205</f>
        <v>-2.16</v>
      </c>
      <c r="AB68" s="296">
        <f t="shared" si="27"/>
        <v>0</v>
      </c>
      <c r="AC68" s="322">
        <f>'Reversion Pagos R4'!Q205+'Reversion Pagos R4'!R205</f>
        <v>0</v>
      </c>
      <c r="AD68" s="293">
        <f t="shared" si="28"/>
        <v>75617</v>
      </c>
      <c r="AE68" s="293">
        <f>'Reversion Pagos R4'!D206</f>
        <v>75617</v>
      </c>
      <c r="AF68" s="324">
        <f t="shared" ref="AF68:AF70" si="30">SUM(U68:AD68)</f>
        <v>-1386708.2799999998</v>
      </c>
      <c r="AG68" s="325">
        <f t="shared" ref="AG68:AG70" si="31">(AF68-O68)</f>
        <v>4.6566128730773926E-10</v>
      </c>
      <c r="AH68" s="1" t="b">
        <f t="shared" si="29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R4'!D319</f>
        <v>-39633253.399999999</v>
      </c>
      <c r="E69" s="294">
        <f>'Reversion Pagos R4'!E319</f>
        <v>-2380128.11</v>
      </c>
      <c r="F69" s="294">
        <f>'Reversion Pagos R4'!F319</f>
        <v>-1302146.6399999999</v>
      </c>
      <c r="G69" s="294">
        <f>'Reversion Pagos R4'!G319</f>
        <v>-675172.24</v>
      </c>
      <c r="H69" s="294">
        <f>'Reversion Pagos R4'!H319</f>
        <v>-10130343.220000001</v>
      </c>
      <c r="I69" s="294">
        <f>'Reversion Pagos R4'!I319</f>
        <v>-367471.96</v>
      </c>
      <c r="J69" s="290">
        <v>0</v>
      </c>
      <c r="K69" s="297">
        <f t="shared" si="24"/>
        <v>-24777991.229999997</v>
      </c>
      <c r="L69" s="296">
        <v>0</v>
      </c>
      <c r="M69" s="297">
        <f>K69-L69</f>
        <v>-24777991.229999997</v>
      </c>
      <c r="N69" s="296">
        <f>'Reversion Pagos R4'!P319</f>
        <v>0</v>
      </c>
      <c r="O69" s="297">
        <f t="shared" si="25"/>
        <v>-24777991.229999997</v>
      </c>
      <c r="Q69" s="308"/>
      <c r="S69" s="316">
        <v>4</v>
      </c>
      <c r="T69" s="317" t="s">
        <v>13</v>
      </c>
      <c r="U69" s="318">
        <f>'Reversion Pagos R4'!J319</f>
        <v>-3220245.27</v>
      </c>
      <c r="V69" s="319">
        <f>'Reversion Pagos R4'!K319</f>
        <v>-3174202.8</v>
      </c>
      <c r="W69" s="319">
        <f>'Reversion Pagos R4'!L319</f>
        <v>-15990599.939999999</v>
      </c>
      <c r="X69" s="319">
        <f>'Reversion Pagos R4'!M319</f>
        <v>-6364631.3799999999</v>
      </c>
      <c r="Y69" s="320">
        <f>'Reversion Pagos R4'!N319</f>
        <v>-601375.64</v>
      </c>
      <c r="Z69" s="321">
        <f t="shared" si="26"/>
        <v>0</v>
      </c>
      <c r="AA69" s="322">
        <f>'Reversion Pagos R4'!O319</f>
        <v>-75.459999999999994</v>
      </c>
      <c r="AB69" s="296">
        <f t="shared" si="27"/>
        <v>0</v>
      </c>
      <c r="AC69" s="322">
        <f>'Reversion Pagos R4'!Q319+'Reversion Pagos R4'!R319</f>
        <v>0</v>
      </c>
      <c r="AD69" s="293">
        <f t="shared" si="28"/>
        <v>4573139.26</v>
      </c>
      <c r="AE69" s="293">
        <f>'Reversion Pagos R4'!D320</f>
        <v>4573139.26</v>
      </c>
      <c r="AF69" s="324">
        <f>SUM(U69:AD69)</f>
        <v>-24777991.229999997</v>
      </c>
      <c r="AG69" s="325">
        <f>(AF69-O69)</f>
        <v>0</v>
      </c>
      <c r="AH69" s="1" t="b">
        <f t="shared" si="29"/>
        <v>1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R4'!D348</f>
        <v>-3964157</v>
      </c>
      <c r="E70" s="299">
        <f>'Reversion Pagos R4'!E348</f>
        <v>-249692.11</v>
      </c>
      <c r="F70" s="299">
        <f>'Reversion Pagos R4'!F348</f>
        <v>-137439.75</v>
      </c>
      <c r="G70" s="299">
        <f>'Reversion Pagos R4'!G348</f>
        <v>-74361.94</v>
      </c>
      <c r="H70" s="299">
        <f>'Reversion Pagos R4'!H348</f>
        <v>-597920.80000000005</v>
      </c>
      <c r="I70" s="299">
        <f>'Reversion Pagos R4'!I348</f>
        <v>-20835.71</v>
      </c>
      <c r="J70" s="291">
        <v>0</v>
      </c>
      <c r="K70" s="297">
        <f t="shared" si="24"/>
        <v>-2883906.6900000004</v>
      </c>
      <c r="L70" s="296">
        <v>0</v>
      </c>
      <c r="M70" s="300">
        <f>K70-L70</f>
        <v>-2883906.6900000004</v>
      </c>
      <c r="N70" s="296">
        <f>'Reversion Pagos R4'!P348</f>
        <v>0</v>
      </c>
      <c r="O70" s="300">
        <f t="shared" si="25"/>
        <v>-2883906.6900000004</v>
      </c>
      <c r="Q70" s="308"/>
      <c r="S70" s="326">
        <v>5</v>
      </c>
      <c r="T70" s="327" t="s">
        <v>14</v>
      </c>
      <c r="U70" s="298">
        <f>'Reversion Pagos R4'!J348</f>
        <v>-182766.36</v>
      </c>
      <c r="V70" s="299">
        <f>'Reversion Pagos R4'!K348</f>
        <v>-176896.84</v>
      </c>
      <c r="W70" s="299">
        <f>'Reversion Pagos R4'!L348</f>
        <v>-902118.91</v>
      </c>
      <c r="X70" s="299">
        <f>'Reversion Pagos R4'!M348</f>
        <v>-745598.4</v>
      </c>
      <c r="Y70" s="291">
        <f>'Reversion Pagos R4'!N348</f>
        <v>-33994.58</v>
      </c>
      <c r="Z70" s="321">
        <f t="shared" si="26"/>
        <v>0</v>
      </c>
      <c r="AA70" s="322">
        <f>'Reversion Pagos R4'!O348</f>
        <v>-43.08</v>
      </c>
      <c r="AB70" s="296">
        <f t="shared" si="27"/>
        <v>0</v>
      </c>
      <c r="AC70" s="322">
        <f>'Reversion Pagos R4'!Q348+'Reversion Pagos R4'!R348</f>
        <v>0</v>
      </c>
      <c r="AD70" s="293">
        <f t="shared" si="28"/>
        <v>-842488.52</v>
      </c>
      <c r="AE70" s="293">
        <f>'Reversion Pagos R4'!D349</f>
        <v>-842488.52</v>
      </c>
      <c r="AF70" s="324">
        <f t="shared" si="30"/>
        <v>-2883906.69</v>
      </c>
      <c r="AG70" s="328">
        <f t="shared" si="31"/>
        <v>4.6566128730773926E-10</v>
      </c>
      <c r="AH70" s="1" t="b">
        <f t="shared" si="29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2">SUM(D66:D70)</f>
        <v>-70414137.849999994</v>
      </c>
      <c r="E71" s="292">
        <f t="shared" si="32"/>
        <v>-4690958.37</v>
      </c>
      <c r="F71" s="292">
        <f t="shared" si="32"/>
        <v>-2559867.42</v>
      </c>
      <c r="G71" s="292">
        <f t="shared" si="32"/>
        <v>-1321910.6499999999</v>
      </c>
      <c r="H71" s="292">
        <f t="shared" si="32"/>
        <v>-18963345.360000003</v>
      </c>
      <c r="I71" s="292">
        <f t="shared" si="32"/>
        <v>-680124.72</v>
      </c>
      <c r="J71" s="292">
        <f t="shared" si="32"/>
        <v>0</v>
      </c>
      <c r="K71" s="302">
        <f t="shared" si="32"/>
        <v>-42197931.329999991</v>
      </c>
      <c r="L71" s="303">
        <f t="shared" si="32"/>
        <v>0</v>
      </c>
      <c r="M71" s="304">
        <f t="shared" si="32"/>
        <v>-42197931.329999991</v>
      </c>
      <c r="N71" s="303">
        <f t="shared" si="32"/>
        <v>0</v>
      </c>
      <c r="O71" s="304">
        <f t="shared" si="32"/>
        <v>-42197931.329999991</v>
      </c>
      <c r="P71" s="331"/>
      <c r="Q71" s="308"/>
      <c r="S71" s="329"/>
      <c r="T71" s="330" t="s">
        <v>2</v>
      </c>
      <c r="U71" s="332">
        <f>SUM(U66:U70)</f>
        <v>-5982827.8200000003</v>
      </c>
      <c r="V71" s="332">
        <f t="shared" ref="V71:AG71" si="33">SUM(V66:V70)</f>
        <v>-5930509.8099999996</v>
      </c>
      <c r="W71" s="332">
        <f t="shared" si="33"/>
        <v>-28509118.109999999</v>
      </c>
      <c r="X71" s="332">
        <f t="shared" si="33"/>
        <v>-11615107.220000001</v>
      </c>
      <c r="Y71" s="332">
        <f t="shared" si="33"/>
        <v>-1111489.8600000001</v>
      </c>
      <c r="Z71" s="292">
        <f t="shared" si="33"/>
        <v>0</v>
      </c>
      <c r="AA71" s="292">
        <f>SUM(AA66:AA70)</f>
        <v>-220.16999999999996</v>
      </c>
      <c r="AB71" s="292">
        <f t="shared" si="33"/>
        <v>0</v>
      </c>
      <c r="AC71" s="292">
        <f t="shared" ref="AC71" si="34">SUM(AC66:AC70)</f>
        <v>0.19</v>
      </c>
      <c r="AD71" s="292">
        <f>SUM(AD66:AD70)</f>
        <v>10951341.469999999</v>
      </c>
      <c r="AE71" s="292">
        <f>SUM(AE66:AE70)</f>
        <v>10951341.469999999</v>
      </c>
      <c r="AF71" s="333">
        <f t="shared" si="33"/>
        <v>-42197931.329999991</v>
      </c>
      <c r="AG71" s="334">
        <f t="shared" si="33"/>
        <v>-1.3969838619232178E-9</v>
      </c>
      <c r="AH71" s="1" t="b">
        <f t="shared" si="29"/>
        <v>0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-53149052.819999993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6" t="s">
        <v>105</v>
      </c>
      <c r="AE84" s="565" t="s">
        <v>104</v>
      </c>
      <c r="AF84" s="39" t="s">
        <v>23</v>
      </c>
      <c r="AG84" s="13"/>
      <c r="AI84" s="4"/>
    </row>
    <row r="85" spans="1:35" s="307" customFormat="1" ht="12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4">
        <f>'AJUSTES - SF-T'!J47</f>
        <v>0</v>
      </c>
      <c r="K85" s="294">
        <f>D85-E85-F85-G85-H85-I85-J85</f>
        <v>0</v>
      </c>
      <c r="L85" s="296">
        <v>0</v>
      </c>
      <c r="M85" s="323">
        <f>K85-L85</f>
        <v>0</v>
      </c>
      <c r="N85" s="323">
        <f>'AJUSTES - SF-T'!N47</f>
        <v>0</v>
      </c>
      <c r="O85" s="323">
        <f>M85+N85</f>
        <v>0</v>
      </c>
      <c r="Q85" s="308"/>
      <c r="S85" s="305">
        <v>1</v>
      </c>
      <c r="T85" s="306" t="s">
        <v>10</v>
      </c>
      <c r="U85" s="314">
        <f>'AJUSTES - SF-T'!U47</f>
        <v>0</v>
      </c>
      <c r="V85" s="314">
        <f>'AJUSTES - SF-T'!V47</f>
        <v>0</v>
      </c>
      <c r="W85" s="314">
        <f>'AJUSTES - SF-T'!W47</f>
        <v>0</v>
      </c>
      <c r="X85" s="314">
        <f>'AJUSTES - SF-T'!X47</f>
        <v>0</v>
      </c>
      <c r="Y85" s="314">
        <f>'AJUSTES - SF-T'!Y47</f>
        <v>0</v>
      </c>
      <c r="Z85" s="314">
        <f>'AJUSTES - SF-T'!Z47</f>
        <v>0</v>
      </c>
      <c r="AA85" s="313">
        <v>0</v>
      </c>
      <c r="AB85" s="314">
        <f>'AJUSTES - SF-T'!AB47</f>
        <v>0</v>
      </c>
      <c r="AC85" s="563">
        <f>'AJUSTES - SF-T'!AA47</f>
        <v>0</v>
      </c>
      <c r="AD85" s="323">
        <f>'AJUSTES - SF-T'!AC47</f>
        <v>0</v>
      </c>
      <c r="AE85" s="296">
        <f>'AJUSTES - SF-T'!AD47</f>
        <v>0</v>
      </c>
      <c r="AF85" s="365">
        <f>SUM(U85:AD85)</f>
        <v>0</v>
      </c>
      <c r="AG85" s="561">
        <f>AF85-O85</f>
        <v>0</v>
      </c>
      <c r="AH85" s="1" t="b">
        <f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4">
        <v>0</v>
      </c>
      <c r="K86" s="294">
        <f t="shared" ref="K86:K89" si="35">D86-E86-F86-G86-H86-I86-J86</f>
        <v>0</v>
      </c>
      <c r="L86" s="296">
        <v>0</v>
      </c>
      <c r="M86" s="323">
        <f>K86-L86</f>
        <v>0</v>
      </c>
      <c r="N86" s="323">
        <v>0</v>
      </c>
      <c r="O86" s="323">
        <f t="shared" ref="O86:O89" si="36">M86+N86</f>
        <v>0</v>
      </c>
      <c r="Q86" s="308"/>
      <c r="S86" s="316">
        <v>2</v>
      </c>
      <c r="T86" s="317" t="s">
        <v>11</v>
      </c>
      <c r="U86" s="322">
        <v>0</v>
      </c>
      <c r="V86" s="322">
        <v>0</v>
      </c>
      <c r="W86" s="322">
        <v>0</v>
      </c>
      <c r="X86" s="322">
        <v>0</v>
      </c>
      <c r="Y86" s="322">
        <v>0</v>
      </c>
      <c r="Z86" s="322">
        <f>-L86</f>
        <v>0</v>
      </c>
      <c r="AA86" s="322">
        <v>0</v>
      </c>
      <c r="AB86" s="322">
        <f>N86</f>
        <v>0</v>
      </c>
      <c r="AC86" s="301">
        <v>0</v>
      </c>
      <c r="AD86" s="322">
        <f t="shared" ref="AD86:AD88" si="37">-J86+AE86</f>
        <v>0</v>
      </c>
      <c r="AE86" s="301">
        <v>0</v>
      </c>
      <c r="AF86" s="367">
        <f>SUM(U86:AD86)</f>
        <v>0</v>
      </c>
      <c r="AG86" s="562">
        <f>AF86-O86</f>
        <v>0</v>
      </c>
      <c r="AH86" s="1" t="b">
        <f t="shared" ref="AH86:AH90" si="38">INT(AG86)=0</f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4">
        <f>'AJUSTES - SF-T'!J49</f>
        <v>0</v>
      </c>
      <c r="K87" s="294">
        <f>D87-E87-F87-G87-H87-I87-J87</f>
        <v>0</v>
      </c>
      <c r="L87" s="296">
        <v>0</v>
      </c>
      <c r="M87" s="323">
        <f>K87-L87</f>
        <v>0</v>
      </c>
      <c r="N87" s="323">
        <f>'AJUSTES - SF-T'!N49</f>
        <v>0</v>
      </c>
      <c r="O87" s="323">
        <f>M87+N87</f>
        <v>0</v>
      </c>
      <c r="Q87" s="308"/>
      <c r="S87" s="316">
        <v>3</v>
      </c>
      <c r="T87" s="317" t="s">
        <v>12</v>
      </c>
      <c r="U87" s="322">
        <f>'AJUSTES - SF-T'!U49</f>
        <v>0</v>
      </c>
      <c r="V87" s="322">
        <f>'AJUSTES - SF-T'!V49</f>
        <v>0</v>
      </c>
      <c r="W87" s="322">
        <f>'AJUSTES - SF-T'!W49</f>
        <v>0</v>
      </c>
      <c r="X87" s="322">
        <f>'AJUSTES - SF-T'!X49</f>
        <v>0</v>
      </c>
      <c r="Y87" s="322">
        <f>'AJUSTES - SF-T'!Y49</f>
        <v>0</v>
      </c>
      <c r="Z87" s="322">
        <f>'AJUSTES - SF-T'!Z49</f>
        <v>0</v>
      </c>
      <c r="AA87" s="322">
        <f>'AJUSTES - SF-T'!AA49</f>
        <v>0</v>
      </c>
      <c r="AB87" s="322">
        <f>'AJUSTES - SF-T'!AB49</f>
        <v>0</v>
      </c>
      <c r="AC87" s="301">
        <v>0</v>
      </c>
      <c r="AD87" s="322">
        <f>'AJUSTES - SF-T'!AC49</f>
        <v>0</v>
      </c>
      <c r="AE87" s="301">
        <f>'AJUSTES - SF-T'!AD49</f>
        <v>0</v>
      </c>
      <c r="AF87" s="367">
        <f>SUM(U87:AD87)</f>
        <v>0</v>
      </c>
      <c r="AG87" s="562">
        <f>AF87-O87</f>
        <v>0</v>
      </c>
      <c r="AH87" s="1" t="b">
        <f t="shared" si="38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4">
        <v>0</v>
      </c>
      <c r="K88" s="294">
        <f t="shared" si="35"/>
        <v>0</v>
      </c>
      <c r="L88" s="296">
        <v>0</v>
      </c>
      <c r="M88" s="323">
        <f>K88-L88</f>
        <v>0</v>
      </c>
      <c r="N88" s="323">
        <v>0</v>
      </c>
      <c r="O88" s="323">
        <f t="shared" si="36"/>
        <v>0</v>
      </c>
      <c r="Q88" s="308"/>
      <c r="S88" s="316">
        <v>4</v>
      </c>
      <c r="T88" s="317" t="s">
        <v>13</v>
      </c>
      <c r="U88" s="322">
        <v>0</v>
      </c>
      <c r="V88" s="322">
        <v>0</v>
      </c>
      <c r="W88" s="322">
        <v>0</v>
      </c>
      <c r="X88" s="322">
        <v>0</v>
      </c>
      <c r="Y88" s="322">
        <v>0</v>
      </c>
      <c r="Z88" s="322">
        <f>-L88</f>
        <v>0</v>
      </c>
      <c r="AA88" s="322">
        <v>0</v>
      </c>
      <c r="AB88" s="322">
        <f>N88</f>
        <v>0</v>
      </c>
      <c r="AC88" s="301">
        <v>0</v>
      </c>
      <c r="AD88" s="322">
        <f t="shared" si="37"/>
        <v>0</v>
      </c>
      <c r="AE88" s="301">
        <v>0</v>
      </c>
      <c r="AF88" s="367">
        <f t="shared" ref="AF88:AF89" si="39">SUM(U88:AD88)</f>
        <v>0</v>
      </c>
      <c r="AG88" s="562">
        <f>AF88-O88</f>
        <v>0</v>
      </c>
      <c r="AH88" s="1" t="b">
        <f t="shared" si="38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8">
        <f>'AJUSTES - SF-T'!D51</f>
        <v>0</v>
      </c>
      <c r="E89" s="299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9">
        <f>'AJUSTES - SF-T'!J51</f>
        <v>0</v>
      </c>
      <c r="K89" s="299">
        <f t="shared" si="35"/>
        <v>0</v>
      </c>
      <c r="L89" s="296">
        <v>0</v>
      </c>
      <c r="M89" s="348">
        <f>K89-L89</f>
        <v>0</v>
      </c>
      <c r="N89" s="348">
        <f>'AJUSTES - SF-T'!N51</f>
        <v>0</v>
      </c>
      <c r="O89" s="348">
        <f t="shared" si="36"/>
        <v>0</v>
      </c>
      <c r="Q89" s="308"/>
      <c r="S89" s="326">
        <v>5</v>
      </c>
      <c r="T89" s="327" t="s">
        <v>14</v>
      </c>
      <c r="U89" s="348">
        <f>'AJUSTES - SF-T'!U51</f>
        <v>0</v>
      </c>
      <c r="V89" s="348">
        <f>'AJUSTES - SF-T'!V51</f>
        <v>0</v>
      </c>
      <c r="W89" s="348">
        <f>'AJUSTES - SF-T'!W51</f>
        <v>0</v>
      </c>
      <c r="X89" s="348">
        <f>'AJUSTES - SF-T'!X51</f>
        <v>0</v>
      </c>
      <c r="Y89" s="348">
        <f>'AJUSTES - SF-T'!Y51</f>
        <v>0</v>
      </c>
      <c r="Z89" s="348">
        <f>'AJUSTES - SF-T'!Z51</f>
        <v>0</v>
      </c>
      <c r="AA89" s="322">
        <f>'AJUSTES - SF-T'!AA51</f>
        <v>0</v>
      </c>
      <c r="AB89" s="564">
        <f>'AJUSTES - SF-T'!AB51</f>
        <v>0</v>
      </c>
      <c r="AC89" s="600">
        <v>0</v>
      </c>
      <c r="AD89" s="564">
        <f>'AJUSTES - SF-T'!AC51</f>
        <v>0</v>
      </c>
      <c r="AE89" s="296">
        <f>'AJUSTES - SF-T'!AD51</f>
        <v>0</v>
      </c>
      <c r="AF89" s="568">
        <f t="shared" si="39"/>
        <v>0</v>
      </c>
      <c r="AG89" s="567">
        <f>AF89-O89</f>
        <v>0</v>
      </c>
      <c r="AH89" s="1" t="b">
        <f t="shared" si="38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 t="shared" ref="D90:O90" si="40">SUM(D85:D89)</f>
        <v>0</v>
      </c>
      <c r="E90" s="292">
        <f t="shared" si="40"/>
        <v>0</v>
      </c>
      <c r="F90" s="292">
        <f t="shared" si="40"/>
        <v>0</v>
      </c>
      <c r="G90" s="292">
        <f t="shared" si="40"/>
        <v>0</v>
      </c>
      <c r="H90" s="292">
        <f t="shared" si="40"/>
        <v>0</v>
      </c>
      <c r="I90" s="292">
        <f t="shared" si="40"/>
        <v>0</v>
      </c>
      <c r="J90" s="292">
        <f t="shared" si="40"/>
        <v>0</v>
      </c>
      <c r="K90" s="302">
        <f t="shared" si="40"/>
        <v>0</v>
      </c>
      <c r="L90" s="303">
        <f t="shared" si="40"/>
        <v>0</v>
      </c>
      <c r="M90" s="304">
        <f t="shared" si="40"/>
        <v>0</v>
      </c>
      <c r="N90" s="303">
        <f t="shared" si="40"/>
        <v>0</v>
      </c>
      <c r="O90" s="304">
        <f t="shared" si="40"/>
        <v>0</v>
      </c>
      <c r="P90" s="331"/>
      <c r="Q90" s="308"/>
      <c r="S90" s="329"/>
      <c r="T90" s="559" t="s">
        <v>2</v>
      </c>
      <c r="U90" s="332">
        <f>SUM(U85:U89)</f>
        <v>0</v>
      </c>
      <c r="V90" s="332">
        <f t="shared" ref="V90:AG90" si="41">SUM(V85:V89)</f>
        <v>0</v>
      </c>
      <c r="W90" s="560">
        <f t="shared" si="41"/>
        <v>0</v>
      </c>
      <c r="X90" s="332">
        <f t="shared" si="41"/>
        <v>0</v>
      </c>
      <c r="Y90" s="332">
        <f t="shared" si="41"/>
        <v>0</v>
      </c>
      <c r="Z90" s="292">
        <f t="shared" si="41"/>
        <v>0</v>
      </c>
      <c r="AA90" s="292">
        <f t="shared" si="41"/>
        <v>0</v>
      </c>
      <c r="AB90" s="292">
        <f t="shared" si="41"/>
        <v>0</v>
      </c>
      <c r="AC90" s="292">
        <f t="shared" ref="AC90" si="42">SUM(AC85:AC89)</f>
        <v>0</v>
      </c>
      <c r="AD90" s="292">
        <f t="shared" si="41"/>
        <v>0</v>
      </c>
      <c r="AE90" s="292">
        <f t="shared" si="41"/>
        <v>0</v>
      </c>
      <c r="AF90" s="333">
        <f t="shared" si="41"/>
        <v>0</v>
      </c>
      <c r="AG90" s="334">
        <f t="shared" si="41"/>
        <v>0</v>
      </c>
      <c r="AH90" s="1" t="b">
        <f t="shared" si="38"/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0" t="s">
        <v>17</v>
      </c>
      <c r="D101" s="9">
        <f>D6</f>
        <v>46314</v>
      </c>
      <c r="F101" s="58" t="s">
        <v>215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216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ht="12" x14ac:dyDescent="0.25">
      <c r="B104" s="305">
        <v>1</v>
      </c>
      <c r="C104" s="306" t="s">
        <v>10</v>
      </c>
      <c r="D104" s="293">
        <f t="shared" ref="D104:J108" si="43">D9+D28+D47+D66+D85</f>
        <v>14494946130.289999</v>
      </c>
      <c r="E104" s="294">
        <f t="shared" si="43"/>
        <v>809928332.46000004</v>
      </c>
      <c r="F104" s="294">
        <f t="shared" si="43"/>
        <v>451124874.68000007</v>
      </c>
      <c r="G104" s="294">
        <f t="shared" si="43"/>
        <v>240018809.56999996</v>
      </c>
      <c r="H104" s="294">
        <f t="shared" si="43"/>
        <v>4723155347.5700006</v>
      </c>
      <c r="I104" s="294">
        <f t="shared" si="43"/>
        <v>157526977.84999999</v>
      </c>
      <c r="J104" s="294">
        <f t="shared" si="43"/>
        <v>2153950828.1600003</v>
      </c>
      <c r="K104" s="295">
        <f>D104-E104-F104-G104-H104-I104-J104</f>
        <v>5959240959.9999962</v>
      </c>
      <c r="L104" s="296">
        <f>L9+L28+L47+L66+L85</f>
        <v>189185987</v>
      </c>
      <c r="M104" s="295">
        <f>K104-L104</f>
        <v>5770054972.9999962</v>
      </c>
      <c r="N104" s="296">
        <f>N9+N28+N47+N66+N85</f>
        <v>9937924.0999999996</v>
      </c>
      <c r="O104" s="295">
        <f>M104+N104</f>
        <v>5779992897.0999966</v>
      </c>
      <c r="Q104" s="308"/>
      <c r="S104" s="305">
        <v>1</v>
      </c>
      <c r="T104" s="306" t="s">
        <v>10</v>
      </c>
      <c r="U104" s="309">
        <f t="shared" ref="U104:AB108" si="44">U9+U28+U47+U66+U85</f>
        <v>1384113942.9699998</v>
      </c>
      <c r="V104" s="310">
        <f t="shared" si="44"/>
        <v>1304507188.2100003</v>
      </c>
      <c r="W104" s="310">
        <f t="shared" si="44"/>
        <v>6217954410.7299995</v>
      </c>
      <c r="X104" s="310">
        <f t="shared" si="44"/>
        <v>2204083806.54</v>
      </c>
      <c r="Y104" s="311">
        <f t="shared" si="44"/>
        <v>257139776.08000001</v>
      </c>
      <c r="Z104" s="312">
        <f t="shared" si="44"/>
        <v>-189185987</v>
      </c>
      <c r="AA104" s="313">
        <f>AA9+AA28+AA47+AA66+AA85</f>
        <v>-24100.32</v>
      </c>
      <c r="AB104" s="296">
        <f>AB9+AB28+AB47+AB66+AB85</f>
        <v>9937924.0999999996</v>
      </c>
      <c r="AC104" s="313">
        <f>AC9+AC28+AC47+AC66+AC85</f>
        <v>149.04</v>
      </c>
      <c r="AD104" s="293">
        <f>-J104+AE104</f>
        <v>-5408534213.25</v>
      </c>
      <c r="AE104" s="293">
        <f>AE9+AE28+AE47+AE66+AE85</f>
        <v>-3254583385.0900002</v>
      </c>
      <c r="AF104" s="315">
        <f>SUM(U104:AD104)</f>
        <v>5779992897.1000023</v>
      </c>
      <c r="AG104" s="313">
        <f>AF104-O104</f>
        <v>0</v>
      </c>
      <c r="AH104" s="1" t="b">
        <f>INT(AG104)=0</f>
        <v>1</v>
      </c>
      <c r="AI104" s="308"/>
    </row>
    <row r="105" spans="2:36" s="307" customFormat="1" ht="12" x14ac:dyDescent="0.25">
      <c r="B105" s="316">
        <v>2</v>
      </c>
      <c r="C105" s="317" t="s">
        <v>11</v>
      </c>
      <c r="D105" s="293">
        <f t="shared" si="43"/>
        <v>10307938498.949999</v>
      </c>
      <c r="E105" s="294">
        <f t="shared" si="43"/>
        <v>763120558.77999997</v>
      </c>
      <c r="F105" s="294">
        <f t="shared" si="43"/>
        <v>422863800.51999998</v>
      </c>
      <c r="G105" s="294">
        <f t="shared" si="43"/>
        <v>224000362.90000001</v>
      </c>
      <c r="H105" s="294">
        <f t="shared" si="43"/>
        <v>3469174829.2399998</v>
      </c>
      <c r="I105" s="294">
        <f t="shared" si="43"/>
        <v>123975657.7</v>
      </c>
      <c r="J105" s="294">
        <f t="shared" si="43"/>
        <v>-4217145526.9099998</v>
      </c>
      <c r="K105" s="297">
        <f t="shared" ref="K105:K108" si="45">D105-E105-F105-G105-H105-I105-J105</f>
        <v>9521948816.7199974</v>
      </c>
      <c r="L105" s="296">
        <f>L10+L29+L48+L67+L86</f>
        <v>266580255</v>
      </c>
      <c r="M105" s="297">
        <f>K105-L105</f>
        <v>9255368561.7199974</v>
      </c>
      <c r="N105" s="296">
        <f>N10+N29+N48+N67+N86</f>
        <v>6792800.1600000001</v>
      </c>
      <c r="O105" s="297">
        <f t="shared" ref="O105:O108" si="46">M105+N105</f>
        <v>9262161361.8799973</v>
      </c>
      <c r="Q105" s="308"/>
      <c r="S105" s="316">
        <v>2</v>
      </c>
      <c r="T105" s="317" t="s">
        <v>11</v>
      </c>
      <c r="U105" s="318">
        <f t="shared" si="44"/>
        <v>1088389944.96</v>
      </c>
      <c r="V105" s="319">
        <f t="shared" si="44"/>
        <v>1034704736.4000001</v>
      </c>
      <c r="W105" s="319">
        <f t="shared" si="44"/>
        <v>4916740713.250001</v>
      </c>
      <c r="X105" s="319">
        <f t="shared" si="44"/>
        <v>1495136513.8400002</v>
      </c>
      <c r="Y105" s="320">
        <f t="shared" si="44"/>
        <v>202380458.09999999</v>
      </c>
      <c r="Z105" s="321">
        <f t="shared" si="44"/>
        <v>-266580255</v>
      </c>
      <c r="AA105" s="322">
        <f t="shared" si="44"/>
        <v>-13402.730000000001</v>
      </c>
      <c r="AB105" s="296">
        <f t="shared" si="44"/>
        <v>6792800.1600000001</v>
      </c>
      <c r="AC105" s="322">
        <f t="shared" ref="AC105" si="47">AC10+AC29+AC48+AC67+AC86</f>
        <v>-48.7</v>
      </c>
      <c r="AD105" s="293">
        <f t="shared" ref="AD105" si="48">-J105+AE105</f>
        <v>784609901.60000038</v>
      </c>
      <c r="AE105" s="293">
        <f>AE10+AE29+AE48+AE67+AE86</f>
        <v>-3432535625.3099995</v>
      </c>
      <c r="AF105" s="324">
        <f>SUM(U105:AD105)</f>
        <v>9262161361.8800011</v>
      </c>
      <c r="AG105" s="325">
        <f>AF105-O105</f>
        <v>0</v>
      </c>
      <c r="AH105" s="1" t="b">
        <f t="shared" ref="AH105:AH109" si="49">INT(AG105)=0</f>
        <v>1</v>
      </c>
      <c r="AI105" s="308"/>
    </row>
    <row r="106" spans="2:36" s="307" customFormat="1" ht="12" x14ac:dyDescent="0.25">
      <c r="B106" s="316">
        <v>3</v>
      </c>
      <c r="C106" s="317" t="s">
        <v>12</v>
      </c>
      <c r="D106" s="293">
        <f t="shared" si="43"/>
        <v>8394192614.9000006</v>
      </c>
      <c r="E106" s="294">
        <f t="shared" si="43"/>
        <v>520175121.88999999</v>
      </c>
      <c r="F106" s="294">
        <f t="shared" si="43"/>
        <v>289684342.38999999</v>
      </c>
      <c r="G106" s="294">
        <f t="shared" si="43"/>
        <v>154157420.00000003</v>
      </c>
      <c r="H106" s="294">
        <f t="shared" si="43"/>
        <v>2409034237.3800001</v>
      </c>
      <c r="I106" s="294">
        <f t="shared" si="43"/>
        <v>86409641.679999992</v>
      </c>
      <c r="J106" s="294">
        <f t="shared" si="43"/>
        <v>-1288806337.0900002</v>
      </c>
      <c r="K106" s="297">
        <f t="shared" si="45"/>
        <v>6223538188.6499996</v>
      </c>
      <c r="L106" s="296">
        <f>L11+L30+L49+L68+L87</f>
        <v>154788535</v>
      </c>
      <c r="M106" s="297">
        <f>K106-L106</f>
        <v>6068749653.6499996</v>
      </c>
      <c r="N106" s="296">
        <f>N11+N30+N49+N68+N87</f>
        <v>14510188.139999999</v>
      </c>
      <c r="O106" s="297">
        <f t="shared" si="46"/>
        <v>6083259841.79</v>
      </c>
      <c r="Q106" s="308"/>
      <c r="S106" s="316">
        <v>3</v>
      </c>
      <c r="T106" s="317" t="s">
        <v>12</v>
      </c>
      <c r="U106" s="318">
        <f t="shared" si="44"/>
        <v>759142002.11000001</v>
      </c>
      <c r="V106" s="319">
        <f t="shared" si="44"/>
        <v>718434709.62</v>
      </c>
      <c r="W106" s="319">
        <f t="shared" si="44"/>
        <v>3415907595.3499999</v>
      </c>
      <c r="X106" s="319">
        <f t="shared" si="44"/>
        <v>1232252370.26</v>
      </c>
      <c r="Y106" s="320">
        <f t="shared" si="44"/>
        <v>141065744.70000002</v>
      </c>
      <c r="Z106" s="321">
        <f t="shared" si="44"/>
        <v>-154788535</v>
      </c>
      <c r="AA106" s="322">
        <f t="shared" si="44"/>
        <v>-80268.700000000012</v>
      </c>
      <c r="AB106" s="296">
        <f t="shared" si="44"/>
        <v>14510188.139999999</v>
      </c>
      <c r="AC106" s="322">
        <f t="shared" ref="AC106" si="50">AC11+AC30+AC49+AC68+AC87</f>
        <v>1.1100000000000001</v>
      </c>
      <c r="AD106" s="293">
        <f>-J106+AE106</f>
        <v>-43183965.799999714</v>
      </c>
      <c r="AE106" s="293">
        <f>AE11+AE30+AE49+AE68+AE87</f>
        <v>-1331990302.8899999</v>
      </c>
      <c r="AF106" s="324">
        <f>SUM(U106:AD106)</f>
        <v>6083259841.7900009</v>
      </c>
      <c r="AG106" s="325">
        <f>AF106-O106</f>
        <v>0</v>
      </c>
      <c r="AH106" s="1" t="b">
        <f t="shared" si="49"/>
        <v>1</v>
      </c>
      <c r="AI106" s="308"/>
    </row>
    <row r="107" spans="2:36" s="307" customFormat="1" ht="12" x14ac:dyDescent="0.25">
      <c r="B107" s="316">
        <v>4</v>
      </c>
      <c r="C107" s="317" t="s">
        <v>13</v>
      </c>
      <c r="D107" s="293">
        <f t="shared" si="43"/>
        <v>9886897739.0499992</v>
      </c>
      <c r="E107" s="294">
        <f t="shared" si="43"/>
        <v>552903262.25999999</v>
      </c>
      <c r="F107" s="294">
        <f t="shared" si="43"/>
        <v>306856656.09999996</v>
      </c>
      <c r="G107" s="294">
        <f t="shared" si="43"/>
        <v>163164937.62</v>
      </c>
      <c r="H107" s="294">
        <f t="shared" si="43"/>
        <v>2332257088.8899999</v>
      </c>
      <c r="I107" s="294">
        <f t="shared" si="43"/>
        <v>87784289.409999996</v>
      </c>
      <c r="J107" s="294">
        <f t="shared" si="43"/>
        <v>61531953.689999998</v>
      </c>
      <c r="K107" s="297">
        <f t="shared" si="45"/>
        <v>6382399551.079999</v>
      </c>
      <c r="L107" s="296">
        <f>L12+L31+L50+L69+L88</f>
        <v>120391083</v>
      </c>
      <c r="M107" s="297">
        <f>K107-L107</f>
        <v>6262008468.079999</v>
      </c>
      <c r="N107" s="296">
        <f>N12+N31+N50+N69+N88</f>
        <v>7972372.8300000001</v>
      </c>
      <c r="O107" s="297">
        <f>M107+N107</f>
        <v>6269980840.9099989</v>
      </c>
      <c r="Q107" s="308"/>
      <c r="S107" s="316">
        <v>4</v>
      </c>
      <c r="T107" s="317" t="s">
        <v>13</v>
      </c>
      <c r="U107" s="318">
        <f t="shared" si="44"/>
        <v>769803614.69999993</v>
      </c>
      <c r="V107" s="319">
        <f t="shared" si="44"/>
        <v>729234377.32000005</v>
      </c>
      <c r="W107" s="319">
        <f t="shared" si="44"/>
        <v>3775444313.3099999</v>
      </c>
      <c r="X107" s="319">
        <f t="shared" si="44"/>
        <v>1463880495.5</v>
      </c>
      <c r="Y107" s="320">
        <f t="shared" si="44"/>
        <v>143434665.66000006</v>
      </c>
      <c r="Z107" s="321">
        <f t="shared" si="44"/>
        <v>-120391083</v>
      </c>
      <c r="AA107" s="322">
        <f t="shared" si="44"/>
        <v>31641.47</v>
      </c>
      <c r="AB107" s="296">
        <f t="shared" si="44"/>
        <v>7972372.8300000001</v>
      </c>
      <c r="AC107" s="322">
        <f t="shared" ref="AC107" si="51">AC12+AC31+AC50+AC69+AC88</f>
        <v>189.23</v>
      </c>
      <c r="AD107" s="293">
        <f>-J107+AE107</f>
        <v>-499429746.11000007</v>
      </c>
      <c r="AE107" s="293">
        <f>AE12+AE31+AE50+AE69+AE88</f>
        <v>-437897792.42000008</v>
      </c>
      <c r="AF107" s="324">
        <f>SUM(U107:AD107)</f>
        <v>6269980840.9099998</v>
      </c>
      <c r="AG107" s="325">
        <f>AF117-O117</f>
        <v>0</v>
      </c>
      <c r="AH107" s="1" t="b">
        <f t="shared" si="49"/>
        <v>1</v>
      </c>
      <c r="AI107" s="308"/>
    </row>
    <row r="108" spans="2:36" s="307" customFormat="1" ht="12.6" thickBot="1" x14ac:dyDescent="0.3">
      <c r="B108" s="326">
        <v>5</v>
      </c>
      <c r="C108" s="327" t="s">
        <v>14</v>
      </c>
      <c r="D108" s="298">
        <f>D13+D32+D51+D70+D89</f>
        <v>7238405926.46</v>
      </c>
      <c r="E108" s="299">
        <f t="shared" si="43"/>
        <v>383530978.75</v>
      </c>
      <c r="F108" s="299">
        <f t="shared" si="43"/>
        <v>213577207.39000002</v>
      </c>
      <c r="G108" s="299">
        <f t="shared" si="43"/>
        <v>113555337.15000001</v>
      </c>
      <c r="H108" s="299">
        <f t="shared" si="43"/>
        <v>1814576452.78</v>
      </c>
      <c r="I108" s="299">
        <f t="shared" si="43"/>
        <v>60333537.049999997</v>
      </c>
      <c r="J108" s="299">
        <f t="shared" si="43"/>
        <v>-1246473094.4099998</v>
      </c>
      <c r="K108" s="297">
        <f t="shared" si="45"/>
        <v>5899305507.75</v>
      </c>
      <c r="L108" s="296">
        <f>L13+L32+L51+L70+L89</f>
        <v>128990445</v>
      </c>
      <c r="M108" s="300">
        <f>K108-L108</f>
        <v>5770315062.75</v>
      </c>
      <c r="N108" s="301">
        <f>N13+N32+N51+N70+N89</f>
        <v>10471696.869999999</v>
      </c>
      <c r="O108" s="300">
        <f t="shared" si="46"/>
        <v>5780786759.6199999</v>
      </c>
      <c r="Q108" s="308"/>
      <c r="S108" s="326">
        <v>5</v>
      </c>
      <c r="T108" s="327" t="s">
        <v>14</v>
      </c>
      <c r="U108" s="298">
        <f t="shared" si="44"/>
        <v>529345666.76999998</v>
      </c>
      <c r="V108" s="299">
        <f t="shared" si="44"/>
        <v>497206705.88</v>
      </c>
      <c r="W108" s="299">
        <f t="shared" si="44"/>
        <v>2557912270.1799998</v>
      </c>
      <c r="X108" s="299">
        <f t="shared" si="44"/>
        <v>1141268305.71</v>
      </c>
      <c r="Y108" s="291">
        <f t="shared" si="44"/>
        <v>98443570.550000012</v>
      </c>
      <c r="Z108" s="321">
        <f t="shared" si="44"/>
        <v>-128990445</v>
      </c>
      <c r="AA108" s="322">
        <f t="shared" si="44"/>
        <v>11431.07</v>
      </c>
      <c r="AB108" s="296">
        <f t="shared" si="44"/>
        <v>10471696.869999999</v>
      </c>
      <c r="AC108" s="322">
        <f t="shared" ref="AC108" si="52">AC13+AC32+AC51+AC70+AC89</f>
        <v>4.82</v>
      </c>
      <c r="AD108" s="293">
        <f>-J108+AE108</f>
        <v>1075117552.77</v>
      </c>
      <c r="AE108" s="293">
        <f>AE13+AE32+AE51+AE70+AE89</f>
        <v>-171355541.63999999</v>
      </c>
      <c r="AF108" s="324">
        <f>SUM(U108:AD108)</f>
        <v>5780786759.6199989</v>
      </c>
      <c r="AG108" s="328">
        <f>AF108-O108</f>
        <v>0</v>
      </c>
      <c r="AH108" s="1" t="b">
        <f t="shared" si="49"/>
        <v>1</v>
      </c>
      <c r="AI108" s="308"/>
    </row>
    <row r="109" spans="2:36" s="307" customFormat="1" ht="13.8" thickBot="1" x14ac:dyDescent="0.3">
      <c r="B109" s="329"/>
      <c r="C109" s="330" t="s">
        <v>2</v>
      </c>
      <c r="D109" s="292">
        <f t="shared" ref="D109:O109" si="53">SUM(D104:D108)</f>
        <v>50322380909.650002</v>
      </c>
      <c r="E109" s="292">
        <f t="shared" si="53"/>
        <v>3029658254.1400003</v>
      </c>
      <c r="F109" s="292">
        <f t="shared" si="53"/>
        <v>1684106881.0800002</v>
      </c>
      <c r="G109" s="292">
        <f t="shared" si="53"/>
        <v>894896867.24000001</v>
      </c>
      <c r="H109" s="292">
        <f t="shared" si="53"/>
        <v>14748197955.860001</v>
      </c>
      <c r="I109" s="292">
        <f t="shared" si="53"/>
        <v>516030103.69</v>
      </c>
      <c r="J109" s="292">
        <f t="shared" si="53"/>
        <v>-4536942176.5599995</v>
      </c>
      <c r="K109" s="302">
        <f t="shared" si="53"/>
        <v>33986433024.199993</v>
      </c>
      <c r="L109" s="303">
        <f t="shared" si="53"/>
        <v>859936305</v>
      </c>
      <c r="M109" s="304">
        <f t="shared" si="53"/>
        <v>33126496719.199993</v>
      </c>
      <c r="N109" s="303">
        <f t="shared" si="53"/>
        <v>49684982.099999994</v>
      </c>
      <c r="O109" s="304">
        <f t="shared" si="53"/>
        <v>33176181701.299992</v>
      </c>
      <c r="P109" s="331"/>
      <c r="Q109" s="308"/>
      <c r="S109" s="329"/>
      <c r="T109" s="330" t="s">
        <v>2</v>
      </c>
      <c r="U109" s="332">
        <f>SUM(U104:U108)</f>
        <v>4530795171.5100002</v>
      </c>
      <c r="V109" s="332">
        <f t="shared" ref="V109:AF109" si="54">SUM(V104:V108)</f>
        <v>4284087717.4300008</v>
      </c>
      <c r="W109" s="332">
        <f t="shared" si="54"/>
        <v>20883959302.82</v>
      </c>
      <c r="X109" s="332">
        <f t="shared" si="54"/>
        <v>7536621491.8500004</v>
      </c>
      <c r="Y109" s="332">
        <f t="shared" si="54"/>
        <v>842464215.09000015</v>
      </c>
      <c r="Z109" s="292">
        <f t="shared" si="54"/>
        <v>-859936305</v>
      </c>
      <c r="AA109" s="292">
        <f t="shared" si="54"/>
        <v>-74699.210000000021</v>
      </c>
      <c r="AB109" s="292">
        <f t="shared" si="54"/>
        <v>49684982.099999994</v>
      </c>
      <c r="AC109" s="292">
        <f t="shared" si="54"/>
        <v>295.49999999999994</v>
      </c>
      <c r="AD109" s="292">
        <f>SUM(AD104:AD108)</f>
        <v>-4091420470.7899985</v>
      </c>
      <c r="AE109" s="292">
        <f>SUM(AE104:AE108)</f>
        <v>-8628362647.3499985</v>
      </c>
      <c r="AF109" s="333">
        <f t="shared" si="54"/>
        <v>33176181701.300003</v>
      </c>
      <c r="AG109" s="334">
        <f>SUM(AG104:AG108)</f>
        <v>0</v>
      </c>
      <c r="AH109" s="1" t="b">
        <f t="shared" si="49"/>
        <v>1</v>
      </c>
      <c r="AI109" s="308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38077927898.699997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7"/>
      <c r="AB112" s="307"/>
      <c r="AC112" s="307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29606547</v>
      </c>
      <c r="E125" s="111">
        <v>0</v>
      </c>
      <c r="G125" s="338">
        <f>D47+N47</f>
        <v>513960</v>
      </c>
      <c r="H125" s="312">
        <f>D28+N28</f>
        <v>26731349.390000001</v>
      </c>
      <c r="I125" s="311">
        <f>D85+N85</f>
        <v>0</v>
      </c>
      <c r="J125" s="311">
        <f>D66+N66</f>
        <v>-3698870</v>
      </c>
      <c r="K125" s="311">
        <f>'ANTICIPOS USUARIOS'!I12</f>
        <v>0</v>
      </c>
      <c r="L125" s="311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22325147.129999999</v>
      </c>
      <c r="E126" s="74">
        <v>0</v>
      </c>
      <c r="G126" s="341">
        <f>D48+N48</f>
        <v>9240820</v>
      </c>
      <c r="H126" s="342">
        <f>D29+N29</f>
        <v>39413638.689999998</v>
      </c>
      <c r="I126" s="290">
        <f>D86+N86</f>
        <v>0</v>
      </c>
      <c r="J126" s="290">
        <f t="shared" ref="J126:J129" si="55">D67+N67</f>
        <v>-20858585.449999999</v>
      </c>
      <c r="K126" s="290">
        <f>'ANTICIPOS USUARIOS'!I13</f>
        <v>5526530</v>
      </c>
      <c r="L126" s="290">
        <f>-'ANTICIPOS USUARIOS'!I22</f>
        <v>206704.55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8845080</v>
      </c>
      <c r="E127" s="74">
        <v>0</v>
      </c>
      <c r="G127" s="341">
        <f>D49+N49</f>
        <v>0</v>
      </c>
      <c r="H127" s="342">
        <f>D30+N30</f>
        <v>12385143.039999999</v>
      </c>
      <c r="I127" s="290">
        <f>D87+N87</f>
        <v>0</v>
      </c>
      <c r="J127" s="290">
        <f t="shared" si="55"/>
        <v>-2259272</v>
      </c>
      <c r="K127" s="290">
        <f>'ANTICIPOS USUARIOS'!I14</f>
        <v>0</v>
      </c>
      <c r="L127" s="290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42284806</v>
      </c>
      <c r="E128" s="74">
        <v>0</v>
      </c>
      <c r="G128" s="341">
        <f>D50+N50</f>
        <v>20397090</v>
      </c>
      <c r="H128" s="342">
        <f>D31+N31</f>
        <v>23742361.280000001</v>
      </c>
      <c r="I128" s="290">
        <f>D88+N88</f>
        <v>0</v>
      </c>
      <c r="J128" s="290">
        <f t="shared" si="55"/>
        <v>-39633253.399999999</v>
      </c>
      <c r="K128" s="290">
        <f>'ANTICIPOS USUARIOS'!I15</f>
        <v>18827526</v>
      </c>
      <c r="L128" s="290">
        <f>-'ANTICIPOS USUARIOS'!I24</f>
        <v>1173046.5999999999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5249580</v>
      </c>
      <c r="E129" s="139">
        <v>0</v>
      </c>
      <c r="G129" s="341">
        <f>D51+N51</f>
        <v>0</v>
      </c>
      <c r="H129" s="342">
        <f>D32+N32</f>
        <v>9192655.3300000001</v>
      </c>
      <c r="I129" s="290">
        <f>D89+N89</f>
        <v>0</v>
      </c>
      <c r="J129" s="290">
        <f t="shared" si="55"/>
        <v>-3964157</v>
      </c>
      <c r="K129" s="290">
        <f>'ANTICIPOS USUARIOS'!I16</f>
        <v>0</v>
      </c>
      <c r="L129" s="290">
        <f>-'ANTICIPOS USUARIOS'!I25</f>
        <v>41240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108311160.13</v>
      </c>
      <c r="E131" s="107">
        <f>SUM(E125:E130)</f>
        <v>0</v>
      </c>
      <c r="F131" s="45"/>
      <c r="G131" s="352">
        <f t="shared" ref="G131" si="56">SUM(G125:G129)</f>
        <v>30151870</v>
      </c>
      <c r="H131" s="352">
        <f>SUM(H125:H130)</f>
        <v>111465147.73</v>
      </c>
      <c r="I131" s="352">
        <f>SUM(I125:I130)</f>
        <v>0</v>
      </c>
      <c r="J131" s="352">
        <f>SUM(J125:J130)</f>
        <v>-70414137.849999994</v>
      </c>
      <c r="K131" s="352">
        <f>SUM(K125:K130)</f>
        <v>24354056</v>
      </c>
      <c r="L131" s="352">
        <f>SUM(L125:L130)</f>
        <v>1420991.15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14534490601.389999</v>
      </c>
      <c r="E142" s="110">
        <f>'Recaudo ENEL'!D21</f>
        <v>14510944162</v>
      </c>
      <c r="F142" s="110">
        <f>D28+N28</f>
        <v>26731349.390000001</v>
      </c>
      <c r="G142" s="110">
        <f>D66+N66</f>
        <v>-3698870</v>
      </c>
      <c r="H142" s="110">
        <f>D85+N85</f>
        <v>0</v>
      </c>
      <c r="I142" s="110">
        <f>('REPORTE RECAUDO x BANCO'!E62)</f>
        <v>0</v>
      </c>
      <c r="J142" s="110">
        <f t="shared" ref="J142:K146" si="57">G125</f>
        <v>513960</v>
      </c>
      <c r="K142" s="111">
        <f t="shared" si="57"/>
        <v>26731349.390000001</v>
      </c>
      <c r="L142" s="527">
        <f>D142-E142-F142-G142-J142-H142-I142</f>
        <v>-6.1094760894775391E-7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10337056446.239998</v>
      </c>
      <c r="E143" s="18">
        <f>'Recaudo ENEL'!D22</f>
        <v>10307915023</v>
      </c>
      <c r="F143" s="18">
        <f>D29+N29</f>
        <v>39413638.689999998</v>
      </c>
      <c r="G143" s="18">
        <f>D67+N67</f>
        <v>-20858585.449999999</v>
      </c>
      <c r="H143" s="18">
        <f>D86+N86</f>
        <v>0</v>
      </c>
      <c r="I143" s="18">
        <f>('REPORTE RECAUDO x BANCO'!E65)</f>
        <v>1345550</v>
      </c>
      <c r="J143" s="18">
        <f t="shared" si="57"/>
        <v>9240820</v>
      </c>
      <c r="K143" s="83">
        <f t="shared" si="57"/>
        <v>39413638.689999998</v>
      </c>
      <c r="L143" s="527">
        <f>D143-E143-F143-G143-J143-H143-I143</f>
        <v>-2.1345913410186768E-6</v>
      </c>
      <c r="M143" s="1" t="b">
        <f t="shared" ref="M143:M147" si="58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8417547883.0400009</v>
      </c>
      <c r="E144" s="18">
        <f>'Recaudo ENEL'!D23</f>
        <v>8406957590</v>
      </c>
      <c r="F144" s="18">
        <f>D30+N30</f>
        <v>12385143.039999999</v>
      </c>
      <c r="G144" s="18">
        <f>D68+N68</f>
        <v>-2259272</v>
      </c>
      <c r="H144" s="18">
        <f>D87+N87</f>
        <v>0</v>
      </c>
      <c r="I144" s="18">
        <f>('REPORTE RECAUDO x BANCO'!E67)</f>
        <v>464422</v>
      </c>
      <c r="J144" s="18">
        <f t="shared" si="57"/>
        <v>0</v>
      </c>
      <c r="K144" s="83">
        <f t="shared" si="57"/>
        <v>12385143.039999999</v>
      </c>
      <c r="L144" s="527">
        <f>D144-E144-F144-G144-J144-H144-I144</f>
        <v>9.1642141342163086E-7</v>
      </c>
      <c r="M144" s="1" t="b">
        <f t="shared" si="58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9937154917.8799992</v>
      </c>
      <c r="E145" s="18">
        <f>'Recaudo ENEL'!D24</f>
        <v>9932430136</v>
      </c>
      <c r="F145" s="18">
        <f>D31+N31</f>
        <v>23742361.280000001</v>
      </c>
      <c r="G145" s="18">
        <f>D69+N69</f>
        <v>-39633253.399999999</v>
      </c>
      <c r="H145" s="18">
        <f>D88+N88</f>
        <v>0</v>
      </c>
      <c r="I145" s="18">
        <f>('REPORTE RECAUDO x BANCO'!E70)</f>
        <v>218584</v>
      </c>
      <c r="J145" s="18">
        <f t="shared" si="57"/>
        <v>20397090</v>
      </c>
      <c r="K145" s="83">
        <f t="shared" si="57"/>
        <v>23742361.280000001</v>
      </c>
      <c r="L145" s="527">
        <f>D145-E145-F145-G145-J145-H145-I145</f>
        <v>-8.4191560745239258E-7</v>
      </c>
      <c r="M145" s="1" t="b">
        <f t="shared" si="58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7254127203.3299999</v>
      </c>
      <c r="E146" s="18">
        <f>'Recaudo ENEL'!D25</f>
        <v>7248211485</v>
      </c>
      <c r="F146" s="134">
        <f>D32+N32</f>
        <v>9192655.3300000001</v>
      </c>
      <c r="G146" s="134">
        <f>D70+N70</f>
        <v>-3964157</v>
      </c>
      <c r="H146" s="134">
        <f>D89+N89</f>
        <v>0</v>
      </c>
      <c r="I146" s="134">
        <f>('REPORTE RECAUDO x BANCO'!E72)</f>
        <v>687220</v>
      </c>
      <c r="J146" s="134">
        <f t="shared" si="57"/>
        <v>0</v>
      </c>
      <c r="K146" s="136">
        <f t="shared" si="57"/>
        <v>9192655.3300000001</v>
      </c>
      <c r="L146" s="527">
        <f>D146-E146-F146-G146-J146-H146-I146</f>
        <v>-7.6368451118469238E-8</v>
      </c>
      <c r="M146" s="1" t="b">
        <f t="shared" si="58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50480377051.879997</v>
      </c>
      <c r="E147" s="47">
        <f>SUM(E142:E146)</f>
        <v>50406458396</v>
      </c>
      <c r="F147" s="47">
        <f t="shared" ref="F147:K147" si="59">SUM(F142:F146)</f>
        <v>111465147.73</v>
      </c>
      <c r="G147" s="47">
        <f t="shared" si="59"/>
        <v>-70414137.849999994</v>
      </c>
      <c r="H147" s="47">
        <f t="shared" si="59"/>
        <v>0</v>
      </c>
      <c r="I147" s="47">
        <f t="shared" si="59"/>
        <v>2715776</v>
      </c>
      <c r="J147" s="47">
        <f t="shared" si="59"/>
        <v>30151870</v>
      </c>
      <c r="K147" s="47">
        <f t="shared" si="59"/>
        <v>111465147.73</v>
      </c>
      <c r="L147" s="527">
        <f>SUM(L142:L146)</f>
        <v>-2.7474015951156616E-6</v>
      </c>
      <c r="M147" s="1" t="b">
        <f t="shared" si="58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1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5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/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ENEL'!D21</f>
        <v>14510944162</v>
      </c>
      <c r="D3" s="294">
        <f>REMUNERACION_ENEL!G125</f>
        <v>513960</v>
      </c>
      <c r="E3" s="294">
        <f>REMUNERACION_ENEL!D28+REMUNERACION_ENEL!N28</f>
        <v>26731349.390000001</v>
      </c>
      <c r="F3" s="294">
        <f>REMUNERACION_ENEL!I142</f>
        <v>0</v>
      </c>
      <c r="G3" s="294">
        <f>REMUNERACION_ENEL!H142</f>
        <v>0</v>
      </c>
      <c r="H3" s="342">
        <f>SUM(C3:G3)</f>
        <v>14538189471.389999</v>
      </c>
      <c r="I3" s="293">
        <f>REMUNERACION_ENEL!D104</f>
        <v>14494946130.289999</v>
      </c>
      <c r="J3" s="294">
        <f>REMUNERACION_ENEL!N104</f>
        <v>9937924.0999999996</v>
      </c>
      <c r="K3" s="294">
        <f>REMUNERACION_ENEL!D125</f>
        <v>29606547</v>
      </c>
      <c r="L3" s="355">
        <f>REMUNERACION_ENEL!E125</f>
        <v>0</v>
      </c>
      <c r="M3" s="294">
        <f>-REMUNERACION_ENEL!D66-REMUNERACION_ENEL!N66</f>
        <v>3698870</v>
      </c>
      <c r="N3" s="290">
        <f>SUM(I3:M3)</f>
        <v>14538189471.389999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ENEL'!D22</f>
        <v>10307915023</v>
      </c>
      <c r="D4" s="294">
        <f>REMUNERACION_ENEL!G126</f>
        <v>9240820</v>
      </c>
      <c r="E4" s="294">
        <f>REMUNERACION_ENEL!D29+REMUNERACION_ENEL!N29</f>
        <v>39413638.689999998</v>
      </c>
      <c r="F4" s="294">
        <f>REMUNERACION_ENEL!I143</f>
        <v>1345550</v>
      </c>
      <c r="G4" s="294">
        <f>REMUNERACION_ENEL!H143</f>
        <v>0</v>
      </c>
      <c r="H4" s="342">
        <f t="shared" ref="H4:H8" si="1">SUM(C4:G4)</f>
        <v>10357915031.690001</v>
      </c>
      <c r="I4" s="293">
        <f>REMUNERACION_ENEL!D105</f>
        <v>10307938498.949999</v>
      </c>
      <c r="J4" s="294">
        <f>REMUNERACION_ENEL!N105</f>
        <v>6792800.1600000001</v>
      </c>
      <c r="K4" s="294">
        <f>REMUNERACION_ENEL!D126</f>
        <v>22325147.129999999</v>
      </c>
      <c r="L4" s="355">
        <f>REMUNERACION_ENEL!E126</f>
        <v>0</v>
      </c>
      <c r="M4" s="294">
        <f>-REMUNERACION_ENEL!D67-REMUNERACION_ENEL!N67</f>
        <v>20858585.449999999</v>
      </c>
      <c r="N4" s="320">
        <f>SUM(I4:M4)</f>
        <v>10357915031.689999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ENEL'!D23</f>
        <v>8406957590</v>
      </c>
      <c r="D5" s="294">
        <f>REMUNERACION_ENEL!G127</f>
        <v>0</v>
      </c>
      <c r="E5" s="294">
        <f>REMUNERACION_ENEL!D30+REMUNERACION_ENEL!N30</f>
        <v>12385143.039999999</v>
      </c>
      <c r="F5" s="294">
        <f>REMUNERACION_ENEL!I144</f>
        <v>464422</v>
      </c>
      <c r="G5" s="294">
        <f>REMUNERACION_ENEL!H144</f>
        <v>0</v>
      </c>
      <c r="H5" s="342">
        <f t="shared" si="1"/>
        <v>8419807155.04</v>
      </c>
      <c r="I5" s="293">
        <f>REMUNERACION_ENEL!D106</f>
        <v>8394192614.9000006</v>
      </c>
      <c r="J5" s="294">
        <f>REMUNERACION_ENEL!N106</f>
        <v>14510188.139999999</v>
      </c>
      <c r="K5" s="294">
        <f>REMUNERACION_ENEL!D127</f>
        <v>8845080</v>
      </c>
      <c r="L5" s="355">
        <f>REMUNERACION_ENEL!E127</f>
        <v>0</v>
      </c>
      <c r="M5" s="294">
        <f>-REMUNERACION_ENEL!D68-REMUNERACION_ENEL!N68</f>
        <v>2259272</v>
      </c>
      <c r="N5" s="320">
        <f>SUM(I5:M5)</f>
        <v>8419807155.0400009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ENEL'!D24</f>
        <v>9932430136</v>
      </c>
      <c r="D6" s="294">
        <f>REMUNERACION_ENEL!G128</f>
        <v>20397090</v>
      </c>
      <c r="E6" s="294">
        <f>REMUNERACION_ENEL!D31+REMUNERACION_ENEL!N31</f>
        <v>23742361.280000001</v>
      </c>
      <c r="F6" s="294">
        <f>REMUNERACION_ENEL!I145</f>
        <v>218584</v>
      </c>
      <c r="G6" s="294">
        <f>REMUNERACION_ENEL!H145</f>
        <v>0</v>
      </c>
      <c r="H6" s="342">
        <f t="shared" si="1"/>
        <v>9976788171.2800007</v>
      </c>
      <c r="I6" s="293">
        <f>REMUNERACION_ENEL!D107</f>
        <v>9886897739.0499992</v>
      </c>
      <c r="J6" s="294">
        <f>REMUNERACION_ENEL!N107</f>
        <v>7972372.8300000001</v>
      </c>
      <c r="K6" s="294">
        <f>REMUNERACION_ENEL!D128</f>
        <v>42284806</v>
      </c>
      <c r="L6" s="355">
        <f>REMUNERACION_ENEL!E128</f>
        <v>0</v>
      </c>
      <c r="M6" s="294">
        <f>-REMUNERACION_ENEL!D69-REMUNERACION_ENEL!N69</f>
        <v>39633253.399999999</v>
      </c>
      <c r="N6" s="320">
        <f t="shared" ref="N6:N7" si="3">SUM(I6:M6)</f>
        <v>9976788171.2799988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ENEL'!D25</f>
        <v>7248211485</v>
      </c>
      <c r="D7" s="294">
        <f>REMUNERACION_ENEL!G129</f>
        <v>0</v>
      </c>
      <c r="E7" s="294">
        <f>REMUNERACION_ENEL!D32+REMUNERACION_ENEL!N32</f>
        <v>9192655.3300000001</v>
      </c>
      <c r="F7" s="294">
        <f>REMUNERACION_ENEL!I146</f>
        <v>687220</v>
      </c>
      <c r="G7" s="294">
        <f>REMUNERACION_ENEL!H146</f>
        <v>0</v>
      </c>
      <c r="H7" s="342">
        <f t="shared" si="1"/>
        <v>7258091360.3299999</v>
      </c>
      <c r="I7" s="293">
        <f>REMUNERACION_ENEL!D108</f>
        <v>7238405926.46</v>
      </c>
      <c r="J7" s="294">
        <f>REMUNERACION_ENEL!N108</f>
        <v>10471696.869999999</v>
      </c>
      <c r="K7" s="294">
        <f>REMUNERACION_ENEL!D129</f>
        <v>5249580</v>
      </c>
      <c r="L7" s="355">
        <f>REMUNERACION_ENEL!E129</f>
        <v>0</v>
      </c>
      <c r="M7" s="294">
        <f>-REMUNERACION_ENEL!D70-REMUNERACION_ENEL!N70</f>
        <v>3964157</v>
      </c>
      <c r="N7" s="320">
        <f t="shared" si="3"/>
        <v>7258091360.3299999</v>
      </c>
      <c r="O7" s="356">
        <f>H7-N7</f>
        <v>0</v>
      </c>
      <c r="P7" s="1" t="b">
        <f t="shared" si="2"/>
        <v>1</v>
      </c>
    </row>
    <row r="8" spans="2:16" s="357" customFormat="1" ht="13.8" thickBot="1" x14ac:dyDescent="0.3">
      <c r="B8" s="343" t="s">
        <v>89</v>
      </c>
      <c r="C8" s="319">
        <f>'Recaudo ENEL'!D26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REMUNERACION_ENEL!E130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.8" thickBot="1" x14ac:dyDescent="0.3">
      <c r="B9" s="329"/>
      <c r="C9" s="292">
        <f>SUM(C3:C8)</f>
        <v>50406458396</v>
      </c>
      <c r="D9" s="292">
        <f t="shared" ref="D9:M9" si="4">SUM(D3:D8)</f>
        <v>30151870</v>
      </c>
      <c r="E9" s="292">
        <f t="shared" si="4"/>
        <v>111465147.73</v>
      </c>
      <c r="F9" s="292">
        <f t="shared" si="4"/>
        <v>2715776</v>
      </c>
      <c r="G9" s="292">
        <f t="shared" si="4"/>
        <v>0</v>
      </c>
      <c r="H9" s="292">
        <f t="shared" si="4"/>
        <v>50550791189.730003</v>
      </c>
      <c r="I9" s="292">
        <f t="shared" si="4"/>
        <v>50322380909.650002</v>
      </c>
      <c r="J9" s="292">
        <f t="shared" si="4"/>
        <v>49684982.099999994</v>
      </c>
      <c r="K9" s="292">
        <f t="shared" si="4"/>
        <v>108311160.13</v>
      </c>
      <c r="L9" s="292">
        <f t="shared" si="4"/>
        <v>0</v>
      </c>
      <c r="M9" s="292">
        <f t="shared" si="4"/>
        <v>70414137.849999994</v>
      </c>
      <c r="N9" s="292">
        <f>SUM(N3:N8)</f>
        <v>50550791189.729996</v>
      </c>
      <c r="O9" s="361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50406458396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REMUNERACION_ENEL!D101</f>
        <v>46314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41">
        <f>REMUNERACION_ENEL!D102</f>
        <v>0.58333333333333337</v>
      </c>
      <c r="F7" s="2" t="s">
        <v>27</v>
      </c>
      <c r="G7" s="9">
        <f>REMUNERACION_ENEL!G102</f>
        <v>46296</v>
      </c>
      <c r="J7" s="2" t="s">
        <v>28</v>
      </c>
      <c r="K7" s="9">
        <f>REMUNERACION_ENEL!K102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1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14494946130.289999</v>
      </c>
      <c r="E9" s="66">
        <f>REMUNERACION_ENEL!E104</f>
        <v>809928332.46000004</v>
      </c>
      <c r="F9" s="66">
        <f>REMUNERACION_ENEL!F104</f>
        <v>451124874.68000007</v>
      </c>
      <c r="G9" s="66">
        <f>REMUNERACION_ENEL!G104</f>
        <v>240018809.56999996</v>
      </c>
      <c r="H9" s="66">
        <f>REMUNERACION_ENEL!H104</f>
        <v>4723155347.5700006</v>
      </c>
      <c r="I9" s="66">
        <f>REMUNERACION_ENEL!I104</f>
        <v>157526977.84999999</v>
      </c>
      <c r="J9" s="66">
        <f>REMUNERACION_ENEL!J104</f>
        <v>2153950828.1600003</v>
      </c>
      <c r="K9" s="30">
        <f>D9-E9-F9-G9-H9-I9-J9</f>
        <v>5959240959.9999962</v>
      </c>
      <c r="L9" s="66">
        <f>REMUNERACION_ENEL!L104</f>
        <v>189185987</v>
      </c>
      <c r="M9" s="30">
        <f>K9-L9</f>
        <v>5770054972.9999962</v>
      </c>
      <c r="N9" s="66">
        <f>REMUNERACION_ENEL!N104</f>
        <v>9937924.0999999996</v>
      </c>
      <c r="O9" s="30">
        <f>M9+N9</f>
        <v>5779992897.0999966</v>
      </c>
      <c r="Q9" s="4"/>
      <c r="S9" s="14">
        <v>1</v>
      </c>
      <c r="T9" s="61" t="s">
        <v>10</v>
      </c>
      <c r="U9" s="66">
        <f>REMUNERACION_ENEL!U104</f>
        <v>1384113942.9699998</v>
      </c>
      <c r="V9" s="66">
        <f>REMUNERACION_ENEL!V104</f>
        <v>1304507188.2100003</v>
      </c>
      <c r="W9" s="66">
        <f>REMUNERACION_ENEL!W104</f>
        <v>6217954410.7299995</v>
      </c>
      <c r="X9" s="66">
        <f>REMUNERACION_ENEL!X104</f>
        <v>2204083806.54</v>
      </c>
      <c r="Y9" s="66">
        <f>REMUNERACION_ENEL!Y104</f>
        <v>257139776.08000001</v>
      </c>
      <c r="Z9" s="66">
        <f>REMUNERACION_ENEL!Z104</f>
        <v>-189185987</v>
      </c>
      <c r="AA9" s="66">
        <f>REMUNERACION_ENEL!AA104</f>
        <v>-24100.32</v>
      </c>
      <c r="AB9" s="66">
        <f>REMUNERACION_ENEL!AB104</f>
        <v>9937924.0999999996</v>
      </c>
      <c r="AC9" s="66">
        <f>REMUNERACION_ENEL!AC104</f>
        <v>149.04</v>
      </c>
      <c r="AD9" s="66">
        <f>REMUNERACION_ENEL!AD104</f>
        <v>-5408534213.25</v>
      </c>
      <c r="AE9" s="66">
        <f>REMUNERACION_ENEL!AE104</f>
        <v>-3254583385.0900002</v>
      </c>
      <c r="AF9" s="69">
        <f>SUM(U9:AD9)</f>
        <v>5779992897.1000023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10307938498.949999</v>
      </c>
      <c r="E10" s="66">
        <f>REMUNERACION_ENEL!E105</f>
        <v>763120558.77999997</v>
      </c>
      <c r="F10" s="66">
        <f>REMUNERACION_ENEL!F105</f>
        <v>422863800.51999998</v>
      </c>
      <c r="G10" s="66">
        <f>REMUNERACION_ENEL!G105</f>
        <v>224000362.90000001</v>
      </c>
      <c r="H10" s="66">
        <f>REMUNERACION_ENEL!H105</f>
        <v>3469174829.2399998</v>
      </c>
      <c r="I10" s="66">
        <f>REMUNERACION_ENEL!I105</f>
        <v>123975657.7</v>
      </c>
      <c r="J10" s="66">
        <f>REMUNERACION_ENEL!J105</f>
        <v>-4217145526.9099998</v>
      </c>
      <c r="K10" s="31">
        <f t="shared" ref="K10:K13" si="0">D10-E10-F10-G10-H10-I10-J10</f>
        <v>9521948816.7199974</v>
      </c>
      <c r="L10" s="66">
        <f>REMUNERACION_ENEL!L105</f>
        <v>266580255</v>
      </c>
      <c r="M10" s="31">
        <f>K10-L10</f>
        <v>9255368561.7199974</v>
      </c>
      <c r="N10" s="66">
        <f>REMUNERACION_ENEL!N105</f>
        <v>6792800.1600000001</v>
      </c>
      <c r="O10" s="31">
        <f t="shared" ref="O10:O13" si="1">M10+N10</f>
        <v>9262161361.8799973</v>
      </c>
      <c r="Q10" s="4"/>
      <c r="S10" s="16">
        <v>2</v>
      </c>
      <c r="T10" s="62" t="s">
        <v>11</v>
      </c>
      <c r="U10" s="66">
        <f>REMUNERACION_ENEL!U105</f>
        <v>1088389944.96</v>
      </c>
      <c r="V10" s="66">
        <f>REMUNERACION_ENEL!V105</f>
        <v>1034704736.4000001</v>
      </c>
      <c r="W10" s="66">
        <f>REMUNERACION_ENEL!W105</f>
        <v>4916740713.250001</v>
      </c>
      <c r="X10" s="66">
        <f>REMUNERACION_ENEL!X105</f>
        <v>1495136513.8400002</v>
      </c>
      <c r="Y10" s="66">
        <f>REMUNERACION_ENEL!Y105</f>
        <v>202380458.09999999</v>
      </c>
      <c r="Z10" s="66">
        <f>REMUNERACION_ENEL!Z105</f>
        <v>-266580255</v>
      </c>
      <c r="AA10" s="66">
        <f>REMUNERACION_ENEL!AA105</f>
        <v>-13402.730000000001</v>
      </c>
      <c r="AB10" s="66">
        <f>REMUNERACION_ENEL!AB105</f>
        <v>6792800.1600000001</v>
      </c>
      <c r="AC10" s="66">
        <f>REMUNERACION_ENEL!AC105</f>
        <v>-48.7</v>
      </c>
      <c r="AD10" s="66">
        <f>REMUNERACION_ENEL!AD105</f>
        <v>784609901.60000038</v>
      </c>
      <c r="AE10" s="66">
        <f>REMUNERACION_ENEL!AE105</f>
        <v>-3432535625.3099995</v>
      </c>
      <c r="AF10" s="70">
        <f>SUM(U10:AD10)</f>
        <v>9262161361.8800011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8394192614.9000006</v>
      </c>
      <c r="E11" s="66">
        <f>REMUNERACION_ENEL!E106</f>
        <v>520175121.88999999</v>
      </c>
      <c r="F11" s="66">
        <f>REMUNERACION_ENEL!F106</f>
        <v>289684342.38999999</v>
      </c>
      <c r="G11" s="66">
        <f>REMUNERACION_ENEL!G106</f>
        <v>154157420.00000003</v>
      </c>
      <c r="H11" s="66">
        <f>REMUNERACION_ENEL!H106</f>
        <v>2409034237.3800001</v>
      </c>
      <c r="I11" s="66">
        <f>REMUNERACION_ENEL!I106</f>
        <v>86409641.679999992</v>
      </c>
      <c r="J11" s="66">
        <f>REMUNERACION_ENEL!J106</f>
        <v>-1288806337.0900002</v>
      </c>
      <c r="K11" s="31">
        <f t="shared" si="0"/>
        <v>6223538188.6499996</v>
      </c>
      <c r="L11" s="66">
        <f>REMUNERACION_ENEL!L106</f>
        <v>154788535</v>
      </c>
      <c r="M11" s="31">
        <f>K11-L11</f>
        <v>6068749653.6499996</v>
      </c>
      <c r="N11" s="66">
        <f>REMUNERACION_ENEL!N106</f>
        <v>14510188.139999999</v>
      </c>
      <c r="O11" s="31">
        <f t="shared" si="1"/>
        <v>6083259841.79</v>
      </c>
      <c r="Q11" s="4"/>
      <c r="S11" s="16">
        <v>3</v>
      </c>
      <c r="T11" s="62" t="s">
        <v>12</v>
      </c>
      <c r="U11" s="66">
        <f>REMUNERACION_ENEL!U106</f>
        <v>759142002.11000001</v>
      </c>
      <c r="V11" s="66">
        <f>REMUNERACION_ENEL!V106</f>
        <v>718434709.62</v>
      </c>
      <c r="W11" s="66">
        <f>REMUNERACION_ENEL!W106</f>
        <v>3415907595.3499999</v>
      </c>
      <c r="X11" s="66">
        <f>REMUNERACION_ENEL!X106</f>
        <v>1232252370.26</v>
      </c>
      <c r="Y11" s="66">
        <f>REMUNERACION_ENEL!Y106</f>
        <v>141065744.70000002</v>
      </c>
      <c r="Z11" s="66">
        <f>REMUNERACION_ENEL!Z106</f>
        <v>-154788535</v>
      </c>
      <c r="AA11" s="66">
        <f>REMUNERACION_ENEL!AA106</f>
        <v>-80268.700000000012</v>
      </c>
      <c r="AB11" s="66">
        <f>REMUNERACION_ENEL!AB106</f>
        <v>14510188.139999999</v>
      </c>
      <c r="AC11" s="66">
        <f>REMUNERACION_ENEL!AC106</f>
        <v>1.1100000000000001</v>
      </c>
      <c r="AD11" s="66">
        <f>REMUNERACION_ENEL!AD106</f>
        <v>-43183965.799999714</v>
      </c>
      <c r="AE11" s="66">
        <f>REMUNERACION_ENEL!AE106</f>
        <v>-1331990302.8899999</v>
      </c>
      <c r="AF11" s="70">
        <f>SUM(U11:AD11)</f>
        <v>6083259841.7900009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9886897739.0499992</v>
      </c>
      <c r="E12" s="66">
        <f>REMUNERACION_ENEL!E107</f>
        <v>552903262.25999999</v>
      </c>
      <c r="F12" s="66">
        <f>REMUNERACION_ENEL!F107</f>
        <v>306856656.09999996</v>
      </c>
      <c r="G12" s="66">
        <f>REMUNERACION_ENEL!G107</f>
        <v>163164937.62</v>
      </c>
      <c r="H12" s="66">
        <f>REMUNERACION_ENEL!H107</f>
        <v>2332257088.8899999</v>
      </c>
      <c r="I12" s="66">
        <f>REMUNERACION_ENEL!I107</f>
        <v>87784289.409999996</v>
      </c>
      <c r="J12" s="66">
        <f>REMUNERACION_ENEL!J107</f>
        <v>61531953.689999998</v>
      </c>
      <c r="K12" s="31">
        <f t="shared" si="0"/>
        <v>6382399551.079999</v>
      </c>
      <c r="L12" s="66">
        <f>REMUNERACION_ENEL!L107</f>
        <v>120391083</v>
      </c>
      <c r="M12" s="31">
        <f>K12-L12</f>
        <v>6262008468.079999</v>
      </c>
      <c r="N12" s="66">
        <f>REMUNERACION_ENEL!N107</f>
        <v>7972372.8300000001</v>
      </c>
      <c r="O12" s="31">
        <f t="shared" si="1"/>
        <v>6269980840.9099989</v>
      </c>
      <c r="Q12" s="4"/>
      <c r="S12" s="16">
        <v>4</v>
      </c>
      <c r="T12" s="62" t="s">
        <v>13</v>
      </c>
      <c r="U12" s="66">
        <f>REMUNERACION_ENEL!U107</f>
        <v>769803614.69999993</v>
      </c>
      <c r="V12" s="66">
        <f>REMUNERACION_ENEL!V107</f>
        <v>729234377.32000005</v>
      </c>
      <c r="W12" s="66">
        <f>REMUNERACION_ENEL!W107</f>
        <v>3775444313.3099999</v>
      </c>
      <c r="X12" s="66">
        <f>REMUNERACION_ENEL!X107</f>
        <v>1463880495.5</v>
      </c>
      <c r="Y12" s="66">
        <f>REMUNERACION_ENEL!Y107</f>
        <v>143434665.66000006</v>
      </c>
      <c r="Z12" s="66">
        <f>REMUNERACION_ENEL!Z107</f>
        <v>-120391083</v>
      </c>
      <c r="AA12" s="66">
        <f>REMUNERACION_ENEL!AA107</f>
        <v>31641.47</v>
      </c>
      <c r="AB12" s="66">
        <f>REMUNERACION_ENEL!AB107</f>
        <v>7972372.8300000001</v>
      </c>
      <c r="AC12" s="66">
        <f>REMUNERACION_ENEL!AC107</f>
        <v>189.23</v>
      </c>
      <c r="AD12" s="66">
        <f>REMUNERACION_ENEL!AD107</f>
        <v>-499429746.11000007</v>
      </c>
      <c r="AE12" s="66">
        <f>REMUNERACION_ENEL!AE107</f>
        <v>-437897792.42000008</v>
      </c>
      <c r="AF12" s="70">
        <f>SUM(U12:AD12)</f>
        <v>6269980840.9099998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7238405926.46</v>
      </c>
      <c r="E13" s="66">
        <f>REMUNERACION_ENEL!E108</f>
        <v>383530978.75</v>
      </c>
      <c r="F13" s="66">
        <f>REMUNERACION_ENEL!F108</f>
        <v>213577207.39000002</v>
      </c>
      <c r="G13" s="66">
        <f>REMUNERACION_ENEL!G108</f>
        <v>113555337.15000001</v>
      </c>
      <c r="H13" s="66">
        <f>REMUNERACION_ENEL!H108</f>
        <v>1814576452.78</v>
      </c>
      <c r="I13" s="66">
        <f>REMUNERACION_ENEL!I108</f>
        <v>60333537.049999997</v>
      </c>
      <c r="J13" s="66">
        <f>REMUNERACION_ENEL!J108</f>
        <v>-1246473094.4099998</v>
      </c>
      <c r="K13" s="31">
        <f t="shared" si="0"/>
        <v>5899305507.75</v>
      </c>
      <c r="L13" s="66">
        <f>REMUNERACION_ENEL!L108</f>
        <v>128990445</v>
      </c>
      <c r="M13" s="40">
        <f>K13-L13</f>
        <v>5770315062.75</v>
      </c>
      <c r="N13" s="66">
        <f>REMUNERACION_ENEL!N108</f>
        <v>10471696.869999999</v>
      </c>
      <c r="O13" s="40">
        <f t="shared" si="1"/>
        <v>5780786759.6199999</v>
      </c>
      <c r="Q13" s="4"/>
      <c r="S13" s="19">
        <v>5</v>
      </c>
      <c r="T13" s="63" t="s">
        <v>14</v>
      </c>
      <c r="U13" s="66">
        <f>REMUNERACION_ENEL!U108</f>
        <v>529345666.76999998</v>
      </c>
      <c r="V13" s="66">
        <f>REMUNERACION_ENEL!V108</f>
        <v>497206705.88</v>
      </c>
      <c r="W13" s="66">
        <f>REMUNERACION_ENEL!W108</f>
        <v>2557912270.1799998</v>
      </c>
      <c r="X13" s="66">
        <f>REMUNERACION_ENEL!X108</f>
        <v>1141268305.71</v>
      </c>
      <c r="Y13" s="66">
        <f>REMUNERACION_ENEL!Y108</f>
        <v>98443570.550000012</v>
      </c>
      <c r="Z13" s="66">
        <f>REMUNERACION_ENEL!Z108</f>
        <v>-128990445</v>
      </c>
      <c r="AA13" s="66">
        <f>REMUNERACION_ENEL!AA108</f>
        <v>11431.07</v>
      </c>
      <c r="AB13" s="66">
        <f>REMUNERACION_ENEL!AB108</f>
        <v>10471696.869999999</v>
      </c>
      <c r="AC13" s="66">
        <f>REMUNERACION_ENEL!AC108</f>
        <v>4.82</v>
      </c>
      <c r="AD13" s="66">
        <f>REMUNERACION_ENEL!AD108</f>
        <v>1075117552.77</v>
      </c>
      <c r="AE13" s="66">
        <f>REMUNERACION_ENEL!AE108</f>
        <v>-171355541.63999999</v>
      </c>
      <c r="AF13" s="70">
        <f>SUM(U13:AD13)</f>
        <v>5780786759.6199989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50322380909.650002</v>
      </c>
      <c r="E14" s="43">
        <f t="shared" si="3"/>
        <v>3029658254.1400003</v>
      </c>
      <c r="F14" s="43">
        <f t="shared" si="3"/>
        <v>1684106881.0800002</v>
      </c>
      <c r="G14" s="43">
        <f t="shared" si="3"/>
        <v>894896867.24000001</v>
      </c>
      <c r="H14" s="43">
        <f t="shared" si="3"/>
        <v>14748197955.860001</v>
      </c>
      <c r="I14" s="43">
        <f t="shared" si="3"/>
        <v>516030103.69</v>
      </c>
      <c r="J14" s="43">
        <f t="shared" si="3"/>
        <v>-4536942176.5599995</v>
      </c>
      <c r="K14" s="32">
        <f t="shared" si="3"/>
        <v>33986433024.199993</v>
      </c>
      <c r="L14" s="23">
        <f t="shared" si="3"/>
        <v>859936305</v>
      </c>
      <c r="M14" s="76">
        <f t="shared" si="3"/>
        <v>33126496719.199993</v>
      </c>
      <c r="N14" s="23">
        <f t="shared" si="3"/>
        <v>49684982.099999994</v>
      </c>
      <c r="O14" s="76">
        <f t="shared" si="3"/>
        <v>33176181701.299992</v>
      </c>
      <c r="P14" s="2"/>
      <c r="Q14" s="4"/>
      <c r="S14" s="21"/>
      <c r="T14" s="22" t="s">
        <v>2</v>
      </c>
      <c r="U14" s="43">
        <f>SUM(U9:U13)</f>
        <v>4530795171.5100002</v>
      </c>
      <c r="V14" s="43">
        <f t="shared" ref="V14:AG14" si="4">SUM(V9:V13)</f>
        <v>4284087717.4300008</v>
      </c>
      <c r="W14" s="43">
        <f t="shared" si="4"/>
        <v>20883959302.82</v>
      </c>
      <c r="X14" s="43">
        <f t="shared" si="4"/>
        <v>7536621491.8500004</v>
      </c>
      <c r="Y14" s="43">
        <f t="shared" si="4"/>
        <v>842464215.09000015</v>
      </c>
      <c r="Z14" s="43">
        <f t="shared" si="4"/>
        <v>-859936305</v>
      </c>
      <c r="AA14" s="43">
        <f t="shared" si="4"/>
        <v>-74699.210000000021</v>
      </c>
      <c r="AB14" s="43">
        <f t="shared" si="4"/>
        <v>49684982.099999994</v>
      </c>
      <c r="AC14" s="43">
        <f t="shared" si="4"/>
        <v>295.49999999999994</v>
      </c>
      <c r="AD14" s="43">
        <f t="shared" si="4"/>
        <v>-4091420470.7899985</v>
      </c>
      <c r="AE14" s="43">
        <f>SUM(AE9:AE13)</f>
        <v>-8628362647.3499985</v>
      </c>
      <c r="AF14" s="68">
        <f t="shared" si="4"/>
        <v>33176181701.300003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38077927898.699997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46296</v>
      </c>
      <c r="J27" s="2" t="s">
        <v>28</v>
      </c>
      <c r="K27" s="9">
        <f>REMUNERACION_ENEL!K122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29606547</v>
      </c>
      <c r="E30" s="111">
        <f>REMUNERACION_ENEL!E125</f>
        <v>0</v>
      </c>
      <c r="G30" s="338">
        <f>REMUNERACION_ENEL!G125</f>
        <v>513960</v>
      </c>
      <c r="H30" s="312">
        <f>REMUNERACION_ENEL!H125</f>
        <v>26731349.390000001</v>
      </c>
      <c r="I30" s="311">
        <f>REMUNERACION_ENEL!I125</f>
        <v>0</v>
      </c>
      <c r="J30" s="311">
        <f>REMUNERACION_ENEL!J125</f>
        <v>-3698870</v>
      </c>
      <c r="K30" s="311">
        <f>REMUNERACION_ENEL!K125</f>
        <v>0</v>
      </c>
      <c r="L30" s="311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22325147.129999999</v>
      </c>
      <c r="E31" s="74">
        <f>REMUNERACION_ENEL!E126</f>
        <v>0</v>
      </c>
      <c r="G31" s="341">
        <f>REMUNERACION_ENEL!G126</f>
        <v>9240820</v>
      </c>
      <c r="H31" s="342">
        <f>REMUNERACION_ENEL!H126</f>
        <v>39413638.689999998</v>
      </c>
      <c r="I31" s="290">
        <f>REMUNERACION_ENEL!I126</f>
        <v>0</v>
      </c>
      <c r="J31" s="290">
        <f>REMUNERACION_ENEL!J126</f>
        <v>-20858585.449999999</v>
      </c>
      <c r="K31" s="290">
        <f>REMUNERACION_ENEL!K126</f>
        <v>5526530</v>
      </c>
      <c r="L31" s="290">
        <f>REMUNERACION_ENEL!L126</f>
        <v>206704.55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8845080</v>
      </c>
      <c r="E32" s="74">
        <f>REMUNERACION_ENEL!E127</f>
        <v>0</v>
      </c>
      <c r="G32" s="341">
        <f>REMUNERACION_ENEL!G127</f>
        <v>0</v>
      </c>
      <c r="H32" s="342">
        <f>REMUNERACION_ENEL!H127</f>
        <v>12385143.039999999</v>
      </c>
      <c r="I32" s="290">
        <f>REMUNERACION_ENEL!I127</f>
        <v>0</v>
      </c>
      <c r="J32" s="290">
        <f>REMUNERACION_ENEL!J127</f>
        <v>-2259272</v>
      </c>
      <c r="K32" s="290">
        <f>REMUNERACION_ENEL!K127</f>
        <v>0</v>
      </c>
      <c r="L32" s="290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42284806</v>
      </c>
      <c r="E33" s="74">
        <f>REMUNERACION_ENEL!E128</f>
        <v>0</v>
      </c>
      <c r="G33" s="341">
        <f>REMUNERACION_ENEL!G128</f>
        <v>20397090</v>
      </c>
      <c r="H33" s="342">
        <f>REMUNERACION_ENEL!H128</f>
        <v>23742361.280000001</v>
      </c>
      <c r="I33" s="290">
        <f>REMUNERACION_ENEL!I128</f>
        <v>0</v>
      </c>
      <c r="J33" s="290">
        <f>REMUNERACION_ENEL!J128</f>
        <v>-39633253.399999999</v>
      </c>
      <c r="K33" s="290">
        <f>REMUNERACION_ENEL!K128</f>
        <v>18827526</v>
      </c>
      <c r="L33" s="290">
        <f>REMUNERACION_ENEL!L128</f>
        <v>1173046.5999999999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5249580</v>
      </c>
      <c r="E34" s="139">
        <f>REMUNERACION_ENEL!E129</f>
        <v>0</v>
      </c>
      <c r="G34" s="341">
        <f>REMUNERACION_ENEL!G129</f>
        <v>0</v>
      </c>
      <c r="H34" s="342">
        <f>REMUNERACION_ENEL!H129</f>
        <v>9192655.3300000001</v>
      </c>
      <c r="I34" s="290">
        <f>REMUNERACION_ENEL!I129</f>
        <v>0</v>
      </c>
      <c r="J34" s="290">
        <f>REMUNERACION_ENEL!J129</f>
        <v>-3964157</v>
      </c>
      <c r="K34" s="290">
        <f>REMUNERACION_ENEL!K129</f>
        <v>0</v>
      </c>
      <c r="L34" s="290">
        <f>REMUNERACION_ENEL!L129</f>
        <v>41240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108311160.13</v>
      </c>
      <c r="E36" s="107">
        <f>REMUNERACION_ENEL!E131</f>
        <v>0</v>
      </c>
      <c r="F36" s="45"/>
      <c r="G36" s="352">
        <f t="shared" ref="G36:L36" si="6">SUM(G30:G34)</f>
        <v>30151870</v>
      </c>
      <c r="H36" s="352">
        <f t="shared" si="6"/>
        <v>111465147.73</v>
      </c>
      <c r="I36" s="352">
        <f t="shared" si="6"/>
        <v>0</v>
      </c>
      <c r="J36" s="352">
        <f t="shared" si="6"/>
        <v>-70414137.849999994</v>
      </c>
      <c r="K36" s="352">
        <f t="shared" si="6"/>
        <v>24354056</v>
      </c>
      <c r="L36" s="352">
        <f t="shared" si="6"/>
        <v>1420991.15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9" t="b">
        <f>D14=REMUNERACION_ENEL!D109</f>
        <v>1</v>
      </c>
      <c r="E45" s="269" t="b">
        <f>E14=REMUNERACION_ENEL!E109</f>
        <v>1</v>
      </c>
      <c r="F45" s="269" t="b">
        <f>F14=REMUNERACION_ENEL!F109</f>
        <v>1</v>
      </c>
      <c r="G45" s="269" t="b">
        <f>G14=REMUNERACION_ENEL!G109</f>
        <v>1</v>
      </c>
      <c r="H45" s="269" t="b">
        <f>H14=REMUNERACION_ENEL!H109</f>
        <v>1</v>
      </c>
      <c r="I45" s="269" t="b">
        <f>I14=REMUNERACION_ENEL!I109</f>
        <v>1</v>
      </c>
      <c r="J45" s="269" t="b">
        <f>J14=REMUNERACION_ENEL!J109</f>
        <v>1</v>
      </c>
      <c r="K45" s="269" t="b">
        <f>K14=REMUNERACION_ENEL!K109</f>
        <v>1</v>
      </c>
      <c r="L45" s="269" t="b">
        <f>L14=REMUNERACION_ENEL!L109</f>
        <v>1</v>
      </c>
      <c r="M45" s="269" t="b">
        <f>M14=REMUNERACION_ENEL!M109</f>
        <v>1</v>
      </c>
      <c r="N45" s="269" t="b">
        <f>N14=REMUNERACION_ENEL!N109</f>
        <v>1</v>
      </c>
      <c r="O45" s="269" t="b">
        <f>O14=REMUNERACION_ENEL!O109</f>
        <v>1</v>
      </c>
      <c r="Q45" s="24"/>
      <c r="T45" s="24"/>
    </row>
    <row r="46" spans="1:20" x14ac:dyDescent="0.2">
      <c r="D46" s="269" t="b">
        <f>D36=REMUNERACION_ENEL!D131</f>
        <v>1</v>
      </c>
      <c r="E46" s="269" t="b">
        <f>E36=REMUNERACION_ENEL!E131</f>
        <v>1</v>
      </c>
      <c r="F46" s="269" t="b">
        <f>F36=REMUNERACION_ENEL!F131</f>
        <v>1</v>
      </c>
      <c r="G46" s="269" t="b">
        <f>G36=REMUNERACION_ENEL!G131</f>
        <v>1</v>
      </c>
      <c r="H46" s="269" t="b">
        <f>H36=REMUNERACION_ENEL!H131</f>
        <v>1</v>
      </c>
      <c r="I46" s="269" t="b">
        <f>I36=REMUNERACION_ENEL!I131</f>
        <v>1</v>
      </c>
      <c r="J46" s="269" t="b">
        <f>J36=REMUNERACION_ENEL!J131</f>
        <v>1</v>
      </c>
      <c r="K46" s="269" t="b">
        <f>K36=REMUNERACION_ENEL!K131</f>
        <v>1</v>
      </c>
      <c r="L46" s="269" t="b">
        <f>L36=REMUNERACION_ENEL!L131</f>
        <v>1</v>
      </c>
      <c r="M46" s="269" t="b">
        <f>M36=REMUNERACION_ENEL!M131</f>
        <v>1</v>
      </c>
      <c r="N46" s="269" t="b">
        <f>N36=REMUNERACION_ENEL!N131</f>
        <v>1</v>
      </c>
      <c r="O46" s="269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7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77734375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0" t="s">
        <v>17</v>
      </c>
      <c r="D6" s="9">
        <f>'CONSOLIDADO_TOTAL RECAUDO'!D6</f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ht="12" x14ac:dyDescent="0.25">
      <c r="B9" s="305">
        <v>1</v>
      </c>
      <c r="C9" s="306" t="s">
        <v>10</v>
      </c>
      <c r="D9" s="293">
        <f>'Reporte Componentes R1'!F73</f>
        <v>0</v>
      </c>
      <c r="E9" s="293">
        <f>'Reporte Componentes R1'!G73</f>
        <v>0</v>
      </c>
      <c r="F9" s="293">
        <f>'Reporte Componentes R1'!H73</f>
        <v>0</v>
      </c>
      <c r="G9" s="293">
        <f>'Reporte Componentes R1'!I73</f>
        <v>0</v>
      </c>
      <c r="H9" s="293">
        <f>'Reporte Componentes R1'!J73</f>
        <v>0</v>
      </c>
      <c r="I9" s="293">
        <f>'Reporte Componentes R1'!K73</f>
        <v>0</v>
      </c>
      <c r="J9" s="293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R1'!L73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R1'!M73</f>
        <v>0</v>
      </c>
      <c r="V9" s="309">
        <f>'Reporte Componentes R1'!N73</f>
        <v>0</v>
      </c>
      <c r="W9" s="309">
        <f>'Reporte Componentes R1'!O73</f>
        <v>0</v>
      </c>
      <c r="X9" s="309">
        <f>'Reporte Componentes R1'!P73</f>
        <v>0</v>
      </c>
      <c r="Y9" s="309">
        <f>'Reporte Componentes R1'!Q73</f>
        <v>0</v>
      </c>
      <c r="Z9" s="321">
        <f>L9*-1</f>
        <v>0</v>
      </c>
      <c r="AA9" s="322">
        <f>'Reporte Componentes R1'!R73+'Reporte Componentes R1'!V172+'Reporte Componentes R1'!U73</f>
        <v>0</v>
      </c>
      <c r="AB9" s="296">
        <f>N9</f>
        <v>0</v>
      </c>
      <c r="AC9" s="322">
        <f>'Reporte Componentes R1'!T73+'Reporte Componentes R1'!W73+'Reporte Componentes R1'!X73+'Reporte Componentes R1'!Y73+'Reporte Componentes R1'!Z73+'Reporte Componentes R1'!S73</f>
        <v>0</v>
      </c>
      <c r="AD9" s="293">
        <f>-J9+AE9</f>
        <v>0</v>
      </c>
      <c r="AE9" s="293">
        <f>'Reporte Componentes R1'!F74</f>
        <v>0</v>
      </c>
      <c r="AF9" s="315">
        <f>SUM(U9:AD9)</f>
        <v>0</v>
      </c>
      <c r="AG9" s="313">
        <f>(AF9-O9)</f>
        <v>0</v>
      </c>
      <c r="AH9" s="1" t="b">
        <f>INT(AG9)=0</f>
        <v>1</v>
      </c>
      <c r="AI9" s="308"/>
    </row>
    <row r="10" spans="1:35" s="307" customFormat="1" ht="12" x14ac:dyDescent="0.25">
      <c r="B10" s="316">
        <v>2</v>
      </c>
      <c r="C10" s="317" t="s">
        <v>11</v>
      </c>
      <c r="D10" s="293">
        <f>'Reporte Componentes R1'!F206</f>
        <v>0</v>
      </c>
      <c r="E10" s="293">
        <f>'Reporte Componentes R1'!G206</f>
        <v>0</v>
      </c>
      <c r="F10" s="293">
        <f>'Reporte Componentes R1'!H206</f>
        <v>0</v>
      </c>
      <c r="G10" s="293">
        <f>'Reporte Componentes R1'!I206</f>
        <v>0</v>
      </c>
      <c r="H10" s="293">
        <f>'Reporte Componentes R1'!J206</f>
        <v>0</v>
      </c>
      <c r="I10" s="293">
        <f>'Reporte Componentes R1'!K206</f>
        <v>0</v>
      </c>
      <c r="J10" s="293">
        <v>0</v>
      </c>
      <c r="K10" s="297">
        <f t="shared" ref="K10:K13" si="0">D10-E10-F10-G10-H10-I10-J10</f>
        <v>0</v>
      </c>
      <c r="L10" s="296">
        <v>0</v>
      </c>
      <c r="M10" s="297">
        <f>K10-L10</f>
        <v>0</v>
      </c>
      <c r="N10" s="296">
        <f>'Reporte Componentes R1'!L206</f>
        <v>0</v>
      </c>
      <c r="O10" s="297">
        <f t="shared" ref="O10:O12" si="1">M10+N10</f>
        <v>0</v>
      </c>
      <c r="Q10" s="308"/>
      <c r="S10" s="316">
        <v>2</v>
      </c>
      <c r="T10" s="317" t="s">
        <v>11</v>
      </c>
      <c r="U10" s="318">
        <f>'Reporte Componentes R1'!M206</f>
        <v>0</v>
      </c>
      <c r="V10" s="318">
        <f>'Reporte Componentes R1'!N206</f>
        <v>0</v>
      </c>
      <c r="W10" s="318">
        <f>'Reporte Componentes R1'!O206</f>
        <v>0</v>
      </c>
      <c r="X10" s="318">
        <f>'Reporte Componentes R1'!P206</f>
        <v>0</v>
      </c>
      <c r="Y10" s="318">
        <f>'Reporte Componentes R1'!Q206</f>
        <v>0</v>
      </c>
      <c r="Z10" s="321">
        <f>L10*-1</f>
        <v>0</v>
      </c>
      <c r="AA10" s="322">
        <f>'Reporte Componentes R1'!R206+'Reporte Componentes R1'!V206+'Reporte Componentes R1'!U206</f>
        <v>0</v>
      </c>
      <c r="AB10" s="296">
        <f>N10</f>
        <v>0</v>
      </c>
      <c r="AC10" s="322">
        <f>'Reporte Componentes R1'!T206+'Reporte Componentes R1'!W206+'Reporte Componentes R1'!X206+'Reporte Componentes R1'!Y206+'Reporte Componentes R1'!Z206+'Reporte Componentes R1'!S206</f>
        <v>0</v>
      </c>
      <c r="AD10" s="293">
        <f t="shared" ref="AD10:AD13" si="2">-J10+AE10</f>
        <v>0</v>
      </c>
      <c r="AE10" s="293">
        <f>'Reporte Componentes R1'!F207</f>
        <v>0</v>
      </c>
      <c r="AF10" s="324">
        <f>SUM(U10:AD10)</f>
        <v>0</v>
      </c>
      <c r="AG10" s="325">
        <f>(AF10-O10)</f>
        <v>0</v>
      </c>
      <c r="AH10" s="1" t="b">
        <f t="shared" ref="AH10:AH14" si="3">INT(AG10)=0</f>
        <v>1</v>
      </c>
      <c r="AI10" s="308"/>
    </row>
    <row r="11" spans="1:35" s="307" customFormat="1" ht="12" x14ac:dyDescent="0.25">
      <c r="B11" s="316">
        <v>3</v>
      </c>
      <c r="C11" s="317" t="s">
        <v>12</v>
      </c>
      <c r="D11" s="293">
        <f>'Reporte Componentes R1'!F334</f>
        <v>0</v>
      </c>
      <c r="E11" s="293">
        <f>'Reporte Componentes R1'!G334</f>
        <v>0</v>
      </c>
      <c r="F11" s="293">
        <f>'Reporte Componentes R1'!H334</f>
        <v>0</v>
      </c>
      <c r="G11" s="293">
        <f>'Reporte Componentes R1'!I334</f>
        <v>0</v>
      </c>
      <c r="H11" s="293">
        <f>'Reporte Componentes R1'!J334</f>
        <v>0</v>
      </c>
      <c r="I11" s="293">
        <f>'Reporte Componentes R1'!K334</f>
        <v>0</v>
      </c>
      <c r="J11" s="293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R1'!L334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R1'!M334</f>
        <v>0</v>
      </c>
      <c r="V11" s="318">
        <f>'Reporte Componentes R1'!N334</f>
        <v>0</v>
      </c>
      <c r="W11" s="318">
        <f>'Reporte Componentes R1'!O334</f>
        <v>0</v>
      </c>
      <c r="X11" s="318">
        <f>'Reporte Componentes R1'!P334</f>
        <v>0</v>
      </c>
      <c r="Y11" s="318">
        <f>'Reporte Componentes R1'!Q334</f>
        <v>0</v>
      </c>
      <c r="Z11" s="321">
        <f>L11*-1</f>
        <v>0</v>
      </c>
      <c r="AA11" s="322">
        <f>'Reporte Componentes R1'!R334+'Reporte Componentes R1'!V334+'Reporte Componentes R1'!U334</f>
        <v>0</v>
      </c>
      <c r="AB11" s="296">
        <f>N11</f>
        <v>0</v>
      </c>
      <c r="AC11" s="322">
        <f>'Reporte Componentes R1'!T334+'Reporte Componentes R1'!W334+'Reporte Componentes R1'!X334+'Reporte Componentes R1'!Y334+'Reporte Componentes R1'!Z334+'Reporte Componentes R1'!S334</f>
        <v>0</v>
      </c>
      <c r="AD11" s="293">
        <f t="shared" si="2"/>
        <v>0</v>
      </c>
      <c r="AE11" s="293">
        <f>'Reporte Componentes R1'!F335</f>
        <v>0</v>
      </c>
      <c r="AF11" s="324">
        <f t="shared" ref="AF11:AF13" si="4">SUM(U11:AD11)</f>
        <v>0</v>
      </c>
      <c r="AG11" s="325">
        <f>(AF11-O11)</f>
        <v>0</v>
      </c>
      <c r="AH11" s="1" t="b">
        <f t="shared" si="3"/>
        <v>1</v>
      </c>
      <c r="AI11" s="308"/>
    </row>
    <row r="12" spans="1:35" s="307" customFormat="1" ht="12" x14ac:dyDescent="0.25">
      <c r="B12" s="316">
        <v>4</v>
      </c>
      <c r="C12" s="317" t="s">
        <v>13</v>
      </c>
      <c r="D12" s="293">
        <f>'Reporte Componentes R1'!F454</f>
        <v>0</v>
      </c>
      <c r="E12" s="293">
        <f>'Reporte Componentes R1'!G454</f>
        <v>0</v>
      </c>
      <c r="F12" s="293">
        <f>'Reporte Componentes R1'!H454</f>
        <v>0</v>
      </c>
      <c r="G12" s="293">
        <f>'Reporte Componentes R1'!I454</f>
        <v>0</v>
      </c>
      <c r="H12" s="293">
        <f>'Reporte Componentes R1'!J454</f>
        <v>0</v>
      </c>
      <c r="I12" s="293">
        <f>'Reporte Componentes R1'!K454</f>
        <v>0</v>
      </c>
      <c r="J12" s="293">
        <v>0</v>
      </c>
      <c r="K12" s="297">
        <f t="shared" si="0"/>
        <v>0</v>
      </c>
      <c r="L12" s="296">
        <v>0</v>
      </c>
      <c r="M12" s="297">
        <f>K12-L12</f>
        <v>0</v>
      </c>
      <c r="N12" s="296">
        <f>'Reporte Componentes R1'!L454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318">
        <f>'Reporte Componentes R1'!M454</f>
        <v>0</v>
      </c>
      <c r="V12" s="318">
        <f>'Reporte Componentes R1'!N454</f>
        <v>0</v>
      </c>
      <c r="W12" s="318">
        <f>'Reporte Componentes R1'!O454</f>
        <v>0</v>
      </c>
      <c r="X12" s="318">
        <f>'Reporte Componentes R1'!P454</f>
        <v>0</v>
      </c>
      <c r="Y12" s="318">
        <f>'Reporte Componentes R1'!Q454</f>
        <v>0</v>
      </c>
      <c r="Z12" s="321">
        <f>L12*-1</f>
        <v>0</v>
      </c>
      <c r="AA12" s="322">
        <f>'Reporte Componentes R1'!R454+'Reporte Componentes R1'!V454+'Reporte Componentes R1'!U454</f>
        <v>0</v>
      </c>
      <c r="AB12" s="296">
        <f>N12</f>
        <v>0</v>
      </c>
      <c r="AC12" s="322">
        <f>'Reporte Componentes R1'!T454+'Reporte Componentes R1'!W454+'Reporte Componentes R1'!X454+'Reporte Componentes R1'!Y454+'Reporte Componentes R1'!Z454+'Reporte Componentes R1'!S454</f>
        <v>0</v>
      </c>
      <c r="AD12" s="293">
        <f t="shared" si="2"/>
        <v>0</v>
      </c>
      <c r="AE12" s="293">
        <f>'Reporte Componentes R1'!F455</f>
        <v>0</v>
      </c>
      <c r="AF12" s="324">
        <f t="shared" si="4"/>
        <v>0</v>
      </c>
      <c r="AG12" s="325">
        <f>(AF12-O12)</f>
        <v>0</v>
      </c>
      <c r="AH12" s="1" t="b">
        <f t="shared" si="3"/>
        <v>1</v>
      </c>
      <c r="AI12" s="308"/>
    </row>
    <row r="13" spans="1:35" s="307" customFormat="1" ht="12.6" thickBot="1" x14ac:dyDescent="0.3">
      <c r="B13" s="326">
        <v>5</v>
      </c>
      <c r="C13" s="327" t="s">
        <v>14</v>
      </c>
      <c r="D13" s="298">
        <f>'Reporte Componentes R1'!F528</f>
        <v>139510580</v>
      </c>
      <c r="E13" s="298">
        <f>'Reporte Componentes R1'!G528</f>
        <v>8666290.4399999995</v>
      </c>
      <c r="F13" s="298">
        <f>'Reporte Componentes R1'!H528</f>
        <v>4836297.78</v>
      </c>
      <c r="G13" s="298">
        <f>'Reporte Componentes R1'!I528</f>
        <v>2584164.52</v>
      </c>
      <c r="H13" s="298">
        <f>'Reporte Componentes R1'!J528</f>
        <v>38419843.039999999</v>
      </c>
      <c r="I13" s="298">
        <f>'Reporte Componentes R1'!K528</f>
        <v>1269098.3899999999</v>
      </c>
      <c r="J13" s="298">
        <v>0</v>
      </c>
      <c r="K13" s="297">
        <f t="shared" si="0"/>
        <v>83734885.829999998</v>
      </c>
      <c r="L13" s="296">
        <v>0</v>
      </c>
      <c r="M13" s="300">
        <f>K13-L13</f>
        <v>83734885.829999998</v>
      </c>
      <c r="N13" s="301">
        <f>'Reporte Componentes R1'!L528</f>
        <v>0</v>
      </c>
      <c r="O13" s="300">
        <f>M13+N13</f>
        <v>83734885.829999998</v>
      </c>
      <c r="Q13" s="308"/>
      <c r="S13" s="326">
        <v>5</v>
      </c>
      <c r="T13" s="327" t="s">
        <v>14</v>
      </c>
      <c r="U13" s="298">
        <f>'Reporte Componentes R1'!M528</f>
        <v>11146402.07</v>
      </c>
      <c r="V13" s="298">
        <f>'Reporte Componentes R1'!N528</f>
        <v>10565640.77</v>
      </c>
      <c r="W13" s="298">
        <f>'Reporte Componentes R1'!O528</f>
        <v>54685399.630000003</v>
      </c>
      <c r="X13" s="298">
        <f>'Reporte Componentes R1'!P528</f>
        <v>25943616.440000001</v>
      </c>
      <c r="Y13" s="298">
        <f>'Reporte Componentes R1'!Q528</f>
        <v>2070340.36</v>
      </c>
      <c r="Z13" s="321">
        <f>L13*-1</f>
        <v>0</v>
      </c>
      <c r="AA13" s="322">
        <f>'Reporte Componentes R1'!R528+'Reporte Componentes R1'!V528+'Reporte Componentes R1'!U528</f>
        <v>-206.46</v>
      </c>
      <c r="AB13" s="296">
        <f>N13</f>
        <v>0</v>
      </c>
      <c r="AC13" s="322">
        <f>'Reporte Componentes R1'!T528+'Reporte Componentes R1'!W528+'Reporte Componentes R1'!X528+'Reporte Componentes R1'!Y528+'Reporte Componentes R1'!Z528+'Reporte Componentes R1'!S528</f>
        <v>-0.01</v>
      </c>
      <c r="AD13" s="293">
        <f t="shared" si="2"/>
        <v>-20676306.969999999</v>
      </c>
      <c r="AE13" s="293">
        <f>'Reporte Componentes R1'!F529</f>
        <v>-20676306.969999999</v>
      </c>
      <c r="AF13" s="324">
        <f t="shared" si="4"/>
        <v>83734885.829999998</v>
      </c>
      <c r="AG13" s="328">
        <f>(AF13-O13)</f>
        <v>0</v>
      </c>
      <c r="AH13" s="1" t="b">
        <f t="shared" si="3"/>
        <v>1</v>
      </c>
      <c r="AI13" s="308"/>
    </row>
    <row r="14" spans="1:35" s="307" customFormat="1" ht="13.8" thickBot="1" x14ac:dyDescent="0.3">
      <c r="B14" s="329"/>
      <c r="C14" s="330" t="s">
        <v>2</v>
      </c>
      <c r="D14" s="292">
        <f>SUM(D9:D13)</f>
        <v>139510580</v>
      </c>
      <c r="E14" s="292">
        <f t="shared" ref="E14:O14" si="5">SUM(E9:E13)</f>
        <v>8666290.4399999995</v>
      </c>
      <c r="F14" s="292">
        <f t="shared" si="5"/>
        <v>4836297.78</v>
      </c>
      <c r="G14" s="292">
        <f t="shared" si="5"/>
        <v>2584164.52</v>
      </c>
      <c r="H14" s="292">
        <f t="shared" si="5"/>
        <v>38419843.039999999</v>
      </c>
      <c r="I14" s="292">
        <f t="shared" si="5"/>
        <v>1269098.3899999999</v>
      </c>
      <c r="J14" s="292">
        <f t="shared" si="5"/>
        <v>0</v>
      </c>
      <c r="K14" s="302">
        <f t="shared" si="5"/>
        <v>83734885.829999998</v>
      </c>
      <c r="L14" s="303">
        <f>SUM(L9:L13)</f>
        <v>0</v>
      </c>
      <c r="M14" s="304">
        <f t="shared" si="5"/>
        <v>83734885.829999998</v>
      </c>
      <c r="N14" s="303">
        <f t="shared" si="5"/>
        <v>0</v>
      </c>
      <c r="O14" s="304">
        <f t="shared" si="5"/>
        <v>83734885.829999998</v>
      </c>
      <c r="P14" s="331"/>
      <c r="Q14" s="308"/>
      <c r="S14" s="329"/>
      <c r="T14" s="330" t="s">
        <v>2</v>
      </c>
      <c r="U14" s="332">
        <f>SUM(U9:U13)</f>
        <v>11146402.07</v>
      </c>
      <c r="V14" s="332">
        <f t="shared" ref="V14:AF14" si="6">SUM(V9:V13)</f>
        <v>10565640.77</v>
      </c>
      <c r="W14" s="332">
        <f t="shared" si="6"/>
        <v>54685399.630000003</v>
      </c>
      <c r="X14" s="332">
        <f t="shared" si="6"/>
        <v>25943616.440000001</v>
      </c>
      <c r="Y14" s="332">
        <f t="shared" si="6"/>
        <v>2070340.36</v>
      </c>
      <c r="Z14" s="292">
        <f t="shared" si="6"/>
        <v>0</v>
      </c>
      <c r="AA14" s="292">
        <f t="shared" si="6"/>
        <v>-206.46</v>
      </c>
      <c r="AB14" s="292">
        <f t="shared" si="6"/>
        <v>0</v>
      </c>
      <c r="AC14" s="292">
        <f t="shared" si="6"/>
        <v>-0.01</v>
      </c>
      <c r="AD14" s="292">
        <f>SUM(AD9:AD13)</f>
        <v>-20676306.969999999</v>
      </c>
      <c r="AE14" s="292">
        <f>SUM(AE9:AE13)</f>
        <v>-20676306.969999999</v>
      </c>
      <c r="AF14" s="333">
        <f t="shared" si="6"/>
        <v>83734885.829999998</v>
      </c>
      <c r="AG14" s="334">
        <f>SUM(AG9:AG13)</f>
        <v>0</v>
      </c>
      <c r="AH14" s="1" t="b">
        <f t="shared" si="3"/>
        <v>1</v>
      </c>
      <c r="AI14" s="308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ht="12" x14ac:dyDescent="0.25">
      <c r="B28" s="305">
        <v>1</v>
      </c>
      <c r="C28" s="306" t="s">
        <v>10</v>
      </c>
      <c r="D28" s="293">
        <f>'Rem. Anticipos R2'!E52</f>
        <v>0</v>
      </c>
      <c r="E28" s="293">
        <f>'Rem. Anticipos R2'!F52</f>
        <v>0</v>
      </c>
      <c r="F28" s="293">
        <f>'Rem. Anticipos R2'!G52</f>
        <v>0</v>
      </c>
      <c r="G28" s="293">
        <f>'Rem. Anticipos R2'!H52</f>
        <v>0</v>
      </c>
      <c r="H28" s="293">
        <f>'Rem. Anticipos R2'!I52</f>
        <v>0</v>
      </c>
      <c r="I28" s="293">
        <f>'Rem. Anticipos R2'!J52</f>
        <v>0</v>
      </c>
      <c r="J28" s="293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R2'!K52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R2'!L52</f>
        <v>0</v>
      </c>
      <c r="V28" s="309">
        <f>'Rem. Anticipos R2'!M52</f>
        <v>0</v>
      </c>
      <c r="W28" s="309">
        <f>'Rem. Anticipos R2'!N52</f>
        <v>0</v>
      </c>
      <c r="X28" s="309">
        <f>'Rem. Anticipos R2'!O52</f>
        <v>0</v>
      </c>
      <c r="Y28" s="309">
        <f>'Rem. Anticipos R2'!P52</f>
        <v>0</v>
      </c>
      <c r="Z28" s="312">
        <f>L28*-1</f>
        <v>0</v>
      </c>
      <c r="AA28" s="313">
        <f>'Rem. Anticipos R2'!Q52</f>
        <v>0</v>
      </c>
      <c r="AB28" s="296">
        <f>N28</f>
        <v>0</v>
      </c>
      <c r="AC28" s="313">
        <f>'Rem. Anticipos R2'!R52</f>
        <v>0</v>
      </c>
      <c r="AD28" s="293">
        <f>-J28+AE28</f>
        <v>0</v>
      </c>
      <c r="AE28" s="293">
        <f>'Rem. Anticipos R2'!E53</f>
        <v>0</v>
      </c>
      <c r="AF28" s="315">
        <f>SUM(U28:AD28)</f>
        <v>0</v>
      </c>
      <c r="AG28" s="313">
        <f>(AF28-O28)</f>
        <v>0</v>
      </c>
      <c r="AH28" s="1" t="b">
        <f>INT(AG28)=0</f>
        <v>1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R2'!E155</f>
        <v>0</v>
      </c>
      <c r="E29" s="294">
        <f>'Rem. Anticipos R2'!F155</f>
        <v>0</v>
      </c>
      <c r="F29" s="294">
        <f>'Rem. Anticipos R2'!G155</f>
        <v>0</v>
      </c>
      <c r="G29" s="294">
        <f>'Rem. Anticipos R2'!H155</f>
        <v>0</v>
      </c>
      <c r="H29" s="294">
        <f>'Rem. Anticipos R2'!I155</f>
        <v>0</v>
      </c>
      <c r="I29" s="294">
        <f>'Rem. Anticipos R2'!J155</f>
        <v>0</v>
      </c>
      <c r="J29" s="290">
        <v>0</v>
      </c>
      <c r="K29" s="297">
        <f t="shared" ref="K29:K31" si="7">D29-E29-F29-G29-H29-I29-J29</f>
        <v>0</v>
      </c>
      <c r="L29" s="296">
        <v>0</v>
      </c>
      <c r="M29" s="297">
        <f>K29-L29</f>
        <v>0</v>
      </c>
      <c r="N29" s="296">
        <f>'Rem. Anticipos R2'!K155</f>
        <v>0</v>
      </c>
      <c r="O29" s="297">
        <f t="shared" ref="O29:O32" si="8">M29+N29</f>
        <v>0</v>
      </c>
      <c r="Q29" s="308"/>
      <c r="S29" s="316">
        <v>2</v>
      </c>
      <c r="T29" s="317" t="s">
        <v>11</v>
      </c>
      <c r="U29" s="318">
        <f>'Rem. Anticipos R2'!L155</f>
        <v>0</v>
      </c>
      <c r="V29" s="319">
        <f>'Rem. Anticipos R2'!M155</f>
        <v>0</v>
      </c>
      <c r="W29" s="319">
        <f>'Rem. Anticipos R2'!N155</f>
        <v>0</v>
      </c>
      <c r="X29" s="319">
        <f>'Rem. Anticipos R2'!O155</f>
        <v>0</v>
      </c>
      <c r="Y29" s="320">
        <f>'Rem. Anticipos R2'!P155</f>
        <v>0</v>
      </c>
      <c r="Z29" s="321">
        <f>L29*-1</f>
        <v>0</v>
      </c>
      <c r="AA29" s="322">
        <f>'Rem. Anticipos R2'!Q155</f>
        <v>0</v>
      </c>
      <c r="AB29" s="296">
        <f>N29</f>
        <v>0</v>
      </c>
      <c r="AC29" s="322">
        <f>'Rem. Anticipos R2'!R155</f>
        <v>0</v>
      </c>
      <c r="AD29" s="293">
        <f>-J29+AE29</f>
        <v>0</v>
      </c>
      <c r="AE29" s="293">
        <f>'Rem. Anticipos R2'!E156</f>
        <v>0</v>
      </c>
      <c r="AF29" s="324">
        <f>SUM(U29:AD29)</f>
        <v>0</v>
      </c>
      <c r="AG29" s="325">
        <f>(AF29-O29)</f>
        <v>0</v>
      </c>
      <c r="AH29" s="1" t="b">
        <f t="shared" ref="AH29:AH33" si="9">INT(AG29)=0</f>
        <v>1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R2'!E268</f>
        <v>0</v>
      </c>
      <c r="E30" s="293">
        <f>'Rem. Anticipos R2'!F268</f>
        <v>0</v>
      </c>
      <c r="F30" s="293">
        <f>'Rem. Anticipos R2'!G268</f>
        <v>0</v>
      </c>
      <c r="G30" s="293">
        <f>'Rem. Anticipos R2'!H268</f>
        <v>0</v>
      </c>
      <c r="H30" s="293">
        <f>'Rem. Anticipos R2'!I268</f>
        <v>0</v>
      </c>
      <c r="I30" s="293">
        <f>'Rem. Anticipos R2'!J268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R2'!K268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R2'!L268</f>
        <v>0</v>
      </c>
      <c r="V30" s="318">
        <f>'Rem. Anticipos R2'!M268</f>
        <v>0</v>
      </c>
      <c r="W30" s="318">
        <f>'Rem. Anticipos R2'!N268</f>
        <v>0</v>
      </c>
      <c r="X30" s="318">
        <f>'Rem. Anticipos R2'!O268</f>
        <v>0</v>
      </c>
      <c r="Y30" s="318">
        <f>'Rem. Anticipos R2'!P268</f>
        <v>0</v>
      </c>
      <c r="Z30" s="321">
        <f>L30*-1</f>
        <v>0</v>
      </c>
      <c r="AA30" s="322">
        <f>'Rem. Anticipos R2'!Q268</f>
        <v>0</v>
      </c>
      <c r="AB30" s="296">
        <f>N30</f>
        <v>0</v>
      </c>
      <c r="AC30" s="322">
        <f>'Rem. Anticipos R2'!R268</f>
        <v>0</v>
      </c>
      <c r="AD30" s="293">
        <f t="shared" ref="AD30:AD32" si="10">-J30+AE30</f>
        <v>0</v>
      </c>
      <c r="AE30" s="293">
        <f>'Rem. Anticipos R2'!E269</f>
        <v>0</v>
      </c>
      <c r="AF30" s="324">
        <f>SUM(U30:AD30)</f>
        <v>0</v>
      </c>
      <c r="AG30" s="325">
        <f t="shared" ref="AG30:AG31" si="11">(AF30-O30)</f>
        <v>0</v>
      </c>
      <c r="AH30" s="1" t="b">
        <f t="shared" si="9"/>
        <v>1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R2'!E363</f>
        <v>0</v>
      </c>
      <c r="E31" s="293">
        <f>'Rem. Anticipos R2'!F363</f>
        <v>0</v>
      </c>
      <c r="F31" s="293">
        <f>'Rem. Anticipos R2'!G363</f>
        <v>0</v>
      </c>
      <c r="G31" s="293">
        <f>'Rem. Anticipos R2'!H363</f>
        <v>0</v>
      </c>
      <c r="H31" s="293">
        <f>'Rem. Anticipos R2'!I363</f>
        <v>0</v>
      </c>
      <c r="I31" s="293">
        <f>'Rem. Anticipos R2'!J363</f>
        <v>0</v>
      </c>
      <c r="J31" s="290">
        <v>0</v>
      </c>
      <c r="K31" s="297">
        <f t="shared" si="7"/>
        <v>0</v>
      </c>
      <c r="L31" s="296">
        <v>0</v>
      </c>
      <c r="M31" s="297">
        <f>K31-L31</f>
        <v>0</v>
      </c>
      <c r="N31" s="296">
        <f>'Rem. Anticipos R2'!K363</f>
        <v>0</v>
      </c>
      <c r="O31" s="297">
        <f t="shared" si="8"/>
        <v>0</v>
      </c>
      <c r="Q31" s="308"/>
      <c r="S31" s="316">
        <v>4</v>
      </c>
      <c r="T31" s="317" t="s">
        <v>13</v>
      </c>
      <c r="U31" s="318">
        <f>'Rem. Anticipos R2'!L363</f>
        <v>0</v>
      </c>
      <c r="V31" s="318">
        <f>'Rem. Anticipos R2'!M363</f>
        <v>0</v>
      </c>
      <c r="W31" s="318">
        <f>'Rem. Anticipos R2'!N363</f>
        <v>0</v>
      </c>
      <c r="X31" s="318">
        <f>'Rem. Anticipos R2'!O363</f>
        <v>0</v>
      </c>
      <c r="Y31" s="318">
        <f>'Rem. Anticipos R2'!P363</f>
        <v>0</v>
      </c>
      <c r="Z31" s="321">
        <f>L31*-1</f>
        <v>0</v>
      </c>
      <c r="AA31" s="322">
        <f>'Rem. Anticipos R2'!Q363</f>
        <v>0</v>
      </c>
      <c r="AB31" s="296">
        <f>N31</f>
        <v>0</v>
      </c>
      <c r="AC31" s="322">
        <f>'Rem. Anticipos R2'!R363</f>
        <v>0</v>
      </c>
      <c r="AD31" s="293">
        <f t="shared" si="10"/>
        <v>0</v>
      </c>
      <c r="AE31" s="293">
        <f>'Rem. Anticipos R2'!E364</f>
        <v>0</v>
      </c>
      <c r="AF31" s="324">
        <f>SUM(U31:AD31)</f>
        <v>0</v>
      </c>
      <c r="AG31" s="325">
        <f t="shared" si="11"/>
        <v>0</v>
      </c>
      <c r="AH31" s="1" t="b">
        <f t="shared" si="9"/>
        <v>1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R2'!E435</f>
        <v>0</v>
      </c>
      <c r="E32" s="298">
        <f>'Rem. Anticipos R2'!F435</f>
        <v>0</v>
      </c>
      <c r="F32" s="298">
        <f>'Rem. Anticipos R2'!G435</f>
        <v>0</v>
      </c>
      <c r="G32" s="298">
        <f>'Rem. Anticipos R2'!H435</f>
        <v>0</v>
      </c>
      <c r="H32" s="298">
        <f>'Rem. Anticipos R2'!I435</f>
        <v>0</v>
      </c>
      <c r="I32" s="298">
        <f>'Rem. Anticipos R2'!J435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R2'!K435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R2'!L435</f>
        <v>0</v>
      </c>
      <c r="V32" s="299">
        <f>'Rem. Anticipos R2'!M435</f>
        <v>0</v>
      </c>
      <c r="W32" s="299">
        <f>'Rem. Anticipos R2'!N435</f>
        <v>0</v>
      </c>
      <c r="X32" s="299">
        <f>'Rem. Anticipos R2'!O435</f>
        <v>0</v>
      </c>
      <c r="Y32" s="291">
        <f>'Rem. Anticipos R2'!P435</f>
        <v>0</v>
      </c>
      <c r="Z32" s="321">
        <f>L32*-1</f>
        <v>0</v>
      </c>
      <c r="AA32" s="322">
        <f>'Rem. Anticipos R2'!Q435</f>
        <v>0</v>
      </c>
      <c r="AB32" s="296">
        <f>N32</f>
        <v>0</v>
      </c>
      <c r="AC32" s="322">
        <f>'Rem. Anticipos R2'!R435</f>
        <v>0</v>
      </c>
      <c r="AD32" s="293">
        <f t="shared" si="10"/>
        <v>0</v>
      </c>
      <c r="AE32" s="293">
        <f>'Rem. Anticipos R2'!E436</f>
        <v>0</v>
      </c>
      <c r="AF32" s="324">
        <f>SUM(U32:AD32)</f>
        <v>0</v>
      </c>
      <c r="AG32" s="328">
        <f>(AF32-O32)</f>
        <v>0</v>
      </c>
      <c r="AH32" s="1" t="b">
        <f t="shared" si="9"/>
        <v>1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0</v>
      </c>
      <c r="E33" s="292">
        <f>SUM(E28:E32)</f>
        <v>0</v>
      </c>
      <c r="F33" s="292">
        <f t="shared" ref="F33:O33" si="12">SUM(F28:F32)</f>
        <v>0</v>
      </c>
      <c r="G33" s="292">
        <f t="shared" si="12"/>
        <v>0</v>
      </c>
      <c r="H33" s="292">
        <f t="shared" si="12"/>
        <v>0</v>
      </c>
      <c r="I33" s="292">
        <f t="shared" si="12"/>
        <v>0</v>
      </c>
      <c r="J33" s="292">
        <f t="shared" si="12"/>
        <v>0</v>
      </c>
      <c r="K33" s="302">
        <f t="shared" si="12"/>
        <v>0</v>
      </c>
      <c r="L33" s="303">
        <f t="shared" si="12"/>
        <v>0</v>
      </c>
      <c r="M33" s="304">
        <f t="shared" si="12"/>
        <v>0</v>
      </c>
      <c r="N33" s="303">
        <f t="shared" si="12"/>
        <v>0</v>
      </c>
      <c r="O33" s="304">
        <f t="shared" si="12"/>
        <v>0</v>
      </c>
      <c r="P33" s="331"/>
      <c r="Q33" s="308"/>
      <c r="S33" s="329"/>
      <c r="T33" s="330" t="s">
        <v>2</v>
      </c>
      <c r="U33" s="332">
        <f>SUM(U28:U32)</f>
        <v>0</v>
      </c>
      <c r="V33" s="332">
        <f t="shared" ref="V33:AG33" si="13">SUM(V28:V32)</f>
        <v>0</v>
      </c>
      <c r="W33" s="332">
        <f t="shared" si="13"/>
        <v>0</v>
      </c>
      <c r="X33" s="332">
        <f t="shared" si="13"/>
        <v>0</v>
      </c>
      <c r="Y33" s="332">
        <f t="shared" si="13"/>
        <v>0</v>
      </c>
      <c r="Z33" s="292">
        <f t="shared" si="13"/>
        <v>0</v>
      </c>
      <c r="AA33" s="292">
        <f t="shared" si="13"/>
        <v>0</v>
      </c>
      <c r="AB33" s="292">
        <f t="shared" si="13"/>
        <v>0</v>
      </c>
      <c r="AC33" s="292">
        <f t="shared" si="13"/>
        <v>0</v>
      </c>
      <c r="AD33" s="292">
        <f>SUM(AD28:AD32)</f>
        <v>0</v>
      </c>
      <c r="AE33" s="292">
        <f>SUM(AE28:AE32)</f>
        <v>0</v>
      </c>
      <c r="AF33" s="333">
        <f t="shared" si="13"/>
        <v>0</v>
      </c>
      <c r="AG33" s="334">
        <f t="shared" si="13"/>
        <v>0</v>
      </c>
      <c r="AH33" s="1" t="b">
        <f t="shared" si="9"/>
        <v>1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ht="12" x14ac:dyDescent="0.25">
      <c r="B47" s="305">
        <v>1</v>
      </c>
      <c r="C47" s="306" t="s">
        <v>10</v>
      </c>
      <c r="D47" s="293">
        <f>'Reporte Componentes R1'!F75</f>
        <v>0</v>
      </c>
      <c r="E47" s="293">
        <f>'Reporte Componentes R1'!G75</f>
        <v>0</v>
      </c>
      <c r="F47" s="293">
        <f>'Reporte Componentes R1'!H75</f>
        <v>0</v>
      </c>
      <c r="G47" s="293">
        <f>'Reporte Componentes R1'!I75</f>
        <v>0</v>
      </c>
      <c r="H47" s="293">
        <f>'Reporte Componentes R1'!J75</f>
        <v>0</v>
      </c>
      <c r="I47" s="293">
        <f>'Reporte Componentes R1'!K75</f>
        <v>0</v>
      </c>
      <c r="J47" s="293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R1'!L75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R1'!M75</f>
        <v>0</v>
      </c>
      <c r="V47" s="309">
        <f>'Reporte Componentes R1'!N75</f>
        <v>0</v>
      </c>
      <c r="W47" s="309">
        <f>'Reporte Componentes R1'!O75</f>
        <v>0</v>
      </c>
      <c r="X47" s="309">
        <f>'Reporte Componentes R1'!P75</f>
        <v>0</v>
      </c>
      <c r="Y47" s="309">
        <f>'Reporte Componentes R1'!Q75</f>
        <v>0</v>
      </c>
      <c r="Z47" s="312">
        <f>-L47</f>
        <v>0</v>
      </c>
      <c r="AA47" s="322">
        <f>'Reporte Componentes R1'!R75+'Reporte Componentes R1'!V75+'Reporte Componentes R1'!U75</f>
        <v>0</v>
      </c>
      <c r="AB47" s="296">
        <f>N47</f>
        <v>0</v>
      </c>
      <c r="AC47" s="313">
        <f>'Reporte Componentes R1'!T75+'Reporte Componentes R1'!W75+'Reporte Componentes R1'!X75+'Reporte Componentes R1'!Y75+'Reporte Componentes R1'!Z75+'Reporte Componentes R1'!S75</f>
        <v>0</v>
      </c>
      <c r="AD47" s="293">
        <f>-J47+AE47</f>
        <v>0</v>
      </c>
      <c r="AE47" s="293">
        <f>'Reporte Componentes R1'!F76</f>
        <v>0</v>
      </c>
      <c r="AF47" s="315">
        <f>SUM(U47:AD47)</f>
        <v>0</v>
      </c>
      <c r="AG47" s="313">
        <f>(AF47-O47)</f>
        <v>0</v>
      </c>
      <c r="AH47" s="1" t="b">
        <f>INT(AG47)=0</f>
        <v>1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R1'!F208</f>
        <v>0</v>
      </c>
      <c r="E48" s="293">
        <f>'Reporte Componentes R1'!G208</f>
        <v>0</v>
      </c>
      <c r="F48" s="293">
        <f>'Reporte Componentes R1'!H208</f>
        <v>0</v>
      </c>
      <c r="G48" s="293">
        <f>'Reporte Componentes R1'!I208</f>
        <v>0</v>
      </c>
      <c r="H48" s="293">
        <f>'Reporte Componentes R1'!J208</f>
        <v>0</v>
      </c>
      <c r="I48" s="293">
        <f>'Reporte Componentes R1'!K208</f>
        <v>0</v>
      </c>
      <c r="J48" s="290">
        <v>0</v>
      </c>
      <c r="K48" s="297">
        <f t="shared" ref="K48:K51" si="14">D48-E48-F48-G48-H48-I48-J48</f>
        <v>0</v>
      </c>
      <c r="L48" s="296">
        <v>0</v>
      </c>
      <c r="M48" s="297">
        <f>K48-L48</f>
        <v>0</v>
      </c>
      <c r="N48" s="296">
        <f>'Reporte Componentes R1'!L208</f>
        <v>0</v>
      </c>
      <c r="O48" s="297">
        <f t="shared" ref="O48:O51" si="15">M48+N48</f>
        <v>0</v>
      </c>
      <c r="Q48" s="308"/>
      <c r="S48" s="316">
        <v>2</v>
      </c>
      <c r="T48" s="317" t="s">
        <v>11</v>
      </c>
      <c r="U48" s="318">
        <f>'Reporte Componentes R1'!M208</f>
        <v>0</v>
      </c>
      <c r="V48" s="318">
        <f>'Reporte Componentes R1'!N208</f>
        <v>0</v>
      </c>
      <c r="W48" s="318">
        <f>'Reporte Componentes R1'!O208</f>
        <v>0</v>
      </c>
      <c r="X48" s="318">
        <f>'Reporte Componentes R1'!P208</f>
        <v>0</v>
      </c>
      <c r="Y48" s="318">
        <f>'Reporte Componentes R1'!Q208</f>
        <v>0</v>
      </c>
      <c r="Z48" s="321">
        <f>-L48</f>
        <v>0</v>
      </c>
      <c r="AA48" s="322">
        <f>'Reporte Componentes R1'!R208+'Reporte Componentes R1'!V208+'Reporte Componentes R1'!U208</f>
        <v>0</v>
      </c>
      <c r="AB48" s="296">
        <f>N48</f>
        <v>0</v>
      </c>
      <c r="AC48" s="322">
        <f>'Reporte Componentes R1'!T208+'Reporte Componentes R1'!W208+'Reporte Componentes R1'!X208+'Reporte Componentes R1'!Y208+'Reporte Componentes R1'!Z208+'Reporte Componentes R1'!S208</f>
        <v>0</v>
      </c>
      <c r="AD48" s="293">
        <f t="shared" ref="AD48:AD51" si="16">-J48+AE48</f>
        <v>0</v>
      </c>
      <c r="AE48" s="293">
        <f>'Reporte Componentes R1'!F209</f>
        <v>0</v>
      </c>
      <c r="AF48" s="324">
        <f>SUM(U48:AD48)</f>
        <v>0</v>
      </c>
      <c r="AG48" s="325">
        <f>(AF48-O48)</f>
        <v>0</v>
      </c>
      <c r="AH48" s="1" t="b">
        <f t="shared" ref="AH48:AH52" si="17">INT(AG48)=0</f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R1'!F336</f>
        <v>0</v>
      </c>
      <c r="E49" s="293">
        <f>'Reporte Componentes R1'!G336</f>
        <v>0</v>
      </c>
      <c r="F49" s="293">
        <f>'Reporte Componentes R1'!H336</f>
        <v>0</v>
      </c>
      <c r="G49" s="293">
        <f>'Reporte Componentes R1'!I336</f>
        <v>0</v>
      </c>
      <c r="H49" s="293">
        <f>'Reporte Componentes R1'!J336</f>
        <v>0</v>
      </c>
      <c r="I49" s="293">
        <f>'Reporte Componentes R1'!K336</f>
        <v>0</v>
      </c>
      <c r="J49" s="293">
        <v>0</v>
      </c>
      <c r="K49" s="297">
        <f t="shared" si="14"/>
        <v>0</v>
      </c>
      <c r="L49" s="296">
        <v>0</v>
      </c>
      <c r="M49" s="297">
        <f>K49-L49</f>
        <v>0</v>
      </c>
      <c r="N49" s="296">
        <f>'Reporte Componentes R1'!L336</f>
        <v>0</v>
      </c>
      <c r="O49" s="297">
        <f t="shared" si="15"/>
        <v>0</v>
      </c>
      <c r="Q49" s="308"/>
      <c r="S49" s="316">
        <v>3</v>
      </c>
      <c r="T49" s="317" t="s">
        <v>12</v>
      </c>
      <c r="U49" s="318">
        <f>'Reporte Componentes R1'!M336</f>
        <v>0</v>
      </c>
      <c r="V49" s="318">
        <f>'Reporte Componentes R1'!N336</f>
        <v>0</v>
      </c>
      <c r="W49" s="318">
        <f>'Reporte Componentes R1'!O336</f>
        <v>0</v>
      </c>
      <c r="X49" s="318">
        <f>'Reporte Componentes R1'!P336</f>
        <v>0</v>
      </c>
      <c r="Y49" s="318">
        <f>'Reporte Componentes R1'!Q336</f>
        <v>0</v>
      </c>
      <c r="Z49" s="321">
        <f>-L49</f>
        <v>0</v>
      </c>
      <c r="AA49" s="322">
        <f>'Reporte Componentes R1'!R336+'Reporte Componentes R1'!V336+'Reporte Componentes R1'!U336</f>
        <v>0</v>
      </c>
      <c r="AB49" s="296">
        <f>N49</f>
        <v>0</v>
      </c>
      <c r="AC49" s="322">
        <f>'Reporte Componentes R1'!T336+'Reporte Componentes R1'!W336+'Reporte Componentes R1'!X336+'Reporte Componentes R1'!Y336+'Reporte Componentes R1'!Z336+'Reporte Componentes R1'!S336</f>
        <v>0</v>
      </c>
      <c r="AD49" s="293">
        <f t="shared" si="16"/>
        <v>0</v>
      </c>
      <c r="AE49" s="293">
        <f>'Reporte Componentes R1'!F337</f>
        <v>0</v>
      </c>
      <c r="AF49" s="324">
        <f t="shared" ref="AF49:AF51" si="18">SUM(U49:AD49)</f>
        <v>0</v>
      </c>
      <c r="AG49" s="325">
        <f t="shared" ref="AG49:AG51" si="19">(AF49-O49)</f>
        <v>0</v>
      </c>
      <c r="AH49" s="1" t="b">
        <f t="shared" si="17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R1'!F456</f>
        <v>0</v>
      </c>
      <c r="E50" s="293">
        <f>'Reporte Componentes R1'!G456</f>
        <v>0</v>
      </c>
      <c r="F50" s="293">
        <f>'Reporte Componentes R1'!H456</f>
        <v>0</v>
      </c>
      <c r="G50" s="293">
        <f>'Reporte Componentes R1'!I456</f>
        <v>0</v>
      </c>
      <c r="H50" s="293">
        <f>'Reporte Componentes R1'!J456</f>
        <v>0</v>
      </c>
      <c r="I50" s="293">
        <f>'Reporte Componentes R1'!K456</f>
        <v>0</v>
      </c>
      <c r="J50" s="290">
        <v>0</v>
      </c>
      <c r="K50" s="297">
        <f t="shared" si="14"/>
        <v>0</v>
      </c>
      <c r="L50" s="296">
        <v>0</v>
      </c>
      <c r="M50" s="297">
        <f>K50-L50</f>
        <v>0</v>
      </c>
      <c r="N50" s="296">
        <f>'Reporte Componentes R1'!L456</f>
        <v>0</v>
      </c>
      <c r="O50" s="297">
        <f t="shared" si="15"/>
        <v>0</v>
      </c>
      <c r="Q50" s="308"/>
      <c r="S50" s="316">
        <v>4</v>
      </c>
      <c r="T50" s="317" t="s">
        <v>13</v>
      </c>
      <c r="U50" s="318">
        <f>'Reporte Componentes R1'!M456</f>
        <v>0</v>
      </c>
      <c r="V50" s="318">
        <f>'Reporte Componentes R1'!N456</f>
        <v>0</v>
      </c>
      <c r="W50" s="318">
        <f>'Reporte Componentes R1'!O456</f>
        <v>0</v>
      </c>
      <c r="X50" s="318">
        <f>'Reporte Componentes R1'!P456</f>
        <v>0</v>
      </c>
      <c r="Y50" s="318">
        <f>'Reporte Componentes R1'!Q456</f>
        <v>0</v>
      </c>
      <c r="Z50" s="321">
        <f>-L50</f>
        <v>0</v>
      </c>
      <c r="AA50" s="322">
        <f>'Reporte Componentes R1'!R456+'Reporte Componentes R1'!V456+'Reporte Componentes R1'!U456</f>
        <v>0</v>
      </c>
      <c r="AB50" s="296">
        <f>N50</f>
        <v>0</v>
      </c>
      <c r="AC50" s="322">
        <f>'Reporte Componentes R1'!T456+'Reporte Componentes R1'!W456+'Reporte Componentes R1'!X456+'Reporte Componentes R1'!Y456+'Reporte Componentes R1'!Z456+'Reporte Componentes R1'!S456</f>
        <v>0</v>
      </c>
      <c r="AD50" s="293">
        <f t="shared" si="16"/>
        <v>0</v>
      </c>
      <c r="AE50" s="293">
        <f>'Reporte Componentes R1'!F457</f>
        <v>0</v>
      </c>
      <c r="AF50" s="324">
        <f t="shared" si="18"/>
        <v>0</v>
      </c>
      <c r="AG50" s="325">
        <f t="shared" si="19"/>
        <v>0</v>
      </c>
      <c r="AH50" s="1" t="b">
        <f t="shared" si="17"/>
        <v>1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R1'!F530</f>
        <v>0</v>
      </c>
      <c r="E51" s="298">
        <f>'Reporte Componentes R1'!G530</f>
        <v>0</v>
      </c>
      <c r="F51" s="298">
        <f>'Reporte Componentes R1'!H530</f>
        <v>0</v>
      </c>
      <c r="G51" s="298">
        <f>'Reporte Componentes R1'!I530</f>
        <v>0</v>
      </c>
      <c r="H51" s="298">
        <f>'Reporte Componentes R1'!J530</f>
        <v>0</v>
      </c>
      <c r="I51" s="298">
        <f>'Reporte Componentes R1'!K530</f>
        <v>0</v>
      </c>
      <c r="J51" s="291">
        <v>0</v>
      </c>
      <c r="K51" s="297">
        <f t="shared" si="14"/>
        <v>0</v>
      </c>
      <c r="L51" s="296">
        <v>0</v>
      </c>
      <c r="M51" s="300">
        <f>K51-L51</f>
        <v>0</v>
      </c>
      <c r="N51" s="301">
        <f>'Reporte Componentes R1'!L530</f>
        <v>0</v>
      </c>
      <c r="O51" s="300">
        <f t="shared" si="15"/>
        <v>0</v>
      </c>
      <c r="Q51" s="308"/>
      <c r="S51" s="326">
        <v>5</v>
      </c>
      <c r="T51" s="327" t="s">
        <v>14</v>
      </c>
      <c r="U51" s="298">
        <f>'Reporte Componentes R1'!M530</f>
        <v>0</v>
      </c>
      <c r="V51" s="298">
        <f>'Reporte Componentes R1'!N530</f>
        <v>0</v>
      </c>
      <c r="W51" s="298">
        <f>'Reporte Componentes R1'!O530</f>
        <v>0</v>
      </c>
      <c r="X51" s="298">
        <f>'Reporte Componentes R1'!P530</f>
        <v>0</v>
      </c>
      <c r="Y51" s="291">
        <f>'Reporte Componentes R1'!Q530</f>
        <v>0</v>
      </c>
      <c r="Z51" s="321">
        <f>-L51</f>
        <v>0</v>
      </c>
      <c r="AA51" s="322">
        <f>'Reporte Componentes R1'!R530+'Reporte Componentes R1'!V530+'Reporte Componentes R1'!U530</f>
        <v>0</v>
      </c>
      <c r="AB51" s="296">
        <f>N51</f>
        <v>0</v>
      </c>
      <c r="AC51" s="322">
        <f>'Reporte Componentes R1'!T530+'Reporte Componentes R1'!W530+'Reporte Componentes R1'!X530+'Reporte Componentes R1'!Y530+'Reporte Componentes R1'!Z530+'Reporte Componentes R1'!S530</f>
        <v>0</v>
      </c>
      <c r="AD51" s="293">
        <f t="shared" si="16"/>
        <v>0</v>
      </c>
      <c r="AE51" s="293">
        <f>'Reporte Componentes R1'!F531</f>
        <v>0</v>
      </c>
      <c r="AF51" s="324">
        <f t="shared" si="18"/>
        <v>0</v>
      </c>
      <c r="AG51" s="328">
        <f t="shared" si="19"/>
        <v>0</v>
      </c>
      <c r="AH51" s="1" t="b">
        <f t="shared" si="17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0">SUM(D47:D51)</f>
        <v>0</v>
      </c>
      <c r="E52" s="292">
        <f t="shared" si="20"/>
        <v>0</v>
      </c>
      <c r="F52" s="292">
        <f t="shared" si="20"/>
        <v>0</v>
      </c>
      <c r="G52" s="292">
        <f t="shared" ref="G52" si="21">SUM(G47:G51)</f>
        <v>0</v>
      </c>
      <c r="H52" s="292">
        <f t="shared" si="20"/>
        <v>0</v>
      </c>
      <c r="I52" s="292">
        <f t="shared" si="20"/>
        <v>0</v>
      </c>
      <c r="J52" s="292">
        <f t="shared" si="20"/>
        <v>0</v>
      </c>
      <c r="K52" s="302">
        <f t="shared" si="20"/>
        <v>0</v>
      </c>
      <c r="L52" s="303">
        <f t="shared" si="20"/>
        <v>0</v>
      </c>
      <c r="M52" s="304">
        <f t="shared" si="20"/>
        <v>0</v>
      </c>
      <c r="N52" s="303">
        <f t="shared" si="20"/>
        <v>0</v>
      </c>
      <c r="O52" s="304">
        <f t="shared" si="20"/>
        <v>0</v>
      </c>
      <c r="P52" s="331"/>
      <c r="Q52" s="308"/>
      <c r="S52" s="329"/>
      <c r="T52" s="330" t="s">
        <v>2</v>
      </c>
      <c r="U52" s="332">
        <f>SUM(U47:U51)</f>
        <v>0</v>
      </c>
      <c r="V52" s="332">
        <f t="shared" ref="V52:AG52" si="22">SUM(V47:V51)</f>
        <v>0</v>
      </c>
      <c r="W52" s="332">
        <f t="shared" si="22"/>
        <v>0</v>
      </c>
      <c r="X52" s="332">
        <f t="shared" si="22"/>
        <v>0</v>
      </c>
      <c r="Y52" s="332">
        <f t="shared" si="22"/>
        <v>0</v>
      </c>
      <c r="Z52" s="292">
        <f t="shared" si="22"/>
        <v>0</v>
      </c>
      <c r="AA52" s="292">
        <f t="shared" si="22"/>
        <v>0</v>
      </c>
      <c r="AB52" s="292">
        <f t="shared" si="22"/>
        <v>0</v>
      </c>
      <c r="AC52" s="292">
        <f t="shared" si="22"/>
        <v>0</v>
      </c>
      <c r="AD52" s="292">
        <f>SUM(AD47:AD51)</f>
        <v>0</v>
      </c>
      <c r="AE52" s="292">
        <f>SUM(AE47:AE51)</f>
        <v>0</v>
      </c>
      <c r="AF52" s="333">
        <f t="shared" si="22"/>
        <v>0</v>
      </c>
      <c r="AG52" s="334">
        <f t="shared" si="22"/>
        <v>0</v>
      </c>
      <c r="AH52" s="1" t="b">
        <f t="shared" si="17"/>
        <v>1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R4'!D82</f>
        <v>0</v>
      </c>
      <c r="E66" s="293">
        <f>'Reversion Pagos R4'!E82</f>
        <v>0</v>
      </c>
      <c r="F66" s="293">
        <f>'Reversion Pagos R4'!F82</f>
        <v>0</v>
      </c>
      <c r="G66" s="293">
        <f>'Reversion Pagos R4'!G82</f>
        <v>0</v>
      </c>
      <c r="H66" s="293">
        <f>'Reversion Pagos R4'!H82</f>
        <v>0</v>
      </c>
      <c r="I66" s="293">
        <f>'Reversion Pagos R4'!I82</f>
        <v>0</v>
      </c>
      <c r="J66" s="311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R4'!P82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R4'!J82</f>
        <v>0</v>
      </c>
      <c r="V66" s="309">
        <f>'Reversion Pagos R4'!K82</f>
        <v>0</v>
      </c>
      <c r="W66" s="309">
        <f>'Reversion Pagos R4'!L82</f>
        <v>0</v>
      </c>
      <c r="X66" s="309">
        <f>'Reversion Pagos R4'!M82</f>
        <v>0</v>
      </c>
      <c r="Y66" s="309">
        <f>'Reversion Pagos R4'!N82</f>
        <v>0</v>
      </c>
      <c r="Z66" s="312">
        <f>-L66</f>
        <v>0</v>
      </c>
      <c r="AA66" s="313">
        <f>+'Reversion Pagos R4'!O82</f>
        <v>0</v>
      </c>
      <c r="AB66" s="296">
        <f>N66</f>
        <v>0</v>
      </c>
      <c r="AC66" s="313">
        <f>+'Reversion Pagos R4'!Q82+'Reversion Pagos R4'!R82</f>
        <v>0</v>
      </c>
      <c r="AD66" s="293">
        <f>-J66+AE66</f>
        <v>0</v>
      </c>
      <c r="AE66" s="293">
        <f>'Reversion Pagos R4'!D83</f>
        <v>0</v>
      </c>
      <c r="AF66" s="315">
        <f>SUM(U66:AD66)</f>
        <v>0</v>
      </c>
      <c r="AG66" s="313">
        <f>(AF66-O66)</f>
        <v>0</v>
      </c>
      <c r="AH66" s="1" t="b">
        <f>INT(AG66)=0</f>
        <v>1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R4'!D177</f>
        <v>0</v>
      </c>
      <c r="E67" s="293">
        <f>'Reversion Pagos R4'!E177</f>
        <v>0</v>
      </c>
      <c r="F67" s="293">
        <f>'Reversion Pagos R4'!F177</f>
        <v>0</v>
      </c>
      <c r="G67" s="293">
        <f>'Reversion Pagos R4'!G177</f>
        <v>0</v>
      </c>
      <c r="H67" s="293">
        <f>'Reversion Pagos R4'!H177</f>
        <v>0</v>
      </c>
      <c r="I67" s="293">
        <f>'Reversion Pagos R4'!I177</f>
        <v>0</v>
      </c>
      <c r="J67" s="290">
        <v>0</v>
      </c>
      <c r="K67" s="297">
        <f t="shared" ref="K67:K70" si="23">D67-E67-F67-G67-H67-I67-J67</f>
        <v>0</v>
      </c>
      <c r="L67" s="296">
        <v>0</v>
      </c>
      <c r="M67" s="297">
        <f>K67-L67</f>
        <v>0</v>
      </c>
      <c r="N67" s="296">
        <f>'Reversion Pagos R4'!P177</f>
        <v>0</v>
      </c>
      <c r="O67" s="297">
        <f t="shared" ref="O67:O70" si="24">M67+N67</f>
        <v>0</v>
      </c>
      <c r="Q67" s="308"/>
      <c r="S67" s="316">
        <v>2</v>
      </c>
      <c r="T67" s="317" t="s">
        <v>11</v>
      </c>
      <c r="U67" s="318">
        <f>'Reversion Pagos R4'!J177</f>
        <v>0</v>
      </c>
      <c r="V67" s="318">
        <f>'Reversion Pagos R4'!K177</f>
        <v>0</v>
      </c>
      <c r="W67" s="318">
        <f>'Reversion Pagos R4'!L177</f>
        <v>0</v>
      </c>
      <c r="X67" s="318">
        <f>'Reversion Pagos R4'!M177</f>
        <v>0</v>
      </c>
      <c r="Y67" s="318">
        <f>'Reversion Pagos R4'!N177</f>
        <v>0</v>
      </c>
      <c r="Z67" s="321">
        <f t="shared" ref="Z67:Z70" si="25">-L67</f>
        <v>0</v>
      </c>
      <c r="AA67" s="322">
        <f>'Reversion Pagos R4'!O177</f>
        <v>0</v>
      </c>
      <c r="AB67" s="296">
        <f t="shared" ref="AB67:AB70" si="26">N67</f>
        <v>0</v>
      </c>
      <c r="AC67" s="322">
        <f>'Reversion Pagos R4'!Q177+'Reversion Pagos R4'!R177</f>
        <v>0</v>
      </c>
      <c r="AD67" s="293">
        <f t="shared" ref="AD67:AD70" si="27">-J67+AE67</f>
        <v>0</v>
      </c>
      <c r="AE67" s="293">
        <f>'Reversion Pagos R4'!D178</f>
        <v>0</v>
      </c>
      <c r="AF67" s="324">
        <f>SUM(U67:AD67)</f>
        <v>0</v>
      </c>
      <c r="AG67" s="325">
        <f>(AF67-O67)</f>
        <v>0</v>
      </c>
      <c r="AH67" s="1" t="b">
        <f t="shared" ref="AH67:AH71" si="28">INT(AG67)=0</f>
        <v>1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R4'!D208</f>
        <v>0</v>
      </c>
      <c r="E68" s="293">
        <f>'Reversion Pagos R4'!E208</f>
        <v>0</v>
      </c>
      <c r="F68" s="293">
        <f>'Reversion Pagos R4'!F208</f>
        <v>0</v>
      </c>
      <c r="G68" s="293">
        <f>'Reversion Pagos R4'!G208</f>
        <v>0</v>
      </c>
      <c r="H68" s="293">
        <f>'Reversion Pagos R4'!H208</f>
        <v>0</v>
      </c>
      <c r="I68" s="293">
        <f>'Reversion Pagos R4'!I208</f>
        <v>0</v>
      </c>
      <c r="J68" s="290">
        <v>0</v>
      </c>
      <c r="K68" s="297">
        <f t="shared" si="23"/>
        <v>0</v>
      </c>
      <c r="L68" s="296">
        <v>0</v>
      </c>
      <c r="M68" s="297">
        <f>K68-L68</f>
        <v>0</v>
      </c>
      <c r="N68" s="296">
        <f>'Reversion Pagos R4'!P208</f>
        <v>0</v>
      </c>
      <c r="O68" s="297">
        <f t="shared" si="24"/>
        <v>0</v>
      </c>
      <c r="Q68" s="308"/>
      <c r="S68" s="316">
        <v>3</v>
      </c>
      <c r="T68" s="317" t="s">
        <v>12</v>
      </c>
      <c r="U68" s="318">
        <f>'Reversion Pagos R4'!J208</f>
        <v>0</v>
      </c>
      <c r="V68" s="318">
        <f>'Reversion Pagos R4'!K208</f>
        <v>0</v>
      </c>
      <c r="W68" s="318">
        <f>'Reversion Pagos R4'!L208</f>
        <v>0</v>
      </c>
      <c r="X68" s="318">
        <f>'Reversion Pagos R4'!M208</f>
        <v>0</v>
      </c>
      <c r="Y68" s="318">
        <f>'Reversion Pagos R4'!N208</f>
        <v>0</v>
      </c>
      <c r="Z68" s="321">
        <f t="shared" si="25"/>
        <v>0</v>
      </c>
      <c r="AA68" s="322">
        <f>'Reversion Pagos R4'!O208</f>
        <v>0</v>
      </c>
      <c r="AB68" s="296">
        <f t="shared" si="26"/>
        <v>0</v>
      </c>
      <c r="AC68" s="322">
        <f>'Reversion Pagos R4'!Q208+'Reversion Pagos R4'!R208</f>
        <v>0</v>
      </c>
      <c r="AD68" s="293">
        <f t="shared" si="27"/>
        <v>0</v>
      </c>
      <c r="AE68" s="293">
        <f>'Reversion Pagos R4'!D209</f>
        <v>0</v>
      </c>
      <c r="AF68" s="324">
        <f t="shared" ref="AF68:AF70" si="29">SUM(U68:AD68)</f>
        <v>0</v>
      </c>
      <c r="AG68" s="325">
        <f t="shared" ref="AG68:AG70" si="30">(AF68-O68)</f>
        <v>0</v>
      </c>
      <c r="AH68" s="1" t="b">
        <f t="shared" si="28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R4'!D322</f>
        <v>0</v>
      </c>
      <c r="E69" s="293">
        <f>'Reversion Pagos R4'!E322</f>
        <v>0</v>
      </c>
      <c r="F69" s="293">
        <f>'Reversion Pagos R4'!F322</f>
        <v>0</v>
      </c>
      <c r="G69" s="293">
        <f>'Reversion Pagos R4'!G322</f>
        <v>0</v>
      </c>
      <c r="H69" s="293">
        <f>'Reversion Pagos R4'!H322</f>
        <v>0</v>
      </c>
      <c r="I69" s="293">
        <f>'Reversion Pagos R4'!I322</f>
        <v>0</v>
      </c>
      <c r="J69" s="290">
        <v>0</v>
      </c>
      <c r="K69" s="297">
        <f t="shared" si="23"/>
        <v>0</v>
      </c>
      <c r="L69" s="296">
        <v>0</v>
      </c>
      <c r="M69" s="297">
        <f>K69-L69</f>
        <v>0</v>
      </c>
      <c r="N69" s="296">
        <f>'Reversion Pagos R4'!P322</f>
        <v>0</v>
      </c>
      <c r="O69" s="297">
        <f t="shared" si="24"/>
        <v>0</v>
      </c>
      <c r="Q69" s="308"/>
      <c r="S69" s="316">
        <v>4</v>
      </c>
      <c r="T69" s="317" t="s">
        <v>13</v>
      </c>
      <c r="U69" s="318">
        <f>'Reversion Pagos R4'!J322</f>
        <v>0</v>
      </c>
      <c r="V69" s="318">
        <f>'Reversion Pagos R4'!K322</f>
        <v>0</v>
      </c>
      <c r="W69" s="318">
        <f>'Reversion Pagos R4'!L322</f>
        <v>0</v>
      </c>
      <c r="X69" s="318">
        <f>'Reversion Pagos R4'!M322</f>
        <v>0</v>
      </c>
      <c r="Y69" s="318">
        <f>'Reversion Pagos R4'!N322</f>
        <v>0</v>
      </c>
      <c r="Z69" s="321">
        <f t="shared" si="25"/>
        <v>0</v>
      </c>
      <c r="AA69" s="322">
        <f>'Reversion Pagos R4'!O322</f>
        <v>0</v>
      </c>
      <c r="AB69" s="296">
        <f t="shared" si="26"/>
        <v>0</v>
      </c>
      <c r="AC69" s="322">
        <f>'Reversion Pagos R4'!Q322+'Reversion Pagos R4'!R322</f>
        <v>0</v>
      </c>
      <c r="AD69" s="293">
        <f t="shared" si="27"/>
        <v>0</v>
      </c>
      <c r="AE69" s="293">
        <f>'Reversion Pagos R4'!D323</f>
        <v>0</v>
      </c>
      <c r="AF69" s="324">
        <f>SUM(U69:AD69)</f>
        <v>0</v>
      </c>
      <c r="AG69" s="325">
        <f>(AF69-O69)</f>
        <v>0</v>
      </c>
      <c r="AH69" s="1" t="b">
        <f t="shared" si="28"/>
        <v>1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R4'!D351</f>
        <v>0</v>
      </c>
      <c r="E70" s="298">
        <f>'Reversion Pagos R4'!E351</f>
        <v>0</v>
      </c>
      <c r="F70" s="298">
        <f>'Reversion Pagos R4'!F351</f>
        <v>0</v>
      </c>
      <c r="G70" s="298">
        <f>'Reversion Pagos R4'!G351</f>
        <v>0</v>
      </c>
      <c r="H70" s="298">
        <f>'Reversion Pagos R4'!H351</f>
        <v>0</v>
      </c>
      <c r="I70" s="298">
        <f>'Reversion Pagos R4'!I351</f>
        <v>0</v>
      </c>
      <c r="J70" s="291">
        <v>0</v>
      </c>
      <c r="K70" s="297">
        <f t="shared" si="23"/>
        <v>0</v>
      </c>
      <c r="L70" s="296">
        <v>0</v>
      </c>
      <c r="M70" s="300">
        <f>K70-L70</f>
        <v>0</v>
      </c>
      <c r="N70" s="296">
        <f>'Reversion Pagos R4'!P351</f>
        <v>0</v>
      </c>
      <c r="O70" s="300">
        <f t="shared" si="24"/>
        <v>0</v>
      </c>
      <c r="Q70" s="308"/>
      <c r="S70" s="326">
        <v>5</v>
      </c>
      <c r="T70" s="327" t="s">
        <v>14</v>
      </c>
      <c r="U70" s="298">
        <f>'Reversion Pagos R4'!J351</f>
        <v>0</v>
      </c>
      <c r="V70" s="298">
        <f>'Reversion Pagos R4'!K351</f>
        <v>0</v>
      </c>
      <c r="W70" s="298">
        <f>'Reversion Pagos R4'!L351</f>
        <v>0</v>
      </c>
      <c r="X70" s="298">
        <f>'Reversion Pagos R4'!M351</f>
        <v>0</v>
      </c>
      <c r="Y70" s="298">
        <f>'Reversion Pagos R4'!N351</f>
        <v>0</v>
      </c>
      <c r="Z70" s="321">
        <f t="shared" si="25"/>
        <v>0</v>
      </c>
      <c r="AA70" s="322">
        <f>'Reversion Pagos R4'!O351</f>
        <v>0</v>
      </c>
      <c r="AB70" s="296">
        <f t="shared" si="26"/>
        <v>0</v>
      </c>
      <c r="AC70" s="322">
        <f>'Reversion Pagos R4'!Q351+'Reversion Pagos R4'!R351</f>
        <v>0</v>
      </c>
      <c r="AD70" s="293">
        <f t="shared" si="27"/>
        <v>0</v>
      </c>
      <c r="AE70" s="293">
        <f>'Reversion Pagos R4'!D352</f>
        <v>0</v>
      </c>
      <c r="AF70" s="324">
        <f t="shared" si="29"/>
        <v>0</v>
      </c>
      <c r="AG70" s="328">
        <f t="shared" si="30"/>
        <v>0</v>
      </c>
      <c r="AH70" s="1" t="b">
        <f t="shared" si="28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1">SUM(D66:D70)</f>
        <v>0</v>
      </c>
      <c r="E71" s="292">
        <f t="shared" si="31"/>
        <v>0</v>
      </c>
      <c r="F71" s="292">
        <f t="shared" si="31"/>
        <v>0</v>
      </c>
      <c r="G71" s="292">
        <f t="shared" si="31"/>
        <v>0</v>
      </c>
      <c r="H71" s="292">
        <f t="shared" si="31"/>
        <v>0</v>
      </c>
      <c r="I71" s="292">
        <f t="shared" si="31"/>
        <v>0</v>
      </c>
      <c r="J71" s="292">
        <f t="shared" si="31"/>
        <v>0</v>
      </c>
      <c r="K71" s="302">
        <f t="shared" si="31"/>
        <v>0</v>
      </c>
      <c r="L71" s="303">
        <f t="shared" si="31"/>
        <v>0</v>
      </c>
      <c r="M71" s="304">
        <f t="shared" si="31"/>
        <v>0</v>
      </c>
      <c r="N71" s="303">
        <f t="shared" si="31"/>
        <v>0</v>
      </c>
      <c r="O71" s="304">
        <f t="shared" si="31"/>
        <v>0</v>
      </c>
      <c r="P71" s="331"/>
      <c r="Q71" s="308"/>
      <c r="S71" s="329"/>
      <c r="T71" s="330" t="s">
        <v>2</v>
      </c>
      <c r="U71" s="332">
        <f>SUM(U66:U70)</f>
        <v>0</v>
      </c>
      <c r="V71" s="332">
        <f t="shared" ref="V71:AG71" si="32">SUM(V66:V70)</f>
        <v>0</v>
      </c>
      <c r="W71" s="332">
        <f t="shared" si="32"/>
        <v>0</v>
      </c>
      <c r="X71" s="332">
        <f t="shared" si="32"/>
        <v>0</v>
      </c>
      <c r="Y71" s="332">
        <f t="shared" si="32"/>
        <v>0</v>
      </c>
      <c r="Z71" s="292">
        <f t="shared" si="32"/>
        <v>0</v>
      </c>
      <c r="AA71" s="292">
        <f>SUM(AA66:AA70)</f>
        <v>0</v>
      </c>
      <c r="AB71" s="292">
        <f t="shared" si="32"/>
        <v>0</v>
      </c>
      <c r="AC71" s="292">
        <f t="shared" si="32"/>
        <v>0</v>
      </c>
      <c r="AD71" s="292">
        <f>SUM(AD66:AD70)</f>
        <v>0</v>
      </c>
      <c r="AE71" s="292">
        <f>SUM(AE66:AE70)</f>
        <v>0</v>
      </c>
      <c r="AF71" s="333">
        <f t="shared" si="32"/>
        <v>0</v>
      </c>
      <c r="AG71" s="334">
        <f t="shared" si="32"/>
        <v>0</v>
      </c>
      <c r="AH71" s="1" t="b">
        <f t="shared" si="28"/>
        <v>1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6" t="s">
        <v>105</v>
      </c>
      <c r="AE84" s="565" t="s">
        <v>104</v>
      </c>
      <c r="AF84" s="39" t="s">
        <v>23</v>
      </c>
      <c r="AG84" s="13"/>
      <c r="AI84" s="4"/>
    </row>
    <row r="85" spans="1:35" s="307" customFormat="1" ht="12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4">
        <f>'AJUSTES - SF-T'!J47</f>
        <v>0</v>
      </c>
      <c r="K85" s="294">
        <f>D85-E85-F85-G85-H85-I85-J85</f>
        <v>0</v>
      </c>
      <c r="L85" s="296">
        <v>0</v>
      </c>
      <c r="M85" s="323">
        <f>K85-L85</f>
        <v>0</v>
      </c>
      <c r="N85" s="323">
        <f>'AJUSTES - SF-T'!N47</f>
        <v>0</v>
      </c>
      <c r="O85" s="323">
        <f>M85+N85</f>
        <v>0</v>
      </c>
      <c r="Q85" s="308"/>
      <c r="S85" s="305">
        <v>1</v>
      </c>
      <c r="T85" s="306" t="s">
        <v>10</v>
      </c>
      <c r="U85" s="314">
        <f>'AJUSTES - SF-T'!U47</f>
        <v>0</v>
      </c>
      <c r="V85" s="314">
        <f>'AJUSTES - SF-T'!V47</f>
        <v>0</v>
      </c>
      <c r="W85" s="314">
        <f>'AJUSTES - SF-T'!W47</f>
        <v>0</v>
      </c>
      <c r="X85" s="314">
        <f>'AJUSTES - SF-T'!X47</f>
        <v>0</v>
      </c>
      <c r="Y85" s="314">
        <f>'AJUSTES - SF-T'!Y47</f>
        <v>0</v>
      </c>
      <c r="Z85" s="314">
        <f>'AJUSTES - SF-T'!Z47</f>
        <v>0</v>
      </c>
      <c r="AA85" s="313">
        <v>0</v>
      </c>
      <c r="AB85" s="314">
        <f>'AJUSTES - SF-T'!AB47</f>
        <v>0</v>
      </c>
      <c r="AC85" s="563">
        <f>'AJUSTES - SF-T'!AA47</f>
        <v>0</v>
      </c>
      <c r="AD85" s="323">
        <f>'AJUSTES - SF-T'!AC47</f>
        <v>0</v>
      </c>
      <c r="AE85" s="296">
        <f>'AJUSTES - SF-T'!AD47</f>
        <v>0</v>
      </c>
      <c r="AF85" s="365">
        <f>SUM(U85:AD85)</f>
        <v>0</v>
      </c>
      <c r="AG85" s="561">
        <f>AF85-O85</f>
        <v>0</v>
      </c>
      <c r="AH85" s="1" t="b">
        <f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4">
        <v>0</v>
      </c>
      <c r="K86" s="294">
        <f t="shared" ref="K86:K89" si="33">D86-E86-F86-G86-H86-I86-J86</f>
        <v>0</v>
      </c>
      <c r="L86" s="296">
        <v>0</v>
      </c>
      <c r="M86" s="323">
        <f>K86-L86</f>
        <v>0</v>
      </c>
      <c r="N86" s="323">
        <v>0</v>
      </c>
      <c r="O86" s="323">
        <f t="shared" ref="O86:O89" si="34">M86+N86</f>
        <v>0</v>
      </c>
      <c r="Q86" s="308"/>
      <c r="S86" s="316">
        <v>2</v>
      </c>
      <c r="T86" s="317" t="s">
        <v>11</v>
      </c>
      <c r="U86" s="322">
        <v>0</v>
      </c>
      <c r="V86" s="322">
        <v>0</v>
      </c>
      <c r="W86" s="322">
        <v>0</v>
      </c>
      <c r="X86" s="322">
        <v>0</v>
      </c>
      <c r="Y86" s="322">
        <v>0</v>
      </c>
      <c r="Z86" s="322">
        <f>-L86</f>
        <v>0</v>
      </c>
      <c r="AA86" s="322">
        <v>0</v>
      </c>
      <c r="AB86" s="322">
        <f>N86</f>
        <v>0</v>
      </c>
      <c r="AC86" s="301">
        <v>0</v>
      </c>
      <c r="AD86" s="322">
        <f t="shared" ref="AD86:AD88" si="35">-J86+AE86</f>
        <v>0</v>
      </c>
      <c r="AE86" s="301">
        <v>0</v>
      </c>
      <c r="AF86" s="367">
        <f>SUM(U86:AD86)</f>
        <v>0</v>
      </c>
      <c r="AG86" s="562">
        <f>AF86-O86</f>
        <v>0</v>
      </c>
      <c r="AH86" s="1" t="b">
        <f t="shared" ref="AH86:AH90" si="36">INT(AG86)=0</f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4">
        <f>'AJUSTES - SF-T'!J49</f>
        <v>0</v>
      </c>
      <c r="K87" s="294">
        <f>D87-E87-F87-G87-H87-I87-J87</f>
        <v>0</v>
      </c>
      <c r="L87" s="296">
        <v>0</v>
      </c>
      <c r="M87" s="323">
        <f>K87-L87</f>
        <v>0</v>
      </c>
      <c r="N87" s="323">
        <f>'AJUSTES - SF-T'!N49</f>
        <v>0</v>
      </c>
      <c r="O87" s="323">
        <f>M87+N87</f>
        <v>0</v>
      </c>
      <c r="Q87" s="308"/>
      <c r="S87" s="316">
        <v>3</v>
      </c>
      <c r="T87" s="317" t="s">
        <v>12</v>
      </c>
      <c r="U87" s="322">
        <f>'AJUSTES - SF-T'!U49</f>
        <v>0</v>
      </c>
      <c r="V87" s="322">
        <f>'AJUSTES - SF-T'!V49</f>
        <v>0</v>
      </c>
      <c r="W87" s="322">
        <f>'AJUSTES - SF-T'!W49</f>
        <v>0</v>
      </c>
      <c r="X87" s="322">
        <f>'AJUSTES - SF-T'!X49</f>
        <v>0</v>
      </c>
      <c r="Y87" s="322">
        <f>'AJUSTES - SF-T'!Y49</f>
        <v>0</v>
      </c>
      <c r="Z87" s="322">
        <f>'AJUSTES - SF-T'!Z49</f>
        <v>0</v>
      </c>
      <c r="AA87" s="322">
        <f>'AJUSTES - SF-T'!AA49</f>
        <v>0</v>
      </c>
      <c r="AB87" s="322">
        <f>'AJUSTES - SF-T'!AB49</f>
        <v>0</v>
      </c>
      <c r="AC87" s="301">
        <v>0</v>
      </c>
      <c r="AD87" s="322">
        <f>'AJUSTES - SF-T'!AC49</f>
        <v>0</v>
      </c>
      <c r="AE87" s="301">
        <f>'AJUSTES - SF-T'!AD49</f>
        <v>0</v>
      </c>
      <c r="AF87" s="367">
        <f>SUM(U87:AD87)</f>
        <v>0</v>
      </c>
      <c r="AG87" s="562">
        <f>AF87-O87</f>
        <v>0</v>
      </c>
      <c r="AH87" s="1" t="b">
        <f t="shared" si="36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4">
        <v>0</v>
      </c>
      <c r="K88" s="294">
        <f t="shared" si="33"/>
        <v>0</v>
      </c>
      <c r="L88" s="296">
        <v>0</v>
      </c>
      <c r="M88" s="323">
        <f>K88-L88</f>
        <v>0</v>
      </c>
      <c r="N88" s="323">
        <v>0</v>
      </c>
      <c r="O88" s="323">
        <f t="shared" si="34"/>
        <v>0</v>
      </c>
      <c r="Q88" s="308"/>
      <c r="S88" s="316">
        <v>4</v>
      </c>
      <c r="T88" s="317" t="s">
        <v>13</v>
      </c>
      <c r="U88" s="322">
        <v>0</v>
      </c>
      <c r="V88" s="322">
        <v>0</v>
      </c>
      <c r="W88" s="322">
        <v>0</v>
      </c>
      <c r="X88" s="322">
        <v>0</v>
      </c>
      <c r="Y88" s="322">
        <v>0</v>
      </c>
      <c r="Z88" s="322">
        <f>-L88</f>
        <v>0</v>
      </c>
      <c r="AA88" s="322">
        <v>0</v>
      </c>
      <c r="AB88" s="322">
        <f>N88</f>
        <v>0</v>
      </c>
      <c r="AC88" s="301">
        <v>0</v>
      </c>
      <c r="AD88" s="322">
        <f t="shared" si="35"/>
        <v>0</v>
      </c>
      <c r="AE88" s="301">
        <v>0</v>
      </c>
      <c r="AF88" s="367">
        <f t="shared" ref="AF88:AF89" si="37">SUM(U88:AD88)</f>
        <v>0</v>
      </c>
      <c r="AG88" s="562">
        <f>AF88-O88</f>
        <v>0</v>
      </c>
      <c r="AH88" s="1" t="b">
        <f t="shared" si="36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8">
        <f>'AJUSTES - SF-T'!D51</f>
        <v>0</v>
      </c>
      <c r="E89" s="299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9">
        <f>'AJUSTES - SF-T'!J51</f>
        <v>0</v>
      </c>
      <c r="K89" s="299">
        <f t="shared" si="33"/>
        <v>0</v>
      </c>
      <c r="L89" s="296">
        <v>0</v>
      </c>
      <c r="M89" s="348">
        <f>K89-L89</f>
        <v>0</v>
      </c>
      <c r="N89" s="348">
        <f>'AJUSTES - SF-T'!N51</f>
        <v>0</v>
      </c>
      <c r="O89" s="348">
        <f t="shared" si="34"/>
        <v>0</v>
      </c>
      <c r="Q89" s="308"/>
      <c r="S89" s="326">
        <v>5</v>
      </c>
      <c r="T89" s="327" t="s">
        <v>14</v>
      </c>
      <c r="U89" s="348">
        <f>'AJUSTES - SF-T'!U51</f>
        <v>0</v>
      </c>
      <c r="V89" s="348">
        <f>'AJUSTES - SF-T'!V51</f>
        <v>0</v>
      </c>
      <c r="W89" s="348">
        <f>'AJUSTES - SF-T'!W51</f>
        <v>0</v>
      </c>
      <c r="X89" s="348">
        <f>'AJUSTES - SF-T'!X51</f>
        <v>0</v>
      </c>
      <c r="Y89" s="348">
        <f>'AJUSTES - SF-T'!Y51</f>
        <v>0</v>
      </c>
      <c r="Z89" s="348">
        <f>'AJUSTES - SF-T'!Z51</f>
        <v>0</v>
      </c>
      <c r="AA89" s="322">
        <f>'AJUSTES - SF-T'!AA51</f>
        <v>0</v>
      </c>
      <c r="AB89" s="564">
        <f>'AJUSTES - SF-T'!AB51</f>
        <v>0</v>
      </c>
      <c r="AC89" s="600">
        <v>0</v>
      </c>
      <c r="AD89" s="564">
        <f>'AJUSTES - SF-T'!AC51</f>
        <v>0</v>
      </c>
      <c r="AE89" s="296">
        <f>'AJUSTES - SF-T'!AD51</f>
        <v>0</v>
      </c>
      <c r="AF89" s="568">
        <f t="shared" si="37"/>
        <v>0</v>
      </c>
      <c r="AG89" s="567">
        <f>AF89-O89</f>
        <v>0</v>
      </c>
      <c r="AH89" s="1" t="b">
        <f t="shared" si="36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 t="shared" ref="D90:O90" si="38">SUM(D85:D89)</f>
        <v>0</v>
      </c>
      <c r="E90" s="292">
        <f t="shared" si="38"/>
        <v>0</v>
      </c>
      <c r="F90" s="292">
        <f t="shared" si="38"/>
        <v>0</v>
      </c>
      <c r="G90" s="292">
        <f t="shared" si="38"/>
        <v>0</v>
      </c>
      <c r="H90" s="292">
        <f t="shared" si="38"/>
        <v>0</v>
      </c>
      <c r="I90" s="292">
        <f t="shared" si="38"/>
        <v>0</v>
      </c>
      <c r="J90" s="292">
        <f t="shared" si="38"/>
        <v>0</v>
      </c>
      <c r="K90" s="302">
        <f t="shared" si="38"/>
        <v>0</v>
      </c>
      <c r="L90" s="303">
        <f t="shared" si="38"/>
        <v>0</v>
      </c>
      <c r="M90" s="304">
        <f t="shared" si="38"/>
        <v>0</v>
      </c>
      <c r="N90" s="303">
        <f t="shared" si="38"/>
        <v>0</v>
      </c>
      <c r="O90" s="304">
        <f t="shared" si="38"/>
        <v>0</v>
      </c>
      <c r="P90" s="331"/>
      <c r="Q90" s="308"/>
      <c r="S90" s="329"/>
      <c r="T90" s="559" t="s">
        <v>2</v>
      </c>
      <c r="U90" s="332">
        <f>SUM(U85:U89)</f>
        <v>0</v>
      </c>
      <c r="V90" s="332">
        <f t="shared" ref="V90:AG90" si="39">SUM(V85:V89)</f>
        <v>0</v>
      </c>
      <c r="W90" s="560">
        <f t="shared" si="39"/>
        <v>0</v>
      </c>
      <c r="X90" s="332">
        <f t="shared" si="39"/>
        <v>0</v>
      </c>
      <c r="Y90" s="332">
        <f t="shared" si="39"/>
        <v>0</v>
      </c>
      <c r="Z90" s="292">
        <f t="shared" si="39"/>
        <v>0</v>
      </c>
      <c r="AA90" s="292">
        <f t="shared" si="39"/>
        <v>0</v>
      </c>
      <c r="AB90" s="292">
        <f t="shared" si="39"/>
        <v>0</v>
      </c>
      <c r="AC90" s="292">
        <f t="shared" si="39"/>
        <v>0</v>
      </c>
      <c r="AD90" s="292">
        <f t="shared" si="39"/>
        <v>0</v>
      </c>
      <c r="AE90" s="292">
        <f t="shared" si="39"/>
        <v>0</v>
      </c>
      <c r="AF90" s="333">
        <f t="shared" si="39"/>
        <v>0</v>
      </c>
      <c r="AG90" s="334">
        <f t="shared" si="39"/>
        <v>0</v>
      </c>
      <c r="AH90" s="1" t="b">
        <f t="shared" si="36"/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0" t="s">
        <v>17</v>
      </c>
      <c r="D101" s="9">
        <f>D6</f>
        <v>46314</v>
      </c>
      <c r="F101" s="58" t="s">
        <v>326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216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ht="12" x14ac:dyDescent="0.25">
      <c r="B104" s="305">
        <v>1</v>
      </c>
      <c r="C104" s="306" t="s">
        <v>10</v>
      </c>
      <c r="D104" s="293">
        <f t="shared" ref="D104:J108" si="40">D9+D28+D47+D66+D85</f>
        <v>0</v>
      </c>
      <c r="E104" s="294">
        <f t="shared" si="40"/>
        <v>0</v>
      </c>
      <c r="F104" s="294">
        <f t="shared" si="40"/>
        <v>0</v>
      </c>
      <c r="G104" s="294">
        <f t="shared" si="40"/>
        <v>0</v>
      </c>
      <c r="H104" s="294">
        <f t="shared" si="40"/>
        <v>0</v>
      </c>
      <c r="I104" s="294">
        <f t="shared" si="40"/>
        <v>0</v>
      </c>
      <c r="J104" s="294">
        <f t="shared" si="40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C108" si="41">U9+U28+U47+U66+U85</f>
        <v>0</v>
      </c>
      <c r="V104" s="310">
        <f t="shared" si="41"/>
        <v>0</v>
      </c>
      <c r="W104" s="310">
        <f t="shared" si="41"/>
        <v>0</v>
      </c>
      <c r="X104" s="310">
        <f t="shared" si="41"/>
        <v>0</v>
      </c>
      <c r="Y104" s="311">
        <f t="shared" si="41"/>
        <v>0</v>
      </c>
      <c r="Z104" s="312">
        <f t="shared" si="41"/>
        <v>0</v>
      </c>
      <c r="AA104" s="313">
        <f>AA9+AA28+AA47+AA66+AA85</f>
        <v>0</v>
      </c>
      <c r="AB104" s="296">
        <f>AB9+AB28+AB47+AB66+AB85</f>
        <v>0</v>
      </c>
      <c r="AC104" s="313">
        <f>AC9+AC28+AC47+AC66+AC85</f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313">
        <f>AF104-O104</f>
        <v>0</v>
      </c>
      <c r="AH104" s="1" t="b">
        <f>INT(AG104)=0</f>
        <v>1</v>
      </c>
      <c r="AI104" s="308"/>
    </row>
    <row r="105" spans="2:36" s="307" customFormat="1" ht="12.6" thickBot="1" x14ac:dyDescent="0.3">
      <c r="B105" s="316">
        <v>2</v>
      </c>
      <c r="C105" s="317" t="s">
        <v>11</v>
      </c>
      <c r="D105" s="293">
        <f t="shared" si="40"/>
        <v>0</v>
      </c>
      <c r="E105" s="294">
        <f t="shared" si="40"/>
        <v>0</v>
      </c>
      <c r="F105" s="294">
        <f t="shared" si="40"/>
        <v>0</v>
      </c>
      <c r="G105" s="294">
        <f t="shared" si="40"/>
        <v>0</v>
      </c>
      <c r="H105" s="294">
        <f t="shared" si="40"/>
        <v>0</v>
      </c>
      <c r="I105" s="294">
        <f t="shared" si="40"/>
        <v>0</v>
      </c>
      <c r="J105" s="294">
        <f t="shared" si="40"/>
        <v>0</v>
      </c>
      <c r="K105" s="297">
        <f t="shared" ref="K105:K108" si="42">D105-E105-F105-G105-H105-I105-J105</f>
        <v>0</v>
      </c>
      <c r="L105" s="296">
        <f>L10+L29+L48+L67+L86</f>
        <v>0</v>
      </c>
      <c r="M105" s="297">
        <f>K105-L105</f>
        <v>0</v>
      </c>
      <c r="N105" s="296">
        <f>N10+N29+N48+N67+N86</f>
        <v>0</v>
      </c>
      <c r="O105" s="297">
        <f t="shared" ref="O105:O108" si="43">M105+N105</f>
        <v>0</v>
      </c>
      <c r="Q105" s="308"/>
      <c r="S105" s="316">
        <v>2</v>
      </c>
      <c r="T105" s="317" t="s">
        <v>11</v>
      </c>
      <c r="U105" s="318">
        <f t="shared" si="41"/>
        <v>0</v>
      </c>
      <c r="V105" s="319">
        <f t="shared" si="41"/>
        <v>0</v>
      </c>
      <c r="W105" s="319">
        <f t="shared" si="41"/>
        <v>0</v>
      </c>
      <c r="X105" s="319">
        <f t="shared" si="41"/>
        <v>0</v>
      </c>
      <c r="Y105" s="320">
        <f t="shared" si="41"/>
        <v>0</v>
      </c>
      <c r="Z105" s="321">
        <f t="shared" si="41"/>
        <v>0</v>
      </c>
      <c r="AA105" s="322">
        <f t="shared" si="41"/>
        <v>0</v>
      </c>
      <c r="AB105" s="296">
        <f t="shared" si="41"/>
        <v>0</v>
      </c>
      <c r="AC105" s="322">
        <f t="shared" si="41"/>
        <v>0</v>
      </c>
      <c r="AD105" s="293">
        <f t="shared" ref="AD105:AD106" si="44">-J105+AE105</f>
        <v>0</v>
      </c>
      <c r="AE105" s="293">
        <f>AE10+AE29+AE48+AE67+AE86</f>
        <v>0</v>
      </c>
      <c r="AF105" s="324">
        <f>SUM(U105:AD105)</f>
        <v>0</v>
      </c>
      <c r="AG105" s="325">
        <f>AF105-O105</f>
        <v>0</v>
      </c>
      <c r="AH105" s="1" t="b">
        <f t="shared" ref="AH105:AH109" si="45">INT(AG105)=0</f>
        <v>1</v>
      </c>
      <c r="AI105" s="308"/>
    </row>
    <row r="106" spans="2:36" s="307" customFormat="1" ht="12" x14ac:dyDescent="0.25">
      <c r="B106" s="316">
        <v>3</v>
      </c>
      <c r="C106" s="317" t="s">
        <v>12</v>
      </c>
      <c r="D106" s="293">
        <f t="shared" si="40"/>
        <v>0</v>
      </c>
      <c r="E106" s="294">
        <f t="shared" si="40"/>
        <v>0</v>
      </c>
      <c r="F106" s="294">
        <f t="shared" si="40"/>
        <v>0</v>
      </c>
      <c r="G106" s="294">
        <f t="shared" si="40"/>
        <v>0</v>
      </c>
      <c r="H106" s="294">
        <f t="shared" si="40"/>
        <v>0</v>
      </c>
      <c r="I106" s="294">
        <f t="shared" si="40"/>
        <v>0</v>
      </c>
      <c r="J106" s="294">
        <f t="shared" si="40"/>
        <v>0</v>
      </c>
      <c r="K106" s="297">
        <f t="shared" si="42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3"/>
        <v>0</v>
      </c>
      <c r="Q106" s="308"/>
      <c r="S106" s="316">
        <v>3</v>
      </c>
      <c r="T106" s="317" t="s">
        <v>12</v>
      </c>
      <c r="U106" s="318">
        <f t="shared" si="41"/>
        <v>0</v>
      </c>
      <c r="V106" s="319">
        <f t="shared" si="41"/>
        <v>0</v>
      </c>
      <c r="W106" s="319">
        <f t="shared" si="41"/>
        <v>0</v>
      </c>
      <c r="X106" s="319">
        <f t="shared" si="41"/>
        <v>0</v>
      </c>
      <c r="Y106" s="320">
        <f t="shared" si="41"/>
        <v>0</v>
      </c>
      <c r="Z106" s="321">
        <f t="shared" si="41"/>
        <v>0</v>
      </c>
      <c r="AA106" s="322">
        <f t="shared" si="41"/>
        <v>0</v>
      </c>
      <c r="AB106" s="296">
        <f t="shared" si="41"/>
        <v>0</v>
      </c>
      <c r="AC106" s="313">
        <f>AC11+AC30+AC49+AC68+AC87</f>
        <v>0</v>
      </c>
      <c r="AD106" s="293">
        <f t="shared" si="44"/>
        <v>0</v>
      </c>
      <c r="AE106" s="293">
        <f>AE11+AE30+AE49+AE68+AE87</f>
        <v>0</v>
      </c>
      <c r="AF106" s="324">
        <f>SUM(U106:AD106)</f>
        <v>0</v>
      </c>
      <c r="AG106" s="325">
        <f>AF106-O106</f>
        <v>0</v>
      </c>
      <c r="AH106" s="1" t="b">
        <f t="shared" si="45"/>
        <v>1</v>
      </c>
      <c r="AI106" s="308"/>
    </row>
    <row r="107" spans="2:36" s="307" customFormat="1" ht="12" x14ac:dyDescent="0.25">
      <c r="B107" s="316">
        <v>4</v>
      </c>
      <c r="C107" s="317" t="s">
        <v>13</v>
      </c>
      <c r="D107" s="293">
        <f t="shared" si="40"/>
        <v>0</v>
      </c>
      <c r="E107" s="294">
        <f t="shared" si="40"/>
        <v>0</v>
      </c>
      <c r="F107" s="294">
        <f t="shared" si="40"/>
        <v>0</v>
      </c>
      <c r="G107" s="294">
        <f t="shared" si="40"/>
        <v>0</v>
      </c>
      <c r="H107" s="294">
        <f t="shared" si="40"/>
        <v>0</v>
      </c>
      <c r="I107" s="294">
        <f t="shared" si="40"/>
        <v>0</v>
      </c>
      <c r="J107" s="294">
        <f t="shared" si="40"/>
        <v>0</v>
      </c>
      <c r="K107" s="297">
        <f t="shared" si="42"/>
        <v>0</v>
      </c>
      <c r="L107" s="296">
        <f>L12+L31+L50+L69+L88</f>
        <v>0</v>
      </c>
      <c r="M107" s="297">
        <f>K107-L107</f>
        <v>0</v>
      </c>
      <c r="N107" s="296">
        <f>N12+N31+N50+N69+N88</f>
        <v>0</v>
      </c>
      <c r="O107" s="297">
        <f>M107+N107</f>
        <v>0</v>
      </c>
      <c r="Q107" s="308"/>
      <c r="S107" s="316">
        <v>4</v>
      </c>
      <c r="T107" s="317" t="s">
        <v>13</v>
      </c>
      <c r="U107" s="318">
        <f t="shared" si="41"/>
        <v>0</v>
      </c>
      <c r="V107" s="319">
        <f t="shared" si="41"/>
        <v>0</v>
      </c>
      <c r="W107" s="319">
        <f t="shared" si="41"/>
        <v>0</v>
      </c>
      <c r="X107" s="319">
        <f t="shared" si="41"/>
        <v>0</v>
      </c>
      <c r="Y107" s="320">
        <f t="shared" si="41"/>
        <v>0</v>
      </c>
      <c r="Z107" s="321">
        <f t="shared" si="41"/>
        <v>0</v>
      </c>
      <c r="AA107" s="322">
        <f t="shared" si="41"/>
        <v>0</v>
      </c>
      <c r="AB107" s="296">
        <f t="shared" si="41"/>
        <v>0</v>
      </c>
      <c r="AC107" s="322">
        <f t="shared" si="41"/>
        <v>0</v>
      </c>
      <c r="AD107" s="293">
        <f>-J117+AE117</f>
        <v>0</v>
      </c>
      <c r="AE107" s="293">
        <f>AE12+AE31+AE50+AE69+AE88</f>
        <v>0</v>
      </c>
      <c r="AF107" s="324">
        <f>SUM(U117:AD117)</f>
        <v>0</v>
      </c>
      <c r="AG107" s="325">
        <f>AF117-O117</f>
        <v>0</v>
      </c>
      <c r="AH107" s="1" t="b">
        <f t="shared" si="45"/>
        <v>1</v>
      </c>
      <c r="AI107" s="308"/>
    </row>
    <row r="108" spans="2:36" s="307" customFormat="1" ht="12.6" thickBot="1" x14ac:dyDescent="0.3">
      <c r="B108" s="326">
        <v>5</v>
      </c>
      <c r="C108" s="327" t="s">
        <v>14</v>
      </c>
      <c r="D108" s="298">
        <f>D13+D32+D51+D70+D89</f>
        <v>139510580</v>
      </c>
      <c r="E108" s="299">
        <f t="shared" si="40"/>
        <v>8666290.4399999995</v>
      </c>
      <c r="F108" s="299">
        <f t="shared" si="40"/>
        <v>4836297.78</v>
      </c>
      <c r="G108" s="299">
        <f t="shared" si="40"/>
        <v>2584164.52</v>
      </c>
      <c r="H108" s="299">
        <f t="shared" si="40"/>
        <v>38419843.039999999</v>
      </c>
      <c r="I108" s="299">
        <f t="shared" si="40"/>
        <v>1269098.3899999999</v>
      </c>
      <c r="J108" s="299">
        <f t="shared" si="40"/>
        <v>0</v>
      </c>
      <c r="K108" s="297">
        <f t="shared" si="42"/>
        <v>83734885.829999998</v>
      </c>
      <c r="L108" s="296">
        <f>L13+L32+L51+L70+L89</f>
        <v>0</v>
      </c>
      <c r="M108" s="300">
        <f>K108-L108</f>
        <v>83734885.829999998</v>
      </c>
      <c r="N108" s="301">
        <f>N13+N32+N51+N70+N89</f>
        <v>0</v>
      </c>
      <c r="O108" s="300">
        <f t="shared" si="43"/>
        <v>83734885.829999998</v>
      </c>
      <c r="Q108" s="308"/>
      <c r="S108" s="326">
        <v>5</v>
      </c>
      <c r="T108" s="327" t="s">
        <v>14</v>
      </c>
      <c r="U108" s="298">
        <f t="shared" si="41"/>
        <v>11146402.07</v>
      </c>
      <c r="V108" s="299">
        <f t="shared" si="41"/>
        <v>10565640.77</v>
      </c>
      <c r="W108" s="299">
        <f t="shared" si="41"/>
        <v>54685399.630000003</v>
      </c>
      <c r="X108" s="299">
        <f t="shared" si="41"/>
        <v>25943616.440000001</v>
      </c>
      <c r="Y108" s="291">
        <f t="shared" si="41"/>
        <v>2070340.36</v>
      </c>
      <c r="Z108" s="321">
        <f t="shared" si="41"/>
        <v>0</v>
      </c>
      <c r="AA108" s="322">
        <f t="shared" si="41"/>
        <v>-206.46</v>
      </c>
      <c r="AB108" s="296">
        <f t="shared" si="41"/>
        <v>0</v>
      </c>
      <c r="AC108" s="322">
        <f t="shared" si="41"/>
        <v>-0.01</v>
      </c>
      <c r="AD108" s="293">
        <f>-J108+AE108</f>
        <v>-20676306.969999999</v>
      </c>
      <c r="AE108" s="293">
        <f>AE13+AE32+AE51+AE70+AE89</f>
        <v>-20676306.969999999</v>
      </c>
      <c r="AF108" s="324">
        <f>SUM(U108:AD108)</f>
        <v>83734885.829999998</v>
      </c>
      <c r="AG108" s="328">
        <f>AF108-O108</f>
        <v>0</v>
      </c>
      <c r="AH108" s="1" t="b">
        <f t="shared" si="45"/>
        <v>1</v>
      </c>
      <c r="AI108" s="308"/>
    </row>
    <row r="109" spans="2:36" s="307" customFormat="1" ht="13.8" thickBot="1" x14ac:dyDescent="0.3">
      <c r="B109" s="329"/>
      <c r="C109" s="330" t="s">
        <v>2</v>
      </c>
      <c r="D109" s="292">
        <f t="shared" ref="D109:O109" si="46">SUM(D104:D108)</f>
        <v>139510580</v>
      </c>
      <c r="E109" s="292">
        <f t="shared" si="46"/>
        <v>8666290.4399999995</v>
      </c>
      <c r="F109" s="292">
        <f t="shared" si="46"/>
        <v>4836297.78</v>
      </c>
      <c r="G109" s="292">
        <f t="shared" si="46"/>
        <v>2584164.52</v>
      </c>
      <c r="H109" s="292">
        <f t="shared" si="46"/>
        <v>38419843.039999999</v>
      </c>
      <c r="I109" s="292">
        <f t="shared" si="46"/>
        <v>1269098.3899999999</v>
      </c>
      <c r="J109" s="292">
        <f t="shared" si="46"/>
        <v>0</v>
      </c>
      <c r="K109" s="302">
        <f t="shared" si="46"/>
        <v>83734885.829999998</v>
      </c>
      <c r="L109" s="303">
        <f t="shared" si="46"/>
        <v>0</v>
      </c>
      <c r="M109" s="304">
        <f t="shared" si="46"/>
        <v>83734885.829999998</v>
      </c>
      <c r="N109" s="303">
        <f t="shared" si="46"/>
        <v>0</v>
      </c>
      <c r="O109" s="304">
        <f t="shared" si="46"/>
        <v>83734885.829999998</v>
      </c>
      <c r="P109" s="331"/>
      <c r="Q109" s="308"/>
      <c r="S109" s="329"/>
      <c r="T109" s="330" t="s">
        <v>2</v>
      </c>
      <c r="U109" s="332">
        <f>SUM(U104:U108)</f>
        <v>11146402.07</v>
      </c>
      <c r="V109" s="332">
        <f t="shared" ref="V109:AF109" si="47">SUM(V104:V108)</f>
        <v>10565640.77</v>
      </c>
      <c r="W109" s="332">
        <f t="shared" si="47"/>
        <v>54685399.630000003</v>
      </c>
      <c r="X109" s="332">
        <f t="shared" si="47"/>
        <v>25943616.440000001</v>
      </c>
      <c r="Y109" s="332">
        <f t="shared" si="47"/>
        <v>2070340.36</v>
      </c>
      <c r="Z109" s="292">
        <f t="shared" si="47"/>
        <v>0</v>
      </c>
      <c r="AA109" s="292">
        <f t="shared" si="47"/>
        <v>-206.46</v>
      </c>
      <c r="AB109" s="292">
        <f t="shared" si="47"/>
        <v>0</v>
      </c>
      <c r="AC109" s="292">
        <f t="shared" si="47"/>
        <v>-0.01</v>
      </c>
      <c r="AD109" s="292">
        <f t="shared" si="47"/>
        <v>-20676306.969999999</v>
      </c>
      <c r="AE109" s="292">
        <f>SUM(AE104:AE108)</f>
        <v>-20676306.969999999</v>
      </c>
      <c r="AF109" s="333">
        <f t="shared" si="47"/>
        <v>83734885.829999998</v>
      </c>
      <c r="AG109" s="334">
        <f>SUM(AG104:AG108)</f>
        <v>0</v>
      </c>
      <c r="AH109" s="1" t="b">
        <f t="shared" si="45"/>
        <v>1</v>
      </c>
      <c r="AI109" s="308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104411399.27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7"/>
      <c r="AB112" s="307"/>
      <c r="AC112" s="307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USUARIOS'!L12</f>
        <v>0</v>
      </c>
      <c r="L125" s="311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41">
        <f>D48+N48</f>
        <v>0</v>
      </c>
      <c r="H126" s="342">
        <f>D29+N29</f>
        <v>0</v>
      </c>
      <c r="I126" s="290">
        <f>D86+N86</f>
        <v>0</v>
      </c>
      <c r="J126" s="290">
        <f t="shared" ref="J126:J129" si="48">D67+N67</f>
        <v>0</v>
      </c>
      <c r="K126" s="290">
        <f>'ANTICIPOS USUARIOS'!L13</f>
        <v>0</v>
      </c>
      <c r="L126" s="290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48"/>
        <v>0</v>
      </c>
      <c r="K127" s="290">
        <f>'ANTICIPOS USUARIOS'!L14</f>
        <v>0</v>
      </c>
      <c r="L127" s="290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41">
        <f>D50+N50</f>
        <v>0</v>
      </c>
      <c r="H128" s="342">
        <f>D31+N31</f>
        <v>0</v>
      </c>
      <c r="I128" s="290">
        <f>D88+N88</f>
        <v>0</v>
      </c>
      <c r="J128" s="290">
        <f t="shared" si="48"/>
        <v>0</v>
      </c>
      <c r="K128" s="290">
        <f>'ANTICIPOS USUARIOS'!L15</f>
        <v>0</v>
      </c>
      <c r="L128" s="290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914180</v>
      </c>
      <c r="E129" s="139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48"/>
        <v>0</v>
      </c>
      <c r="K129" s="290">
        <f>'ANTICIPOS USUARIOS'!L16</f>
        <v>0</v>
      </c>
      <c r="L129" s="290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914180</v>
      </c>
      <c r="E131" s="107">
        <f>SUM(E125:E130)</f>
        <v>0</v>
      </c>
      <c r="F131" s="45"/>
      <c r="G131" s="352">
        <f t="shared" ref="G131" si="49">SUM(G125:G129)</f>
        <v>0</v>
      </c>
      <c r="H131" s="352">
        <f>SUM(H125:H130)</f>
        <v>0</v>
      </c>
      <c r="I131" s="352">
        <f>SUM(I125:I130)</f>
        <v>0</v>
      </c>
      <c r="J131" s="352">
        <f>SUM(J125:J130)</f>
        <v>0</v>
      </c>
      <c r="K131" s="352">
        <f>SUM(K125:K130)</f>
        <v>0</v>
      </c>
      <c r="L131" s="352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7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7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7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140424760</v>
      </c>
      <c r="E146" s="18">
        <f>'Recaudo ENERBIT'!D25</f>
        <v>140424760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7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140424760</v>
      </c>
      <c r="E147" s="47">
        <f>SUM(E142:E146)</f>
        <v>140424760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7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1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B2" sqref="B2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ENERBIT'!D21</f>
        <v>0</v>
      </c>
      <c r="D3" s="294">
        <f>REMUNERACION_ENERBIT!G125</f>
        <v>0</v>
      </c>
      <c r="E3" s="294">
        <f>REMUNERACION_ENERBIT!D28+REMUNERACION_ENERBIT!N28</f>
        <v>0</v>
      </c>
      <c r="F3" s="294">
        <f>REMUNERACION_ENERBIT!I142</f>
        <v>0</v>
      </c>
      <c r="G3" s="294">
        <f>REMUNERACION_ENERBIT!H142</f>
        <v>0</v>
      </c>
      <c r="H3" s="342">
        <f>SUM(C3:G3)</f>
        <v>0</v>
      </c>
      <c r="I3" s="293">
        <f>REMUNERACION_ENERBIT!D104</f>
        <v>0</v>
      </c>
      <c r="J3" s="294">
        <f>REMUNERACION_ENERBIT!N104</f>
        <v>0</v>
      </c>
      <c r="K3" s="294">
        <f>REMUNERACION_ENERBIT!D125</f>
        <v>0</v>
      </c>
      <c r="L3" s="355">
        <f>REMUNERACION_ENERBIT!E125</f>
        <v>0</v>
      </c>
      <c r="M3" s="294">
        <f>-REMUNERACION_ENERBIT!D66-REMUNERACION_ENERBIT!N66</f>
        <v>0</v>
      </c>
      <c r="N3" s="290">
        <f>SUM(I3:M3)</f>
        <v>0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ENERBIT'!D22</f>
        <v>0</v>
      </c>
      <c r="D4" s="294">
        <f>REMUNERACION_ENERBIT!G126</f>
        <v>0</v>
      </c>
      <c r="E4" s="294">
        <f>REMUNERACION_ENERBIT!D29+REMUNERACION_ENERBIT!N29</f>
        <v>0</v>
      </c>
      <c r="F4" s="294">
        <f>REMUNERACION_ENERBIT!I143</f>
        <v>0</v>
      </c>
      <c r="G4" s="294">
        <f>REMUNERACION_ENERBIT!H143</f>
        <v>0</v>
      </c>
      <c r="H4" s="342">
        <f t="shared" ref="H4:H7" si="1">SUM(C4:G4)</f>
        <v>0</v>
      </c>
      <c r="I4" s="293">
        <f>REMUNERACION_ENERBIT!D105</f>
        <v>0</v>
      </c>
      <c r="J4" s="294">
        <f>REMUNERACION_ENERBIT!N105</f>
        <v>0</v>
      </c>
      <c r="K4" s="294">
        <f>REMUNERACION_ENERBIT!D126</f>
        <v>0</v>
      </c>
      <c r="L4" s="355">
        <f>REMUNERACION_ENERBIT!E126</f>
        <v>0</v>
      </c>
      <c r="M4" s="294">
        <f>-REMUNERACION_ENERBIT!D67-REMUNERACION_ENERBIT!N67</f>
        <v>0</v>
      </c>
      <c r="N4" s="320">
        <f>SUM(I4:M4)</f>
        <v>0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ENERBIT'!D23</f>
        <v>0</v>
      </c>
      <c r="D5" s="294">
        <f>REMUNERACION_ENERBIT!G127</f>
        <v>0</v>
      </c>
      <c r="E5" s="294">
        <f>REMUNERACION_ENERBIT!D30+REMUNERACION_ENERBIT!N30</f>
        <v>0</v>
      </c>
      <c r="F5" s="294">
        <f>REMUNERACION_ENERBIT!I144</f>
        <v>0</v>
      </c>
      <c r="G5" s="294">
        <f>REMUNERACION_ENERBIT!H144</f>
        <v>0</v>
      </c>
      <c r="H5" s="342">
        <f t="shared" si="1"/>
        <v>0</v>
      </c>
      <c r="I5" s="293">
        <f>REMUNERACION_ENERBIT!D106</f>
        <v>0</v>
      </c>
      <c r="J5" s="294">
        <f>REMUNERACION_ENERBIT!N106</f>
        <v>0</v>
      </c>
      <c r="K5" s="294">
        <f>REMUNERACION_ENERBIT!D127</f>
        <v>0</v>
      </c>
      <c r="L5" s="355">
        <f>REMUNERACION_ENERBIT!E127</f>
        <v>0</v>
      </c>
      <c r="M5" s="294">
        <f>-REMUNERACION_ENERBIT!D68-REMUNERACION_ENERBIT!N68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ENERBIT'!D24</f>
        <v>0</v>
      </c>
      <c r="D6" s="294">
        <f>REMUNERACION_ENERBIT!G128</f>
        <v>0</v>
      </c>
      <c r="E6" s="294">
        <f>REMUNERACION_ENERBIT!D31+REMUNERACION_ENERBIT!N31</f>
        <v>0</v>
      </c>
      <c r="F6" s="294">
        <f>REMUNERACION_ENERBIT!I145</f>
        <v>0</v>
      </c>
      <c r="G6" s="294">
        <f>REMUNERACION_ENERBIT!H145</f>
        <v>0</v>
      </c>
      <c r="H6" s="342">
        <f t="shared" si="1"/>
        <v>0</v>
      </c>
      <c r="I6" s="293">
        <f>REMUNERACION_ENERBIT!D107</f>
        <v>0</v>
      </c>
      <c r="J6" s="294">
        <f>REMUNERACION_ENERBIT!N107</f>
        <v>0</v>
      </c>
      <c r="K6" s="294">
        <f>REMUNERACION_ENERBIT!D128</f>
        <v>0</v>
      </c>
      <c r="L6" s="355">
        <f>REMUNERACION_ENERBIT!E128</f>
        <v>0</v>
      </c>
      <c r="M6" s="294">
        <f>-REMUNERACION_ENERBIT!D69-REMUNERACION_ENERBIT!N69</f>
        <v>0</v>
      </c>
      <c r="N6" s="320">
        <f t="shared" ref="N6:N7" si="3">SUM(I6:M6)</f>
        <v>0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ENERBIT'!D25</f>
        <v>140424760</v>
      </c>
      <c r="D7" s="294">
        <f>REMUNERACION_ENERBIT!G129</f>
        <v>0</v>
      </c>
      <c r="E7" s="294">
        <f>REMUNERACION_ENERBIT!D32+REMUNERACION_ENERBIT!N32</f>
        <v>0</v>
      </c>
      <c r="F7" s="294">
        <f>REMUNERACION_ENERBIT!I146</f>
        <v>0</v>
      </c>
      <c r="G7" s="294">
        <f>REMUNERACION_ENERBIT!H146</f>
        <v>0</v>
      </c>
      <c r="H7" s="342">
        <f t="shared" si="1"/>
        <v>140424760</v>
      </c>
      <c r="I7" s="293">
        <f>REMUNERACION_ENERBIT!D108</f>
        <v>139510580</v>
      </c>
      <c r="J7" s="294">
        <f>REMUNERACION_ENERBIT!N108</f>
        <v>0</v>
      </c>
      <c r="K7" s="294">
        <f>REMUNERACION_ENERBIT!D129</f>
        <v>914180</v>
      </c>
      <c r="L7" s="355">
        <f>REMUNERACION_ENERBIT!E129</f>
        <v>0</v>
      </c>
      <c r="M7" s="294">
        <f>-REMUNERACION_ENERBIT!D70-REMUNERACION_ENERBIT!N70</f>
        <v>0</v>
      </c>
      <c r="N7" s="320">
        <f t="shared" si="3"/>
        <v>140424760</v>
      </c>
      <c r="O7" s="356">
        <f>H7-N7</f>
        <v>0</v>
      </c>
      <c r="P7" s="1" t="b">
        <f t="shared" si="2"/>
        <v>1</v>
      </c>
    </row>
    <row r="8" spans="2:16" s="357" customFormat="1" ht="13.8" thickBot="1" x14ac:dyDescent="0.3">
      <c r="B8" s="343" t="s">
        <v>89</v>
      </c>
      <c r="C8" s="319">
        <f>'Recaudo ENERBIT'!D26</f>
        <v>0</v>
      </c>
      <c r="D8" s="358">
        <f>REMUNERACION_ENERBIT!G130</f>
        <v>0</v>
      </c>
      <c r="E8" s="358">
        <f>REMUNERACION_ENERBIT!D33+REMUNERACION_ENERBIT!N33</f>
        <v>0</v>
      </c>
      <c r="F8" s="358">
        <f>REMUNERACION_ENERBIT!I147</f>
        <v>0</v>
      </c>
      <c r="G8" s="358">
        <f>REMUNERACION_ENERBIT!H147</f>
        <v>0</v>
      </c>
      <c r="H8" s="342">
        <f>SUM(C8:G8)</f>
        <v>0</v>
      </c>
      <c r="I8" s="359">
        <v>0</v>
      </c>
      <c r="J8" s="345">
        <v>0</v>
      </c>
      <c r="K8" s="345">
        <f>REMUNERACION_ENERBIT!D130</f>
        <v>0</v>
      </c>
      <c r="L8" s="355">
        <f>REMUNERACION_ENERBIT!E130</f>
        <v>0</v>
      </c>
      <c r="M8" s="358">
        <f>-REMUNERACION_ENERBIT!D71-REMUNERACION_ENERBIT!N71</f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.8" thickBot="1" x14ac:dyDescent="0.3">
      <c r="B9" s="329"/>
      <c r="C9" s="292">
        <f>SUM(C3:C8)</f>
        <v>140424760</v>
      </c>
      <c r="D9" s="292">
        <f t="shared" ref="D9:M9" si="4">SUM(D3:D8)</f>
        <v>0</v>
      </c>
      <c r="E9" s="292">
        <f t="shared" si="4"/>
        <v>0</v>
      </c>
      <c r="F9" s="292">
        <f t="shared" si="4"/>
        <v>0</v>
      </c>
      <c r="G9" s="292">
        <f t="shared" si="4"/>
        <v>0</v>
      </c>
      <c r="H9" s="292">
        <f t="shared" si="4"/>
        <v>140424760</v>
      </c>
      <c r="I9" s="292">
        <f t="shared" si="4"/>
        <v>139510580</v>
      </c>
      <c r="J9" s="292">
        <f t="shared" si="4"/>
        <v>0</v>
      </c>
      <c r="K9" s="292">
        <f t="shared" si="4"/>
        <v>914180</v>
      </c>
      <c r="L9" s="292">
        <f t="shared" si="4"/>
        <v>0</v>
      </c>
      <c r="M9" s="292">
        <f t="shared" si="4"/>
        <v>0</v>
      </c>
      <c r="N9" s="292">
        <f>SUM(N3:N8)</f>
        <v>140424760</v>
      </c>
      <c r="O9" s="361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140424760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B1" sqref="B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REMUNERACION_ENERBIT!D101</f>
        <v>46314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46296</v>
      </c>
      <c r="J7" s="2" t="s">
        <v>28</v>
      </c>
      <c r="K7" s="9">
        <f>REMUNERACION_ENERBIT!K102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1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3">
        <f>REMUNERACION_ENERBIT!D106</f>
        <v>0</v>
      </c>
      <c r="E11" s="723">
        <f>REMUNERACION_ENERBIT!E106</f>
        <v>0</v>
      </c>
      <c r="F11" s="723">
        <f>REMUNERACION_ENERBIT!F106</f>
        <v>0</v>
      </c>
      <c r="G11" s="723">
        <f>REMUNERACION_ENERBIT!G106</f>
        <v>0</v>
      </c>
      <c r="H11" s="723">
        <f>REMUNERACION_ENERBIT!H106</f>
        <v>0</v>
      </c>
      <c r="I11" s="723">
        <f>REMUNERACION_ENERBIT!I106</f>
        <v>0</v>
      </c>
      <c r="J11" s="723">
        <f>REMUNERACION_ENERBIT!J106</f>
        <v>0</v>
      </c>
      <c r="K11" s="724">
        <f t="shared" si="0"/>
        <v>0</v>
      </c>
      <c r="L11" s="723">
        <f>REMUNERACION_ENERBIT!L106</f>
        <v>0</v>
      </c>
      <c r="M11" s="724">
        <f>K11-L11</f>
        <v>0</v>
      </c>
      <c r="N11" s="723">
        <f>REMUNERACION_ENERBIT!N106</f>
        <v>0</v>
      </c>
      <c r="O11" s="724">
        <f t="shared" si="1"/>
        <v>0</v>
      </c>
      <c r="Q11" s="4"/>
      <c r="S11" s="16">
        <v>3</v>
      </c>
      <c r="T11" s="62" t="s">
        <v>12</v>
      </c>
      <c r="U11" s="723">
        <f>REMUNERACION_ENERBIT!U106</f>
        <v>0</v>
      </c>
      <c r="V11" s="723">
        <f>REMUNERACION_ENERBIT!V106</f>
        <v>0</v>
      </c>
      <c r="W11" s="723">
        <f>REMUNERACION_ENERBIT!W106</f>
        <v>0</v>
      </c>
      <c r="X11" s="723">
        <f>REMUNERACION_ENERBIT!X106</f>
        <v>0</v>
      </c>
      <c r="Y11" s="723">
        <f>REMUNERACION_ENERBIT!Y106</f>
        <v>0</v>
      </c>
      <c r="Z11" s="723">
        <f>REMUNERACION_ENERBIT!Z106</f>
        <v>0</v>
      </c>
      <c r="AA11" s="723">
        <f>REMUNERACION_ENERBIT!AA106</f>
        <v>0</v>
      </c>
      <c r="AB11" s="723">
        <f>REMUNERACION_ENERBIT!AB106</f>
        <v>0</v>
      </c>
      <c r="AC11" s="723">
        <f>REMUNERACION_ENERBIT!AC106</f>
        <v>0</v>
      </c>
      <c r="AD11" s="723">
        <f>REMUNERACION_ENERBIT!AD106</f>
        <v>0</v>
      </c>
      <c r="AE11" s="723">
        <f>REMUNERACION_ENERBIT!AE106</f>
        <v>0</v>
      </c>
      <c r="AF11" s="722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139510580</v>
      </c>
      <c r="E13" s="66">
        <f>REMUNERACION_ENERBIT!E108</f>
        <v>8666290.4399999995</v>
      </c>
      <c r="F13" s="66">
        <f>REMUNERACION_ENERBIT!F108</f>
        <v>4836297.78</v>
      </c>
      <c r="G13" s="66">
        <f>REMUNERACION_ENERBIT!G108</f>
        <v>2584164.52</v>
      </c>
      <c r="H13" s="66">
        <f>REMUNERACION_ENERBIT!H108</f>
        <v>38419843.039999999</v>
      </c>
      <c r="I13" s="66">
        <f>REMUNERACION_ENERBIT!I108</f>
        <v>1269098.3899999999</v>
      </c>
      <c r="J13" s="66">
        <f>REMUNERACION_ENERBIT!J108</f>
        <v>0</v>
      </c>
      <c r="K13" s="31">
        <f t="shared" si="0"/>
        <v>83734885.829999998</v>
      </c>
      <c r="L13" s="66">
        <f>REMUNERACION_ENERBIT!L108</f>
        <v>0</v>
      </c>
      <c r="M13" s="40">
        <f>K13-L13</f>
        <v>83734885.829999998</v>
      </c>
      <c r="N13" s="66">
        <f>REMUNERACION_ENERBIT!N108</f>
        <v>0</v>
      </c>
      <c r="O13" s="40">
        <f t="shared" si="1"/>
        <v>83734885.829999998</v>
      </c>
      <c r="Q13" s="4"/>
      <c r="S13" s="19">
        <v>5</v>
      </c>
      <c r="T13" s="63" t="s">
        <v>14</v>
      </c>
      <c r="U13" s="66">
        <f>REMUNERACION_ENERBIT!U108</f>
        <v>11146402.07</v>
      </c>
      <c r="V13" s="66">
        <f>REMUNERACION_ENERBIT!V108</f>
        <v>10565640.77</v>
      </c>
      <c r="W13" s="66">
        <f>REMUNERACION_ENERBIT!W108</f>
        <v>54685399.630000003</v>
      </c>
      <c r="X13" s="66">
        <f>REMUNERACION_ENERBIT!X108</f>
        <v>25943616.440000001</v>
      </c>
      <c r="Y13" s="66">
        <f>REMUNERACION_ENERBIT!Y108</f>
        <v>2070340.36</v>
      </c>
      <c r="Z13" s="66">
        <f>REMUNERACION_ENERBIT!Z108</f>
        <v>0</v>
      </c>
      <c r="AA13" s="66">
        <f>REMUNERACION_ENERBIT!AA108</f>
        <v>-206.46</v>
      </c>
      <c r="AB13" s="66">
        <f>REMUNERACION_ENERBIT!AB108</f>
        <v>0</v>
      </c>
      <c r="AC13" s="66">
        <f>REMUNERACION_ENERBIT!AC108</f>
        <v>-0.01</v>
      </c>
      <c r="AD13" s="66">
        <f>REMUNERACION_ENERBIT!AD108</f>
        <v>-20676306.969999999</v>
      </c>
      <c r="AE13" s="66">
        <f>REMUNERACION_ENERBIT!AE108</f>
        <v>-20676306.969999999</v>
      </c>
      <c r="AF13" s="70">
        <f>SUM(U13:AD13)</f>
        <v>83734885.829999998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139510580</v>
      </c>
      <c r="E14" s="43">
        <f t="shared" si="3"/>
        <v>8666290.4399999995</v>
      </c>
      <c r="F14" s="43">
        <f t="shared" si="3"/>
        <v>4836297.78</v>
      </c>
      <c r="G14" s="43">
        <f t="shared" si="3"/>
        <v>2584164.52</v>
      </c>
      <c r="H14" s="43">
        <f t="shared" si="3"/>
        <v>38419843.039999999</v>
      </c>
      <c r="I14" s="43">
        <f t="shared" si="3"/>
        <v>1269098.3899999999</v>
      </c>
      <c r="J14" s="43">
        <f t="shared" si="3"/>
        <v>0</v>
      </c>
      <c r="K14" s="32">
        <f t="shared" si="3"/>
        <v>83734885.829999998</v>
      </c>
      <c r="L14" s="23">
        <f t="shared" si="3"/>
        <v>0</v>
      </c>
      <c r="M14" s="76">
        <f t="shared" si="3"/>
        <v>83734885.829999998</v>
      </c>
      <c r="N14" s="23">
        <f t="shared" si="3"/>
        <v>0</v>
      </c>
      <c r="O14" s="76">
        <f t="shared" si="3"/>
        <v>83734885.829999998</v>
      </c>
      <c r="P14" s="2"/>
      <c r="Q14" s="4"/>
      <c r="S14" s="21"/>
      <c r="T14" s="22" t="s">
        <v>2</v>
      </c>
      <c r="U14" s="43">
        <f>SUM(U9:U13)</f>
        <v>11146402.07</v>
      </c>
      <c r="V14" s="43">
        <f t="shared" ref="V14:AG14" si="4">SUM(V9:V13)</f>
        <v>10565640.77</v>
      </c>
      <c r="W14" s="43">
        <f t="shared" si="4"/>
        <v>54685399.630000003</v>
      </c>
      <c r="X14" s="43">
        <f t="shared" si="4"/>
        <v>25943616.440000001</v>
      </c>
      <c r="Y14" s="43">
        <f t="shared" si="4"/>
        <v>2070340.36</v>
      </c>
      <c r="Z14" s="43">
        <f t="shared" si="4"/>
        <v>0</v>
      </c>
      <c r="AA14" s="43">
        <f t="shared" si="4"/>
        <v>-206.46</v>
      </c>
      <c r="AB14" s="43">
        <f t="shared" si="4"/>
        <v>0</v>
      </c>
      <c r="AC14" s="43">
        <f t="shared" si="4"/>
        <v>-0.01</v>
      </c>
      <c r="AD14" s="43">
        <f t="shared" si="4"/>
        <v>-20676306.969999999</v>
      </c>
      <c r="AE14" s="43">
        <f>SUM(AE9:AE13)</f>
        <v>-20676306.969999999</v>
      </c>
      <c r="AF14" s="68">
        <f t="shared" si="4"/>
        <v>83734885.829999998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46296</v>
      </c>
      <c r="J27" s="2" t="s">
        <v>28</v>
      </c>
      <c r="K27" s="9">
        <f>REMUNERACION_ENERBIT!K122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8">
        <f>REMUNERACION_ENERBIT!G125</f>
        <v>0</v>
      </c>
      <c r="H30" s="312">
        <f>REMUNERACION_ENERBIT!H125</f>
        <v>0</v>
      </c>
      <c r="I30" s="311">
        <f>REMUNERACION_ENERBIT!I125</f>
        <v>0</v>
      </c>
      <c r="J30" s="311">
        <f>REMUNERACION_ENERBIT!J125</f>
        <v>0</v>
      </c>
      <c r="K30" s="311">
        <f>REMUNERACION_ENERBIT!K125</f>
        <v>0</v>
      </c>
      <c r="L30" s="311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41">
        <f>REMUNERACION_ENERBIT!G126</f>
        <v>0</v>
      </c>
      <c r="H31" s="342">
        <f>REMUNERACION_ENERBIT!H126</f>
        <v>0</v>
      </c>
      <c r="I31" s="290">
        <f>REMUNERACION_ENERBIT!I126</f>
        <v>0</v>
      </c>
      <c r="J31" s="290">
        <f>REMUNERACION_ENERBIT!J126</f>
        <v>0</v>
      </c>
      <c r="K31" s="290">
        <f>REMUNERACION_ENERBIT!K126</f>
        <v>0</v>
      </c>
      <c r="L31" s="290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41">
        <f>REMUNERACION_ENERBIT!G127</f>
        <v>0</v>
      </c>
      <c r="H32" s="342">
        <f>REMUNERACION_ENERBIT!H127</f>
        <v>0</v>
      </c>
      <c r="I32" s="290">
        <f>REMUNERACION_ENERBIT!I127</f>
        <v>0</v>
      </c>
      <c r="J32" s="290">
        <f>REMUNERACION_ENERBIT!J127</f>
        <v>0</v>
      </c>
      <c r="K32" s="290">
        <f>REMUNERACION_ENERBIT!K127</f>
        <v>0</v>
      </c>
      <c r="L32" s="290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41">
        <f>REMUNERACION_ENERBIT!G128</f>
        <v>0</v>
      </c>
      <c r="H33" s="342">
        <f>REMUNERACION_ENERBIT!H128</f>
        <v>0</v>
      </c>
      <c r="I33" s="290">
        <f>REMUNERACION_ENERBIT!I128</f>
        <v>0</v>
      </c>
      <c r="J33" s="290">
        <f>REMUNERACION_ENERBIT!J128</f>
        <v>0</v>
      </c>
      <c r="K33" s="290">
        <f>REMUNERACION_ENERBIT!K128</f>
        <v>0</v>
      </c>
      <c r="L33" s="290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914180</v>
      </c>
      <c r="E34" s="139">
        <f>REMUNERACION_ENERBIT!E129</f>
        <v>0</v>
      </c>
      <c r="G34" s="341">
        <f>REMUNERACION_ENERBIT!G129</f>
        <v>0</v>
      </c>
      <c r="H34" s="342">
        <f>REMUNERACION_ENERBIT!H129</f>
        <v>0</v>
      </c>
      <c r="I34" s="290">
        <f>REMUNERACION_ENERBIT!I129</f>
        <v>0</v>
      </c>
      <c r="J34" s="290">
        <f>REMUNERACION_ENERBIT!J129</f>
        <v>0</v>
      </c>
      <c r="K34" s="290">
        <f>REMUNERACION_ENERBIT!K129</f>
        <v>0</v>
      </c>
      <c r="L34" s="290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914180</v>
      </c>
      <c r="E36" s="107">
        <f>REMUNERACION_ENERBIT!E131</f>
        <v>0</v>
      </c>
      <c r="F36" s="45"/>
      <c r="G36" s="352">
        <f t="shared" ref="G36:L36" si="6">SUM(G30:G34)</f>
        <v>0</v>
      </c>
      <c r="H36" s="352">
        <f t="shared" si="6"/>
        <v>0</v>
      </c>
      <c r="I36" s="352">
        <f t="shared" si="6"/>
        <v>0</v>
      </c>
      <c r="J36" s="352">
        <f t="shared" si="6"/>
        <v>0</v>
      </c>
      <c r="K36" s="352">
        <f t="shared" si="6"/>
        <v>0</v>
      </c>
      <c r="L36" s="352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9" t="b">
        <f>D14=REMUNERACION_ENERBIT!D109</f>
        <v>1</v>
      </c>
      <c r="E45" s="269" t="b">
        <f>E14=REMUNERACION_ENERBIT!E109</f>
        <v>1</v>
      </c>
      <c r="F45" s="269" t="b">
        <f>F14=REMUNERACION_ENERBIT!F109</f>
        <v>1</v>
      </c>
      <c r="G45" s="269" t="b">
        <f>G14=REMUNERACION_ENERBIT!G109</f>
        <v>1</v>
      </c>
      <c r="H45" s="269" t="b">
        <f>H14=REMUNERACION_ENERBIT!H109</f>
        <v>1</v>
      </c>
      <c r="I45" s="269" t="b">
        <f>I14=REMUNERACION_ENERBIT!I109</f>
        <v>1</v>
      </c>
      <c r="J45" s="269" t="b">
        <f>J14=REMUNERACION_ENERBIT!J109</f>
        <v>1</v>
      </c>
      <c r="K45" s="269" t="b">
        <f>K14=REMUNERACION_ENERBIT!K109</f>
        <v>1</v>
      </c>
      <c r="L45" s="269" t="b">
        <f>L14=REMUNERACION_ENERBIT!L109</f>
        <v>1</v>
      </c>
      <c r="M45" s="269" t="b">
        <f>M14=REMUNERACION_ENERBIT!M109</f>
        <v>1</v>
      </c>
      <c r="N45" s="269" t="b">
        <f>N14=REMUNERACION_ENERBIT!N109</f>
        <v>1</v>
      </c>
      <c r="O45" s="269" t="b">
        <f>O14=REMUNERACION_ENERBIT!O109</f>
        <v>1</v>
      </c>
      <c r="Q45" s="24"/>
      <c r="T45" s="24"/>
    </row>
    <row r="46" spans="1:20" x14ac:dyDescent="0.2">
      <c r="D46" s="269" t="b">
        <f>D36=REMUNERACION_ENERBIT!D131</f>
        <v>1</v>
      </c>
      <c r="E46" s="269" t="b">
        <f>E36=REMUNERACION_ENERBIT!E131</f>
        <v>1</v>
      </c>
      <c r="F46" s="269" t="b">
        <f>F36=REMUNERACION_ENERBIT!F131</f>
        <v>1</v>
      </c>
      <c r="G46" s="269" t="b">
        <f>G36=REMUNERACION_ENERBIT!G131</f>
        <v>1</v>
      </c>
      <c r="H46" s="269" t="b">
        <f>H36=REMUNERACION_ENERBIT!H131</f>
        <v>1</v>
      </c>
      <c r="I46" s="269" t="b">
        <f>I36=REMUNERACION_ENERBIT!I131</f>
        <v>1</v>
      </c>
      <c r="J46" s="269" t="b">
        <f>J36=REMUNERACION_ENERBIT!J131</f>
        <v>1</v>
      </c>
      <c r="K46" s="269" t="b">
        <f>K36=REMUNERACION_ENERBIT!K131</f>
        <v>1</v>
      </c>
      <c r="L46" s="269" t="b">
        <f>L36=REMUNERACION_ENERBIT!L131</f>
        <v>1</v>
      </c>
      <c r="M46" s="269" t="b">
        <f>M36=REMUNERACION_ENERBIT!M131</f>
        <v>1</v>
      </c>
      <c r="N46" s="269" t="b">
        <f>N36=REMUNERACION_ENERBIT!N131</f>
        <v>1</v>
      </c>
      <c r="O46" s="269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6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'CONSOLIDADO_TOTAL RECAUDO'!D6</f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2:35" s="307" customFormat="1" ht="12" x14ac:dyDescent="0.25">
      <c r="B9" s="305">
        <v>1</v>
      </c>
      <c r="C9" s="306" t="s">
        <v>10</v>
      </c>
      <c r="D9" s="293">
        <f>'Reporte Componentes R1'!F78</f>
        <v>343622283.84999996</v>
      </c>
      <c r="E9" s="294">
        <f>'Reporte Componentes R1'!G78</f>
        <v>33575652.270000003</v>
      </c>
      <c r="F9" s="294">
        <f>'Reporte Componentes R1'!H78</f>
        <v>18677541.399999999</v>
      </c>
      <c r="G9" s="294">
        <f>'Reporte Componentes R1'!I78</f>
        <v>9986351.4199999999</v>
      </c>
      <c r="H9" s="294">
        <f>'Reporte Componentes R1'!J78</f>
        <v>39089724.609999999</v>
      </c>
      <c r="I9" s="294">
        <f>'Reporte Componentes R1'!K78</f>
        <v>1161132.96</v>
      </c>
      <c r="J9" s="290">
        <v>0</v>
      </c>
      <c r="K9" s="295">
        <f>D9-E9-F9-G9-H9-I9-J9</f>
        <v>241131881.18999997</v>
      </c>
      <c r="L9" s="296">
        <v>0</v>
      </c>
      <c r="M9" s="295">
        <f>K9-L9</f>
        <v>241131881.18999997</v>
      </c>
      <c r="N9" s="296">
        <f>'Reporte Componentes R1'!L78</f>
        <v>9993768.9299999997</v>
      </c>
      <c r="O9" s="295">
        <f>M9+N9</f>
        <v>251125650.11999997</v>
      </c>
      <c r="Q9" s="308"/>
      <c r="S9" s="305">
        <v>1</v>
      </c>
      <c r="T9" s="306" t="s">
        <v>10</v>
      </c>
      <c r="U9" s="309">
        <f>'Reporte Componentes R1'!M78</f>
        <v>10145988.310000001</v>
      </c>
      <c r="V9" s="310">
        <f>'Reporte Componentes R1'!N78</f>
        <v>12931732.52</v>
      </c>
      <c r="W9" s="310">
        <f>'Reporte Componentes R1'!O78</f>
        <v>61145164.829999998</v>
      </c>
      <c r="X9" s="310">
        <f>'Reporte Componentes R1'!P78</f>
        <v>91644421.670000002</v>
      </c>
      <c r="Y9" s="311">
        <f>'Reporte Componentes R1'!Q78</f>
        <v>1896218.09</v>
      </c>
      <c r="Z9" s="312">
        <f>L9*-1</f>
        <v>0</v>
      </c>
      <c r="AA9" s="313">
        <f>'Reporte Componentes R1'!R78+'Reporte Componentes R1'!V78+'Reporte Componentes R1'!U78</f>
        <v>-3576.32</v>
      </c>
      <c r="AB9" s="296">
        <f>N9</f>
        <v>9993768.9299999997</v>
      </c>
      <c r="AC9" s="313">
        <f>'Reporte Componentes R1'!T78+'Reporte Componentes R1'!W78+'Reporte Componentes R1'!X78+'Reporte Componentes R1'!Y78+'Reporte Componentes R1'!Z78+'Reporte Componentes R1'!S78</f>
        <v>0.09</v>
      </c>
      <c r="AD9" s="293">
        <f>-J9+AE9</f>
        <v>63371932</v>
      </c>
      <c r="AE9" s="293">
        <f>'Reporte Componentes R1'!F79</f>
        <v>63371932</v>
      </c>
      <c r="AF9" s="315">
        <f>SUM(U9:AD9)</f>
        <v>251125650.12</v>
      </c>
      <c r="AG9" s="313">
        <f>(AF9-O9)</f>
        <v>2.9802322387695313E-8</v>
      </c>
      <c r="AH9" s="1" t="b">
        <f>INT(AG9)=0</f>
        <v>1</v>
      </c>
      <c r="AI9" s="308"/>
    </row>
    <row r="10" spans="2:35" s="307" customFormat="1" ht="12" x14ac:dyDescent="0.25">
      <c r="B10" s="316">
        <v>2</v>
      </c>
      <c r="C10" s="317" t="s">
        <v>11</v>
      </c>
      <c r="D10" s="293">
        <f>'Reporte Componentes R1'!F211</f>
        <v>938887942.42999995</v>
      </c>
      <c r="E10" s="294">
        <f>'Reporte Componentes R1'!G211</f>
        <v>112235893.08000001</v>
      </c>
      <c r="F10" s="294">
        <f>'Reporte Componentes R1'!H211</f>
        <v>61923523.419999994</v>
      </c>
      <c r="G10" s="294">
        <f>'Reporte Componentes R1'!I211</f>
        <v>32710708.530000001</v>
      </c>
      <c r="H10" s="294">
        <f>'Reporte Componentes R1'!J211</f>
        <v>115849534.41</v>
      </c>
      <c r="I10" s="294">
        <f>'Reporte Componentes R1'!K211</f>
        <v>3009246.5900000003</v>
      </c>
      <c r="J10" s="290">
        <v>0</v>
      </c>
      <c r="K10" s="297">
        <f t="shared" ref="K10:K13" si="0">D10-E10-F10-G10-H10-I10-J10</f>
        <v>613159036.39999998</v>
      </c>
      <c r="L10" s="296">
        <v>0</v>
      </c>
      <c r="M10" s="297">
        <f>K10-L10</f>
        <v>613159036.39999998</v>
      </c>
      <c r="N10" s="296">
        <f>'Reporte Componentes R1'!L211</f>
        <v>3112272.6</v>
      </c>
      <c r="O10" s="297">
        <f t="shared" ref="O10:O12" si="1">M10+N10</f>
        <v>616271309</v>
      </c>
      <c r="Q10" s="308"/>
      <c r="S10" s="316">
        <v>2</v>
      </c>
      <c r="T10" s="317" t="s">
        <v>11</v>
      </c>
      <c r="U10" s="318">
        <f>'Reporte Componentes R1'!M211</f>
        <v>27095534.309999999</v>
      </c>
      <c r="V10" s="319">
        <f>'Reporte Componentes R1'!N211</f>
        <v>36403592.039999999</v>
      </c>
      <c r="W10" s="319">
        <f>'Reporte Componentes R1'!O211</f>
        <v>171364252.19999999</v>
      </c>
      <c r="X10" s="319">
        <f>'Reporte Componentes R1'!P211</f>
        <v>222821524.41</v>
      </c>
      <c r="Y10" s="320">
        <f>'Reporte Componentes R1'!Q211</f>
        <v>4929952.6100000003</v>
      </c>
      <c r="Z10" s="321">
        <f>L10*-1</f>
        <v>0</v>
      </c>
      <c r="AA10" s="322">
        <f>'Reporte Componentes R1'!R211+'Reporte Componentes R1'!V211+'Reporte Componentes R1'!U211</f>
        <v>-946.54</v>
      </c>
      <c r="AB10" s="296">
        <f>N10</f>
        <v>3112272.6</v>
      </c>
      <c r="AC10" s="322">
        <f>'Reporte Componentes R1'!T211+'Reporte Componentes R1'!W211+'Reporte Componentes R1'!X211+'Reporte Componentes R1'!Y211+'Reporte Componentes R1'!Z211+'Reporte Componentes R1'!S211</f>
        <v>-56258.879999999997</v>
      </c>
      <c r="AD10" s="293">
        <f t="shared" ref="AD10:AD13" si="2">-J10+AE10</f>
        <v>150601386.25</v>
      </c>
      <c r="AE10" s="293">
        <f>'Reporte Componentes R1'!F212</f>
        <v>150601386.25</v>
      </c>
      <c r="AF10" s="324">
        <f>SUM(U10:AD10)</f>
        <v>616271309</v>
      </c>
      <c r="AG10" s="325">
        <f>(AF10-O10)</f>
        <v>0</v>
      </c>
      <c r="AH10" s="1" t="b">
        <f t="shared" ref="AH10:AH14" si="3">INT(AG10)=0</f>
        <v>1</v>
      </c>
      <c r="AI10" s="308"/>
    </row>
    <row r="11" spans="2:35" s="307" customFormat="1" ht="12" x14ac:dyDescent="0.25">
      <c r="B11" s="316">
        <v>3</v>
      </c>
      <c r="C11" s="317" t="s">
        <v>12</v>
      </c>
      <c r="D11" s="293">
        <f>'Reporte Componentes R1'!F339</f>
        <v>427389334.19</v>
      </c>
      <c r="E11" s="294">
        <f>'Reporte Componentes R1'!G339</f>
        <v>49563321.700000003</v>
      </c>
      <c r="F11" s="294">
        <f>'Reporte Componentes R1'!H339</f>
        <v>27986809.16</v>
      </c>
      <c r="G11" s="294">
        <f>'Reporte Componentes R1'!I339</f>
        <v>14662575.93</v>
      </c>
      <c r="H11" s="294">
        <f>'Reporte Componentes R1'!J339</f>
        <v>22403066.969999999</v>
      </c>
      <c r="I11" s="294">
        <f>'Reporte Componentes R1'!K339</f>
        <v>650470.14</v>
      </c>
      <c r="J11" s="290">
        <v>0</v>
      </c>
      <c r="K11" s="297">
        <f t="shared" si="0"/>
        <v>312123090.28999996</v>
      </c>
      <c r="L11" s="296">
        <v>0</v>
      </c>
      <c r="M11" s="297">
        <f>K11-L11</f>
        <v>312123090.28999996</v>
      </c>
      <c r="N11" s="296">
        <f>'Reporte Componentes R1'!L339</f>
        <v>4811611.8099999996</v>
      </c>
      <c r="O11" s="297">
        <f t="shared" si="1"/>
        <v>316934702.09999996</v>
      </c>
      <c r="Q11" s="308"/>
      <c r="S11" s="316">
        <v>3</v>
      </c>
      <c r="T11" s="317" t="s">
        <v>12</v>
      </c>
      <c r="U11" s="318">
        <f>'Reporte Componentes R1'!M339</f>
        <v>5717940.3899999997</v>
      </c>
      <c r="V11" s="319">
        <f>'Reporte Componentes R1'!N339</f>
        <v>7429546.7400000002</v>
      </c>
      <c r="W11" s="319">
        <f>'Reporte Componentes R1'!O339</f>
        <v>35091268.950000003</v>
      </c>
      <c r="X11" s="319">
        <f>'Reporte Componentes R1'!P339</f>
        <v>117367146.56</v>
      </c>
      <c r="Y11" s="320">
        <f>'Reporte Componentes R1'!Q339</f>
        <v>1068975.6200000001</v>
      </c>
      <c r="Z11" s="321">
        <f>L11*-1</f>
        <v>0</v>
      </c>
      <c r="AA11" s="322">
        <f>'Reporte Componentes R1'!R339+'Reporte Componentes R1'!V339+'Reporte Componentes R1'!U339</f>
        <v>794.57</v>
      </c>
      <c r="AB11" s="296">
        <f>N11</f>
        <v>4811611.8099999996</v>
      </c>
      <c r="AC11" s="322">
        <f>'Reporte Componentes R1'!T339+'Reporte Componentes R1'!W339+'Reporte Componentes R1'!X339+'Reporte Componentes R1'!Y339+'Reporte Componentes R1'!Z339+'Reporte Componentes R1'!S339</f>
        <v>-41621.01</v>
      </c>
      <c r="AD11" s="293">
        <f t="shared" si="2"/>
        <v>145489038.47</v>
      </c>
      <c r="AE11" s="293">
        <f>'Reporte Componentes R1'!F340</f>
        <v>145489038.47</v>
      </c>
      <c r="AF11" s="324">
        <f t="shared" ref="AF11:AF13" si="4">SUM(U11:AD11)</f>
        <v>316934702.10000002</v>
      </c>
      <c r="AG11" s="325">
        <f>(AF11-O11)</f>
        <v>5.9604644775390625E-8</v>
      </c>
      <c r="AH11" s="1" t="b">
        <f t="shared" si="3"/>
        <v>1</v>
      </c>
      <c r="AI11" s="308"/>
    </row>
    <row r="12" spans="2:35" s="307" customFormat="1" ht="12" x14ac:dyDescent="0.25">
      <c r="B12" s="316">
        <v>4</v>
      </c>
      <c r="C12" s="317" t="s">
        <v>13</v>
      </c>
      <c r="D12" s="293">
        <f>'Reporte Componentes R1'!F459</f>
        <v>591576272.25</v>
      </c>
      <c r="E12" s="294">
        <f>'Reporte Componentes R1'!G459</f>
        <v>51968608.700000003</v>
      </c>
      <c r="F12" s="294">
        <f>'Reporte Componentes R1'!H459</f>
        <v>28536202.579999998</v>
      </c>
      <c r="G12" s="294">
        <f>'Reporte Componentes R1'!I459</f>
        <v>15601614.379999999</v>
      </c>
      <c r="H12" s="294">
        <f>'Reporte Componentes R1'!J459</f>
        <v>63842506.890000001</v>
      </c>
      <c r="I12" s="294">
        <f>'Reporte Componentes R1'!K459</f>
        <v>1834230.87</v>
      </c>
      <c r="J12" s="290">
        <v>0</v>
      </c>
      <c r="K12" s="297">
        <f t="shared" si="0"/>
        <v>429793108.82999998</v>
      </c>
      <c r="L12" s="296">
        <v>0</v>
      </c>
      <c r="M12" s="297">
        <f>K12-L12</f>
        <v>429793108.82999998</v>
      </c>
      <c r="N12" s="296">
        <f>'Reporte Componentes R1'!L459</f>
        <v>670762.75</v>
      </c>
      <c r="O12" s="297">
        <f t="shared" si="1"/>
        <v>430463871.57999998</v>
      </c>
      <c r="Q12" s="308"/>
      <c r="S12" s="316">
        <v>4</v>
      </c>
      <c r="T12" s="317" t="s">
        <v>13</v>
      </c>
      <c r="U12" s="318">
        <f>'Reporte Componentes R1'!M459</f>
        <v>15938453.139999999</v>
      </c>
      <c r="V12" s="319">
        <f>'Reporte Componentes R1'!N459</f>
        <v>20773252.469999999</v>
      </c>
      <c r="W12" s="319">
        <f>'Reporte Componentes R1'!O459</f>
        <v>105437282.53999999</v>
      </c>
      <c r="X12" s="319">
        <f>'Reporte Componentes R1'!P459</f>
        <v>137627703.06</v>
      </c>
      <c r="Y12" s="320">
        <f>'Reporte Componentes R1'!Q459</f>
        <v>3013452.85</v>
      </c>
      <c r="Z12" s="321">
        <f>L12*-1</f>
        <v>0</v>
      </c>
      <c r="AA12" s="322">
        <f>'Reporte Componentes R1'!R459+'Reporte Componentes R1'!V459+'Reporte Componentes R1'!U459</f>
        <v>320.17</v>
      </c>
      <c r="AB12" s="296">
        <f>N12</f>
        <v>670762.75</v>
      </c>
      <c r="AC12" s="322">
        <f>'Reporte Componentes R1'!T459+'Reporte Componentes R1'!W459+'Reporte Componentes R1'!X459+'Reporte Componentes R1'!Y459+'Reporte Componentes R1'!Z459+'Reporte Componentes R1'!S459</f>
        <v>0.19999999999999998</v>
      </c>
      <c r="AD12" s="293">
        <f t="shared" si="2"/>
        <v>147002644.40000001</v>
      </c>
      <c r="AE12" s="293">
        <f>'Reporte Componentes R1'!F460</f>
        <v>147002644.40000001</v>
      </c>
      <c r="AF12" s="324">
        <f t="shared" si="4"/>
        <v>430463871.58000004</v>
      </c>
      <c r="AG12" s="325">
        <f>(AF12-O12)</f>
        <v>5.9604644775390625E-8</v>
      </c>
      <c r="AH12" s="1" t="b">
        <f t="shared" si="3"/>
        <v>1</v>
      </c>
      <c r="AI12" s="308"/>
    </row>
    <row r="13" spans="2:35" s="307" customFormat="1" ht="12.6" thickBot="1" x14ac:dyDescent="0.3">
      <c r="B13" s="326">
        <v>5</v>
      </c>
      <c r="C13" s="327" t="s">
        <v>14</v>
      </c>
      <c r="D13" s="298">
        <f>'Reporte Componentes R1'!F533</f>
        <v>171565271.81</v>
      </c>
      <c r="E13" s="299">
        <f>'Reporte Componentes R1'!G533</f>
        <v>16252936.57</v>
      </c>
      <c r="F13" s="299">
        <f>'Reporte Componentes R1'!H533</f>
        <v>8882611.3300000001</v>
      </c>
      <c r="G13" s="299">
        <f>'Reporte Componentes R1'!I533</f>
        <v>4769708.84</v>
      </c>
      <c r="H13" s="299">
        <f>'Reporte Componentes R1'!J533</f>
        <v>12689130.529999999</v>
      </c>
      <c r="I13" s="299">
        <f>'Reporte Componentes R1'!K533</f>
        <v>523491.14</v>
      </c>
      <c r="J13" s="291">
        <v>0</v>
      </c>
      <c r="K13" s="297">
        <f t="shared" si="0"/>
        <v>128447393.39999999</v>
      </c>
      <c r="L13" s="296">
        <v>0</v>
      </c>
      <c r="M13" s="300">
        <f>K13-L13</f>
        <v>128447393.39999999</v>
      </c>
      <c r="N13" s="301">
        <f>'Reporte Componentes R1'!L533</f>
        <v>1908241.19</v>
      </c>
      <c r="O13" s="300">
        <f>M13+N13</f>
        <v>130355634.58999999</v>
      </c>
      <c r="Q13" s="308"/>
      <c r="S13" s="326">
        <v>5</v>
      </c>
      <c r="T13" s="327" t="s">
        <v>14</v>
      </c>
      <c r="U13" s="298">
        <f>'Reporte Componentes R1'!M533</f>
        <v>4671973.0999999996</v>
      </c>
      <c r="V13" s="299">
        <f>'Reporte Componentes R1'!N533</f>
        <v>5604579.4400000004</v>
      </c>
      <c r="W13" s="299">
        <f>'Reporte Componentes R1'!O533</f>
        <v>30069445.420000002</v>
      </c>
      <c r="X13" s="299">
        <f>'Reporte Componentes R1'!P533</f>
        <v>48380758.240000002</v>
      </c>
      <c r="Y13" s="291">
        <f>'Reporte Componentes R1'!Q533</f>
        <v>859953.88</v>
      </c>
      <c r="Z13" s="321">
        <f>L13*-1</f>
        <v>0</v>
      </c>
      <c r="AA13" s="322">
        <f>'Reporte Componentes R1'!R533+'Reporte Componentes R1'!V533+'Reporte Componentes R1'!U533</f>
        <v>-712.59</v>
      </c>
      <c r="AB13" s="296">
        <f>N13</f>
        <v>1908241.19</v>
      </c>
      <c r="AC13" s="322">
        <f>'Reporte Componentes R1'!T533+'Reporte Componentes R1'!W533+'Reporte Componentes R1'!X533+'Reporte Componentes R1'!Y533+'Reporte Componentes R1'!Z533+'Reporte Componentes R1'!S533</f>
        <v>4.9999999999999996E-2</v>
      </c>
      <c r="AD13" s="293">
        <f t="shared" si="2"/>
        <v>38861395.859999999</v>
      </c>
      <c r="AE13" s="293">
        <f>'Reporte Componentes R1'!F534</f>
        <v>38861395.859999999</v>
      </c>
      <c r="AF13" s="324">
        <f t="shared" si="4"/>
        <v>130355634.58999999</v>
      </c>
      <c r="AG13" s="328">
        <f>(AF13-O13)</f>
        <v>0</v>
      </c>
      <c r="AH13" s="1" t="b">
        <f t="shared" si="3"/>
        <v>1</v>
      </c>
      <c r="AI13" s="308"/>
    </row>
    <row r="14" spans="2:35" s="307" customFormat="1" ht="13.8" thickBot="1" x14ac:dyDescent="0.3">
      <c r="B14" s="329"/>
      <c r="C14" s="330" t="s">
        <v>2</v>
      </c>
      <c r="D14" s="292">
        <f>SUM(D9:D13)</f>
        <v>2473041104.5300002</v>
      </c>
      <c r="E14" s="292">
        <f t="shared" ref="E14:O14" si="5">SUM(E9:E13)</f>
        <v>263596412.31999999</v>
      </c>
      <c r="F14" s="292">
        <f t="shared" si="5"/>
        <v>146006687.89000002</v>
      </c>
      <c r="G14" s="292">
        <f t="shared" si="5"/>
        <v>77730959.100000009</v>
      </c>
      <c r="H14" s="292">
        <f t="shared" si="5"/>
        <v>253873963.41</v>
      </c>
      <c r="I14" s="292">
        <f t="shared" si="5"/>
        <v>7178571.7000000002</v>
      </c>
      <c r="J14" s="292">
        <f t="shared" si="5"/>
        <v>0</v>
      </c>
      <c r="K14" s="302">
        <f t="shared" si="5"/>
        <v>1724654510.1099999</v>
      </c>
      <c r="L14" s="303">
        <f>SUM(L9:L13)</f>
        <v>0</v>
      </c>
      <c r="M14" s="304">
        <f t="shared" si="5"/>
        <v>1724654510.1099999</v>
      </c>
      <c r="N14" s="303">
        <f t="shared" si="5"/>
        <v>20496657.280000001</v>
      </c>
      <c r="O14" s="304">
        <f t="shared" si="5"/>
        <v>1745151167.3899999</v>
      </c>
      <c r="P14" s="331"/>
      <c r="Q14" s="308"/>
      <c r="S14" s="329"/>
      <c r="T14" s="330" t="s">
        <v>2</v>
      </c>
      <c r="U14" s="332">
        <f>SUM(U9:U13)</f>
        <v>63569889.25</v>
      </c>
      <c r="V14" s="332">
        <f t="shared" ref="V14:AF14" si="6">SUM(V9:V13)</f>
        <v>83142703.210000008</v>
      </c>
      <c r="W14" s="332">
        <f t="shared" si="6"/>
        <v>403107413.94</v>
      </c>
      <c r="X14" s="332">
        <f t="shared" si="6"/>
        <v>617841553.94000006</v>
      </c>
      <c r="Y14" s="332">
        <f t="shared" si="6"/>
        <v>11768553.050000001</v>
      </c>
      <c r="Z14" s="292">
        <f t="shared" si="6"/>
        <v>0</v>
      </c>
      <c r="AA14" s="292">
        <f t="shared" si="6"/>
        <v>-4120.71</v>
      </c>
      <c r="AB14" s="292">
        <f t="shared" si="6"/>
        <v>20496657.280000001</v>
      </c>
      <c r="AC14" s="292">
        <f t="shared" si="6"/>
        <v>-97879.55</v>
      </c>
      <c r="AD14" s="292">
        <f>SUM(AD9:AD13)</f>
        <v>545326396.98000002</v>
      </c>
      <c r="AE14" s="292">
        <f>SUM(AE9:AE13)</f>
        <v>545326396.98000002</v>
      </c>
      <c r="AF14" s="333">
        <f t="shared" si="6"/>
        <v>1745151167.3900001</v>
      </c>
      <c r="AG14" s="334">
        <f>SUM(AG9:AG13)</f>
        <v>1.4901161193847656E-7</v>
      </c>
      <c r="AH14" s="1" t="b">
        <f t="shared" si="3"/>
        <v>1</v>
      </c>
      <c r="AI14" s="308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1179430113.3900001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ht="12" x14ac:dyDescent="0.25">
      <c r="B28" s="305">
        <v>1</v>
      </c>
      <c r="C28" s="306" t="s">
        <v>10</v>
      </c>
      <c r="D28" s="293">
        <f>'Rem. Anticipos R2'!E55</f>
        <v>3856721.63</v>
      </c>
      <c r="E28" s="294">
        <f>'Rem. Anticipos R2'!F55</f>
        <v>134303.24</v>
      </c>
      <c r="F28" s="294">
        <f>'Rem. Anticipos R2'!G55</f>
        <v>119604.27</v>
      </c>
      <c r="G28" s="294">
        <f>'Rem. Anticipos R2'!H55</f>
        <v>39265.18</v>
      </c>
      <c r="H28" s="294">
        <f>'Rem. Anticipos R2'!I55</f>
        <v>753655.99</v>
      </c>
      <c r="I28" s="294">
        <f>'Rem. Anticipos R2'!J55</f>
        <v>36775.83</v>
      </c>
      <c r="J28" s="290">
        <v>0</v>
      </c>
      <c r="K28" s="295">
        <f>D28-E28-F28-G28-H28-I28-J28</f>
        <v>2773117.1199999992</v>
      </c>
      <c r="L28" s="296">
        <v>0</v>
      </c>
      <c r="M28" s="295">
        <f>K28-L28</f>
        <v>2773117.1199999992</v>
      </c>
      <c r="N28" s="296">
        <f>'Rem. Anticipos R2'!K55</f>
        <v>0</v>
      </c>
      <c r="O28" s="295">
        <f>M28+N28</f>
        <v>2773117.1199999992</v>
      </c>
      <c r="Q28" s="308"/>
      <c r="S28" s="305">
        <v>1</v>
      </c>
      <c r="T28" s="306" t="s">
        <v>10</v>
      </c>
      <c r="U28" s="309">
        <f>'Rem. Anticipos R2'!L55</f>
        <v>262580.99</v>
      </c>
      <c r="V28" s="310">
        <f>'Rem. Anticipos R2'!M55</f>
        <v>210708.4</v>
      </c>
      <c r="W28" s="310">
        <f>'Rem. Anticipos R2'!N55</f>
        <v>956990.57</v>
      </c>
      <c r="X28" s="310">
        <f>'Rem. Anticipos R2'!O55</f>
        <v>424487.77</v>
      </c>
      <c r="Y28" s="310">
        <f>'Rem. Anticipos R2'!P55</f>
        <v>57032.49</v>
      </c>
      <c r="Z28" s="312">
        <f>L28*-1</f>
        <v>0</v>
      </c>
      <c r="AA28" s="313">
        <f>'Rem. Anticipos R2'!Q55</f>
        <v>118.92</v>
      </c>
      <c r="AB28" s="296">
        <f>N28</f>
        <v>0</v>
      </c>
      <c r="AC28" s="313">
        <f>'Rem. Anticipos R2'!R55</f>
        <v>0</v>
      </c>
      <c r="AD28" s="293">
        <f>-J28+AE28</f>
        <v>861197.98</v>
      </c>
      <c r="AE28" s="293">
        <f>'Rem. Anticipos R2'!E56</f>
        <v>861197.98</v>
      </c>
      <c r="AF28" s="315">
        <f>SUM(U28:AD28)</f>
        <v>2773117.12</v>
      </c>
      <c r="AG28" s="313">
        <f>(AF28-O28)</f>
        <v>9.3132257461547852E-10</v>
      </c>
      <c r="AH28" s="1" t="b">
        <f>INT(AG28)=0</f>
        <v>1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R2'!E158</f>
        <v>44529691.310000002</v>
      </c>
      <c r="E29" s="294">
        <f>'Rem. Anticipos R2'!F158</f>
        <v>3456309.44</v>
      </c>
      <c r="F29" s="294">
        <f>'Rem. Anticipos R2'!G158</f>
        <v>1929233.5</v>
      </c>
      <c r="G29" s="294">
        <f>'Rem. Anticipos R2'!H158</f>
        <v>966465.04</v>
      </c>
      <c r="H29" s="294">
        <f>'Rem. Anticipos R2'!I158</f>
        <v>6899253.7599999998</v>
      </c>
      <c r="I29" s="294">
        <f>'Rem. Anticipos R2'!J158</f>
        <v>262196.64</v>
      </c>
      <c r="J29" s="290">
        <v>0</v>
      </c>
      <c r="K29" s="297">
        <f t="shared" ref="K29:K31" si="7">D29-E29-F29-G29-H29-I29-J29</f>
        <v>31016232.930000007</v>
      </c>
      <c r="L29" s="296">
        <v>0</v>
      </c>
      <c r="M29" s="297">
        <f>K29-L29</f>
        <v>31016232.930000007</v>
      </c>
      <c r="N29" s="296">
        <f>'Rem. Anticipos R2'!K158</f>
        <v>0</v>
      </c>
      <c r="O29" s="297">
        <f t="shared" ref="O29:O32" si="8">M29+N29</f>
        <v>31016232.930000007</v>
      </c>
      <c r="Q29" s="308"/>
      <c r="S29" s="316">
        <v>2</v>
      </c>
      <c r="T29" s="317" t="s">
        <v>11</v>
      </c>
      <c r="U29" s="318">
        <f>'Rem. Anticipos R2'!L158</f>
        <v>2426985.12</v>
      </c>
      <c r="V29" s="319">
        <f>'Rem. Anticipos R2'!M158</f>
        <v>2181405.16</v>
      </c>
      <c r="W29" s="319">
        <f>'Rem. Anticipos R2'!N158</f>
        <v>9267805.0299999993</v>
      </c>
      <c r="X29" s="319">
        <f>'Rem. Anticipos R2'!O158</f>
        <v>7182577.2000000002</v>
      </c>
      <c r="Y29" s="320">
        <f>'Rem. Anticipos R2'!P158</f>
        <v>370589.99</v>
      </c>
      <c r="Z29" s="321">
        <f>L29*-1</f>
        <v>0</v>
      </c>
      <c r="AA29" s="322">
        <f>'Rem. Anticipos R2'!Q158</f>
        <v>-6.1499999999999986</v>
      </c>
      <c r="AB29" s="296">
        <f>N29</f>
        <v>0</v>
      </c>
      <c r="AC29" s="322">
        <f>'Rem. Anticipos R2'!R158</f>
        <v>6759348.8099999996</v>
      </c>
      <c r="AD29" s="293">
        <f>-J29+AE29</f>
        <v>2827527.77</v>
      </c>
      <c r="AE29" s="293">
        <f>'Rem. Anticipos R2'!E159</f>
        <v>2827527.77</v>
      </c>
      <c r="AF29" s="324">
        <f>SUM(U29:AD29)</f>
        <v>31016232.929999996</v>
      </c>
      <c r="AG29" s="325">
        <f>(AF29-O29)</f>
        <v>-1.1175870895385742E-8</v>
      </c>
      <c r="AH29" s="1" t="b">
        <f t="shared" ref="AH29:AH33" si="9">INT(AG29)=0</f>
        <v>0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R2'!E271</f>
        <v>2205351.2800000003</v>
      </c>
      <c r="E30" s="294">
        <f>'Rem. Anticipos R2'!F271</f>
        <v>237326.89</v>
      </c>
      <c r="F30" s="294">
        <f>'Rem. Anticipos R2'!G271</f>
        <v>130621.06</v>
      </c>
      <c r="G30" s="294">
        <f>'Rem. Anticipos R2'!H271</f>
        <v>66543.59</v>
      </c>
      <c r="H30" s="294">
        <f>'Rem. Anticipos R2'!I271</f>
        <v>144048.37</v>
      </c>
      <c r="I30" s="294">
        <f>'Rem. Anticipos R2'!J271</f>
        <v>5752.44</v>
      </c>
      <c r="J30" s="290">
        <v>0</v>
      </c>
      <c r="K30" s="297">
        <f t="shared" si="7"/>
        <v>1621058.9300000002</v>
      </c>
      <c r="L30" s="296">
        <v>0</v>
      </c>
      <c r="M30" s="297">
        <f>K30-L30</f>
        <v>1621058.9300000002</v>
      </c>
      <c r="N30" s="296">
        <f>'Rem. Anticipos R2'!K271</f>
        <v>0</v>
      </c>
      <c r="O30" s="297">
        <f t="shared" si="8"/>
        <v>1621058.9300000002</v>
      </c>
      <c r="Q30" s="308"/>
      <c r="S30" s="316">
        <v>3</v>
      </c>
      <c r="T30" s="317" t="s">
        <v>12</v>
      </c>
      <c r="U30" s="318">
        <f>'Rem. Anticipos R2'!L271</f>
        <v>64685.24</v>
      </c>
      <c r="V30" s="319">
        <f>'Rem. Anticipos R2'!M271</f>
        <v>68941.27</v>
      </c>
      <c r="W30" s="319">
        <f>'Rem. Anticipos R2'!N271</f>
        <v>349774.44</v>
      </c>
      <c r="X30" s="319">
        <f>'Rem. Anticipos R2'!O271</f>
        <v>561650.28</v>
      </c>
      <c r="Y30" s="320">
        <f>'Rem. Anticipos R2'!P271</f>
        <v>10426.85</v>
      </c>
      <c r="Z30" s="321">
        <f>L30*-1</f>
        <v>0</v>
      </c>
      <c r="AA30" s="322">
        <f>'Rem. Anticipos R2'!Q271</f>
        <v>-0.20999999999999899</v>
      </c>
      <c r="AB30" s="296">
        <f>N30</f>
        <v>0</v>
      </c>
      <c r="AC30" s="322">
        <f>'Rem. Anticipos R2'!R271</f>
        <v>0</v>
      </c>
      <c r="AD30" s="293">
        <f t="shared" ref="AD30:AD32" si="10">-J30+AE30</f>
        <v>565581.06000000006</v>
      </c>
      <c r="AE30" s="293">
        <f>'Rem. Anticipos R2'!E272</f>
        <v>565581.06000000006</v>
      </c>
      <c r="AF30" s="324">
        <f>SUM(U30:AD30)</f>
        <v>1621058.9300000002</v>
      </c>
      <c r="AG30" s="325">
        <f t="shared" ref="AG30:AG31" si="11">(AF30-O30)</f>
        <v>0</v>
      </c>
      <c r="AH30" s="1" t="b">
        <f t="shared" si="9"/>
        <v>1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R2'!E366</f>
        <v>3374812.45</v>
      </c>
      <c r="E31" s="294">
        <f>'Rem. Anticipos R2'!F366</f>
        <v>255779.61</v>
      </c>
      <c r="F31" s="294">
        <f>'Rem. Anticipos R2'!G366</f>
        <v>111762.04</v>
      </c>
      <c r="G31" s="294">
        <f>'Rem. Anticipos R2'!H366</f>
        <v>69205.37</v>
      </c>
      <c r="H31" s="294">
        <f>'Rem. Anticipos R2'!I366</f>
        <v>634029.71</v>
      </c>
      <c r="I31" s="294">
        <f>'Rem. Anticipos R2'!J366</f>
        <v>25422.97</v>
      </c>
      <c r="J31" s="290">
        <v>0</v>
      </c>
      <c r="K31" s="297">
        <f t="shared" si="7"/>
        <v>2278612.75</v>
      </c>
      <c r="L31" s="296">
        <v>0</v>
      </c>
      <c r="M31" s="297">
        <f>K31-L31</f>
        <v>2278612.75</v>
      </c>
      <c r="N31" s="296">
        <f>'Rem. Anticipos R2'!K366</f>
        <v>0</v>
      </c>
      <c r="O31" s="297">
        <f t="shared" si="8"/>
        <v>2278612.75</v>
      </c>
      <c r="Q31" s="308"/>
      <c r="S31" s="316">
        <v>4</v>
      </c>
      <c r="T31" s="317" t="s">
        <v>13</v>
      </c>
      <c r="U31" s="318">
        <f>'Rem. Anticipos R2'!L366</f>
        <v>216293.79</v>
      </c>
      <c r="V31" s="319">
        <f>'Rem. Anticipos R2'!M366</f>
        <v>190432.21</v>
      </c>
      <c r="W31" s="319">
        <f>'Rem. Anticipos R2'!N366</f>
        <v>1028305.89</v>
      </c>
      <c r="X31" s="319">
        <f>'Rem. Anticipos R2'!O366</f>
        <v>552966.09</v>
      </c>
      <c r="Y31" s="320">
        <f>'Rem. Anticipos R2'!P366</f>
        <v>33770.870000000003</v>
      </c>
      <c r="Z31" s="321">
        <f>L31*-1</f>
        <v>0</v>
      </c>
      <c r="AA31" s="322">
        <f>'Rem. Anticipos R2'!Q366</f>
        <v>0.4</v>
      </c>
      <c r="AB31" s="296">
        <f>N31</f>
        <v>0</v>
      </c>
      <c r="AC31" s="322">
        <f>'Rem. Anticipos R2'!R366</f>
        <v>0</v>
      </c>
      <c r="AD31" s="293">
        <f t="shared" si="10"/>
        <v>256843.5</v>
      </c>
      <c r="AE31" s="293">
        <f>'Rem. Anticipos R2'!E367</f>
        <v>256843.5</v>
      </c>
      <c r="AF31" s="324">
        <f>SUM(U31:AD31)</f>
        <v>2278612.75</v>
      </c>
      <c r="AG31" s="325">
        <f t="shared" si="11"/>
        <v>0</v>
      </c>
      <c r="AH31" s="1" t="b">
        <f t="shared" si="9"/>
        <v>1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R2'!E438</f>
        <v>1186886.72</v>
      </c>
      <c r="E32" s="299">
        <f>'Rem. Anticipos R2'!F438</f>
        <v>76519.23</v>
      </c>
      <c r="F32" s="299">
        <f>'Rem. Anticipos R2'!G438</f>
        <v>46224.79</v>
      </c>
      <c r="G32" s="299">
        <f>'Rem. Anticipos R2'!H438</f>
        <v>23365.81</v>
      </c>
      <c r="H32" s="299">
        <f>'Rem. Anticipos R2'!I438</f>
        <v>273296.53999999998</v>
      </c>
      <c r="I32" s="299">
        <f>'Rem. Anticipos R2'!J438</f>
        <v>8892.92</v>
      </c>
      <c r="J32" s="291">
        <v>0</v>
      </c>
      <c r="K32" s="297">
        <f>D32-E32-F32-G32-H32-I32-J32</f>
        <v>758587.42999999982</v>
      </c>
      <c r="L32" s="296">
        <v>0</v>
      </c>
      <c r="M32" s="300">
        <f>K32-L32</f>
        <v>758587.42999999982</v>
      </c>
      <c r="N32" s="301">
        <f>'Rem. Anticipos R2'!K438</f>
        <v>0</v>
      </c>
      <c r="O32" s="300">
        <f t="shared" si="8"/>
        <v>758587.42999999982</v>
      </c>
      <c r="Q32" s="308"/>
      <c r="S32" s="326">
        <v>5</v>
      </c>
      <c r="T32" s="327" t="s">
        <v>14</v>
      </c>
      <c r="U32" s="298">
        <f>'Rem. Anticipos R2'!L438</f>
        <v>84789.33</v>
      </c>
      <c r="V32" s="299">
        <f>'Rem. Anticipos R2'!M438</f>
        <v>75751.7</v>
      </c>
      <c r="W32" s="299">
        <f>'Rem. Anticipos R2'!N438</f>
        <v>410927.87</v>
      </c>
      <c r="X32" s="299">
        <f>'Rem. Anticipos R2'!O438</f>
        <v>254665.1</v>
      </c>
      <c r="Y32" s="291">
        <f>'Rem. Anticipos R2'!P438</f>
        <v>14537.2</v>
      </c>
      <c r="Z32" s="321">
        <f>L32*-1</f>
        <v>0</v>
      </c>
      <c r="AA32" s="322">
        <f>'Rem. Anticipos R2'!Q438</f>
        <v>7.08</v>
      </c>
      <c r="AB32" s="296">
        <f>N32</f>
        <v>0</v>
      </c>
      <c r="AC32" s="322">
        <f>'Rem. Anticipos R2'!R438</f>
        <v>0</v>
      </c>
      <c r="AD32" s="293">
        <f t="shared" si="10"/>
        <v>-82090.850000000006</v>
      </c>
      <c r="AE32" s="293">
        <f>'Rem. Anticipos R2'!E439</f>
        <v>-82090.850000000006</v>
      </c>
      <c r="AF32" s="324">
        <f>SUM(U32:AD32)</f>
        <v>758587.42999999993</v>
      </c>
      <c r="AG32" s="328">
        <f>(AF32-O32)</f>
        <v>1.1641532182693481E-10</v>
      </c>
      <c r="AH32" s="1" t="b">
        <f t="shared" si="9"/>
        <v>1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55153463.390000008</v>
      </c>
      <c r="E33" s="292">
        <f>SUM(E28:E32)</f>
        <v>4160238.4099999997</v>
      </c>
      <c r="F33" s="292">
        <f t="shared" ref="F33:O33" si="12">SUM(F28:F32)</f>
        <v>2337445.66</v>
      </c>
      <c r="G33" s="292">
        <f t="shared" si="12"/>
        <v>1164844.9900000002</v>
      </c>
      <c r="H33" s="292">
        <f t="shared" si="12"/>
        <v>8704284.3699999992</v>
      </c>
      <c r="I33" s="292">
        <f t="shared" si="12"/>
        <v>339040.8</v>
      </c>
      <c r="J33" s="292">
        <f t="shared" si="12"/>
        <v>0</v>
      </c>
      <c r="K33" s="302">
        <f t="shared" si="12"/>
        <v>38447609.160000004</v>
      </c>
      <c r="L33" s="303">
        <f t="shared" si="12"/>
        <v>0</v>
      </c>
      <c r="M33" s="304">
        <f t="shared" si="12"/>
        <v>38447609.160000004</v>
      </c>
      <c r="N33" s="303">
        <f t="shared" si="12"/>
        <v>0</v>
      </c>
      <c r="O33" s="304">
        <f t="shared" si="12"/>
        <v>38447609.160000004</v>
      </c>
      <c r="P33" s="331"/>
      <c r="Q33" s="308"/>
      <c r="S33" s="329"/>
      <c r="T33" s="330" t="s">
        <v>2</v>
      </c>
      <c r="U33" s="332">
        <f>SUM(U28:U32)</f>
        <v>3055334.4700000007</v>
      </c>
      <c r="V33" s="332">
        <f t="shared" ref="V33:AG33" si="13">SUM(V28:V32)</f>
        <v>2727238.74</v>
      </c>
      <c r="W33" s="332">
        <f t="shared" si="13"/>
        <v>12013803.799999999</v>
      </c>
      <c r="X33" s="332">
        <f t="shared" si="13"/>
        <v>8976346.4400000013</v>
      </c>
      <c r="Y33" s="332">
        <f t="shared" si="13"/>
        <v>486357.39999999997</v>
      </c>
      <c r="Z33" s="292">
        <f t="shared" si="13"/>
        <v>0</v>
      </c>
      <c r="AA33" s="292">
        <f t="shared" si="13"/>
        <v>120.04000000000002</v>
      </c>
      <c r="AB33" s="292">
        <f t="shared" si="13"/>
        <v>0</v>
      </c>
      <c r="AC33" s="292">
        <f t="shared" si="13"/>
        <v>6759348.8099999996</v>
      </c>
      <c r="AD33" s="292">
        <f>SUM(AD28:AD32)</f>
        <v>4429059.4600000009</v>
      </c>
      <c r="AE33" s="292">
        <f>SUM(AE28:AE32)</f>
        <v>4429059.4600000009</v>
      </c>
      <c r="AF33" s="333">
        <f t="shared" si="13"/>
        <v>38447609.159999996</v>
      </c>
      <c r="AG33" s="334">
        <f t="shared" si="13"/>
        <v>-1.0128132998943329E-8</v>
      </c>
      <c r="AH33" s="1" t="b">
        <f t="shared" si="9"/>
        <v>0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27259080.849999998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ht="12" x14ac:dyDescent="0.25">
      <c r="B47" s="305">
        <v>1</v>
      </c>
      <c r="C47" s="306" t="s">
        <v>10</v>
      </c>
      <c r="D47" s="293">
        <f>'Reporte Componentes R1'!F80</f>
        <v>134910</v>
      </c>
      <c r="E47" s="294">
        <f>'Reporte Componentes R1'!G80</f>
        <v>5633.68</v>
      </c>
      <c r="F47" s="294">
        <f>'Reporte Componentes R1'!H80</f>
        <v>3143.05</v>
      </c>
      <c r="G47" s="294">
        <f>'Reporte Componentes R1'!I80</f>
        <v>1669.5</v>
      </c>
      <c r="H47" s="294">
        <f>'Reporte Componentes R1'!J80</f>
        <v>21061.5</v>
      </c>
      <c r="I47" s="294">
        <f>'Reporte Componentes R1'!K80</f>
        <v>519.69000000000005</v>
      </c>
      <c r="J47" s="290">
        <v>0</v>
      </c>
      <c r="K47" s="295">
        <f>D47-E47-F47-G47-H47-I47-J47</f>
        <v>102882.58</v>
      </c>
      <c r="L47" s="296">
        <v>0</v>
      </c>
      <c r="M47" s="295">
        <f>K47-L47</f>
        <v>102882.58</v>
      </c>
      <c r="N47" s="296">
        <f>'Reporte Componentes R1'!L80</f>
        <v>0</v>
      </c>
      <c r="O47" s="295">
        <f>M47+N47</f>
        <v>102882.58</v>
      </c>
      <c r="Q47" s="308"/>
      <c r="S47" s="305">
        <v>1</v>
      </c>
      <c r="T47" s="306" t="s">
        <v>10</v>
      </c>
      <c r="U47" s="309">
        <f>'Reporte Componentes R1'!M80</f>
        <v>4558.83</v>
      </c>
      <c r="V47" s="310">
        <f>'Reporte Componentes R1'!N80</f>
        <v>6480.54</v>
      </c>
      <c r="W47" s="310">
        <f>'Reporte Componentes R1'!O80</f>
        <v>30680.68</v>
      </c>
      <c r="X47" s="310">
        <f>'Reporte Componentes R1'!P80</f>
        <v>15386.96</v>
      </c>
      <c r="Y47" s="311">
        <f>'Reporte Componentes R1'!Q80</f>
        <v>847.96</v>
      </c>
      <c r="Z47" s="312">
        <f>-L47</f>
        <v>0</v>
      </c>
      <c r="AA47" s="313">
        <f>'Reporte Componentes R1'!R80+'Reporte Componentes R1'!V80+'Reporte Componentes R1'!U80</f>
        <v>5.04</v>
      </c>
      <c r="AB47" s="296">
        <f>N47</f>
        <v>0</v>
      </c>
      <c r="AC47" s="313">
        <f>'Reporte Componentes R1'!T80+'Reporte Componentes R1'!S80+'Reporte Componentes R1'!W80+'Reporte Componentes R1'!X80+'Reporte Componentes R1'!Y80+'Reporte Componentes R1'!Z80</f>
        <v>0</v>
      </c>
      <c r="AD47" s="293">
        <f>-J47+AE47</f>
        <v>44922.57</v>
      </c>
      <c r="AE47" s="293">
        <f>'Reporte Componentes R1'!F81</f>
        <v>44922.57</v>
      </c>
      <c r="AF47" s="315">
        <f>SUM(U47:AD47)</f>
        <v>102882.58</v>
      </c>
      <c r="AG47" s="313">
        <f>(AF47-O47)</f>
        <v>0</v>
      </c>
      <c r="AH47" s="1" t="b">
        <f>INT(AG47)=0</f>
        <v>1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R1'!F213</f>
        <v>464154</v>
      </c>
      <c r="E48" s="294">
        <f>'Reporte Componentes R1'!G213</f>
        <v>32467.9</v>
      </c>
      <c r="F48" s="294">
        <f>'Reporte Componentes R1'!H213</f>
        <v>18320.34</v>
      </c>
      <c r="G48" s="294">
        <f>'Reporte Componentes R1'!I213</f>
        <v>9708.74</v>
      </c>
      <c r="H48" s="294">
        <f>'Reporte Componentes R1'!J213</f>
        <v>158800.41</v>
      </c>
      <c r="I48" s="294">
        <f>'Reporte Componentes R1'!K213</f>
        <v>5058.2700000000004</v>
      </c>
      <c r="J48" s="290">
        <v>0</v>
      </c>
      <c r="K48" s="297">
        <f t="shared" ref="K48:K51" si="14">D48-E48-F48-G48-H48-I48-J48</f>
        <v>239798.33999999997</v>
      </c>
      <c r="L48" s="296">
        <v>0</v>
      </c>
      <c r="M48" s="297">
        <f>K48-L48</f>
        <v>239798.33999999997</v>
      </c>
      <c r="N48" s="296">
        <f>'Reporte Componentes R1'!L213</f>
        <v>0</v>
      </c>
      <c r="O48" s="297">
        <f t="shared" ref="O48:O51" si="15">M48+N48</f>
        <v>239798.33999999997</v>
      </c>
      <c r="Q48" s="308"/>
      <c r="S48" s="316">
        <v>2</v>
      </c>
      <c r="T48" s="317" t="s">
        <v>11</v>
      </c>
      <c r="U48" s="318">
        <f>'Reporte Componentes R1'!M213</f>
        <v>44370.67</v>
      </c>
      <c r="V48" s="319">
        <f>'Reporte Componentes R1'!N213</f>
        <v>56323.6</v>
      </c>
      <c r="W48" s="319">
        <f>'Reporte Componentes R1'!O213</f>
        <v>269309.02</v>
      </c>
      <c r="X48" s="319">
        <f>'Reporte Componentes R1'!P213</f>
        <v>63520.61</v>
      </c>
      <c r="Y48" s="320">
        <f>'Reporte Componentes R1'!Q213</f>
        <v>8252.9599999999991</v>
      </c>
      <c r="Z48" s="321">
        <f>-L48</f>
        <v>0</v>
      </c>
      <c r="AA48" s="322">
        <f>'Reporte Componentes R1'!R213+'Reporte Componentes R1'!V213+'Reporte Componentes R1'!U213</f>
        <v>10.02</v>
      </c>
      <c r="AB48" s="296">
        <f>N48</f>
        <v>0</v>
      </c>
      <c r="AC48" s="322">
        <f>'Reporte Componentes R1'!T213+'Reporte Componentes R1'!S213+'Reporte Componentes R1'!W213+'Reporte Componentes R1'!X213+'Reporte Componentes R1'!Y213+'Reporte Componentes R1'!Z213</f>
        <v>0</v>
      </c>
      <c r="AD48" s="293">
        <f t="shared" ref="AD48:AD51" si="16">-J48+AE48</f>
        <v>-201988.54</v>
      </c>
      <c r="AE48" s="293">
        <f>'Reporte Componentes R1'!F214</f>
        <v>-201988.54</v>
      </c>
      <c r="AF48" s="324">
        <f>SUM(U48:AD48)</f>
        <v>239798.34000000005</v>
      </c>
      <c r="AG48" s="325">
        <f>(AF48-O48)</f>
        <v>8.7311491370201111E-11</v>
      </c>
      <c r="AH48" s="1" t="b">
        <f t="shared" ref="AH48:AH52" si="17">INT(AG48)=0</f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R1'!F341</f>
        <v>0</v>
      </c>
      <c r="E49" s="294">
        <f>'Reporte Componentes R1'!G341</f>
        <v>0</v>
      </c>
      <c r="F49" s="294">
        <f>'Reporte Componentes R1'!H341</f>
        <v>0</v>
      </c>
      <c r="G49" s="294">
        <f>'Reporte Componentes R1'!I341</f>
        <v>0</v>
      </c>
      <c r="H49" s="294">
        <f>'Reporte Componentes R1'!J341</f>
        <v>0</v>
      </c>
      <c r="I49" s="294">
        <f>'Reporte Componentes R1'!K341</f>
        <v>0</v>
      </c>
      <c r="J49" s="290">
        <v>0</v>
      </c>
      <c r="K49" s="297">
        <f t="shared" si="14"/>
        <v>0</v>
      </c>
      <c r="L49" s="296">
        <v>0</v>
      </c>
      <c r="M49" s="297">
        <f>K49-L49</f>
        <v>0</v>
      </c>
      <c r="N49" s="296">
        <f>'Reporte Componentes R1'!L341</f>
        <v>0</v>
      </c>
      <c r="O49" s="297">
        <f t="shared" si="15"/>
        <v>0</v>
      </c>
      <c r="Q49" s="308"/>
      <c r="S49" s="316">
        <v>3</v>
      </c>
      <c r="T49" s="317" t="s">
        <v>12</v>
      </c>
      <c r="U49" s="318">
        <f>'Reporte Componentes R1'!M341</f>
        <v>0</v>
      </c>
      <c r="V49" s="319">
        <f>'Reporte Componentes R1'!N341</f>
        <v>0</v>
      </c>
      <c r="W49" s="319">
        <f>'Reporte Componentes R1'!O341</f>
        <v>0</v>
      </c>
      <c r="X49" s="319">
        <f>'Reporte Componentes R1'!P341</f>
        <v>0</v>
      </c>
      <c r="Y49" s="320">
        <f>'Reporte Componentes R1'!Q341</f>
        <v>0</v>
      </c>
      <c r="Z49" s="321">
        <f>-L49</f>
        <v>0</v>
      </c>
      <c r="AA49" s="322">
        <f>'Reporte Componentes R1'!R341+'Reporte Componentes R1'!V341+'Reporte Componentes R1'!U341</f>
        <v>0</v>
      </c>
      <c r="AB49" s="296">
        <f>N49</f>
        <v>0</v>
      </c>
      <c r="AC49" s="322">
        <f>'Reporte Componentes R1'!T341+'Reporte Componentes R1'!S341+'Reporte Componentes R1'!W341+'Reporte Componentes R1'!X341+'Reporte Componentes R1'!Y341+'Reporte Componentes R1'!Z341</f>
        <v>0</v>
      </c>
      <c r="AD49" s="293">
        <f t="shared" si="16"/>
        <v>0</v>
      </c>
      <c r="AE49" s="293">
        <f>'Reporte Componentes R1'!F342</f>
        <v>0</v>
      </c>
      <c r="AF49" s="324">
        <f t="shared" ref="AF49:AF51" si="18">SUM(U49:AD49)</f>
        <v>0</v>
      </c>
      <c r="AG49" s="325">
        <f t="shared" ref="AG49:AG51" si="19">(AF49-O49)</f>
        <v>0</v>
      </c>
      <c r="AH49" s="1" t="b">
        <f t="shared" si="17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R1'!F461</f>
        <v>850737</v>
      </c>
      <c r="E50" s="294">
        <f>'Reporte Componentes R1'!G461</f>
        <v>37397.25</v>
      </c>
      <c r="F50" s="294">
        <f>'Reporte Componentes R1'!H461</f>
        <v>20551.86</v>
      </c>
      <c r="G50" s="294">
        <f>'Reporte Componentes R1'!I461</f>
        <v>11070.59</v>
      </c>
      <c r="H50" s="294">
        <f>'Reporte Componentes R1'!J461</f>
        <v>168521.2</v>
      </c>
      <c r="I50" s="294">
        <f>'Reporte Componentes R1'!K461</f>
        <v>5808.01</v>
      </c>
      <c r="J50" s="290">
        <v>0</v>
      </c>
      <c r="K50" s="297">
        <f t="shared" si="14"/>
        <v>607388.09000000008</v>
      </c>
      <c r="L50" s="296">
        <v>0</v>
      </c>
      <c r="M50" s="297">
        <f>K50-L50</f>
        <v>607388.09000000008</v>
      </c>
      <c r="N50" s="296">
        <f>'Reporte Componentes R1'!L461</f>
        <v>0</v>
      </c>
      <c r="O50" s="297">
        <f t="shared" si="15"/>
        <v>607388.09000000008</v>
      </c>
      <c r="Q50" s="308"/>
      <c r="S50" s="316">
        <v>4</v>
      </c>
      <c r="T50" s="317" t="s">
        <v>13</v>
      </c>
      <c r="U50" s="318">
        <f>'Reporte Componentes R1'!M461</f>
        <v>50947.53</v>
      </c>
      <c r="V50" s="319">
        <f>'Reporte Componentes R1'!N461</f>
        <v>50975.040000000001</v>
      </c>
      <c r="W50" s="319">
        <f>'Reporte Componentes R1'!O461</f>
        <v>263164.76</v>
      </c>
      <c r="X50" s="319">
        <f>'Reporte Componentes R1'!P461</f>
        <v>99117.6</v>
      </c>
      <c r="Y50" s="320">
        <f>'Reporte Componentes R1'!Q461</f>
        <v>9476.14</v>
      </c>
      <c r="Z50" s="321">
        <f>-L50</f>
        <v>0</v>
      </c>
      <c r="AA50" s="322">
        <f>'Reporte Componentes R1'!R461+'Reporte Componentes R1'!V461+'Reporte Componentes R1'!U461</f>
        <v>0.72</v>
      </c>
      <c r="AB50" s="296">
        <f>N50</f>
        <v>0</v>
      </c>
      <c r="AC50" s="322">
        <f>'Reporte Componentes R1'!T461+'Reporte Componentes R1'!S461+'Reporte Componentes R1'!W461+'Reporte Componentes R1'!X461+'Reporte Componentes R1'!Y461+'Reporte Componentes R1'!Z461</f>
        <v>0</v>
      </c>
      <c r="AD50" s="293">
        <f t="shared" si="16"/>
        <v>133706.29999999999</v>
      </c>
      <c r="AE50" s="293">
        <f>'Reporte Componentes R1'!F462</f>
        <v>133706.29999999999</v>
      </c>
      <c r="AF50" s="324">
        <f t="shared" si="18"/>
        <v>607388.09000000008</v>
      </c>
      <c r="AG50" s="325">
        <f t="shared" si="19"/>
        <v>0</v>
      </c>
      <c r="AH50" s="1" t="b">
        <f t="shared" si="17"/>
        <v>1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R1'!F535</f>
        <v>0</v>
      </c>
      <c r="E51" s="299">
        <f>'Reporte Componentes R1'!G535</f>
        <v>0</v>
      </c>
      <c r="F51" s="299">
        <f>'Reporte Componentes R1'!H535</f>
        <v>0</v>
      </c>
      <c r="G51" s="299">
        <f>'Reporte Componentes R1'!I535</f>
        <v>0</v>
      </c>
      <c r="H51" s="299">
        <f>'Reporte Componentes R1'!J535</f>
        <v>0</v>
      </c>
      <c r="I51" s="299">
        <f>'Reporte Componentes R1'!K535</f>
        <v>0</v>
      </c>
      <c r="J51" s="291">
        <v>0</v>
      </c>
      <c r="K51" s="297">
        <f t="shared" si="14"/>
        <v>0</v>
      </c>
      <c r="L51" s="296">
        <v>0</v>
      </c>
      <c r="M51" s="300">
        <f>K51-L51</f>
        <v>0</v>
      </c>
      <c r="N51" s="301">
        <f>'Reporte Componentes R1'!L535</f>
        <v>0</v>
      </c>
      <c r="O51" s="300">
        <f t="shared" si="15"/>
        <v>0</v>
      </c>
      <c r="Q51" s="308"/>
      <c r="S51" s="326">
        <v>5</v>
      </c>
      <c r="T51" s="327" t="s">
        <v>14</v>
      </c>
      <c r="U51" s="298">
        <f>'Reporte Componentes R1'!M535</f>
        <v>0</v>
      </c>
      <c r="V51" s="299">
        <f>'Reporte Componentes R1'!N535</f>
        <v>0</v>
      </c>
      <c r="W51" s="299">
        <f>'Reporte Componentes R1'!O535</f>
        <v>0</v>
      </c>
      <c r="X51" s="299">
        <f>'Reporte Componentes R1'!P535</f>
        <v>0</v>
      </c>
      <c r="Y51" s="291">
        <f>'Reporte Componentes R1'!Q535</f>
        <v>0</v>
      </c>
      <c r="Z51" s="321">
        <f>-L51</f>
        <v>0</v>
      </c>
      <c r="AA51" s="322">
        <f>'Reporte Componentes R1'!R535+'Reporte Componentes R1'!V535+'Reporte Componentes R1'!U535</f>
        <v>0</v>
      </c>
      <c r="AB51" s="296">
        <f>N51</f>
        <v>0</v>
      </c>
      <c r="AC51" s="322">
        <f>'Reporte Componentes R1'!T535+'Reporte Componentes R1'!S535+'Reporte Componentes R1'!W535+'Reporte Componentes R1'!X535+'Reporte Componentes R1'!Y535+'Reporte Componentes R1'!Z535</f>
        <v>0</v>
      </c>
      <c r="AD51" s="293">
        <f t="shared" si="16"/>
        <v>0</v>
      </c>
      <c r="AE51" s="293">
        <f>'Reporte Componentes R1'!F536</f>
        <v>0</v>
      </c>
      <c r="AF51" s="324">
        <f t="shared" si="18"/>
        <v>0</v>
      </c>
      <c r="AG51" s="328">
        <f t="shared" si="19"/>
        <v>0</v>
      </c>
      <c r="AH51" s="1" t="b">
        <f t="shared" si="17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0">SUM(D47:D51)</f>
        <v>1449801</v>
      </c>
      <c r="E52" s="292">
        <f t="shared" si="20"/>
        <v>75498.83</v>
      </c>
      <c r="F52" s="292">
        <f t="shared" si="20"/>
        <v>42015.25</v>
      </c>
      <c r="G52" s="292">
        <f t="shared" ref="G52" si="21">SUM(G47:G51)</f>
        <v>22448.83</v>
      </c>
      <c r="H52" s="292">
        <f t="shared" si="20"/>
        <v>348383.11</v>
      </c>
      <c r="I52" s="292">
        <f t="shared" si="20"/>
        <v>11385.970000000001</v>
      </c>
      <c r="J52" s="292">
        <f t="shared" si="20"/>
        <v>0</v>
      </c>
      <c r="K52" s="302">
        <f t="shared" si="20"/>
        <v>950069.01</v>
      </c>
      <c r="L52" s="303">
        <f t="shared" si="20"/>
        <v>0</v>
      </c>
      <c r="M52" s="304">
        <f t="shared" si="20"/>
        <v>950069.01</v>
      </c>
      <c r="N52" s="303">
        <f t="shared" si="20"/>
        <v>0</v>
      </c>
      <c r="O52" s="304">
        <f t="shared" si="20"/>
        <v>950069.01</v>
      </c>
      <c r="P52" s="331"/>
      <c r="Q52" s="308"/>
      <c r="S52" s="329"/>
      <c r="T52" s="330" t="s">
        <v>2</v>
      </c>
      <c r="U52" s="332">
        <f>SUM(U47:U51)</f>
        <v>99877.03</v>
      </c>
      <c r="V52" s="332">
        <f t="shared" ref="V52:AG52" si="22">SUM(V47:V51)</f>
        <v>113779.18</v>
      </c>
      <c r="W52" s="332">
        <f t="shared" si="22"/>
        <v>563154.46</v>
      </c>
      <c r="X52" s="332">
        <f t="shared" si="22"/>
        <v>178025.17</v>
      </c>
      <c r="Y52" s="332">
        <f t="shared" si="22"/>
        <v>18577.059999999998</v>
      </c>
      <c r="Z52" s="292">
        <f t="shared" si="22"/>
        <v>0</v>
      </c>
      <c r="AA52" s="292">
        <f t="shared" si="22"/>
        <v>15.78</v>
      </c>
      <c r="AB52" s="292">
        <f t="shared" si="22"/>
        <v>0</v>
      </c>
      <c r="AC52" s="292">
        <f t="shared" ref="AC52" si="23">SUM(AC47:AC51)</f>
        <v>0</v>
      </c>
      <c r="AD52" s="292">
        <f>SUM(AD47:AD51)</f>
        <v>-23359.670000000013</v>
      </c>
      <c r="AE52" s="292">
        <f>SUM(AE47:AE51)</f>
        <v>-23359.670000000013</v>
      </c>
      <c r="AF52" s="333">
        <f t="shared" si="22"/>
        <v>950069.01000000013</v>
      </c>
      <c r="AG52" s="334">
        <f t="shared" si="22"/>
        <v>8.7311491370201111E-11</v>
      </c>
      <c r="AH52" s="1" t="b">
        <f t="shared" si="17"/>
        <v>1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973412.89999999991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R4'!D85</f>
        <v>-134910</v>
      </c>
      <c r="E66" s="294">
        <f>'Reversion Pagos R4'!E85</f>
        <v>-5802.49</v>
      </c>
      <c r="F66" s="294">
        <f>'Reversion Pagos R4'!F85</f>
        <v>-3276.08</v>
      </c>
      <c r="G66" s="294">
        <f>'Reversion Pagos R4'!G85</f>
        <v>-1719.51</v>
      </c>
      <c r="H66" s="294">
        <f>'Reversion Pagos R4'!H85</f>
        <v>-21171.08</v>
      </c>
      <c r="I66" s="294">
        <f>'Reversion Pagos R4'!I85</f>
        <v>-504.33</v>
      </c>
      <c r="J66" s="290">
        <v>0</v>
      </c>
      <c r="K66" s="295">
        <f>D66-E66-F66-G66-H66-I66-J66</f>
        <v>-102436.51</v>
      </c>
      <c r="L66" s="296">
        <v>0</v>
      </c>
      <c r="M66" s="295">
        <f>K66-L66</f>
        <v>-102436.51</v>
      </c>
      <c r="N66" s="296">
        <f>'Reversion Pagos R4'!P85</f>
        <v>0</v>
      </c>
      <c r="O66" s="295">
        <f>M66+N66</f>
        <v>-102436.51</v>
      </c>
      <c r="Q66" s="308"/>
      <c r="S66" s="305">
        <v>1</v>
      </c>
      <c r="T66" s="306" t="s">
        <v>10</v>
      </c>
      <c r="U66" s="309">
        <f>'Reversion Pagos R4'!J85</f>
        <v>-4424.0200000000004</v>
      </c>
      <c r="V66" s="310">
        <f>'Reversion Pagos R4'!K85</f>
        <v>-6464.24</v>
      </c>
      <c r="W66" s="310">
        <f>'Reversion Pagos R4'!L85</f>
        <v>-30490.46</v>
      </c>
      <c r="X66" s="310">
        <f>'Reversion Pagos R4'!M85</f>
        <v>-15847.5</v>
      </c>
      <c r="Y66" s="310">
        <f>'Reversion Pagos R4'!N85</f>
        <v>-822.87</v>
      </c>
      <c r="Z66" s="312">
        <f>-L66</f>
        <v>0</v>
      </c>
      <c r="AA66" s="322">
        <f>'Reversion Pagos R4'!O85</f>
        <v>1.87</v>
      </c>
      <c r="AB66" s="296">
        <f>N66</f>
        <v>0</v>
      </c>
      <c r="AC66" s="322">
        <f>+'Reversion Pagos R4'!Q85+'Reversion Pagos R4'!R85</f>
        <v>0</v>
      </c>
      <c r="AD66" s="293">
        <f>-J66+AE66</f>
        <v>-44389.29</v>
      </c>
      <c r="AE66" s="293">
        <f>'Reversion Pagos R4'!D86</f>
        <v>-44389.29</v>
      </c>
      <c r="AF66" s="315">
        <f>SUM(U66:AD66)</f>
        <v>-102436.51000000001</v>
      </c>
      <c r="AG66" s="313">
        <f>(AF66-O66)</f>
        <v>-1.4551915228366852E-11</v>
      </c>
      <c r="AH66" s="1" t="b">
        <f>INT(AG66)=0</f>
        <v>0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R4'!D180</f>
        <v>-945063</v>
      </c>
      <c r="E67" s="294">
        <f>'Reversion Pagos R4'!E180</f>
        <v>-288275.48</v>
      </c>
      <c r="F67" s="294">
        <f>'Reversion Pagos R4'!F180</f>
        <v>-142948.9</v>
      </c>
      <c r="G67" s="294">
        <f>'Reversion Pagos R4'!G180</f>
        <v>-64066.92</v>
      </c>
      <c r="H67" s="294">
        <f>'Reversion Pagos R4'!H180</f>
        <v>-973955.17</v>
      </c>
      <c r="I67" s="294">
        <f>'Reversion Pagos R4'!I180</f>
        <v>-33358.06</v>
      </c>
      <c r="J67" s="290">
        <v>0</v>
      </c>
      <c r="K67" s="297">
        <f t="shared" ref="K67:K70" si="24">D67-E67-F67-G67-H67-I67-J67</f>
        <v>557541.53</v>
      </c>
      <c r="L67" s="296">
        <v>0</v>
      </c>
      <c r="M67" s="297">
        <f>K67-L67</f>
        <v>557541.53</v>
      </c>
      <c r="N67" s="296">
        <f>'Reversion Pagos R4'!P180</f>
        <v>0</v>
      </c>
      <c r="O67" s="297">
        <f t="shared" ref="O67:O70" si="25">M67+N67</f>
        <v>557541.53</v>
      </c>
      <c r="Q67" s="308"/>
      <c r="S67" s="316">
        <v>2</v>
      </c>
      <c r="T67" s="317" t="s">
        <v>11</v>
      </c>
      <c r="U67" s="318">
        <f>'Reversion Pagos R4'!J180</f>
        <v>-290470.84000000003</v>
      </c>
      <c r="V67" s="319">
        <f>'Reversion Pagos R4'!K180</f>
        <v>-350967.83</v>
      </c>
      <c r="W67" s="319">
        <f>'Reversion Pagos R4'!L180</f>
        <v>-1258339.28</v>
      </c>
      <c r="X67" s="319">
        <f>'Reversion Pagos R4'!M180</f>
        <v>-541686.12</v>
      </c>
      <c r="Y67" s="320">
        <f>'Reversion Pagos R4'!N180</f>
        <v>-54426.3</v>
      </c>
      <c r="Z67" s="321">
        <f t="shared" ref="Z67:Z70" si="26">-L67</f>
        <v>0</v>
      </c>
      <c r="AA67" s="322">
        <f>'Reversion Pagos R4'!O180</f>
        <v>45.89</v>
      </c>
      <c r="AB67" s="296">
        <f t="shared" ref="AB67:AB70" si="27">N67</f>
        <v>0</v>
      </c>
      <c r="AC67" s="322">
        <f>+'Reversion Pagos R4'!Q180+'Reversion Pagos R4'!R180</f>
        <v>0.16</v>
      </c>
      <c r="AD67" s="293">
        <f t="shared" ref="AD67:AD70" si="28">-J67+AE67</f>
        <v>3053385.85</v>
      </c>
      <c r="AE67" s="293">
        <f>'Reversion Pagos R4'!D181</f>
        <v>3053385.85</v>
      </c>
      <c r="AF67" s="324">
        <f>SUM(U67:AD67)</f>
        <v>557541.53000000026</v>
      </c>
      <c r="AG67" s="325">
        <f>(AF67-O67)</f>
        <v>2.3283064365386963E-10</v>
      </c>
      <c r="AH67" s="1" t="b">
        <f t="shared" ref="AH67:AH71" si="29">INT(AG67)=0</f>
        <v>1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R4'!D211</f>
        <v>0</v>
      </c>
      <c r="E68" s="294">
        <f>'Reversion Pagos R4'!E211</f>
        <v>0</v>
      </c>
      <c r="F68" s="294">
        <f>'Reversion Pagos R4'!F211</f>
        <v>0</v>
      </c>
      <c r="G68" s="294">
        <f>'Reversion Pagos R4'!G211</f>
        <v>0</v>
      </c>
      <c r="H68" s="294">
        <f>'Reversion Pagos R4'!H211</f>
        <v>0</v>
      </c>
      <c r="I68" s="294">
        <f>'Reversion Pagos R4'!I211</f>
        <v>0</v>
      </c>
      <c r="J68" s="290">
        <v>0</v>
      </c>
      <c r="K68" s="297">
        <f t="shared" si="24"/>
        <v>0</v>
      </c>
      <c r="L68" s="296">
        <v>0</v>
      </c>
      <c r="M68" s="297">
        <f>K68-L68</f>
        <v>0</v>
      </c>
      <c r="N68" s="296">
        <f>'Reversion Pagos R4'!P211</f>
        <v>0</v>
      </c>
      <c r="O68" s="297">
        <f t="shared" si="25"/>
        <v>0</v>
      </c>
      <c r="Q68" s="308"/>
      <c r="S68" s="316">
        <v>3</v>
      </c>
      <c r="T68" s="317" t="s">
        <v>12</v>
      </c>
      <c r="U68" s="318">
        <f>'Reversion Pagos R4'!J211</f>
        <v>0</v>
      </c>
      <c r="V68" s="319">
        <f>'Reversion Pagos R4'!K211</f>
        <v>0</v>
      </c>
      <c r="W68" s="319">
        <f>'Reversion Pagos R4'!L211</f>
        <v>0</v>
      </c>
      <c r="X68" s="319">
        <f>'Reversion Pagos R4'!M211</f>
        <v>0</v>
      </c>
      <c r="Y68" s="320">
        <f>'Reversion Pagos R4'!N211</f>
        <v>0</v>
      </c>
      <c r="Z68" s="321">
        <f t="shared" si="26"/>
        <v>0</v>
      </c>
      <c r="AA68" s="322">
        <f>'Reversion Pagos R4'!O211</f>
        <v>0</v>
      </c>
      <c r="AB68" s="296">
        <f t="shared" si="27"/>
        <v>0</v>
      </c>
      <c r="AC68" s="322">
        <f>+'Reversion Pagos R4'!Q211+'Reversion Pagos R4'!R211</f>
        <v>0</v>
      </c>
      <c r="AD68" s="293">
        <f t="shared" si="28"/>
        <v>0</v>
      </c>
      <c r="AE68" s="293">
        <f>'Reversion Pagos R4'!D212</f>
        <v>0</v>
      </c>
      <c r="AF68" s="324">
        <f t="shared" ref="AF68:AF70" si="30">SUM(U68:AD68)</f>
        <v>0</v>
      </c>
      <c r="AG68" s="325">
        <f t="shared" ref="AG68:AG70" si="31">(AF68-O68)</f>
        <v>0</v>
      </c>
      <c r="AH68" s="1" t="b">
        <f t="shared" si="29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R4'!D325</f>
        <v>-1371252</v>
      </c>
      <c r="E69" s="294">
        <f>'Reversion Pagos R4'!E325</f>
        <v>-81729.25</v>
      </c>
      <c r="F69" s="294">
        <f>'Reversion Pagos R4'!F325</f>
        <v>-45134.07</v>
      </c>
      <c r="G69" s="294">
        <f>'Reversion Pagos R4'!G325</f>
        <v>-23520.13</v>
      </c>
      <c r="H69" s="294">
        <f>'Reversion Pagos R4'!H325</f>
        <v>-325899.98</v>
      </c>
      <c r="I69" s="294">
        <f>'Reversion Pagos R4'!I325</f>
        <v>-10103.41</v>
      </c>
      <c r="J69" s="290">
        <v>0</v>
      </c>
      <c r="K69" s="297">
        <f t="shared" si="24"/>
        <v>-884865.16</v>
      </c>
      <c r="L69" s="296">
        <v>0</v>
      </c>
      <c r="M69" s="297">
        <f>K69-L69</f>
        <v>-884865.16</v>
      </c>
      <c r="N69" s="296">
        <f>'Reversion Pagos R4'!P325</f>
        <v>0</v>
      </c>
      <c r="O69" s="297">
        <f t="shared" si="25"/>
        <v>-884865.16</v>
      </c>
      <c r="Q69" s="308"/>
      <c r="S69" s="316">
        <v>4</v>
      </c>
      <c r="T69" s="317" t="s">
        <v>13</v>
      </c>
      <c r="U69" s="318">
        <f>'Reversion Pagos R4'!J325</f>
        <v>-88626.42</v>
      </c>
      <c r="V69" s="319">
        <f>'Reversion Pagos R4'!K325</f>
        <v>-100947.38</v>
      </c>
      <c r="W69" s="319">
        <f>'Reversion Pagos R4'!L325</f>
        <v>-505256.3</v>
      </c>
      <c r="X69" s="319">
        <f>'Reversion Pagos R4'!M325</f>
        <v>-218709.91</v>
      </c>
      <c r="Y69" s="320">
        <f>'Reversion Pagos R4'!N325</f>
        <v>-16484.490000000002</v>
      </c>
      <c r="Z69" s="321">
        <f t="shared" si="26"/>
        <v>0</v>
      </c>
      <c r="AA69" s="322">
        <f>'Reversion Pagos R4'!O325</f>
        <v>33.6</v>
      </c>
      <c r="AB69" s="296">
        <f t="shared" si="27"/>
        <v>0</v>
      </c>
      <c r="AC69" s="322">
        <f>+'Reversion Pagos R4'!Q325+'Reversion Pagos R4'!R325</f>
        <v>0</v>
      </c>
      <c r="AD69" s="293">
        <f t="shared" si="28"/>
        <v>45125.74</v>
      </c>
      <c r="AE69" s="293">
        <f>'Reversion Pagos R4'!D326</f>
        <v>45125.74</v>
      </c>
      <c r="AF69" s="324">
        <f>SUM(U69:AD69)</f>
        <v>-884865.16</v>
      </c>
      <c r="AG69" s="325">
        <f>(AF69-O69)</f>
        <v>0</v>
      </c>
      <c r="AH69" s="1" t="b">
        <f t="shared" si="29"/>
        <v>1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R4'!D354</f>
        <v>0</v>
      </c>
      <c r="E70" s="299">
        <f>'Reversion Pagos R4'!E354</f>
        <v>0</v>
      </c>
      <c r="F70" s="299">
        <f>'Reversion Pagos R4'!F354</f>
        <v>0</v>
      </c>
      <c r="G70" s="299">
        <f>'Reversion Pagos R4'!G354</f>
        <v>0</v>
      </c>
      <c r="H70" s="299">
        <f>'Reversion Pagos R4'!H354</f>
        <v>0</v>
      </c>
      <c r="I70" s="299">
        <f>'Reversion Pagos R4'!I354</f>
        <v>0</v>
      </c>
      <c r="J70" s="291">
        <v>0</v>
      </c>
      <c r="K70" s="297">
        <f t="shared" si="24"/>
        <v>0</v>
      </c>
      <c r="L70" s="296">
        <v>0</v>
      </c>
      <c r="M70" s="300">
        <f>K70-L70</f>
        <v>0</v>
      </c>
      <c r="N70" s="296">
        <f>'Reversion Pagos R4'!P354</f>
        <v>0</v>
      </c>
      <c r="O70" s="300">
        <f t="shared" si="25"/>
        <v>0</v>
      </c>
      <c r="Q70" s="308"/>
      <c r="S70" s="326">
        <v>5</v>
      </c>
      <c r="T70" s="327" t="s">
        <v>14</v>
      </c>
      <c r="U70" s="298">
        <f>'Reversion Pagos R4'!J354</f>
        <v>0</v>
      </c>
      <c r="V70" s="299">
        <f>'Reversion Pagos R4'!K354</f>
        <v>0</v>
      </c>
      <c r="W70" s="299">
        <f>'Reversion Pagos R4'!L354</f>
        <v>0</v>
      </c>
      <c r="X70" s="299">
        <f>'Reversion Pagos R4'!M354</f>
        <v>0</v>
      </c>
      <c r="Y70" s="291">
        <f>'Reversion Pagos R4'!N354</f>
        <v>0</v>
      </c>
      <c r="Z70" s="321">
        <f t="shared" si="26"/>
        <v>0</v>
      </c>
      <c r="AA70" s="322">
        <f>'Reversion Pagos R4'!O354</f>
        <v>0</v>
      </c>
      <c r="AB70" s="296">
        <f t="shared" si="27"/>
        <v>0</v>
      </c>
      <c r="AC70" s="322">
        <f>+'Reversion Pagos R4'!Q354+'Reversion Pagos R4'!R354</f>
        <v>0</v>
      </c>
      <c r="AD70" s="293">
        <f t="shared" si="28"/>
        <v>0</v>
      </c>
      <c r="AE70" s="293">
        <f>'Reversion Pagos R4'!D355</f>
        <v>0</v>
      </c>
      <c r="AF70" s="324">
        <f t="shared" si="30"/>
        <v>0</v>
      </c>
      <c r="AG70" s="328">
        <f t="shared" si="31"/>
        <v>0</v>
      </c>
      <c r="AH70" s="1" t="b">
        <f t="shared" si="29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2">SUM(D66:D70)</f>
        <v>-2451225</v>
      </c>
      <c r="E71" s="292">
        <f t="shared" si="32"/>
        <v>-375807.22</v>
      </c>
      <c r="F71" s="292">
        <f t="shared" si="32"/>
        <v>-191359.05</v>
      </c>
      <c r="G71" s="292">
        <f t="shared" si="32"/>
        <v>-89306.559999999998</v>
      </c>
      <c r="H71" s="292">
        <f t="shared" si="32"/>
        <v>-1321026.23</v>
      </c>
      <c r="I71" s="292">
        <f t="shared" si="32"/>
        <v>-43965.8</v>
      </c>
      <c r="J71" s="292">
        <f t="shared" si="32"/>
        <v>0</v>
      </c>
      <c r="K71" s="302">
        <f t="shared" si="32"/>
        <v>-429760.14</v>
      </c>
      <c r="L71" s="303">
        <f t="shared" si="32"/>
        <v>0</v>
      </c>
      <c r="M71" s="304">
        <f t="shared" si="32"/>
        <v>-429760.14</v>
      </c>
      <c r="N71" s="303">
        <f t="shared" si="32"/>
        <v>0</v>
      </c>
      <c r="O71" s="304">
        <f t="shared" si="32"/>
        <v>-429760.14</v>
      </c>
      <c r="P71" s="331"/>
      <c r="Q71" s="308"/>
      <c r="S71" s="329"/>
      <c r="T71" s="330" t="s">
        <v>2</v>
      </c>
      <c r="U71" s="332">
        <f>SUM(U66:U70)</f>
        <v>-383521.28000000003</v>
      </c>
      <c r="V71" s="332">
        <f t="shared" ref="V71:AG71" si="33">SUM(V66:V70)</f>
        <v>-458379.45</v>
      </c>
      <c r="W71" s="332">
        <f t="shared" si="33"/>
        <v>-1794086.04</v>
      </c>
      <c r="X71" s="332">
        <f t="shared" si="33"/>
        <v>-776243.53</v>
      </c>
      <c r="Y71" s="332">
        <f t="shared" si="33"/>
        <v>-71733.66</v>
      </c>
      <c r="Z71" s="292">
        <f t="shared" si="33"/>
        <v>0</v>
      </c>
      <c r="AA71" s="292">
        <f>SUM(AA66:AA70)</f>
        <v>81.36</v>
      </c>
      <c r="AB71" s="292">
        <f t="shared" si="33"/>
        <v>0</v>
      </c>
      <c r="AC71" s="292">
        <f t="shared" si="33"/>
        <v>0.16</v>
      </c>
      <c r="AD71" s="292">
        <f>SUM(AD66:AD70)</f>
        <v>3054122.3000000003</v>
      </c>
      <c r="AE71" s="292">
        <f>SUM(AE66:AE70)</f>
        <v>3054122.3000000003</v>
      </c>
      <c r="AF71" s="333">
        <f t="shared" si="33"/>
        <v>-429760.13999999978</v>
      </c>
      <c r="AG71" s="334">
        <f t="shared" si="33"/>
        <v>2.1827872842550278E-10</v>
      </c>
      <c r="AH71" s="1" t="b">
        <f t="shared" si="29"/>
        <v>1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-3483963.96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ht="12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v>0</v>
      </c>
      <c r="AA85" s="312">
        <v>0</v>
      </c>
      <c r="AB85" s="312">
        <v>0</v>
      </c>
      <c r="AC85" s="313">
        <v>0</v>
      </c>
      <c r="AD85" s="312">
        <v>0</v>
      </c>
      <c r="AE85" s="312">
        <v>0</v>
      </c>
      <c r="AF85" s="315">
        <f>SUM(U85:AD85)</f>
        <v>0</v>
      </c>
      <c r="AG85" s="313">
        <f>AF85-O85</f>
        <v>0</v>
      </c>
      <c r="AH85" s="1" t="b">
        <f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0">
        <v>0</v>
      </c>
      <c r="K86" s="297">
        <f t="shared" ref="K86:K89" si="34">D86-E86-F86-G86-H86-I86-J86</f>
        <v>0</v>
      </c>
      <c r="L86" s="296">
        <v>0</v>
      </c>
      <c r="M86" s="297">
        <f>K86-L86</f>
        <v>0</v>
      </c>
      <c r="N86" s="296">
        <v>0</v>
      </c>
      <c r="O86" s="297">
        <f t="shared" ref="O86:O89" si="35">M86+N86</f>
        <v>0</v>
      </c>
      <c r="Q86" s="308"/>
      <c r="S86" s="316">
        <v>2</v>
      </c>
      <c r="T86" s="317" t="s">
        <v>11</v>
      </c>
      <c r="U86" s="318">
        <v>0</v>
      </c>
      <c r="V86" s="319">
        <v>0</v>
      </c>
      <c r="W86" s="319">
        <v>0</v>
      </c>
      <c r="X86" s="319">
        <v>0</v>
      </c>
      <c r="Y86" s="320">
        <v>0</v>
      </c>
      <c r="Z86" s="321">
        <v>0</v>
      </c>
      <c r="AA86" s="321">
        <v>0</v>
      </c>
      <c r="AB86" s="321">
        <v>0</v>
      </c>
      <c r="AC86" s="322">
        <v>0</v>
      </c>
      <c r="AD86" s="321">
        <v>0</v>
      </c>
      <c r="AE86" s="321">
        <v>0</v>
      </c>
      <c r="AF86" s="324">
        <f>SUM(U86:AD86)</f>
        <v>0</v>
      </c>
      <c r="AG86" s="325">
        <f>AF86-O86</f>
        <v>0</v>
      </c>
      <c r="AH86" s="1" t="b">
        <f t="shared" ref="AH86:AH90" si="36">INT(AG86)=0</f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4"/>
        <v>0</v>
      </c>
      <c r="L87" s="296">
        <v>0</v>
      </c>
      <c r="M87" s="297">
        <f>K87-L87</f>
        <v>0</v>
      </c>
      <c r="N87" s="296">
        <v>0</v>
      </c>
      <c r="O87" s="297">
        <f t="shared" si="35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v>0</v>
      </c>
      <c r="AA87" s="321">
        <v>0</v>
      </c>
      <c r="AB87" s="321">
        <v>0</v>
      </c>
      <c r="AC87" s="322">
        <v>0</v>
      </c>
      <c r="AD87" s="321">
        <v>0</v>
      </c>
      <c r="AE87" s="321">
        <v>0</v>
      </c>
      <c r="AF87" s="324">
        <f t="shared" ref="AF87:AF89" si="37">SUM(U87:AD87)</f>
        <v>0</v>
      </c>
      <c r="AG87" s="325">
        <f>AF87-O87</f>
        <v>0</v>
      </c>
      <c r="AH87" s="1" t="b">
        <f t="shared" si="36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0">
        <v>0</v>
      </c>
      <c r="K88" s="297">
        <f t="shared" si="34"/>
        <v>0</v>
      </c>
      <c r="L88" s="296">
        <v>0</v>
      </c>
      <c r="M88" s="297">
        <f>K88-L88</f>
        <v>0</v>
      </c>
      <c r="N88" s="296">
        <v>0</v>
      </c>
      <c r="O88" s="297">
        <f t="shared" si="35"/>
        <v>0</v>
      </c>
      <c r="Q88" s="308"/>
      <c r="S88" s="316">
        <v>4</v>
      </c>
      <c r="T88" s="317" t="s">
        <v>13</v>
      </c>
      <c r="U88" s="318">
        <v>0</v>
      </c>
      <c r="V88" s="319">
        <v>0</v>
      </c>
      <c r="W88" s="319">
        <v>0</v>
      </c>
      <c r="X88" s="319">
        <v>0</v>
      </c>
      <c r="Y88" s="320">
        <v>0</v>
      </c>
      <c r="Z88" s="321">
        <v>0</v>
      </c>
      <c r="AA88" s="321">
        <v>0</v>
      </c>
      <c r="AB88" s="321">
        <v>0</v>
      </c>
      <c r="AC88" s="322">
        <v>0</v>
      </c>
      <c r="AD88" s="321">
        <v>0</v>
      </c>
      <c r="AE88" s="321">
        <v>0</v>
      </c>
      <c r="AF88" s="324">
        <f t="shared" si="37"/>
        <v>0</v>
      </c>
      <c r="AG88" s="325">
        <f>AF88-O88</f>
        <v>0</v>
      </c>
      <c r="AH88" s="1" t="b">
        <f t="shared" si="36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4"/>
        <v>0</v>
      </c>
      <c r="L89" s="296">
        <v>0</v>
      </c>
      <c r="M89" s="300">
        <f>K89-L89</f>
        <v>0</v>
      </c>
      <c r="N89" s="301">
        <v>0</v>
      </c>
      <c r="O89" s="300">
        <f t="shared" si="35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v>0</v>
      </c>
      <c r="AA89" s="321">
        <v>0</v>
      </c>
      <c r="AB89" s="321">
        <v>0</v>
      </c>
      <c r="AC89" s="322">
        <v>0</v>
      </c>
      <c r="AD89" s="321">
        <v>0</v>
      </c>
      <c r="AE89" s="321">
        <v>0</v>
      </c>
      <c r="AF89" s="324">
        <f t="shared" si="37"/>
        <v>0</v>
      </c>
      <c r="AG89" s="328">
        <f>AF89-O89</f>
        <v>0</v>
      </c>
      <c r="AH89" s="1" t="b">
        <f t="shared" si="36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 t="shared" ref="D90:O90" si="38">SUM(D85:D89)</f>
        <v>0</v>
      </c>
      <c r="E90" s="292">
        <f t="shared" si="38"/>
        <v>0</v>
      </c>
      <c r="F90" s="292">
        <f t="shared" si="38"/>
        <v>0</v>
      </c>
      <c r="G90" s="292">
        <f t="shared" si="38"/>
        <v>0</v>
      </c>
      <c r="H90" s="292">
        <f t="shared" si="38"/>
        <v>0</v>
      </c>
      <c r="I90" s="292">
        <f t="shared" si="38"/>
        <v>0</v>
      </c>
      <c r="J90" s="292">
        <f t="shared" si="38"/>
        <v>0</v>
      </c>
      <c r="K90" s="302">
        <f t="shared" si="38"/>
        <v>0</v>
      </c>
      <c r="L90" s="303">
        <f t="shared" si="38"/>
        <v>0</v>
      </c>
      <c r="M90" s="304">
        <f t="shared" si="38"/>
        <v>0</v>
      </c>
      <c r="N90" s="303">
        <f t="shared" si="38"/>
        <v>0</v>
      </c>
      <c r="O90" s="304">
        <f t="shared" si="38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39">SUM(V85:V89)</f>
        <v>0</v>
      </c>
      <c r="W90" s="332">
        <f t="shared" si="39"/>
        <v>0</v>
      </c>
      <c r="X90" s="332">
        <f t="shared" si="39"/>
        <v>0</v>
      </c>
      <c r="Y90" s="332">
        <f t="shared" si="39"/>
        <v>0</v>
      </c>
      <c r="Z90" s="292">
        <f t="shared" si="39"/>
        <v>0</v>
      </c>
      <c r="AA90" s="292">
        <f t="shared" si="39"/>
        <v>0</v>
      </c>
      <c r="AB90" s="292">
        <f t="shared" si="39"/>
        <v>0</v>
      </c>
      <c r="AC90" s="292">
        <f t="shared" si="39"/>
        <v>0</v>
      </c>
      <c r="AD90" s="292">
        <f t="shared" si="39"/>
        <v>0</v>
      </c>
      <c r="AE90" s="292">
        <f t="shared" si="39"/>
        <v>0</v>
      </c>
      <c r="AF90" s="333">
        <f t="shared" si="39"/>
        <v>0</v>
      </c>
      <c r="AG90" s="334">
        <f t="shared" si="39"/>
        <v>0</v>
      </c>
      <c r="AH90" s="1" t="b">
        <f t="shared" si="36"/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0" t="s">
        <v>17</v>
      </c>
      <c r="D101" s="9">
        <f>D6</f>
        <v>46314</v>
      </c>
      <c r="F101" s="58" t="s">
        <v>218</v>
      </c>
      <c r="G101" s="58"/>
      <c r="H101" s="59"/>
      <c r="I101" s="60"/>
      <c r="J101" s="59"/>
      <c r="K101" s="60"/>
      <c r="L101" s="47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ht="12" x14ac:dyDescent="0.25">
      <c r="B104" s="305">
        <v>1</v>
      </c>
      <c r="C104" s="306" t="s">
        <v>10</v>
      </c>
      <c r="D104" s="293">
        <f t="shared" ref="D104:J108" si="40">D9+D28+D47+D66+D85</f>
        <v>347479005.47999996</v>
      </c>
      <c r="E104" s="294">
        <f t="shared" si="40"/>
        <v>33709786.700000003</v>
      </c>
      <c r="F104" s="294">
        <f t="shared" si="40"/>
        <v>18797012.640000001</v>
      </c>
      <c r="G104" s="294">
        <f t="shared" si="40"/>
        <v>10025566.59</v>
      </c>
      <c r="H104" s="294">
        <f t="shared" si="40"/>
        <v>39843271.020000003</v>
      </c>
      <c r="I104" s="294">
        <f t="shared" si="40"/>
        <v>1197924.1499999999</v>
      </c>
      <c r="J104" s="290">
        <f t="shared" si="40"/>
        <v>0</v>
      </c>
      <c r="K104" s="295">
        <f>D104-E104-F104-G104-H104-I104-J104</f>
        <v>243905444.38</v>
      </c>
      <c r="L104" s="296">
        <f>L9+L28+L47+L66+L85</f>
        <v>0</v>
      </c>
      <c r="M104" s="295">
        <f>K104-L104</f>
        <v>243905444.38</v>
      </c>
      <c r="N104" s="296">
        <f>N9+N28+N47+N66+N85</f>
        <v>9993768.9299999997</v>
      </c>
      <c r="O104" s="295">
        <f>M104+N104</f>
        <v>253899213.31</v>
      </c>
      <c r="Q104" s="308"/>
      <c r="S104" s="305">
        <v>1</v>
      </c>
      <c r="T104" s="306" t="s">
        <v>10</v>
      </c>
      <c r="U104" s="309">
        <f t="shared" ref="U104:AB108" si="41">U9+U28+U47+U66+U85</f>
        <v>10408704.110000001</v>
      </c>
      <c r="V104" s="310">
        <f t="shared" si="41"/>
        <v>13142457.219999999</v>
      </c>
      <c r="W104" s="310">
        <f t="shared" si="41"/>
        <v>62102345.619999997</v>
      </c>
      <c r="X104" s="310">
        <f t="shared" si="41"/>
        <v>92068448.899999991</v>
      </c>
      <c r="Y104" s="311">
        <f t="shared" si="41"/>
        <v>1953275.67</v>
      </c>
      <c r="Z104" s="312">
        <f t="shared" si="41"/>
        <v>0</v>
      </c>
      <c r="AA104" s="313">
        <f t="shared" si="41"/>
        <v>-3450.4900000000002</v>
      </c>
      <c r="AB104" s="296">
        <f t="shared" si="41"/>
        <v>9993768.9299999997</v>
      </c>
      <c r="AC104" s="314">
        <f t="shared" ref="AC104" si="42">AC9+AC28+AC47+AC66+AC85</f>
        <v>0.09</v>
      </c>
      <c r="AD104" s="293">
        <f>-J104+AE104</f>
        <v>64233663.259999998</v>
      </c>
      <c r="AE104" s="293">
        <f>AE9+AE28+AE47+AE66+AE85</f>
        <v>64233663.259999998</v>
      </c>
      <c r="AF104" s="315">
        <f>SUM(U104:AD104)</f>
        <v>253899213.30999994</v>
      </c>
      <c r="AG104" s="313">
        <f>AF104-O104</f>
        <v>0</v>
      </c>
      <c r="AH104" s="1" t="b">
        <f>INT(AG104)=0</f>
        <v>1</v>
      </c>
      <c r="AI104" s="308"/>
    </row>
    <row r="105" spans="2:36" s="307" customFormat="1" ht="12" x14ac:dyDescent="0.25">
      <c r="B105" s="316">
        <v>2</v>
      </c>
      <c r="C105" s="317" t="s">
        <v>11</v>
      </c>
      <c r="D105" s="293">
        <f t="shared" si="40"/>
        <v>982936724.74000001</v>
      </c>
      <c r="E105" s="294">
        <f t="shared" si="40"/>
        <v>115436394.94000001</v>
      </c>
      <c r="F105" s="294">
        <f t="shared" si="40"/>
        <v>63728128.359999999</v>
      </c>
      <c r="G105" s="294">
        <f t="shared" si="40"/>
        <v>33622815.390000001</v>
      </c>
      <c r="H105" s="294">
        <f t="shared" si="40"/>
        <v>121933633.41</v>
      </c>
      <c r="I105" s="294">
        <f t="shared" si="40"/>
        <v>3243143.4400000004</v>
      </c>
      <c r="J105" s="290">
        <f t="shared" si="40"/>
        <v>0</v>
      </c>
      <c r="K105" s="297">
        <f t="shared" ref="K105:K108" si="43">D105-E105-F105-G105-H105-I105-J105</f>
        <v>644972609.19999993</v>
      </c>
      <c r="L105" s="296">
        <f>L10+L29+L48+L67+L86</f>
        <v>0</v>
      </c>
      <c r="M105" s="297">
        <f>K105-L105</f>
        <v>644972609.19999993</v>
      </c>
      <c r="N105" s="296">
        <f>N10+N29+N48+N67+N86</f>
        <v>3112272.6</v>
      </c>
      <c r="O105" s="297">
        <f t="shared" ref="O105:O108" si="44">M105+N105</f>
        <v>648084881.79999995</v>
      </c>
      <c r="Q105" s="308"/>
      <c r="S105" s="316">
        <v>2</v>
      </c>
      <c r="T105" s="317" t="s">
        <v>11</v>
      </c>
      <c r="U105" s="318">
        <f t="shared" si="41"/>
        <v>29276419.260000002</v>
      </c>
      <c r="V105" s="319">
        <f t="shared" si="41"/>
        <v>38290352.970000006</v>
      </c>
      <c r="W105" s="319">
        <f t="shared" si="41"/>
        <v>179643026.97</v>
      </c>
      <c r="X105" s="319">
        <f t="shared" si="41"/>
        <v>229525936.09999999</v>
      </c>
      <c r="Y105" s="320">
        <f t="shared" si="41"/>
        <v>5254369.2600000007</v>
      </c>
      <c r="Z105" s="321">
        <f t="shared" si="41"/>
        <v>0</v>
      </c>
      <c r="AA105" s="322">
        <f t="shared" si="41"/>
        <v>-896.78</v>
      </c>
      <c r="AB105" s="296">
        <f t="shared" si="41"/>
        <v>3112272.6</v>
      </c>
      <c r="AC105" s="323">
        <f t="shared" ref="AC105" si="45">AC10+AC29+AC48+AC67+AC86</f>
        <v>6703090.0899999999</v>
      </c>
      <c r="AD105" s="293">
        <f t="shared" ref="AD105:AD107" si="46">-J105+AE105</f>
        <v>156280311.33000001</v>
      </c>
      <c r="AE105" s="293">
        <f>AE10+AE29+AE48+AE67+AE86</f>
        <v>156280311.33000001</v>
      </c>
      <c r="AF105" s="324">
        <f>SUM(U105:AD105)</f>
        <v>648084881.79999995</v>
      </c>
      <c r="AG105" s="325">
        <f>AF105-O105</f>
        <v>0</v>
      </c>
      <c r="AH105" s="1" t="b">
        <f t="shared" ref="AH105:AH109" si="47">INT(AG105)=0</f>
        <v>1</v>
      </c>
      <c r="AI105" s="308"/>
    </row>
    <row r="106" spans="2:36" s="307" customFormat="1" ht="12" x14ac:dyDescent="0.25">
      <c r="B106" s="316">
        <v>3</v>
      </c>
      <c r="C106" s="317" t="s">
        <v>12</v>
      </c>
      <c r="D106" s="293">
        <f t="shared" si="40"/>
        <v>429594685.46999997</v>
      </c>
      <c r="E106" s="294">
        <f t="shared" si="40"/>
        <v>49800648.590000004</v>
      </c>
      <c r="F106" s="294">
        <f t="shared" si="40"/>
        <v>28117430.219999999</v>
      </c>
      <c r="G106" s="294">
        <f t="shared" si="40"/>
        <v>14729119.52</v>
      </c>
      <c r="H106" s="294">
        <f t="shared" si="40"/>
        <v>22547115.34</v>
      </c>
      <c r="I106" s="294">
        <f t="shared" si="40"/>
        <v>656222.57999999996</v>
      </c>
      <c r="J106" s="290">
        <f t="shared" si="40"/>
        <v>0</v>
      </c>
      <c r="K106" s="297">
        <f t="shared" si="43"/>
        <v>313744149.22000003</v>
      </c>
      <c r="L106" s="296">
        <f>L11+L30+L49+L68+L87</f>
        <v>0</v>
      </c>
      <c r="M106" s="297">
        <f>K106-L106</f>
        <v>313744149.22000003</v>
      </c>
      <c r="N106" s="296">
        <f>N11+N30+N49+N68+N87</f>
        <v>4811611.8099999996</v>
      </c>
      <c r="O106" s="297">
        <f t="shared" si="44"/>
        <v>318555761.03000003</v>
      </c>
      <c r="Q106" s="308"/>
      <c r="S106" s="316">
        <v>3</v>
      </c>
      <c r="T106" s="317" t="s">
        <v>12</v>
      </c>
      <c r="U106" s="318">
        <f t="shared" si="41"/>
        <v>5782625.6299999999</v>
      </c>
      <c r="V106" s="319">
        <f t="shared" si="41"/>
        <v>7498488.0099999998</v>
      </c>
      <c r="W106" s="319">
        <f t="shared" si="41"/>
        <v>35441043.390000001</v>
      </c>
      <c r="X106" s="319">
        <f t="shared" si="41"/>
        <v>117928796.84</v>
      </c>
      <c r="Y106" s="320">
        <f t="shared" si="41"/>
        <v>1079402.4700000002</v>
      </c>
      <c r="Z106" s="321">
        <f t="shared" si="41"/>
        <v>0</v>
      </c>
      <c r="AA106" s="322">
        <f t="shared" si="41"/>
        <v>794.36</v>
      </c>
      <c r="AB106" s="296">
        <f t="shared" si="41"/>
        <v>4811611.8099999996</v>
      </c>
      <c r="AC106" s="323">
        <f t="shared" ref="AC106" si="48">AC11+AC30+AC49+AC68+AC87</f>
        <v>-41621.01</v>
      </c>
      <c r="AD106" s="293">
        <f t="shared" si="46"/>
        <v>146054619.53</v>
      </c>
      <c r="AE106" s="293">
        <f>AE11+AE30+AE49+AE68+AE87</f>
        <v>146054619.53</v>
      </c>
      <c r="AF106" s="324">
        <f>SUM(U106:AD106)</f>
        <v>318555761.03000003</v>
      </c>
      <c r="AG106" s="325">
        <f>AF106-O106</f>
        <v>0</v>
      </c>
      <c r="AH106" s="1" t="b">
        <f t="shared" si="47"/>
        <v>1</v>
      </c>
      <c r="AI106" s="308"/>
    </row>
    <row r="107" spans="2:36" s="307" customFormat="1" ht="12" x14ac:dyDescent="0.25">
      <c r="B107" s="316">
        <v>4</v>
      </c>
      <c r="C107" s="317" t="s">
        <v>13</v>
      </c>
      <c r="D107" s="293">
        <f t="shared" si="40"/>
        <v>594430569.70000005</v>
      </c>
      <c r="E107" s="294">
        <f t="shared" si="40"/>
        <v>52180056.310000002</v>
      </c>
      <c r="F107" s="294">
        <f t="shared" si="40"/>
        <v>28623382.409999996</v>
      </c>
      <c r="G107" s="294">
        <f t="shared" si="40"/>
        <v>15658370.209999997</v>
      </c>
      <c r="H107" s="294">
        <f t="shared" si="40"/>
        <v>64319157.820000008</v>
      </c>
      <c r="I107" s="294">
        <f t="shared" si="40"/>
        <v>1855358.4400000002</v>
      </c>
      <c r="J107" s="290">
        <f t="shared" si="40"/>
        <v>0</v>
      </c>
      <c r="K107" s="297">
        <f t="shared" si="43"/>
        <v>431794244.51000017</v>
      </c>
      <c r="L107" s="296">
        <f>L12+L31+L50+L69+L88</f>
        <v>0</v>
      </c>
      <c r="M107" s="297">
        <f>K107-L107</f>
        <v>431794244.51000017</v>
      </c>
      <c r="N107" s="296">
        <f>N12+N31+N50+N69+N88</f>
        <v>670762.75</v>
      </c>
      <c r="O107" s="297">
        <f t="shared" si="44"/>
        <v>432465007.26000017</v>
      </c>
      <c r="Q107" s="308"/>
      <c r="S107" s="316">
        <v>4</v>
      </c>
      <c r="T107" s="317" t="s">
        <v>13</v>
      </c>
      <c r="U107" s="318">
        <f t="shared" si="41"/>
        <v>16117068.039999997</v>
      </c>
      <c r="V107" s="319">
        <f t="shared" si="41"/>
        <v>20913712.34</v>
      </c>
      <c r="W107" s="319">
        <f t="shared" si="41"/>
        <v>106223496.89</v>
      </c>
      <c r="X107" s="319">
        <f t="shared" si="41"/>
        <v>138061076.84</v>
      </c>
      <c r="Y107" s="320">
        <f t="shared" si="41"/>
        <v>3040215.37</v>
      </c>
      <c r="Z107" s="321">
        <f t="shared" si="41"/>
        <v>0</v>
      </c>
      <c r="AA107" s="322">
        <f t="shared" si="41"/>
        <v>354.89000000000004</v>
      </c>
      <c r="AB107" s="296">
        <f t="shared" si="41"/>
        <v>670762.75</v>
      </c>
      <c r="AC107" s="323">
        <f t="shared" ref="AC107" si="49">AC12+AC31+AC50+AC69+AC88</f>
        <v>0.19999999999999998</v>
      </c>
      <c r="AD107" s="293">
        <f t="shared" si="46"/>
        <v>147438319.94000003</v>
      </c>
      <c r="AE107" s="293">
        <f>AE12+AE31+AE50+AE69+AE88</f>
        <v>147438319.94000003</v>
      </c>
      <c r="AF107" s="324">
        <f>SUM(U107:AD107)</f>
        <v>432465007.25999999</v>
      </c>
      <c r="AG107" s="325">
        <f>AF107-O107</f>
        <v>0</v>
      </c>
      <c r="AH107" s="1" t="b">
        <f t="shared" si="47"/>
        <v>1</v>
      </c>
      <c r="AI107" s="308"/>
    </row>
    <row r="108" spans="2:36" s="307" customFormat="1" ht="12.6" thickBot="1" x14ac:dyDescent="0.3">
      <c r="B108" s="326">
        <v>5</v>
      </c>
      <c r="C108" s="327" t="s">
        <v>14</v>
      </c>
      <c r="D108" s="298">
        <f>D13+D32+D51+D70+D89</f>
        <v>172752158.53</v>
      </c>
      <c r="E108" s="299">
        <f t="shared" si="40"/>
        <v>16329455.800000001</v>
      </c>
      <c r="F108" s="299">
        <f t="shared" si="40"/>
        <v>8928836.1199999992</v>
      </c>
      <c r="G108" s="299">
        <f t="shared" si="40"/>
        <v>4793074.6499999994</v>
      </c>
      <c r="H108" s="299">
        <f t="shared" si="40"/>
        <v>12962427.069999998</v>
      </c>
      <c r="I108" s="299">
        <f t="shared" si="40"/>
        <v>532384.06000000006</v>
      </c>
      <c r="J108" s="291">
        <f t="shared" si="40"/>
        <v>0</v>
      </c>
      <c r="K108" s="297">
        <f t="shared" si="43"/>
        <v>129205980.82999998</v>
      </c>
      <c r="L108" s="296">
        <f>L13+L32+L51+L70+L89</f>
        <v>0</v>
      </c>
      <c r="M108" s="300">
        <f>K108-L108</f>
        <v>129205980.82999998</v>
      </c>
      <c r="N108" s="301">
        <f>N13+N32+N51+N70+N89</f>
        <v>1908241.19</v>
      </c>
      <c r="O108" s="300">
        <f t="shared" si="44"/>
        <v>131114222.01999998</v>
      </c>
      <c r="Q108" s="308"/>
      <c r="S108" s="326">
        <v>5</v>
      </c>
      <c r="T108" s="327" t="s">
        <v>14</v>
      </c>
      <c r="U108" s="298">
        <f t="shared" si="41"/>
        <v>4756762.43</v>
      </c>
      <c r="V108" s="299">
        <f t="shared" si="41"/>
        <v>5680331.1400000006</v>
      </c>
      <c r="W108" s="299">
        <f t="shared" si="41"/>
        <v>30480373.290000003</v>
      </c>
      <c r="X108" s="299">
        <f t="shared" si="41"/>
        <v>48635423.340000004</v>
      </c>
      <c r="Y108" s="291">
        <f t="shared" si="41"/>
        <v>874491.08</v>
      </c>
      <c r="Z108" s="321">
        <f t="shared" si="41"/>
        <v>0</v>
      </c>
      <c r="AA108" s="322">
        <f t="shared" si="41"/>
        <v>-705.51</v>
      </c>
      <c r="AB108" s="296">
        <f t="shared" si="41"/>
        <v>1908241.19</v>
      </c>
      <c r="AC108" s="323">
        <f t="shared" ref="AC108" si="50">AC13+AC32+AC51+AC70+AC89</f>
        <v>4.9999999999999996E-2</v>
      </c>
      <c r="AD108" s="293">
        <f>-J108+AE108</f>
        <v>38779305.009999998</v>
      </c>
      <c r="AE108" s="293">
        <f>AE13+AE32+AE51+AE70+AE89</f>
        <v>38779305.009999998</v>
      </c>
      <c r="AF108" s="324">
        <f>SUM(U108:AD108)</f>
        <v>131114222.01999998</v>
      </c>
      <c r="AG108" s="328">
        <f>AF108-O108</f>
        <v>0</v>
      </c>
      <c r="AH108" s="1" t="b">
        <f t="shared" si="47"/>
        <v>1</v>
      </c>
      <c r="AI108" s="308"/>
    </row>
    <row r="109" spans="2:36" s="307" customFormat="1" ht="13.8" thickBot="1" x14ac:dyDescent="0.3">
      <c r="B109" s="329"/>
      <c r="C109" s="330" t="s">
        <v>2</v>
      </c>
      <c r="D109" s="292">
        <f t="shared" ref="D109:O109" si="51">SUM(D104:D108)</f>
        <v>2527193143.9200006</v>
      </c>
      <c r="E109" s="292">
        <f t="shared" si="51"/>
        <v>267456342.34000003</v>
      </c>
      <c r="F109" s="292">
        <f t="shared" si="51"/>
        <v>148194789.75</v>
      </c>
      <c r="G109" s="292">
        <f t="shared" si="51"/>
        <v>78828946.359999999</v>
      </c>
      <c r="H109" s="292">
        <f t="shared" si="51"/>
        <v>261605604.66000003</v>
      </c>
      <c r="I109" s="292">
        <f t="shared" si="51"/>
        <v>7485032.6699999999</v>
      </c>
      <c r="J109" s="292">
        <f t="shared" si="51"/>
        <v>0</v>
      </c>
      <c r="K109" s="302">
        <f t="shared" si="51"/>
        <v>1763622428.1400001</v>
      </c>
      <c r="L109" s="303">
        <f t="shared" si="51"/>
        <v>0</v>
      </c>
      <c r="M109" s="304">
        <f t="shared" si="51"/>
        <v>1763622428.1400001</v>
      </c>
      <c r="N109" s="303">
        <f t="shared" si="51"/>
        <v>20496657.280000001</v>
      </c>
      <c r="O109" s="304">
        <f t="shared" si="51"/>
        <v>1784119085.4200001</v>
      </c>
      <c r="P109" s="331"/>
      <c r="Q109" s="308"/>
      <c r="S109" s="329"/>
      <c r="T109" s="330" t="s">
        <v>2</v>
      </c>
      <c r="U109" s="332">
        <f>SUM(U104:U108)</f>
        <v>66341579.470000006</v>
      </c>
      <c r="V109" s="332">
        <f t="shared" ref="V109:AF109" si="52">SUM(V104:V108)</f>
        <v>85525341.680000007</v>
      </c>
      <c r="W109" s="332">
        <f t="shared" si="52"/>
        <v>413890286.16000003</v>
      </c>
      <c r="X109" s="332">
        <f t="shared" si="52"/>
        <v>626219682.0200001</v>
      </c>
      <c r="Y109" s="332">
        <f t="shared" si="52"/>
        <v>12201753.85</v>
      </c>
      <c r="Z109" s="292">
        <f t="shared" si="52"/>
        <v>0</v>
      </c>
      <c r="AA109" s="292">
        <f t="shared" si="52"/>
        <v>-3903.5300000000007</v>
      </c>
      <c r="AB109" s="472">
        <f t="shared" si="52"/>
        <v>20496657.280000001</v>
      </c>
      <c r="AC109" s="292">
        <f t="shared" ref="AC109" si="53">SUM(AC104:AC108)</f>
        <v>6661469.4199999999</v>
      </c>
      <c r="AD109" s="292">
        <f t="shared" si="52"/>
        <v>552786219.07000005</v>
      </c>
      <c r="AE109" s="292">
        <f>SUM(AE104:AE108)</f>
        <v>552786219.07000005</v>
      </c>
      <c r="AF109" s="333">
        <f t="shared" si="52"/>
        <v>1784119085.4199998</v>
      </c>
      <c r="AG109" s="334">
        <f>SUM(AG104:AG108)</f>
        <v>0</v>
      </c>
      <c r="AH109" s="1" t="b">
        <f t="shared" si="47"/>
        <v>1</v>
      </c>
      <c r="AI109" s="308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1204178643.1800001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ht="12" x14ac:dyDescent="0.25">
      <c r="B125" s="336">
        <v>1</v>
      </c>
      <c r="C125" s="337" t="s">
        <v>10</v>
      </c>
      <c r="D125" s="310">
        <f>'ANTICIPOS USUARIOS'!O3</f>
        <v>17250690.219999999</v>
      </c>
      <c r="E125" s="311">
        <v>0</v>
      </c>
      <c r="G125" s="338">
        <f>D47+N47</f>
        <v>134910</v>
      </c>
      <c r="H125" s="312">
        <f>D28+N28</f>
        <v>3856721.63</v>
      </c>
      <c r="I125" s="311">
        <f>D85+N85</f>
        <v>0</v>
      </c>
      <c r="J125" s="311">
        <f>D66+N66</f>
        <v>-134910</v>
      </c>
      <c r="K125" s="311">
        <f>'ANTICIPOS USUARIOS'!O12</f>
        <v>0</v>
      </c>
      <c r="L125" s="311">
        <f>-'ANTICIPOS USUARIOS'!O21</f>
        <v>0</v>
      </c>
      <c r="O125" s="339"/>
      <c r="Q125" s="308"/>
    </row>
    <row r="126" spans="1:35" s="307" customFormat="1" ht="12" x14ac:dyDescent="0.25">
      <c r="B126" s="316">
        <v>2</v>
      </c>
      <c r="C126" s="340" t="s">
        <v>11</v>
      </c>
      <c r="D126" s="294">
        <f>'ANTICIPOS USUARIOS'!O4</f>
        <v>29950514.969999999</v>
      </c>
      <c r="E126" s="290">
        <v>0</v>
      </c>
      <c r="G126" s="341">
        <f>D48+N48</f>
        <v>464154</v>
      </c>
      <c r="H126" s="342">
        <f>D29+N29</f>
        <v>44529691.310000002</v>
      </c>
      <c r="I126" s="290">
        <f>D86+N86</f>
        <v>0</v>
      </c>
      <c r="J126" s="290">
        <f t="shared" ref="J126:J129" si="54">D67+N67</f>
        <v>-945063</v>
      </c>
      <c r="K126" s="290">
        <f>'ANTICIPOS USUARIOS'!O13</f>
        <v>529459</v>
      </c>
      <c r="L126" s="290">
        <f>-'ANTICIPOS USUARIOS'!O22</f>
        <v>48550</v>
      </c>
      <c r="O126" s="339"/>
      <c r="Q126" s="308"/>
    </row>
    <row r="127" spans="1:35" s="307" customFormat="1" ht="12" x14ac:dyDescent="0.25">
      <c r="B127" s="316">
        <v>3</v>
      </c>
      <c r="C127" s="340" t="s">
        <v>12</v>
      </c>
      <c r="D127" s="294">
        <f>'ANTICIPOS USUARIOS'!O5</f>
        <v>4909289</v>
      </c>
      <c r="E127" s="290">
        <v>0</v>
      </c>
      <c r="G127" s="341">
        <f>D49+N49</f>
        <v>0</v>
      </c>
      <c r="H127" s="342">
        <f>D30+N30</f>
        <v>2205351.2800000003</v>
      </c>
      <c r="I127" s="290">
        <f>D87+N87</f>
        <v>0</v>
      </c>
      <c r="J127" s="290">
        <f t="shared" si="54"/>
        <v>0</v>
      </c>
      <c r="K127" s="290">
        <f>'ANTICIPOS USUARIOS'!O14</f>
        <v>0</v>
      </c>
      <c r="L127" s="290">
        <f>-'ANTICIPOS USUARIOS'!O23</f>
        <v>0</v>
      </c>
      <c r="O127" s="339"/>
      <c r="Q127" s="308"/>
    </row>
    <row r="128" spans="1:35" s="307" customFormat="1" ht="12" x14ac:dyDescent="0.25">
      <c r="B128" s="316">
        <v>4</v>
      </c>
      <c r="C128" s="340" t="s">
        <v>13</v>
      </c>
      <c r="D128" s="294">
        <f>'ANTICIPOS USUARIOS'!O6</f>
        <v>7416134</v>
      </c>
      <c r="E128" s="290">
        <v>0</v>
      </c>
      <c r="G128" s="341">
        <f>D50+N50</f>
        <v>850737</v>
      </c>
      <c r="H128" s="342">
        <f>D31+N31</f>
        <v>3374812.45</v>
      </c>
      <c r="I128" s="290">
        <f>D88+N88</f>
        <v>0</v>
      </c>
      <c r="J128" s="290">
        <f t="shared" si="54"/>
        <v>-1371252</v>
      </c>
      <c r="K128" s="290">
        <f>'ANTICIPOS USUARIOS'!O15</f>
        <v>606286</v>
      </c>
      <c r="L128" s="290">
        <f>-'ANTICIPOS USUARIOS'!O24</f>
        <v>85771</v>
      </c>
      <c r="O128" s="339"/>
      <c r="Q128" s="308"/>
    </row>
    <row r="129" spans="1:18" s="307" customFormat="1" ht="12" x14ac:dyDescent="0.25">
      <c r="B129" s="343">
        <v>5</v>
      </c>
      <c r="C129" s="344" t="s">
        <v>14</v>
      </c>
      <c r="D129" s="294">
        <f>'ANTICIPOS USUARIOS'!O7</f>
        <v>2432240</v>
      </c>
      <c r="E129" s="346">
        <v>0</v>
      </c>
      <c r="G129" s="341">
        <f>D51+N51</f>
        <v>0</v>
      </c>
      <c r="H129" s="342">
        <f>D32+N32</f>
        <v>1186886.72</v>
      </c>
      <c r="I129" s="290">
        <f>D89+N89</f>
        <v>0</v>
      </c>
      <c r="J129" s="290">
        <f t="shared" si="54"/>
        <v>0</v>
      </c>
      <c r="K129" s="290">
        <f>'ANTICIPOS USUARIOS'!O16</f>
        <v>0</v>
      </c>
      <c r="L129" s="290">
        <f>-'ANTICIPOS USUARIOS'!O25</f>
        <v>0</v>
      </c>
      <c r="O129" s="339"/>
      <c r="Q129" s="308"/>
    </row>
    <row r="130" spans="1:18" s="307" customFormat="1" ht="12.6" thickBot="1" x14ac:dyDescent="0.3">
      <c r="B130" s="326" t="s">
        <v>89</v>
      </c>
      <c r="C130" s="347" t="s">
        <v>113</v>
      </c>
      <c r="D130" s="299"/>
      <c r="E130" s="291">
        <f>'Recaudo Directa Occidente'!D26</f>
        <v>0</v>
      </c>
      <c r="G130" s="348"/>
      <c r="H130" s="349"/>
      <c r="I130" s="291"/>
      <c r="J130" s="291"/>
      <c r="K130" s="291"/>
      <c r="L130" s="291"/>
      <c r="O130" s="339"/>
      <c r="Q130" s="308"/>
    </row>
    <row r="131" spans="1:18" s="307" customFormat="1" ht="12.6" thickBot="1" x14ac:dyDescent="0.3">
      <c r="B131" s="350"/>
      <c r="C131" s="351" t="s">
        <v>2</v>
      </c>
      <c r="D131" s="352">
        <f>SUM(D125:D130)</f>
        <v>61958868.189999998</v>
      </c>
      <c r="E131" s="352">
        <f>SUM(E125:E130)</f>
        <v>0</v>
      </c>
      <c r="F131" s="353"/>
      <c r="G131" s="352">
        <f t="shared" ref="G131" si="55">SUM(G125:G129)</f>
        <v>1449801</v>
      </c>
      <c r="H131" s="352">
        <f>SUM(H125:H130)</f>
        <v>55153463.390000008</v>
      </c>
      <c r="I131" s="352">
        <f>SUM(I125:I130)</f>
        <v>0</v>
      </c>
      <c r="J131" s="352">
        <f>SUM(J125:J130)</f>
        <v>-2451225</v>
      </c>
      <c r="K131" s="352">
        <f>SUM(K125:K130)</f>
        <v>1135745</v>
      </c>
      <c r="L131" s="352">
        <f>SUM(L125:L130)</f>
        <v>134321</v>
      </c>
      <c r="M131" s="353"/>
      <c r="N131" s="353"/>
      <c r="O131" s="354"/>
      <c r="P131" s="331"/>
      <c r="Q131" s="308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374723464.63</v>
      </c>
      <c r="E142" s="110">
        <f>'Recaudo Directa Occidente'!D21</f>
        <v>370866743</v>
      </c>
      <c r="F142" s="110">
        <f>D28+N28</f>
        <v>3856721.63</v>
      </c>
      <c r="G142" s="110">
        <f>D66+N66</f>
        <v>-134910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134910</v>
      </c>
      <c r="K142" s="111">
        <f t="shared" si="56"/>
        <v>3856721.63</v>
      </c>
      <c r="L142" s="527">
        <f>D142-E142-F142-G142-J142-H142-I142</f>
        <v>-4.6566128730773926E-9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1015999512.3100001</v>
      </c>
      <c r="E143" s="18">
        <f>'Recaudo Directa Occidente'!D22</f>
        <v>971950730</v>
      </c>
      <c r="F143" s="18">
        <f>D29+N29</f>
        <v>44529691.310000002</v>
      </c>
      <c r="G143" s="18">
        <f>D67+N67</f>
        <v>-945063</v>
      </c>
      <c r="H143" s="18">
        <f>D86+N86</f>
        <v>0</v>
      </c>
      <c r="I143" s="18">
        <f>('REPORTE RECAUDO x BANCO'!E76)</f>
        <v>0</v>
      </c>
      <c r="J143" s="18">
        <f t="shared" si="56"/>
        <v>464154</v>
      </c>
      <c r="K143" s="83">
        <f t="shared" si="56"/>
        <v>44529691.310000002</v>
      </c>
      <c r="L143" s="527">
        <f>D143-E143-F143-G143-J143-H143-I143</f>
        <v>5.9604644775390625E-8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439315586.27999997</v>
      </c>
      <c r="E144" s="18">
        <f>'Recaudo Directa Occidente'!D23</f>
        <v>437110235</v>
      </c>
      <c r="F144" s="18">
        <f>D30+N30</f>
        <v>2205351.2800000003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2205351.2800000003</v>
      </c>
      <c r="L144" s="527">
        <f>D144-E144-F144-G144-J144-H144-I144</f>
        <v>-2.8870999813079834E-8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602517466.45000005</v>
      </c>
      <c r="E145" s="18">
        <f>'Recaudo Directa Occidente'!D24</f>
        <v>599663169</v>
      </c>
      <c r="F145" s="18">
        <f>D31+N31</f>
        <v>3374812.45</v>
      </c>
      <c r="G145" s="18">
        <f>D69+N69</f>
        <v>-1371252</v>
      </c>
      <c r="H145" s="18">
        <f>D88+N88</f>
        <v>0</v>
      </c>
      <c r="I145" s="18">
        <f>('REPORTE RECAUDO x BANCO'!E78)</f>
        <v>0</v>
      </c>
      <c r="J145" s="18">
        <f t="shared" si="56"/>
        <v>850737</v>
      </c>
      <c r="K145" s="83">
        <f t="shared" si="56"/>
        <v>3374812.45</v>
      </c>
      <c r="L145" s="527">
        <f>D145-E145-F145-G145-J145-H145-I145</f>
        <v>4.7497451305389404E-8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177092639.72</v>
      </c>
      <c r="E146" s="18">
        <f>'Recaudo Directa Occidente'!D25</f>
        <v>175905753</v>
      </c>
      <c r="F146" s="134">
        <f>D32+N32</f>
        <v>1186886.72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1186886.72</v>
      </c>
      <c r="L146" s="527">
        <f>D146-E146-F146-G146-J146-H146-I146</f>
        <v>-1.1641532182693481E-9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2609648669.3899999</v>
      </c>
      <c r="E147" s="47">
        <f>SUM(E142:E146)</f>
        <v>2555496630</v>
      </c>
      <c r="F147" s="47">
        <f t="shared" ref="F147:K147" si="58">SUM(F142:F146)</f>
        <v>55153463.390000008</v>
      </c>
      <c r="G147" s="47">
        <f t="shared" si="58"/>
        <v>-2451225</v>
      </c>
      <c r="H147" s="47">
        <f t="shared" si="58"/>
        <v>0</v>
      </c>
      <c r="I147" s="47">
        <f t="shared" si="58"/>
        <v>0</v>
      </c>
      <c r="J147" s="47">
        <f t="shared" si="58"/>
        <v>1449801</v>
      </c>
      <c r="K147" s="47">
        <f t="shared" si="58"/>
        <v>55153463.390000008</v>
      </c>
      <c r="L147" s="527">
        <f>SUM(L142:L146)</f>
        <v>7.2410330176353455E-8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7"/>
      <c r="N154" s="24"/>
      <c r="O154" s="24"/>
      <c r="Q154" s="24"/>
      <c r="T154" s="24"/>
    </row>
    <row r="155" spans="1:20" x14ac:dyDescent="0.2">
      <c r="E155" s="307"/>
      <c r="N155" s="24"/>
      <c r="O155" s="24"/>
      <c r="Q155" s="24"/>
      <c r="T155" s="24"/>
    </row>
    <row r="156" spans="1:20" x14ac:dyDescent="0.2">
      <c r="E156" s="307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A96" sqref="A96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Directa Occidente'!D21</f>
        <v>370866743</v>
      </c>
      <c r="D3" s="294">
        <f>'REMUNERACION_OCCIDENTE_ Directa'!G125</f>
        <v>134910</v>
      </c>
      <c r="E3" s="294">
        <f>'REMUNERACION_OCCIDENTE_ Directa'!D28+'REMUNERACION_OCCIDENTE_ Directa'!N28</f>
        <v>3856721.63</v>
      </c>
      <c r="F3" s="294">
        <f>'REMUNERACION_OCCIDENTE_ Directa'!I142</f>
        <v>0</v>
      </c>
      <c r="G3" s="294">
        <f>'REMUNERACION_OCCIDENTE_ Directa'!H142</f>
        <v>0</v>
      </c>
      <c r="H3" s="342">
        <f>SUM(C3:G3)</f>
        <v>374858374.63</v>
      </c>
      <c r="I3" s="293">
        <f>'REMUNERACION_OCCIDENTE_ Directa'!D104</f>
        <v>347479005.47999996</v>
      </c>
      <c r="J3" s="294">
        <f>'REMUNERACION_OCCIDENTE_ Directa'!N104</f>
        <v>9993768.9299999997</v>
      </c>
      <c r="K3" s="294">
        <f>'REMUNERACION_OCCIDENTE_ Directa'!D125</f>
        <v>17250690.219999999</v>
      </c>
      <c r="L3" s="355">
        <f>'REMUNERACION_OCCIDENTE_ Directa'!E125</f>
        <v>0</v>
      </c>
      <c r="M3" s="294">
        <f>-'REMUNERACION_OCCIDENTE_ Directa'!D66-'REMUNERACION_OCCIDENTE_ Directa'!N66</f>
        <v>134910</v>
      </c>
      <c r="N3" s="290">
        <f>SUM(I3:M3)</f>
        <v>374858374.63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Directa Occidente'!D22</f>
        <v>971950730</v>
      </c>
      <c r="D4" s="294">
        <f>'REMUNERACION_OCCIDENTE_ Directa'!G126</f>
        <v>464154</v>
      </c>
      <c r="E4" s="294">
        <f>'REMUNERACION_OCCIDENTE_ Directa'!D29+'REMUNERACION_OCCIDENTE_ Directa'!N29</f>
        <v>44529691.310000002</v>
      </c>
      <c r="F4" s="294">
        <f>'REMUNERACION_OCCIDENTE_ Directa'!I143</f>
        <v>0</v>
      </c>
      <c r="G4" s="294">
        <f>'REMUNERACION_OCCIDENTE_ Directa'!H143</f>
        <v>0</v>
      </c>
      <c r="H4" s="342">
        <f t="shared" ref="H4:H8" si="1">SUM(C4:G4)</f>
        <v>1016944575.3099999</v>
      </c>
      <c r="I4" s="293">
        <f>'REMUNERACION_OCCIDENTE_ Directa'!D105</f>
        <v>982936724.74000001</v>
      </c>
      <c r="J4" s="294">
        <f>'REMUNERACION_OCCIDENTE_ Directa'!N105</f>
        <v>3112272.6</v>
      </c>
      <c r="K4" s="294">
        <f>'REMUNERACION_OCCIDENTE_ Directa'!D126</f>
        <v>29950514.969999999</v>
      </c>
      <c r="L4" s="355">
        <f>'REMUNERACION_OCCIDENTE_ Directa'!E126</f>
        <v>0</v>
      </c>
      <c r="M4" s="294">
        <f>-'REMUNERACION_OCCIDENTE_ Directa'!D67-'REMUNERACION_OCCIDENTE_ Directa'!N67</f>
        <v>945063</v>
      </c>
      <c r="N4" s="320">
        <f>SUM(I4:M4)</f>
        <v>1016944575.3100001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Directa Occidente'!D23</f>
        <v>437110235</v>
      </c>
      <c r="D5" s="294">
        <f>'REMUNERACION_OCCIDENTE_ Directa'!G127</f>
        <v>0</v>
      </c>
      <c r="E5" s="294">
        <f>'REMUNERACION_OCCIDENTE_ Directa'!D30+'REMUNERACION_OCCIDENTE_ Directa'!N30</f>
        <v>2205351.2800000003</v>
      </c>
      <c r="F5" s="294">
        <f>'REMUNERACION_OCCIDENTE_ Directa'!I144</f>
        <v>0</v>
      </c>
      <c r="G5" s="294">
        <f>'REMUNERACION_OCCIDENTE_ Directa'!H144</f>
        <v>0</v>
      </c>
      <c r="H5" s="342">
        <f t="shared" si="1"/>
        <v>439315586.27999997</v>
      </c>
      <c r="I5" s="293">
        <f>'REMUNERACION_OCCIDENTE_ Directa'!D106</f>
        <v>429594685.46999997</v>
      </c>
      <c r="J5" s="294">
        <f>'REMUNERACION_OCCIDENTE_ Directa'!N106</f>
        <v>4811611.8099999996</v>
      </c>
      <c r="K5" s="294">
        <f>'REMUNERACION_OCCIDENTE_ Directa'!D127</f>
        <v>4909289</v>
      </c>
      <c r="L5" s="355">
        <f>'REMUNERACION_OCCIDENTE_ Directa'!E127</f>
        <v>0</v>
      </c>
      <c r="M5" s="294">
        <f>-'REMUNERACION_OCCIDENTE_ Directa'!D68-'REMUNERACION_OCCIDENTE_ Directa'!N68</f>
        <v>0</v>
      </c>
      <c r="N5" s="320">
        <f>SUM(I5:M5)</f>
        <v>439315586.27999997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Directa Occidente'!D24</f>
        <v>599663169</v>
      </c>
      <c r="D6" s="294">
        <f>'REMUNERACION_OCCIDENTE_ Directa'!G128</f>
        <v>850737</v>
      </c>
      <c r="E6" s="294">
        <f>'REMUNERACION_OCCIDENTE_ Directa'!D31+'REMUNERACION_OCCIDENTE_ Directa'!N31</f>
        <v>3374812.45</v>
      </c>
      <c r="F6" s="294">
        <f>'REMUNERACION_OCCIDENTE_ Directa'!I145</f>
        <v>0</v>
      </c>
      <c r="G6" s="294">
        <f>'REMUNERACION_OCCIDENTE_ Directa'!H145</f>
        <v>0</v>
      </c>
      <c r="H6" s="342">
        <f t="shared" si="1"/>
        <v>603888718.45000005</v>
      </c>
      <c r="I6" s="293">
        <f>'REMUNERACION_OCCIDENTE_ Directa'!D107</f>
        <v>594430569.70000005</v>
      </c>
      <c r="J6" s="294">
        <f>'REMUNERACION_OCCIDENTE_ Directa'!N107</f>
        <v>670762.75</v>
      </c>
      <c r="K6" s="294">
        <f>'REMUNERACION_OCCIDENTE_ Directa'!D128</f>
        <v>7416134</v>
      </c>
      <c r="L6" s="355">
        <f>'REMUNERACION_OCCIDENTE_ Directa'!E128</f>
        <v>0</v>
      </c>
      <c r="M6" s="294">
        <f>-'REMUNERACION_OCCIDENTE_ Directa'!D69-'REMUNERACION_OCCIDENTE_ Directa'!N69</f>
        <v>1371252</v>
      </c>
      <c r="N6" s="320">
        <f t="shared" ref="N6:N7" si="3">SUM(I6:M6)</f>
        <v>603888718.45000005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Directa Occidente'!D25</f>
        <v>175905753</v>
      </c>
      <c r="D7" s="294">
        <f>'REMUNERACION_OCCIDENTE_ Directa'!G129</f>
        <v>0</v>
      </c>
      <c r="E7" s="294">
        <f>'REMUNERACION_OCCIDENTE_ Directa'!D32+'REMUNERACION_OCCIDENTE_ Directa'!N32</f>
        <v>1186886.72</v>
      </c>
      <c r="F7" s="294">
        <f>'REMUNERACION_OCCIDENTE_ Directa'!I146</f>
        <v>0</v>
      </c>
      <c r="G7" s="294">
        <f>'REMUNERACION_OCCIDENTE_ Directa'!H146</f>
        <v>0</v>
      </c>
      <c r="H7" s="342">
        <f t="shared" si="1"/>
        <v>177092639.72</v>
      </c>
      <c r="I7" s="293">
        <f>'REMUNERACION_OCCIDENTE_ Directa'!D108</f>
        <v>172752158.53</v>
      </c>
      <c r="J7" s="294">
        <f>'REMUNERACION_OCCIDENTE_ Directa'!N108</f>
        <v>1908241.19</v>
      </c>
      <c r="K7" s="294">
        <f>'REMUNERACION_OCCIDENTE_ Directa'!D129</f>
        <v>2432240</v>
      </c>
      <c r="L7" s="355">
        <f>'REMUNERACION_OCCIDENTE_ Directa'!E129</f>
        <v>0</v>
      </c>
      <c r="M7" s="294">
        <f>-'REMUNERACION_OCCIDENTE_ Directa'!D70-'REMUNERACION_OCCIDENTE_ Directa'!N70</f>
        <v>0</v>
      </c>
      <c r="N7" s="320">
        <f t="shared" si="3"/>
        <v>177092639.72</v>
      </c>
      <c r="O7" s="356">
        <f>H7-N7</f>
        <v>0</v>
      </c>
      <c r="P7" s="1" t="b">
        <f t="shared" si="2"/>
        <v>1</v>
      </c>
    </row>
    <row r="8" spans="2:16" s="357" customFormat="1" ht="13.8" thickBot="1" x14ac:dyDescent="0.3">
      <c r="B8" s="343" t="s">
        <v>89</v>
      </c>
      <c r="C8" s="319">
        <f>'Recaudo Directa Occidente'!D26</f>
        <v>0</v>
      </c>
      <c r="D8" s="358">
        <v>0</v>
      </c>
      <c r="E8" s="358">
        <v>0</v>
      </c>
      <c r="F8" s="294"/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'REMUNERACION_OCCIDENTE_ Directa'!E130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.8" thickBot="1" x14ac:dyDescent="0.3">
      <c r="B9" s="329"/>
      <c r="C9" s="292">
        <f>SUM(C3:C8)</f>
        <v>2555496630</v>
      </c>
      <c r="D9" s="292">
        <f t="shared" ref="D9:M9" si="4">SUM(D3:D8)</f>
        <v>1449801</v>
      </c>
      <c r="E9" s="292">
        <f>SUM(E3:E8)</f>
        <v>55153463.390000008</v>
      </c>
      <c r="F9" s="292">
        <f t="shared" si="4"/>
        <v>0</v>
      </c>
      <c r="G9" s="292">
        <f t="shared" si="4"/>
        <v>0</v>
      </c>
      <c r="H9" s="292">
        <f t="shared" si="4"/>
        <v>2612099894.3899999</v>
      </c>
      <c r="I9" s="292">
        <f t="shared" si="4"/>
        <v>2527193143.9200006</v>
      </c>
      <c r="J9" s="292">
        <f t="shared" si="4"/>
        <v>20496657.280000001</v>
      </c>
      <c r="K9" s="292">
        <f t="shared" si="4"/>
        <v>61958868.189999998</v>
      </c>
      <c r="L9" s="292">
        <f t="shared" si="4"/>
        <v>0</v>
      </c>
      <c r="M9" s="292">
        <f t="shared" si="4"/>
        <v>2451225</v>
      </c>
      <c r="N9" s="292">
        <f>SUM(N3:N8)</f>
        <v>2612099894.3899999</v>
      </c>
      <c r="O9" s="361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Recaudo'!E10</f>
        <v>2555496630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'REMUNERACION_OCCIDENTE_ Directa'!D101</f>
        <v>46314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89">
        <f>'REMUNERACION_OCCIDENTE_ Directa'!D102</f>
        <v>0.58333333333333337</v>
      </c>
      <c r="F7" s="2" t="s">
        <v>27</v>
      </c>
      <c r="G7" s="9">
        <f>'REMUNERACION_OCCIDENTE_ Directa'!G102</f>
        <v>46296</v>
      </c>
      <c r="J7" s="2" t="s">
        <v>28</v>
      </c>
      <c r="K7" s="9">
        <f>'REMUNERACION_OCCIDENTE_ Directa'!K102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347479005.47999996</v>
      </c>
      <c r="E9" s="66">
        <f>'REMUNERACION_OCCIDENTE_ Directa'!E104</f>
        <v>33709786.700000003</v>
      </c>
      <c r="F9" s="66">
        <f>'REMUNERACION_OCCIDENTE_ Directa'!F104</f>
        <v>18797012.640000001</v>
      </c>
      <c r="G9" s="66">
        <f>'REMUNERACION_OCCIDENTE_ Directa'!G104</f>
        <v>10025566.59</v>
      </c>
      <c r="H9" s="66">
        <f>'REMUNERACION_OCCIDENTE_ Directa'!H104</f>
        <v>39843271.020000003</v>
      </c>
      <c r="I9" s="66">
        <f>'REMUNERACION_OCCIDENTE_ Directa'!I104</f>
        <v>1197924.1499999999</v>
      </c>
      <c r="J9" s="66">
        <f>'REMUNERACION_OCCIDENTE_ Directa'!J104</f>
        <v>0</v>
      </c>
      <c r="K9" s="30">
        <f>D9-E9-F9-G9-H9-I9-J9</f>
        <v>243905444.38</v>
      </c>
      <c r="L9" s="66">
        <f>'REMUNERACION_OCCIDENTE_ Directa'!L104</f>
        <v>0</v>
      </c>
      <c r="M9" s="30">
        <f>K9-L9</f>
        <v>243905444.38</v>
      </c>
      <c r="N9" s="66">
        <f>'REMUNERACION_OCCIDENTE_ Directa'!N104</f>
        <v>9993768.9299999997</v>
      </c>
      <c r="O9" s="30">
        <f>M9+N9</f>
        <v>253899213.31</v>
      </c>
      <c r="Q9" s="4"/>
      <c r="S9" s="14">
        <v>1</v>
      </c>
      <c r="T9" s="61" t="s">
        <v>10</v>
      </c>
      <c r="U9" s="66">
        <f>'REMUNERACION_OCCIDENTE_ Directa'!U104</f>
        <v>10408704.110000001</v>
      </c>
      <c r="V9" s="66">
        <f>'REMUNERACION_OCCIDENTE_ Directa'!V104</f>
        <v>13142457.219999999</v>
      </c>
      <c r="W9" s="66">
        <f>'REMUNERACION_OCCIDENTE_ Directa'!W104</f>
        <v>62102345.619999997</v>
      </c>
      <c r="X9" s="66">
        <f>'REMUNERACION_OCCIDENTE_ Directa'!X104</f>
        <v>92068448.899999991</v>
      </c>
      <c r="Y9" s="66">
        <f>'REMUNERACION_OCCIDENTE_ Directa'!Y104</f>
        <v>1953275.67</v>
      </c>
      <c r="Z9" s="66">
        <f>'REMUNERACION_OCCIDENTE_ Directa'!Z104</f>
        <v>0</v>
      </c>
      <c r="AA9" s="66">
        <f>'REMUNERACION_OCCIDENTE_ Directa'!AA104</f>
        <v>-3450.4900000000002</v>
      </c>
      <c r="AB9" s="66">
        <f>'REMUNERACION_OCCIDENTE_ Directa'!AB104</f>
        <v>9993768.9299999997</v>
      </c>
      <c r="AC9" s="66">
        <f>'REMUNERACION_OCCIDENTE_ Directa'!AC104</f>
        <v>0.09</v>
      </c>
      <c r="AD9" s="66">
        <f>'REMUNERACION_OCCIDENTE_ Directa'!AD104</f>
        <v>64233663.259999998</v>
      </c>
      <c r="AE9" s="66">
        <f>'REMUNERACION_OCCIDENTE_ Directa'!AE104</f>
        <v>64233663.259999998</v>
      </c>
      <c r="AF9" s="69">
        <f>SUM(U9:AD9)</f>
        <v>253899213.30999994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982936724.74000001</v>
      </c>
      <c r="E10" s="66">
        <f>'REMUNERACION_OCCIDENTE_ Directa'!E105</f>
        <v>115436394.94000001</v>
      </c>
      <c r="F10" s="66">
        <f>'REMUNERACION_OCCIDENTE_ Directa'!F105</f>
        <v>63728128.359999999</v>
      </c>
      <c r="G10" s="66">
        <f>'REMUNERACION_OCCIDENTE_ Directa'!G105</f>
        <v>33622815.390000001</v>
      </c>
      <c r="H10" s="66">
        <f>'REMUNERACION_OCCIDENTE_ Directa'!H105</f>
        <v>121933633.41</v>
      </c>
      <c r="I10" s="66">
        <f>'REMUNERACION_OCCIDENTE_ Directa'!I105</f>
        <v>3243143.4400000004</v>
      </c>
      <c r="J10" s="66">
        <f>'REMUNERACION_OCCIDENTE_ Directa'!J105</f>
        <v>0</v>
      </c>
      <c r="K10" s="31">
        <f t="shared" ref="K10:K13" si="0">D10-E10-F10-G10-H10-I10-J10</f>
        <v>644972609.19999993</v>
      </c>
      <c r="L10" s="66">
        <f>'REMUNERACION_OCCIDENTE_ Directa'!L105</f>
        <v>0</v>
      </c>
      <c r="M10" s="31">
        <f>K10-L10</f>
        <v>644972609.19999993</v>
      </c>
      <c r="N10" s="66">
        <f>'REMUNERACION_OCCIDENTE_ Directa'!N105</f>
        <v>3112272.6</v>
      </c>
      <c r="O10" s="31">
        <f t="shared" ref="O10:O13" si="1">M10+N10</f>
        <v>648084881.79999995</v>
      </c>
      <c r="Q10" s="4"/>
      <c r="S10" s="16">
        <v>2</v>
      </c>
      <c r="T10" s="62" t="s">
        <v>11</v>
      </c>
      <c r="U10" s="66">
        <f>'REMUNERACION_OCCIDENTE_ Directa'!U105</f>
        <v>29276419.260000002</v>
      </c>
      <c r="V10" s="66">
        <f>'REMUNERACION_OCCIDENTE_ Directa'!V105</f>
        <v>38290352.970000006</v>
      </c>
      <c r="W10" s="66">
        <f>'REMUNERACION_OCCIDENTE_ Directa'!W105</f>
        <v>179643026.97</v>
      </c>
      <c r="X10" s="66">
        <f>'REMUNERACION_OCCIDENTE_ Directa'!X105</f>
        <v>229525936.09999999</v>
      </c>
      <c r="Y10" s="66">
        <f>'REMUNERACION_OCCIDENTE_ Directa'!Y105</f>
        <v>5254369.2600000007</v>
      </c>
      <c r="Z10" s="66">
        <f>'REMUNERACION_OCCIDENTE_ Directa'!Z105</f>
        <v>0</v>
      </c>
      <c r="AA10" s="66">
        <f>'REMUNERACION_OCCIDENTE_ Directa'!AA105</f>
        <v>-896.78</v>
      </c>
      <c r="AB10" s="66">
        <f>'REMUNERACION_OCCIDENTE_ Directa'!AB105</f>
        <v>3112272.6</v>
      </c>
      <c r="AC10" s="66">
        <f>'REMUNERACION_OCCIDENTE_ Directa'!AC105</f>
        <v>6703090.0899999999</v>
      </c>
      <c r="AD10" s="66">
        <f>'REMUNERACION_OCCIDENTE_ Directa'!AD105</f>
        <v>156280311.33000001</v>
      </c>
      <c r="AE10" s="66">
        <f>'REMUNERACION_OCCIDENTE_ Directa'!AE105</f>
        <v>156280311.33000001</v>
      </c>
      <c r="AF10" s="70">
        <f>SUM(U10:AD10)</f>
        <v>648084881.79999995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429594685.46999997</v>
      </c>
      <c r="E11" s="66">
        <f>'REMUNERACION_OCCIDENTE_ Directa'!E106</f>
        <v>49800648.590000004</v>
      </c>
      <c r="F11" s="66">
        <f>'REMUNERACION_OCCIDENTE_ Directa'!F106</f>
        <v>28117430.219999999</v>
      </c>
      <c r="G11" s="66">
        <f>'REMUNERACION_OCCIDENTE_ Directa'!G106</f>
        <v>14729119.52</v>
      </c>
      <c r="H11" s="66">
        <f>'REMUNERACION_OCCIDENTE_ Directa'!H106</f>
        <v>22547115.34</v>
      </c>
      <c r="I11" s="66">
        <f>'REMUNERACION_OCCIDENTE_ Directa'!I106</f>
        <v>656222.57999999996</v>
      </c>
      <c r="J11" s="66">
        <f>'REMUNERACION_OCCIDENTE_ Directa'!J106</f>
        <v>0</v>
      </c>
      <c r="K11" s="31">
        <f t="shared" si="0"/>
        <v>313744149.22000003</v>
      </c>
      <c r="L11" s="66">
        <f>'REMUNERACION_OCCIDENTE_ Directa'!L106</f>
        <v>0</v>
      </c>
      <c r="M11" s="31">
        <f>K11-L11</f>
        <v>313744149.22000003</v>
      </c>
      <c r="N11" s="66">
        <f>'REMUNERACION_OCCIDENTE_ Directa'!N106</f>
        <v>4811611.8099999996</v>
      </c>
      <c r="O11" s="31">
        <f t="shared" si="1"/>
        <v>318555761.03000003</v>
      </c>
      <c r="Q11" s="4"/>
      <c r="S11" s="16">
        <v>3</v>
      </c>
      <c r="T11" s="62" t="s">
        <v>12</v>
      </c>
      <c r="U11" s="66">
        <f>'REMUNERACION_OCCIDENTE_ Directa'!U106</f>
        <v>5782625.6299999999</v>
      </c>
      <c r="V11" s="66">
        <f>'REMUNERACION_OCCIDENTE_ Directa'!V106</f>
        <v>7498488.0099999998</v>
      </c>
      <c r="W11" s="66">
        <f>'REMUNERACION_OCCIDENTE_ Directa'!W106</f>
        <v>35441043.390000001</v>
      </c>
      <c r="X11" s="66">
        <f>'REMUNERACION_OCCIDENTE_ Directa'!X106</f>
        <v>117928796.84</v>
      </c>
      <c r="Y11" s="66">
        <f>'REMUNERACION_OCCIDENTE_ Directa'!Y106</f>
        <v>1079402.4700000002</v>
      </c>
      <c r="Z11" s="66">
        <f>'REMUNERACION_OCCIDENTE_ Directa'!Z106</f>
        <v>0</v>
      </c>
      <c r="AA11" s="66">
        <f>'REMUNERACION_OCCIDENTE_ Directa'!AA106</f>
        <v>794.36</v>
      </c>
      <c r="AB11" s="66">
        <f>'REMUNERACION_OCCIDENTE_ Directa'!AB106</f>
        <v>4811611.8099999996</v>
      </c>
      <c r="AC11" s="66">
        <f>'REMUNERACION_OCCIDENTE_ Directa'!AC106</f>
        <v>-41621.01</v>
      </c>
      <c r="AD11" s="66">
        <f>'REMUNERACION_OCCIDENTE_ Directa'!AD106</f>
        <v>146054619.53</v>
      </c>
      <c r="AE11" s="66">
        <f>'REMUNERACION_OCCIDENTE_ Directa'!AE106</f>
        <v>146054619.53</v>
      </c>
      <c r="AF11" s="70">
        <f>SUM(U11:AD11)</f>
        <v>318555761.03000003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594430569.70000005</v>
      </c>
      <c r="E12" s="66">
        <f>'REMUNERACION_OCCIDENTE_ Directa'!E107</f>
        <v>52180056.310000002</v>
      </c>
      <c r="F12" s="66">
        <f>'REMUNERACION_OCCIDENTE_ Directa'!F107</f>
        <v>28623382.409999996</v>
      </c>
      <c r="G12" s="66">
        <f>'REMUNERACION_OCCIDENTE_ Directa'!G107</f>
        <v>15658370.209999997</v>
      </c>
      <c r="H12" s="66">
        <f>'REMUNERACION_OCCIDENTE_ Directa'!H107</f>
        <v>64319157.820000008</v>
      </c>
      <c r="I12" s="66">
        <f>'REMUNERACION_OCCIDENTE_ Directa'!I107</f>
        <v>1855358.4400000002</v>
      </c>
      <c r="J12" s="66">
        <f>'REMUNERACION_OCCIDENTE_ Directa'!J107</f>
        <v>0</v>
      </c>
      <c r="K12" s="31">
        <f t="shared" si="0"/>
        <v>431794244.51000017</v>
      </c>
      <c r="L12" s="66">
        <f>'REMUNERACION_OCCIDENTE_ Directa'!L107</f>
        <v>0</v>
      </c>
      <c r="M12" s="31">
        <f>K12-L12</f>
        <v>431794244.51000017</v>
      </c>
      <c r="N12" s="66">
        <f>'REMUNERACION_OCCIDENTE_ Directa'!N107</f>
        <v>670762.75</v>
      </c>
      <c r="O12" s="31">
        <f t="shared" si="1"/>
        <v>432465007.26000017</v>
      </c>
      <c r="Q12" s="4"/>
      <c r="S12" s="16">
        <v>4</v>
      </c>
      <c r="T12" s="62" t="s">
        <v>13</v>
      </c>
      <c r="U12" s="66">
        <f>'REMUNERACION_OCCIDENTE_ Directa'!U107</f>
        <v>16117068.039999997</v>
      </c>
      <c r="V12" s="66">
        <f>'REMUNERACION_OCCIDENTE_ Directa'!V107</f>
        <v>20913712.34</v>
      </c>
      <c r="W12" s="66">
        <f>'REMUNERACION_OCCIDENTE_ Directa'!W107</f>
        <v>106223496.89</v>
      </c>
      <c r="X12" s="66">
        <f>'REMUNERACION_OCCIDENTE_ Directa'!X107</f>
        <v>138061076.84</v>
      </c>
      <c r="Y12" s="66">
        <f>'REMUNERACION_OCCIDENTE_ Directa'!Y107</f>
        <v>3040215.37</v>
      </c>
      <c r="Z12" s="66">
        <f>'REMUNERACION_OCCIDENTE_ Directa'!Z107</f>
        <v>0</v>
      </c>
      <c r="AA12" s="66">
        <f>'REMUNERACION_OCCIDENTE_ Directa'!AA107</f>
        <v>354.89000000000004</v>
      </c>
      <c r="AB12" s="66">
        <f>'REMUNERACION_OCCIDENTE_ Directa'!AB107</f>
        <v>670762.75</v>
      </c>
      <c r="AC12" s="66">
        <f>'REMUNERACION_OCCIDENTE_ Directa'!AC107</f>
        <v>0.19999999999999998</v>
      </c>
      <c r="AD12" s="66">
        <f>'REMUNERACION_OCCIDENTE_ Directa'!AD107</f>
        <v>147438319.94000003</v>
      </c>
      <c r="AE12" s="66">
        <f>'REMUNERACION_OCCIDENTE_ Directa'!AE107</f>
        <v>147438319.94000003</v>
      </c>
      <c r="AF12" s="70">
        <f>SUM(U12:AD12)</f>
        <v>432465007.25999999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172752158.53</v>
      </c>
      <c r="E13" s="66">
        <f>'REMUNERACION_OCCIDENTE_ Directa'!E108</f>
        <v>16329455.800000001</v>
      </c>
      <c r="F13" s="66">
        <f>'REMUNERACION_OCCIDENTE_ Directa'!F108</f>
        <v>8928836.1199999992</v>
      </c>
      <c r="G13" s="66">
        <f>'REMUNERACION_OCCIDENTE_ Directa'!G108</f>
        <v>4793074.6499999994</v>
      </c>
      <c r="H13" s="66">
        <f>'REMUNERACION_OCCIDENTE_ Directa'!H108</f>
        <v>12962427.069999998</v>
      </c>
      <c r="I13" s="66">
        <f>'REMUNERACION_OCCIDENTE_ Directa'!I108</f>
        <v>532384.06000000006</v>
      </c>
      <c r="J13" s="66">
        <f>'REMUNERACION_OCCIDENTE_ Directa'!J108</f>
        <v>0</v>
      </c>
      <c r="K13" s="31">
        <f t="shared" si="0"/>
        <v>129205980.82999998</v>
      </c>
      <c r="L13" s="66">
        <f>'REMUNERACION_OCCIDENTE_ Directa'!L108</f>
        <v>0</v>
      </c>
      <c r="M13" s="40">
        <f>K13-L13</f>
        <v>129205980.82999998</v>
      </c>
      <c r="N13" s="66">
        <f>'REMUNERACION_OCCIDENTE_ Directa'!N108</f>
        <v>1908241.19</v>
      </c>
      <c r="O13" s="40">
        <f t="shared" si="1"/>
        <v>131114222.01999998</v>
      </c>
      <c r="Q13" s="4"/>
      <c r="S13" s="19">
        <v>5</v>
      </c>
      <c r="T13" s="63" t="s">
        <v>14</v>
      </c>
      <c r="U13" s="66">
        <f>'REMUNERACION_OCCIDENTE_ Directa'!U108</f>
        <v>4756762.43</v>
      </c>
      <c r="V13" s="66">
        <f>'REMUNERACION_OCCIDENTE_ Directa'!V108</f>
        <v>5680331.1400000006</v>
      </c>
      <c r="W13" s="66">
        <f>'REMUNERACION_OCCIDENTE_ Directa'!W108</f>
        <v>30480373.290000003</v>
      </c>
      <c r="X13" s="66">
        <f>'REMUNERACION_OCCIDENTE_ Directa'!X108</f>
        <v>48635423.340000004</v>
      </c>
      <c r="Y13" s="66">
        <f>'REMUNERACION_OCCIDENTE_ Directa'!Y108</f>
        <v>874491.08</v>
      </c>
      <c r="Z13" s="66">
        <f>'REMUNERACION_OCCIDENTE_ Directa'!Z108</f>
        <v>0</v>
      </c>
      <c r="AA13" s="66">
        <f>'REMUNERACION_OCCIDENTE_ Directa'!AA108</f>
        <v>-705.51</v>
      </c>
      <c r="AB13" s="66">
        <f>'REMUNERACION_OCCIDENTE_ Directa'!AB108</f>
        <v>1908241.19</v>
      </c>
      <c r="AC13" s="66">
        <f>'REMUNERACION_OCCIDENTE_ Directa'!AC108</f>
        <v>4.9999999999999996E-2</v>
      </c>
      <c r="AD13" s="66">
        <f>'REMUNERACION_OCCIDENTE_ Directa'!AD108</f>
        <v>38779305.009999998</v>
      </c>
      <c r="AE13" s="66">
        <f>'REMUNERACION_OCCIDENTE_ Directa'!AE108</f>
        <v>38779305.009999998</v>
      </c>
      <c r="AF13" s="70">
        <f>SUM(U13:AD13)</f>
        <v>131114222.01999998</v>
      </c>
      <c r="AG13" s="371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2527193143.9200006</v>
      </c>
      <c r="E14" s="43">
        <f t="shared" si="3"/>
        <v>267456342.34000003</v>
      </c>
      <c r="F14" s="43">
        <f t="shared" si="3"/>
        <v>148194789.75</v>
      </c>
      <c r="G14" s="43">
        <f t="shared" si="3"/>
        <v>78828946.359999999</v>
      </c>
      <c r="H14" s="43">
        <f t="shared" si="3"/>
        <v>261605604.66000003</v>
      </c>
      <c r="I14" s="43">
        <f t="shared" si="3"/>
        <v>7485032.6699999999</v>
      </c>
      <c r="J14" s="43">
        <f t="shared" si="3"/>
        <v>0</v>
      </c>
      <c r="K14" s="32">
        <f t="shared" si="3"/>
        <v>1763622428.1400001</v>
      </c>
      <c r="L14" s="23">
        <f t="shared" si="3"/>
        <v>0</v>
      </c>
      <c r="M14" s="76">
        <f t="shared" si="3"/>
        <v>1763622428.1400001</v>
      </c>
      <c r="N14" s="23">
        <f t="shared" si="3"/>
        <v>20496657.280000001</v>
      </c>
      <c r="O14" s="76">
        <f t="shared" si="3"/>
        <v>1784119085.4200001</v>
      </c>
      <c r="P14" s="2"/>
      <c r="Q14" s="4"/>
      <c r="S14" s="21"/>
      <c r="T14" s="22" t="s">
        <v>119</v>
      </c>
      <c r="U14" s="43">
        <f>SUM(U9:U13)</f>
        <v>66341579.470000006</v>
      </c>
      <c r="V14" s="43">
        <f t="shared" ref="V14:AG14" si="4">SUM(V9:V13)</f>
        <v>85525341.680000007</v>
      </c>
      <c r="W14" s="43">
        <f t="shared" si="4"/>
        <v>413890286.16000003</v>
      </c>
      <c r="X14" s="43">
        <f t="shared" si="4"/>
        <v>626219682.0200001</v>
      </c>
      <c r="Y14" s="43">
        <f t="shared" si="4"/>
        <v>12201753.85</v>
      </c>
      <c r="Z14" s="43">
        <f t="shared" si="4"/>
        <v>0</v>
      </c>
      <c r="AA14" s="43">
        <f t="shared" si="4"/>
        <v>-3903.5300000000007</v>
      </c>
      <c r="AB14" s="43">
        <f t="shared" si="4"/>
        <v>20496657.280000001</v>
      </c>
      <c r="AC14" s="43">
        <f t="shared" si="4"/>
        <v>6661469.4199999999</v>
      </c>
      <c r="AD14" s="43">
        <f t="shared" si="4"/>
        <v>552786219.07000005</v>
      </c>
      <c r="AE14" s="43">
        <f>SUM(AE9:AE13)</f>
        <v>552786219.07000005</v>
      </c>
      <c r="AF14" s="68">
        <f t="shared" si="4"/>
        <v>1784119085.4199998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1204178643.1800001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46296</v>
      </c>
      <c r="J27" s="2" t="s">
        <v>28</v>
      </c>
      <c r="K27" s="9">
        <f>'REMUNERACION_OCCIDENTE_ Directa'!K122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17250690.219999999</v>
      </c>
      <c r="E30" s="111">
        <f>'REMUNERACION_OCCIDENTE_ Directa'!E125</f>
        <v>0</v>
      </c>
      <c r="G30" s="338">
        <f>'REMUNERACION_OCCIDENTE_ Directa'!G125</f>
        <v>134910</v>
      </c>
      <c r="H30" s="312">
        <f>'REMUNERACION_OCCIDENTE_ Directa'!H125</f>
        <v>3856721.63</v>
      </c>
      <c r="I30" s="311">
        <f>'REMUNERACION_OCCIDENTE_ Directa'!I125</f>
        <v>0</v>
      </c>
      <c r="J30" s="311">
        <f>'REMUNERACION_OCCIDENTE_ Directa'!J125</f>
        <v>-134910</v>
      </c>
      <c r="K30" s="311">
        <f>'REMUNERACION_OCCIDENTE_ Directa'!K125</f>
        <v>0</v>
      </c>
      <c r="L30" s="311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29950514.969999999</v>
      </c>
      <c r="E31" s="74">
        <f>'REMUNERACION_OCCIDENTE_ Directa'!E126</f>
        <v>0</v>
      </c>
      <c r="G31" s="341">
        <f>'REMUNERACION_OCCIDENTE_ Directa'!G126</f>
        <v>464154</v>
      </c>
      <c r="H31" s="342">
        <f>'REMUNERACION_OCCIDENTE_ Directa'!H126</f>
        <v>44529691.310000002</v>
      </c>
      <c r="I31" s="290">
        <f>'REMUNERACION_OCCIDENTE_ Directa'!I126</f>
        <v>0</v>
      </c>
      <c r="J31" s="290">
        <f>'REMUNERACION_OCCIDENTE_ Directa'!J126</f>
        <v>-945063</v>
      </c>
      <c r="K31" s="290">
        <f>'REMUNERACION_OCCIDENTE_ Directa'!K126</f>
        <v>529459</v>
      </c>
      <c r="L31" s="290">
        <f>'REMUNERACION_OCCIDENTE_ Directa'!L126</f>
        <v>48550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4909289</v>
      </c>
      <c r="E32" s="74">
        <f>'REMUNERACION_OCCIDENTE_ Directa'!E127</f>
        <v>0</v>
      </c>
      <c r="G32" s="341">
        <f>'REMUNERACION_OCCIDENTE_ Directa'!G127</f>
        <v>0</v>
      </c>
      <c r="H32" s="342">
        <f>'REMUNERACION_OCCIDENTE_ Directa'!H127</f>
        <v>2205351.2800000003</v>
      </c>
      <c r="I32" s="290">
        <f>'REMUNERACION_OCCIDENTE_ Directa'!I127</f>
        <v>0</v>
      </c>
      <c r="J32" s="290">
        <f>'REMUNERACION_OCCIDENTE_ Directa'!J127</f>
        <v>0</v>
      </c>
      <c r="K32" s="290">
        <f>'REMUNERACION_OCCIDENTE_ Directa'!K127</f>
        <v>0</v>
      </c>
      <c r="L32" s="290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7416134</v>
      </c>
      <c r="E33" s="74">
        <f>'REMUNERACION_OCCIDENTE_ Directa'!E128</f>
        <v>0</v>
      </c>
      <c r="G33" s="341">
        <f>'REMUNERACION_OCCIDENTE_ Directa'!G128</f>
        <v>850737</v>
      </c>
      <c r="H33" s="342">
        <f>'REMUNERACION_OCCIDENTE_ Directa'!H128</f>
        <v>3374812.45</v>
      </c>
      <c r="I33" s="290">
        <f>'REMUNERACION_OCCIDENTE_ Directa'!I128</f>
        <v>0</v>
      </c>
      <c r="J33" s="290">
        <f>'REMUNERACION_OCCIDENTE_ Directa'!J128</f>
        <v>-1371252</v>
      </c>
      <c r="K33" s="290">
        <f>'REMUNERACION_OCCIDENTE_ Directa'!K128</f>
        <v>606286</v>
      </c>
      <c r="L33" s="290">
        <f>'REMUNERACION_OCCIDENTE_ Directa'!L128</f>
        <v>85771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2432240</v>
      </c>
      <c r="E34" s="139">
        <f>'REMUNERACION_OCCIDENTE_ Directa'!E129</f>
        <v>0</v>
      </c>
      <c r="G34" s="341">
        <f>'REMUNERACION_OCCIDENTE_ Directa'!G129</f>
        <v>0</v>
      </c>
      <c r="H34" s="342">
        <f>'REMUNERACION_OCCIDENTE_ Directa'!H129</f>
        <v>1186886.72</v>
      </c>
      <c r="I34" s="290">
        <f>'REMUNERACION_OCCIDENTE_ Directa'!I129</f>
        <v>0</v>
      </c>
      <c r="J34" s="290">
        <f>'REMUNERACION_OCCIDENTE_ Directa'!J129</f>
        <v>0</v>
      </c>
      <c r="K34" s="290">
        <f>'REMUNERACION_OCCIDENTE_ Directa'!K129</f>
        <v>0</v>
      </c>
      <c r="L34" s="290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61958868.189999998</v>
      </c>
      <c r="E36" s="107">
        <f>'REMUNERACION_OCCIDENTE_ Directa'!E131</f>
        <v>0</v>
      </c>
      <c r="F36" s="45"/>
      <c r="G36" s="352">
        <f t="shared" ref="G36:L36" si="6">SUM(G30:G34)</f>
        <v>1449801</v>
      </c>
      <c r="H36" s="352">
        <f t="shared" si="6"/>
        <v>55153463.390000008</v>
      </c>
      <c r="I36" s="352">
        <f t="shared" si="6"/>
        <v>0</v>
      </c>
      <c r="J36" s="352">
        <f t="shared" si="6"/>
        <v>-2451225</v>
      </c>
      <c r="K36" s="352">
        <f t="shared" si="6"/>
        <v>1135745</v>
      </c>
      <c r="L36" s="352">
        <f t="shared" si="6"/>
        <v>134321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9" t="b">
        <f>D14='REMUNERACION_OCCIDENTE_ Directa'!D109</f>
        <v>1</v>
      </c>
      <c r="E44" s="269" t="b">
        <f>E14='REMUNERACION_OCCIDENTE_ Directa'!E109</f>
        <v>1</v>
      </c>
      <c r="F44" s="269" t="b">
        <f>F14='REMUNERACION_OCCIDENTE_ Directa'!F109</f>
        <v>1</v>
      </c>
      <c r="G44" s="269" t="b">
        <f>G14='REMUNERACION_OCCIDENTE_ Directa'!G109</f>
        <v>1</v>
      </c>
      <c r="H44" s="269" t="b">
        <f>H14='REMUNERACION_OCCIDENTE_ Directa'!H109</f>
        <v>1</v>
      </c>
      <c r="I44" s="269" t="b">
        <f>I14='REMUNERACION_OCCIDENTE_ Directa'!I109</f>
        <v>1</v>
      </c>
      <c r="J44" s="269" t="b">
        <f>J14='REMUNERACION_OCCIDENTE_ Directa'!J109</f>
        <v>1</v>
      </c>
      <c r="K44" s="269" t="b">
        <f>K14='REMUNERACION_OCCIDENTE_ Directa'!K109</f>
        <v>1</v>
      </c>
      <c r="L44" s="269" t="b">
        <f>L14='REMUNERACION_OCCIDENTE_ Directa'!L109</f>
        <v>1</v>
      </c>
      <c r="M44" s="269" t="b">
        <f>M14='REMUNERACION_OCCIDENTE_ Directa'!M109</f>
        <v>1</v>
      </c>
      <c r="N44" s="269" t="b">
        <f>N14='REMUNERACION_OCCIDENTE_ Directa'!N109</f>
        <v>1</v>
      </c>
      <c r="O44" s="269" t="b">
        <f>O14='REMUNERACION_OCCIDENTE_ Directa'!O109</f>
        <v>1</v>
      </c>
      <c r="Q44" s="24"/>
      <c r="T44" s="24"/>
    </row>
    <row r="45" spans="1:20" x14ac:dyDescent="0.2">
      <c r="D45" s="269" t="b">
        <f>D36='REMUNERACION_OCCIDENTE_ Directa'!D131</f>
        <v>1</v>
      </c>
      <c r="E45" s="269" t="b">
        <f>E36='REMUNERACION_OCCIDENTE_ Directa'!E131</f>
        <v>1</v>
      </c>
      <c r="F45" s="269" t="b">
        <f>F36='REMUNERACION_OCCIDENTE_ Directa'!F131</f>
        <v>1</v>
      </c>
      <c r="G45" s="269" t="b">
        <f>G36='REMUNERACION_OCCIDENTE_ Directa'!G131</f>
        <v>1</v>
      </c>
      <c r="H45" s="269" t="b">
        <f>H36='REMUNERACION_OCCIDENTE_ Directa'!H131</f>
        <v>1</v>
      </c>
      <c r="I45" s="269" t="b">
        <f>I36='REMUNERACION_OCCIDENTE_ Directa'!I131</f>
        <v>1</v>
      </c>
      <c r="J45" s="269" t="b">
        <f>J36='REMUNERACION_OCCIDENTE_ Directa'!J131</f>
        <v>1</v>
      </c>
      <c r="K45" s="269" t="b">
        <f>K36='REMUNERACION_OCCIDENTE_ Directa'!K131</f>
        <v>1</v>
      </c>
      <c r="L45" s="269" t="b">
        <f>L36='REMUNERACION_OCCIDENTE_ Directa'!L131</f>
        <v>1</v>
      </c>
      <c r="M45" s="269" t="b">
        <f>M36='REMUNERACION_OCCIDENTE_ Directa'!M131</f>
        <v>1</v>
      </c>
      <c r="N45" s="269" t="b">
        <f>N36='REMUNERACION_OCCIDENTE_ Directa'!N131</f>
        <v>1</v>
      </c>
      <c r="O45" s="269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6"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'CONSOLIDADO_TOTAL RECAUDO'!D6</f>
        <v>46314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7" customFormat="1" ht="12" x14ac:dyDescent="0.25">
      <c r="B9" s="305">
        <v>1</v>
      </c>
      <c r="C9" s="306" t="s">
        <v>10</v>
      </c>
      <c r="D9" s="293">
        <f>'Reporte Componentes R1'!F83</f>
        <v>0</v>
      </c>
      <c r="E9" s="294">
        <f>'Reporte Componentes R1'!G83</f>
        <v>0</v>
      </c>
      <c r="F9" s="294">
        <f>'Reporte Componentes R1'!H83</f>
        <v>0</v>
      </c>
      <c r="G9" s="294">
        <f>'Reporte Componentes R1'!I83</f>
        <v>0</v>
      </c>
      <c r="H9" s="294">
        <f>'Reporte Componentes R1'!J83</f>
        <v>0</v>
      </c>
      <c r="I9" s="294">
        <f>'Reporte Componentes R1'!K83</f>
        <v>0</v>
      </c>
      <c r="J9" s="290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R1'!L83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R1'!M83</f>
        <v>0</v>
      </c>
      <c r="V9" s="310">
        <f>'Reporte Componentes R1'!N83</f>
        <v>0</v>
      </c>
      <c r="W9" s="310">
        <f>'Reporte Componentes R1'!O83</f>
        <v>0</v>
      </c>
      <c r="X9" s="310">
        <f>'Reporte Componentes R1'!P83</f>
        <v>0</v>
      </c>
      <c r="Y9" s="311">
        <f>'Reporte Componentes R1'!Q83</f>
        <v>0</v>
      </c>
      <c r="Z9" s="312">
        <f>L9*-1</f>
        <v>0</v>
      </c>
      <c r="AA9" s="313">
        <f>'Reporte Componentes R1'!R83+'Reporte Componentes R1'!S83</f>
        <v>0</v>
      </c>
      <c r="AB9" s="296">
        <f>N9</f>
        <v>0</v>
      </c>
      <c r="AC9" s="313">
        <f>'Reporte Componentes R1'!Z83</f>
        <v>0</v>
      </c>
      <c r="AD9" s="293">
        <f>-J9+AE9</f>
        <v>0</v>
      </c>
      <c r="AE9" s="293">
        <f>'Reporte Componentes R1'!F84</f>
        <v>0</v>
      </c>
      <c r="AF9" s="315">
        <f>SUM(U9:AD9)</f>
        <v>0</v>
      </c>
      <c r="AG9" s="313">
        <f>(AF9-O9)</f>
        <v>0</v>
      </c>
      <c r="AH9" s="307" t="b">
        <f>INT(AG9)=0</f>
        <v>1</v>
      </c>
      <c r="AI9" s="308"/>
    </row>
    <row r="10" spans="2:35" s="307" customFormat="1" ht="12" x14ac:dyDescent="0.25">
      <c r="B10" s="316">
        <v>2</v>
      </c>
      <c r="C10" s="317" t="s">
        <v>11</v>
      </c>
      <c r="D10" s="293">
        <f>'Reporte Componentes R1'!F216</f>
        <v>0</v>
      </c>
      <c r="E10" s="294">
        <f>'Reporte Componentes R1'!G216</f>
        <v>0</v>
      </c>
      <c r="F10" s="294">
        <f>'Reporte Componentes R1'!H216</f>
        <v>0</v>
      </c>
      <c r="G10" s="294">
        <f>'Reporte Componentes R1'!I216</f>
        <v>0</v>
      </c>
      <c r="H10" s="294">
        <f>'Reporte Componentes R1'!J216</f>
        <v>0</v>
      </c>
      <c r="I10" s="294">
        <f>'Reporte Componentes R1'!K216</f>
        <v>0</v>
      </c>
      <c r="J10" s="290">
        <v>0</v>
      </c>
      <c r="K10" s="297">
        <f t="shared" ref="K10:K13" si="0">D10-E10-F10-G10-H10-I10-J10</f>
        <v>0</v>
      </c>
      <c r="L10" s="296">
        <v>0</v>
      </c>
      <c r="M10" s="297">
        <f>K10-L10</f>
        <v>0</v>
      </c>
      <c r="N10" s="296">
        <f>'Reporte Componentes R1'!L216</f>
        <v>0</v>
      </c>
      <c r="O10" s="297">
        <f t="shared" ref="O10:O12" si="1">M10+N10</f>
        <v>0</v>
      </c>
      <c r="Q10" s="308"/>
      <c r="S10" s="316">
        <v>2</v>
      </c>
      <c r="T10" s="317" t="s">
        <v>11</v>
      </c>
      <c r="U10" s="318">
        <f>'Reporte Componentes R1'!M216</f>
        <v>0</v>
      </c>
      <c r="V10" s="319">
        <f>'Reporte Componentes R1'!N216</f>
        <v>0</v>
      </c>
      <c r="W10" s="319">
        <f>'Reporte Componentes R1'!O216</f>
        <v>0</v>
      </c>
      <c r="X10" s="319">
        <f>'Reporte Componentes R1'!P216</f>
        <v>0</v>
      </c>
      <c r="Y10" s="320">
        <f>'Reporte Componentes R1'!Q216</f>
        <v>0</v>
      </c>
      <c r="Z10" s="321">
        <f>L10*-1</f>
        <v>0</v>
      </c>
      <c r="AA10" s="322">
        <f>'Reporte Componentes R1'!R216+'Reporte Componentes R1'!S216+'Reporte Componentes R1'!T216</f>
        <v>0</v>
      </c>
      <c r="AB10" s="296">
        <f>N10</f>
        <v>0</v>
      </c>
      <c r="AC10" s="322">
        <f>'Reporte Componentes R1'!Z216</f>
        <v>0</v>
      </c>
      <c r="AD10" s="293">
        <f t="shared" ref="AD10:AD13" si="2">-J10+AE10</f>
        <v>0</v>
      </c>
      <c r="AE10" s="293">
        <f>'Reporte Componentes R1'!F217</f>
        <v>0</v>
      </c>
      <c r="AF10" s="324">
        <f>SUM(U10:AD10)</f>
        <v>0</v>
      </c>
      <c r="AG10" s="325">
        <f>(AF10-O10)</f>
        <v>0</v>
      </c>
      <c r="AH10" s="307" t="b">
        <f t="shared" ref="AH10:AH13" si="3">INT(AG10)=0</f>
        <v>1</v>
      </c>
      <c r="AI10" s="308"/>
    </row>
    <row r="11" spans="2:35" s="307" customFormat="1" ht="12" x14ac:dyDescent="0.25">
      <c r="B11" s="316">
        <v>3</v>
      </c>
      <c r="C11" s="317" t="s">
        <v>12</v>
      </c>
      <c r="D11" s="293">
        <f>'Reporte Componentes R1'!F344</f>
        <v>0</v>
      </c>
      <c r="E11" s="294">
        <f>'Reporte Componentes R1'!G344</f>
        <v>0</v>
      </c>
      <c r="F11" s="294">
        <f>'Reporte Componentes R1'!H344</f>
        <v>0</v>
      </c>
      <c r="G11" s="294">
        <f>'Reporte Componentes R1'!I344</f>
        <v>0</v>
      </c>
      <c r="H11" s="294">
        <f>'Reporte Componentes R1'!J344</f>
        <v>0</v>
      </c>
      <c r="I11" s="294">
        <f>'Reporte Componentes R1'!K344</f>
        <v>0</v>
      </c>
      <c r="J11" s="290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R1'!L344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R1'!M344</f>
        <v>0</v>
      </c>
      <c r="V11" s="319">
        <f>'Reporte Componentes R1'!N344</f>
        <v>0</v>
      </c>
      <c r="W11" s="319">
        <f>'Reporte Componentes R1'!O344</f>
        <v>0</v>
      </c>
      <c r="X11" s="319">
        <f>'Reporte Componentes R1'!P344</f>
        <v>0</v>
      </c>
      <c r="Y11" s="320">
        <f>'Reporte Componentes R1'!Q344</f>
        <v>0</v>
      </c>
      <c r="Z11" s="321">
        <f>L11*-1</f>
        <v>0</v>
      </c>
      <c r="AA11" s="322">
        <f>'Reporte Componentes R1'!R344+'Reporte Componentes R1'!S344+'Reporte Componentes R1'!T344</f>
        <v>0</v>
      </c>
      <c r="AB11" s="296">
        <f>N11</f>
        <v>0</v>
      </c>
      <c r="AC11" s="322">
        <f>'Reporte Componentes R1'!X344</f>
        <v>0</v>
      </c>
      <c r="AD11" s="293">
        <f t="shared" si="2"/>
        <v>0</v>
      </c>
      <c r="AE11" s="293">
        <f>'Reporte Componentes R1'!F345</f>
        <v>0</v>
      </c>
      <c r="AF11" s="324">
        <f t="shared" ref="AF11:AF13" si="4">SUM(U11:AD11)</f>
        <v>0</v>
      </c>
      <c r="AG11" s="325">
        <f>(AF11-O11)</f>
        <v>0</v>
      </c>
      <c r="AH11" s="307" t="b">
        <f t="shared" si="3"/>
        <v>1</v>
      </c>
      <c r="AI11" s="308"/>
    </row>
    <row r="12" spans="2:35" s="307" customFormat="1" ht="12" x14ac:dyDescent="0.25">
      <c r="B12" s="316">
        <v>4</v>
      </c>
      <c r="C12" s="317" t="s">
        <v>13</v>
      </c>
      <c r="D12" s="293">
        <f>'Reporte Componentes R1'!F464</f>
        <v>0</v>
      </c>
      <c r="E12" s="294">
        <f>'Reporte Componentes R1'!G464</f>
        <v>0</v>
      </c>
      <c r="F12" s="294">
        <f>'Reporte Componentes R1'!H464</f>
        <v>0</v>
      </c>
      <c r="G12" s="294">
        <f>'Reporte Componentes R1'!I464</f>
        <v>0</v>
      </c>
      <c r="H12" s="294">
        <f>'Reporte Componentes R1'!J464</f>
        <v>0</v>
      </c>
      <c r="I12" s="294">
        <f>'Reporte Componentes R1'!K464</f>
        <v>0</v>
      </c>
      <c r="J12" s="290">
        <v>0</v>
      </c>
      <c r="K12" s="297">
        <f t="shared" si="0"/>
        <v>0</v>
      </c>
      <c r="L12" s="296">
        <v>0</v>
      </c>
      <c r="M12" s="297">
        <f>K12-L12</f>
        <v>0</v>
      </c>
      <c r="N12" s="296">
        <f>'Reporte Componentes R1'!L464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318">
        <f>'Reporte Componentes R1'!M464</f>
        <v>0</v>
      </c>
      <c r="V12" s="319">
        <f>'Reporte Componentes R1'!N464</f>
        <v>0</v>
      </c>
      <c r="W12" s="319">
        <f>'Reporte Componentes R1'!O464</f>
        <v>0</v>
      </c>
      <c r="X12" s="319">
        <f>'Reporte Componentes R1'!P464</f>
        <v>0</v>
      </c>
      <c r="Y12" s="320">
        <f>'Reporte Componentes R1'!Q464</f>
        <v>0</v>
      </c>
      <c r="Z12" s="321">
        <f>L12*-1</f>
        <v>0</v>
      </c>
      <c r="AA12" s="322">
        <f>'Reporte Componentes R1'!R464+'Reporte Componentes R1'!S464</f>
        <v>0</v>
      </c>
      <c r="AB12" s="296">
        <f>N12</f>
        <v>0</v>
      </c>
      <c r="AC12" s="322">
        <f>'Reporte Componentes R1'!X464</f>
        <v>0</v>
      </c>
      <c r="AD12" s="293">
        <f t="shared" si="2"/>
        <v>0</v>
      </c>
      <c r="AE12" s="293">
        <f>'Reporte Componentes R1'!F465</f>
        <v>0</v>
      </c>
      <c r="AF12" s="324">
        <f t="shared" si="4"/>
        <v>0</v>
      </c>
      <c r="AG12" s="325">
        <f>(AF12-O12)</f>
        <v>0</v>
      </c>
      <c r="AH12" s="307" t="b">
        <f t="shared" si="3"/>
        <v>1</v>
      </c>
      <c r="AI12" s="308"/>
    </row>
    <row r="13" spans="2:35" s="307" customFormat="1" ht="12.6" thickBot="1" x14ac:dyDescent="0.3">
      <c r="B13" s="326">
        <v>5</v>
      </c>
      <c r="C13" s="327" t="s">
        <v>14</v>
      </c>
      <c r="D13" s="298">
        <f>'Reporte Componentes R1'!F538</f>
        <v>0</v>
      </c>
      <c r="E13" s="299">
        <f>'Reporte Componentes R1'!G538</f>
        <v>0</v>
      </c>
      <c r="F13" s="299">
        <f>'Reporte Componentes R1'!H538</f>
        <v>0</v>
      </c>
      <c r="G13" s="299">
        <f>'Reporte Componentes R1'!I538</f>
        <v>0</v>
      </c>
      <c r="H13" s="299">
        <f>'Reporte Componentes R1'!J538</f>
        <v>0</v>
      </c>
      <c r="I13" s="299">
        <f>'Reporte Componentes R1'!K538</f>
        <v>0</v>
      </c>
      <c r="J13" s="291">
        <v>0</v>
      </c>
      <c r="K13" s="297">
        <f t="shared" si="0"/>
        <v>0</v>
      </c>
      <c r="L13" s="296">
        <v>0</v>
      </c>
      <c r="M13" s="300">
        <f>K13-L13</f>
        <v>0</v>
      </c>
      <c r="N13" s="301">
        <f>'Reporte Componentes R1'!L538</f>
        <v>0</v>
      </c>
      <c r="O13" s="300">
        <f>M13+N13</f>
        <v>0</v>
      </c>
      <c r="Q13" s="308"/>
      <c r="S13" s="326">
        <v>5</v>
      </c>
      <c r="T13" s="327" t="s">
        <v>14</v>
      </c>
      <c r="U13" s="298">
        <f>'Reporte Componentes R1'!M538</f>
        <v>0</v>
      </c>
      <c r="V13" s="299">
        <f>'Reporte Componentes R1'!N538</f>
        <v>0</v>
      </c>
      <c r="W13" s="299">
        <f>'Reporte Componentes R1'!O538</f>
        <v>0</v>
      </c>
      <c r="X13" s="299">
        <f>'Reporte Componentes R1'!P538</f>
        <v>0</v>
      </c>
      <c r="Y13" s="291">
        <f>'Reporte Componentes R1'!Q538</f>
        <v>0</v>
      </c>
      <c r="Z13" s="321">
        <f>L13*-1</f>
        <v>0</v>
      </c>
      <c r="AA13" s="322">
        <f>'Reporte Componentes R1'!R538+'Reporte Componentes R1'!S538+'Reporte Componentes R1'!T538</f>
        <v>0</v>
      </c>
      <c r="AB13" s="296">
        <f>N13</f>
        <v>0</v>
      </c>
      <c r="AC13" s="322">
        <f>'Reporte Componentes R1'!X538</f>
        <v>0</v>
      </c>
      <c r="AD13" s="293">
        <f t="shared" si="2"/>
        <v>0</v>
      </c>
      <c r="AE13" s="293">
        <f>'Reporte Componentes R1'!F539</f>
        <v>0</v>
      </c>
      <c r="AF13" s="324">
        <f t="shared" si="4"/>
        <v>0</v>
      </c>
      <c r="AG13" s="328">
        <f>(AF13-O13)</f>
        <v>0</v>
      </c>
      <c r="AH13" s="307" t="b">
        <f t="shared" si="3"/>
        <v>1</v>
      </c>
      <c r="AI13" s="308"/>
    </row>
    <row r="14" spans="2:35" s="307" customFormat="1" ht="13.8" thickBot="1" x14ac:dyDescent="0.3">
      <c r="B14" s="329"/>
      <c r="C14" s="330" t="s">
        <v>2</v>
      </c>
      <c r="D14" s="292">
        <f>SUM(D9:D13)</f>
        <v>0</v>
      </c>
      <c r="E14" s="292">
        <f t="shared" ref="E14:O14" si="5">SUM(E9:E13)</f>
        <v>0</v>
      </c>
      <c r="F14" s="292">
        <f t="shared" si="5"/>
        <v>0</v>
      </c>
      <c r="G14" s="292">
        <f t="shared" si="5"/>
        <v>0</v>
      </c>
      <c r="H14" s="292">
        <f t="shared" si="5"/>
        <v>0</v>
      </c>
      <c r="I14" s="292">
        <f t="shared" si="5"/>
        <v>0</v>
      </c>
      <c r="J14" s="292">
        <f t="shared" si="5"/>
        <v>0</v>
      </c>
      <c r="K14" s="302">
        <f t="shared" si="5"/>
        <v>0</v>
      </c>
      <c r="L14" s="303">
        <f>SUM(L9:L13)</f>
        <v>0</v>
      </c>
      <c r="M14" s="304">
        <f t="shared" si="5"/>
        <v>0</v>
      </c>
      <c r="N14" s="303">
        <f t="shared" si="5"/>
        <v>0</v>
      </c>
      <c r="O14" s="304">
        <f t="shared" si="5"/>
        <v>0</v>
      </c>
      <c r="P14" s="331"/>
      <c r="Q14" s="308"/>
      <c r="S14" s="329"/>
      <c r="T14" s="330" t="s">
        <v>2</v>
      </c>
      <c r="U14" s="332">
        <f>SUM(U9:U13)</f>
        <v>0</v>
      </c>
      <c r="V14" s="332">
        <f t="shared" ref="V14:AF14" si="6">SUM(V9:V13)</f>
        <v>0</v>
      </c>
      <c r="W14" s="332">
        <f t="shared" si="6"/>
        <v>0</v>
      </c>
      <c r="X14" s="332">
        <f t="shared" si="6"/>
        <v>0</v>
      </c>
      <c r="Y14" s="332">
        <f t="shared" si="6"/>
        <v>0</v>
      </c>
      <c r="Z14" s="292">
        <f t="shared" si="6"/>
        <v>0</v>
      </c>
      <c r="AA14" s="292">
        <f t="shared" si="6"/>
        <v>0</v>
      </c>
      <c r="AB14" s="292">
        <f t="shared" si="6"/>
        <v>0</v>
      </c>
      <c r="AC14" s="292">
        <f t="shared" si="6"/>
        <v>0</v>
      </c>
      <c r="AD14" s="292">
        <f>SUM(AD9:AD13)</f>
        <v>0</v>
      </c>
      <c r="AE14" s="292">
        <f>SUM(AE9:AE13)</f>
        <v>0</v>
      </c>
      <c r="AF14" s="333">
        <f t="shared" si="6"/>
        <v>0</v>
      </c>
      <c r="AG14" s="334">
        <f>SUM(AG9:AG13)</f>
        <v>0</v>
      </c>
      <c r="AH14" s="307" t="b">
        <f>INT(AG14)=0</f>
        <v>1</v>
      </c>
      <c r="AI14" s="308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0" t="s">
        <v>17</v>
      </c>
      <c r="D25" s="9">
        <f>D6</f>
        <v>46314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7" customFormat="1" ht="12" x14ac:dyDescent="0.25">
      <c r="B28" s="305">
        <v>1</v>
      </c>
      <c r="C28" s="306" t="s">
        <v>10</v>
      </c>
      <c r="D28" s="293">
        <f>'Rem. Anticipos R2'!E58</f>
        <v>0</v>
      </c>
      <c r="E28" s="294">
        <f>'Rem. Anticipos R2'!F58</f>
        <v>0</v>
      </c>
      <c r="F28" s="294">
        <f>'Rem. Anticipos R2'!G58</f>
        <v>0</v>
      </c>
      <c r="G28" s="294">
        <f>'Rem. Anticipos R2'!H58</f>
        <v>0</v>
      </c>
      <c r="H28" s="294">
        <f>'Rem. Anticipos R2'!I58</f>
        <v>0</v>
      </c>
      <c r="I28" s="294">
        <f>'Rem. Anticipos R2'!J58</f>
        <v>0</v>
      </c>
      <c r="J28" s="290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R2'!K58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R2'!L58</f>
        <v>0</v>
      </c>
      <c r="V28" s="310">
        <f>'Rem. Anticipos R2'!M58</f>
        <v>0</v>
      </c>
      <c r="W28" s="310">
        <f>'Rem. Anticipos R2'!N58</f>
        <v>0</v>
      </c>
      <c r="X28" s="310">
        <f>'Rem. Anticipos R2'!O58</f>
        <v>0</v>
      </c>
      <c r="Y28" s="310">
        <f>'Rem. Anticipos R2'!P58</f>
        <v>0</v>
      </c>
      <c r="Z28" s="312">
        <f>L28*-1</f>
        <v>0</v>
      </c>
      <c r="AA28" s="313">
        <f>'Rem. Anticipos R2'!Q58</f>
        <v>0</v>
      </c>
      <c r="AB28" s="296">
        <f>N28</f>
        <v>0</v>
      </c>
      <c r="AC28" s="313">
        <v>0</v>
      </c>
      <c r="AD28" s="293">
        <f>-J28+AE28</f>
        <v>0</v>
      </c>
      <c r="AE28" s="293">
        <f>'Rem. Anticipos R2'!E59</f>
        <v>0</v>
      </c>
      <c r="AF28" s="315">
        <f>SUM(U28:AD28)</f>
        <v>0</v>
      </c>
      <c r="AG28" s="313">
        <f>(AF28-O28)</f>
        <v>0</v>
      </c>
      <c r="AH28" s="307" t="b">
        <f>INT(AG28)=0</f>
        <v>1</v>
      </c>
      <c r="AI28" s="308"/>
    </row>
    <row r="29" spans="1:35" s="307" customFormat="1" ht="12" x14ac:dyDescent="0.25">
      <c r="B29" s="316">
        <v>2</v>
      </c>
      <c r="C29" s="317" t="s">
        <v>11</v>
      </c>
      <c r="D29" s="293">
        <f>'Rem. Anticipos R2'!E161</f>
        <v>0</v>
      </c>
      <c r="E29" s="294">
        <f>'Rem. Anticipos R2'!F161</f>
        <v>0</v>
      </c>
      <c r="F29" s="294">
        <f>'Rem. Anticipos R2'!G161</f>
        <v>0</v>
      </c>
      <c r="G29" s="294">
        <f>'Rem. Anticipos R2'!H161</f>
        <v>0</v>
      </c>
      <c r="H29" s="294">
        <f>'Rem. Anticipos R2'!I161</f>
        <v>0</v>
      </c>
      <c r="I29" s="294">
        <f>'Rem. Anticipos R2'!J161</f>
        <v>0</v>
      </c>
      <c r="J29" s="290">
        <v>0</v>
      </c>
      <c r="K29" s="297">
        <f t="shared" ref="K29:K31" si="7">D29-E29-F29-G29-H29-I29-J29</f>
        <v>0</v>
      </c>
      <c r="L29" s="296">
        <v>0</v>
      </c>
      <c r="M29" s="297">
        <f>K29-L29</f>
        <v>0</v>
      </c>
      <c r="N29" s="296">
        <f>'Rem. Anticipos R2'!K161</f>
        <v>0</v>
      </c>
      <c r="O29" s="297">
        <f t="shared" ref="O29:O32" si="8">M29+N29</f>
        <v>0</v>
      </c>
      <c r="Q29" s="308"/>
      <c r="S29" s="316">
        <v>2</v>
      </c>
      <c r="T29" s="317" t="s">
        <v>11</v>
      </c>
      <c r="U29" s="318">
        <f>'Rem. Anticipos R2'!L161</f>
        <v>0</v>
      </c>
      <c r="V29" s="319">
        <f>'Rem. Anticipos R2'!M161</f>
        <v>0</v>
      </c>
      <c r="W29" s="319">
        <f>'Rem. Anticipos R2'!N161</f>
        <v>0</v>
      </c>
      <c r="X29" s="319">
        <f>'Rem. Anticipos R2'!O161</f>
        <v>0</v>
      </c>
      <c r="Y29" s="320">
        <f>'Rem. Anticipos R2'!P161</f>
        <v>0</v>
      </c>
      <c r="Z29" s="321">
        <f>L29*-1</f>
        <v>0</v>
      </c>
      <c r="AA29" s="322">
        <f>'Rem. Anticipos R2'!Q161</f>
        <v>0</v>
      </c>
      <c r="AB29" s="296">
        <f>N29</f>
        <v>0</v>
      </c>
      <c r="AC29" s="322">
        <v>0</v>
      </c>
      <c r="AD29" s="293">
        <f>-J29+AE29</f>
        <v>0</v>
      </c>
      <c r="AE29" s="293">
        <f>'Rem. Anticipos R2'!E162</f>
        <v>0</v>
      </c>
      <c r="AF29" s="324">
        <f>SUM(U29:AD29)</f>
        <v>0</v>
      </c>
      <c r="AG29" s="325">
        <f>(AF29-O29)</f>
        <v>0</v>
      </c>
      <c r="AH29" s="307" t="b">
        <f t="shared" ref="AH29:AH32" si="9">INT(AG29)=0</f>
        <v>1</v>
      </c>
      <c r="AI29" s="308"/>
    </row>
    <row r="30" spans="1:35" s="307" customFormat="1" ht="12" x14ac:dyDescent="0.25">
      <c r="B30" s="316">
        <v>3</v>
      </c>
      <c r="C30" s="317" t="s">
        <v>12</v>
      </c>
      <c r="D30" s="293">
        <f>'Rem. Anticipos R2'!E274</f>
        <v>0</v>
      </c>
      <c r="E30" s="294">
        <f>'Rem. Anticipos R2'!F274</f>
        <v>0</v>
      </c>
      <c r="F30" s="294">
        <f>'Rem. Anticipos R2'!G274</f>
        <v>0</v>
      </c>
      <c r="G30" s="294">
        <f>'Rem. Anticipos R2'!H274</f>
        <v>0</v>
      </c>
      <c r="H30" s="294">
        <f>'Rem. Anticipos R2'!I274</f>
        <v>0</v>
      </c>
      <c r="I30" s="294">
        <f>'Rem. Anticipos R2'!J274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R2'!K274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R2'!L274</f>
        <v>0</v>
      </c>
      <c r="V30" s="319">
        <f>'Rem. Anticipos R2'!M274</f>
        <v>0</v>
      </c>
      <c r="W30" s="319">
        <f>'Rem. Anticipos R2'!N274</f>
        <v>0</v>
      </c>
      <c r="X30" s="319">
        <f>'Rem. Anticipos R2'!O274</f>
        <v>0</v>
      </c>
      <c r="Y30" s="320">
        <f>'Rem. Anticipos R2'!P274</f>
        <v>0</v>
      </c>
      <c r="Z30" s="321">
        <f>L30*-1</f>
        <v>0</v>
      </c>
      <c r="AA30" s="322">
        <f>'Rem. Anticipos R2'!Q274</f>
        <v>0</v>
      </c>
      <c r="AB30" s="296">
        <f>N30</f>
        <v>0</v>
      </c>
      <c r="AC30" s="322">
        <v>0</v>
      </c>
      <c r="AD30" s="293">
        <f t="shared" ref="AD30:AD32" si="10">-J30+AE30</f>
        <v>0</v>
      </c>
      <c r="AE30" s="293">
        <f>'Rem. Anticipos R2'!E275</f>
        <v>0</v>
      </c>
      <c r="AF30" s="324">
        <f>SUM(U30:AD30)</f>
        <v>0</v>
      </c>
      <c r="AG30" s="325">
        <f>(AF30-O30)</f>
        <v>0</v>
      </c>
      <c r="AH30" s="307" t="b">
        <f t="shared" si="9"/>
        <v>1</v>
      </c>
      <c r="AI30" s="308"/>
    </row>
    <row r="31" spans="1:35" s="307" customFormat="1" ht="12" x14ac:dyDescent="0.25">
      <c r="B31" s="316">
        <v>4</v>
      </c>
      <c r="C31" s="317" t="s">
        <v>13</v>
      </c>
      <c r="D31" s="293">
        <f>'Rem. Anticipos R2'!E369</f>
        <v>0</v>
      </c>
      <c r="E31" s="294">
        <f>'Rem. Anticipos R2'!F369</f>
        <v>0</v>
      </c>
      <c r="F31" s="294">
        <f>'Rem. Anticipos R2'!G369</f>
        <v>0</v>
      </c>
      <c r="G31" s="294">
        <f>'Rem. Anticipos R2'!H369</f>
        <v>0</v>
      </c>
      <c r="H31" s="294">
        <f>'Rem. Anticipos R2'!I369</f>
        <v>0</v>
      </c>
      <c r="I31" s="294">
        <f>'Rem. Anticipos R2'!J369</f>
        <v>0</v>
      </c>
      <c r="J31" s="290">
        <v>0</v>
      </c>
      <c r="K31" s="297">
        <f t="shared" si="7"/>
        <v>0</v>
      </c>
      <c r="L31" s="296">
        <v>0</v>
      </c>
      <c r="M31" s="297">
        <f>K31-L31</f>
        <v>0</v>
      </c>
      <c r="N31" s="296">
        <f>'Rem. Anticipos R2'!K369</f>
        <v>0</v>
      </c>
      <c r="O31" s="297">
        <f t="shared" si="8"/>
        <v>0</v>
      </c>
      <c r="Q31" s="308"/>
      <c r="S31" s="316">
        <v>4</v>
      </c>
      <c r="T31" s="317" t="s">
        <v>13</v>
      </c>
      <c r="U31" s="318">
        <f>'Rem. Anticipos R2'!L369</f>
        <v>0</v>
      </c>
      <c r="V31" s="319">
        <f>'Rem. Anticipos R2'!M369</f>
        <v>0</v>
      </c>
      <c r="W31" s="319">
        <f>'Rem. Anticipos R2'!N369</f>
        <v>0</v>
      </c>
      <c r="X31" s="319">
        <f>'Rem. Anticipos R2'!O369</f>
        <v>0</v>
      </c>
      <c r="Y31" s="320">
        <f>'Rem. Anticipos R2'!P369</f>
        <v>0</v>
      </c>
      <c r="Z31" s="321">
        <f>L31*-1</f>
        <v>0</v>
      </c>
      <c r="AA31" s="322">
        <f>'Rem. Anticipos R2'!Q369</f>
        <v>0</v>
      </c>
      <c r="AB31" s="296">
        <f>N31</f>
        <v>0</v>
      </c>
      <c r="AC31" s="322">
        <v>0</v>
      </c>
      <c r="AD31" s="293">
        <f t="shared" si="10"/>
        <v>0</v>
      </c>
      <c r="AE31" s="293">
        <f>'Rem. Anticipos R2'!E370</f>
        <v>0</v>
      </c>
      <c r="AF31" s="324">
        <f>SUM(U31:AD31)</f>
        <v>0</v>
      </c>
      <c r="AG31" s="325">
        <f t="shared" ref="AG31" si="11">(AF31-O31)</f>
        <v>0</v>
      </c>
      <c r="AH31" s="307" t="b">
        <f t="shared" si="9"/>
        <v>1</v>
      </c>
      <c r="AI31" s="308"/>
    </row>
    <row r="32" spans="1:35" s="307" customFormat="1" ht="12.6" thickBot="1" x14ac:dyDescent="0.3">
      <c r="B32" s="326">
        <v>5</v>
      </c>
      <c r="C32" s="327" t="s">
        <v>14</v>
      </c>
      <c r="D32" s="298">
        <f>'Rem. Anticipos R2'!E441</f>
        <v>0</v>
      </c>
      <c r="E32" s="299">
        <f>'Rem. Anticipos R2'!F441</f>
        <v>0</v>
      </c>
      <c r="F32" s="299">
        <f>'Rem. Anticipos R2'!G441</f>
        <v>0</v>
      </c>
      <c r="G32" s="299">
        <f>'Rem. Anticipos R2'!H441</f>
        <v>0</v>
      </c>
      <c r="H32" s="299">
        <f>'Rem. Anticipos R2'!I441</f>
        <v>0</v>
      </c>
      <c r="I32" s="299">
        <f>'Rem. Anticipos R2'!J441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R2'!K441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R2'!L441</f>
        <v>0</v>
      </c>
      <c r="V32" s="299">
        <f>'Rem. Anticipos R2'!M441</f>
        <v>0</v>
      </c>
      <c r="W32" s="299">
        <f>'Rem. Anticipos R2'!N441</f>
        <v>0</v>
      </c>
      <c r="X32" s="299">
        <f>'Rem. Anticipos R2'!O441</f>
        <v>0</v>
      </c>
      <c r="Y32" s="291">
        <f>'Rem. Anticipos R2'!P441</f>
        <v>0</v>
      </c>
      <c r="Z32" s="321">
        <f>L32*-1</f>
        <v>0</v>
      </c>
      <c r="AA32" s="322">
        <f>'Rem. Anticipos R2'!Q441</f>
        <v>0</v>
      </c>
      <c r="AB32" s="296">
        <f>N32</f>
        <v>0</v>
      </c>
      <c r="AC32" s="322">
        <v>0</v>
      </c>
      <c r="AD32" s="293">
        <f t="shared" si="10"/>
        <v>0</v>
      </c>
      <c r="AE32" s="293">
        <f>'Rem. Anticipos R2'!E442</f>
        <v>0</v>
      </c>
      <c r="AF32" s="324">
        <f>SUM(U32:AD32)</f>
        <v>0</v>
      </c>
      <c r="AG32" s="328">
        <f>(AF32-O32)</f>
        <v>0</v>
      </c>
      <c r="AH32" s="307" t="b">
        <f t="shared" si="9"/>
        <v>1</v>
      </c>
      <c r="AI32" s="308"/>
    </row>
    <row r="33" spans="1:35" s="307" customFormat="1" ht="13.8" thickBot="1" x14ac:dyDescent="0.3">
      <c r="B33" s="329"/>
      <c r="C33" s="330" t="s">
        <v>2</v>
      </c>
      <c r="D33" s="292">
        <f>SUM(D28:D32)</f>
        <v>0</v>
      </c>
      <c r="E33" s="292">
        <f>SUM(E28:E32)</f>
        <v>0</v>
      </c>
      <c r="F33" s="292">
        <f t="shared" ref="F33:O33" si="12">SUM(F28:F32)</f>
        <v>0</v>
      </c>
      <c r="G33" s="292">
        <f t="shared" si="12"/>
        <v>0</v>
      </c>
      <c r="H33" s="292">
        <f t="shared" si="12"/>
        <v>0</v>
      </c>
      <c r="I33" s="292">
        <f t="shared" si="12"/>
        <v>0</v>
      </c>
      <c r="J33" s="292">
        <f t="shared" si="12"/>
        <v>0</v>
      </c>
      <c r="K33" s="302">
        <f t="shared" si="12"/>
        <v>0</v>
      </c>
      <c r="L33" s="303">
        <f t="shared" si="12"/>
        <v>0</v>
      </c>
      <c r="M33" s="304">
        <f t="shared" si="12"/>
        <v>0</v>
      </c>
      <c r="N33" s="303">
        <f t="shared" si="12"/>
        <v>0</v>
      </c>
      <c r="O33" s="304">
        <f t="shared" si="12"/>
        <v>0</v>
      </c>
      <c r="P33" s="331"/>
      <c r="Q33" s="308"/>
      <c r="S33" s="329"/>
      <c r="T33" s="330" t="s">
        <v>2</v>
      </c>
      <c r="U33" s="332">
        <f>SUM(U28:U32)</f>
        <v>0</v>
      </c>
      <c r="V33" s="332">
        <f t="shared" ref="V33:AG33" si="13">SUM(V28:V32)</f>
        <v>0</v>
      </c>
      <c r="W33" s="332">
        <f t="shared" si="13"/>
        <v>0</v>
      </c>
      <c r="X33" s="332">
        <f t="shared" si="13"/>
        <v>0</v>
      </c>
      <c r="Y33" s="332">
        <f t="shared" si="13"/>
        <v>0</v>
      </c>
      <c r="Z33" s="292">
        <f t="shared" si="13"/>
        <v>0</v>
      </c>
      <c r="AA33" s="292">
        <f t="shared" si="13"/>
        <v>0</v>
      </c>
      <c r="AB33" s="292">
        <f t="shared" si="13"/>
        <v>0</v>
      </c>
      <c r="AC33" s="292">
        <f t="shared" si="13"/>
        <v>0</v>
      </c>
      <c r="AD33" s="292">
        <f>SUM(AD28:AD32)</f>
        <v>0</v>
      </c>
      <c r="AE33" s="292">
        <f>SUM(AE28:AE32)</f>
        <v>0</v>
      </c>
      <c r="AF33" s="333">
        <f t="shared" si="13"/>
        <v>0</v>
      </c>
      <c r="AG33" s="334">
        <f t="shared" si="13"/>
        <v>0</v>
      </c>
      <c r="AH33" s="307" t="b">
        <f>INT(AG33)=0</f>
        <v>1</v>
      </c>
      <c r="AI33" s="308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0" t="s">
        <v>17</v>
      </c>
      <c r="D44" s="9">
        <f>D6</f>
        <v>46314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7" customFormat="1" ht="12" x14ac:dyDescent="0.25">
      <c r="B47" s="305">
        <v>1</v>
      </c>
      <c r="C47" s="306" t="s">
        <v>10</v>
      </c>
      <c r="D47" s="293">
        <f>'Reporte Componentes R1'!F85</f>
        <v>0</v>
      </c>
      <c r="E47" s="294">
        <f>'Reporte Componentes R1'!G85</f>
        <v>0</v>
      </c>
      <c r="F47" s="294">
        <f>'Reporte Componentes R1'!H85</f>
        <v>0</v>
      </c>
      <c r="G47" s="294">
        <f>'Reporte Componentes R1'!I85</f>
        <v>0</v>
      </c>
      <c r="H47" s="294">
        <f>'Reporte Componentes R1'!J85</f>
        <v>0</v>
      </c>
      <c r="I47" s="294">
        <f>'Reporte Componentes R1'!K85</f>
        <v>0</v>
      </c>
      <c r="J47" s="290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R1'!L85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R1'!M85</f>
        <v>0</v>
      </c>
      <c r="V47" s="310">
        <f>'Reporte Componentes R1'!N85</f>
        <v>0</v>
      </c>
      <c r="W47" s="310">
        <f>'Reporte Componentes R1'!O85</f>
        <v>0</v>
      </c>
      <c r="X47" s="310">
        <f>'Reporte Componentes R1'!P85</f>
        <v>0</v>
      </c>
      <c r="Y47" s="311">
        <f>'Reporte Componentes R1'!Q85</f>
        <v>0</v>
      </c>
      <c r="Z47" s="312">
        <f>-L47</f>
        <v>0</v>
      </c>
      <c r="AA47" s="313">
        <f>'Reporte Componentes R1'!R85+'Reporte Componentes R1'!S85</f>
        <v>0</v>
      </c>
      <c r="AB47" s="296">
        <f>N47</f>
        <v>0</v>
      </c>
      <c r="AC47" s="313">
        <v>0</v>
      </c>
      <c r="AD47" s="293">
        <f>-J47+AE47</f>
        <v>0</v>
      </c>
      <c r="AE47" s="293">
        <f>'Reporte Componentes R1'!F86</f>
        <v>0</v>
      </c>
      <c r="AF47" s="315">
        <f>SUM(U47:AD47)</f>
        <v>0</v>
      </c>
      <c r="AG47" s="313">
        <f>(AF47-O47)</f>
        <v>0</v>
      </c>
      <c r="AH47" s="307" t="b">
        <f>INT(AG47)=0</f>
        <v>1</v>
      </c>
      <c r="AI47" s="308"/>
    </row>
    <row r="48" spans="1:35" s="307" customFormat="1" ht="12" x14ac:dyDescent="0.25">
      <c r="B48" s="316">
        <v>2</v>
      </c>
      <c r="C48" s="317" t="s">
        <v>11</v>
      </c>
      <c r="D48" s="293">
        <f>'Reporte Componentes R1'!F218</f>
        <v>0</v>
      </c>
      <c r="E48" s="294">
        <f>'Reporte Componentes R1'!G218</f>
        <v>0</v>
      </c>
      <c r="F48" s="294">
        <f>'Reporte Componentes R1'!H218</f>
        <v>0</v>
      </c>
      <c r="G48" s="294">
        <f>'Reporte Componentes R1'!I218</f>
        <v>0</v>
      </c>
      <c r="H48" s="294">
        <f>'Reporte Componentes R1'!J218</f>
        <v>0</v>
      </c>
      <c r="I48" s="294">
        <f>'Reporte Componentes R1'!K218</f>
        <v>0</v>
      </c>
      <c r="J48" s="290">
        <v>0</v>
      </c>
      <c r="K48" s="297">
        <f t="shared" ref="K48:K51" si="14">D48-E48-F48-G48-H48-I48-J48</f>
        <v>0</v>
      </c>
      <c r="L48" s="296">
        <v>0</v>
      </c>
      <c r="M48" s="297">
        <f>K48-L48</f>
        <v>0</v>
      </c>
      <c r="N48" s="296">
        <f>'Reporte Componentes R1'!L218</f>
        <v>0</v>
      </c>
      <c r="O48" s="297">
        <f t="shared" ref="O48:O51" si="15">M48+N48</f>
        <v>0</v>
      </c>
      <c r="Q48" s="308"/>
      <c r="S48" s="316">
        <v>2</v>
      </c>
      <c r="T48" s="317" t="s">
        <v>11</v>
      </c>
      <c r="U48" s="318">
        <f>'Reporte Componentes R1'!M218</f>
        <v>0</v>
      </c>
      <c r="V48" s="319">
        <f>'Reporte Componentes R1'!N218</f>
        <v>0</v>
      </c>
      <c r="W48" s="319">
        <f>'Reporte Componentes R1'!O218</f>
        <v>0</v>
      </c>
      <c r="X48" s="319">
        <f>'Reporte Componentes R1'!P218</f>
        <v>0</v>
      </c>
      <c r="Y48" s="320">
        <f>'Reporte Componentes R1'!Q218</f>
        <v>0</v>
      </c>
      <c r="Z48" s="321">
        <f>-L48</f>
        <v>0</v>
      </c>
      <c r="AA48" s="322">
        <f>'Reporte Componentes R1'!R218+'Reporte Componentes R1'!S218+'Reporte Componentes R1'!T218</f>
        <v>0</v>
      </c>
      <c r="AB48" s="296">
        <f>N48</f>
        <v>0</v>
      </c>
      <c r="AC48" s="322">
        <v>0</v>
      </c>
      <c r="AD48" s="293">
        <f t="shared" ref="AD48:AD51" si="16">-J48+AE48</f>
        <v>0</v>
      </c>
      <c r="AE48" s="293">
        <f>'Reporte Componentes R1'!F219</f>
        <v>0</v>
      </c>
      <c r="AF48" s="324">
        <f>SUM(U48:AD48)</f>
        <v>0</v>
      </c>
      <c r="AG48" s="325">
        <f>(AF48-O48)</f>
        <v>0</v>
      </c>
      <c r="AH48" s="307" t="b">
        <f t="shared" ref="AH48:AH51" si="17">INT(AG48)=0</f>
        <v>1</v>
      </c>
      <c r="AI48" s="308"/>
    </row>
    <row r="49" spans="1:35" s="307" customFormat="1" ht="12" x14ac:dyDescent="0.25">
      <c r="B49" s="316">
        <v>3</v>
      </c>
      <c r="C49" s="317" t="s">
        <v>12</v>
      </c>
      <c r="D49" s="293">
        <f>'Reporte Componentes R1'!F346</f>
        <v>0</v>
      </c>
      <c r="E49" s="294">
        <f>'Reporte Componentes R1'!G346</f>
        <v>0</v>
      </c>
      <c r="F49" s="294">
        <f>'Reporte Componentes R1'!H346</f>
        <v>0</v>
      </c>
      <c r="G49" s="294">
        <f>'Reporte Componentes R1'!I346</f>
        <v>0</v>
      </c>
      <c r="H49" s="294">
        <f>'Reporte Componentes R1'!J346</f>
        <v>0</v>
      </c>
      <c r="I49" s="294">
        <f>'Reporte Componentes R1'!K346</f>
        <v>0</v>
      </c>
      <c r="J49" s="290">
        <v>0</v>
      </c>
      <c r="K49" s="297">
        <f t="shared" si="14"/>
        <v>0</v>
      </c>
      <c r="L49" s="296">
        <v>0</v>
      </c>
      <c r="M49" s="297">
        <f>K49-L49</f>
        <v>0</v>
      </c>
      <c r="N49" s="296">
        <f>'Reporte Componentes R1'!L346</f>
        <v>0</v>
      </c>
      <c r="O49" s="297">
        <f t="shared" si="15"/>
        <v>0</v>
      </c>
      <c r="Q49" s="308"/>
      <c r="S49" s="316">
        <v>3</v>
      </c>
      <c r="T49" s="317" t="s">
        <v>12</v>
      </c>
      <c r="U49" s="318">
        <f>'Reporte Componentes R1'!M346</f>
        <v>0</v>
      </c>
      <c r="V49" s="319">
        <f>'Reporte Componentes R1'!N346</f>
        <v>0</v>
      </c>
      <c r="W49" s="319">
        <f>'Reporte Componentes R1'!O346</f>
        <v>0</v>
      </c>
      <c r="X49" s="319">
        <f>'Reporte Componentes R1'!P346</f>
        <v>0</v>
      </c>
      <c r="Y49" s="320">
        <f>'Reporte Componentes R1'!Q346</f>
        <v>0</v>
      </c>
      <c r="Z49" s="321">
        <f>-L49</f>
        <v>0</v>
      </c>
      <c r="AA49" s="322">
        <f>'Reporte Componentes R1'!R346+'Reporte Componentes R1'!S346+'Reporte Componentes R1'!T346</f>
        <v>0</v>
      </c>
      <c r="AB49" s="296">
        <f>N49</f>
        <v>0</v>
      </c>
      <c r="AC49" s="322">
        <v>0</v>
      </c>
      <c r="AD49" s="293">
        <f t="shared" si="16"/>
        <v>0</v>
      </c>
      <c r="AE49" s="293">
        <f>'Reporte Componentes R1'!F347</f>
        <v>0</v>
      </c>
      <c r="AF49" s="324">
        <f t="shared" ref="AF49:AF51" si="18">SUM(U49:AD49)</f>
        <v>0</v>
      </c>
      <c r="AG49" s="325">
        <f t="shared" ref="AG49:AG51" si="19">(AF49-O49)</f>
        <v>0</v>
      </c>
      <c r="AH49" s="307" t="b">
        <f t="shared" si="17"/>
        <v>1</v>
      </c>
      <c r="AI49" s="308"/>
    </row>
    <row r="50" spans="1:35" s="307" customFormat="1" ht="12" x14ac:dyDescent="0.25">
      <c r="B50" s="316">
        <v>4</v>
      </c>
      <c r="C50" s="317" t="s">
        <v>13</v>
      </c>
      <c r="D50" s="293">
        <f>'Reporte Componentes R1'!F466</f>
        <v>0</v>
      </c>
      <c r="E50" s="294">
        <f>'Reporte Componentes R1'!G466</f>
        <v>0</v>
      </c>
      <c r="F50" s="294">
        <f>'Reporte Componentes R1'!H466</f>
        <v>0</v>
      </c>
      <c r="G50" s="294">
        <f>'Reporte Componentes R1'!I466</f>
        <v>0</v>
      </c>
      <c r="H50" s="294">
        <f>'Reporte Componentes R1'!J466</f>
        <v>0</v>
      </c>
      <c r="I50" s="294">
        <f>'Reporte Componentes R1'!K466</f>
        <v>0</v>
      </c>
      <c r="J50" s="290">
        <v>0</v>
      </c>
      <c r="K50" s="297">
        <f t="shared" si="14"/>
        <v>0</v>
      </c>
      <c r="L50" s="296">
        <v>0</v>
      </c>
      <c r="M50" s="297">
        <f>K50-L50</f>
        <v>0</v>
      </c>
      <c r="N50" s="296">
        <f>'Reporte Componentes R1'!L466</f>
        <v>0</v>
      </c>
      <c r="O50" s="297">
        <f t="shared" si="15"/>
        <v>0</v>
      </c>
      <c r="Q50" s="308"/>
      <c r="S50" s="316">
        <v>4</v>
      </c>
      <c r="T50" s="317" t="s">
        <v>13</v>
      </c>
      <c r="U50" s="318">
        <f>'Reporte Componentes R1'!M466</f>
        <v>0</v>
      </c>
      <c r="V50" s="319">
        <f>'Reporte Componentes R1'!N466</f>
        <v>0</v>
      </c>
      <c r="W50" s="319">
        <f>'Reporte Componentes R1'!O466</f>
        <v>0</v>
      </c>
      <c r="X50" s="319">
        <f>'Reporte Componentes R1'!P466</f>
        <v>0</v>
      </c>
      <c r="Y50" s="320">
        <f>'Reporte Componentes R1'!Q466</f>
        <v>0</v>
      </c>
      <c r="Z50" s="321">
        <f>-L50</f>
        <v>0</v>
      </c>
      <c r="AA50" s="322">
        <f>'Reporte Componentes R1'!R466+'Reporte Componentes R1'!S466</f>
        <v>0</v>
      </c>
      <c r="AB50" s="296">
        <f>N50</f>
        <v>0</v>
      </c>
      <c r="AC50" s="322">
        <v>0</v>
      </c>
      <c r="AD50" s="293">
        <f t="shared" si="16"/>
        <v>0</v>
      </c>
      <c r="AE50" s="293">
        <f>'Reporte Componentes R1'!F467</f>
        <v>0</v>
      </c>
      <c r="AF50" s="324">
        <f t="shared" si="18"/>
        <v>0</v>
      </c>
      <c r="AG50" s="325">
        <f t="shared" si="19"/>
        <v>0</v>
      </c>
      <c r="AH50" s="307" t="b">
        <f t="shared" si="17"/>
        <v>1</v>
      </c>
      <c r="AI50" s="308"/>
    </row>
    <row r="51" spans="1:35" s="307" customFormat="1" ht="12.6" thickBot="1" x14ac:dyDescent="0.3">
      <c r="B51" s="326">
        <v>5</v>
      </c>
      <c r="C51" s="327" t="s">
        <v>14</v>
      </c>
      <c r="D51" s="298">
        <f>'Reporte Componentes R1'!F540</f>
        <v>0</v>
      </c>
      <c r="E51" s="299">
        <f>'Reporte Componentes R1'!G540</f>
        <v>0</v>
      </c>
      <c r="F51" s="299">
        <f>'Reporte Componentes R1'!H540</f>
        <v>0</v>
      </c>
      <c r="G51" s="299">
        <f>'Reporte Componentes R1'!I540</f>
        <v>0</v>
      </c>
      <c r="H51" s="299">
        <f>'Reporte Componentes R1'!J540</f>
        <v>0</v>
      </c>
      <c r="I51" s="299">
        <f>'Reporte Componentes R1'!K540</f>
        <v>0</v>
      </c>
      <c r="J51" s="291">
        <v>0</v>
      </c>
      <c r="K51" s="297">
        <f t="shared" si="14"/>
        <v>0</v>
      </c>
      <c r="L51" s="296">
        <v>0</v>
      </c>
      <c r="M51" s="300">
        <f>K51-L51</f>
        <v>0</v>
      </c>
      <c r="N51" s="301">
        <f>'Reporte Componentes R1'!L540</f>
        <v>0</v>
      </c>
      <c r="O51" s="300">
        <f t="shared" si="15"/>
        <v>0</v>
      </c>
      <c r="Q51" s="308"/>
      <c r="S51" s="326">
        <v>5</v>
      </c>
      <c r="T51" s="327" t="s">
        <v>14</v>
      </c>
      <c r="U51" s="298">
        <f>'Reporte Componentes R1'!M540</f>
        <v>0</v>
      </c>
      <c r="V51" s="299">
        <f>'Reporte Componentes R1'!N540</f>
        <v>0</v>
      </c>
      <c r="W51" s="299">
        <f>'Reporte Componentes R1'!O540</f>
        <v>0</v>
      </c>
      <c r="X51" s="299">
        <f>'Reporte Componentes R1'!P540</f>
        <v>0</v>
      </c>
      <c r="Y51" s="291">
        <f>'Reporte Componentes R1'!Q540</f>
        <v>0</v>
      </c>
      <c r="Z51" s="321">
        <f>-L51</f>
        <v>0</v>
      </c>
      <c r="AA51" s="322">
        <f>'Reporte Componentes R1'!R540+'Reporte Componentes R1'!S540+'Reporte Componentes R1'!T540</f>
        <v>0</v>
      </c>
      <c r="AB51" s="296">
        <f>N51</f>
        <v>0</v>
      </c>
      <c r="AC51" s="322">
        <v>0</v>
      </c>
      <c r="AD51" s="293">
        <f t="shared" si="16"/>
        <v>0</v>
      </c>
      <c r="AE51" s="293">
        <f>'Reporte Componentes R1'!F541</f>
        <v>0</v>
      </c>
      <c r="AF51" s="324">
        <f t="shared" si="18"/>
        <v>0</v>
      </c>
      <c r="AG51" s="328">
        <f t="shared" si="19"/>
        <v>0</v>
      </c>
      <c r="AH51" s="307" t="b">
        <f t="shared" si="17"/>
        <v>1</v>
      </c>
      <c r="AI51" s="308"/>
    </row>
    <row r="52" spans="1:35" s="307" customFormat="1" ht="13.8" thickBot="1" x14ac:dyDescent="0.3">
      <c r="B52" s="329"/>
      <c r="C52" s="330" t="s">
        <v>2</v>
      </c>
      <c r="D52" s="292">
        <f t="shared" ref="D52:O52" si="20">SUM(D47:D51)</f>
        <v>0</v>
      </c>
      <c r="E52" s="292">
        <f t="shared" si="20"/>
        <v>0</v>
      </c>
      <c r="F52" s="292">
        <f t="shared" si="20"/>
        <v>0</v>
      </c>
      <c r="G52" s="292">
        <f t="shared" ref="G52" si="21">SUM(G47:G51)</f>
        <v>0</v>
      </c>
      <c r="H52" s="292">
        <f t="shared" si="20"/>
        <v>0</v>
      </c>
      <c r="I52" s="292">
        <f t="shared" si="20"/>
        <v>0</v>
      </c>
      <c r="J52" s="292">
        <f t="shared" si="20"/>
        <v>0</v>
      </c>
      <c r="K52" s="302">
        <f t="shared" si="20"/>
        <v>0</v>
      </c>
      <c r="L52" s="303">
        <f t="shared" si="20"/>
        <v>0</v>
      </c>
      <c r="M52" s="304">
        <f t="shared" si="20"/>
        <v>0</v>
      </c>
      <c r="N52" s="303">
        <f t="shared" si="20"/>
        <v>0</v>
      </c>
      <c r="O52" s="304">
        <f t="shared" si="20"/>
        <v>0</v>
      </c>
      <c r="P52" s="331"/>
      <c r="Q52" s="308"/>
      <c r="S52" s="329"/>
      <c r="T52" s="330" t="s">
        <v>2</v>
      </c>
      <c r="U52" s="332">
        <f>SUM(U47:U51)</f>
        <v>0</v>
      </c>
      <c r="V52" s="332">
        <f t="shared" ref="V52:AG52" si="22">SUM(V47:V51)</f>
        <v>0</v>
      </c>
      <c r="W52" s="332">
        <f t="shared" si="22"/>
        <v>0</v>
      </c>
      <c r="X52" s="332">
        <f t="shared" si="22"/>
        <v>0</v>
      </c>
      <c r="Y52" s="332">
        <f t="shared" si="22"/>
        <v>0</v>
      </c>
      <c r="Z52" s="292">
        <f t="shared" si="22"/>
        <v>0</v>
      </c>
      <c r="AA52" s="292">
        <f t="shared" si="22"/>
        <v>0</v>
      </c>
      <c r="AB52" s="292">
        <f t="shared" si="22"/>
        <v>0</v>
      </c>
      <c r="AC52" s="292">
        <f t="shared" ref="AC52" si="23">SUM(AC47:AC51)</f>
        <v>0</v>
      </c>
      <c r="AD52" s="292">
        <f>SUM(AD47:AD51)</f>
        <v>0</v>
      </c>
      <c r="AE52" s="292">
        <f>SUM(AE47:AE51)</f>
        <v>0</v>
      </c>
      <c r="AF52" s="333">
        <f t="shared" si="22"/>
        <v>0</v>
      </c>
      <c r="AG52" s="334">
        <f t="shared" si="22"/>
        <v>0</v>
      </c>
      <c r="AH52" s="307" t="b">
        <f>INT(AG52)=0</f>
        <v>1</v>
      </c>
      <c r="AI52" s="308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0" t="s">
        <v>17</v>
      </c>
      <c r="D63" s="9">
        <f>D6</f>
        <v>46314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7" customFormat="1" ht="12" x14ac:dyDescent="0.25">
      <c r="B66" s="305">
        <v>1</v>
      </c>
      <c r="C66" s="306" t="s">
        <v>10</v>
      </c>
      <c r="D66" s="293">
        <f>'Reversion Pagos R4'!D88</f>
        <v>0</v>
      </c>
      <c r="E66" s="294">
        <f>'Reversion Pagos R4'!E88</f>
        <v>0</v>
      </c>
      <c r="F66" s="294">
        <f>'Reversion Pagos R4'!F88</f>
        <v>0</v>
      </c>
      <c r="G66" s="294">
        <f>'Reversion Pagos R4'!G88</f>
        <v>0</v>
      </c>
      <c r="H66" s="294">
        <f>'Reversion Pagos R4'!H88</f>
        <v>0</v>
      </c>
      <c r="I66" s="294">
        <f>'Reversion Pagos R4'!I88</f>
        <v>0</v>
      </c>
      <c r="J66" s="290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R4'!P88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R4'!J88</f>
        <v>0</v>
      </c>
      <c r="V66" s="310">
        <f>'Reversion Pagos R4'!K88</f>
        <v>0</v>
      </c>
      <c r="W66" s="310">
        <f>'Reversion Pagos R4'!L88</f>
        <v>0</v>
      </c>
      <c r="X66" s="310">
        <f>'Reversion Pagos R4'!M88</f>
        <v>0</v>
      </c>
      <c r="Y66" s="310">
        <f>'Reversion Pagos R4'!N88</f>
        <v>0</v>
      </c>
      <c r="Z66" s="312">
        <f>-L66</f>
        <v>0</v>
      </c>
      <c r="AA66" s="313">
        <f>'Reversion Pagos R4'!O88+'Reversion Pagos R4'!Q88</f>
        <v>0</v>
      </c>
      <c r="AB66" s="296">
        <f>N66</f>
        <v>0</v>
      </c>
      <c r="AC66" s="313">
        <v>0</v>
      </c>
      <c r="AD66" s="293">
        <f>-J66+AE66</f>
        <v>0</v>
      </c>
      <c r="AE66" s="293">
        <f>'Reversion Pagos R4'!D89</f>
        <v>0</v>
      </c>
      <c r="AF66" s="315">
        <f>SUM(U66:AD66)</f>
        <v>0</v>
      </c>
      <c r="AG66" s="313">
        <f>(AF66-O66)</f>
        <v>0</v>
      </c>
      <c r="AH66" s="307" t="b">
        <f>INT(AG66)=0</f>
        <v>1</v>
      </c>
      <c r="AI66" s="308"/>
    </row>
    <row r="67" spans="1:35" s="307" customFormat="1" ht="12" x14ac:dyDescent="0.25">
      <c r="B67" s="316">
        <v>2</v>
      </c>
      <c r="C67" s="317" t="s">
        <v>11</v>
      </c>
      <c r="D67" s="293">
        <f>'Reversion Pagos R4'!D183</f>
        <v>0</v>
      </c>
      <c r="E67" s="294">
        <f>'Reversion Pagos R4'!E183</f>
        <v>0</v>
      </c>
      <c r="F67" s="294">
        <f>'Reversion Pagos R4'!F183</f>
        <v>0</v>
      </c>
      <c r="G67" s="294">
        <f>'Reversion Pagos R4'!G183</f>
        <v>0</v>
      </c>
      <c r="H67" s="294">
        <f>'Reversion Pagos R4'!H183</f>
        <v>0</v>
      </c>
      <c r="I67" s="294">
        <f>'Reversion Pagos R4'!I183</f>
        <v>0</v>
      </c>
      <c r="J67" s="290">
        <v>0</v>
      </c>
      <c r="K67" s="297">
        <f t="shared" ref="K67:K70" si="24">D67-E67-F67-G67-H67-I67-J67</f>
        <v>0</v>
      </c>
      <c r="L67" s="296">
        <v>0</v>
      </c>
      <c r="M67" s="297">
        <f>K67-L67</f>
        <v>0</v>
      </c>
      <c r="N67" s="296">
        <f>'Reversion Pagos R4'!P183</f>
        <v>0</v>
      </c>
      <c r="O67" s="297">
        <f t="shared" ref="O67:O70" si="25">M67+N67</f>
        <v>0</v>
      </c>
      <c r="Q67" s="308"/>
      <c r="S67" s="316">
        <v>2</v>
      </c>
      <c r="T67" s="317" t="s">
        <v>11</v>
      </c>
      <c r="U67" s="318">
        <f>'Reversion Pagos R4'!J183</f>
        <v>0</v>
      </c>
      <c r="V67" s="319">
        <f>'Reversion Pagos R4'!K183</f>
        <v>0</v>
      </c>
      <c r="W67" s="319">
        <f>'Reversion Pagos R4'!L183</f>
        <v>0</v>
      </c>
      <c r="X67" s="319">
        <f>'Reversion Pagos R4'!M183</f>
        <v>0</v>
      </c>
      <c r="Y67" s="320">
        <f>'Reversion Pagos R4'!N183</f>
        <v>0</v>
      </c>
      <c r="Z67" s="321">
        <f t="shared" ref="Z67:Z70" si="26">-L67</f>
        <v>0</v>
      </c>
      <c r="AA67" s="322">
        <f>'Reversion Pagos R4'!O183</f>
        <v>0</v>
      </c>
      <c r="AB67" s="296">
        <f t="shared" ref="AB67:AB70" si="27">N67</f>
        <v>0</v>
      </c>
      <c r="AC67" s="322">
        <v>0</v>
      </c>
      <c r="AD67" s="293">
        <f t="shared" ref="AD67:AD70" si="28">-J67+AE67</f>
        <v>0</v>
      </c>
      <c r="AE67" s="293">
        <f>'Reversion Pagos R4'!D184</f>
        <v>0</v>
      </c>
      <c r="AF67" s="324">
        <f>SUM(U67:AD67)</f>
        <v>0</v>
      </c>
      <c r="AG67" s="325">
        <f>(AF67-O67)</f>
        <v>0</v>
      </c>
      <c r="AH67" s="307" t="b">
        <f t="shared" ref="AH67:AH70" si="29">INT(AG67)=0</f>
        <v>1</v>
      </c>
      <c r="AI67" s="308"/>
    </row>
    <row r="68" spans="1:35" s="307" customFormat="1" ht="12" x14ac:dyDescent="0.25">
      <c r="B68" s="316">
        <v>3</v>
      </c>
      <c r="C68" s="317" t="s">
        <v>12</v>
      </c>
      <c r="D68" s="293">
        <f>'Reversion Pagos R4'!D214</f>
        <v>0</v>
      </c>
      <c r="E68" s="294">
        <f>'Reversion Pagos R4'!E214</f>
        <v>0</v>
      </c>
      <c r="F68" s="294">
        <f>'Reversion Pagos R4'!F214</f>
        <v>0</v>
      </c>
      <c r="G68" s="294">
        <f>'Reversion Pagos R4'!G214</f>
        <v>0</v>
      </c>
      <c r="H68" s="294">
        <f>'Reversion Pagos R4'!H214</f>
        <v>0</v>
      </c>
      <c r="I68" s="294">
        <f>'Reversion Pagos R4'!I214</f>
        <v>0</v>
      </c>
      <c r="J68" s="290">
        <v>0</v>
      </c>
      <c r="K68" s="297">
        <f t="shared" si="24"/>
        <v>0</v>
      </c>
      <c r="L68" s="296">
        <v>0</v>
      </c>
      <c r="M68" s="297">
        <f>K68-L68</f>
        <v>0</v>
      </c>
      <c r="N68" s="296">
        <f>'Reversion Pagos R4'!P214</f>
        <v>0</v>
      </c>
      <c r="O68" s="297">
        <f t="shared" si="25"/>
        <v>0</v>
      </c>
      <c r="Q68" s="308"/>
      <c r="S68" s="316">
        <v>3</v>
      </c>
      <c r="T68" s="317" t="s">
        <v>12</v>
      </c>
      <c r="U68" s="318">
        <f>'Reversion Pagos R4'!J214</f>
        <v>0</v>
      </c>
      <c r="V68" s="319">
        <f>'Reversion Pagos R4'!K214</f>
        <v>0</v>
      </c>
      <c r="W68" s="319">
        <f>'Reversion Pagos R4'!L214</f>
        <v>0</v>
      </c>
      <c r="X68" s="319">
        <f>'Reversion Pagos R4'!M214</f>
        <v>0</v>
      </c>
      <c r="Y68" s="320">
        <f>'Reversion Pagos R4'!N214</f>
        <v>0</v>
      </c>
      <c r="Z68" s="321">
        <f t="shared" si="26"/>
        <v>0</v>
      </c>
      <c r="AA68" s="322">
        <f>'Reversion Pagos R4'!O214</f>
        <v>0</v>
      </c>
      <c r="AB68" s="296">
        <f t="shared" si="27"/>
        <v>0</v>
      </c>
      <c r="AC68" s="322">
        <v>0</v>
      </c>
      <c r="AD68" s="293">
        <f t="shared" si="28"/>
        <v>0</v>
      </c>
      <c r="AE68" s="293">
        <f>'Reversion Pagos R4'!D215</f>
        <v>0</v>
      </c>
      <c r="AF68" s="324">
        <f t="shared" ref="AF68:AF70" si="30">SUM(U68:AD68)</f>
        <v>0</v>
      </c>
      <c r="AG68" s="325">
        <f t="shared" ref="AG68:AG70" si="31">(AF68-O68)</f>
        <v>0</v>
      </c>
      <c r="AH68" s="307" t="b">
        <f t="shared" si="29"/>
        <v>1</v>
      </c>
      <c r="AI68" s="308"/>
    </row>
    <row r="69" spans="1:35" s="307" customFormat="1" ht="12" x14ac:dyDescent="0.25">
      <c r="B69" s="316">
        <v>4</v>
      </c>
      <c r="C69" s="317" t="s">
        <v>13</v>
      </c>
      <c r="D69" s="293">
        <f>'Reversion Pagos R4'!D328</f>
        <v>0</v>
      </c>
      <c r="E69" s="294">
        <f>'Reversion Pagos R4'!E328</f>
        <v>0</v>
      </c>
      <c r="F69" s="294">
        <f>'Reversion Pagos R4'!F328</f>
        <v>0</v>
      </c>
      <c r="G69" s="294">
        <f>'Reversion Pagos R4'!G328</f>
        <v>0</v>
      </c>
      <c r="H69" s="294">
        <f>'Reversion Pagos R4'!H328</f>
        <v>0</v>
      </c>
      <c r="I69" s="294">
        <f>'Reversion Pagos R4'!I328</f>
        <v>0</v>
      </c>
      <c r="J69" s="290">
        <v>0</v>
      </c>
      <c r="K69" s="297">
        <f t="shared" si="24"/>
        <v>0</v>
      </c>
      <c r="L69" s="296">
        <v>0</v>
      </c>
      <c r="M69" s="297">
        <f>K69-L69</f>
        <v>0</v>
      </c>
      <c r="N69" s="296">
        <f>'Reversion Pagos R4'!P328</f>
        <v>0</v>
      </c>
      <c r="O69" s="297">
        <f t="shared" si="25"/>
        <v>0</v>
      </c>
      <c r="Q69" s="308"/>
      <c r="S69" s="316">
        <v>4</v>
      </c>
      <c r="T69" s="317" t="s">
        <v>13</v>
      </c>
      <c r="U69" s="318">
        <f>'Reversion Pagos R4'!J328</f>
        <v>0</v>
      </c>
      <c r="V69" s="319">
        <f>'Reversion Pagos R4'!K328</f>
        <v>0</v>
      </c>
      <c r="W69" s="319">
        <f>'Reversion Pagos R4'!L328</f>
        <v>0</v>
      </c>
      <c r="X69" s="319">
        <f>'Reversion Pagos R4'!M328</f>
        <v>0</v>
      </c>
      <c r="Y69" s="320">
        <f>'Reversion Pagos R4'!N328</f>
        <v>0</v>
      </c>
      <c r="Z69" s="321">
        <f t="shared" si="26"/>
        <v>0</v>
      </c>
      <c r="AA69" s="322">
        <f>'Reversion Pagos R4'!O328</f>
        <v>0</v>
      </c>
      <c r="AB69" s="296">
        <f t="shared" si="27"/>
        <v>0</v>
      </c>
      <c r="AC69" s="322">
        <v>0</v>
      </c>
      <c r="AD69" s="293">
        <f t="shared" si="28"/>
        <v>0</v>
      </c>
      <c r="AE69" s="293">
        <f>'Reversion Pagos R4'!D329</f>
        <v>0</v>
      </c>
      <c r="AF69" s="324">
        <f>SUM(U69:AD69)</f>
        <v>0</v>
      </c>
      <c r="AG69" s="325">
        <f>(AF69-O69)</f>
        <v>0</v>
      </c>
      <c r="AH69" s="307" t="b">
        <f t="shared" si="29"/>
        <v>1</v>
      </c>
      <c r="AI69" s="308"/>
    </row>
    <row r="70" spans="1:35" s="307" customFormat="1" ht="12.6" thickBot="1" x14ac:dyDescent="0.3">
      <c r="B70" s="326">
        <v>5</v>
      </c>
      <c r="C70" s="327" t="s">
        <v>14</v>
      </c>
      <c r="D70" s="298">
        <f>'Reversion Pagos R4'!D357</f>
        <v>0</v>
      </c>
      <c r="E70" s="299">
        <f>'Reversion Pagos R4'!E357</f>
        <v>0</v>
      </c>
      <c r="F70" s="299">
        <f>'Reversion Pagos R4'!F357</f>
        <v>0</v>
      </c>
      <c r="G70" s="299">
        <f>'Reversion Pagos R4'!G357</f>
        <v>0</v>
      </c>
      <c r="H70" s="299">
        <f>'Reversion Pagos R4'!H357</f>
        <v>0</v>
      </c>
      <c r="I70" s="299">
        <f>'Reversion Pagos R4'!I357</f>
        <v>0</v>
      </c>
      <c r="J70" s="291">
        <v>0</v>
      </c>
      <c r="K70" s="297">
        <f t="shared" si="24"/>
        <v>0</v>
      </c>
      <c r="L70" s="296">
        <v>0</v>
      </c>
      <c r="M70" s="300">
        <f>K70-L70</f>
        <v>0</v>
      </c>
      <c r="N70" s="296">
        <f>'Reversion Pagos R4'!P357</f>
        <v>0</v>
      </c>
      <c r="O70" s="300">
        <f t="shared" si="25"/>
        <v>0</v>
      </c>
      <c r="Q70" s="308"/>
      <c r="S70" s="326">
        <v>5</v>
      </c>
      <c r="T70" s="327" t="s">
        <v>14</v>
      </c>
      <c r="U70" s="298">
        <f>'Reversion Pagos R4'!J357</f>
        <v>0</v>
      </c>
      <c r="V70" s="299">
        <f>'Reversion Pagos R4'!K357</f>
        <v>0</v>
      </c>
      <c r="W70" s="299">
        <f>'Reversion Pagos R4'!L357</f>
        <v>0</v>
      </c>
      <c r="X70" s="299">
        <f>'Reversion Pagos R4'!M357</f>
        <v>0</v>
      </c>
      <c r="Y70" s="291">
        <f>'Reversion Pagos R4'!N357</f>
        <v>0</v>
      </c>
      <c r="Z70" s="321">
        <f t="shared" si="26"/>
        <v>0</v>
      </c>
      <c r="AA70" s="322">
        <f>'Reversion Pagos R4'!O357</f>
        <v>0</v>
      </c>
      <c r="AB70" s="296">
        <f t="shared" si="27"/>
        <v>0</v>
      </c>
      <c r="AC70" s="322">
        <v>0</v>
      </c>
      <c r="AD70" s="293">
        <f t="shared" si="28"/>
        <v>0</v>
      </c>
      <c r="AE70" s="293">
        <f>'Reversion Pagos R4'!D358</f>
        <v>0</v>
      </c>
      <c r="AF70" s="324">
        <f t="shared" si="30"/>
        <v>0</v>
      </c>
      <c r="AG70" s="328">
        <f t="shared" si="31"/>
        <v>0</v>
      </c>
      <c r="AH70" s="307" t="b">
        <f t="shared" si="29"/>
        <v>1</v>
      </c>
      <c r="AI70" s="308"/>
    </row>
    <row r="71" spans="1:35" s="307" customFormat="1" ht="13.8" thickBot="1" x14ac:dyDescent="0.3">
      <c r="B71" s="329"/>
      <c r="C71" s="330" t="s">
        <v>2</v>
      </c>
      <c r="D71" s="292">
        <f t="shared" ref="D71:O71" si="32">SUM(D66:D70)</f>
        <v>0</v>
      </c>
      <c r="E71" s="292">
        <f t="shared" si="32"/>
        <v>0</v>
      </c>
      <c r="F71" s="292">
        <f t="shared" si="32"/>
        <v>0</v>
      </c>
      <c r="G71" s="292">
        <f t="shared" si="32"/>
        <v>0</v>
      </c>
      <c r="H71" s="292">
        <f t="shared" si="32"/>
        <v>0</v>
      </c>
      <c r="I71" s="292">
        <f t="shared" si="32"/>
        <v>0</v>
      </c>
      <c r="J71" s="292">
        <f t="shared" si="32"/>
        <v>0</v>
      </c>
      <c r="K71" s="302">
        <f t="shared" si="32"/>
        <v>0</v>
      </c>
      <c r="L71" s="303">
        <f t="shared" si="32"/>
        <v>0</v>
      </c>
      <c r="M71" s="304">
        <f t="shared" si="32"/>
        <v>0</v>
      </c>
      <c r="N71" s="303">
        <f t="shared" si="32"/>
        <v>0</v>
      </c>
      <c r="O71" s="304">
        <f t="shared" si="32"/>
        <v>0</v>
      </c>
      <c r="P71" s="331"/>
      <c r="Q71" s="308"/>
      <c r="S71" s="329"/>
      <c r="T71" s="330" t="s">
        <v>2</v>
      </c>
      <c r="U71" s="332">
        <f>SUM(U66:U70)</f>
        <v>0</v>
      </c>
      <c r="V71" s="332">
        <f t="shared" ref="V71:AG71" si="33">SUM(V66:V70)</f>
        <v>0</v>
      </c>
      <c r="W71" s="332">
        <f t="shared" si="33"/>
        <v>0</v>
      </c>
      <c r="X71" s="332">
        <f t="shared" si="33"/>
        <v>0</v>
      </c>
      <c r="Y71" s="332">
        <f t="shared" si="33"/>
        <v>0</v>
      </c>
      <c r="Z71" s="292">
        <f t="shared" si="33"/>
        <v>0</v>
      </c>
      <c r="AA71" s="292">
        <f>SUM(AA66:AA70)</f>
        <v>0</v>
      </c>
      <c r="AB71" s="292">
        <f t="shared" si="33"/>
        <v>0</v>
      </c>
      <c r="AC71" s="292">
        <f t="shared" si="33"/>
        <v>0</v>
      </c>
      <c r="AD71" s="292">
        <f>SUM(AD66:AD70)</f>
        <v>0</v>
      </c>
      <c r="AE71" s="292">
        <f>SUM(AE66:AE70)</f>
        <v>0</v>
      </c>
      <c r="AF71" s="333">
        <f t="shared" si="33"/>
        <v>0</v>
      </c>
      <c r="AG71" s="334">
        <f t="shared" si="33"/>
        <v>0</v>
      </c>
      <c r="AH71" s="307" t="b">
        <f>INT(AG71)=0</f>
        <v>1</v>
      </c>
      <c r="AI71" s="308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0" t="s">
        <v>17</v>
      </c>
      <c r="D82" s="9">
        <f>D6</f>
        <v>46314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ht="12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f>-L85</f>
        <v>0</v>
      </c>
      <c r="AA85" s="313">
        <v>0</v>
      </c>
      <c r="AB85" s="296">
        <f>N85</f>
        <v>0</v>
      </c>
      <c r="AC85" s="313">
        <v>0</v>
      </c>
      <c r="AD85" s="293">
        <f>-J85+AE85</f>
        <v>0</v>
      </c>
      <c r="AE85" s="293">
        <v>0</v>
      </c>
      <c r="AF85" s="315">
        <f>SUM(U85:AD85)</f>
        <v>0</v>
      </c>
      <c r="AG85" s="313">
        <f>AF85-O85</f>
        <v>0</v>
      </c>
      <c r="AH85" s="307" t="b">
        <f>INT(AG85)=0</f>
        <v>1</v>
      </c>
      <c r="AI85" s="308"/>
    </row>
    <row r="86" spans="1:35" s="307" customFormat="1" ht="12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0">
        <v>0</v>
      </c>
      <c r="K86" s="297">
        <f t="shared" ref="K86:K89" si="34">D86-E86-F86-G86-H86-I86-J86</f>
        <v>0</v>
      </c>
      <c r="L86" s="296">
        <v>0</v>
      </c>
      <c r="M86" s="297">
        <f>K86-L86</f>
        <v>0</v>
      </c>
      <c r="N86" s="296">
        <v>0</v>
      </c>
      <c r="O86" s="297">
        <f t="shared" ref="O86:O89" si="35">M86+N86</f>
        <v>0</v>
      </c>
      <c r="Q86" s="308"/>
      <c r="S86" s="316">
        <v>2</v>
      </c>
      <c r="T86" s="317" t="s">
        <v>11</v>
      </c>
      <c r="U86" s="318">
        <v>0</v>
      </c>
      <c r="V86" s="319">
        <v>0</v>
      </c>
      <c r="W86" s="319">
        <v>0</v>
      </c>
      <c r="X86" s="319">
        <v>0</v>
      </c>
      <c r="Y86" s="320">
        <v>0</v>
      </c>
      <c r="Z86" s="321">
        <f>-L86</f>
        <v>0</v>
      </c>
      <c r="AA86" s="322">
        <v>0</v>
      </c>
      <c r="AB86" s="296">
        <f>N86</f>
        <v>0</v>
      </c>
      <c r="AC86" s="322">
        <v>0</v>
      </c>
      <c r="AD86" s="293">
        <f t="shared" ref="AD86:AD89" si="36">-J86+AE86</f>
        <v>0</v>
      </c>
      <c r="AE86" s="293">
        <v>0</v>
      </c>
      <c r="AF86" s="324">
        <f>SUM(U86:AD86)</f>
        <v>0</v>
      </c>
      <c r="AG86" s="325">
        <f>AF86-O86</f>
        <v>0</v>
      </c>
      <c r="AH86" s="307" t="b">
        <f t="shared" ref="AH86:AH89" si="37">INT(AG86)=0</f>
        <v>1</v>
      </c>
      <c r="AI86" s="308"/>
    </row>
    <row r="87" spans="1:35" s="307" customFormat="1" ht="12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4"/>
        <v>0</v>
      </c>
      <c r="L87" s="296">
        <v>0</v>
      </c>
      <c r="M87" s="297">
        <f>K87-L87</f>
        <v>0</v>
      </c>
      <c r="N87" s="296">
        <v>0</v>
      </c>
      <c r="O87" s="297">
        <f t="shared" si="35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f>-L87</f>
        <v>0</v>
      </c>
      <c r="AA87" s="322">
        <v>0</v>
      </c>
      <c r="AB87" s="296">
        <f>N87</f>
        <v>0</v>
      </c>
      <c r="AC87" s="322">
        <v>0</v>
      </c>
      <c r="AD87" s="293">
        <f t="shared" si="36"/>
        <v>0</v>
      </c>
      <c r="AE87" s="293">
        <v>0</v>
      </c>
      <c r="AF87" s="324">
        <f t="shared" ref="AF87:AF89" si="38">SUM(U87:AD87)</f>
        <v>0</v>
      </c>
      <c r="AG87" s="325">
        <f>AF87-O87</f>
        <v>0</v>
      </c>
      <c r="AH87" s="307" t="b">
        <f t="shared" si="37"/>
        <v>1</v>
      </c>
      <c r="AI87" s="308"/>
    </row>
    <row r="88" spans="1:35" s="307" customFormat="1" ht="12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0">
        <v>0</v>
      </c>
      <c r="K88" s="297">
        <f t="shared" si="34"/>
        <v>0</v>
      </c>
      <c r="L88" s="296">
        <v>0</v>
      </c>
      <c r="M88" s="297">
        <f>K88-L88</f>
        <v>0</v>
      </c>
      <c r="N88" s="296">
        <v>0</v>
      </c>
      <c r="O88" s="297">
        <f t="shared" si="35"/>
        <v>0</v>
      </c>
      <c r="Q88" s="308"/>
      <c r="S88" s="316">
        <v>4</v>
      </c>
      <c r="T88" s="317" t="s">
        <v>13</v>
      </c>
      <c r="U88" s="318">
        <v>0</v>
      </c>
      <c r="V88" s="319">
        <v>0</v>
      </c>
      <c r="W88" s="319">
        <v>0</v>
      </c>
      <c r="X88" s="319">
        <v>0</v>
      </c>
      <c r="Y88" s="320">
        <v>0</v>
      </c>
      <c r="Z88" s="321">
        <f>-L88</f>
        <v>0</v>
      </c>
      <c r="AA88" s="322">
        <v>0</v>
      </c>
      <c r="AB88" s="296">
        <f>N88</f>
        <v>0</v>
      </c>
      <c r="AC88" s="322">
        <v>0</v>
      </c>
      <c r="AD88" s="293">
        <f t="shared" si="36"/>
        <v>0</v>
      </c>
      <c r="AE88" s="293">
        <v>0</v>
      </c>
      <c r="AF88" s="324">
        <f t="shared" si="38"/>
        <v>0</v>
      </c>
      <c r="AG88" s="325">
        <f>AF88-O88</f>
        <v>0</v>
      </c>
      <c r="AH88" s="307" t="b">
        <f t="shared" si="37"/>
        <v>1</v>
      </c>
      <c r="AI88" s="308"/>
    </row>
    <row r="89" spans="1:35" s="307" customFormat="1" ht="12.6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4"/>
        <v>0</v>
      </c>
      <c r="L89" s="296">
        <v>0</v>
      </c>
      <c r="M89" s="300">
        <f>K89-L89</f>
        <v>0</v>
      </c>
      <c r="N89" s="301">
        <v>0</v>
      </c>
      <c r="O89" s="300">
        <f t="shared" si="35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f>-L89</f>
        <v>0</v>
      </c>
      <c r="AA89" s="322">
        <v>0</v>
      </c>
      <c r="AB89" s="296">
        <f>N89</f>
        <v>0</v>
      </c>
      <c r="AC89" s="322">
        <v>0</v>
      </c>
      <c r="AD89" s="293">
        <f t="shared" si="36"/>
        <v>0</v>
      </c>
      <c r="AE89" s="293">
        <v>0</v>
      </c>
      <c r="AF89" s="324">
        <f t="shared" si="38"/>
        <v>0</v>
      </c>
      <c r="AG89" s="328">
        <f>AF89-O89</f>
        <v>0</v>
      </c>
      <c r="AH89" s="307" t="b">
        <f t="shared" si="37"/>
        <v>1</v>
      </c>
      <c r="AI89" s="308"/>
    </row>
    <row r="90" spans="1:35" s="307" customFormat="1" ht="13.8" thickBot="1" x14ac:dyDescent="0.3">
      <c r="B90" s="329"/>
      <c r="C90" s="330" t="s">
        <v>2</v>
      </c>
      <c r="D90" s="292">
        <f t="shared" ref="D90:O90" si="39">SUM(D85:D89)</f>
        <v>0</v>
      </c>
      <c r="E90" s="292">
        <f t="shared" si="39"/>
        <v>0</v>
      </c>
      <c r="F90" s="292">
        <f t="shared" si="39"/>
        <v>0</v>
      </c>
      <c r="G90" s="292">
        <f t="shared" si="39"/>
        <v>0</v>
      </c>
      <c r="H90" s="292">
        <f t="shared" si="39"/>
        <v>0</v>
      </c>
      <c r="I90" s="292">
        <f t="shared" si="39"/>
        <v>0</v>
      </c>
      <c r="J90" s="292">
        <f t="shared" si="39"/>
        <v>0</v>
      </c>
      <c r="K90" s="302">
        <f t="shared" si="39"/>
        <v>0</v>
      </c>
      <c r="L90" s="303">
        <f t="shared" si="39"/>
        <v>0</v>
      </c>
      <c r="M90" s="304">
        <f t="shared" si="39"/>
        <v>0</v>
      </c>
      <c r="N90" s="303">
        <f t="shared" si="39"/>
        <v>0</v>
      </c>
      <c r="O90" s="304">
        <f t="shared" si="39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0">SUM(V85:V89)</f>
        <v>0</v>
      </c>
      <c r="W90" s="332">
        <f t="shared" si="40"/>
        <v>0</v>
      </c>
      <c r="X90" s="332">
        <f t="shared" si="40"/>
        <v>0</v>
      </c>
      <c r="Y90" s="332">
        <f t="shared" si="40"/>
        <v>0</v>
      </c>
      <c r="Z90" s="292">
        <f t="shared" si="40"/>
        <v>0</v>
      </c>
      <c r="AA90" s="292">
        <f t="shared" si="40"/>
        <v>0</v>
      </c>
      <c r="AB90" s="292">
        <f t="shared" si="40"/>
        <v>0</v>
      </c>
      <c r="AC90" s="292">
        <f t="shared" si="40"/>
        <v>0</v>
      </c>
      <c r="AD90" s="292">
        <f t="shared" si="40"/>
        <v>0</v>
      </c>
      <c r="AE90" s="292">
        <f t="shared" si="40"/>
        <v>0</v>
      </c>
      <c r="AF90" s="333">
        <f t="shared" si="40"/>
        <v>0</v>
      </c>
      <c r="AG90" s="334">
        <f t="shared" si="40"/>
        <v>0</v>
      </c>
      <c r="AH90" s="307" t="b">
        <f>INT(AG90)=0</f>
        <v>1</v>
      </c>
      <c r="AI90" s="308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0" t="s">
        <v>17</v>
      </c>
      <c r="D101" s="9">
        <f>D6</f>
        <v>46314</v>
      </c>
      <c r="F101" s="58" t="s">
        <v>219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220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ht="12" x14ac:dyDescent="0.25">
      <c r="B104" s="305">
        <v>1</v>
      </c>
      <c r="C104" s="306" t="s">
        <v>10</v>
      </c>
      <c r="D104" s="293">
        <f t="shared" ref="D104:J108" si="41">D9+D28+D47+D66+D85</f>
        <v>0</v>
      </c>
      <c r="E104" s="294">
        <f t="shared" si="41"/>
        <v>0</v>
      </c>
      <c r="F104" s="294">
        <f t="shared" si="41"/>
        <v>0</v>
      </c>
      <c r="G104" s="294">
        <f t="shared" si="41"/>
        <v>0</v>
      </c>
      <c r="H104" s="294">
        <f t="shared" si="41"/>
        <v>0</v>
      </c>
      <c r="I104" s="294">
        <f t="shared" si="41"/>
        <v>0</v>
      </c>
      <c r="J104" s="290">
        <f t="shared" si="41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B108" si="42">U9+U28+U47+U66+U85</f>
        <v>0</v>
      </c>
      <c r="V104" s="310">
        <f t="shared" si="42"/>
        <v>0</v>
      </c>
      <c r="W104" s="310">
        <f t="shared" si="42"/>
        <v>0</v>
      </c>
      <c r="X104" s="310">
        <f t="shared" si="42"/>
        <v>0</v>
      </c>
      <c r="Y104" s="311">
        <f t="shared" si="42"/>
        <v>0</v>
      </c>
      <c r="Z104" s="312">
        <f t="shared" si="42"/>
        <v>0</v>
      </c>
      <c r="AA104" s="313">
        <f t="shared" si="42"/>
        <v>0</v>
      </c>
      <c r="AB104" s="296">
        <f t="shared" si="42"/>
        <v>0</v>
      </c>
      <c r="AC104" s="313">
        <f t="shared" ref="AC104" si="43">AC9+AC28+AC47+AC66+AC85</f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313">
        <f>AF104-O104</f>
        <v>0</v>
      </c>
      <c r="AH104" s="1" t="b">
        <f t="shared" ref="AH104:AH109" si="44">INT(ABS(AG104))=0</f>
        <v>1</v>
      </c>
      <c r="AI104" s="308"/>
    </row>
    <row r="105" spans="2:36" s="307" customFormat="1" ht="12" x14ac:dyDescent="0.25">
      <c r="B105" s="316">
        <v>2</v>
      </c>
      <c r="C105" s="317" t="s">
        <v>11</v>
      </c>
      <c r="D105" s="293">
        <f t="shared" si="41"/>
        <v>0</v>
      </c>
      <c r="E105" s="294">
        <f t="shared" si="41"/>
        <v>0</v>
      </c>
      <c r="F105" s="294">
        <f t="shared" si="41"/>
        <v>0</v>
      </c>
      <c r="G105" s="294">
        <f t="shared" si="41"/>
        <v>0</v>
      </c>
      <c r="H105" s="294">
        <f t="shared" si="41"/>
        <v>0</v>
      </c>
      <c r="I105" s="294">
        <f t="shared" si="41"/>
        <v>0</v>
      </c>
      <c r="J105" s="290">
        <f t="shared" si="41"/>
        <v>0</v>
      </c>
      <c r="K105" s="297">
        <f t="shared" ref="K105:K108" si="45">D105-E105-F105-G105-H105-I105-J105</f>
        <v>0</v>
      </c>
      <c r="L105" s="296">
        <f>L10+L29+L48+L67+L86</f>
        <v>0</v>
      </c>
      <c r="M105" s="297">
        <f>K105-L105</f>
        <v>0</v>
      </c>
      <c r="N105" s="296">
        <f>N10+N29+N48+N67+N86</f>
        <v>0</v>
      </c>
      <c r="O105" s="297">
        <f t="shared" ref="O105:O108" si="46">M105+N105</f>
        <v>0</v>
      </c>
      <c r="Q105" s="308"/>
      <c r="S105" s="316">
        <v>2</v>
      </c>
      <c r="T105" s="317" t="s">
        <v>11</v>
      </c>
      <c r="U105" s="318">
        <f t="shared" si="42"/>
        <v>0</v>
      </c>
      <c r="V105" s="319">
        <f t="shared" si="42"/>
        <v>0</v>
      </c>
      <c r="W105" s="319">
        <f t="shared" si="42"/>
        <v>0</v>
      </c>
      <c r="X105" s="319">
        <f t="shared" si="42"/>
        <v>0</v>
      </c>
      <c r="Y105" s="320">
        <f t="shared" si="42"/>
        <v>0</v>
      </c>
      <c r="Z105" s="321">
        <f t="shared" si="42"/>
        <v>0</v>
      </c>
      <c r="AA105" s="322">
        <f t="shared" si="42"/>
        <v>0</v>
      </c>
      <c r="AB105" s="296">
        <f t="shared" si="42"/>
        <v>0</v>
      </c>
      <c r="AC105" s="322">
        <f t="shared" ref="AC105" si="47">AC10+AC29+AC48+AC67+AC86</f>
        <v>0</v>
      </c>
      <c r="AD105" s="293">
        <f t="shared" ref="AD105:AD107" si="48">-J105+AE105</f>
        <v>0</v>
      </c>
      <c r="AE105" s="293">
        <f>AE10+AE29+AE48+AE67+AE86</f>
        <v>0</v>
      </c>
      <c r="AF105" s="324">
        <f>SUM(U105:AD105)</f>
        <v>0</v>
      </c>
      <c r="AG105" s="325">
        <f>AF105-O105</f>
        <v>0</v>
      </c>
      <c r="AH105" s="1" t="b">
        <f t="shared" si="44"/>
        <v>1</v>
      </c>
      <c r="AI105" s="308"/>
    </row>
    <row r="106" spans="2:36" s="307" customFormat="1" ht="12" x14ac:dyDescent="0.25">
      <c r="B106" s="316">
        <v>3</v>
      </c>
      <c r="C106" s="317" t="s">
        <v>12</v>
      </c>
      <c r="D106" s="293">
        <f t="shared" si="41"/>
        <v>0</v>
      </c>
      <c r="E106" s="294">
        <f t="shared" si="41"/>
        <v>0</v>
      </c>
      <c r="F106" s="294">
        <f t="shared" si="41"/>
        <v>0</v>
      </c>
      <c r="G106" s="294">
        <f t="shared" si="41"/>
        <v>0</v>
      </c>
      <c r="H106" s="294">
        <f t="shared" si="41"/>
        <v>0</v>
      </c>
      <c r="I106" s="294">
        <f t="shared" si="41"/>
        <v>0</v>
      </c>
      <c r="J106" s="290">
        <f t="shared" si="41"/>
        <v>0</v>
      </c>
      <c r="K106" s="297">
        <f t="shared" si="45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6"/>
        <v>0</v>
      </c>
      <c r="Q106" s="308"/>
      <c r="S106" s="316">
        <v>3</v>
      </c>
      <c r="T106" s="317" t="s">
        <v>12</v>
      </c>
      <c r="U106" s="318">
        <f t="shared" si="42"/>
        <v>0</v>
      </c>
      <c r="V106" s="319">
        <f t="shared" si="42"/>
        <v>0</v>
      </c>
      <c r="W106" s="319">
        <f t="shared" si="42"/>
        <v>0</v>
      </c>
      <c r="X106" s="319">
        <f t="shared" si="42"/>
        <v>0</v>
      </c>
      <c r="Y106" s="320">
        <f t="shared" si="42"/>
        <v>0</v>
      </c>
      <c r="Z106" s="321">
        <f t="shared" si="42"/>
        <v>0</v>
      </c>
      <c r="AA106" s="322">
        <f t="shared" si="42"/>
        <v>0</v>
      </c>
      <c r="AB106" s="296">
        <f t="shared" si="42"/>
        <v>0</v>
      </c>
      <c r="AC106" s="322">
        <f t="shared" ref="AC106" si="49">AC11+AC30+AC49+AC68+AC87</f>
        <v>0</v>
      </c>
      <c r="AD106" s="293">
        <f t="shared" si="48"/>
        <v>0</v>
      </c>
      <c r="AE106" s="293">
        <f>AE11+AE30+AE49+AE68+AE87</f>
        <v>0</v>
      </c>
      <c r="AF106" s="324">
        <f>SUM(U106:AD106)</f>
        <v>0</v>
      </c>
      <c r="AG106" s="325">
        <f>AF106-O106</f>
        <v>0</v>
      </c>
      <c r="AH106" s="1" t="b">
        <f t="shared" si="44"/>
        <v>1</v>
      </c>
      <c r="AI106" s="308"/>
    </row>
    <row r="107" spans="2:36" s="307" customFormat="1" ht="12" x14ac:dyDescent="0.25">
      <c r="B107" s="316">
        <v>4</v>
      </c>
      <c r="C107" s="317" t="s">
        <v>13</v>
      </c>
      <c r="D107" s="293">
        <f t="shared" si="41"/>
        <v>0</v>
      </c>
      <c r="E107" s="294">
        <f t="shared" si="41"/>
        <v>0</v>
      </c>
      <c r="F107" s="294">
        <f t="shared" si="41"/>
        <v>0</v>
      </c>
      <c r="G107" s="294">
        <f t="shared" si="41"/>
        <v>0</v>
      </c>
      <c r="H107" s="294">
        <f t="shared" si="41"/>
        <v>0</v>
      </c>
      <c r="I107" s="294">
        <f t="shared" si="41"/>
        <v>0</v>
      </c>
      <c r="J107" s="290">
        <f t="shared" si="41"/>
        <v>0</v>
      </c>
      <c r="K107" s="297">
        <f t="shared" si="45"/>
        <v>0</v>
      </c>
      <c r="L107" s="296">
        <f>L12+L31+L50+L69+L88</f>
        <v>0</v>
      </c>
      <c r="M107" s="297">
        <f>K107-L107</f>
        <v>0</v>
      </c>
      <c r="N107" s="296">
        <f>N12+N31+N50+N69+N88</f>
        <v>0</v>
      </c>
      <c r="O107" s="297">
        <f t="shared" si="46"/>
        <v>0</v>
      </c>
      <c r="Q107" s="308"/>
      <c r="S107" s="316">
        <v>4</v>
      </c>
      <c r="T107" s="317" t="s">
        <v>13</v>
      </c>
      <c r="U107" s="318">
        <f t="shared" si="42"/>
        <v>0</v>
      </c>
      <c r="V107" s="319">
        <f t="shared" si="42"/>
        <v>0</v>
      </c>
      <c r="W107" s="319">
        <f t="shared" si="42"/>
        <v>0</v>
      </c>
      <c r="X107" s="319">
        <f t="shared" si="42"/>
        <v>0</v>
      </c>
      <c r="Y107" s="320">
        <f t="shared" si="42"/>
        <v>0</v>
      </c>
      <c r="Z107" s="321">
        <f t="shared" si="42"/>
        <v>0</v>
      </c>
      <c r="AA107" s="322">
        <f t="shared" si="42"/>
        <v>0</v>
      </c>
      <c r="AB107" s="296">
        <f t="shared" si="42"/>
        <v>0</v>
      </c>
      <c r="AC107" s="322">
        <f t="shared" ref="AC107" si="50">AC12+AC31+AC50+AC69+AC88</f>
        <v>0</v>
      </c>
      <c r="AD107" s="293">
        <f t="shared" si="48"/>
        <v>0</v>
      </c>
      <c r="AE107" s="293">
        <f>AE12+AE31+AE50+AE69+AE88</f>
        <v>0</v>
      </c>
      <c r="AF107" s="324">
        <f>SUM(U107:AD107)</f>
        <v>0</v>
      </c>
      <c r="AG107" s="325">
        <f>AF107-O107</f>
        <v>0</v>
      </c>
      <c r="AH107" s="1" t="b">
        <f t="shared" si="44"/>
        <v>1</v>
      </c>
      <c r="AI107" s="308"/>
    </row>
    <row r="108" spans="2:36" s="307" customFormat="1" ht="12.6" thickBot="1" x14ac:dyDescent="0.3">
      <c r="B108" s="326">
        <v>5</v>
      </c>
      <c r="C108" s="327" t="s">
        <v>14</v>
      </c>
      <c r="D108" s="298">
        <f>D13+D32+D51+D70+D89</f>
        <v>0</v>
      </c>
      <c r="E108" s="299">
        <f t="shared" si="41"/>
        <v>0</v>
      </c>
      <c r="F108" s="299">
        <f t="shared" si="41"/>
        <v>0</v>
      </c>
      <c r="G108" s="299">
        <f t="shared" si="41"/>
        <v>0</v>
      </c>
      <c r="H108" s="299">
        <f t="shared" si="41"/>
        <v>0</v>
      </c>
      <c r="I108" s="299">
        <f t="shared" si="41"/>
        <v>0</v>
      </c>
      <c r="J108" s="291">
        <f t="shared" si="41"/>
        <v>0</v>
      </c>
      <c r="K108" s="297">
        <f t="shared" si="45"/>
        <v>0</v>
      </c>
      <c r="L108" s="296">
        <f>L13+L32+L51+L70+L89</f>
        <v>0</v>
      </c>
      <c r="M108" s="300">
        <f>K108-L108</f>
        <v>0</v>
      </c>
      <c r="N108" s="301">
        <f>N13+N32+N51+N70+N89</f>
        <v>0</v>
      </c>
      <c r="O108" s="300">
        <f t="shared" si="46"/>
        <v>0</v>
      </c>
      <c r="Q108" s="308"/>
      <c r="S108" s="326">
        <v>5</v>
      </c>
      <c r="T108" s="327" t="s">
        <v>14</v>
      </c>
      <c r="U108" s="298">
        <f t="shared" si="42"/>
        <v>0</v>
      </c>
      <c r="V108" s="299">
        <f t="shared" si="42"/>
        <v>0</v>
      </c>
      <c r="W108" s="299">
        <f t="shared" si="42"/>
        <v>0</v>
      </c>
      <c r="X108" s="299">
        <f t="shared" si="42"/>
        <v>0</v>
      </c>
      <c r="Y108" s="291">
        <f t="shared" si="42"/>
        <v>0</v>
      </c>
      <c r="Z108" s="321">
        <f t="shared" si="42"/>
        <v>0</v>
      </c>
      <c r="AA108" s="322">
        <f t="shared" si="42"/>
        <v>0</v>
      </c>
      <c r="AB108" s="296">
        <f t="shared" si="42"/>
        <v>0</v>
      </c>
      <c r="AC108" s="322">
        <f t="shared" ref="AC108" si="51">AC13+AC32+AC51+AC70+AC89</f>
        <v>0</v>
      </c>
      <c r="AD108" s="293">
        <f>-J108+AE108</f>
        <v>0</v>
      </c>
      <c r="AE108" s="293">
        <f>AE13+AE32+AE51+AE70+AE89</f>
        <v>0</v>
      </c>
      <c r="AF108" s="324">
        <f>SUM(U108:AD108)</f>
        <v>0</v>
      </c>
      <c r="AG108" s="328">
        <f>AF108-O108</f>
        <v>0</v>
      </c>
      <c r="AH108" s="1" t="b">
        <f t="shared" si="44"/>
        <v>1</v>
      </c>
      <c r="AI108" s="308"/>
    </row>
    <row r="109" spans="2:36" s="307" customFormat="1" ht="13.8" thickBot="1" x14ac:dyDescent="0.3">
      <c r="B109" s="329"/>
      <c r="C109" s="330" t="s">
        <v>2</v>
      </c>
      <c r="D109" s="292">
        <f t="shared" ref="D109:O109" si="52">SUM(D104:D108)</f>
        <v>0</v>
      </c>
      <c r="E109" s="292">
        <f t="shared" si="52"/>
        <v>0</v>
      </c>
      <c r="F109" s="292">
        <f t="shared" si="52"/>
        <v>0</v>
      </c>
      <c r="G109" s="292">
        <f t="shared" si="52"/>
        <v>0</v>
      </c>
      <c r="H109" s="292">
        <f t="shared" si="52"/>
        <v>0</v>
      </c>
      <c r="I109" s="292">
        <f t="shared" si="52"/>
        <v>0</v>
      </c>
      <c r="J109" s="292">
        <f t="shared" si="52"/>
        <v>0</v>
      </c>
      <c r="K109" s="302">
        <f t="shared" si="52"/>
        <v>0</v>
      </c>
      <c r="L109" s="303">
        <f t="shared" si="52"/>
        <v>0</v>
      </c>
      <c r="M109" s="304">
        <f t="shared" si="52"/>
        <v>0</v>
      </c>
      <c r="N109" s="303">
        <f t="shared" si="52"/>
        <v>0</v>
      </c>
      <c r="O109" s="304">
        <f t="shared" si="52"/>
        <v>0</v>
      </c>
      <c r="P109" s="331"/>
      <c r="Q109" s="308"/>
      <c r="S109" s="329"/>
      <c r="T109" s="330" t="s">
        <v>2</v>
      </c>
      <c r="U109" s="332">
        <f>SUM(U104:U108)</f>
        <v>0</v>
      </c>
      <c r="V109" s="332">
        <f t="shared" ref="V109:AF109" si="53">SUM(V104:V108)</f>
        <v>0</v>
      </c>
      <c r="W109" s="332">
        <f t="shared" si="53"/>
        <v>0</v>
      </c>
      <c r="X109" s="332">
        <f t="shared" si="53"/>
        <v>0</v>
      </c>
      <c r="Y109" s="332">
        <f t="shared" si="53"/>
        <v>0</v>
      </c>
      <c r="Z109" s="292">
        <f t="shared" si="53"/>
        <v>0</v>
      </c>
      <c r="AA109" s="292">
        <f t="shared" si="53"/>
        <v>0</v>
      </c>
      <c r="AB109" s="292">
        <f t="shared" si="53"/>
        <v>0</v>
      </c>
      <c r="AC109" s="292">
        <f t="shared" ref="AC109" si="54">SUM(AC104:AC108)</f>
        <v>0</v>
      </c>
      <c r="AD109" s="292">
        <f t="shared" si="53"/>
        <v>0</v>
      </c>
      <c r="AE109" s="292">
        <f>SUM(AE104:AE108)</f>
        <v>0</v>
      </c>
      <c r="AF109" s="333">
        <f t="shared" si="53"/>
        <v>0</v>
      </c>
      <c r="AG109" s="334">
        <f>SUM(AG104:AG108)</f>
        <v>0</v>
      </c>
      <c r="AH109" s="1" t="b">
        <f t="shared" si="44"/>
        <v>1</v>
      </c>
      <c r="AI109" s="308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ht="12" x14ac:dyDescent="0.25">
      <c r="B125" s="336">
        <v>1</v>
      </c>
      <c r="C125" s="337" t="s">
        <v>10</v>
      </c>
      <c r="D125" s="310">
        <f>'ANTICIPOS USUARIOS'!R3</f>
        <v>0</v>
      </c>
      <c r="E125" s="3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USUARIOS'!R12</f>
        <v>0</v>
      </c>
      <c r="L125" s="311">
        <f>-'ANTICIPOS USUARIOS'!R21</f>
        <v>0</v>
      </c>
      <c r="O125" s="339"/>
      <c r="Q125" s="308"/>
    </row>
    <row r="126" spans="1:35" s="307" customFormat="1" ht="12" x14ac:dyDescent="0.25">
      <c r="B126" s="316">
        <v>2</v>
      </c>
      <c r="C126" s="340" t="s">
        <v>11</v>
      </c>
      <c r="D126" s="294">
        <f>'ANTICIPOS USUARIOS'!R4</f>
        <v>0</v>
      </c>
      <c r="E126" s="290">
        <v>0</v>
      </c>
      <c r="G126" s="341">
        <f>D48+N48</f>
        <v>0</v>
      </c>
      <c r="H126" s="342">
        <f>D29+N29</f>
        <v>0</v>
      </c>
      <c r="I126" s="290">
        <f>D86+N86</f>
        <v>0</v>
      </c>
      <c r="J126" s="290">
        <f t="shared" ref="J126:J129" si="55">D67+N67</f>
        <v>0</v>
      </c>
      <c r="K126" s="290">
        <f>'ANTICIPOS USUARIOS'!R13</f>
        <v>0</v>
      </c>
      <c r="L126" s="290">
        <f>-'ANTICIPOS USUARIOS'!R22</f>
        <v>0</v>
      </c>
      <c r="O126" s="339"/>
      <c r="Q126" s="308"/>
    </row>
    <row r="127" spans="1:35" s="307" customFormat="1" ht="12" x14ac:dyDescent="0.25">
      <c r="B127" s="316">
        <v>3</v>
      </c>
      <c r="C127" s="340" t="s">
        <v>12</v>
      </c>
      <c r="D127" s="294">
        <f>'ANTICIPOS USUARIOS'!R5</f>
        <v>0</v>
      </c>
      <c r="E127" s="290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55"/>
        <v>0</v>
      </c>
      <c r="K127" s="290">
        <f>'ANTICIPOS USUARIOS'!R14</f>
        <v>0</v>
      </c>
      <c r="L127" s="290">
        <f>-'ANTICIPOS USUARIOS'!R23</f>
        <v>0</v>
      </c>
      <c r="O127" s="339"/>
      <c r="Q127" s="308"/>
    </row>
    <row r="128" spans="1:35" s="307" customFormat="1" ht="12" x14ac:dyDescent="0.25">
      <c r="B128" s="316">
        <v>4</v>
      </c>
      <c r="C128" s="340" t="s">
        <v>13</v>
      </c>
      <c r="D128" s="294">
        <f>'ANTICIPOS USUARIOS'!R6</f>
        <v>0</v>
      </c>
      <c r="E128" s="290">
        <v>0</v>
      </c>
      <c r="G128" s="341">
        <f>D50+N50</f>
        <v>0</v>
      </c>
      <c r="H128" s="342">
        <f>D31+N31</f>
        <v>0</v>
      </c>
      <c r="I128" s="290">
        <f>D88+N88</f>
        <v>0</v>
      </c>
      <c r="J128" s="290">
        <f t="shared" si="55"/>
        <v>0</v>
      </c>
      <c r="K128" s="290">
        <f>'ANTICIPOS USUARIOS'!R15</f>
        <v>0</v>
      </c>
      <c r="L128" s="290">
        <f>-'ANTICIPOS USUARIOS'!R24</f>
        <v>0</v>
      </c>
      <c r="O128" s="339"/>
      <c r="Q128" s="308"/>
    </row>
    <row r="129" spans="1:19" s="307" customFormat="1" ht="12" x14ac:dyDescent="0.25">
      <c r="B129" s="343">
        <v>5</v>
      </c>
      <c r="C129" s="344" t="s">
        <v>14</v>
      </c>
      <c r="D129" s="294">
        <f>'ANTICIPOS USUARIOS'!R7</f>
        <v>0</v>
      </c>
      <c r="E129" s="346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55"/>
        <v>0</v>
      </c>
      <c r="K129" s="290">
        <f>'ANTICIPOS USUARIOS'!R16</f>
        <v>0</v>
      </c>
      <c r="L129" s="290">
        <f>-'ANTICIPOS USUARIOS'!R25</f>
        <v>0</v>
      </c>
      <c r="O129" s="339"/>
      <c r="Q129" s="308"/>
    </row>
    <row r="130" spans="1:19" s="307" customFormat="1" ht="12.6" thickBot="1" x14ac:dyDescent="0.3">
      <c r="B130" s="326" t="s">
        <v>89</v>
      </c>
      <c r="C130" s="347" t="s">
        <v>113</v>
      </c>
      <c r="D130" s="299"/>
      <c r="E130" s="291">
        <f>'Recaudo EAAB + Ciud Limp'!D26</f>
        <v>0</v>
      </c>
      <c r="G130" s="348"/>
      <c r="H130" s="349"/>
      <c r="I130" s="291"/>
      <c r="J130" s="291"/>
      <c r="K130" s="291"/>
      <c r="L130" s="291"/>
      <c r="O130" s="339"/>
      <c r="Q130" s="308"/>
    </row>
    <row r="131" spans="1:19" s="307" customFormat="1" ht="12.6" thickBot="1" x14ac:dyDescent="0.3">
      <c r="B131" s="350"/>
      <c r="C131" s="351" t="s">
        <v>2</v>
      </c>
      <c r="D131" s="352">
        <f>SUM(D125:D130)</f>
        <v>0</v>
      </c>
      <c r="E131" s="352">
        <f>SUM(E125:E130)</f>
        <v>0</v>
      </c>
      <c r="F131" s="353"/>
      <c r="G131" s="352">
        <f t="shared" ref="G131" si="56">SUM(G125:G129)</f>
        <v>0</v>
      </c>
      <c r="H131" s="352">
        <f>SUM(H125:H130)</f>
        <v>0</v>
      </c>
      <c r="I131" s="352">
        <f>SUM(I125:I130)</f>
        <v>0</v>
      </c>
      <c r="J131" s="352">
        <f>SUM(J125:J130)</f>
        <v>0</v>
      </c>
      <c r="K131" s="352">
        <f>SUM(K125:K130)</f>
        <v>0</v>
      </c>
      <c r="L131" s="352">
        <f>SUM(L125:L130)</f>
        <v>0</v>
      </c>
      <c r="M131" s="353"/>
      <c r="N131" s="353"/>
      <c r="O131" s="354"/>
      <c r="P131" s="331"/>
      <c r="Q131" s="308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7" customFormat="1" ht="12" x14ac:dyDescent="0.25">
      <c r="B142" s="336">
        <v>1</v>
      </c>
      <c r="C142" s="337" t="s">
        <v>10</v>
      </c>
      <c r="D142" s="310">
        <f>D104+N104+D125+E125</f>
        <v>0</v>
      </c>
      <c r="E142" s="310">
        <f>'Recaudo EAAB + Ciud Limp'!D21</f>
        <v>0</v>
      </c>
      <c r="F142" s="310">
        <f>D28+N28</f>
        <v>0</v>
      </c>
      <c r="G142" s="310">
        <f>D66+N66</f>
        <v>0</v>
      </c>
      <c r="H142" s="310">
        <f>D85+N85</f>
        <v>0</v>
      </c>
      <c r="I142" s="310">
        <v>0</v>
      </c>
      <c r="J142" s="310">
        <f t="shared" ref="J142:K146" si="57">G125</f>
        <v>0</v>
      </c>
      <c r="K142" s="311">
        <f t="shared" si="57"/>
        <v>0</v>
      </c>
      <c r="L142" s="527">
        <f>D142-E142-F142-G142-J142-H142-I142</f>
        <v>0</v>
      </c>
      <c r="M142" s="1" t="b">
        <f t="shared" ref="M142:M147" si="58">INT(ABS(L142))=0</f>
        <v>1</v>
      </c>
      <c r="P142" s="362"/>
      <c r="Q142" s="363"/>
      <c r="R142" s="362"/>
      <c r="S142" s="1"/>
    </row>
    <row r="143" spans="1:19" s="307" customFormat="1" ht="12" x14ac:dyDescent="0.25">
      <c r="B143" s="316">
        <v>2</v>
      </c>
      <c r="C143" s="340" t="s">
        <v>11</v>
      </c>
      <c r="D143" s="319">
        <f>D105+N105+D126+E126</f>
        <v>0</v>
      </c>
      <c r="E143" s="319">
        <f>'Recaudo EAAB + Ciud Limp'!D22</f>
        <v>0</v>
      </c>
      <c r="F143" s="319">
        <f>D29+N29</f>
        <v>0</v>
      </c>
      <c r="G143" s="319">
        <f>D67+N67</f>
        <v>0</v>
      </c>
      <c r="H143" s="319">
        <f>D86+N86</f>
        <v>0</v>
      </c>
      <c r="I143" s="319">
        <v>0</v>
      </c>
      <c r="J143" s="319">
        <f t="shared" si="57"/>
        <v>0</v>
      </c>
      <c r="K143" s="320">
        <f t="shared" si="57"/>
        <v>0</v>
      </c>
      <c r="L143" s="527">
        <f>D143-E143-F143-G143-J143-H143-I143</f>
        <v>0</v>
      </c>
      <c r="M143" s="1" t="b">
        <f t="shared" si="58"/>
        <v>1</v>
      </c>
      <c r="P143" s="362"/>
      <c r="Q143" s="363"/>
      <c r="R143" s="362"/>
      <c r="S143" s="1"/>
    </row>
    <row r="144" spans="1:19" s="307" customFormat="1" ht="12" x14ac:dyDescent="0.25">
      <c r="B144" s="316">
        <v>3</v>
      </c>
      <c r="C144" s="340" t="s">
        <v>12</v>
      </c>
      <c r="D144" s="319">
        <f>D106+N106+D127+E127</f>
        <v>0</v>
      </c>
      <c r="E144" s="319">
        <f>'Recaudo EAAB + Ciud Limp'!D23</f>
        <v>0</v>
      </c>
      <c r="F144" s="319">
        <f>D30+N30</f>
        <v>0</v>
      </c>
      <c r="G144" s="319">
        <f>D68+N68</f>
        <v>0</v>
      </c>
      <c r="H144" s="319">
        <f>D87+N87</f>
        <v>0</v>
      </c>
      <c r="I144" s="319">
        <v>0</v>
      </c>
      <c r="J144" s="319">
        <f t="shared" si="57"/>
        <v>0</v>
      </c>
      <c r="K144" s="320">
        <f t="shared" si="57"/>
        <v>0</v>
      </c>
      <c r="L144" s="527">
        <f>D144-E144-F144-G144-J144-H144-I144</f>
        <v>0</v>
      </c>
      <c r="M144" s="1" t="b">
        <f t="shared" si="58"/>
        <v>1</v>
      </c>
      <c r="P144" s="362"/>
      <c r="Q144" s="363"/>
      <c r="R144" s="362"/>
      <c r="S144" s="1"/>
    </row>
    <row r="145" spans="1:20" s="307" customFormat="1" ht="12" x14ac:dyDescent="0.25">
      <c r="B145" s="316">
        <v>4</v>
      </c>
      <c r="C145" s="340" t="s">
        <v>13</v>
      </c>
      <c r="D145" s="319">
        <f>D107+N107+D128+E128</f>
        <v>0</v>
      </c>
      <c r="E145" s="319">
        <f>'Recaudo EAAB + Ciud Limp'!D24</f>
        <v>0</v>
      </c>
      <c r="F145" s="319">
        <f>D31+N31</f>
        <v>0</v>
      </c>
      <c r="G145" s="319">
        <f>D69+N69</f>
        <v>0</v>
      </c>
      <c r="H145" s="319">
        <f>D88+N88</f>
        <v>0</v>
      </c>
      <c r="I145" s="319">
        <v>0</v>
      </c>
      <c r="J145" s="319">
        <f t="shared" si="57"/>
        <v>0</v>
      </c>
      <c r="K145" s="320">
        <f t="shared" si="57"/>
        <v>0</v>
      </c>
      <c r="L145" s="527">
        <f>D145-E145-F145-G145-J145-H145-I145</f>
        <v>0</v>
      </c>
      <c r="M145" s="1" t="b">
        <f t="shared" si="58"/>
        <v>1</v>
      </c>
      <c r="P145" s="362"/>
      <c r="Q145" s="363"/>
      <c r="R145" s="362"/>
      <c r="S145" s="1"/>
    </row>
    <row r="146" spans="1:20" s="307" customFormat="1" ht="12.6" thickBot="1" x14ac:dyDescent="0.3">
      <c r="B146" s="343">
        <v>5</v>
      </c>
      <c r="C146" s="344" t="s">
        <v>14</v>
      </c>
      <c r="D146" s="358">
        <f>D108+N108+D129+E129</f>
        <v>0</v>
      </c>
      <c r="E146" s="319">
        <f>'Recaudo EAAB + Ciud Limp'!D25</f>
        <v>0</v>
      </c>
      <c r="F146" s="358">
        <f>D32+N32</f>
        <v>0</v>
      </c>
      <c r="G146" s="358">
        <f>D70+N70</f>
        <v>0</v>
      </c>
      <c r="H146" s="358">
        <f>D89+N89</f>
        <v>0</v>
      </c>
      <c r="I146" s="358">
        <v>0</v>
      </c>
      <c r="J146" s="358">
        <f t="shared" si="57"/>
        <v>0</v>
      </c>
      <c r="K146" s="360">
        <f t="shared" si="57"/>
        <v>0</v>
      </c>
      <c r="L146" s="527">
        <f>D146-E146-F146-G146-J146-H146-I146</f>
        <v>0</v>
      </c>
      <c r="M146" s="1" t="b">
        <f t="shared" si="58"/>
        <v>1</v>
      </c>
      <c r="P146" s="362"/>
      <c r="Q146" s="363"/>
      <c r="R146" s="362"/>
      <c r="S146" s="1"/>
    </row>
    <row r="147" spans="1:20" s="307" customFormat="1" ht="12.6" thickBot="1" x14ac:dyDescent="0.3">
      <c r="B147" s="329"/>
      <c r="C147" s="330" t="s">
        <v>2</v>
      </c>
      <c r="D147" s="364">
        <f>SUM(D142:D146)</f>
        <v>0</v>
      </c>
      <c r="E147" s="364">
        <f>SUM(E142:E146)</f>
        <v>0</v>
      </c>
      <c r="F147" s="364">
        <f t="shared" ref="F147:K147" si="59">SUM(F142:F146)</f>
        <v>0</v>
      </c>
      <c r="G147" s="364">
        <f t="shared" si="59"/>
        <v>0</v>
      </c>
      <c r="H147" s="364">
        <f t="shared" si="59"/>
        <v>0</v>
      </c>
      <c r="I147" s="364">
        <f t="shared" si="59"/>
        <v>0</v>
      </c>
      <c r="J147" s="364">
        <f t="shared" si="59"/>
        <v>0</v>
      </c>
      <c r="K147" s="364">
        <f t="shared" si="59"/>
        <v>0</v>
      </c>
      <c r="L147" s="527">
        <f>SUM(L142:L146)</f>
        <v>0</v>
      </c>
      <c r="M147" s="1" t="b">
        <f t="shared" si="58"/>
        <v>1</v>
      </c>
      <c r="P147" s="362"/>
      <c r="Q147" s="363"/>
      <c r="R147" s="362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G20" sqref="G20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+ Ciud Limp'!D21</f>
        <v>0</v>
      </c>
      <c r="D3" s="294">
        <f>'REMUNERACION_EAAB-CL'!G125</f>
        <v>0</v>
      </c>
      <c r="E3" s="294">
        <f>'REMUNERACION_EAAB-CL'!H125</f>
        <v>0</v>
      </c>
      <c r="F3" s="294">
        <v>0</v>
      </c>
      <c r="G3" s="294">
        <f>'REMUNERACION_EAAB-CL'!I125</f>
        <v>0</v>
      </c>
      <c r="H3" s="342">
        <f t="shared" ref="H3:H8" si="0">SUM(C3:G3)</f>
        <v>0</v>
      </c>
      <c r="I3" s="293">
        <f>'REMUNERACION_EAAB-CL'!D104</f>
        <v>0</v>
      </c>
      <c r="J3" s="294">
        <f>'REMUNERACION_EAAB-CL'!N104</f>
        <v>0</v>
      </c>
      <c r="K3" s="294">
        <f>'REMUNERACION_EAAB-CL'!D125</f>
        <v>0</v>
      </c>
      <c r="L3" s="355">
        <f>'REMUNERACION_EAAB-CL'!E125</f>
        <v>0</v>
      </c>
      <c r="M3" s="294">
        <f>-'REMUNERACION_EAAB-CL'!D66+'REMUNERACION_EAAB-CL'!N66</f>
        <v>0</v>
      </c>
      <c r="N3" s="290">
        <f>SUM(I3:M3)</f>
        <v>0</v>
      </c>
      <c r="O3" s="356">
        <f t="shared" ref="O3:O8" si="1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EAAB + Ciud Limp'!D22</f>
        <v>0</v>
      </c>
      <c r="D4" s="294">
        <f>'REMUNERACION_EAAB-CL'!G126</f>
        <v>0</v>
      </c>
      <c r="E4" s="294">
        <f>'REMUNERACION_EAAB-CL'!H126</f>
        <v>0</v>
      </c>
      <c r="F4" s="294">
        <v>0</v>
      </c>
      <c r="G4" s="294">
        <f>'REMUNERACION_EAAB-CL'!I126</f>
        <v>0</v>
      </c>
      <c r="H4" s="342">
        <f t="shared" si="0"/>
        <v>0</v>
      </c>
      <c r="I4" s="293">
        <f>'REMUNERACION_EAAB-CL'!D105</f>
        <v>0</v>
      </c>
      <c r="J4" s="294">
        <f>'REMUNERACION_EAAB-CL'!N105</f>
        <v>0</v>
      </c>
      <c r="K4" s="294">
        <f>'REMUNERACION_EAAB-CL'!D126</f>
        <v>0</v>
      </c>
      <c r="L4" s="355">
        <f>'REMUNERACION_EAAB-CL'!E126</f>
        <v>0</v>
      </c>
      <c r="M4" s="294">
        <f>-'REMUNERACION_EAAB-CL'!D67+'REMUNERACION_EAAB-CL'!N67</f>
        <v>0</v>
      </c>
      <c r="N4" s="320">
        <f>SUM(I4:M4)</f>
        <v>0</v>
      </c>
      <c r="O4" s="356">
        <f t="shared" si="1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EAAB + Ciud Limp'!D23</f>
        <v>0</v>
      </c>
      <c r="D5" s="294">
        <f>'REMUNERACION_EAAB-CL'!G127</f>
        <v>0</v>
      </c>
      <c r="E5" s="294">
        <f>'REMUNERACION_EAAB-CL'!H127</f>
        <v>0</v>
      </c>
      <c r="F5" s="294">
        <v>0</v>
      </c>
      <c r="G5" s="294">
        <f>'REMUNERACION_EAAB-CL'!I127</f>
        <v>0</v>
      </c>
      <c r="H5" s="342">
        <f t="shared" si="0"/>
        <v>0</v>
      </c>
      <c r="I5" s="293">
        <f>'REMUNERACION_EAAB-CL'!D106</f>
        <v>0</v>
      </c>
      <c r="J5" s="294">
        <f>'REMUNERACION_EAAB-CL'!N106</f>
        <v>0</v>
      </c>
      <c r="K5" s="294">
        <f>'REMUNERACION_EAAB-CL'!D127</f>
        <v>0</v>
      </c>
      <c r="L5" s="355">
        <f>'REMUNERACION_EAAB-CL'!E127</f>
        <v>0</v>
      </c>
      <c r="M5" s="294">
        <f>-'REMUNERACION_EAAB-CL'!D68+'REMUNERACION_EAAB-CL'!N68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EAAB + Ciud Limp'!D24</f>
        <v>0</v>
      </c>
      <c r="D6" s="294">
        <f>'REMUNERACION_EAAB-CL'!G128</f>
        <v>0</v>
      </c>
      <c r="E6" s="294">
        <f>'REMUNERACION_EAAB-CL'!H128</f>
        <v>0</v>
      </c>
      <c r="F6" s="294">
        <v>0</v>
      </c>
      <c r="G6" s="294">
        <f>'REMUNERACION_EAAB-CL'!I128</f>
        <v>0</v>
      </c>
      <c r="H6" s="342">
        <f t="shared" si="0"/>
        <v>0</v>
      </c>
      <c r="I6" s="293">
        <f>'REMUNERACION_EAAB-CL'!D107</f>
        <v>0</v>
      </c>
      <c r="J6" s="294">
        <f>'REMUNERACION_EAAB-CL'!N107</f>
        <v>0</v>
      </c>
      <c r="K6" s="294">
        <f>'REMUNERACION_EAAB-CL'!D128</f>
        <v>0</v>
      </c>
      <c r="L6" s="355">
        <f>'REMUNERACION_EAAB-CL'!E128</f>
        <v>0</v>
      </c>
      <c r="M6" s="294">
        <f>-'REMUNERACION_EAAB-CL'!D69+'REMUNERACION_EAAB-CL'!N69</f>
        <v>0</v>
      </c>
      <c r="N6" s="320">
        <f t="shared" ref="N6:N7" si="3">SUM(I6:M6)</f>
        <v>0</v>
      </c>
      <c r="O6" s="356">
        <f t="shared" si="1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EAAB + Ciud Limp'!D25</f>
        <v>0</v>
      </c>
      <c r="D7" s="294">
        <f>'REMUNERACION_EAAB-CL'!G129</f>
        <v>0</v>
      </c>
      <c r="E7" s="294">
        <f>'REMUNERACION_EAAB-CL'!H129</f>
        <v>0</v>
      </c>
      <c r="F7" s="294">
        <v>0</v>
      </c>
      <c r="G7" s="294">
        <f>'REMUNERACION_EAAB-CL'!I129</f>
        <v>0</v>
      </c>
      <c r="H7" s="342">
        <f t="shared" si="0"/>
        <v>0</v>
      </c>
      <c r="I7" s="293">
        <f>'REMUNERACION_EAAB-CL'!D108</f>
        <v>0</v>
      </c>
      <c r="J7" s="294">
        <f>'REMUNERACION_EAAB-CL'!N108</f>
        <v>0</v>
      </c>
      <c r="K7" s="294">
        <f>'REMUNERACION_EAAB-CL'!D129</f>
        <v>0</v>
      </c>
      <c r="L7" s="355">
        <f>'REMUNERACION_EAAB-CL'!E129</f>
        <v>0</v>
      </c>
      <c r="M7" s="294">
        <f>-'REMUNERACION_EAAB-CL'!D70+'REMUNERACION_EAAB-CL'!N70</f>
        <v>0</v>
      </c>
      <c r="N7" s="320">
        <f t="shared" si="3"/>
        <v>0</v>
      </c>
      <c r="O7" s="356">
        <f>H7-N7</f>
        <v>0</v>
      </c>
      <c r="P7" s="1" t="b">
        <f t="shared" si="2"/>
        <v>1</v>
      </c>
    </row>
    <row r="8" spans="2:16" s="357" customFormat="1" ht="13.8" thickBot="1" x14ac:dyDescent="0.3">
      <c r="B8" s="343" t="s">
        <v>89</v>
      </c>
      <c r="C8" s="319">
        <f>'Recaudo EAAB + Ciud Limp'!D26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0"/>
        <v>0</v>
      </c>
      <c r="I8" s="359">
        <v>0</v>
      </c>
      <c r="J8" s="345">
        <v>0</v>
      </c>
      <c r="K8" s="345">
        <v>0</v>
      </c>
      <c r="L8" s="355">
        <f>'REMUNERACION_EAAB-CL'!E130</f>
        <v>0</v>
      </c>
      <c r="M8" s="294">
        <v>0</v>
      </c>
      <c r="N8" s="360">
        <f>SUM(I8:L8)-M8</f>
        <v>0</v>
      </c>
      <c r="O8" s="356">
        <f t="shared" si="1"/>
        <v>0</v>
      </c>
      <c r="P8" s="1" t="b">
        <f t="shared" si="2"/>
        <v>1</v>
      </c>
    </row>
    <row r="9" spans="2:16" s="357" customFormat="1" ht="13.8" thickBot="1" x14ac:dyDescent="0.3">
      <c r="B9" s="329"/>
      <c r="C9" s="292">
        <f>SUM(C3:C8)</f>
        <v>0</v>
      </c>
      <c r="D9" s="292">
        <f t="shared" ref="D9:M9" si="4">SUM(D3:D8)</f>
        <v>0</v>
      </c>
      <c r="E9" s="292">
        <f t="shared" si="4"/>
        <v>0</v>
      </c>
      <c r="F9" s="292">
        <f t="shared" si="4"/>
        <v>0</v>
      </c>
      <c r="G9" s="292">
        <f t="shared" si="4"/>
        <v>0</v>
      </c>
      <c r="H9" s="292">
        <f t="shared" si="4"/>
        <v>0</v>
      </c>
      <c r="I9" s="292">
        <f t="shared" si="4"/>
        <v>0</v>
      </c>
      <c r="J9" s="292">
        <f t="shared" si="4"/>
        <v>0</v>
      </c>
      <c r="K9" s="292">
        <f t="shared" si="4"/>
        <v>0</v>
      </c>
      <c r="L9" s="292">
        <f t="shared" si="4"/>
        <v>0</v>
      </c>
      <c r="M9" s="292">
        <f t="shared" si="4"/>
        <v>0</v>
      </c>
      <c r="N9" s="292">
        <f>SUM(N3:N8)</f>
        <v>0</v>
      </c>
      <c r="O9" s="361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A8"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0" t="s">
        <v>17</v>
      </c>
      <c r="D6" s="9">
        <f>'CONSOLIDADO_TOTAL RECAUDO'!D101</f>
        <v>46314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46296</v>
      </c>
      <c r="J7" s="2" t="s">
        <v>28</v>
      </c>
      <c r="K7" s="9">
        <f>'CONSOLIDADO_TOTAL RECAUDO'!K102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7" customFormat="1" ht="12" x14ac:dyDescent="0.25">
      <c r="B9" s="305">
        <v>1</v>
      </c>
      <c r="C9" s="306" t="s">
        <v>10</v>
      </c>
      <c r="D9" s="293">
        <f>'REMUNERACION_EAAB-CL'!D104</f>
        <v>0</v>
      </c>
      <c r="E9" s="293">
        <f>'REMUNERACION_EAAB-CL'!E104</f>
        <v>0</v>
      </c>
      <c r="F9" s="293">
        <f>'REMUNERACION_EAAB-CL'!F104</f>
        <v>0</v>
      </c>
      <c r="G9" s="293">
        <f>'REMUNERACION_EAAB-CL'!G104</f>
        <v>0</v>
      </c>
      <c r="H9" s="293">
        <f>'REMUNERACION_EAAB-CL'!H104</f>
        <v>0</v>
      </c>
      <c r="I9" s="293">
        <f>'REMUNERACION_EAAB-CL'!I104</f>
        <v>0</v>
      </c>
      <c r="J9" s="293">
        <f>'REMUNERACION_EAAB-CL'!J104</f>
        <v>0</v>
      </c>
      <c r="K9" s="295">
        <f>D9-E9-F9-G9-H9-I9-J9</f>
        <v>0</v>
      </c>
      <c r="L9" s="293">
        <f>'REMUNERACION_EAAB-CL'!L104</f>
        <v>0</v>
      </c>
      <c r="M9" s="295">
        <f>K9-L9</f>
        <v>0</v>
      </c>
      <c r="N9" s="293">
        <f>'REMUNERACION_EAAB-CL'!N104</f>
        <v>0</v>
      </c>
      <c r="O9" s="295">
        <f>M9+N9</f>
        <v>0</v>
      </c>
      <c r="Q9" s="308"/>
      <c r="S9" s="305">
        <v>1</v>
      </c>
      <c r="T9" s="306" t="s">
        <v>10</v>
      </c>
      <c r="U9" s="293">
        <f>'REMUNERACION_EAAB-CL'!U104</f>
        <v>0</v>
      </c>
      <c r="V9" s="293">
        <f>'REMUNERACION_EAAB-CL'!V104</f>
        <v>0</v>
      </c>
      <c r="W9" s="293">
        <f>'REMUNERACION_EAAB-CL'!W104</f>
        <v>0</v>
      </c>
      <c r="X9" s="293">
        <f>'REMUNERACION_EAAB-CL'!X104</f>
        <v>0</v>
      </c>
      <c r="Y9" s="293">
        <f>'REMUNERACION_EAAB-CL'!Y104</f>
        <v>0</v>
      </c>
      <c r="Z9" s="293">
        <f>'REMUNERACION_EAAB-CL'!Z104</f>
        <v>0</v>
      </c>
      <c r="AA9" s="293">
        <f>'REMUNERACION_EAAB-CL'!AA104</f>
        <v>0</v>
      </c>
      <c r="AB9" s="293">
        <f>'REMUNERACION_EAAB-CL'!AB104</f>
        <v>0</v>
      </c>
      <c r="AC9" s="293">
        <f>'REMUNERACION_EAAB-CL'!AC104</f>
        <v>0</v>
      </c>
      <c r="AD9" s="293">
        <f>'REMUNERACION_EAAB-CL'!AD104</f>
        <v>0</v>
      </c>
      <c r="AE9" s="293">
        <f>'REMUNERACION_EAAB-CL'!AE104</f>
        <v>0</v>
      </c>
      <c r="AF9" s="365">
        <f>SUM(U9:AD9)</f>
        <v>0</v>
      </c>
      <c r="AG9" s="366">
        <f>AF9-O9</f>
        <v>0</v>
      </c>
      <c r="AH9" s="1" t="b">
        <f>INT(AG9)=0</f>
        <v>1</v>
      </c>
      <c r="AI9" s="308"/>
    </row>
    <row r="10" spans="2:35" s="307" customFormat="1" ht="12" x14ac:dyDescent="0.25">
      <c r="B10" s="316">
        <v>2</v>
      </c>
      <c r="C10" s="317" t="s">
        <v>11</v>
      </c>
      <c r="D10" s="293">
        <f>'REMUNERACION_EAAB-CL'!D105</f>
        <v>0</v>
      </c>
      <c r="E10" s="293">
        <f>'REMUNERACION_EAAB-CL'!E105</f>
        <v>0</v>
      </c>
      <c r="F10" s="293">
        <f>'REMUNERACION_EAAB-CL'!F105</f>
        <v>0</v>
      </c>
      <c r="G10" s="293">
        <f>'REMUNERACION_EAAB-CL'!G105</f>
        <v>0</v>
      </c>
      <c r="H10" s="293">
        <f>'REMUNERACION_EAAB-CL'!H105</f>
        <v>0</v>
      </c>
      <c r="I10" s="293">
        <f>'REMUNERACION_EAAB-CL'!I105</f>
        <v>0</v>
      </c>
      <c r="J10" s="293">
        <f>'REMUNERACION_EAAB-CL'!J105</f>
        <v>0</v>
      </c>
      <c r="K10" s="297">
        <f t="shared" ref="K10:K13" si="0">D10-E10-F10-G10-H10-I10-J10</f>
        <v>0</v>
      </c>
      <c r="L10" s="293">
        <f>'REMUNERACION_EAAB-CL'!L105</f>
        <v>0</v>
      </c>
      <c r="M10" s="297">
        <f>K10-L10</f>
        <v>0</v>
      </c>
      <c r="N10" s="293">
        <f>'REMUNERACION_EAAB-CL'!N105</f>
        <v>0</v>
      </c>
      <c r="O10" s="297">
        <f t="shared" ref="O10:O13" si="1">M10+N10</f>
        <v>0</v>
      </c>
      <c r="Q10" s="308"/>
      <c r="S10" s="316">
        <v>2</v>
      </c>
      <c r="T10" s="317" t="s">
        <v>11</v>
      </c>
      <c r="U10" s="293">
        <f>'REMUNERACION_EAAB-CL'!U105</f>
        <v>0</v>
      </c>
      <c r="V10" s="293">
        <f>'REMUNERACION_EAAB-CL'!V105</f>
        <v>0</v>
      </c>
      <c r="W10" s="293">
        <f>'REMUNERACION_EAAB-CL'!W105</f>
        <v>0</v>
      </c>
      <c r="X10" s="293">
        <f>'REMUNERACION_EAAB-CL'!X105</f>
        <v>0</v>
      </c>
      <c r="Y10" s="293">
        <f>'REMUNERACION_EAAB-CL'!Y105</f>
        <v>0</v>
      </c>
      <c r="Z10" s="293">
        <f>'REMUNERACION_EAAB-CL'!Z105</f>
        <v>0</v>
      </c>
      <c r="AA10" s="293">
        <f>'REMUNERACION_EAAB-CL'!AA105</f>
        <v>0</v>
      </c>
      <c r="AB10" s="293">
        <f>'REMUNERACION_EAAB-CL'!AB105</f>
        <v>0</v>
      </c>
      <c r="AC10" s="293">
        <f>'REMUNERACION_EAAB-CL'!AC105</f>
        <v>0</v>
      </c>
      <c r="AD10" s="293">
        <f>'REMUNERACION_EAAB-CL'!AD105</f>
        <v>0</v>
      </c>
      <c r="AE10" s="293">
        <f>'REMUNERACION_EAAB-CL'!AE105</f>
        <v>0</v>
      </c>
      <c r="AF10" s="367">
        <f>SUM(U10:AD10)</f>
        <v>0</v>
      </c>
      <c r="AG10" s="368">
        <f>AF10-O10</f>
        <v>0</v>
      </c>
      <c r="AH10" s="1" t="b">
        <f t="shared" ref="AH10:AH14" si="2">INT(AG10)=0</f>
        <v>1</v>
      </c>
      <c r="AI10" s="308"/>
    </row>
    <row r="11" spans="2:35" s="307" customFormat="1" ht="12" x14ac:dyDescent="0.25">
      <c r="B11" s="316">
        <v>3</v>
      </c>
      <c r="C11" s="317" t="s">
        <v>12</v>
      </c>
      <c r="D11" s="293">
        <f>'REMUNERACION_EAAB-CL'!D106</f>
        <v>0</v>
      </c>
      <c r="E11" s="293">
        <f>'REMUNERACION_EAAB-CL'!E106</f>
        <v>0</v>
      </c>
      <c r="F11" s="293">
        <f>'REMUNERACION_EAAB-CL'!F106</f>
        <v>0</v>
      </c>
      <c r="G11" s="293">
        <f>'REMUNERACION_EAAB-CL'!G106</f>
        <v>0</v>
      </c>
      <c r="H11" s="293">
        <f>'REMUNERACION_EAAB-CL'!H106</f>
        <v>0</v>
      </c>
      <c r="I11" s="293">
        <f>'REMUNERACION_EAAB-CL'!I106</f>
        <v>0</v>
      </c>
      <c r="J11" s="293">
        <f>'REMUNERACION_EAAB-CL'!J106</f>
        <v>0</v>
      </c>
      <c r="K11" s="297">
        <f t="shared" si="0"/>
        <v>0</v>
      </c>
      <c r="L11" s="293">
        <f>'REMUNERACION_EAAB-CL'!L106</f>
        <v>0</v>
      </c>
      <c r="M11" s="297">
        <f>K11-L11</f>
        <v>0</v>
      </c>
      <c r="N11" s="293">
        <f>'REMUNERACION_EAAB-CL'!N106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293">
        <f>'REMUNERACION_EAAB-CL'!U106</f>
        <v>0</v>
      </c>
      <c r="V11" s="293">
        <f>'REMUNERACION_EAAB-CL'!V106</f>
        <v>0</v>
      </c>
      <c r="W11" s="293">
        <f>'REMUNERACION_EAAB-CL'!W106</f>
        <v>0</v>
      </c>
      <c r="X11" s="293">
        <f>'REMUNERACION_EAAB-CL'!X106</f>
        <v>0</v>
      </c>
      <c r="Y11" s="293">
        <f>'REMUNERACION_EAAB-CL'!Y106</f>
        <v>0</v>
      </c>
      <c r="Z11" s="293">
        <f>'REMUNERACION_EAAB-CL'!Z106</f>
        <v>0</v>
      </c>
      <c r="AA11" s="293">
        <f>'REMUNERACION_EAAB-CL'!AA106</f>
        <v>0</v>
      </c>
      <c r="AB11" s="293">
        <f>'REMUNERACION_EAAB-CL'!AB106</f>
        <v>0</v>
      </c>
      <c r="AC11" s="293">
        <f>'REMUNERACION_EAAB-CL'!AC106</f>
        <v>0</v>
      </c>
      <c r="AD11" s="293">
        <f>'REMUNERACION_EAAB-CL'!AD106</f>
        <v>0</v>
      </c>
      <c r="AE11" s="293">
        <f>'REMUNERACION_EAAB-CL'!AE106</f>
        <v>0</v>
      </c>
      <c r="AF11" s="367">
        <f>SUM(U11:AD11)</f>
        <v>0</v>
      </c>
      <c r="AG11" s="368">
        <f>AF11-O11</f>
        <v>0</v>
      </c>
      <c r="AH11" s="1" t="b">
        <f t="shared" si="2"/>
        <v>1</v>
      </c>
      <c r="AI11" s="308"/>
    </row>
    <row r="12" spans="2:35" s="307" customFormat="1" ht="12" x14ac:dyDescent="0.25">
      <c r="B12" s="316">
        <v>4</v>
      </c>
      <c r="C12" s="317" t="s">
        <v>13</v>
      </c>
      <c r="D12" s="293">
        <f>'REMUNERACION_EAAB-CL'!D107</f>
        <v>0</v>
      </c>
      <c r="E12" s="293">
        <f>'REMUNERACION_EAAB-CL'!E107</f>
        <v>0</v>
      </c>
      <c r="F12" s="293">
        <f>'REMUNERACION_EAAB-CL'!F107</f>
        <v>0</v>
      </c>
      <c r="G12" s="293">
        <f>'REMUNERACION_EAAB-CL'!G107</f>
        <v>0</v>
      </c>
      <c r="H12" s="293">
        <f>'REMUNERACION_EAAB-CL'!H107</f>
        <v>0</v>
      </c>
      <c r="I12" s="293">
        <f>'REMUNERACION_EAAB-CL'!I107</f>
        <v>0</v>
      </c>
      <c r="J12" s="293">
        <f>'REMUNERACION_EAAB-CL'!J107</f>
        <v>0</v>
      </c>
      <c r="K12" s="297">
        <f t="shared" si="0"/>
        <v>0</v>
      </c>
      <c r="L12" s="293">
        <f>'REMUNERACION_EAAB-CL'!L107</f>
        <v>0</v>
      </c>
      <c r="M12" s="297">
        <f>K12-L12</f>
        <v>0</v>
      </c>
      <c r="N12" s="293">
        <f>'REMUNERACION_EAAB-CL'!N107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293">
        <f>'REMUNERACION_EAAB-CL'!U107</f>
        <v>0</v>
      </c>
      <c r="V12" s="293">
        <f>'REMUNERACION_EAAB-CL'!V107</f>
        <v>0</v>
      </c>
      <c r="W12" s="293">
        <f>'REMUNERACION_EAAB-CL'!W107</f>
        <v>0</v>
      </c>
      <c r="X12" s="293">
        <f>'REMUNERACION_EAAB-CL'!X107</f>
        <v>0</v>
      </c>
      <c r="Y12" s="293">
        <f>'REMUNERACION_EAAB-CL'!Y107</f>
        <v>0</v>
      </c>
      <c r="Z12" s="293">
        <f>'REMUNERACION_EAAB-CL'!Z107</f>
        <v>0</v>
      </c>
      <c r="AA12" s="293">
        <f>'REMUNERACION_EAAB-CL'!AA107</f>
        <v>0</v>
      </c>
      <c r="AB12" s="293">
        <f>'REMUNERACION_EAAB-CL'!AB107</f>
        <v>0</v>
      </c>
      <c r="AC12" s="293">
        <f>'REMUNERACION_EAAB-CL'!AC107</f>
        <v>0</v>
      </c>
      <c r="AD12" s="293">
        <f>'REMUNERACION_EAAB-CL'!AD107</f>
        <v>0</v>
      </c>
      <c r="AE12" s="293">
        <f>'REMUNERACION_EAAB-CL'!AE107</f>
        <v>0</v>
      </c>
      <c r="AF12" s="367">
        <f>SUM(U12:AD12)</f>
        <v>0</v>
      </c>
      <c r="AG12" s="368">
        <f>AF12-O12</f>
        <v>0</v>
      </c>
      <c r="AH12" s="1" t="b">
        <f t="shared" si="2"/>
        <v>1</v>
      </c>
      <c r="AI12" s="308"/>
    </row>
    <row r="13" spans="2:35" s="307" customFormat="1" ht="12.6" thickBot="1" x14ac:dyDescent="0.3">
      <c r="B13" s="326">
        <v>5</v>
      </c>
      <c r="C13" s="327" t="s">
        <v>14</v>
      </c>
      <c r="D13" s="293">
        <f>'REMUNERACION_EAAB-CL'!D108</f>
        <v>0</v>
      </c>
      <c r="E13" s="293">
        <f>'REMUNERACION_EAAB-CL'!E108</f>
        <v>0</v>
      </c>
      <c r="F13" s="293">
        <f>'REMUNERACION_EAAB-CL'!F108</f>
        <v>0</v>
      </c>
      <c r="G13" s="293">
        <f>'REMUNERACION_EAAB-CL'!G108</f>
        <v>0</v>
      </c>
      <c r="H13" s="293">
        <f>'REMUNERACION_EAAB-CL'!H108</f>
        <v>0</v>
      </c>
      <c r="I13" s="293">
        <f>'REMUNERACION_EAAB-CL'!I108</f>
        <v>0</v>
      </c>
      <c r="J13" s="293">
        <f>'REMUNERACION_EAAB-CL'!J108</f>
        <v>0</v>
      </c>
      <c r="K13" s="297">
        <f t="shared" si="0"/>
        <v>0</v>
      </c>
      <c r="L13" s="293">
        <f>'REMUNERACION_EAAB-CL'!L108</f>
        <v>0</v>
      </c>
      <c r="M13" s="300">
        <f>K13-L13</f>
        <v>0</v>
      </c>
      <c r="N13" s="293">
        <f>'REMUNERACION_EAAB-CL'!N108</f>
        <v>0</v>
      </c>
      <c r="O13" s="300">
        <f t="shared" si="1"/>
        <v>0</v>
      </c>
      <c r="Q13" s="308"/>
      <c r="S13" s="326">
        <v>5</v>
      </c>
      <c r="T13" s="327" t="s">
        <v>14</v>
      </c>
      <c r="U13" s="293">
        <f>'REMUNERACION_EAAB-CL'!U108</f>
        <v>0</v>
      </c>
      <c r="V13" s="293">
        <f>'REMUNERACION_EAAB-CL'!V108</f>
        <v>0</v>
      </c>
      <c r="W13" s="293">
        <f>'REMUNERACION_EAAB-CL'!W108</f>
        <v>0</v>
      </c>
      <c r="X13" s="293">
        <f>'REMUNERACION_EAAB-CL'!X108</f>
        <v>0</v>
      </c>
      <c r="Y13" s="293">
        <f>'REMUNERACION_EAAB-CL'!Y108</f>
        <v>0</v>
      </c>
      <c r="Z13" s="293">
        <f>'REMUNERACION_EAAB-CL'!Z108</f>
        <v>0</v>
      </c>
      <c r="AA13" s="293">
        <f>'REMUNERACION_EAAB-CL'!AA108</f>
        <v>0</v>
      </c>
      <c r="AB13" s="293">
        <f>'REMUNERACION_EAAB-CL'!AB108</f>
        <v>0</v>
      </c>
      <c r="AC13" s="293">
        <f>'REMUNERACION_EAAB-CL'!AC108</f>
        <v>0</v>
      </c>
      <c r="AD13" s="293">
        <f>'REMUNERACION_EAAB-CL'!AD108</f>
        <v>0</v>
      </c>
      <c r="AE13" s="293">
        <f>'REMUNERACION_EAAB-CL'!AE108</f>
        <v>0</v>
      </c>
      <c r="AF13" s="367">
        <f>SUM(U13:AD13)</f>
        <v>0</v>
      </c>
      <c r="AG13" s="368">
        <f>AF13-O13</f>
        <v>0</v>
      </c>
      <c r="AH13" s="1" t="b">
        <f t="shared" si="2"/>
        <v>1</v>
      </c>
      <c r="AI13" s="308"/>
    </row>
    <row r="14" spans="2:35" s="307" customFormat="1" ht="13.8" thickBot="1" x14ac:dyDescent="0.3">
      <c r="B14" s="329"/>
      <c r="C14" s="330" t="s">
        <v>2</v>
      </c>
      <c r="D14" s="292">
        <f t="shared" ref="D14:O14" si="3">SUM(D9:D13)</f>
        <v>0</v>
      </c>
      <c r="E14" s="292">
        <f t="shared" si="3"/>
        <v>0</v>
      </c>
      <c r="F14" s="292">
        <f t="shared" si="3"/>
        <v>0</v>
      </c>
      <c r="G14" s="292">
        <f t="shared" si="3"/>
        <v>0</v>
      </c>
      <c r="H14" s="292">
        <f t="shared" si="3"/>
        <v>0</v>
      </c>
      <c r="I14" s="292">
        <f t="shared" si="3"/>
        <v>0</v>
      </c>
      <c r="J14" s="292">
        <f t="shared" si="3"/>
        <v>0</v>
      </c>
      <c r="K14" s="302">
        <f t="shared" si="3"/>
        <v>0</v>
      </c>
      <c r="L14" s="303">
        <f t="shared" si="3"/>
        <v>0</v>
      </c>
      <c r="M14" s="304">
        <f t="shared" si="3"/>
        <v>0</v>
      </c>
      <c r="N14" s="303">
        <f t="shared" si="3"/>
        <v>0</v>
      </c>
      <c r="O14" s="304">
        <f t="shared" si="3"/>
        <v>0</v>
      </c>
      <c r="P14" s="331"/>
      <c r="Q14" s="308"/>
      <c r="S14" s="329"/>
      <c r="T14" s="330" t="s">
        <v>2</v>
      </c>
      <c r="U14" s="292">
        <f>SUM(U9:U13)</f>
        <v>0</v>
      </c>
      <c r="V14" s="292">
        <f t="shared" ref="V14:AG14" si="4">SUM(V9:V13)</f>
        <v>0</v>
      </c>
      <c r="W14" s="292">
        <f t="shared" si="4"/>
        <v>0</v>
      </c>
      <c r="X14" s="292">
        <f t="shared" si="4"/>
        <v>0</v>
      </c>
      <c r="Y14" s="292">
        <f t="shared" si="4"/>
        <v>0</v>
      </c>
      <c r="Z14" s="292">
        <f t="shared" si="4"/>
        <v>0</v>
      </c>
      <c r="AA14" s="292">
        <f t="shared" si="4"/>
        <v>0</v>
      </c>
      <c r="AB14" s="292">
        <f t="shared" si="4"/>
        <v>0</v>
      </c>
      <c r="AC14" s="292">
        <f t="shared" si="4"/>
        <v>0</v>
      </c>
      <c r="AD14" s="292">
        <f t="shared" si="4"/>
        <v>0</v>
      </c>
      <c r="AE14" s="292">
        <f>SUM(AE9:AE13)</f>
        <v>0</v>
      </c>
      <c r="AF14" s="333">
        <f t="shared" si="4"/>
        <v>0</v>
      </c>
      <c r="AG14" s="292">
        <f t="shared" si="4"/>
        <v>0</v>
      </c>
      <c r="AH14" s="1" t="b">
        <f t="shared" si="2"/>
        <v>1</v>
      </c>
      <c r="AI14" s="308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307" customFormat="1" ht="12" x14ac:dyDescent="0.25">
      <c r="B30" s="336">
        <v>1</v>
      </c>
      <c r="C30" s="369" t="s">
        <v>10</v>
      </c>
      <c r="D30" s="309">
        <f>'REMUNERACION_EAAB-CL'!D125</f>
        <v>0</v>
      </c>
      <c r="E30" s="311">
        <f>'REMUNERACION_EAAB-CL'!E125</f>
        <v>0</v>
      </c>
      <c r="G30" s="338">
        <f>'REMUNERACION_EAAB-CL'!G125</f>
        <v>0</v>
      </c>
      <c r="H30" s="312">
        <f>'REMUNERACION_EAAB-CL'!H125</f>
        <v>0</v>
      </c>
      <c r="I30" s="311">
        <f>'REMUNERACION_EAAB-CL'!I125</f>
        <v>0</v>
      </c>
      <c r="J30" s="311">
        <f>'REMUNERACION_EAAB-CL'!J125</f>
        <v>0</v>
      </c>
      <c r="K30" s="311">
        <f>'REMUNERACION_EAAB-CL'!K125</f>
        <v>0</v>
      </c>
      <c r="L30" s="311">
        <f>'REMUNERACION_EAAB-CL'!L125</f>
        <v>0</v>
      </c>
      <c r="O30" s="339"/>
      <c r="Q30" s="308"/>
    </row>
    <row r="31" spans="1:35" s="307" customFormat="1" ht="12" x14ac:dyDescent="0.25">
      <c r="B31" s="316">
        <v>2</v>
      </c>
      <c r="C31" s="317" t="s">
        <v>11</v>
      </c>
      <c r="D31" s="318">
        <f>'REMUNERACION_EAAB-CL'!D126</f>
        <v>0</v>
      </c>
      <c r="E31" s="320">
        <f>'REMUNERACION_EAAB-CL'!E126</f>
        <v>0</v>
      </c>
      <c r="G31" s="341">
        <f>'REMUNERACION_EAAB-CL'!G126</f>
        <v>0</v>
      </c>
      <c r="H31" s="342">
        <f>'REMUNERACION_EAAB-CL'!H126</f>
        <v>0</v>
      </c>
      <c r="I31" s="290">
        <f>'REMUNERACION_EAAB-CL'!I126</f>
        <v>0</v>
      </c>
      <c r="J31" s="290">
        <f>'REMUNERACION_EAAB-CL'!J126</f>
        <v>0</v>
      </c>
      <c r="K31" s="290">
        <f>'REMUNERACION_EAAB-CL'!K126</f>
        <v>0</v>
      </c>
      <c r="L31" s="290">
        <f>'REMUNERACION_EAAB-CL'!L126</f>
        <v>0</v>
      </c>
      <c r="O31" s="339"/>
      <c r="Q31" s="308"/>
    </row>
    <row r="32" spans="1:35" s="307" customFormat="1" ht="12" x14ac:dyDescent="0.25">
      <c r="B32" s="316">
        <v>3</v>
      </c>
      <c r="C32" s="317" t="s">
        <v>12</v>
      </c>
      <c r="D32" s="318">
        <f>'REMUNERACION_EAAB-CL'!D127</f>
        <v>0</v>
      </c>
      <c r="E32" s="320">
        <f>'REMUNERACION_EAAB-CL'!E127</f>
        <v>0</v>
      </c>
      <c r="G32" s="341">
        <f>'REMUNERACION_EAAB-CL'!G127</f>
        <v>0</v>
      </c>
      <c r="H32" s="342">
        <f>'REMUNERACION_EAAB-CL'!H127</f>
        <v>0</v>
      </c>
      <c r="I32" s="290">
        <f>'REMUNERACION_EAAB-CL'!I127</f>
        <v>0</v>
      </c>
      <c r="J32" s="290">
        <f>'REMUNERACION_EAAB-CL'!J127</f>
        <v>0</v>
      </c>
      <c r="K32" s="290">
        <f>'REMUNERACION_EAAB-CL'!K127</f>
        <v>0</v>
      </c>
      <c r="L32" s="290">
        <f>'REMUNERACION_EAAB-CL'!L127</f>
        <v>0</v>
      </c>
      <c r="O32" s="339"/>
      <c r="Q32" s="308"/>
    </row>
    <row r="33" spans="1:35" s="307" customFormat="1" ht="12" x14ac:dyDescent="0.25">
      <c r="B33" s="316">
        <v>4</v>
      </c>
      <c r="C33" s="317" t="s">
        <v>13</v>
      </c>
      <c r="D33" s="318">
        <f>'REMUNERACION_EAAB-CL'!D128</f>
        <v>0</v>
      </c>
      <c r="E33" s="320">
        <f>'REMUNERACION_EAAB-CL'!E128</f>
        <v>0</v>
      </c>
      <c r="G33" s="341">
        <f>'REMUNERACION_EAAB-CL'!G128</f>
        <v>0</v>
      </c>
      <c r="H33" s="342">
        <f>'REMUNERACION_EAAB-CL'!H128</f>
        <v>0</v>
      </c>
      <c r="I33" s="290">
        <f>'REMUNERACION_EAAB-CL'!I128</f>
        <v>0</v>
      </c>
      <c r="J33" s="290">
        <f>'REMUNERACION_EAAB-CL'!J128</f>
        <v>0</v>
      </c>
      <c r="K33" s="290">
        <f>'REMUNERACION_EAAB-CL'!K128</f>
        <v>0</v>
      </c>
      <c r="L33" s="290">
        <f>'REMUNERACION_EAAB-CL'!L128</f>
        <v>0</v>
      </c>
      <c r="O33" s="339"/>
      <c r="Q33" s="308"/>
    </row>
    <row r="34" spans="1:35" s="307" customFormat="1" ht="12" x14ac:dyDescent="0.25">
      <c r="B34" s="343">
        <v>5</v>
      </c>
      <c r="C34" s="370" t="s">
        <v>14</v>
      </c>
      <c r="D34" s="318">
        <f>'REMUNERACION_EAAB-CL'!D129</f>
        <v>0</v>
      </c>
      <c r="E34" s="320">
        <f>'REMUNERACION_EAAB-CL'!E129</f>
        <v>0</v>
      </c>
      <c r="G34" s="341">
        <f>'REMUNERACION_EAAB-CL'!G129</f>
        <v>0</v>
      </c>
      <c r="H34" s="342">
        <f>'REMUNERACION_EAAB-CL'!H129</f>
        <v>0</v>
      </c>
      <c r="I34" s="290">
        <f>'REMUNERACION_EAAB-CL'!I129</f>
        <v>0</v>
      </c>
      <c r="J34" s="290">
        <f>'REMUNERACION_EAAB-CL'!J129</f>
        <v>0</v>
      </c>
      <c r="K34" s="290">
        <f>'REMUNERACION_EAAB-CL'!K129</f>
        <v>0</v>
      </c>
      <c r="L34" s="290">
        <f>'REMUNERACION_EAAB-CL'!L129</f>
        <v>0</v>
      </c>
      <c r="O34" s="339"/>
      <c r="Q34" s="308"/>
    </row>
    <row r="35" spans="1:35" s="307" customFormat="1" ht="12.6" thickBot="1" x14ac:dyDescent="0.3">
      <c r="B35" s="326" t="s">
        <v>89</v>
      </c>
      <c r="C35" s="327" t="s">
        <v>113</v>
      </c>
      <c r="D35" s="298">
        <f>'REMUNERACION_EAAB-CL'!D130</f>
        <v>0</v>
      </c>
      <c r="E35" s="291">
        <f>'REMUNERACION_EAAB-CL'!E130</f>
        <v>0</v>
      </c>
      <c r="G35" s="348"/>
      <c r="H35" s="349"/>
      <c r="I35" s="291"/>
      <c r="J35" s="291"/>
      <c r="K35" s="291"/>
      <c r="L35" s="291"/>
      <c r="O35" s="339"/>
      <c r="Q35" s="308"/>
    </row>
    <row r="36" spans="1:35" s="307" customFormat="1" ht="12.6" thickBot="1" x14ac:dyDescent="0.3">
      <c r="B36" s="350"/>
      <c r="C36" s="351" t="s">
        <v>2</v>
      </c>
      <c r="D36" s="352">
        <f t="shared" ref="D36:E36" si="5">SUM(D30:D34)</f>
        <v>0</v>
      </c>
      <c r="E36" s="352">
        <f t="shared" si="5"/>
        <v>0</v>
      </c>
      <c r="F36" s="353"/>
      <c r="G36" s="352">
        <f t="shared" ref="G36:L36" si="6">SUM(G30:G34)</f>
        <v>0</v>
      </c>
      <c r="H36" s="352">
        <f t="shared" si="6"/>
        <v>0</v>
      </c>
      <c r="I36" s="352">
        <f t="shared" si="6"/>
        <v>0</v>
      </c>
      <c r="J36" s="352">
        <f t="shared" si="6"/>
        <v>0</v>
      </c>
      <c r="K36" s="352">
        <f t="shared" si="6"/>
        <v>0</v>
      </c>
      <c r="L36" s="352">
        <f t="shared" si="6"/>
        <v>0</v>
      </c>
      <c r="M36" s="353"/>
      <c r="N36" s="353"/>
      <c r="O36" s="354"/>
      <c r="P36" s="331"/>
      <c r="Q36" s="308"/>
    </row>
    <row r="37" spans="1:35" ht="12" x14ac:dyDescent="0.25">
      <c r="B37" s="2"/>
      <c r="C37" s="2"/>
      <c r="D37" s="24"/>
      <c r="Q37" s="4"/>
      <c r="AI37" s="307"/>
    </row>
    <row r="38" spans="1:35" ht="12" x14ac:dyDescent="0.25">
      <c r="B38" s="2"/>
      <c r="C38" s="2"/>
      <c r="D38" s="24"/>
      <c r="L38" s="1" t="s">
        <v>1</v>
      </c>
      <c r="Q38" s="4"/>
      <c r="AI38" s="307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7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9" t="b">
        <f>D14='REMUNERACION_EAAB-CL'!D109</f>
        <v>1</v>
      </c>
      <c r="E44" s="269" t="b">
        <f>E14='REMUNERACION_EAAB-CL'!E109</f>
        <v>1</v>
      </c>
      <c r="F44" s="269" t="b">
        <f>F14='REMUNERACION_EAAB-CL'!F109</f>
        <v>1</v>
      </c>
      <c r="G44" s="269" t="b">
        <f>G14='REMUNERACION_EAAB-CL'!G109</f>
        <v>1</v>
      </c>
      <c r="H44" s="269" t="b">
        <f>H14='REMUNERACION_EAAB-CL'!H109</f>
        <v>1</v>
      </c>
      <c r="I44" s="269" t="b">
        <f>I14='REMUNERACION_EAAB-CL'!I109</f>
        <v>1</v>
      </c>
      <c r="J44" s="269" t="b">
        <f>J14='REMUNERACION_EAAB-CL'!J109</f>
        <v>1</v>
      </c>
      <c r="K44" s="269" t="b">
        <f>K14='REMUNERACION_EAAB-CL'!K109</f>
        <v>1</v>
      </c>
      <c r="L44" s="269" t="b">
        <f>L14='REMUNERACION_EAAB-CL'!L109</f>
        <v>1</v>
      </c>
      <c r="M44" s="269" t="b">
        <f>M14='REMUNERACION_EAAB-CL'!M109</f>
        <v>1</v>
      </c>
      <c r="N44" s="269" t="b">
        <f>N14='REMUNERACION_EAAB-CL'!N109</f>
        <v>1</v>
      </c>
      <c r="O44" s="269" t="b">
        <f>O14='REMUNERACION_EAAB-CL'!O109</f>
        <v>1</v>
      </c>
      <c r="Q44" s="24"/>
      <c r="T44" s="24"/>
    </row>
    <row r="45" spans="1:35" x14ac:dyDescent="0.2">
      <c r="D45" s="269" t="b">
        <f>D36='REMUNERACION_EAAB-CL'!D131</f>
        <v>1</v>
      </c>
      <c r="E45" s="269" t="b">
        <f>E36='REMUNERACION_EAAB-CL'!E131</f>
        <v>1</v>
      </c>
      <c r="F45" s="269" t="b">
        <f>F36='REMUNERACION_EAAB-CL'!F131</f>
        <v>1</v>
      </c>
      <c r="G45" s="269" t="b">
        <f>G36='REMUNERACION_EAAB-CL'!G131</f>
        <v>1</v>
      </c>
      <c r="H45" s="269" t="b">
        <f>H36='REMUNERACION_EAAB-CL'!H131</f>
        <v>1</v>
      </c>
      <c r="I45" s="269" t="b">
        <f>I36='REMUNERACION_EAAB-CL'!I131</f>
        <v>1</v>
      </c>
      <c r="J45" s="269" t="b">
        <f>J36='REMUNERACION_EAAB-CL'!J131</f>
        <v>1</v>
      </c>
      <c r="K45" s="269" t="b">
        <f>K36='REMUNERACION_EAAB-CL'!K131</f>
        <v>1</v>
      </c>
      <c r="L45" s="269" t="b">
        <f>L36='REMUNERACION_EAAB-CL'!L131</f>
        <v>1</v>
      </c>
      <c r="M45" s="269" t="b">
        <f>M36='REMUNERACION_EAAB-CL'!M131</f>
        <v>1</v>
      </c>
      <c r="N45" s="269" t="b">
        <f>N36='REMUNERACION_EAAB-CL'!N131</f>
        <v>1</v>
      </c>
      <c r="O45" s="269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/>
  </sheetViews>
  <sheetFormatPr baseColWidth="10" defaultColWidth="11.44140625" defaultRowHeight="14.4" x14ac:dyDescent="0.3"/>
  <cols>
    <col min="1" max="1" width="2.77734375" style="601" customWidth="1"/>
    <col min="2" max="2" width="7.21875" style="601" customWidth="1"/>
    <col min="3" max="3" width="42.77734375" style="601" customWidth="1"/>
    <col min="4" max="15" width="28.5546875" style="601" customWidth="1"/>
    <col min="16" max="16384" width="11.44140625" style="601"/>
  </cols>
  <sheetData>
    <row r="1" spans="2:20" customFormat="1" ht="13.2" x14ac:dyDescent="0.25"/>
    <row r="2" spans="2:20" customFormat="1" ht="13.2" x14ac:dyDescent="0.25">
      <c r="T2" s="142"/>
    </row>
    <row r="3" spans="2:20" customFormat="1" x14ac:dyDescent="0.25">
      <c r="F3" s="653" t="s">
        <v>8</v>
      </c>
      <c r="H3" s="653" t="s">
        <v>16</v>
      </c>
      <c r="L3" s="653" t="s">
        <v>226</v>
      </c>
      <c r="M3" s="653" t="s">
        <v>340</v>
      </c>
      <c r="T3" s="142"/>
    </row>
    <row r="4" spans="2:20" customFormat="1" x14ac:dyDescent="0.25">
      <c r="F4" s="653" t="s">
        <v>29</v>
      </c>
    </row>
    <row r="5" spans="2:20" customFormat="1" x14ac:dyDescent="0.25">
      <c r="F5" s="653" t="s">
        <v>227</v>
      </c>
    </row>
    <row r="6" spans="2:20" customFormat="1" x14ac:dyDescent="0.25">
      <c r="C6" s="653" t="s">
        <v>228</v>
      </c>
      <c r="D6" s="653" t="s">
        <v>341</v>
      </c>
      <c r="F6" s="653" t="s">
        <v>229</v>
      </c>
    </row>
    <row r="7" spans="2:20" customFormat="1" x14ac:dyDescent="0.25">
      <c r="C7" s="653" t="s">
        <v>230</v>
      </c>
      <c r="D7" s="653" t="s">
        <v>342</v>
      </c>
      <c r="F7" s="653" t="s">
        <v>27</v>
      </c>
      <c r="G7" s="653" t="s">
        <v>343</v>
      </c>
      <c r="I7" s="653" t="s">
        <v>231</v>
      </c>
      <c r="J7" s="653" t="s">
        <v>344</v>
      </c>
    </row>
    <row r="8" spans="2:20" customFormat="1" ht="43.2" x14ac:dyDescent="0.25">
      <c r="B8" s="654" t="s">
        <v>3</v>
      </c>
      <c r="C8" s="654" t="s">
        <v>232</v>
      </c>
      <c r="D8" s="654" t="s">
        <v>233</v>
      </c>
      <c r="E8" s="654" t="s">
        <v>234</v>
      </c>
      <c r="F8" s="654" t="s">
        <v>235</v>
      </c>
      <c r="G8" s="654" t="s">
        <v>236</v>
      </c>
      <c r="H8" s="654" t="s">
        <v>237</v>
      </c>
      <c r="I8" s="654" t="s">
        <v>238</v>
      </c>
      <c r="J8" s="654" t="s">
        <v>239</v>
      </c>
      <c r="K8" s="654" t="s">
        <v>240</v>
      </c>
      <c r="L8" s="654" t="s">
        <v>241</v>
      </c>
      <c r="M8" s="654" t="s">
        <v>242</v>
      </c>
      <c r="N8" s="654" t="s">
        <v>243</v>
      </c>
      <c r="O8" s="654" t="s">
        <v>244</v>
      </c>
    </row>
    <row r="9" spans="2:20" customFormat="1" ht="13.2" x14ac:dyDescent="0.25">
      <c r="B9" s="633" t="s">
        <v>115</v>
      </c>
      <c r="C9" s="633" t="s">
        <v>10</v>
      </c>
      <c r="D9" s="634">
        <v>14842425136</v>
      </c>
      <c r="E9" s="634">
        <v>843638119</v>
      </c>
      <c r="F9" s="634">
        <v>469921887</v>
      </c>
      <c r="G9" s="634">
        <v>250044376</v>
      </c>
      <c r="H9" s="634">
        <v>4762998619</v>
      </c>
      <c r="I9" s="634">
        <v>158724902</v>
      </c>
      <c r="J9" s="634">
        <v>2153950828</v>
      </c>
      <c r="K9" s="634">
        <v>6203146404</v>
      </c>
      <c r="L9" s="634">
        <v>189185987</v>
      </c>
      <c r="M9" s="634">
        <v>6013960417</v>
      </c>
      <c r="N9" s="634">
        <v>19931693</v>
      </c>
      <c r="O9" s="634">
        <v>6033892110</v>
      </c>
    </row>
    <row r="10" spans="2:20" customFormat="1" ht="13.2" x14ac:dyDescent="0.25">
      <c r="B10" s="633" t="s">
        <v>116</v>
      </c>
      <c r="C10" s="633" t="s">
        <v>11</v>
      </c>
      <c r="D10" s="634">
        <v>11302637605</v>
      </c>
      <c r="E10" s="634">
        <v>879527685</v>
      </c>
      <c r="F10" s="634">
        <v>487125789</v>
      </c>
      <c r="G10" s="634">
        <v>257816033</v>
      </c>
      <c r="H10" s="634">
        <v>3596029847</v>
      </c>
      <c r="I10" s="634">
        <v>127396248</v>
      </c>
      <c r="J10" s="634">
        <v>-4217145527</v>
      </c>
      <c r="K10" s="634">
        <v>10171887530</v>
      </c>
      <c r="L10" s="634">
        <v>266580255</v>
      </c>
      <c r="M10" s="634">
        <v>9905307275</v>
      </c>
      <c r="N10" s="634">
        <v>9905073</v>
      </c>
      <c r="O10" s="634">
        <v>9915212348</v>
      </c>
    </row>
    <row r="11" spans="2:20" customFormat="1" ht="13.2" x14ac:dyDescent="0.25">
      <c r="B11" s="633" t="s">
        <v>117</v>
      </c>
      <c r="C11" s="633" t="s">
        <v>245</v>
      </c>
      <c r="D11" s="634">
        <v>8823787300</v>
      </c>
      <c r="E11" s="634">
        <v>569975770</v>
      </c>
      <c r="F11" s="634">
        <v>317801773</v>
      </c>
      <c r="G11" s="634">
        <v>168886540</v>
      </c>
      <c r="H11" s="634">
        <v>2431581353</v>
      </c>
      <c r="I11" s="634">
        <v>87065864</v>
      </c>
      <c r="J11" s="634">
        <v>-1288806337</v>
      </c>
      <c r="K11" s="634">
        <v>6537282338</v>
      </c>
      <c r="L11" s="634">
        <v>154788535</v>
      </c>
      <c r="M11" s="634">
        <v>6382493803</v>
      </c>
      <c r="N11" s="634">
        <v>19321800</v>
      </c>
      <c r="O11" s="634">
        <v>6401815603</v>
      </c>
    </row>
    <row r="12" spans="2:20" customFormat="1" ht="13.2" x14ac:dyDescent="0.25">
      <c r="B12" s="633" t="s">
        <v>246</v>
      </c>
      <c r="C12" s="633" t="s">
        <v>13</v>
      </c>
      <c r="D12" s="634">
        <v>10483172762</v>
      </c>
      <c r="E12" s="634">
        <v>605184325</v>
      </c>
      <c r="F12" s="634">
        <v>335542369</v>
      </c>
      <c r="G12" s="634">
        <v>178851000</v>
      </c>
      <c r="H12" s="634">
        <v>2396955035</v>
      </c>
      <c r="I12" s="634">
        <v>89656583</v>
      </c>
      <c r="J12" s="634">
        <v>61531954</v>
      </c>
      <c r="K12" s="634">
        <v>6815451495</v>
      </c>
      <c r="L12" s="634">
        <v>120391083</v>
      </c>
      <c r="M12" s="634">
        <v>6695060412</v>
      </c>
      <c r="N12" s="634">
        <v>8643136</v>
      </c>
      <c r="O12" s="634">
        <v>6703703548</v>
      </c>
    </row>
    <row r="13" spans="2:20" customFormat="1" ht="13.2" x14ac:dyDescent="0.25">
      <c r="B13" s="633" t="s">
        <v>118</v>
      </c>
      <c r="C13" s="633" t="s">
        <v>14</v>
      </c>
      <c r="D13" s="634">
        <v>7550668665</v>
      </c>
      <c r="E13" s="634">
        <v>408526725</v>
      </c>
      <c r="F13" s="634">
        <v>227342341</v>
      </c>
      <c r="G13" s="634">
        <v>120932576</v>
      </c>
      <c r="H13" s="634">
        <v>1865958723</v>
      </c>
      <c r="I13" s="634">
        <v>62135020</v>
      </c>
      <c r="J13" s="634">
        <v>-1246473094</v>
      </c>
      <c r="K13" s="634">
        <v>6112246374</v>
      </c>
      <c r="L13" s="634">
        <v>128990445</v>
      </c>
      <c r="M13" s="634">
        <v>5983255929</v>
      </c>
      <c r="N13" s="634">
        <v>12379938</v>
      </c>
      <c r="O13" s="634">
        <v>5995635867</v>
      </c>
    </row>
    <row r="14" spans="2:20" customFormat="1" ht="13.2" x14ac:dyDescent="0.25">
      <c r="B14" s="633" t="s">
        <v>247</v>
      </c>
      <c r="C14" s="633" t="s">
        <v>70</v>
      </c>
      <c r="D14" s="634">
        <v>53002691468</v>
      </c>
      <c r="E14" s="634">
        <v>3306852624</v>
      </c>
      <c r="F14" s="634">
        <v>1837734159</v>
      </c>
      <c r="G14" s="634">
        <v>976530525</v>
      </c>
      <c r="H14" s="634">
        <v>15053523577</v>
      </c>
      <c r="I14" s="634">
        <v>524978617</v>
      </c>
      <c r="J14" s="634">
        <v>-4536942176</v>
      </c>
      <c r="K14" s="634">
        <v>35840014141</v>
      </c>
      <c r="L14" s="634">
        <v>859936305</v>
      </c>
      <c r="M14" s="634">
        <v>34980077836</v>
      </c>
      <c r="N14" s="634">
        <v>70181640</v>
      </c>
      <c r="O14" s="634">
        <v>35050259476</v>
      </c>
    </row>
    <row r="15" spans="2:20" customFormat="1" ht="13.2" x14ac:dyDescent="0.25"/>
    <row r="16" spans="2:20" customFormat="1" ht="13.2" x14ac:dyDescent="0.25">
      <c r="C16" s="655" t="s">
        <v>335</v>
      </c>
    </row>
    <row r="18" spans="2:15" x14ac:dyDescent="0.3">
      <c r="E18" s="603" t="s">
        <v>248</v>
      </c>
    </row>
    <row r="19" spans="2:15" x14ac:dyDescent="0.3">
      <c r="F19" s="603" t="s">
        <v>25</v>
      </c>
    </row>
    <row r="22" spans="2:15" ht="36" x14ac:dyDescent="0.3">
      <c r="C22" s="638" t="s">
        <v>9</v>
      </c>
      <c r="D22" s="638" t="s">
        <v>4</v>
      </c>
      <c r="E22" s="638" t="s">
        <v>5</v>
      </c>
      <c r="F22" s="638" t="s">
        <v>6</v>
      </c>
      <c r="G22" s="638" t="s">
        <v>159</v>
      </c>
      <c r="H22" s="638" t="s">
        <v>18</v>
      </c>
      <c r="I22" s="638" t="s">
        <v>24</v>
      </c>
      <c r="J22" s="638" t="s">
        <v>19</v>
      </c>
      <c r="K22" s="639" t="s">
        <v>20</v>
      </c>
      <c r="L22" s="638" t="s">
        <v>21</v>
      </c>
      <c r="M22" s="639" t="s">
        <v>22</v>
      </c>
      <c r="N22" s="638" t="s">
        <v>7</v>
      </c>
      <c r="O22" s="639" t="s">
        <v>23</v>
      </c>
    </row>
    <row r="23" spans="2:15" x14ac:dyDescent="0.3">
      <c r="B23" s="602" t="s">
        <v>115</v>
      </c>
      <c r="C23" s="602" t="s">
        <v>10</v>
      </c>
      <c r="D23" s="640">
        <f>D9-'CONSOLIDADO_TOTAL RECAUDO'!D104</f>
        <v>0.23000144958496094</v>
      </c>
      <c r="E23" s="640">
        <f>E9-'CONSOLIDADO_TOTAL RECAUDO'!E104</f>
        <v>-0.16000008583068848</v>
      </c>
      <c r="F23" s="640">
        <f>F9-'CONSOLIDADO_TOTAL RECAUDO'!F104</f>
        <v>-0.31999999284744263</v>
      </c>
      <c r="G23" s="640">
        <f>G9-'CONSOLIDADO_TOTAL RECAUDO'!G104</f>
        <v>-0.15999999642372131</v>
      </c>
      <c r="H23" s="640">
        <f>H9-'CONSOLIDADO_TOTAL RECAUDO'!H104</f>
        <v>0.40999889373779297</v>
      </c>
      <c r="I23" s="640">
        <f>I9-'CONSOLIDADO_TOTAL RECAUDO'!I104</f>
        <v>0</v>
      </c>
      <c r="J23" s="640">
        <f>J9-'CONSOLIDADO_TOTAL RECAUDO'!J104</f>
        <v>-0.16000032424926758</v>
      </c>
      <c r="K23" s="640">
        <f>K9-'CONSOLIDADO_TOTAL RECAUDO'!K104</f>
        <v>-0.37999725341796875</v>
      </c>
      <c r="L23" s="640">
        <f>L9-'CONSOLIDADO_TOTAL RECAUDO'!L104</f>
        <v>0</v>
      </c>
      <c r="M23" s="640">
        <f>M9-'CONSOLIDADO_TOTAL RECAUDO'!M104</f>
        <v>-0.37999725341796875</v>
      </c>
      <c r="N23" s="640">
        <f>N9-'CONSOLIDADO_TOTAL RECAUDO'!N104</f>
        <v>-3.0000001192092896E-2</v>
      </c>
      <c r="O23" s="640">
        <f>O9-'CONSOLIDADO_TOTAL RECAUDO'!O104</f>
        <v>-0.40999698638916016</v>
      </c>
    </row>
    <row r="24" spans="2:15" x14ac:dyDescent="0.3">
      <c r="B24" s="602" t="s">
        <v>116</v>
      </c>
      <c r="C24" s="602" t="s">
        <v>11</v>
      </c>
      <c r="D24" s="640">
        <f>D10-'CONSOLIDADO_TOTAL RECAUDO'!D105</f>
        <v>4.000091552734375E-2</v>
      </c>
      <c r="E24" s="640">
        <f>E10-'CONSOLIDADO_TOTAL RECAUDO'!E105</f>
        <v>0.10000002384185791</v>
      </c>
      <c r="F24" s="640">
        <f>F10-'CONSOLIDADO_TOTAL RECAUDO'!F105</f>
        <v>2.9999971389770508E-2</v>
      </c>
      <c r="G24" s="640">
        <f>G10-'CONSOLIDADO_TOTAL RECAUDO'!G105</f>
        <v>0.49000000953674316</v>
      </c>
      <c r="H24" s="640">
        <f>H10-'CONSOLIDADO_TOTAL RECAUDO'!H105</f>
        <v>-0.46999979019165039</v>
      </c>
      <c r="I24" s="640">
        <f>I10-'CONSOLIDADO_TOTAL RECAUDO'!I105</f>
        <v>-0.11999998986721039</v>
      </c>
      <c r="J24" s="640">
        <f>J10-'CONSOLIDADO_TOTAL RECAUDO'!J105</f>
        <v>-9.0000152587890625E-2</v>
      </c>
      <c r="K24" s="640">
        <f>K10-'CONSOLIDADO_TOTAL RECAUDO'!K105</f>
        <v>9.999847412109375E-2</v>
      </c>
      <c r="L24" s="640">
        <f>L10-'CONSOLIDADO_TOTAL RECAUDO'!L105</f>
        <v>0</v>
      </c>
      <c r="M24" s="640">
        <f>M10-'CONSOLIDADO_TOTAL RECAUDO'!M105</f>
        <v>9.999847412109375E-2</v>
      </c>
      <c r="N24" s="640">
        <f>N10-'CONSOLIDADO_TOTAL RECAUDO'!N105</f>
        <v>0.24000000022351742</v>
      </c>
      <c r="O24" s="640">
        <f>O10-'CONSOLIDADO_TOTAL RECAUDO'!O105</f>
        <v>0.33999824523925781</v>
      </c>
    </row>
    <row r="25" spans="2:15" x14ac:dyDescent="0.3">
      <c r="B25" s="602" t="s">
        <v>117</v>
      </c>
      <c r="C25" s="602" t="s">
        <v>245</v>
      </c>
      <c r="D25" s="640">
        <f>D11-'CONSOLIDADO_TOTAL RECAUDO'!D106</f>
        <v>-0.37000083923339844</v>
      </c>
      <c r="E25" s="640">
        <f>E11-'CONSOLIDADO_TOTAL RECAUDO'!E106</f>
        <v>-0.48000001907348633</v>
      </c>
      <c r="F25" s="640">
        <f>F11-'CONSOLIDADO_TOTAL RECAUDO'!F106</f>
        <v>0.38999998569488525</v>
      </c>
      <c r="G25" s="640">
        <f>G11-'CONSOLIDADO_TOTAL RECAUDO'!G106</f>
        <v>0.47999998927116394</v>
      </c>
      <c r="H25" s="640">
        <f>H11-'CONSOLIDADO_TOTAL RECAUDO'!H106</f>
        <v>0.27999973297119141</v>
      </c>
      <c r="I25" s="640">
        <f>I11-'CONSOLIDADO_TOTAL RECAUDO'!I106</f>
        <v>-0.26000000536441803</v>
      </c>
      <c r="J25" s="640">
        <f>J11-'CONSOLIDADO_TOTAL RECAUDO'!J106</f>
        <v>9.0000152587890625E-2</v>
      </c>
      <c r="K25" s="640">
        <f>K11-'CONSOLIDADO_TOTAL RECAUDO'!K106</f>
        <v>0.12999916076660156</v>
      </c>
      <c r="L25" s="640">
        <f>L11-'CONSOLIDADO_TOTAL RECAUDO'!L106</f>
        <v>0</v>
      </c>
      <c r="M25" s="640">
        <f>M11-'CONSOLIDADO_TOTAL RECAUDO'!M106</f>
        <v>0.12999916076660156</v>
      </c>
      <c r="N25" s="640">
        <f>N11-'CONSOLIDADO_TOTAL RECAUDO'!N106</f>
        <v>5.000000074505806E-2</v>
      </c>
      <c r="O25" s="640">
        <f>O11-'CONSOLIDADO_TOTAL RECAUDO'!O106</f>
        <v>0.17999935150146484</v>
      </c>
    </row>
    <row r="26" spans="2:15" x14ac:dyDescent="0.3">
      <c r="B26" s="602" t="s">
        <v>246</v>
      </c>
      <c r="C26" s="602" t="s">
        <v>13</v>
      </c>
      <c r="D26" s="640">
        <f>D12-'CONSOLIDADO_TOTAL RECAUDO'!D107</f>
        <v>-8.9998245239257813E-2</v>
      </c>
      <c r="E26" s="640">
        <f>E12-'CONSOLIDADO_TOTAL RECAUDO'!E107</f>
        <v>-0.43999993801116943</v>
      </c>
      <c r="F26" s="640">
        <f>F12-'CONSOLIDADO_TOTAL RECAUDO'!F107</f>
        <v>-0.4299999475479126</v>
      </c>
      <c r="G26" s="640">
        <f>G12-'CONSOLIDADO_TOTAL RECAUDO'!G107</f>
        <v>-0.1600000262260437</v>
      </c>
      <c r="H26" s="640">
        <f>H12-'CONSOLIDADO_TOTAL RECAUDO'!H107</f>
        <v>1.9999980926513672E-2</v>
      </c>
      <c r="I26" s="640">
        <f>I12-'CONSOLIDADO_TOTAL RECAUDO'!I107</f>
        <v>-0.20000000298023224</v>
      </c>
      <c r="J26" s="640">
        <f>J12-'CONSOLIDADO_TOTAL RECAUDO'!J107</f>
        <v>0.31000000238418579</v>
      </c>
      <c r="K26" s="640">
        <f>K12-'CONSOLIDADO_TOTAL RECAUDO'!K107</f>
        <v>-0.18999862670898438</v>
      </c>
      <c r="L26" s="640">
        <f>L12-'CONSOLIDADO_TOTAL RECAUDO'!L107</f>
        <v>0</v>
      </c>
      <c r="M26" s="640">
        <f>M12-'CONSOLIDADO_TOTAL RECAUDO'!M107</f>
        <v>-0.18999862670898438</v>
      </c>
      <c r="N26" s="640">
        <f>N12-'CONSOLIDADO_TOTAL RECAUDO'!N107</f>
        <v>0.41999999992549419</v>
      </c>
      <c r="O26" s="640">
        <f>O12-'CONSOLIDADO_TOTAL RECAUDO'!O107</f>
        <v>0.23000144958496094</v>
      </c>
    </row>
    <row r="27" spans="2:15" x14ac:dyDescent="0.3">
      <c r="B27" s="602" t="s">
        <v>118</v>
      </c>
      <c r="C27" s="602" t="s">
        <v>14</v>
      </c>
      <c r="D27" s="640">
        <f>D13-'CONSOLIDADO_TOTAL RECAUDO'!D108</f>
        <v>1.0000228881835938E-2</v>
      </c>
      <c r="E27" s="640">
        <f>E13-'CONSOLIDADO_TOTAL RECAUDO'!E108</f>
        <v>9.9999904632568359E-3</v>
      </c>
      <c r="F27" s="640">
        <f>F13-'CONSOLIDADO_TOTAL RECAUDO'!F108</f>
        <v>-0.28999999165534973</v>
      </c>
      <c r="G27" s="640">
        <f>G13-'CONSOLIDADO_TOTAL RECAUDO'!G108</f>
        <v>-0.32000000774860382</v>
      </c>
      <c r="H27" s="640">
        <f>H13-'CONSOLIDADO_TOTAL RECAUDO'!H108</f>
        <v>0.1099998950958252</v>
      </c>
      <c r="I27" s="640">
        <f>I13-'CONSOLIDADO_TOTAL RECAUDO'!I108</f>
        <v>0.5</v>
      </c>
      <c r="J27" s="640">
        <f>J13-'CONSOLIDADO_TOTAL RECAUDO'!J108</f>
        <v>0.40999984741210938</v>
      </c>
      <c r="K27" s="640">
        <f>K13-'CONSOLIDADO_TOTAL RECAUDO'!K108</f>
        <v>-0.40999984741210938</v>
      </c>
      <c r="L27" s="640">
        <f>L13-'CONSOLIDADO_TOTAL RECAUDO'!L108</f>
        <v>0</v>
      </c>
      <c r="M27" s="640">
        <f>M13-'CONSOLIDADO_TOTAL RECAUDO'!M108</f>
        <v>-0.40999984741210938</v>
      </c>
      <c r="N27" s="640">
        <f>N13-'CONSOLIDADO_TOTAL RECAUDO'!N108</f>
        <v>-6.0000000521540642E-2</v>
      </c>
      <c r="O27" s="640">
        <f>O13-'CONSOLIDADO_TOTAL RECAUDO'!O108</f>
        <v>-0.47000026702880859</v>
      </c>
    </row>
    <row r="28" spans="2:15" x14ac:dyDescent="0.3">
      <c r="B28" s="602" t="s">
        <v>247</v>
      </c>
      <c r="C28" s="602" t="s">
        <v>70</v>
      </c>
      <c r="D28" s="640">
        <f>D14-'CONSOLIDADO_TOTAL RECAUDO'!D109</f>
        <v>-0.17999267578125</v>
      </c>
      <c r="E28" s="640">
        <f>E14-'CONSOLIDADO_TOTAL RECAUDO'!E109</f>
        <v>-0.97000026702880859</v>
      </c>
      <c r="F28" s="640">
        <f>F14-'CONSOLIDADO_TOTAL RECAUDO'!F109</f>
        <v>-0.61999988555908203</v>
      </c>
      <c r="G28" s="640">
        <f>G14-'CONSOLIDADO_TOTAL RECAUDO'!G109</f>
        <v>0.33000004291534424</v>
      </c>
      <c r="H28" s="640">
        <f>H14-'CONSOLIDADO_TOTAL RECAUDO'!H109</f>
        <v>0.34999847412109375</v>
      </c>
      <c r="I28" s="640">
        <f>I14-'CONSOLIDADO_TOTAL RECAUDO'!I109</f>
        <v>-7.9999983310699463E-2</v>
      </c>
      <c r="J28" s="640">
        <f>J14-'CONSOLIDADO_TOTAL RECAUDO'!J109</f>
        <v>0.55999946594238281</v>
      </c>
      <c r="K28" s="640">
        <f>K14-'CONSOLIDADO_TOTAL RECAUDO'!K109</f>
        <v>-0.75</v>
      </c>
      <c r="L28" s="640">
        <f>L14-'CONSOLIDADO_TOTAL RECAUDO'!L109</f>
        <v>0</v>
      </c>
      <c r="M28" s="640">
        <f>M14-'CONSOLIDADO_TOTAL RECAUDO'!M109</f>
        <v>-0.75</v>
      </c>
      <c r="N28" s="640">
        <f>N14-'CONSOLIDADO_TOTAL RECAUDO'!N109</f>
        <v>0.62000000476837158</v>
      </c>
      <c r="O28" s="640">
        <f>O14-'CONSOLIDADO_TOTAL RECAUDO'!O109</f>
        <v>-0.12999725341796875</v>
      </c>
    </row>
    <row r="31" spans="2:15" ht="36" x14ac:dyDescent="0.3">
      <c r="C31" s="638" t="s">
        <v>9</v>
      </c>
      <c r="D31" s="638" t="s">
        <v>4</v>
      </c>
      <c r="E31" s="638" t="s">
        <v>5</v>
      </c>
      <c r="F31" s="638" t="s">
        <v>6</v>
      </c>
      <c r="G31" s="638" t="s">
        <v>159</v>
      </c>
      <c r="H31" s="638" t="s">
        <v>18</v>
      </c>
      <c r="I31" s="638" t="s">
        <v>24</v>
      </c>
      <c r="J31" s="705" t="s">
        <v>19</v>
      </c>
      <c r="K31" s="639" t="s">
        <v>20</v>
      </c>
      <c r="L31" s="705" t="s">
        <v>21</v>
      </c>
      <c r="M31" s="639" t="s">
        <v>22</v>
      </c>
      <c r="N31" s="638" t="s">
        <v>7</v>
      </c>
      <c r="O31" s="639" t="s">
        <v>23</v>
      </c>
    </row>
    <row r="32" spans="2:15" x14ac:dyDescent="0.3">
      <c r="B32" s="602" t="s">
        <v>115</v>
      </c>
      <c r="C32" s="340" t="s">
        <v>10</v>
      </c>
      <c r="D32" s="643" t="b">
        <f>+D23+'Reporte Componentes R1'!F58+'Rem. Anticipos R2'!E43+'Reversion Pagos R4'!D73+'Reporte Componentes R1'!F60=D9</f>
        <v>1</v>
      </c>
      <c r="E32" s="643" t="b">
        <f>+E23+'Reporte Componentes R1'!G58+'Rem. Anticipos R2'!F43+'Reversion Pagos R4'!E73+'Reporte Componentes R1'!G60=E9</f>
        <v>1</v>
      </c>
      <c r="F32" s="643" t="b">
        <f>+F23+'Reporte Componentes R1'!H58+'Rem. Anticipos R2'!G43+'Reversion Pagos R4'!F73+'Reporte Componentes R1'!H60=F9</f>
        <v>1</v>
      </c>
      <c r="G32" s="643" t="b">
        <f>+G23+'Reporte Componentes R1'!I58+'Rem. Anticipos R2'!H43+'Reversion Pagos R4'!G73+'Reporte Componentes R1'!I60=G9</f>
        <v>1</v>
      </c>
      <c r="H32" s="643" t="b">
        <f>+H23+'Reporte Componentes R1'!J58+'Rem. Anticipos R2'!I43+'Reversion Pagos R4'!H73+'Reporte Componentes R1'!J60=H9</f>
        <v>1</v>
      </c>
      <c r="I32" s="643" t="b">
        <f>+I23+'Reporte Componentes R1'!K58+'Rem. Anticipos R2'!J43+'Reversion Pagos R4'!I73+'Reporte Componentes R1'!K60=I9</f>
        <v>1</v>
      </c>
      <c r="J32" s="643" t="b">
        <f>+'BCE SC POR FACT.'!F3+J23=J9</f>
        <v>1</v>
      </c>
      <c r="K32" s="643" t="b">
        <f>('Reporte Componentes R1'!F58+'Rem. Anticipos R2'!E43+'Reversion Pagos R4'!D73+'Reporte Componentes R1'!F60-('Reporte Componentes R1'!G58+'Rem. Anticipos R2'!F43+'Reversion Pagos R4'!E73+'Reporte Componentes R1'!G60+'Reporte Componentes R1'!H58+'Rem. Anticipos R2'!G43+'Reversion Pagos R4'!F73+'Reporte Componentes R1'!H60+'Reporte Componentes R1'!I58+'Rem. Anticipos R2'!H43+'Reversion Pagos R4'!G73+'Reporte Componentes R1'!I60+'Reporte Componentes R1'!J58+'Rem. Anticipos R2'!I43+'Reversion Pagos R4'!H73+'Reporte Componentes R1'!J60+'Reporte Componentes R1'!K58+'Rem. Anticipos R2'!J43+'Reversion Pagos R4'!I73+'Reporte Componentes R1'!K60+'BCE SC POR FACT.'!F3)+K23)=K9</f>
        <v>1</v>
      </c>
      <c r="L32" s="694" t="b">
        <f>INTERVENTORIA!N26+L23=L9</f>
        <v>1</v>
      </c>
      <c r="M32" s="640" t="b">
        <f>((('Reporte Componentes R1'!F58+'Rem. Anticipos R2'!E43+'Reversion Pagos R4'!D73+'Reporte Componentes R1'!F60-('Reporte Componentes R1'!G58+'Rem. Anticipos R2'!F43+'Reversion Pagos R4'!E73+'Reporte Componentes R1'!G60+'Reporte Componentes R1'!H58+'Rem. Anticipos R2'!G43+'Reversion Pagos R4'!F73+'Reporte Componentes R1'!H60+'Reporte Componentes R1'!I58+'Rem. Anticipos R2'!H43+'Reversion Pagos R4'!G73+'Reporte Componentes R1'!I60+'Reporte Componentes R1'!J58+'Rem. Anticipos R2'!I43+'Reversion Pagos R4'!H73+'Reporte Componentes R1'!J60+'Reporte Componentes R1'!K58+'Rem. Anticipos R2'!J43+'Reversion Pagos R4'!I73+'Reporte Componentes R1'!K60+'BCE SC POR FACT.'!F3))-INTERVENTORIA!N26)+M23)=M9</f>
        <v>1</v>
      </c>
      <c r="N32" s="640" t="b">
        <f>'Reporte Componentes R1'!L58+'Rem. Anticipos R2'!K43+'Reversion Pagos R4'!P73+'Reporte Componentes R1'!L60+N23=N9</f>
        <v>1</v>
      </c>
      <c r="O32" s="640" t="b">
        <f>((('Reporte Componentes R1'!F58+'Rem. Anticipos R2'!E43+'Reversion Pagos R4'!D73+'Reporte Componentes R1'!F60-('Reporte Componentes R1'!G58+'Rem. Anticipos R2'!F43+'Reversion Pagos R4'!E73+'Reporte Componentes R1'!G60+'Reporte Componentes R1'!H58+'Rem. Anticipos R2'!G43+'Reversion Pagos R4'!F73+'Reporte Componentes R1'!H60+'Reporte Componentes R1'!I58+'Rem. Anticipos R2'!H43+'Reversion Pagos R4'!G73+'Reporte Componentes R1'!I60+'Reporte Componentes R1'!J58+'Rem. Anticipos R2'!I43+'Reversion Pagos R4'!H73+'Reporte Componentes R1'!J60+'Reporte Componentes R1'!K58+'Rem. Anticipos R2'!J43+'Reversion Pagos R4'!I73+'Reporte Componentes R1'!K60+'BCE SC POR FACT.'!F3))-INTERVENTORIA!N26))+'Reporte Componentes R1'!L58+'Rem. Anticipos R2'!K43+'Reversion Pagos R4'!P73+'Reporte Componentes R1'!L60+O23=O9</f>
        <v>1</v>
      </c>
    </row>
    <row r="33" spans="2:15" x14ac:dyDescent="0.3">
      <c r="B33" s="602" t="s">
        <v>116</v>
      </c>
      <c r="C33" s="340" t="s">
        <v>11</v>
      </c>
      <c r="D33" s="643" t="b">
        <f>+D24+'Reporte Componentes R1'!F191+'Rem. Anticipos R2'!E146+'Reversion Pagos R4'!D168+'Reporte Componentes R1'!F193=D10</f>
        <v>1</v>
      </c>
      <c r="E33" s="643" t="b">
        <f>+E24+'Reporte Componentes R1'!G191+'Rem. Anticipos R2'!F146+'Reversion Pagos R4'!E168+'Reporte Componentes R1'!G193=E10</f>
        <v>1</v>
      </c>
      <c r="F33" s="643" t="b">
        <f>+F24+'Reporte Componentes R1'!H191+'Rem. Anticipos R2'!G146+'Reversion Pagos R4'!F168+'Reporte Componentes R1'!H193=F10</f>
        <v>1</v>
      </c>
      <c r="G33" s="643" t="b">
        <f>+G24+'Reporte Componentes R1'!I191+'Rem. Anticipos R2'!H146+'Reversion Pagos R4'!G168+'Reporte Componentes R1'!I193=G10</f>
        <v>1</v>
      </c>
      <c r="H33" s="643" t="b">
        <f>+H24+'Reporte Componentes R1'!J191+'Rem. Anticipos R2'!I146+'Reversion Pagos R4'!H168+'Reporte Componentes R1'!J193=H10</f>
        <v>1</v>
      </c>
      <c r="I33" s="643" t="b">
        <f>+I24+'Reporte Componentes R1'!K191+'Rem. Anticipos R2'!J146+'Reversion Pagos R4'!I168+'Reporte Componentes R1'!K193=I10</f>
        <v>1</v>
      </c>
      <c r="J33" s="643" t="b">
        <f>+'BCE SC POR FACT.'!F4+J24=J10</f>
        <v>1</v>
      </c>
      <c r="K33" s="640" t="b">
        <f>('Reporte Componentes R1'!F191+'Rem. Anticipos R2'!E146+'Reversion Pagos R4'!D168+'Reporte Componentes R1'!F193-('Reporte Componentes R1'!G191+'Rem. Anticipos R2'!F146+'Reversion Pagos R4'!E168+'Reporte Componentes R1'!G193+'Reporte Componentes R1'!H191+'Rem. Anticipos R2'!G146+'Reversion Pagos R4'!F168+'Reporte Componentes R1'!H193+'Reporte Componentes R1'!I191+'Rem. Anticipos R2'!H146+'Reversion Pagos R4'!G168+'Reporte Componentes R1'!I193+'Reporte Componentes R1'!J191+'Rem. Anticipos R2'!I146+'Reversion Pagos R4'!H168+'Reporte Componentes R1'!J193+'Reporte Componentes R1'!K191+'Rem. Anticipos R2'!J146+'Reversion Pagos R4'!I168+'Reporte Componentes R1'!K193+'BCE SC POR FACT.'!F4)+K24)=K10</f>
        <v>1</v>
      </c>
      <c r="L33" s="694" t="b">
        <f>INTERVENTORIA!N27+L24=L10</f>
        <v>1</v>
      </c>
      <c r="M33" s="640" t="b">
        <f>((('Reporte Componentes R1'!F191+'Rem. Anticipos R2'!E146+'Reversion Pagos R4'!D168+'Reporte Componentes R1'!F193-('Reporte Componentes R1'!G191+'Rem. Anticipos R2'!F146+'Reversion Pagos R4'!E168+'Reporte Componentes R1'!G193+'Reporte Componentes R1'!H191+'Rem. Anticipos R2'!G146+'Reversion Pagos R4'!F168+'Reporte Componentes R1'!H193+'Reporte Componentes R1'!I191+'Rem. Anticipos R2'!H146+'Reversion Pagos R4'!G168+'Reporte Componentes R1'!I193+'Reporte Componentes R1'!J191+'Rem. Anticipos R2'!I146+'Reversion Pagos R4'!H168+'Reporte Componentes R1'!J193+'Reporte Componentes R1'!K191+'Rem. Anticipos R2'!J146+'Reversion Pagos R4'!I168+'Reporte Componentes R1'!K193+'BCE SC POR FACT.'!F4))+M24)-INTERVENTORIA!N27)=M10</f>
        <v>1</v>
      </c>
      <c r="N33" s="640" t="b">
        <f>+'Reporte Componentes R1'!L191+'Rem. Anticipos R2'!K146+'Reversion Pagos R4'!P168+'Reporte Componentes R1'!L193+N24=N10</f>
        <v>1</v>
      </c>
      <c r="O33" s="640" t="b">
        <f>((('Reporte Componentes R1'!F191+'Rem. Anticipos R2'!E146+'Reversion Pagos R4'!D168+'Reporte Componentes R1'!F193-('Reporte Componentes R1'!G191+'Rem. Anticipos R2'!F146+'Reversion Pagos R4'!E168+'Reporte Componentes R1'!G193+'Reporte Componentes R1'!H191+'Rem. Anticipos R2'!G146+'Reversion Pagos R4'!F168+'Reporte Componentes R1'!H193+'Reporte Componentes R1'!I191+'Rem. Anticipos R2'!H146+'Reversion Pagos R4'!G168+'Reporte Componentes R1'!I193+'Reporte Componentes R1'!J191+'Rem. Anticipos R2'!I146+'Reversion Pagos R4'!H168+'Reporte Componentes R1'!J193+'Reporte Componentes R1'!K191+'Rem. Anticipos R2'!J146+'Reversion Pagos R4'!I168+'Reporte Componentes R1'!K193+'BCE SC POR FACT.'!F4)))-INTERVENTORIA!N27)+O24+'Reporte Componentes R1'!L191+'Rem. Anticipos R2'!K146+'Reversion Pagos R4'!P168+'Reporte Componentes R1'!L193=O10</f>
        <v>1</v>
      </c>
    </row>
    <row r="34" spans="2:15" x14ac:dyDescent="0.3">
      <c r="B34" s="602" t="s">
        <v>117</v>
      </c>
      <c r="C34" s="340" t="s">
        <v>12</v>
      </c>
      <c r="D34" s="643" t="b">
        <f>+'Reporte Componentes R1'!F319+'Reporte Componentes R1'!F321+'Rem. Anticipos R2'!E259+'Reversion Pagos R4'!D199+D25=D11</f>
        <v>1</v>
      </c>
      <c r="E34" s="643" t="b">
        <f>+'Reporte Componentes R1'!G319+'Reporte Componentes R1'!G321+'Rem. Anticipos R2'!F259+'Reversion Pagos R4'!E199+E25=E11</f>
        <v>1</v>
      </c>
      <c r="F34" s="643" t="b">
        <f>+'Reporte Componentes R1'!H319+'Reporte Componentes R1'!H321+'Rem. Anticipos R2'!G259+'Reversion Pagos R4'!F199+F25=F11</f>
        <v>1</v>
      </c>
      <c r="G34" s="643" t="b">
        <f>+'Reporte Componentes R1'!I319+'Reporte Componentes R1'!I321+'Rem. Anticipos R2'!H259+'Reversion Pagos R4'!G199+G25=G11</f>
        <v>1</v>
      </c>
      <c r="H34" s="643" t="b">
        <f>+'Reporte Componentes R1'!J319+'Reporte Componentes R1'!J321+'Rem. Anticipos R2'!I259+'Reversion Pagos R4'!H199+H25=H11</f>
        <v>1</v>
      </c>
      <c r="I34" s="643" t="b">
        <f>+'Reporte Componentes R1'!K319+'Reporte Componentes R1'!K321+'Rem. Anticipos R2'!J259+'Reversion Pagos R4'!I199+I25=I11</f>
        <v>1</v>
      </c>
      <c r="J34" s="643" t="b">
        <f>+'BCE SC POR FACT.'!F5+J25=J11</f>
        <v>1</v>
      </c>
      <c r="K34" s="640" t="b">
        <f>+'Reporte Componentes R1'!F319+'Reporte Componentes R1'!F321+'Rem. Anticipos R2'!E259+'Reversion Pagos R4'!D199-('Reporte Componentes R1'!G319+'Reporte Componentes R1'!G321+'Rem. Anticipos R2'!F259+'Reversion Pagos R4'!E199+'Reporte Componentes R1'!H319+'Reporte Componentes R1'!H321+'Rem. Anticipos R2'!G259+'Reversion Pagos R4'!F199+'Reporte Componentes R1'!I319+'Reporte Componentes R1'!I321+'Rem. Anticipos R2'!H259+'Reversion Pagos R4'!G199+'Reporte Componentes R1'!J319+'Reporte Componentes R1'!J321+'Rem. Anticipos R2'!I259+'Reversion Pagos R4'!H199+'Reporte Componentes R1'!K319+'Reporte Componentes R1'!K321+'Rem. Anticipos R2'!J259+'Reversion Pagos R4'!I199+'BCE SC POR FACT.'!F5)+K25=K11</f>
        <v>1</v>
      </c>
      <c r="L34" s="694" t="b">
        <f>INTERVENTORIA!N28+L25=L11</f>
        <v>1</v>
      </c>
      <c r="M34" s="640" t="b">
        <f>((('Reporte Componentes R1'!F319+'Reporte Componentes R1'!F321+'Rem. Anticipos R2'!E259+'Reversion Pagos R4'!D199-('Reporte Componentes R1'!G319+'Reporte Componentes R1'!G321+'Rem. Anticipos R2'!F259+'Reversion Pagos R4'!E199+'Reporte Componentes R1'!H319+'Reporte Componentes R1'!H321+'Rem. Anticipos R2'!G259+'Reversion Pagos R4'!F199+'Reporte Componentes R1'!I319+'Reporte Componentes R1'!I321+'Rem. Anticipos R2'!H259+'Reversion Pagos R4'!G199+'Reporte Componentes R1'!J319+'Reporte Componentes R1'!J321+'Rem. Anticipos R2'!I259+'Reversion Pagos R4'!H199+'Reporte Componentes R1'!K319+'Reporte Componentes R1'!K321+'Rem. Anticipos R2'!J259+'Reversion Pagos R4'!I199+'BCE SC POR FACT.'!F5))+M25)-INTERVENTORIA!N28)=M11</f>
        <v>1</v>
      </c>
      <c r="N34" s="640" t="b">
        <f>+'Reporte Componentes R1'!L319+'Reporte Componentes R1'!L321+'Rem. Anticipos R2'!K259+'Reversion Pagos R4'!P199+N25=N11</f>
        <v>1</v>
      </c>
      <c r="O34" s="640" t="b">
        <f>((('Reporte Componentes R1'!F319+'Reporte Componentes R1'!F321+'Rem. Anticipos R2'!E259+'Reversion Pagos R4'!D199-('Reporte Componentes R1'!G319+'Reporte Componentes R1'!G321+'Rem. Anticipos R2'!F259+'Reversion Pagos R4'!E199+'Reporte Componentes R1'!H319+'Reporte Componentes R1'!H321+'Rem. Anticipos R2'!G259+'Reversion Pagos R4'!F199+'Reporte Componentes R1'!I319+'Reporte Componentes R1'!I321+'Rem. Anticipos R2'!H259+'Reversion Pagos R4'!G199+'Reporte Componentes R1'!J319+'Reporte Componentes R1'!J321+'Rem. Anticipos R2'!I259+'Reversion Pagos R4'!H199+'Reporte Componentes R1'!K319+'Reporte Componentes R1'!K321+'Rem. Anticipos R2'!J259+'Reversion Pagos R4'!I199+'BCE SC POR FACT.'!F5)))-INTERVENTORIA!N28)++'Reporte Componentes R1'!L319+'Reporte Componentes R1'!L321+'Rem. Anticipos R2'!K259+'Reversion Pagos R4'!P199+O25=O11</f>
        <v>1</v>
      </c>
    </row>
    <row r="35" spans="2:15" x14ac:dyDescent="0.3">
      <c r="B35" s="602" t="s">
        <v>246</v>
      </c>
      <c r="C35" s="340" t="s">
        <v>13</v>
      </c>
      <c r="D35" s="643" t="b">
        <f>+'Reporte Componentes R1'!F439+'Reporte Componentes R1'!F441+'Rem. Anticipos R2'!E354+'Reversion Pagos R4'!D313+D26=D12</f>
        <v>1</v>
      </c>
      <c r="E35" s="643" t="b">
        <f>+'Reporte Componentes R1'!G439+'Reporte Componentes R1'!G441+'Rem. Anticipos R2'!F354+'Reversion Pagos R4'!E313+E26=E12</f>
        <v>1</v>
      </c>
      <c r="F35" s="643" t="b">
        <f>+'Reporte Componentes R1'!H439+'Reporte Componentes R1'!H441+'Rem. Anticipos R2'!G354+'Reversion Pagos R4'!F313+F26=F12</f>
        <v>1</v>
      </c>
      <c r="G35" s="643" t="b">
        <f>+'Reporte Componentes R1'!I439+'Reporte Componentes R1'!I441+'Rem. Anticipos R2'!H354+'Reversion Pagos R4'!G313+G26=G12</f>
        <v>1</v>
      </c>
      <c r="H35" s="643" t="b">
        <f>+'Reporte Componentes R1'!J439+'Reporte Componentes R1'!J441+'Rem. Anticipos R2'!I354+'Reversion Pagos R4'!H313+H26=H12</f>
        <v>1</v>
      </c>
      <c r="I35" s="643" t="b">
        <f>+'Reporte Componentes R1'!K439+'Reporte Componentes R1'!K441+'Rem. Anticipos R2'!J354+'Reversion Pagos R4'!I313+I26=I12</f>
        <v>1</v>
      </c>
      <c r="J35" s="643" t="b">
        <f>+J26+'BCE SC POR FACT.'!F6=J12</f>
        <v>1</v>
      </c>
      <c r="K35" s="640" t="b">
        <f>+'Reporte Componentes R1'!F439+'Reporte Componentes R1'!F441+'Rem. Anticipos R2'!E354+'Reversion Pagos R4'!D313-('Reporte Componentes R1'!G439+'Reporte Componentes R1'!G441+'Rem. Anticipos R2'!F354+'Reversion Pagos R4'!E313+'Reporte Componentes R1'!H439+'Reporte Componentes R1'!H441+'Rem. Anticipos R2'!G354+'Reversion Pagos R4'!F313+'Reporte Componentes R1'!I439+'Reporte Componentes R1'!I441+'Rem. Anticipos R2'!H354+'Reversion Pagos R4'!G313+'Reporte Componentes R1'!J439+'Reporte Componentes R1'!J441+'Rem. Anticipos R2'!I354+'Reversion Pagos R4'!H313+'Reporte Componentes R1'!K439+'Reporte Componentes R1'!K441+'Rem. Anticipos R2'!J354+'Reversion Pagos R4'!I313+'BCE SC POR FACT.'!F6)+K26=K12</f>
        <v>1</v>
      </c>
      <c r="L35" s="694" t="b">
        <f>INTERVENTORIA!N29+L26=L12</f>
        <v>1</v>
      </c>
      <c r="M35" s="640" t="b">
        <f>((('Reporte Componentes R1'!F439+'Reporte Componentes R1'!F441+'Rem. Anticipos R2'!E354+'Reversion Pagos R4'!D313-('Reporte Componentes R1'!G439+'Reporte Componentes R1'!G441+'Rem. Anticipos R2'!F354+'Reversion Pagos R4'!E313+'Reporte Componentes R1'!H439+'Reporte Componentes R1'!H441+'Rem. Anticipos R2'!G354+'Reversion Pagos R4'!F313+'Reporte Componentes R1'!I439+'Reporte Componentes R1'!I441+'Rem. Anticipos R2'!H354+'Reversion Pagos R4'!G313+'Reporte Componentes R1'!J439+'Reporte Componentes R1'!J441+'Rem. Anticipos R2'!I354+'Reversion Pagos R4'!H313+'Reporte Componentes R1'!K439+'Reporte Componentes R1'!K441+'Rem. Anticipos R2'!J354+'Reversion Pagos R4'!I313+'BCE SC POR FACT.'!F6))+M26)-INTERVENTORIA!N29)=M12</f>
        <v>1</v>
      </c>
      <c r="N35" s="640" t="b">
        <f>+'Reporte Componentes R1'!L439+'Reporte Componentes R1'!L441+'Rem. Anticipos R2'!K354+'Reversion Pagos R4'!P313+N26=N12</f>
        <v>1</v>
      </c>
      <c r="O35" s="640" t="b">
        <f>((('Reporte Componentes R1'!F439+'Reporte Componentes R1'!F441+'Rem. Anticipos R2'!E354+'Reversion Pagos R4'!D313-('Reporte Componentes R1'!G439+'Reporte Componentes R1'!G441+'Rem. Anticipos R2'!F354+'Reversion Pagos R4'!E313+'Reporte Componentes R1'!H439+'Reporte Componentes R1'!H441+'Rem. Anticipos R2'!G354+'Reversion Pagos R4'!F313+'Reporte Componentes R1'!I439+'Reporte Componentes R1'!I441+'Rem. Anticipos R2'!H354+'Reversion Pagos R4'!G313+'Reporte Componentes R1'!J439+'Reporte Componentes R1'!J441+'Rem. Anticipos R2'!I354+'Reversion Pagos R4'!H313+'Reporte Componentes R1'!K439+'Reporte Componentes R1'!K441+'Rem. Anticipos R2'!J354+'Reversion Pagos R4'!I313+'BCE SC POR FACT.'!F6)))-INTERVENTORIA!N29)+'Reporte Componentes R1'!L439+'Reporte Componentes R1'!L441+'Rem. Anticipos R2'!K354+'Reversion Pagos R4'!P313+O26=O12</f>
        <v>1</v>
      </c>
    </row>
    <row r="36" spans="2:15" x14ac:dyDescent="0.3">
      <c r="B36" s="602" t="s">
        <v>118</v>
      </c>
      <c r="C36" s="340" t="s">
        <v>14</v>
      </c>
      <c r="D36" s="643" t="b">
        <f>+D27+'Reporte Componentes R1'!F513+'Reporte Componentes R1'!F515+'Rem. Anticipos R2'!E426+'Reversion Pagos R4'!D342=D13</f>
        <v>1</v>
      </c>
      <c r="E36" s="643" t="b">
        <f>+E27+'Reporte Componentes R1'!G513+'Reporte Componentes R1'!G515+'Rem. Anticipos R2'!F426+'Reversion Pagos R4'!E342=E13</f>
        <v>1</v>
      </c>
      <c r="F36" s="643" t="b">
        <f>+F27+'Reporte Componentes R1'!H513+'Reporte Componentes R1'!H515+'Rem. Anticipos R2'!G426+'Reversion Pagos R4'!F342=F13</f>
        <v>1</v>
      </c>
      <c r="G36" s="643" t="b">
        <f>+G27+'Reporte Componentes R1'!I513+'Reporte Componentes R1'!I515+'Rem. Anticipos R2'!H426+'Reversion Pagos R4'!G342=G13</f>
        <v>1</v>
      </c>
      <c r="H36" s="643" t="b">
        <f>+H27+'Reporte Componentes R1'!J513+'Reporte Componentes R1'!J515+'Rem. Anticipos R2'!I426+'Reversion Pagos R4'!H342=H13</f>
        <v>1</v>
      </c>
      <c r="I36" s="643" t="b">
        <f>+I27+'Reporte Componentes R1'!K513+'Reporte Componentes R1'!K515+'Rem. Anticipos R2'!J426+'Reversion Pagos R4'!I342=I13</f>
        <v>1</v>
      </c>
      <c r="J36" s="643" t="b">
        <f>+'BCE SC POR FACT.'!F7+J27=J13</f>
        <v>1</v>
      </c>
      <c r="K36" s="640" t="b">
        <f>+'Reporte Componentes R1'!F513+'Reporte Componentes R1'!F515+'Rem. Anticipos R2'!E426+'Reversion Pagos R4'!D342-('Reporte Componentes R1'!G513+'Reporte Componentes R1'!G515+'Rem. Anticipos R2'!F426+'Reversion Pagos R4'!E342+'Reporte Componentes R1'!H513+'Reporte Componentes R1'!H515+'Rem. Anticipos R2'!G426+'Reversion Pagos R4'!F342+'Reporte Componentes R1'!I513+'Reporte Componentes R1'!I515+'Rem. Anticipos R2'!H426+'Reversion Pagos R4'!G342+'Reporte Componentes R1'!J513+'Reporte Componentes R1'!J515+'Rem. Anticipos R2'!I426+'Reversion Pagos R4'!H342+'Reporte Componentes R1'!K513+'Reporte Componentes R1'!K515+'Rem. Anticipos R2'!J426+'Reversion Pagos R4'!I342+'BCE SC POR FACT.'!F7)+K27=K13</f>
        <v>1</v>
      </c>
      <c r="L36" s="694" t="b">
        <f>INTERVENTORIA!N30+L27=L13</f>
        <v>1</v>
      </c>
      <c r="M36" s="640" t="b">
        <f>((('Reporte Componentes R1'!F513+'Reporte Componentes R1'!F515+'Rem. Anticipos R2'!E426+'Reversion Pagos R4'!D342-('Reporte Componentes R1'!G513+'Reporte Componentes R1'!G515+'Rem. Anticipos R2'!F426+'Reversion Pagos R4'!E342+'Reporte Componentes R1'!H513+'Reporte Componentes R1'!H515+'Rem. Anticipos R2'!G426+'Reversion Pagos R4'!F342+'Reporte Componentes R1'!I513+'Reporte Componentes R1'!I515+'Rem. Anticipos R2'!H426+'Reversion Pagos R4'!G342+'Reporte Componentes R1'!J513+'Reporte Componentes R1'!J515+'Rem. Anticipos R2'!I426+'Reversion Pagos R4'!H342+'Reporte Componentes R1'!K513+'Reporte Componentes R1'!K515+'Rem. Anticipos R2'!J426+'Reversion Pagos R4'!I342+'BCE SC POR FACT.'!F7))+M27)-INTERVENTORIA!N30)=M13</f>
        <v>1</v>
      </c>
      <c r="N36" s="640" t="b">
        <f>+'Reporte Componentes R1'!L513+'Reporte Componentes R1'!L515+'Rem. Anticipos R2'!K426+'Reversion Pagos R4'!P342+N27=N13</f>
        <v>1</v>
      </c>
      <c r="O36" s="640" t="b">
        <f>((('Reporte Componentes R1'!F513+'Reporte Componentes R1'!F515+'Rem. Anticipos R2'!E426+'Reversion Pagos R4'!D342-('Reporte Componentes R1'!G513+'Reporte Componentes R1'!G515+'Rem. Anticipos R2'!F426+'Reversion Pagos R4'!E342+'Reporte Componentes R1'!H513+'Reporte Componentes R1'!H515+'Rem. Anticipos R2'!G426+'Reversion Pagos R4'!F342+'Reporte Componentes R1'!I513+'Reporte Componentes R1'!I515+'Rem. Anticipos R2'!H426+'Reversion Pagos R4'!G342+'Reporte Componentes R1'!J513+'Reporte Componentes R1'!J515+'Rem. Anticipos R2'!I426+'Reversion Pagos R4'!H342+'Reporte Componentes R1'!K513+'Reporte Componentes R1'!K515+'Rem. Anticipos R2'!J426+'Reversion Pagos R4'!I342+'BCE SC POR FACT.'!F7)))-INTERVENTORIA!N30)+'Reporte Componentes R1'!L513+'Reporte Componentes R1'!L515+'Rem. Anticipos R2'!K426+'Reversion Pagos R4'!P342+O27=O13</f>
        <v>1</v>
      </c>
    </row>
    <row r="38" spans="2:15" x14ac:dyDescent="0.3">
      <c r="N38" s="644"/>
    </row>
    <row r="39" spans="2:15" x14ac:dyDescent="0.3">
      <c r="L39" s="693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3" workbookViewId="0">
      <selection activeCell="D30" sqref="D30"/>
    </sheetView>
  </sheetViews>
  <sheetFormatPr baseColWidth="10" defaultColWidth="11.44140625" defaultRowHeight="14.4" x14ac:dyDescent="0.3"/>
  <cols>
    <col min="1" max="1" width="2.77734375" style="601" customWidth="1"/>
    <col min="2" max="2" width="7.21875" style="601" customWidth="1"/>
    <col min="3" max="3" width="42.77734375" style="601" customWidth="1"/>
    <col min="4" max="15" width="28.5546875" style="601" customWidth="1"/>
    <col min="16" max="16384" width="11.44140625" style="601"/>
  </cols>
  <sheetData>
    <row r="1" spans="2:15" customFormat="1" ht="13.2" x14ac:dyDescent="0.25"/>
    <row r="2" spans="2:15" customFormat="1" ht="13.2" x14ac:dyDescent="0.25"/>
    <row r="3" spans="2:15" customFormat="1" x14ac:dyDescent="0.25">
      <c r="F3" s="653" t="s">
        <v>8</v>
      </c>
      <c r="H3" s="653" t="s">
        <v>16</v>
      </c>
      <c r="J3" s="653" t="s">
        <v>226</v>
      </c>
      <c r="K3" s="653" t="s">
        <v>340</v>
      </c>
    </row>
    <row r="4" spans="2:15" customFormat="1" x14ac:dyDescent="0.25">
      <c r="F4" s="653" t="s">
        <v>29</v>
      </c>
    </row>
    <row r="5" spans="2:15" customFormat="1" x14ac:dyDescent="0.25">
      <c r="F5" s="653" t="s">
        <v>227</v>
      </c>
    </row>
    <row r="6" spans="2:15" customFormat="1" x14ac:dyDescent="0.25">
      <c r="C6" s="653" t="s">
        <v>228</v>
      </c>
      <c r="D6" s="653" t="s">
        <v>341</v>
      </c>
      <c r="F6" s="653" t="s">
        <v>229</v>
      </c>
    </row>
    <row r="7" spans="2:15" customFormat="1" x14ac:dyDescent="0.25">
      <c r="C7" s="653" t="s">
        <v>230</v>
      </c>
      <c r="D7" s="653" t="s">
        <v>342</v>
      </c>
      <c r="F7" s="653" t="s">
        <v>27</v>
      </c>
      <c r="G7" s="653" t="s">
        <v>343</v>
      </c>
      <c r="I7" s="653" t="s">
        <v>231</v>
      </c>
      <c r="J7" s="653" t="s">
        <v>344</v>
      </c>
    </row>
    <row r="8" spans="2:15" customFormat="1" ht="43.2" x14ac:dyDescent="0.25">
      <c r="B8" s="654" t="s">
        <v>3</v>
      </c>
      <c r="C8" s="654" t="s">
        <v>232</v>
      </c>
      <c r="D8" s="654" t="s">
        <v>249</v>
      </c>
      <c r="E8" s="654" t="s">
        <v>250</v>
      </c>
      <c r="F8" s="654" t="s">
        <v>251</v>
      </c>
      <c r="G8" s="654" t="s">
        <v>252</v>
      </c>
      <c r="H8" s="654" t="s">
        <v>253</v>
      </c>
      <c r="I8" s="654" t="s">
        <v>254</v>
      </c>
      <c r="J8" s="654" t="s">
        <v>255</v>
      </c>
      <c r="K8" s="654" t="s">
        <v>243</v>
      </c>
      <c r="L8" s="654" t="s">
        <v>256</v>
      </c>
      <c r="M8" s="654" t="s">
        <v>257</v>
      </c>
      <c r="N8" s="654" t="s">
        <v>244</v>
      </c>
      <c r="O8" s="654" t="s">
        <v>258</v>
      </c>
    </row>
    <row r="9" spans="2:15" customFormat="1" ht="13.2" x14ac:dyDescent="0.25">
      <c r="B9" s="633" t="s">
        <v>115</v>
      </c>
      <c r="C9" s="633" t="s">
        <v>10</v>
      </c>
      <c r="D9" s="634">
        <v>1394522647</v>
      </c>
      <c r="E9" s="634">
        <v>1317649645</v>
      </c>
      <c r="F9" s="634">
        <v>6280056756</v>
      </c>
      <c r="G9" s="634">
        <v>2296152255</v>
      </c>
      <c r="H9" s="634">
        <v>259093052</v>
      </c>
      <c r="I9" s="634">
        <v>-189185987</v>
      </c>
      <c r="J9" s="634">
        <v>-27402</v>
      </c>
      <c r="K9" s="634">
        <v>19931693</v>
      </c>
      <c r="L9" s="634">
        <v>-3190349722</v>
      </c>
      <c r="M9" s="634">
        <v>-5344300550</v>
      </c>
      <c r="N9" s="634">
        <v>6033892110</v>
      </c>
      <c r="O9" s="634">
        <v>0</v>
      </c>
    </row>
    <row r="10" spans="2:15" customFormat="1" ht="13.2" x14ac:dyDescent="0.25">
      <c r="B10" s="633" t="s">
        <v>116</v>
      </c>
      <c r="C10" s="633" t="s">
        <v>11</v>
      </c>
      <c r="D10" s="634">
        <v>1119047469</v>
      </c>
      <c r="E10" s="634">
        <v>1074203307</v>
      </c>
      <c r="F10" s="634">
        <v>5100967941</v>
      </c>
      <c r="G10" s="634">
        <v>1726639220</v>
      </c>
      <c r="H10" s="634">
        <v>207852475</v>
      </c>
      <c r="I10" s="634">
        <v>-266580255</v>
      </c>
      <c r="J10" s="634">
        <v>6688740</v>
      </c>
      <c r="K10" s="634">
        <v>9905073</v>
      </c>
      <c r="L10" s="634">
        <v>-3280657148</v>
      </c>
      <c r="M10" s="634">
        <v>936488379</v>
      </c>
      <c r="N10" s="634">
        <v>9915212348</v>
      </c>
      <c r="O10" s="634">
        <v>0</v>
      </c>
    </row>
    <row r="11" spans="2:15" customFormat="1" ht="13.2" x14ac:dyDescent="0.25">
      <c r="B11" s="633" t="s">
        <v>117</v>
      </c>
      <c r="C11" s="633" t="s">
        <v>245</v>
      </c>
      <c r="D11" s="634">
        <v>764924628</v>
      </c>
      <c r="E11" s="634">
        <v>725933198</v>
      </c>
      <c r="F11" s="634">
        <v>3451348639</v>
      </c>
      <c r="G11" s="634">
        <v>1350181167</v>
      </c>
      <c r="H11" s="634">
        <v>142145147</v>
      </c>
      <c r="I11" s="634">
        <v>-154788535</v>
      </c>
      <c r="J11" s="634">
        <v>-121094</v>
      </c>
      <c r="K11" s="634">
        <v>19321800</v>
      </c>
      <c r="L11" s="634">
        <v>-1185935683</v>
      </c>
      <c r="M11" s="634">
        <v>102870654</v>
      </c>
      <c r="N11" s="634">
        <v>6401815603</v>
      </c>
      <c r="O11" s="634">
        <v>0</v>
      </c>
    </row>
    <row r="12" spans="2:15" customFormat="1" ht="13.2" x14ac:dyDescent="0.25">
      <c r="B12" s="633" t="s">
        <v>246</v>
      </c>
      <c r="C12" s="633" t="s">
        <v>13</v>
      </c>
      <c r="D12" s="634">
        <v>786078525</v>
      </c>
      <c r="E12" s="634">
        <v>750287945</v>
      </c>
      <c r="F12" s="634">
        <v>3882318284</v>
      </c>
      <c r="G12" s="634">
        <v>1602219714</v>
      </c>
      <c r="H12" s="634">
        <v>146500615</v>
      </c>
      <c r="I12" s="634">
        <v>-120391083</v>
      </c>
      <c r="J12" s="634">
        <v>32170</v>
      </c>
      <c r="K12" s="634">
        <v>8643136</v>
      </c>
      <c r="L12" s="634">
        <v>-290453803</v>
      </c>
      <c r="M12" s="634">
        <v>-351985757</v>
      </c>
      <c r="N12" s="634">
        <v>6703703548</v>
      </c>
      <c r="O12" s="634">
        <v>0</v>
      </c>
    </row>
    <row r="13" spans="2:15" customFormat="1" ht="13.2" x14ac:dyDescent="0.25">
      <c r="B13" s="633" t="s">
        <v>118</v>
      </c>
      <c r="C13" s="633" t="s">
        <v>14</v>
      </c>
      <c r="D13" s="634">
        <v>545248831</v>
      </c>
      <c r="E13" s="634">
        <v>513452678</v>
      </c>
      <c r="F13" s="634">
        <v>2643078043</v>
      </c>
      <c r="G13" s="634">
        <v>1215847345</v>
      </c>
      <c r="H13" s="634">
        <v>101388402</v>
      </c>
      <c r="I13" s="634">
        <v>-128990445</v>
      </c>
      <c r="J13" s="634">
        <v>10524</v>
      </c>
      <c r="K13" s="634">
        <v>12379938</v>
      </c>
      <c r="L13" s="634">
        <v>-153252544</v>
      </c>
      <c r="M13" s="634">
        <v>1093220551</v>
      </c>
      <c r="N13" s="634">
        <v>5995635867</v>
      </c>
      <c r="O13" s="634">
        <v>0</v>
      </c>
    </row>
    <row r="14" spans="2:15" customFormat="1" ht="13.2" x14ac:dyDescent="0.25">
      <c r="B14" s="633" t="s">
        <v>247</v>
      </c>
      <c r="C14" s="633" t="s">
        <v>70</v>
      </c>
      <c r="D14" s="634">
        <v>4609822100</v>
      </c>
      <c r="E14" s="634">
        <v>4381526773</v>
      </c>
      <c r="F14" s="634">
        <v>21357769663</v>
      </c>
      <c r="G14" s="634">
        <v>8191039701</v>
      </c>
      <c r="H14" s="634">
        <v>856979691</v>
      </c>
      <c r="I14" s="634">
        <v>-859936305</v>
      </c>
      <c r="J14" s="634">
        <v>6582938</v>
      </c>
      <c r="K14" s="634">
        <v>70181640</v>
      </c>
      <c r="L14" s="634">
        <v>-8100648900</v>
      </c>
      <c r="M14" s="634">
        <v>-3563706723</v>
      </c>
      <c r="N14" s="634">
        <v>35050259476</v>
      </c>
      <c r="O14" s="634">
        <v>0</v>
      </c>
    </row>
    <row r="16" spans="2:15" x14ac:dyDescent="0.3">
      <c r="B16" s="602" t="s">
        <v>115</v>
      </c>
      <c r="C16" s="602" t="s">
        <v>10</v>
      </c>
      <c r="D16" s="640">
        <f>D9-'CONSOLIDADO_TOTAL RECAUDO'!U104</f>
        <v>-7.9999923706054688E-2</v>
      </c>
      <c r="E16" s="640">
        <f>E9-'CONSOLIDADO_TOTAL RECAUDO'!V104</f>
        <v>-0.43000030517578125</v>
      </c>
      <c r="F16" s="640">
        <f>F9-'CONSOLIDADO_TOTAL RECAUDO'!W104</f>
        <v>-0.35000038146972656</v>
      </c>
      <c r="G16" s="640">
        <f>G9-'CONSOLIDADO_TOTAL RECAUDO'!X104</f>
        <v>-0.44000005722045898</v>
      </c>
      <c r="H16" s="640">
        <f>H9-'CONSOLIDADO_TOTAL RECAUDO'!Y104</f>
        <v>0.24999997019767761</v>
      </c>
      <c r="I16" s="640">
        <f>I9-'CONSOLIDADO_TOTAL RECAUDO'!Z104</f>
        <v>0</v>
      </c>
      <c r="J16" s="640">
        <f>J9-'CONSOLIDADO_TOTAL RECAUDO'!AA104-'CONSOLIDADO_TOTAL RECAUDO'!AC104</f>
        <v>-0.31999999999868578</v>
      </c>
      <c r="K16" s="640">
        <f>K9-'CONSOLIDADO_TOTAL RECAUDO'!AB104</f>
        <v>-3.0000001192092896E-2</v>
      </c>
      <c r="L16" s="640">
        <f>L9-'CONSOLIDADO_TOTAL RECAUDO'!AE104</f>
        <v>-0.16999959945678711</v>
      </c>
      <c r="M16" s="640">
        <f>M9-'CONSOLIDADO_TOTAL RECAUDO'!AD104</f>
        <v>-9.9992752075195313E-3</v>
      </c>
      <c r="N16" s="640">
        <f>N9-'CONSOLIDADO_TOTAL RECAUDO'!AF104</f>
        <v>-0.41000080108642578</v>
      </c>
      <c r="O16" s="640">
        <f>O9-'CONSOLIDADO_TOTAL RECAUDO'!AG104</f>
        <v>0</v>
      </c>
    </row>
    <row r="17" spans="2:16" x14ac:dyDescent="0.3">
      <c r="B17" s="602" t="s">
        <v>116</v>
      </c>
      <c r="C17" s="602" t="s">
        <v>11</v>
      </c>
      <c r="D17" s="640">
        <f>D10-'CONSOLIDADO_TOTAL RECAUDO'!U105</f>
        <v>0.45999979972839355</v>
      </c>
      <c r="E17" s="640">
        <f>E10-'CONSOLIDADO_TOTAL RECAUDO'!V105</f>
        <v>2.9999971389770508E-2</v>
      </c>
      <c r="F17" s="640">
        <f>F10-'CONSOLIDADO_TOTAL RECAUDO'!W105</f>
        <v>0.34999942779541016</v>
      </c>
      <c r="G17" s="640">
        <f>G10-'CONSOLIDADO_TOTAL RECAUDO'!X105</f>
        <v>0.36999988555908203</v>
      </c>
      <c r="H17" s="640">
        <f>H10-'CONSOLIDADO_TOTAL RECAUDO'!Y105</f>
        <v>-0.12000000476837158</v>
      </c>
      <c r="I17" s="640">
        <f>I10-'CONSOLIDADO_TOTAL RECAUDO'!Z105</f>
        <v>0</v>
      </c>
      <c r="J17" s="640">
        <f>J10-'CONSOLIDADO_TOTAL RECAUDO'!AA105-'CONSOLIDADO_TOTAL RECAUDO'!AC105</f>
        <v>0.41000000014901161</v>
      </c>
      <c r="K17" s="640">
        <f>K10-'CONSOLIDADO_TOTAL RECAUDO'!AB105</f>
        <v>0.24000000022351742</v>
      </c>
      <c r="L17" s="640">
        <f>L10-'CONSOLIDADO_TOTAL RECAUDO'!AE105</f>
        <v>-0.49000024795532227</v>
      </c>
      <c r="M17" s="640">
        <f>M10-'CONSOLIDADO_TOTAL RECAUDO'!AD105</f>
        <v>-0.40000009536743164</v>
      </c>
      <c r="N17" s="640">
        <f>N10-'CONSOLIDADO_TOTAL RECAUDO'!AF105</f>
        <v>0.33999824523925781</v>
      </c>
      <c r="O17" s="640">
        <f>O10-'CONSOLIDADO_TOTAL RECAUDO'!AG105</f>
        <v>0</v>
      </c>
    </row>
    <row r="18" spans="2:16" x14ac:dyDescent="0.3">
      <c r="B18" s="602" t="s">
        <v>117</v>
      </c>
      <c r="C18" s="602" t="s">
        <v>245</v>
      </c>
      <c r="D18" s="640">
        <f>D11-'CONSOLIDADO_TOTAL RECAUDO'!U106</f>
        <v>0.25999999046325684</v>
      </c>
      <c r="E18" s="640">
        <f>E11-'CONSOLIDADO_TOTAL RECAUDO'!V106</f>
        <v>0.37000000476837158</v>
      </c>
      <c r="F18" s="640">
        <f>F11-'CONSOLIDADO_TOTAL RECAUDO'!W106</f>
        <v>0.26000022888183594</v>
      </c>
      <c r="G18" s="640">
        <f>G11-'CONSOLIDADO_TOTAL RECAUDO'!X106</f>
        <v>-9.9999904632568359E-2</v>
      </c>
      <c r="H18" s="640">
        <f>H11-'CONSOLIDADO_TOTAL RECAUDO'!Y106</f>
        <v>-0.17000001668930054</v>
      </c>
      <c r="I18" s="640">
        <f>I11-'CONSOLIDADO_TOTAL RECAUDO'!Z106</f>
        <v>0</v>
      </c>
      <c r="J18" s="640">
        <f>J11-'CONSOLIDADO_TOTAL RECAUDO'!AA106-'CONSOLIDADO_TOTAL RECAUDO'!AC106</f>
        <v>0.23999999999796273</v>
      </c>
      <c r="K18" s="640">
        <f>K11-'CONSOLIDADO_TOTAL RECAUDO'!AB106</f>
        <v>5.000000074505806E-2</v>
      </c>
      <c r="L18" s="640">
        <f>L11-'CONSOLIDADO_TOTAL RECAUDO'!AE106</f>
        <v>0.3599998950958252</v>
      </c>
      <c r="M18" s="640">
        <f>M11-'CONSOLIDADO_TOTAL RECAUDO'!AD106</f>
        <v>0.26999974250793457</v>
      </c>
      <c r="N18" s="640">
        <f>N11-'CONSOLIDADO_TOTAL RECAUDO'!AF106</f>
        <v>0.18000030517578125</v>
      </c>
      <c r="O18" s="640">
        <f>O11-'CONSOLIDADO_TOTAL RECAUDO'!AG106</f>
        <v>0</v>
      </c>
    </row>
    <row r="19" spans="2:16" x14ac:dyDescent="0.3">
      <c r="B19" s="602" t="s">
        <v>246</v>
      </c>
      <c r="C19" s="602" t="s">
        <v>13</v>
      </c>
      <c r="D19" s="640">
        <f>D12-'CONSOLIDADO_TOTAL RECAUDO'!U107</f>
        <v>2.9999971389770508E-2</v>
      </c>
      <c r="E19" s="640">
        <f>E12-'CONSOLIDADO_TOTAL RECAUDO'!V107</f>
        <v>-2.0000100135803223E-2</v>
      </c>
      <c r="F19" s="640">
        <f>F12-'CONSOLIDADO_TOTAL RECAUDO'!W107</f>
        <v>0.3600001335144043</v>
      </c>
      <c r="G19" s="640">
        <f>G12-'CONSOLIDADO_TOTAL RECAUDO'!X107</f>
        <v>0.25999975204467773</v>
      </c>
      <c r="H19" s="640">
        <f>H12-'CONSOLIDADO_TOTAL RECAUDO'!Y107</f>
        <v>0.26999998092651367</v>
      </c>
      <c r="I19" s="640">
        <f>I12-'CONSOLIDADO_TOTAL RECAUDO'!Z107</f>
        <v>0</v>
      </c>
      <c r="J19" s="640">
        <f>J12-'CONSOLIDADO_TOTAL RECAUDO'!AA107-'CONSOLIDADO_TOTAL RECAUDO'!AC107</f>
        <v>0.28999999999751935</v>
      </c>
      <c r="K19" s="640">
        <f>K12-'CONSOLIDADO_TOTAL RECAUDO'!AB107</f>
        <v>0.41999999992549419</v>
      </c>
      <c r="L19" s="640">
        <f>L12-'CONSOLIDADO_TOTAL RECAUDO'!AE107</f>
        <v>-7.0000052452087402E-2</v>
      </c>
      <c r="M19" s="640">
        <f>M12-'CONSOLIDADO_TOTAL RECAUDO'!AD107</f>
        <v>-0.38000005483627319</v>
      </c>
      <c r="N19" s="640">
        <f>N12-'CONSOLIDADO_TOTAL RECAUDO'!AF107</f>
        <v>0.22999954223632813</v>
      </c>
      <c r="O19" s="640">
        <f>O12-'CONSOLIDADO_TOTAL RECAUDO'!AG107</f>
        <v>0</v>
      </c>
    </row>
    <row r="20" spans="2:16" x14ac:dyDescent="0.3">
      <c r="B20" s="602" t="s">
        <v>118</v>
      </c>
      <c r="C20" s="602" t="s">
        <v>14</v>
      </c>
      <c r="D20" s="640">
        <f>D13-'CONSOLIDADO_TOTAL RECAUDO'!U108</f>
        <v>-0.26999998092651367</v>
      </c>
      <c r="E20" s="640">
        <f>E13-'CONSOLIDADO_TOTAL RECAUDO'!V108</f>
        <v>0.20999997854232788</v>
      </c>
      <c r="F20" s="640">
        <f>F13-'CONSOLIDADO_TOTAL RECAUDO'!W108</f>
        <v>-0.10000038146972656</v>
      </c>
      <c r="G20" s="640">
        <f>G13-'CONSOLIDADO_TOTAL RECAUDO'!X108</f>
        <v>-0.48999977111816406</v>
      </c>
      <c r="H20" s="640">
        <f>H13-'CONSOLIDADO_TOTAL RECAUDO'!Y108</f>
        <v>1.000000536441803E-2</v>
      </c>
      <c r="I20" s="640">
        <f>I13-'CONSOLIDADO_TOTAL RECAUDO'!Z108</f>
        <v>0</v>
      </c>
      <c r="J20" s="640">
        <f>J13-'CONSOLIDADO_TOTAL RECAUDO'!AA108-'CONSOLIDADO_TOTAL RECAUDO'!AC108</f>
        <v>3.9999999999635882E-2</v>
      </c>
      <c r="K20" s="640">
        <f>K13-'CONSOLIDADO_TOTAL RECAUDO'!AB108</f>
        <v>-6.0000000521540642E-2</v>
      </c>
      <c r="L20" s="640">
        <f>L13-'CONSOLIDADO_TOTAL RECAUDO'!AE108</f>
        <v>-0.39999997615814209</v>
      </c>
      <c r="M20" s="640">
        <f>M13-'CONSOLIDADO_TOTAL RECAUDO'!AD108</f>
        <v>0.19000005722045898</v>
      </c>
      <c r="N20" s="640">
        <f>N13-'CONSOLIDADO_TOTAL RECAUDO'!AF108</f>
        <v>-0.46999931335449219</v>
      </c>
      <c r="O20" s="640">
        <f>O13-'CONSOLIDADO_TOTAL RECAUDO'!AG108</f>
        <v>0</v>
      </c>
    </row>
    <row r="21" spans="2:16" x14ac:dyDescent="0.3">
      <c r="B21" s="602" t="s">
        <v>247</v>
      </c>
      <c r="C21" s="602" t="s">
        <v>70</v>
      </c>
      <c r="D21" s="640">
        <f>D14-'CONSOLIDADO_TOTAL RECAUDO'!U109</f>
        <v>0.39999961853027344</v>
      </c>
      <c r="E21" s="640">
        <f>E14-'CONSOLIDADO_TOTAL RECAUDO'!V109</f>
        <v>0.15999889373779297</v>
      </c>
      <c r="F21" s="640">
        <f>F14-'CONSOLIDADO_TOTAL RECAUDO'!W109</f>
        <v>0.51999664306640625</v>
      </c>
      <c r="G21" s="640">
        <f>G14-'CONSOLIDADO_TOTAL RECAUDO'!X109</f>
        <v>-0.39999961853027344</v>
      </c>
      <c r="H21" s="640">
        <f>H14-'CONSOLIDADO_TOTAL RECAUDO'!Y109</f>
        <v>0.24000000953674316</v>
      </c>
      <c r="I21" s="640">
        <f>I14-'CONSOLIDADO_TOTAL RECAUDO'!Z109</f>
        <v>0</v>
      </c>
      <c r="J21" s="640">
        <f>J14-'CONSOLIDADO_TOTAL RECAUDO'!AA109-'CONSOLIDADO_TOTAL RECAUDO'!AC109</f>
        <v>0.66000000108033419</v>
      </c>
      <c r="K21" s="640">
        <f>K14-'CONSOLIDADO_TOTAL RECAUDO'!AB109</f>
        <v>0.62000000476837158</v>
      </c>
      <c r="L21" s="640">
        <f>L14-'CONSOLIDADO_TOTAL RECAUDO'!AE109</f>
        <v>-0.76999950408935547</v>
      </c>
      <c r="M21" s="640">
        <f>M14-'CONSOLIDADO_TOTAL RECAUDO'!AD109</f>
        <v>-0.33000040054321289</v>
      </c>
      <c r="N21" s="640">
        <f>N14-'CONSOLIDADO_TOTAL RECAUDO'!AF109</f>
        <v>-0.1300048828125</v>
      </c>
      <c r="O21" s="640">
        <f>O14-'CONSOLIDADO_TOTAL RECAUDO'!AG109</f>
        <v>0</v>
      </c>
    </row>
    <row r="22" spans="2:16" ht="15" thickBot="1" x14ac:dyDescent="0.35">
      <c r="M22" s="644"/>
    </row>
    <row r="23" spans="2:16" ht="36.6" thickBot="1" x14ac:dyDescent="0.35">
      <c r="C23" s="27" t="s">
        <v>9</v>
      </c>
      <c r="D23" s="162" t="s">
        <v>39</v>
      </c>
      <c r="E23" s="572" t="s">
        <v>40</v>
      </c>
      <c r="F23" s="572" t="s">
        <v>41</v>
      </c>
      <c r="G23" s="163" t="s">
        <v>42</v>
      </c>
      <c r="H23" s="164" t="s">
        <v>43</v>
      </c>
      <c r="I23" s="546" t="s">
        <v>21</v>
      </c>
      <c r="J23" s="65" t="s">
        <v>46</v>
      </c>
      <c r="K23" s="65" t="s">
        <v>7</v>
      </c>
      <c r="L23" s="85" t="s">
        <v>167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02" t="s">
        <v>115</v>
      </c>
      <c r="C24" s="340" t="s">
        <v>10</v>
      </c>
      <c r="D24" s="656" t="b">
        <f>+'Reporte Componentes R1'!M58+'Reporte Componentes R1'!M60+'Rem. Anticipos R2'!L43+'Reversion Pagos R4'!J73+D16=D9</f>
        <v>1</v>
      </c>
      <c r="E24" s="640" t="b">
        <f>+'Reporte Componentes R1'!N58+'Reporte Componentes R1'!N60+'Rem. Anticipos R2'!M43+'Reversion Pagos R4'!K73+E16=E9</f>
        <v>1</v>
      </c>
      <c r="F24" s="640" t="b">
        <f>+'Reporte Componentes R1'!O58+'Reporte Componentes R1'!O60+'Rem. Anticipos R2'!N43+'Reversion Pagos R4'!L73+F16=F9</f>
        <v>1</v>
      </c>
      <c r="G24" s="640" t="b">
        <f>+'Reporte Componentes R1'!P58+'Reporte Componentes R1'!P60+'Rem. Anticipos R2'!O43+'Reversion Pagos R4'!M73+G16=G9</f>
        <v>1</v>
      </c>
      <c r="H24" s="640" t="b">
        <f>+'Reporte Componentes R1'!Q58+'Reporte Componentes R1'!Q60+'Rem. Anticipos R2'!P43+'Reversion Pagos R4'!N73+H16=H9</f>
        <v>1</v>
      </c>
      <c r="I24" s="694" t="b">
        <f>-INTERVENTORIA!N26+I16=I9</f>
        <v>1</v>
      </c>
      <c r="J24" s="640" t="b">
        <f>'Reporte Componentes R1'!R58+'Reporte Componentes R1'!V58+'Rem. Anticipos R2'!Q43+'Reporte Componentes R1'!R60+'Reporte Componentes R1'!V60+'Reversion Pagos R4'!O73+'Reporte Componentes R1'!T58+'Reporte Componentes R1'!U58+'Reporte Componentes R1'!W58+'Reporte Componentes R1'!X58+'Reporte Componentes R1'!Y58+'Reporte Componentes R1'!Z58+'Reporte Componentes R1'!S58+'Rem. Anticipos R2'!R43+'Reporte Componentes R1'!T60+'Reporte Componentes R1'!U60+'Reporte Componentes R1'!W60+'Reporte Componentes R1'!X60+'Reporte Componentes R1'!Y60+'Reporte Componentes R1'!Z60+'Reporte Componentes R1'!S60+'Reversion Pagos R4'!Q73+'Reversion Pagos R4'!R73+'AJUSTES - SF-T'!AA47+J16=J9</f>
        <v>1</v>
      </c>
      <c r="K24" s="640" t="b">
        <f>+DetRetri2026101!N32</f>
        <v>1</v>
      </c>
      <c r="L24" s="640" t="b">
        <f>'Reporte Componentes R1'!F59+'Rem. Anticipos R2'!E44+'Reporte Componentes R1'!F61+'Reversion Pagos R4'!D74+'AJUSTES - SF-T'!AD47+L16=L9</f>
        <v>1</v>
      </c>
      <c r="M24" s="640" t="b">
        <f>-'BCE SC POR FACT.'!F3+'Reporte Componentes R1'!F59+'Rem. Anticipos R2'!E44+'Reporte Componentes R1'!F61+'Reversion Pagos R4'!D74+'AJUSTES - SF-T'!AD47+M16=M9</f>
        <v>1</v>
      </c>
      <c r="N24" s="640" t="b">
        <f>'Reporte Componentes R1'!F59+'Rem. Anticipos R2'!E44+'Reporte Componentes R1'!F61+'Reversion Pagos R4'!D74+'AJUSTES - SF-T'!AD47+L16=L9</f>
        <v>1</v>
      </c>
      <c r="O24" s="640">
        <f>'Reporte Componentes R1'!M58+'Reporte Componentes R1'!M60+'Rem. Anticipos R2'!L43+'Reversion Pagos R4'!J73+'Reporte Componentes R1'!N58+'Reporte Componentes R1'!N60+'Rem. Anticipos R2'!M43+'Reversion Pagos R4'!K73+'Reporte Componentes R1'!O58+'Reporte Componentes R1'!O60+'Rem. Anticipos R2'!N43+'Reversion Pagos R4'!L73+'Reporte Componentes R1'!P58+'Reporte Componentes R1'!P60+'Rem. Anticipos R2'!O43+'Reversion Pagos R4'!M73+'Reporte Componentes R1'!Q58+'Reporte Componentes R1'!Q60+'Rem. Anticipos R2'!P43+'Reversion Pagos R4'!N73-INTERVENTORIA!I4+'Reporte Componentes R1'!R58+'Reporte Componentes R1'!V58+'Rem. Anticipos R2'!Q43+'Reporte Componentes R1'!R60+'Reporte Componentes R1'!V60+'Reversion Pagos R4'!O73+'Reporte Componentes R1'!T58+'Reporte Componentes R1'!U58+'Reporte Componentes R1'!W58+'Reporte Componentes R1'!X58+'Reporte Componentes R1'!Y58+'Reporte Componentes R1'!Z58+'Reporte Componentes R1'!S58+'Rem. Anticipos R2'!R43+'Reporte Componentes R1'!T60+'Reporte Componentes R1'!U60+'Reporte Componentes R1'!W60+'Reporte Componentes R1'!X60+'Reporte Componentes R1'!Y60+'Reporte Componentes R1'!Z60+'Reporte Componentes R1'!S60+'Reversion Pagos R4'!Q73+'Reversion Pagos R4'!R73+'AJUSTES - SF-T'!AA47+'Reporte Componentes R1'!L58+'Rem. Anticipos R2'!K43+'Reversion Pagos R4'!P73+'Reporte Componentes R1'!L60-'BCE SC POR FACT.'!F3+'Reporte Componentes R1'!F59+'Rem. Anticipos R2'!E44+'Reporte Componentes R1'!F61+'Reversion Pagos R4'!D74+'AJUSTES - SF-T'!AD47+N16-N9</f>
        <v>0</v>
      </c>
    </row>
    <row r="25" spans="2:16" x14ac:dyDescent="0.3">
      <c r="B25" s="602" t="s">
        <v>116</v>
      </c>
      <c r="C25" s="340" t="s">
        <v>11</v>
      </c>
      <c r="D25" s="646" t="b">
        <f>+'Reporte Componentes R1'!M191+'Rem. Anticipos R2'!L146+'Reversion Pagos R4'!J168+'Reporte Componentes R1'!M193+D17=D10</f>
        <v>1</v>
      </c>
      <c r="E25" s="646" t="b">
        <f>+'Reporte Componentes R1'!N191+'Rem. Anticipos R2'!M146+'Reversion Pagos R4'!K168+'Reporte Componentes R1'!N193+E17=E10</f>
        <v>1</v>
      </c>
      <c r="F25" s="646" t="b">
        <f>+'Reporte Componentes R1'!O191+'Rem. Anticipos R2'!N146+'Reversion Pagos R4'!L168+'Reporte Componentes R1'!O193+F17=F10</f>
        <v>1</v>
      </c>
      <c r="G25" s="646" t="b">
        <f>+'Reporte Componentes R1'!P191+'Rem. Anticipos R2'!O146+'Reversion Pagos R4'!M168+'Reporte Componentes R1'!P193+G17=G10</f>
        <v>1</v>
      </c>
      <c r="H25" s="646" t="b">
        <f>+'Reporte Componentes R1'!Q191+'Rem. Anticipos R2'!P146+'Reversion Pagos R4'!N168+'Reporte Componentes R1'!Q193+H17=H10</f>
        <v>1</v>
      </c>
      <c r="I25" s="694" t="b">
        <f>-INTERVENTORIA!N27+I17=I10</f>
        <v>1</v>
      </c>
      <c r="J25" s="760">
        <f>+'Reporte Componentes R1'!R191+'Reporte Componentes R1'!V191+'Rem. Anticipos R2'!Q146+'Reporte Componentes R1'!R193+'Reporte Componentes R1'!V193+'Reversion Pagos R4'!O168+'Reporte Componentes R1'!T191+'Reporte Componentes R1'!U191+'Reporte Componentes R1'!W191+'Reporte Componentes R1'!X191+'Reporte Componentes R1'!Y191+'Reporte Componentes R1'!Z191+'Reporte Componentes R1'!S191+'Rem. Anticipos R2'!R146+'Reporte Componentes R1'!T193+'Reporte Componentes R1'!U193+'Reporte Componentes R1'!W193+'Reporte Componentes R1'!X193+'Reporte Componentes R1'!Y193+'Reporte Componentes R1'!Z193+'Reporte Componentes R1'!S193+'Reversion Pagos R4'!Q168+'Reversion Pagos R4'!R168+'AJUSTES - SF-T'!AA48+J17-J10</f>
        <v>0</v>
      </c>
      <c r="K25" s="646" t="b">
        <f>+DetRetri2026101!N33</f>
        <v>1</v>
      </c>
      <c r="L25" s="640" t="b">
        <f>+'Reporte Componentes R1'!F192+'Rem. Anticipos R2'!E147+'Reporte Componentes R1'!F194+'Reversion Pagos R4'!D169+'AJUSTES - SF-T'!AD48+L17=L10</f>
        <v>1</v>
      </c>
      <c r="M25" s="652" t="b">
        <f>-'BCE SC POR FACT.'!F4+'Reporte Componentes R1'!F192+'Rem. Anticipos R2'!E147+'Reporte Componentes R1'!F194+'Reversion Pagos R4'!D169+'AJUSTES - SF-T'!AD48+M17=M10</f>
        <v>1</v>
      </c>
      <c r="N25" s="640" t="b">
        <f>'Reporte Componentes R1'!F192+'Rem. Anticipos R2'!E147+'Reporte Componentes R1'!F194+'Reversion Pagos R4'!D169+'AJUSTES - SF-T'!AD48+L17=L10</f>
        <v>1</v>
      </c>
      <c r="O25" s="640">
        <f>'Reporte Componentes R1'!M191+'Rem. Anticipos R2'!L146+'Reversion Pagos R4'!J168+'Reporte Componentes R1'!M193+'Reporte Componentes R1'!N191+'Rem. Anticipos R2'!M146+'Reversion Pagos R4'!K168+'Reporte Componentes R1'!N193+'Reporte Componentes R1'!O191+'Rem. Anticipos R2'!N146+'Reversion Pagos R4'!L168+'Reporte Componentes R1'!O193+'Reporte Componentes R1'!P191+'Rem. Anticipos R2'!O146+'Reversion Pagos R4'!M168+'Reporte Componentes R1'!P193+'Reporte Componentes R1'!Q191+'Rem. Anticipos R2'!P146+'Reversion Pagos R4'!N168+'Reporte Componentes R1'!Q193-INTERVENTORIA!I5+'Reporte Componentes R1'!R191+'Reporte Componentes R1'!V191+'Rem. Anticipos R2'!Q146+'Reporte Componentes R1'!R193+'Reporte Componentes R1'!V193+'Reversion Pagos R4'!O168+'Reporte Componentes R1'!T191+'Reporte Componentes R1'!U191+'Reporte Componentes R1'!W191+'Reporte Componentes R1'!X191+'Reporte Componentes R1'!Y191+'Reporte Componentes R1'!Z191+'Reporte Componentes R1'!S191+'Rem. Anticipos R2'!R146+'Reporte Componentes R1'!T193+'Reporte Componentes R1'!U193+'Reporte Componentes R1'!W193+'Reporte Componentes R1'!X193+'Reporte Componentes R1'!Y193+'Reporte Componentes R1'!Z193+'Reporte Componentes R1'!S193+'Reversion Pagos R4'!Q168+'Reversion Pagos R4'!R168+'AJUSTES - SF-T'!AA48+'Reporte Componentes R1'!L191+'Rem. Anticipos R2'!K146+'Reversion Pagos R4'!P168+'Reporte Componentes R1'!L193-'BCE SC POR FACT.'!F4+'Reporte Componentes R1'!F192+'Rem. Anticipos R2'!E147+'Reporte Componentes R1'!F194+'Reversion Pagos R4'!D169+'AJUSTES - SF-T'!AD48+N17-N10</f>
        <v>0</v>
      </c>
      <c r="P25" s="645"/>
    </row>
    <row r="26" spans="2:16" x14ac:dyDescent="0.3">
      <c r="B26" s="602" t="s">
        <v>117</v>
      </c>
      <c r="C26" s="340" t="s">
        <v>12</v>
      </c>
      <c r="D26" s="640" t="b">
        <f>+'Reporte Componentes R1'!M319+'Reporte Componentes R1'!M321+'Rem. Anticipos R2'!L259+'Reversion Pagos R4'!J199+D18=D11</f>
        <v>1</v>
      </c>
      <c r="E26" s="640" t="b">
        <f>+'Reporte Componentes R1'!N319+'Reporte Componentes R1'!N321+'Rem. Anticipos R2'!M259+'Reversion Pagos R4'!K199+E18=E11</f>
        <v>1</v>
      </c>
      <c r="F26" s="640" t="b">
        <f>+'Reporte Componentes R1'!O319+'Reporte Componentes R1'!O321+'Rem. Anticipos R2'!N259+'Reversion Pagos R4'!L199+F18=F11</f>
        <v>1</v>
      </c>
      <c r="G26" s="640" t="b">
        <f>+'Reporte Componentes R1'!P319+'Reporte Componentes R1'!P321+'Rem. Anticipos R2'!O259+'Reversion Pagos R4'!M199+G18=G11</f>
        <v>1</v>
      </c>
      <c r="H26" s="640" t="b">
        <f>+'Reporte Componentes R1'!Q319+'Reporte Componentes R1'!Q321+'Rem. Anticipos R2'!P259+'Reversion Pagos R4'!N199+H18=H11</f>
        <v>1</v>
      </c>
      <c r="I26" s="694" t="b">
        <f>-INTERVENTORIA!N28+I18=I11</f>
        <v>1</v>
      </c>
      <c r="J26" s="640" t="b">
        <f>+'Reporte Componentes R1'!R319+'Reporte Componentes R1'!V319+'Rem. Anticipos R2'!Q259+'Reporte Componentes R1'!R321+'Reporte Componentes R1'!V321+'Reversion Pagos R4'!O199+'Reporte Componentes R1'!T319+'Reporte Componentes R1'!U319+'Reporte Componentes R1'!W319+'Reporte Componentes R1'!X319+'Reporte Componentes R1'!Y319+'Reporte Componentes R1'!Z319+'Reporte Componentes R1'!S319+'Rem. Anticipos R2'!R259+'Reporte Componentes R1'!T321+'Reporte Componentes R1'!U321+'Reporte Componentes R1'!W321+'Reporte Componentes R1'!X321+'Reporte Componentes R1'!Y321+'Reporte Componentes R1'!Z321+'Reporte Componentes R1'!S321+'Reversion Pagos R4'!Q199+'Reversion Pagos R4'!R199+'AJUSTES - SF-T'!AA49+J18=J11</f>
        <v>1</v>
      </c>
      <c r="K26" s="640" t="b">
        <f>+DetRetri2026101!N34</f>
        <v>1</v>
      </c>
      <c r="L26" s="640" t="b">
        <f>+'Reporte Componentes R1'!F320+'Rem. Anticipos R2'!E260+'Reporte Componentes R1'!F322+'Reversion Pagos R4'!D200+'AJUSTES - SF-T'!AD49+L18=L11</f>
        <v>1</v>
      </c>
      <c r="M26" s="711">
        <f>-'BCE SC POR FACT.'!F5+'Reporte Componentes R1'!F320+'Rem. Anticipos R2'!E260+'Reporte Componentes R1'!F322+'Reversion Pagos R4'!D200+'AJUSTES - SF-T'!AD49+M18-M11</f>
        <v>0</v>
      </c>
      <c r="N26" s="640" t="b">
        <f>'Reporte Componentes R1'!F320+'Rem. Anticipos R2'!E260+'Reporte Componentes R1'!F322+'Reversion Pagos R4'!D200+'AJUSTES - SF-T'!AD49+L18=L11</f>
        <v>1</v>
      </c>
      <c r="O26" s="708" t="b">
        <f>'Reporte Componentes R1'!M319+'Reporte Componentes R1'!M321+'Rem. Anticipos R2'!L259+'Reversion Pagos R4'!J199+'Reporte Componentes R1'!N319+'Reporte Componentes R1'!N321+'Rem. Anticipos R2'!M259+'Reversion Pagos R4'!K199+'Reporte Componentes R1'!O319+'Reporte Componentes R1'!O321+'Rem. Anticipos R2'!N259+'Reversion Pagos R4'!L199+'Reporte Componentes R1'!P319+'Reporte Componentes R1'!P321+'Rem. Anticipos R2'!O259+'Reversion Pagos R4'!M199+'Reporte Componentes R1'!Q319+'Reporte Componentes R1'!Q321+'Rem. Anticipos R2'!P259+'Reversion Pagos R4'!N199-INTERVENTORIA!I6+'Reporte Componentes R1'!R319+'Reporte Componentes R1'!V319+'Rem. Anticipos R2'!Q259+'Reporte Componentes R1'!R321+'Reporte Componentes R1'!V321+'Reversion Pagos R4'!O199+'Reporte Componentes R1'!T319+'Reporte Componentes R1'!U319+'Reporte Componentes R1'!W319+'Reporte Componentes R1'!X319+'Reporte Componentes R1'!Y319+'Reporte Componentes R1'!Z319+'Reporte Componentes R1'!S319+'Rem. Anticipos R2'!R259+'Reporte Componentes R1'!T321+'Reporte Componentes R1'!U321+'Reporte Componentes R1'!W321+'Reporte Componentes R1'!X321+'Reporte Componentes R1'!Y321+'Reporte Componentes R1'!Z321+'Reporte Componentes R1'!S321+'Reversion Pagos R4'!Q199+'Reversion Pagos R4'!R199+'AJUSTES - SF-T'!AA49+'Reporte Componentes R1'!L319+'Reporte Componentes R1'!L321+'Rem. Anticipos R2'!K259+'Reversion Pagos R4'!P199-'BCE SC POR FACT.'!F5+'Reporte Componentes R1'!F320+'Rem. Anticipos R2'!E260+'Reporte Componentes R1'!F322+'Reversion Pagos R4'!D200+'AJUSTES - SF-T'!AD49+N18=N11</f>
        <v>1</v>
      </c>
    </row>
    <row r="27" spans="2:16" x14ac:dyDescent="0.3">
      <c r="B27" s="602" t="s">
        <v>246</v>
      </c>
      <c r="C27" s="340" t="s">
        <v>13</v>
      </c>
      <c r="D27" s="640" t="b">
        <f>+'Reporte Componentes R1'!M439+'Reporte Componentes R1'!M441+'Rem. Anticipos R2'!L354+'Reversion Pagos R4'!J313+D19=D12</f>
        <v>1</v>
      </c>
      <c r="E27" s="640" t="b">
        <f>+'Reporte Componentes R1'!N439+'Reporte Componentes R1'!N441+'Rem. Anticipos R2'!M354+'Reversion Pagos R4'!K313+E19=E12</f>
        <v>1</v>
      </c>
      <c r="F27" s="640" t="b">
        <f>+'Reporte Componentes R1'!O439+'Reporte Componentes R1'!O441+'Rem. Anticipos R2'!N354+'Reversion Pagos R4'!L313+F19=F12</f>
        <v>1</v>
      </c>
      <c r="G27" s="640" t="b">
        <f>+'Reporte Componentes R1'!P439+'Reporte Componentes R1'!P441+'Rem. Anticipos R2'!O354+'Reversion Pagos R4'!M313+G19=G12</f>
        <v>1</v>
      </c>
      <c r="H27" s="640" t="b">
        <f>+'Reporte Componentes R1'!Q439+'Reporte Componentes R1'!Q441+'Rem. Anticipos R2'!P354+'Reversion Pagos R4'!N313+H19=H12</f>
        <v>1</v>
      </c>
      <c r="I27" s="694" t="b">
        <f>-INTERVENTORIA!N29+I19=I12</f>
        <v>1</v>
      </c>
      <c r="J27" s="640" t="b">
        <f>+'Reporte Componentes R1'!R439+'Reporte Componentes R1'!V439+'Rem. Anticipos R2'!Q354+'Reporte Componentes R1'!R441+'Reporte Componentes R1'!V441+'Reversion Pagos R4'!O313+'Reporte Componentes R1'!T439+'Reporte Componentes R1'!U439+'Reporte Componentes R1'!W439+'Reporte Componentes R1'!X439+'Reporte Componentes R1'!Y439+'Reporte Componentes R1'!Z439+'Reporte Componentes R1'!S439+'Rem. Anticipos R2'!R354+'Reporte Componentes R1'!T441+'Reporte Componentes R1'!U441+'Reporte Componentes R1'!W441+'Reporte Componentes R1'!X441+'Reporte Componentes R1'!Y441+'Reporte Componentes R1'!Z441+'Reporte Componentes R1'!S441+'Reversion Pagos R4'!Q313+'Reversion Pagos R4'!R313+'AJUSTES - SF-T'!AA50+J19=J12</f>
        <v>1</v>
      </c>
      <c r="K27" s="640" t="b">
        <f>+DetRetri2026101!N35</f>
        <v>1</v>
      </c>
      <c r="L27" s="640" t="b">
        <f>+'Reporte Componentes R1'!F440+'Rem. Anticipos R2'!E355+'Reporte Componentes R1'!F442+'Reversion Pagos R4'!D314+'AJUSTES - SF-T'!AD50+L19=L12</f>
        <v>1</v>
      </c>
      <c r="M27" s="640" t="b">
        <f>-'BCE SC POR FACT.'!F6+'Reporte Componentes R1'!F440+'Rem. Anticipos R2'!E355+'Reporte Componentes R1'!F442+'Reversion Pagos R4'!D314+'AJUSTES - SF-T'!AD50+M19=M12</f>
        <v>1</v>
      </c>
      <c r="N27" s="640" t="b">
        <f>'Reporte Componentes R1'!F440+'Rem. Anticipos R2'!E355+'Reporte Componentes R1'!F442+'Reversion Pagos R4'!D314+'AJUSTES - SF-T'!AD50+L19=L12</f>
        <v>1</v>
      </c>
      <c r="O27" s="708" t="b">
        <f>'Reporte Componentes R1'!M439+'Reporte Componentes R1'!M441+'Rem. Anticipos R2'!L354+'Reversion Pagos R4'!J313+'Reporte Componentes R1'!N439+'Reporte Componentes R1'!N441+'Rem. Anticipos R2'!M354+'Reversion Pagos R4'!K313+'Reporte Componentes R1'!O439+'Reporte Componentes R1'!O441+'Rem. Anticipos R2'!N354+'Reversion Pagos R4'!L313+'Reporte Componentes R1'!P439+'Reporte Componentes R1'!P441+'Rem. Anticipos R2'!O354+'Reversion Pagos R4'!M313+'Reporte Componentes R1'!Q439+'Reporte Componentes R1'!Q441+'Rem. Anticipos R2'!P354+'Reversion Pagos R4'!N313-INTERVENTORIA!I7+'Reporte Componentes R1'!R439+'Reporte Componentes R1'!V439+'Rem. Anticipos R2'!Q354+'Reporte Componentes R1'!R441+'Reporte Componentes R1'!V441+'Reversion Pagos R4'!O313+'Reporte Componentes R1'!T439+'Reporte Componentes R1'!U439+'Reporte Componentes R1'!W439+'Reporte Componentes R1'!X439+'Reporte Componentes R1'!Y439+'Reporte Componentes R1'!Z439+'Reporte Componentes R1'!S439+'Rem. Anticipos R2'!R354+'Reporte Componentes R1'!T441+'Reporte Componentes R1'!U441+'Reporte Componentes R1'!W441+'Reporte Componentes R1'!X441+'Reporte Componentes R1'!Y441+'Reporte Componentes R1'!Z441+'Reporte Componentes R1'!S441+'Reversion Pagos R4'!Q313+'Reversion Pagos R4'!R313+'AJUSTES - SF-T'!AA50+'Reporte Componentes R1'!L439+'Reporte Componentes R1'!L441+'Rem. Anticipos R2'!K354+'Reversion Pagos R4'!P313-'BCE SC POR FACT.'!F6+'Reporte Componentes R1'!F440+'Rem. Anticipos R2'!E355+'Reporte Componentes R1'!F442+'Reversion Pagos R4'!D314+'AJUSTES - SF-T'!AD50+N19=N12</f>
        <v>1</v>
      </c>
    </row>
    <row r="28" spans="2:16" x14ac:dyDescent="0.3">
      <c r="B28" s="602" t="s">
        <v>118</v>
      </c>
      <c r="C28" s="340" t="s">
        <v>14</v>
      </c>
      <c r="D28" s="640" t="b">
        <f>+'Reporte Componentes R1'!M513+'Reporte Componentes R1'!M515+'Rem. Anticipos R2'!L426+'Reversion Pagos R4'!J342+D20=D13</f>
        <v>1</v>
      </c>
      <c r="E28" s="640" t="b">
        <f>+'Reporte Componentes R1'!N513+'Reporte Componentes R1'!N515+'Rem. Anticipos R2'!M426+'Reversion Pagos R4'!K342+E20=E13</f>
        <v>1</v>
      </c>
      <c r="F28" s="640" t="b">
        <f>+'Reporte Componentes R1'!O513+'Reporte Componentes R1'!O515+'Rem. Anticipos R2'!N426+'Reversion Pagos R4'!L342+F20=F13</f>
        <v>1</v>
      </c>
      <c r="G28" s="640" t="b">
        <f>+'Reporte Componentes R1'!P513+'Reporte Componentes R1'!P515+'Rem. Anticipos R2'!O426+'Reversion Pagos R4'!M342+G20=G13</f>
        <v>1</v>
      </c>
      <c r="H28" s="640" t="b">
        <f>+'Reporte Componentes R1'!Q513+'Reporte Componentes R1'!Q515+'Rem. Anticipos R2'!P426+'Reversion Pagos R4'!N342+H20=H13</f>
        <v>1</v>
      </c>
      <c r="I28" s="694" t="b">
        <f>-INTERVENTORIA!N30+O20=I13</f>
        <v>1</v>
      </c>
      <c r="J28" s="642" t="b">
        <f>+'Reporte Componentes R1'!R513+'Reporte Componentes R1'!V513+'Rem. Anticipos R2'!Q426+'Reporte Componentes R1'!R515+'Reporte Componentes R1'!V515+'Reversion Pagos R4'!O342+'Reporte Componentes R1'!T513+'Reporte Componentes R1'!U513+'Reporte Componentes R1'!W513+'Reporte Componentes R1'!X513+'Reporte Componentes R1'!Y513+'Reporte Componentes R1'!Z513+'Reporte Componentes R1'!S513+'Rem. Anticipos R2'!R426+'Reporte Componentes R1'!T515+'Reporte Componentes R1'!U515+'Reporte Componentes R1'!W515+'Reporte Componentes R1'!X515+'Reporte Componentes R1'!Y515+'Reporte Componentes R1'!Z515+'Reporte Componentes R1'!S515+'Reversion Pagos R4'!Q342+'Reversion Pagos R4'!R342+'AJUSTES - SF-T'!AA51+J20=J13</f>
        <v>1</v>
      </c>
      <c r="K28" s="640" t="b">
        <f>+DetRetri2026101!N36</f>
        <v>1</v>
      </c>
      <c r="L28" s="640" t="b">
        <f>+'Reporte Componentes R1'!F514+'Rem. Anticipos R2'!E427+'Reporte Componentes R1'!F516+'Reversion Pagos R4'!D343+'AJUSTES - SF-T'!AD51+L20=L13</f>
        <v>1</v>
      </c>
      <c r="M28" s="640" t="b">
        <f>-'BCE SC POR FACT.'!F7+'Reporte Componentes R1'!F514+'Rem. Anticipos R2'!E427+'Reporte Componentes R1'!F516+'Reversion Pagos R4'!D343+'AJUSTES - SF-T'!AD51+M20=M13</f>
        <v>1</v>
      </c>
      <c r="N28" s="640" t="b">
        <f>'Reporte Componentes R1'!F514+'Rem. Anticipos R2'!E427+'Reporte Componentes R1'!F516+'Reversion Pagos R4'!D343+'AJUSTES - SF-T'!AD51+L20=L13</f>
        <v>1</v>
      </c>
      <c r="O28" s="640" t="b">
        <f>'Reporte Componentes R1'!M513+'Reporte Componentes R1'!M515+'Rem. Anticipos R2'!L426+'Reversion Pagos R4'!J342+'Reporte Componentes R1'!N513+'Reporte Componentes R1'!N515+'Rem. Anticipos R2'!M426+'Reversion Pagos R4'!K342+'Reporte Componentes R1'!O513+'Reporte Componentes R1'!O515+'Rem. Anticipos R2'!N426+'Reversion Pagos R4'!L342+'Reporte Componentes R1'!P513+'Reporte Componentes R1'!P515+'Rem. Anticipos R2'!O426+'Reversion Pagos R4'!M342+'Reporte Componentes R1'!Q513+'Reporte Componentes R1'!Q515+'Rem. Anticipos R2'!P426+'Reversion Pagos R4'!N342-INTERVENTORIA!I8+'Reporte Componentes R1'!R513+'Reporte Componentes R1'!V513+'Rem. Anticipos R2'!Q426+'Reporte Componentes R1'!R515+'Reporte Componentes R1'!V515+'Reversion Pagos R4'!O342+'Reporte Componentes R1'!T513+'Reporte Componentes R1'!U513+'Reporte Componentes R1'!W513+'Reporte Componentes R1'!X513+'Reporte Componentes R1'!Y513+'Reporte Componentes R1'!Z513+'Reporte Componentes R1'!S513+'Rem. Anticipos R2'!R426+'Reporte Componentes R1'!T515+'Reporte Componentes R1'!U515+'Reporte Componentes R1'!W515+'Reporte Componentes R1'!X515+'Reporte Componentes R1'!Y515+'Reporte Componentes R1'!Z515+'Reporte Componentes R1'!S515+'Reversion Pagos R4'!Q342+'Reversion Pagos R4'!R342+'AJUSTES - SF-T'!AA51+'Reporte Componentes R1'!L513+'Reporte Componentes R1'!L515+'Rem. Anticipos R2'!K426+'Reversion Pagos R4'!P342-'BCE SC POR FACT.'!F7+'Reporte Componentes R1'!F514+'Rem. Anticipos R2'!E427+'Reporte Componentes R1'!F516+'Reversion Pagos R4'!D343+'AJUSTES - SF-T'!AD51+N20=N13</f>
        <v>1</v>
      </c>
    </row>
    <row r="29" spans="2:16" x14ac:dyDescent="0.3">
      <c r="C29" s="641" t="s">
        <v>2</v>
      </c>
      <c r="D29" s="640" t="b">
        <f>'Reporte Componentes R1'!M58+'Reporte Componentes R1'!M60+'Rem. Anticipos R2'!L43+'Reversion Pagos R4'!J73+'Reporte Componentes R1'!M191+'Rem. Anticipos R2'!L146+'Reversion Pagos R4'!J168+'Reporte Componentes R1'!M193+'Reporte Componentes R1'!M319+'Reporte Componentes R1'!M321+'Rem. Anticipos R2'!L259+'Reversion Pagos R4'!J199+'Reporte Componentes R1'!M439+'Reporte Componentes R1'!M441+'Rem. Anticipos R2'!L354+'Reversion Pagos R4'!J313+'Reporte Componentes R1'!M513+'Reporte Componentes R1'!M515+'Rem. Anticipos R2'!L426+'Reversion Pagos R4'!J342+D21=D14</f>
        <v>1</v>
      </c>
      <c r="E29" s="640" t="b">
        <f>'Reporte Componentes R1'!N58+'Reporte Componentes R1'!N60+'Rem. Anticipos R2'!M43+'Reversion Pagos R4'!K73+'Reporte Componentes R1'!N191+'Rem. Anticipos R2'!M146+'Reversion Pagos R4'!K168+'Reporte Componentes R1'!N193+'Reporte Componentes R1'!N319+'Reporte Componentes R1'!N321+'Rem. Anticipos R2'!M259+'Reversion Pagos R4'!K199+'Reporte Componentes R1'!N439+'Reporte Componentes R1'!N441+'Rem. Anticipos R2'!M354+'Reversion Pagos R4'!K313+'Reporte Componentes R1'!N513+'Reporte Componentes R1'!N515+'Rem. Anticipos R2'!M426+'Reversion Pagos R4'!K342+E21=E14</f>
        <v>1</v>
      </c>
      <c r="F29" s="640" t="b">
        <f>'Reporte Componentes R1'!O58+'Reporte Componentes R1'!O60+'Rem. Anticipos R2'!N43+'Reversion Pagos R4'!L73+'Reporte Componentes R1'!O191+'Rem. Anticipos R2'!N146+'Reversion Pagos R4'!L168+'Reporte Componentes R1'!O193+'Reporte Componentes R1'!O319+'Reporte Componentes R1'!O321+'Rem. Anticipos R2'!N259+'Reversion Pagos R4'!L199+'Reporte Componentes R1'!O439+'Reporte Componentes R1'!O441+'Rem. Anticipos R2'!N354+'Reversion Pagos R4'!L313+'Reporte Componentes R1'!O513+'Reporte Componentes R1'!O515+'Rem. Anticipos R2'!N426+'Reversion Pagos R4'!L342+F21=F14</f>
        <v>1</v>
      </c>
      <c r="G29" s="640" t="b">
        <f>'Reporte Componentes R1'!P58+'Reporte Componentes R1'!P60+'Rem. Anticipos R2'!O43+'Reversion Pagos R4'!M73+'Reporte Componentes R1'!P191+'Rem. Anticipos R2'!O146+'Reversion Pagos R4'!M168+'Reporte Componentes R1'!P193+'Reporte Componentes R1'!P319+'Reporte Componentes R1'!P321+'Rem. Anticipos R2'!O259+'Reversion Pagos R4'!M199+'Reporte Componentes R1'!P439+'Reporte Componentes R1'!P441+'Rem. Anticipos R2'!O354+'Reversion Pagos R4'!M313+'Reporte Componentes R1'!P513+'Reporte Componentes R1'!P515+'Rem. Anticipos R2'!O426+'Reversion Pagos R4'!M342+G21=G14</f>
        <v>1</v>
      </c>
      <c r="H29" s="640" t="b">
        <f>'Reporte Componentes R1'!Q58+'Reporte Componentes R1'!Q60+'Rem. Anticipos R2'!P43+'Reversion Pagos R4'!N73+'Reporte Componentes R1'!Q191+'Rem. Anticipos R2'!P146+'Reversion Pagos R4'!N168+'Reporte Componentes R1'!Q193+'Reporte Componentes R1'!Q319+'Reporte Componentes R1'!Q321+'Rem. Anticipos R2'!P259+'Reversion Pagos R4'!N199+'Reporte Componentes R1'!Q439+'Reporte Componentes R1'!Q441+'Rem. Anticipos R2'!P354+'Reversion Pagos R4'!N313+'Reporte Componentes R1'!Q513+'Reporte Componentes R1'!Q515+'Rem. Anticipos R2'!P426+'Reversion Pagos R4'!N342+H21=H14</f>
        <v>1</v>
      </c>
      <c r="I29" s="694" t="b">
        <f>-INTERVENTORIA!N31+I21=I14</f>
        <v>1</v>
      </c>
      <c r="J29" s="761">
        <f>'Reporte Componentes R1'!R58+'Reporte Componentes R1'!V58+'Rem. Anticipos R2'!Q43+'Reporte Componentes R1'!R60+'Reporte Componentes R1'!V60+'Reversion Pagos R4'!O73+'Reporte Componentes R1'!T58+'Reporte Componentes R1'!U58+'Reporte Componentes R1'!W58+'Reporte Componentes R1'!X58+'Reporte Componentes R1'!Y58+'Reporte Componentes R1'!Z58+'Reporte Componentes R1'!S58+'Rem. Anticipos R2'!R43+'Reporte Componentes R1'!T60+'Reporte Componentes R1'!U60+'Reporte Componentes R1'!W60+'Reporte Componentes R1'!X60+'Reporte Componentes R1'!Y60+'Reporte Componentes R1'!Z60+'Reporte Componentes R1'!S60+'Reversion Pagos R4'!Q73+'Reversion Pagos R4'!R73+'AJUSTES - SF-T'!AA47+'Reporte Componentes R1'!R191+'Reporte Componentes R1'!V191+'Rem. Anticipos R2'!Q146+'Reporte Componentes R1'!R193+'Reporte Componentes R1'!V193+'Reversion Pagos R4'!O168+'Reporte Componentes R1'!T191+'Reporte Componentes R1'!U191+'Reporte Componentes R1'!W191+'Reporte Componentes R1'!X191+'Reporte Componentes R1'!Y191+'Reporte Componentes R1'!Z191+'Reporte Componentes R1'!S191+'Rem. Anticipos R2'!R146+'Reporte Componentes R1'!T193+'Reporte Componentes R1'!U193+'Reporte Componentes R1'!W193+'Reporte Componentes R1'!X193+'Reporte Componentes R1'!Y193+'Reporte Componentes R1'!Z193+'Reporte Componentes R1'!S193+'Reversion Pagos R4'!Q168+'Reversion Pagos R4'!R168+'AJUSTES - SF-T'!AA48+'Reporte Componentes R1'!R319+'Reporte Componentes R1'!V319+'Rem. Anticipos R2'!Q259+'Reporte Componentes R1'!R321+'Reporte Componentes R1'!V321+'Reversion Pagos R4'!O199+'Reporte Componentes R1'!T319+'Reporte Componentes R1'!U319+'Reporte Componentes R1'!W319+'Reporte Componentes R1'!X319+'Reporte Componentes R1'!Y319+'Reporte Componentes R1'!Z319+'Reporte Componentes R1'!S319+'Rem. Anticipos R2'!R259+'Reporte Componentes R1'!T321+'Reporte Componentes R1'!U321+'Reporte Componentes R1'!W321+'Reporte Componentes R1'!X321+'Reporte Componentes R1'!Y321+'Reporte Componentes R1'!Z321+'Reporte Componentes R1'!S321+'Reversion Pagos R4'!Q199+'Reversion Pagos R4'!R199+'AJUSTES - SF-T'!AA49+'Reporte Componentes R1'!R439+'Reporte Componentes R1'!V439+'Rem. Anticipos R2'!Q354+'Reporte Componentes R1'!R441+'Reporte Componentes R1'!V441+'Reversion Pagos R4'!O313+'Reporte Componentes R1'!T439+'Reporte Componentes R1'!U439+'Reporte Componentes R1'!W439+'Reporte Componentes R1'!X439+'Reporte Componentes R1'!Y439+'Reporte Componentes R1'!Z439+'Reporte Componentes R1'!S439+'Rem. Anticipos R2'!R354+'Reporte Componentes R1'!T441+'Reporte Componentes R1'!U441+'Reporte Componentes R1'!W441+'Reporte Componentes R1'!X441+'Reporte Componentes R1'!Y441+'Reporte Componentes R1'!Z441+'Reporte Componentes R1'!S441+'Reversion Pagos R4'!Q313+'Reversion Pagos R4'!R313+'AJUSTES - SF-T'!AA50+'Reporte Componentes R1'!R513+'Reporte Componentes R1'!V513+'Rem. Anticipos R2'!Q426+'Reporte Componentes R1'!R515+'Reporte Componentes R1'!V515+'Reversion Pagos R4'!O342+'Reporte Componentes R1'!T513+'Reporte Componentes R1'!U513+'Reporte Componentes R1'!W513+'Reporte Componentes R1'!X513+'Reporte Componentes R1'!Y513+'Reporte Componentes R1'!Z513+'Reporte Componentes R1'!S513+'Rem. Anticipos R2'!R426+'Reporte Componentes R1'!T515+'Reporte Componentes R1'!U515+'Reporte Componentes R1'!W515+'Reporte Componentes R1'!X515+'Reporte Componentes R1'!Y515+'Reporte Componentes R1'!Z515+'Reporte Componentes R1'!S515+'Reversion Pagos R4'!Q342+'Reversion Pagos R4'!R342+'AJUSTES - SF-T'!AA51+J21-J14</f>
        <v>0</v>
      </c>
      <c r="K29" s="640" t="b">
        <f>'Reporte Componentes R1'!L58+'Rem. Anticipos R2'!K43+'Reversion Pagos R4'!P73+'Reporte Componentes R1'!L60+'Reporte Componentes R1'!L191+'Rem. Anticipos R2'!K146+'Reversion Pagos R4'!P168+'Reporte Componentes R1'!L193+'Reporte Componentes R1'!L319+'Reporte Componentes R1'!L321+'Rem. Anticipos R2'!K259+'Reversion Pagos R4'!P199+'Reporte Componentes R1'!L439+'Reporte Componentes R1'!L441+'Rem. Anticipos R2'!K354+'Reversion Pagos R4'!P313+'Reporte Componentes R1'!L513+'Reporte Componentes R1'!L515+'Rem. Anticipos R2'!K426+'Reversion Pagos R4'!P342+K21=K14</f>
        <v>1</v>
      </c>
      <c r="L29" s="707" t="b">
        <f>'Reporte Componentes R1'!F59+'Rem. Anticipos R2'!E44+'Reporte Componentes R1'!F61+'Reversion Pagos R4'!D74+'AJUSTES - SF-T'!AD47+'Reporte Componentes R1'!F192+'Rem. Anticipos R2'!E147+'Reporte Componentes R1'!F194+'Reversion Pagos R4'!D169+'AJUSTES - SF-T'!AD48+'Reporte Componentes R1'!F320+'Rem. Anticipos R2'!E260+'Reporte Componentes R1'!F322+'Reversion Pagos R4'!D200+'AJUSTES - SF-T'!AD49+'Reporte Componentes R1'!F440+'Rem. Anticipos R2'!E355+'Reporte Componentes R1'!F442+'Reversion Pagos R4'!D314+'AJUSTES - SF-T'!AD50+'Reporte Componentes R1'!F514+'Rem. Anticipos R2'!E427+'Reporte Componentes R1'!F516+'Reversion Pagos R4'!D343+'AJUSTES - SF-T'!AD51+L21=L14</f>
        <v>1</v>
      </c>
      <c r="M29" s="640" t="b">
        <f>-'BCE SC POR FACT.'!F3+'Reporte Componentes R1'!F59+'Rem. Anticipos R2'!E44+'Reporte Componentes R1'!F61+'Reversion Pagos R4'!D74+'AJUSTES - SF-T'!AD47-'BCE SC POR FACT.'!F4+'Reporte Componentes R1'!F192+'Rem. Anticipos R2'!E147+'Reporte Componentes R1'!F194+'Reversion Pagos R4'!D169+'AJUSTES - SF-T'!AD48-'BCE SC POR FACT.'!F5+'Reporte Componentes R1'!F320+'Rem. Anticipos R2'!E260+'Reporte Componentes R1'!F322+'Reversion Pagos R4'!D200+'AJUSTES - SF-T'!AD49-'BCE SC POR FACT.'!F6+'Reporte Componentes R1'!F440+'Rem. Anticipos R2'!E355+'Reporte Componentes R1'!F442+'Reversion Pagos R4'!D314+'AJUSTES - SF-T'!AD50-'BCE SC POR FACT.'!F7+'Reporte Componentes R1'!F514+'Rem. Anticipos R2'!E427+'Reporte Componentes R1'!F516+'Reversion Pagos R4'!D343+'AJUSTES - SF-T'!AD51+M21=M14</f>
        <v>1</v>
      </c>
      <c r="N29" s="640" t="b">
        <f>'Reporte Componentes R1'!F59+'Rem. Anticipos R2'!E44+'Reporte Componentes R1'!F61+'Reversion Pagos R4'!D74+'AJUSTES - SF-T'!AD47+'Reporte Componentes R1'!F192+'Rem. Anticipos R2'!E147+'Reporte Componentes R1'!F194+'Reversion Pagos R4'!D169+'AJUSTES - SF-T'!AD48+'Reporte Componentes R1'!F320+'Rem. Anticipos R2'!E260+'Reporte Componentes R1'!F322+'Reversion Pagos R4'!D200+'AJUSTES - SF-T'!AD49+'Reporte Componentes R1'!F440+'Rem. Anticipos R2'!E355+'Reporte Componentes R1'!F442+'Reversion Pagos R4'!D314+'AJUSTES - SF-T'!AD50+'Reporte Componentes R1'!F514+'Rem. Anticipos R2'!E427+'Reporte Componentes R1'!F516+'Reversion Pagos R4'!D343+'AJUSTES - SF-T'!AD51+L21=L14</f>
        <v>1</v>
      </c>
      <c r="O29" s="640" t="b">
        <f>'Reporte Componentes R1'!M58+'Reporte Componentes R1'!M60+'Rem. Anticipos R2'!L43+'Reversion Pagos R4'!J73+'Reporte Componentes R1'!N58+'Reporte Componentes R1'!N60+'Rem. Anticipos R2'!M43+'Reversion Pagos R4'!K73+'Reporte Componentes R1'!O58+'Reporte Componentes R1'!O60+'Rem. Anticipos R2'!N43+'Reversion Pagos R4'!L73+'Reporte Componentes R1'!P58+'Reporte Componentes R1'!P60+'Rem. Anticipos R2'!O43+'Reversion Pagos R4'!M73+'Reporte Componentes R1'!Q58+'Reporte Componentes R1'!Q60+'Rem. Anticipos R2'!P43+'Reversion Pagos R4'!N73-INTERVENTORIA!K15+'Reporte Componentes R1'!R58+'Reporte Componentes R1'!V58+'Rem. Anticipos R2'!Q43+'Reporte Componentes R1'!R60+'Reporte Componentes R1'!V60+'Reversion Pagos R4'!O73+'Reporte Componentes R1'!T58+'Reporte Componentes R1'!U58+'Reporte Componentes R1'!W58+'Reporte Componentes R1'!X58+'Reporte Componentes R1'!Y58+'Reporte Componentes R1'!Z58+'Reporte Componentes R1'!S58+'Rem. Anticipos R2'!R43+'Reporte Componentes R1'!T60+'Reporte Componentes R1'!U60+'Reporte Componentes R1'!W60+'Reporte Componentes R1'!X60+'Reporte Componentes R1'!Y60+'Reporte Componentes R1'!Z60+'Reporte Componentes R1'!S60+'Reversion Pagos R4'!Q73+'Reversion Pagos R4'!R73+'AJUSTES - SF-T'!AA47+'Reporte Componentes R1'!L58+'Rem. Anticipos R2'!K43+'Reversion Pagos R4'!P73+'Reporte Componentes R1'!L60-'BCE SC POR FACT.'!F3+'Reporte Componentes R1'!F59+'Rem. Anticipos R2'!E44+'Reporte Componentes R1'!F61+'Reversion Pagos R4'!D74+'AJUSTES - SF-T'!AD47+'Reporte Componentes R1'!M191+'Rem. Anticipos R2'!L146+'Reversion Pagos R4'!J168+'Reporte Componentes R1'!M193+'Reporte Componentes R1'!N191+'Rem. Anticipos R2'!M146+'Reversion Pagos R4'!K168+'Reporte Componentes R1'!N193+'Reporte Componentes R1'!O191+'Rem. Anticipos R2'!N146+'Reversion Pagos R4'!L168+'Reporte Componentes R1'!O193+'Reporte Componentes R1'!P191+'Rem. Anticipos R2'!O146+'Reversion Pagos R4'!M168+'Reporte Componentes R1'!P193+'Reporte Componentes R1'!Q191+'Rem. Anticipos R2'!P146+'Reversion Pagos R4'!N168+'Reporte Componentes R1'!Q193-INTERVENTORIA!K16+'Reporte Componentes R1'!R191+'Reporte Componentes R1'!V191+'Rem. Anticipos R2'!Q146+'Reporte Componentes R1'!R193+'Reporte Componentes R1'!V193+'Reversion Pagos R4'!O168+'Reporte Componentes R1'!T191+'Reporte Componentes R1'!U191+'Reporte Componentes R1'!W191+'Reporte Componentes R1'!X191+'Reporte Componentes R1'!Y191+'Reporte Componentes R1'!Z191+'Reporte Componentes R1'!S191+'Rem. Anticipos R2'!R146+'Reporte Componentes R1'!T193+'Reporte Componentes R1'!U193+'Reporte Componentes R1'!W193+'Reporte Componentes R1'!X193+'Reporte Componentes R1'!Y193+'Reporte Componentes R1'!Z193+'Reporte Componentes R1'!S193+'Reversion Pagos R4'!Q168+'Reversion Pagos R4'!R168+'AJUSTES - SF-T'!AA48+'Reporte Componentes R1'!L191+'Rem. Anticipos R2'!K146+'Reversion Pagos R4'!P168+'Reporte Componentes R1'!L193-'BCE SC POR FACT.'!F4+'Reporte Componentes R1'!F192+'Rem. Anticipos R2'!E147+'Reporte Componentes R1'!F194+'Reversion Pagos R4'!D169+'AJUSTES - SF-T'!AD48+'Reporte Componentes R1'!M319+'Reporte Componentes R1'!M321+'Rem. Anticipos R2'!L259+'Reversion Pagos R4'!J199+'Reporte Componentes R1'!N319+'Reporte Componentes R1'!N321+'Rem. Anticipos R2'!M259+'Reversion Pagos R4'!K199+'Reporte Componentes R1'!O319+'Reporte Componentes R1'!O321+'Rem. Anticipos R2'!N259+'Reversion Pagos R4'!L199+'Reporte Componentes R1'!P319+'Reporte Componentes R1'!P321+'Rem. Anticipos R2'!O259+'Reversion Pagos R4'!M199+'Reporte Componentes R1'!Q319+'Reporte Componentes R1'!Q321+'Rem. Anticipos R2'!P259+'Reversion Pagos R4'!N199-INTERVENTORIA!K17+'Reporte Componentes R1'!R319+'Reporte Componentes R1'!V319+'Rem. Anticipos R2'!Q259+'Reporte Componentes R1'!R321+'Reporte Componentes R1'!V321+'Reversion Pagos R4'!O199+'Reporte Componentes R1'!T319+'Reporte Componentes R1'!U319+'Reporte Componentes R1'!W319+'Reporte Componentes R1'!X319+'Reporte Componentes R1'!Y319+'Reporte Componentes R1'!Z319+'Reporte Componentes R1'!S319+'Rem. Anticipos R2'!R259+'Reporte Componentes R1'!T321+'Reporte Componentes R1'!U321+'Reporte Componentes R1'!W321+'Reporte Componentes R1'!X321+'Reporte Componentes R1'!Y321+'Reporte Componentes R1'!Z321+'Reporte Componentes R1'!S321+'Reversion Pagos R4'!Q199+'Reversion Pagos R4'!R199+'AJUSTES - SF-T'!AA49+'Reporte Componentes R1'!L319+'Reporte Componentes R1'!L321+'Rem. Anticipos R2'!K259+'Reversion Pagos R4'!P199-'BCE SC POR FACT.'!F5+'Reporte Componentes R1'!F320+'Rem. Anticipos R2'!E260+'Reporte Componentes R1'!F322+'Reversion Pagos R4'!D200+'AJUSTES - SF-T'!AD49+'Reporte Componentes R1'!M439+'Reporte Componentes R1'!M441+'Rem. Anticipos R2'!L354+'Reversion Pagos R4'!J313+'Reporte Componentes R1'!N439+'Reporte Componentes R1'!N441+'Rem. Anticipos R2'!M354+'Reversion Pagos R4'!K313+'Reporte Componentes R1'!O439+'Reporte Componentes R1'!O441+'Rem. Anticipos R2'!N354+'Reversion Pagos R4'!L313+'Reporte Componentes R1'!P439+'Reporte Componentes R1'!P441+'Rem. Anticipos R2'!O354+'Reversion Pagos R4'!M313+'Reporte Componentes R1'!Q439+'Reporte Componentes R1'!Q441+'Rem. Anticipos R2'!P354+'Reversion Pagos R4'!N313-INTERVENTORIA!K18+'Reporte Componentes R1'!R439+'Reporte Componentes R1'!V439+'Rem. Anticipos R2'!Q354+'Reporte Componentes R1'!R441+'Reporte Componentes R1'!V441+'Reversion Pagos R4'!O313+'Reporte Componentes R1'!T439+'Reporte Componentes R1'!U439+'Reporte Componentes R1'!W439+'Reporte Componentes R1'!X439+'Reporte Componentes R1'!Y439+'Reporte Componentes R1'!Z439+'Reporte Componentes R1'!S439+'Rem. Anticipos R2'!R354+'Reporte Componentes R1'!T441+'Reporte Componentes R1'!U441+'Reporte Componentes R1'!W441+'Reporte Componentes R1'!X441+'Reporte Componentes R1'!Y441+'Reporte Componentes R1'!Z441+'Reporte Componentes R1'!S441+'Reversion Pagos R4'!Q313+'Reversion Pagos R4'!R313+'AJUSTES - SF-T'!AA50+'Reporte Componentes R1'!L439+'Reporte Componentes R1'!L441+'Rem. Anticipos R2'!K354+'Reversion Pagos R4'!P313-'BCE SC POR FACT.'!F6+'Reporte Componentes R1'!F440+'Rem. Anticipos R2'!E355+'Reporte Componentes R1'!F442+'Reversion Pagos R4'!D314+'AJUSTES - SF-T'!AD50+'Reporte Componentes R1'!M513+'Reporte Componentes R1'!M515+'Rem. Anticipos R2'!L426+'Reversion Pagos R4'!J342+'Reporte Componentes R1'!N513+'Reporte Componentes R1'!N515+'Rem. Anticipos R2'!M426+'Reversion Pagos R4'!K342+'Reporte Componentes R1'!O513+'Reporte Componentes R1'!O515+'Rem. Anticipos R2'!N426+'Reversion Pagos R4'!L342+'Reporte Componentes R1'!P513+'Reporte Componentes R1'!P515+'Rem. Anticipos R2'!O426+'Reversion Pagos R4'!M342+'Reporte Componentes R1'!Q513+'Reporte Componentes R1'!Q515+'Rem. Anticipos R2'!P426+'Reversion Pagos R4'!N342-INTERVENTORIA!Q19+'Reporte Componentes R1'!R513+'Reporte Componentes R1'!V513+'Rem. Anticipos R2'!Q426+'Reporte Componentes R1'!R515+'Reporte Componentes R1'!V515+'Reversion Pagos R4'!O342+'Reporte Componentes R1'!T513+'Reporte Componentes R1'!U513+'Reporte Componentes R1'!W513+'Reporte Componentes R1'!X513+'Reporte Componentes R1'!Y513+'Reporte Componentes R1'!Z513+'Reporte Componentes R1'!S513+'Rem. Anticipos R2'!R426+'Reporte Componentes R1'!T515+'Reporte Componentes R1'!U515+'Reporte Componentes R1'!W515+'Reporte Componentes R1'!X515+'Reporte Componentes R1'!Y515+'Reporte Componentes R1'!Z515+'Reporte Componentes R1'!S515+'Reversion Pagos R4'!Q342+'Reversion Pagos R4'!R342+'AJUSTES - SF-T'!AA51+'Reporte Componentes R1'!L513+'Reporte Componentes R1'!L515+'Rem. Anticipos R2'!K426+'Reversion Pagos R4'!P342-'BCE SC POR FACT.'!F7+'Reporte Componentes R1'!F514+'Rem. Anticipos R2'!E427+'Reporte Componentes R1'!F516+'Reversion Pagos R4'!D343+'AJUSTES - SF-T'!AD51+N21=N14</f>
        <v>1</v>
      </c>
    </row>
    <row r="30" spans="2:16" x14ac:dyDescent="0.3">
      <c r="M30" s="647"/>
    </row>
    <row r="31" spans="2:16" x14ac:dyDescent="0.3">
      <c r="I31" s="693"/>
      <c r="J31" s="695"/>
    </row>
    <row r="32" spans="2:16" x14ac:dyDescent="0.3">
      <c r="J32" s="696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3" zoomScaleNormal="100" workbookViewId="0">
      <selection activeCell="A114" sqref="A11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3.77734375" style="1" bestFit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3" t="s">
        <v>121</v>
      </c>
      <c r="G6" s="473"/>
      <c r="H6" s="474"/>
      <c r="I6" s="475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0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105</v>
      </c>
      <c r="AE8" s="121" t="s">
        <v>104</v>
      </c>
      <c r="AF8" s="39" t="s">
        <v>23</v>
      </c>
      <c r="AG8" s="275"/>
      <c r="AI8" s="4"/>
    </row>
    <row r="9" spans="2:39" s="307" customFormat="1" ht="12" x14ac:dyDescent="0.25">
      <c r="B9" s="305">
        <v>1</v>
      </c>
      <c r="C9" s="306" t="s">
        <v>10</v>
      </c>
      <c r="D9" s="293">
        <f>'CONSOLIDADO_TOTAL RECAUDO'!D104</f>
        <v>14842425135.769999</v>
      </c>
      <c r="E9" s="294">
        <f>'CONSOLIDADO_TOTAL RECAUDO'!E104</f>
        <v>843638119.16000009</v>
      </c>
      <c r="F9" s="294">
        <f>'CONSOLIDADO_TOTAL RECAUDO'!F104</f>
        <v>469921887.31999999</v>
      </c>
      <c r="G9" s="294">
        <f>'CONSOLIDADO_TOTAL RECAUDO'!G104</f>
        <v>250044376.16</v>
      </c>
      <c r="H9" s="294">
        <f>'CONSOLIDADO_TOTAL RECAUDO'!H104</f>
        <v>4762998618.5900011</v>
      </c>
      <c r="I9" s="294">
        <f>'CONSOLIDADO_TOTAL RECAUDO'!I104</f>
        <v>158724902</v>
      </c>
      <c r="J9" s="290">
        <f>'CONSOLIDADO_TOTAL RECAUDO'!J104</f>
        <v>2153950828.1600003</v>
      </c>
      <c r="K9" s="295">
        <f>'CONSOLIDADO_TOTAL RECAUDO'!K104</f>
        <v>6203146404.3799973</v>
      </c>
      <c r="L9" s="296">
        <f>'CONSOLIDADO_TOTAL RECAUDO'!L104</f>
        <v>189185987</v>
      </c>
      <c r="M9" s="295">
        <f>'CONSOLIDADO_TOTAL RECAUDO'!M104</f>
        <v>6013960417.3799973</v>
      </c>
      <c r="N9" s="296">
        <f>'CONSOLIDADO_TOTAL RECAUDO'!N104</f>
        <v>19931693.030000001</v>
      </c>
      <c r="O9" s="295">
        <f>'CONSOLIDADO_TOTAL RECAUDO'!O104</f>
        <v>6033892110.409997</v>
      </c>
      <c r="Q9" s="308"/>
      <c r="S9" s="305">
        <v>1</v>
      </c>
      <c r="T9" s="306" t="s">
        <v>10</v>
      </c>
      <c r="U9" s="309">
        <f>'CONSOLIDADO_TOTAL RECAUDO'!U104</f>
        <v>1394522647.0799999</v>
      </c>
      <c r="V9" s="310">
        <f>'CONSOLIDADO_TOTAL RECAUDO'!V104</f>
        <v>1317649645.4300003</v>
      </c>
      <c r="W9" s="310">
        <f>'CONSOLIDADO_TOTAL RECAUDO'!W104</f>
        <v>6280056756.3500004</v>
      </c>
      <c r="X9" s="310">
        <f>'CONSOLIDADO_TOTAL RECAUDO'!X104</f>
        <v>2296152255.4400001</v>
      </c>
      <c r="Y9" s="311">
        <f>'CONSOLIDADO_TOTAL RECAUDO'!Y104</f>
        <v>259093051.75000003</v>
      </c>
      <c r="Z9" s="312">
        <f>'CONSOLIDADO_TOTAL RECAUDO'!Z104</f>
        <v>-189185987</v>
      </c>
      <c r="AA9" s="313">
        <f>'CONSOLIDADO_TOTAL RECAUDO'!AA104</f>
        <v>-27550.81</v>
      </c>
      <c r="AB9" s="296">
        <f>'CONSOLIDADO_TOTAL RECAUDO'!AB104</f>
        <v>19931693.030000001</v>
      </c>
      <c r="AC9" s="313">
        <f>'CONSOLIDADO_TOTAL RECAUDO'!AC104</f>
        <v>149.13</v>
      </c>
      <c r="AD9" s="293">
        <f>'CONSOLIDADO_TOTAL RECAUDO'!AD104</f>
        <v>-5344300549.9900007</v>
      </c>
      <c r="AE9" s="293">
        <f>'CONSOLIDADO_TOTAL RECAUDO'!AE104</f>
        <v>-3190349721.8300004</v>
      </c>
      <c r="AF9" s="315">
        <f>'CONSOLIDADO_TOTAL RECAUDO'!AF104</f>
        <v>6033892110.4100008</v>
      </c>
      <c r="AG9" s="523">
        <f>'CONSOLIDADO_TOTAL RECAUDO'!AG104</f>
        <v>0</v>
      </c>
      <c r="AH9" s="1" t="s">
        <v>1</v>
      </c>
      <c r="AI9" s="308"/>
      <c r="AM9" s="335"/>
    </row>
    <row r="10" spans="2:39" s="307" customFormat="1" ht="12" x14ac:dyDescent="0.25">
      <c r="B10" s="316">
        <v>2</v>
      </c>
      <c r="C10" s="317" t="s">
        <v>11</v>
      </c>
      <c r="D10" s="293">
        <f>'CONSOLIDADO_TOTAL RECAUDO'!D105</f>
        <v>11302637604.959999</v>
      </c>
      <c r="E10" s="294">
        <f>'CONSOLIDADO_TOTAL RECAUDO'!E105</f>
        <v>879527684.89999998</v>
      </c>
      <c r="F10" s="294">
        <f>'CONSOLIDADO_TOTAL RECAUDO'!F105</f>
        <v>487125788.97000003</v>
      </c>
      <c r="G10" s="294">
        <f>'CONSOLIDADO_TOTAL RECAUDO'!G105</f>
        <v>257816032.50999999</v>
      </c>
      <c r="H10" s="294">
        <f>'CONSOLIDADO_TOTAL RECAUDO'!H105</f>
        <v>3596029847.4699998</v>
      </c>
      <c r="I10" s="294">
        <f>'CONSOLIDADO_TOTAL RECAUDO'!I105</f>
        <v>127396248.11999999</v>
      </c>
      <c r="J10" s="290">
        <f>'CONSOLIDADO_TOTAL RECAUDO'!J105</f>
        <v>-4217145526.9099998</v>
      </c>
      <c r="K10" s="297">
        <f>'CONSOLIDADO_TOTAL RECAUDO'!K105</f>
        <v>10171887529.900002</v>
      </c>
      <c r="L10" s="296">
        <f>'CONSOLIDADO_TOTAL RECAUDO'!L105</f>
        <v>266580255</v>
      </c>
      <c r="M10" s="297">
        <f>'CONSOLIDADO_TOTAL RECAUDO'!M105</f>
        <v>9905307274.9000015</v>
      </c>
      <c r="N10" s="296">
        <f>'CONSOLIDADO_TOTAL RECAUDO'!N105</f>
        <v>9905072.7599999998</v>
      </c>
      <c r="O10" s="297">
        <f>'CONSOLIDADO_TOTAL RECAUDO'!O105</f>
        <v>9915212347.6600018</v>
      </c>
      <c r="Q10" s="308"/>
      <c r="S10" s="316">
        <v>2</v>
      </c>
      <c r="T10" s="317" t="s">
        <v>11</v>
      </c>
      <c r="U10" s="318">
        <f>'CONSOLIDADO_TOTAL RECAUDO'!U105</f>
        <v>1119047468.5400002</v>
      </c>
      <c r="V10" s="319">
        <f>'CONSOLIDADO_TOTAL RECAUDO'!V105</f>
        <v>1074203306.97</v>
      </c>
      <c r="W10" s="319">
        <f>'CONSOLIDADO_TOTAL RECAUDO'!W105</f>
        <v>5100967940.6500006</v>
      </c>
      <c r="X10" s="319">
        <f>'CONSOLIDADO_TOTAL RECAUDO'!X105</f>
        <v>1726639219.6300001</v>
      </c>
      <c r="Y10" s="320">
        <f>'CONSOLIDADO_TOTAL RECAUDO'!Y105</f>
        <v>207852475.12</v>
      </c>
      <c r="Z10" s="321">
        <f>'CONSOLIDADO_TOTAL RECAUDO'!Z105</f>
        <v>-266580255</v>
      </c>
      <c r="AA10" s="322">
        <f>'CONSOLIDADO_TOTAL RECAUDO'!AA105</f>
        <v>-14301.8</v>
      </c>
      <c r="AB10" s="296">
        <f>'CONSOLIDADO_TOTAL RECAUDO'!AB105</f>
        <v>9905072.7599999998</v>
      </c>
      <c r="AC10" s="322">
        <f>'CONSOLIDADO_TOTAL RECAUDO'!AC105</f>
        <v>6703041.3899999997</v>
      </c>
      <c r="AD10" s="293">
        <f>'CONSOLIDADO_TOTAL RECAUDO'!AD105</f>
        <v>936488379.4000001</v>
      </c>
      <c r="AE10" s="293">
        <f>'CONSOLIDADO_TOTAL RECAUDO'!AE105</f>
        <v>-3280657147.5099998</v>
      </c>
      <c r="AF10" s="324">
        <f>'CONSOLIDADO_TOTAL RECAUDO'!AF105</f>
        <v>9915212347.6600018</v>
      </c>
      <c r="AG10" s="524">
        <f>'CONSOLIDADO_TOTAL RECAUDO'!AG105</f>
        <v>0</v>
      </c>
      <c r="AH10" s="1" t="s">
        <v>1</v>
      </c>
      <c r="AI10" s="308"/>
      <c r="AM10" s="335"/>
    </row>
    <row r="11" spans="2:39" s="307" customFormat="1" ht="12" x14ac:dyDescent="0.25">
      <c r="B11" s="316">
        <v>3</v>
      </c>
      <c r="C11" s="317" t="s">
        <v>12</v>
      </c>
      <c r="D11" s="293">
        <f>'CONSOLIDADO_TOTAL RECAUDO'!D106</f>
        <v>8823787300.3700008</v>
      </c>
      <c r="E11" s="294">
        <f>'CONSOLIDADO_TOTAL RECAUDO'!E106</f>
        <v>569975770.48000002</v>
      </c>
      <c r="F11" s="294">
        <f>'CONSOLIDADO_TOTAL RECAUDO'!F106</f>
        <v>317801772.61000001</v>
      </c>
      <c r="G11" s="294">
        <f>'CONSOLIDADO_TOTAL RECAUDO'!G106</f>
        <v>168886539.52000001</v>
      </c>
      <c r="H11" s="294">
        <f>'CONSOLIDADO_TOTAL RECAUDO'!H106</f>
        <v>2431581352.7200003</v>
      </c>
      <c r="I11" s="294">
        <f>'CONSOLIDADO_TOTAL RECAUDO'!I106</f>
        <v>87065864.260000005</v>
      </c>
      <c r="J11" s="290">
        <f>'CONSOLIDADO_TOTAL RECAUDO'!J106</f>
        <v>-1288806337.0900002</v>
      </c>
      <c r="K11" s="297">
        <f>'CONSOLIDADO_TOTAL RECAUDO'!K106</f>
        <v>6537282337.8700008</v>
      </c>
      <c r="L11" s="296">
        <f>'CONSOLIDADO_TOTAL RECAUDO'!L106</f>
        <v>154788535</v>
      </c>
      <c r="M11" s="297">
        <f>'CONSOLIDADO_TOTAL RECAUDO'!M106</f>
        <v>6382493802.8700008</v>
      </c>
      <c r="N11" s="296">
        <f>'CONSOLIDADO_TOTAL RECAUDO'!N106</f>
        <v>19321799.949999999</v>
      </c>
      <c r="O11" s="297">
        <f>'CONSOLIDADO_TOTAL RECAUDO'!O106</f>
        <v>6401815602.8200006</v>
      </c>
      <c r="Q11" s="308"/>
      <c r="S11" s="316">
        <v>3</v>
      </c>
      <c r="T11" s="317" t="s">
        <v>12</v>
      </c>
      <c r="U11" s="318">
        <f>'CONSOLIDADO_TOTAL RECAUDO'!U106</f>
        <v>764924627.74000001</v>
      </c>
      <c r="V11" s="319">
        <f>'CONSOLIDADO_TOTAL RECAUDO'!V106</f>
        <v>725933197.63</v>
      </c>
      <c r="W11" s="319">
        <f>'CONSOLIDADO_TOTAL RECAUDO'!W106</f>
        <v>3451348638.7399998</v>
      </c>
      <c r="X11" s="319">
        <f>'CONSOLIDADO_TOTAL RECAUDO'!X106</f>
        <v>1350181167.0999999</v>
      </c>
      <c r="Y11" s="320">
        <f>'CONSOLIDADO_TOTAL RECAUDO'!Y106</f>
        <v>142145147.17000002</v>
      </c>
      <c r="Z11" s="321">
        <f>'CONSOLIDADO_TOTAL RECAUDO'!Z106</f>
        <v>-154788535</v>
      </c>
      <c r="AA11" s="322">
        <f>'CONSOLIDADO_TOTAL RECAUDO'!AA106</f>
        <v>-79474.34</v>
      </c>
      <c r="AB11" s="296">
        <f>'CONSOLIDADO_TOTAL RECAUDO'!AB106</f>
        <v>19321799.949999999</v>
      </c>
      <c r="AC11" s="322">
        <f>'CONSOLIDADO_TOTAL RECAUDO'!AC106</f>
        <v>-41619.9</v>
      </c>
      <c r="AD11" s="293">
        <f>'CONSOLIDADO_TOTAL RECAUDO'!AD106</f>
        <v>102870653.73000026</v>
      </c>
      <c r="AE11" s="293">
        <f>'CONSOLIDADO_TOTAL RECAUDO'!AE106</f>
        <v>-1185935683.3599999</v>
      </c>
      <c r="AF11" s="324">
        <f>'CONSOLIDADO_TOTAL RECAUDO'!AF106</f>
        <v>6401815602.8199997</v>
      </c>
      <c r="AG11" s="524">
        <f>'CONSOLIDADO_TOTAL RECAUDO'!AG106</f>
        <v>0</v>
      </c>
      <c r="AH11" s="1" t="s">
        <v>1</v>
      </c>
      <c r="AI11" s="308"/>
      <c r="AM11" s="335"/>
    </row>
    <row r="12" spans="2:39" s="307" customFormat="1" ht="12" x14ac:dyDescent="0.25">
      <c r="B12" s="316">
        <v>4</v>
      </c>
      <c r="C12" s="317" t="s">
        <v>13</v>
      </c>
      <c r="D12" s="293">
        <f>'CONSOLIDADO_TOTAL RECAUDO'!D107</f>
        <v>10483172762.089998</v>
      </c>
      <c r="E12" s="294">
        <f>'CONSOLIDADO_TOTAL RECAUDO'!E107</f>
        <v>605184325.43999994</v>
      </c>
      <c r="F12" s="294">
        <f>'CONSOLIDADO_TOTAL RECAUDO'!F107</f>
        <v>335542369.42999995</v>
      </c>
      <c r="G12" s="294">
        <f>'CONSOLIDADO_TOTAL RECAUDO'!G107</f>
        <v>178851000.16000003</v>
      </c>
      <c r="H12" s="294">
        <f>'CONSOLIDADO_TOTAL RECAUDO'!H107</f>
        <v>2396955034.98</v>
      </c>
      <c r="I12" s="294">
        <f>'CONSOLIDADO_TOTAL RECAUDO'!I107</f>
        <v>89656583.200000003</v>
      </c>
      <c r="J12" s="290">
        <f>'CONSOLIDADO_TOTAL RECAUDO'!J107</f>
        <v>61531953.689999998</v>
      </c>
      <c r="K12" s="297">
        <f>'CONSOLIDADO_TOTAL RECAUDO'!K107</f>
        <v>6815451495.1899986</v>
      </c>
      <c r="L12" s="296">
        <f>'CONSOLIDADO_TOTAL RECAUDO'!L107</f>
        <v>120391083</v>
      </c>
      <c r="M12" s="297">
        <f>'CONSOLIDADO_TOTAL RECAUDO'!M107</f>
        <v>6695060412.1899986</v>
      </c>
      <c r="N12" s="296">
        <f>'CONSOLIDADO_TOTAL RECAUDO'!N107</f>
        <v>8643135.5800000001</v>
      </c>
      <c r="O12" s="297">
        <f>'CONSOLIDADO_TOTAL RECAUDO'!O107</f>
        <v>6703703547.7699986</v>
      </c>
      <c r="Q12" s="308"/>
      <c r="S12" s="316">
        <v>4</v>
      </c>
      <c r="T12" s="317" t="s">
        <v>13</v>
      </c>
      <c r="U12" s="318">
        <f>'CONSOLIDADO_TOTAL RECAUDO'!U107</f>
        <v>786078524.97000003</v>
      </c>
      <c r="V12" s="319">
        <f>'CONSOLIDADO_TOTAL RECAUDO'!V107</f>
        <v>750287945.0200001</v>
      </c>
      <c r="W12" s="319">
        <f>'CONSOLIDADO_TOTAL RECAUDO'!W107</f>
        <v>3882318283.6399999</v>
      </c>
      <c r="X12" s="319">
        <f>'CONSOLIDADO_TOTAL RECAUDO'!X107</f>
        <v>1602219713.7400002</v>
      </c>
      <c r="Y12" s="320">
        <f>'CONSOLIDADO_TOTAL RECAUDO'!Y107</f>
        <v>146500614.73000002</v>
      </c>
      <c r="Z12" s="321">
        <f>'CONSOLIDADO_TOTAL RECAUDO'!Z107</f>
        <v>-120391083</v>
      </c>
      <c r="AA12" s="322">
        <f>'CONSOLIDADO_TOTAL RECAUDO'!AA107</f>
        <v>31980.280000000002</v>
      </c>
      <c r="AB12" s="296">
        <f>'CONSOLIDADO_TOTAL RECAUDO'!AB107</f>
        <v>8643135.5800000001</v>
      </c>
      <c r="AC12" s="322">
        <f>'CONSOLIDADO_TOTAL RECAUDO'!AC107</f>
        <v>189.43</v>
      </c>
      <c r="AD12" s="293">
        <f>'CONSOLIDADO_TOTAL RECAUDO'!AD107</f>
        <v>-351985756.61999995</v>
      </c>
      <c r="AE12" s="293">
        <f>'CONSOLIDADO_TOTAL RECAUDO'!AE107</f>
        <v>-290453802.92999995</v>
      </c>
      <c r="AF12" s="324">
        <f>'CONSOLIDADO_TOTAL RECAUDO'!AF107</f>
        <v>6703703547.7700005</v>
      </c>
      <c r="AG12" s="524">
        <f>'CONSOLIDADO_TOTAL RECAUDO'!AG107</f>
        <v>0</v>
      </c>
      <c r="AH12" s="1" t="s">
        <v>1</v>
      </c>
      <c r="AI12" s="308"/>
      <c r="AM12" s="335"/>
    </row>
    <row r="13" spans="2:39" s="307" customFormat="1" ht="12.6" thickBot="1" x14ac:dyDescent="0.3">
      <c r="B13" s="326">
        <v>5</v>
      </c>
      <c r="C13" s="327" t="s">
        <v>14</v>
      </c>
      <c r="D13" s="298">
        <f>'CONSOLIDADO_TOTAL RECAUDO'!D108</f>
        <v>7550668664.9899998</v>
      </c>
      <c r="E13" s="299">
        <f>'CONSOLIDADO_TOTAL RECAUDO'!E108</f>
        <v>408526724.99000001</v>
      </c>
      <c r="F13" s="299">
        <f>'CONSOLIDADO_TOTAL RECAUDO'!F108</f>
        <v>227342341.28999999</v>
      </c>
      <c r="G13" s="299">
        <f>'CONSOLIDADO_TOTAL RECAUDO'!G108</f>
        <v>120932576.32000001</v>
      </c>
      <c r="H13" s="299">
        <f>'CONSOLIDADO_TOTAL RECAUDO'!H108</f>
        <v>1865958722.8900001</v>
      </c>
      <c r="I13" s="299">
        <f>'CONSOLIDADO_TOTAL RECAUDO'!I108</f>
        <v>62135019.5</v>
      </c>
      <c r="J13" s="291">
        <f>'CONSOLIDADO_TOTAL RECAUDO'!J108</f>
        <v>-1246473094.4099998</v>
      </c>
      <c r="K13" s="297">
        <f>'CONSOLIDADO_TOTAL RECAUDO'!K108</f>
        <v>6112246374.4099998</v>
      </c>
      <c r="L13" s="296">
        <f>'CONSOLIDADO_TOTAL RECAUDO'!L108</f>
        <v>128990445</v>
      </c>
      <c r="M13" s="300">
        <f>'CONSOLIDADO_TOTAL RECAUDO'!M108</f>
        <v>5983255929.4099998</v>
      </c>
      <c r="N13" s="301">
        <f>'CONSOLIDADO_TOTAL RECAUDO'!N108</f>
        <v>12379938.060000001</v>
      </c>
      <c r="O13" s="300">
        <f>'CONSOLIDADO_TOTAL RECAUDO'!O108</f>
        <v>5995635867.4700003</v>
      </c>
      <c r="Q13" s="308"/>
      <c r="S13" s="326">
        <v>5</v>
      </c>
      <c r="T13" s="327" t="s">
        <v>14</v>
      </c>
      <c r="U13" s="298">
        <f>'CONSOLIDADO_TOTAL RECAUDO'!U108</f>
        <v>545248831.26999998</v>
      </c>
      <c r="V13" s="299">
        <f>'CONSOLIDADO_TOTAL RECAUDO'!V108</f>
        <v>513452677.79000002</v>
      </c>
      <c r="W13" s="299">
        <f>'CONSOLIDADO_TOTAL RECAUDO'!W108</f>
        <v>2643078043.1000004</v>
      </c>
      <c r="X13" s="299">
        <f>'CONSOLIDADO_TOTAL RECAUDO'!X108</f>
        <v>1215847345.4899998</v>
      </c>
      <c r="Y13" s="291">
        <f>'CONSOLIDADO_TOTAL RECAUDO'!Y108</f>
        <v>101388401.98999999</v>
      </c>
      <c r="Z13" s="321">
        <f>'CONSOLIDADO_TOTAL RECAUDO'!Z108</f>
        <v>-128990445</v>
      </c>
      <c r="AA13" s="322">
        <f>'CONSOLIDADO_TOTAL RECAUDO'!AA108</f>
        <v>10519.1</v>
      </c>
      <c r="AB13" s="296">
        <f>'CONSOLIDADO_TOTAL RECAUDO'!AB108</f>
        <v>12379938.060000001</v>
      </c>
      <c r="AC13" s="322">
        <f>'CONSOLIDADO_TOTAL RECAUDO'!AC108</f>
        <v>4.8600000000000003</v>
      </c>
      <c r="AD13" s="293">
        <f>'CONSOLIDADO_TOTAL RECAUDO'!AD108</f>
        <v>1093220550.8099999</v>
      </c>
      <c r="AE13" s="293">
        <f>'CONSOLIDADO_TOTAL RECAUDO'!AE108</f>
        <v>-153252543.60000002</v>
      </c>
      <c r="AF13" s="324">
        <f>'CONSOLIDADO_TOTAL RECAUDO'!AF108</f>
        <v>5995635867.4699993</v>
      </c>
      <c r="AG13" s="525">
        <f>'CONSOLIDADO_TOTAL RECAUDO'!AG108</f>
        <v>0</v>
      </c>
      <c r="AH13" s="1" t="s">
        <v>1</v>
      </c>
      <c r="AI13" s="308"/>
      <c r="AM13" s="335"/>
    </row>
    <row r="14" spans="2:39" s="307" customFormat="1" ht="13.8" thickBot="1" x14ac:dyDescent="0.3">
      <c r="B14" s="329"/>
      <c r="C14" s="330" t="s">
        <v>2</v>
      </c>
      <c r="D14" s="292">
        <f>'CONSOLIDADO_TOTAL RECAUDO'!D109</f>
        <v>53002691468.179993</v>
      </c>
      <c r="E14" s="292">
        <f>'CONSOLIDADO_TOTAL RECAUDO'!E109</f>
        <v>3306852624.9700003</v>
      </c>
      <c r="F14" s="292">
        <f>'CONSOLIDADO_TOTAL RECAUDO'!F109</f>
        <v>1837734159.6199999</v>
      </c>
      <c r="G14" s="292">
        <f>'CONSOLIDADO_TOTAL RECAUDO'!G109</f>
        <v>976530524.66999996</v>
      </c>
      <c r="H14" s="292">
        <f>'CONSOLIDADO_TOTAL RECAUDO'!H109</f>
        <v>15053523576.650002</v>
      </c>
      <c r="I14" s="292">
        <f>'CONSOLIDADO_TOTAL RECAUDO'!I109</f>
        <v>524978617.07999998</v>
      </c>
      <c r="J14" s="292">
        <f>'CONSOLIDADO_TOTAL RECAUDO'!J109</f>
        <v>-4536942176.5599995</v>
      </c>
      <c r="K14" s="302">
        <f>'CONSOLIDADO_TOTAL RECAUDO'!K109</f>
        <v>35840014141.75</v>
      </c>
      <c r="L14" s="303">
        <f>'CONSOLIDADO_TOTAL RECAUDO'!L109</f>
        <v>859936305</v>
      </c>
      <c r="M14" s="304">
        <f>'CONSOLIDADO_TOTAL RECAUDO'!M109</f>
        <v>34980077836.75</v>
      </c>
      <c r="N14" s="303">
        <f>'CONSOLIDADO_TOTAL RECAUDO'!N109</f>
        <v>70181639.379999995</v>
      </c>
      <c r="O14" s="304">
        <f>'CONSOLIDADO_TOTAL RECAUDO'!O109</f>
        <v>35050259476.129997</v>
      </c>
      <c r="P14" s="331"/>
      <c r="Q14" s="308"/>
      <c r="S14" s="329"/>
      <c r="T14" s="330" t="s">
        <v>2</v>
      </c>
      <c r="U14" s="332">
        <f>'CONSOLIDADO_TOTAL RECAUDO'!U109</f>
        <v>4609822099.6000004</v>
      </c>
      <c r="V14" s="332">
        <f>'CONSOLIDADO_TOTAL RECAUDO'!V109</f>
        <v>4381526772.8400011</v>
      </c>
      <c r="W14" s="332">
        <f>'CONSOLIDADO_TOTAL RECAUDO'!W109</f>
        <v>21357769662.480003</v>
      </c>
      <c r="X14" s="332">
        <f>'CONSOLIDADO_TOTAL RECAUDO'!X109</f>
        <v>8191039701.3999996</v>
      </c>
      <c r="Y14" s="332">
        <f>'CONSOLIDADO_TOTAL RECAUDO'!Y109</f>
        <v>856979690.75999999</v>
      </c>
      <c r="Z14" s="292">
        <f>'CONSOLIDADO_TOTAL RECAUDO'!Z109</f>
        <v>-859936305</v>
      </c>
      <c r="AA14" s="292">
        <f>'CONSOLIDADO_TOTAL RECAUDO'!AA109</f>
        <v>-78827.569999999992</v>
      </c>
      <c r="AB14" s="292">
        <f>'CONSOLIDADO_TOTAL RECAUDO'!AB109</f>
        <v>70181639.379999995</v>
      </c>
      <c r="AC14" s="292">
        <f>'CONSOLIDADO_TOTAL RECAUDO'!AC109</f>
        <v>6661764.9099999992</v>
      </c>
      <c r="AD14" s="292">
        <f>'CONSOLIDADO_TOTAL RECAUDO'!AD109</f>
        <v>-3563706722.6699996</v>
      </c>
      <c r="AE14" s="292">
        <f>'CONSOLIDADO_TOTAL RECAUDO'!AE109</f>
        <v>-8100648899.2300005</v>
      </c>
      <c r="AF14" s="333">
        <f>'CONSOLIDADO_TOTAL RECAUDO'!AF109</f>
        <v>35050259476.130005</v>
      </c>
      <c r="AG14" s="526">
        <f>'CONSOLIDADO_TOTAL RECAUDO'!AG109</f>
        <v>0</v>
      </c>
      <c r="AH14" s="1" t="s">
        <v>1</v>
      </c>
      <c r="AI14" s="308"/>
      <c r="AM14" s="335"/>
    </row>
    <row r="15" spans="2:39" ht="12" x14ac:dyDescent="0.25">
      <c r="B15" s="2"/>
      <c r="C15" s="2"/>
      <c r="D15" s="450"/>
      <c r="E15" s="450"/>
      <c r="F15" s="450"/>
      <c r="G15" s="450"/>
      <c r="H15" s="450"/>
      <c r="I15" s="450"/>
      <c r="K15" s="450"/>
      <c r="L15" s="450"/>
      <c r="M15" s="450"/>
      <c r="N15" s="450"/>
      <c r="O15" s="450"/>
      <c r="Q15" s="4"/>
      <c r="S15" s="2"/>
      <c r="T15" s="2"/>
      <c r="U15" s="450"/>
      <c r="V15" s="450"/>
      <c r="W15" s="450"/>
      <c r="X15" s="450"/>
      <c r="Y15" s="450"/>
      <c r="AF15" s="450"/>
      <c r="AH15" s="1" t="s">
        <v>1</v>
      </c>
      <c r="AI15" s="4"/>
    </row>
    <row r="16" spans="2:39" ht="12" x14ac:dyDescent="0.25">
      <c r="B16" s="2"/>
      <c r="C16" s="2" t="s">
        <v>1</v>
      </c>
      <c r="D16" s="541"/>
      <c r="E16" s="541"/>
      <c r="F16" s="541"/>
      <c r="G16" s="541"/>
      <c r="H16" s="541"/>
      <c r="I16" s="541"/>
      <c r="K16" s="541"/>
      <c r="L16" s="541"/>
      <c r="M16" s="541"/>
      <c r="N16" s="541"/>
      <c r="O16" s="541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6"/>
      <c r="E17" s="476"/>
      <c r="F17" s="476"/>
      <c r="G17" s="476"/>
      <c r="H17" s="476"/>
      <c r="I17" s="476"/>
      <c r="J17" s="4"/>
      <c r="K17" s="476"/>
      <c r="L17" s="476"/>
      <c r="M17" s="476"/>
      <c r="N17" s="476"/>
      <c r="O17" s="47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7" t="s">
        <v>186</v>
      </c>
      <c r="G23" s="477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7" customFormat="1" ht="12" x14ac:dyDescent="0.25">
      <c r="B26" s="305">
        <v>1</v>
      </c>
      <c r="C26" s="306" t="s">
        <v>10</v>
      </c>
      <c r="D26" s="293">
        <f>'REMUNERACION Reciprocidad EAAB'!D104</f>
        <v>0</v>
      </c>
      <c r="E26" s="294">
        <f>'REMUNERACION Reciprocidad EAAB'!E104</f>
        <v>0</v>
      </c>
      <c r="F26" s="294">
        <f>'REMUNERACION Reciprocidad EAAB'!F104</f>
        <v>0</v>
      </c>
      <c r="G26" s="294">
        <f>'REMUNERACION Reciprocidad EAAB'!G104</f>
        <v>0</v>
      </c>
      <c r="H26" s="294">
        <f>'REMUNERACION Reciprocidad EAAB'!H104</f>
        <v>0</v>
      </c>
      <c r="I26" s="294">
        <f>'REMUNERACION Reciprocidad EAAB'!I104</f>
        <v>0</v>
      </c>
      <c r="J26" s="290">
        <f>'REMUNERACION Reciprocidad EAAB'!J104</f>
        <v>0</v>
      </c>
      <c r="K26" s="295">
        <f>'REMUNERACION Reciprocidad EAAB'!K104</f>
        <v>0</v>
      </c>
      <c r="L26" s="296">
        <f>'REMUNERACION Reciprocidad EAAB'!L104</f>
        <v>0</v>
      </c>
      <c r="M26" s="295">
        <f>'REMUNERACION Reciprocidad EAAB'!M104</f>
        <v>0</v>
      </c>
      <c r="N26" s="296">
        <f>'REMUNERACION Reciprocidad EAAB'!N104</f>
        <v>0</v>
      </c>
      <c r="O26" s="295">
        <f>'REMUNERACION Reciprocidad EAAB'!O104</f>
        <v>0</v>
      </c>
      <c r="Q26" s="308"/>
      <c r="S26" s="305">
        <v>1</v>
      </c>
      <c r="T26" s="306" t="s">
        <v>10</v>
      </c>
      <c r="U26" s="309">
        <f>'REMUNERACION Reciprocidad EAAB'!U104</f>
        <v>0</v>
      </c>
      <c r="V26" s="310">
        <f>'REMUNERACION Reciprocidad EAAB'!V104</f>
        <v>0</v>
      </c>
      <c r="W26" s="310">
        <f>'REMUNERACION Reciprocidad EAAB'!W104</f>
        <v>0</v>
      </c>
      <c r="X26" s="310">
        <f>'REMUNERACION Reciprocidad EAAB'!X104</f>
        <v>0</v>
      </c>
      <c r="Y26" s="311">
        <f>'REMUNERACION Reciprocidad EAAB'!Y104</f>
        <v>0</v>
      </c>
      <c r="Z26" s="312">
        <f>'REMUNERACION Reciprocidad EAAB'!Z104</f>
        <v>0</v>
      </c>
      <c r="AA26" s="313">
        <f>'REMUNERACION Reciprocidad EAAB'!AA104</f>
        <v>0</v>
      </c>
      <c r="AB26" s="296">
        <f>'REMUNERACION Reciprocidad EAAB'!AB104</f>
        <v>0</v>
      </c>
      <c r="AC26" s="313">
        <f>'REMUNERACION Reciprocidad EAAB'!AC104</f>
        <v>0</v>
      </c>
      <c r="AD26" s="293">
        <f>'REMUNERACION Reciprocidad EAAB'!AD104</f>
        <v>0</v>
      </c>
      <c r="AE26" s="293">
        <f>'REMUNERACION Reciprocidad EAAB'!AE104</f>
        <v>0</v>
      </c>
      <c r="AF26" s="315">
        <f>'REMUNERACION Reciprocidad EAAB'!AF104</f>
        <v>0</v>
      </c>
      <c r="AG26" s="523">
        <f>'REMUNERACION Reciprocidad EAAB'!AG104</f>
        <v>0</v>
      </c>
      <c r="AH26" s="1"/>
      <c r="AI26" s="308"/>
      <c r="AM26" s="335"/>
    </row>
    <row r="27" spans="1:39" s="307" customFormat="1" ht="12" x14ac:dyDescent="0.25">
      <c r="B27" s="316">
        <v>2</v>
      </c>
      <c r="C27" s="317" t="s">
        <v>11</v>
      </c>
      <c r="D27" s="293">
        <f>'REMUNERACION Reciprocidad EAAB'!D105</f>
        <v>11762381.269999998</v>
      </c>
      <c r="E27" s="294">
        <f>'REMUNERACION Reciprocidad EAAB'!E105</f>
        <v>970731.18</v>
      </c>
      <c r="F27" s="294">
        <f>'REMUNERACION Reciprocidad EAAB'!F105</f>
        <v>533860.09000000008</v>
      </c>
      <c r="G27" s="294">
        <f>'REMUNERACION Reciprocidad EAAB'!G105</f>
        <v>192854.22</v>
      </c>
      <c r="H27" s="294">
        <f>'REMUNERACION Reciprocidad EAAB'!H105</f>
        <v>4921384.82</v>
      </c>
      <c r="I27" s="294">
        <f>'REMUNERACION Reciprocidad EAAB'!I105</f>
        <v>177446.98</v>
      </c>
      <c r="J27" s="290">
        <f>'REMUNERACION Reciprocidad EAAB'!J105</f>
        <v>0</v>
      </c>
      <c r="K27" s="297">
        <f>'REMUNERACION Reciprocidad EAAB'!K105</f>
        <v>4966103.9799999967</v>
      </c>
      <c r="L27" s="296">
        <f>'REMUNERACION Reciprocidad EAAB'!L105</f>
        <v>0</v>
      </c>
      <c r="M27" s="297">
        <f>'REMUNERACION Reciprocidad EAAB'!M105</f>
        <v>4966103.9799999967</v>
      </c>
      <c r="N27" s="296">
        <f>'REMUNERACION Reciprocidad EAAB'!N105</f>
        <v>0</v>
      </c>
      <c r="O27" s="297">
        <f>'REMUNERACION Reciprocidad EAAB'!O105</f>
        <v>4966103.9799999967</v>
      </c>
      <c r="Q27" s="308"/>
      <c r="S27" s="316">
        <v>2</v>
      </c>
      <c r="T27" s="317" t="s">
        <v>11</v>
      </c>
      <c r="U27" s="318">
        <f>'REMUNERACION Reciprocidad EAAB'!U105</f>
        <v>1381104.32</v>
      </c>
      <c r="V27" s="319">
        <f>'REMUNERACION Reciprocidad EAAB'!V105</f>
        <v>1208217.5999999999</v>
      </c>
      <c r="W27" s="319">
        <f>'REMUNERACION Reciprocidad EAAB'!W105</f>
        <v>4584200.43</v>
      </c>
      <c r="X27" s="319">
        <f>'REMUNERACION Reciprocidad EAAB'!X105</f>
        <v>1976769.69</v>
      </c>
      <c r="Y27" s="320">
        <f>'REMUNERACION Reciprocidad EAAB'!Y105</f>
        <v>217647.76</v>
      </c>
      <c r="Z27" s="321">
        <f>'REMUNERACION Reciprocidad EAAB'!Z105</f>
        <v>0</v>
      </c>
      <c r="AA27" s="322">
        <f>'REMUNERACION Reciprocidad EAAB'!AA105</f>
        <v>-2.29</v>
      </c>
      <c r="AB27" s="296">
        <f>'REMUNERACION Reciprocidad EAAB'!AB105</f>
        <v>0</v>
      </c>
      <c r="AC27" s="322">
        <f>'REMUNERACION Reciprocidad EAAB'!AC105</f>
        <v>0</v>
      </c>
      <c r="AD27" s="293">
        <f>'REMUNERACION Reciprocidad EAAB'!AD105</f>
        <v>-4401833.53</v>
      </c>
      <c r="AE27" s="293">
        <f>'REMUNERACION Reciprocidad EAAB'!AE105</f>
        <v>-4401833.53</v>
      </c>
      <c r="AF27" s="324">
        <f>'REMUNERACION Reciprocidad EAAB'!AF105</f>
        <v>4966103.9799999995</v>
      </c>
      <c r="AG27" s="524">
        <f>'REMUNERACION Reciprocidad EAAB'!AG105</f>
        <v>0</v>
      </c>
      <c r="AH27" s="1"/>
      <c r="AI27" s="308"/>
      <c r="AM27" s="335"/>
    </row>
    <row r="28" spans="1:39" s="307" customFormat="1" ht="12" x14ac:dyDescent="0.25">
      <c r="B28" s="316">
        <v>3</v>
      </c>
      <c r="C28" s="317" t="s">
        <v>12</v>
      </c>
      <c r="D28" s="293">
        <f>'REMUNERACION Reciprocidad EAAB'!D106</f>
        <v>0</v>
      </c>
      <c r="E28" s="294">
        <f>'REMUNERACION Reciprocidad EAAB'!E106</f>
        <v>0</v>
      </c>
      <c r="F28" s="294">
        <f>'REMUNERACION Reciprocidad EAAB'!F106</f>
        <v>0</v>
      </c>
      <c r="G28" s="294">
        <f>'REMUNERACION Reciprocidad EAAB'!G106</f>
        <v>0</v>
      </c>
      <c r="H28" s="294">
        <f>'REMUNERACION Reciprocidad EAAB'!H106</f>
        <v>0</v>
      </c>
      <c r="I28" s="294">
        <f>'REMUNERACION Reciprocidad EAAB'!I106</f>
        <v>0</v>
      </c>
      <c r="J28" s="290">
        <f>'REMUNERACION Reciprocidad EAAB'!J106</f>
        <v>0</v>
      </c>
      <c r="K28" s="297">
        <f>'REMUNERACION Reciprocidad EAAB'!K106</f>
        <v>0</v>
      </c>
      <c r="L28" s="296">
        <f>'REMUNERACION Reciprocidad EAAB'!L106</f>
        <v>0</v>
      </c>
      <c r="M28" s="297">
        <f>'REMUNERACION Reciprocidad EAAB'!M106</f>
        <v>0</v>
      </c>
      <c r="N28" s="296">
        <f>'REMUNERACION Reciprocidad EAAB'!N106</f>
        <v>0</v>
      </c>
      <c r="O28" s="297">
        <f>'REMUNERACION Reciprocidad EAAB'!O106</f>
        <v>0</v>
      </c>
      <c r="Q28" s="308"/>
      <c r="S28" s="316">
        <v>3</v>
      </c>
      <c r="T28" s="317" t="s">
        <v>12</v>
      </c>
      <c r="U28" s="318">
        <f>'REMUNERACION Reciprocidad EAAB'!U106</f>
        <v>0</v>
      </c>
      <c r="V28" s="319">
        <f>'REMUNERACION Reciprocidad EAAB'!V106</f>
        <v>0</v>
      </c>
      <c r="W28" s="319">
        <f>'REMUNERACION Reciprocidad EAAB'!W106</f>
        <v>0</v>
      </c>
      <c r="X28" s="319">
        <f>'REMUNERACION Reciprocidad EAAB'!X106</f>
        <v>0</v>
      </c>
      <c r="Y28" s="320">
        <f>'REMUNERACION Reciprocidad EAAB'!Y106</f>
        <v>0</v>
      </c>
      <c r="Z28" s="321">
        <f>'REMUNERACION Reciprocidad EAAB'!Z106</f>
        <v>0</v>
      </c>
      <c r="AA28" s="322">
        <f>'REMUNERACION Reciprocidad EAAB'!AA106</f>
        <v>0</v>
      </c>
      <c r="AB28" s="296">
        <f>'REMUNERACION Reciprocidad EAAB'!AB106</f>
        <v>0</v>
      </c>
      <c r="AC28" s="322">
        <f>'REMUNERACION Reciprocidad EAAB'!AC106</f>
        <v>0</v>
      </c>
      <c r="AD28" s="293">
        <f>'REMUNERACION Reciprocidad EAAB'!AD106</f>
        <v>0</v>
      </c>
      <c r="AE28" s="293">
        <f>'REMUNERACION Reciprocidad EAAB'!AE106</f>
        <v>0</v>
      </c>
      <c r="AF28" s="324">
        <f>'REMUNERACION Reciprocidad EAAB'!AF106</f>
        <v>0</v>
      </c>
      <c r="AG28" s="524">
        <f>'REMUNERACION Reciprocidad EAAB'!AG106</f>
        <v>0</v>
      </c>
      <c r="AH28" s="1"/>
      <c r="AI28" s="308"/>
      <c r="AM28" s="335"/>
    </row>
    <row r="29" spans="1:39" s="307" customFormat="1" ht="12" x14ac:dyDescent="0.25">
      <c r="B29" s="316">
        <v>4</v>
      </c>
      <c r="C29" s="317" t="s">
        <v>13</v>
      </c>
      <c r="D29" s="293">
        <f>'REMUNERACION Reciprocidad EAAB'!D107</f>
        <v>1844453.3399999999</v>
      </c>
      <c r="E29" s="294">
        <f>'REMUNERACION Reciprocidad EAAB'!E107</f>
        <v>101006.87000000001</v>
      </c>
      <c r="F29" s="294">
        <f>'REMUNERACION Reciprocidad EAAB'!F107</f>
        <v>62330.920000000013</v>
      </c>
      <c r="G29" s="294">
        <f>'REMUNERACION Reciprocidad EAAB'!G107</f>
        <v>27692.329999999994</v>
      </c>
      <c r="H29" s="294">
        <f>'REMUNERACION Reciprocidad EAAB'!H107</f>
        <v>378788.26999999996</v>
      </c>
      <c r="I29" s="294">
        <f>'REMUNERACION Reciprocidad EAAB'!I107</f>
        <v>16935.349999999999</v>
      </c>
      <c r="J29" s="290">
        <f>'REMUNERACION Reciprocidad EAAB'!J107</f>
        <v>0</v>
      </c>
      <c r="K29" s="297">
        <f>'REMUNERACION Reciprocidad EAAB'!K107</f>
        <v>1257699.5999999996</v>
      </c>
      <c r="L29" s="296">
        <f>'REMUNERACION Reciprocidad EAAB'!L107</f>
        <v>0</v>
      </c>
      <c r="M29" s="297">
        <f>'REMUNERACION Reciprocidad EAAB'!M107</f>
        <v>1257699.5999999996</v>
      </c>
      <c r="N29" s="296">
        <f>'REMUNERACION Reciprocidad EAAB'!N107</f>
        <v>0</v>
      </c>
      <c r="O29" s="297">
        <f>'REMUNERACION Reciprocidad EAAB'!O107</f>
        <v>1257699.5999999996</v>
      </c>
      <c r="Q29" s="308"/>
      <c r="S29" s="316">
        <v>4</v>
      </c>
      <c r="T29" s="317" t="s">
        <v>13</v>
      </c>
      <c r="U29" s="318">
        <f>'REMUNERACION Reciprocidad EAAB'!U107</f>
        <v>157842.22999999998</v>
      </c>
      <c r="V29" s="319">
        <f>'REMUNERACION Reciprocidad EAAB'!V107</f>
        <v>139855.35999999999</v>
      </c>
      <c r="W29" s="319">
        <f>'REMUNERACION Reciprocidad EAAB'!W107</f>
        <v>650473.44000000006</v>
      </c>
      <c r="X29" s="319">
        <f>'REMUNERACION Reciprocidad EAAB'!X107</f>
        <v>278141.40000000002</v>
      </c>
      <c r="Y29" s="320">
        <f>'REMUNERACION Reciprocidad EAAB'!Y107</f>
        <v>25733.699999999997</v>
      </c>
      <c r="Z29" s="321">
        <f>'REMUNERACION Reciprocidad EAAB'!Z107</f>
        <v>0</v>
      </c>
      <c r="AA29" s="322">
        <f>'REMUNERACION Reciprocidad EAAB'!AA107</f>
        <v>-16.080000000000002</v>
      </c>
      <c r="AB29" s="296">
        <f>'REMUNERACION Reciprocidad EAAB'!AB107</f>
        <v>0</v>
      </c>
      <c r="AC29" s="322">
        <f>'REMUNERACION Reciprocidad EAAB'!AC107</f>
        <v>0</v>
      </c>
      <c r="AD29" s="293">
        <f>'REMUNERACION Reciprocidad EAAB'!AD107</f>
        <v>5669.5499999999993</v>
      </c>
      <c r="AE29" s="293">
        <f>'REMUNERACION Reciprocidad EAAB'!AE107</f>
        <v>5669.5499999999993</v>
      </c>
      <c r="AF29" s="324">
        <f>'REMUNERACION Reciprocidad EAAB'!AF107</f>
        <v>1257699.6000000001</v>
      </c>
      <c r="AG29" s="524">
        <f>'REMUNERACION Reciprocidad EAAB'!AG107</f>
        <v>0</v>
      </c>
      <c r="AH29" s="1"/>
      <c r="AI29" s="308"/>
      <c r="AM29" s="335"/>
    </row>
    <row r="30" spans="1:39" s="307" customFormat="1" ht="12.6" thickBot="1" x14ac:dyDescent="0.3">
      <c r="B30" s="326">
        <v>5</v>
      </c>
      <c r="C30" s="327" t="s">
        <v>14</v>
      </c>
      <c r="D30" s="298">
        <f>'REMUNERACION Reciprocidad EAAB'!D108</f>
        <v>0</v>
      </c>
      <c r="E30" s="299">
        <f>'REMUNERACION Reciprocidad EAAB'!E108</f>
        <v>0</v>
      </c>
      <c r="F30" s="299">
        <f>'REMUNERACION Reciprocidad EAAB'!F108</f>
        <v>0</v>
      </c>
      <c r="G30" s="299">
        <f>'REMUNERACION Reciprocidad EAAB'!G108</f>
        <v>0</v>
      </c>
      <c r="H30" s="299">
        <f>'REMUNERACION Reciprocidad EAAB'!H108</f>
        <v>0</v>
      </c>
      <c r="I30" s="299">
        <f>'REMUNERACION Reciprocidad EAAB'!I108</f>
        <v>0</v>
      </c>
      <c r="J30" s="291">
        <f>'REMUNERACION Reciprocidad EAAB'!J108</f>
        <v>0</v>
      </c>
      <c r="K30" s="297">
        <f>'REMUNERACION Reciprocidad EAAB'!K108</f>
        <v>0</v>
      </c>
      <c r="L30" s="296">
        <f>'REMUNERACION Reciprocidad EAAB'!L108</f>
        <v>0</v>
      </c>
      <c r="M30" s="300">
        <f>'REMUNERACION Reciprocidad EAAB'!M108</f>
        <v>0</v>
      </c>
      <c r="N30" s="301">
        <f>'REMUNERACION Reciprocidad EAAB'!N108</f>
        <v>0</v>
      </c>
      <c r="O30" s="300">
        <f>'REMUNERACION Reciprocidad EAAB'!O108</f>
        <v>0</v>
      </c>
      <c r="Q30" s="308"/>
      <c r="S30" s="326">
        <v>5</v>
      </c>
      <c r="T30" s="327" t="s">
        <v>14</v>
      </c>
      <c r="U30" s="298">
        <f>'REMUNERACION Reciprocidad EAAB'!U108</f>
        <v>0</v>
      </c>
      <c r="V30" s="299">
        <f>'REMUNERACION Reciprocidad EAAB'!V108</f>
        <v>0</v>
      </c>
      <c r="W30" s="299">
        <f>'REMUNERACION Reciprocidad EAAB'!W108</f>
        <v>0</v>
      </c>
      <c r="X30" s="299">
        <f>'REMUNERACION Reciprocidad EAAB'!X108</f>
        <v>0</v>
      </c>
      <c r="Y30" s="291">
        <f>'REMUNERACION Reciprocidad EAAB'!Y108</f>
        <v>0</v>
      </c>
      <c r="Z30" s="321">
        <f>'REMUNERACION Reciprocidad EAAB'!Z108</f>
        <v>0</v>
      </c>
      <c r="AA30" s="322">
        <f>'REMUNERACION Reciprocidad EAAB'!AA108</f>
        <v>0</v>
      </c>
      <c r="AB30" s="296">
        <f>'REMUNERACION Reciprocidad EAAB'!AB108</f>
        <v>0</v>
      </c>
      <c r="AC30" s="322">
        <f>'REMUNERACION Reciprocidad EAAB'!AC108</f>
        <v>0</v>
      </c>
      <c r="AD30" s="293">
        <f>'REMUNERACION Reciprocidad EAAB'!AD108</f>
        <v>0</v>
      </c>
      <c r="AE30" s="293">
        <f>'REMUNERACION Reciprocidad EAAB'!AE108</f>
        <v>0</v>
      </c>
      <c r="AF30" s="324">
        <f>'REMUNERACION Reciprocidad EAAB'!AF108</f>
        <v>0</v>
      </c>
      <c r="AG30" s="525">
        <f>'REMUNERACION Reciprocidad EAAB'!AG108</f>
        <v>0</v>
      </c>
      <c r="AH30" s="1"/>
      <c r="AI30" s="308"/>
      <c r="AM30" s="335"/>
    </row>
    <row r="31" spans="1:39" s="307" customFormat="1" ht="13.8" thickBot="1" x14ac:dyDescent="0.3">
      <c r="B31" s="329"/>
      <c r="C31" s="330" t="s">
        <v>2</v>
      </c>
      <c r="D31" s="292">
        <f>'REMUNERACION Reciprocidad EAAB'!D109</f>
        <v>13606834.609999998</v>
      </c>
      <c r="E31" s="292">
        <f>'REMUNERACION Reciprocidad EAAB'!E109</f>
        <v>1071738.05</v>
      </c>
      <c r="F31" s="292">
        <f>'REMUNERACION Reciprocidad EAAB'!F109</f>
        <v>596191.01000000013</v>
      </c>
      <c r="G31" s="292">
        <f>'REMUNERACION Reciprocidad EAAB'!G109</f>
        <v>220546.55</v>
      </c>
      <c r="H31" s="292">
        <f>'REMUNERACION Reciprocidad EAAB'!H109</f>
        <v>5300173.09</v>
      </c>
      <c r="I31" s="292">
        <f>'REMUNERACION Reciprocidad EAAB'!I109</f>
        <v>194382.33000000002</v>
      </c>
      <c r="J31" s="292">
        <f>'REMUNERACION Reciprocidad EAAB'!J109</f>
        <v>0</v>
      </c>
      <c r="K31" s="302">
        <f>'REMUNERACION Reciprocidad EAAB'!K109</f>
        <v>6223803.5799999963</v>
      </c>
      <c r="L31" s="303">
        <f>'REMUNERACION Reciprocidad EAAB'!L109</f>
        <v>0</v>
      </c>
      <c r="M31" s="304">
        <f>'REMUNERACION Reciprocidad EAAB'!M109</f>
        <v>6223803.5799999963</v>
      </c>
      <c r="N31" s="303">
        <f>'REMUNERACION Reciprocidad EAAB'!N109</f>
        <v>0</v>
      </c>
      <c r="O31" s="304">
        <f>'REMUNERACION Reciprocidad EAAB'!O109</f>
        <v>6223803.5799999963</v>
      </c>
      <c r="P31" s="331"/>
      <c r="Q31" s="308"/>
      <c r="S31" s="329"/>
      <c r="T31" s="330" t="s">
        <v>2</v>
      </c>
      <c r="U31" s="332">
        <f>'REMUNERACION Reciprocidad EAAB'!U109</f>
        <v>1538946.55</v>
      </c>
      <c r="V31" s="332">
        <f>'REMUNERACION Reciprocidad EAAB'!V109</f>
        <v>1348072.96</v>
      </c>
      <c r="W31" s="332">
        <f>'REMUNERACION Reciprocidad EAAB'!W109</f>
        <v>5234673.87</v>
      </c>
      <c r="X31" s="332">
        <f>'REMUNERACION Reciprocidad EAAB'!X109</f>
        <v>2254911.09</v>
      </c>
      <c r="Y31" s="332">
        <f>'REMUNERACION Reciprocidad EAAB'!Y109</f>
        <v>243381.46000000002</v>
      </c>
      <c r="Z31" s="292">
        <f>'REMUNERACION Reciprocidad EAAB'!Z109</f>
        <v>0</v>
      </c>
      <c r="AA31" s="292">
        <f>'REMUNERACION Reciprocidad EAAB'!AA109</f>
        <v>-18.37</v>
      </c>
      <c r="AB31" s="292">
        <f>'REMUNERACION Reciprocidad EAAB'!AB109</f>
        <v>0</v>
      </c>
      <c r="AC31" s="292">
        <f>'REMUNERACION Reciprocidad EAAB'!AC109</f>
        <v>0</v>
      </c>
      <c r="AD31" s="292">
        <f>'REMUNERACION Reciprocidad EAAB'!AD109</f>
        <v>-4396163.9800000004</v>
      </c>
      <c r="AE31" s="292">
        <f>'REMUNERACION Reciprocidad EAAB'!AE109</f>
        <v>-4396163.9800000004</v>
      </c>
      <c r="AF31" s="333">
        <f>'REMUNERACION Reciprocidad EAAB'!AF109</f>
        <v>6223803.5800000001</v>
      </c>
      <c r="AG31" s="526">
        <f>'REMUNERACION Reciprocidad EAAB'!AG109</f>
        <v>0</v>
      </c>
      <c r="AH31" s="1"/>
      <c r="AI31" s="308"/>
      <c r="AM31" s="335"/>
    </row>
    <row r="32" spans="1:39" ht="12" x14ac:dyDescent="0.25">
      <c r="B32" s="2"/>
      <c r="C32" s="2"/>
      <c r="D32" s="450"/>
      <c r="E32" s="450"/>
      <c r="F32" s="450"/>
      <c r="G32" s="450"/>
      <c r="H32" s="450"/>
      <c r="I32" s="450"/>
      <c r="K32" s="450"/>
      <c r="L32" s="450"/>
      <c r="M32" s="450"/>
      <c r="N32" s="450"/>
      <c r="O32" s="450"/>
      <c r="Q32" s="4"/>
      <c r="S32" s="2"/>
      <c r="T32" s="2"/>
      <c r="U32" s="450"/>
      <c r="V32" s="450"/>
      <c r="W32" s="450"/>
      <c r="X32" s="450"/>
      <c r="Y32" s="450"/>
      <c r="AF32" s="450"/>
      <c r="AI32" s="4"/>
    </row>
    <row r="33" spans="1:39" ht="12" x14ac:dyDescent="0.25">
      <c r="B33" s="2"/>
      <c r="C33" s="2"/>
      <c r="D33" s="541"/>
      <c r="E33" s="541"/>
      <c r="F33" s="541"/>
      <c r="G33" s="541"/>
      <c r="H33" s="541"/>
      <c r="I33" s="541"/>
      <c r="K33" s="541"/>
      <c r="L33" s="541"/>
      <c r="M33" s="541"/>
      <c r="N33" s="541"/>
      <c r="O33" s="541"/>
      <c r="Q33" s="4"/>
      <c r="AI33" s="4"/>
    </row>
    <row r="34" spans="1:39" ht="12" x14ac:dyDescent="0.25">
      <c r="A34" s="4"/>
      <c r="B34" s="34"/>
      <c r="C34" s="34"/>
      <c r="D34" s="476"/>
      <c r="E34" s="476"/>
      <c r="F34" s="476"/>
      <c r="G34" s="476"/>
      <c r="H34" s="476"/>
      <c r="I34" s="476"/>
      <c r="J34" s="4"/>
      <c r="K34" s="476"/>
      <c r="L34" s="476"/>
      <c r="M34" s="476"/>
      <c r="N34" s="476"/>
      <c r="O34" s="47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7" customFormat="1" ht="12" x14ac:dyDescent="0.25">
      <c r="B43" s="305">
        <v>1</v>
      </c>
      <c r="C43" s="306" t="s">
        <v>10</v>
      </c>
      <c r="D43" s="293">
        <f>REMUNERACION_ENEL!D104</f>
        <v>14494946130.289999</v>
      </c>
      <c r="E43" s="294">
        <f>REMUNERACION_ENEL!E104</f>
        <v>809928332.46000004</v>
      </c>
      <c r="F43" s="294">
        <f>REMUNERACION_ENEL!F104</f>
        <v>451124874.68000007</v>
      </c>
      <c r="G43" s="294">
        <f>REMUNERACION_ENEL!G104</f>
        <v>240018809.56999996</v>
      </c>
      <c r="H43" s="294">
        <f>REMUNERACION_ENEL!H104</f>
        <v>4723155347.5700006</v>
      </c>
      <c r="I43" s="294">
        <f>REMUNERACION_ENEL!I104</f>
        <v>157526977.84999999</v>
      </c>
      <c r="J43" s="290">
        <f>REMUNERACION_ENEL!J104</f>
        <v>2153950828.1600003</v>
      </c>
      <c r="K43" s="295">
        <f>REMUNERACION_ENEL!K104</f>
        <v>5959240959.9999962</v>
      </c>
      <c r="L43" s="296">
        <f>REMUNERACION_ENEL!L104</f>
        <v>189185987</v>
      </c>
      <c r="M43" s="295">
        <f>REMUNERACION_ENEL!M104</f>
        <v>5770054972.9999962</v>
      </c>
      <c r="N43" s="296">
        <f>REMUNERACION_ENEL!N104</f>
        <v>9937924.0999999996</v>
      </c>
      <c r="O43" s="295">
        <f>REMUNERACION_ENEL!O104</f>
        <v>5779992897.0999966</v>
      </c>
      <c r="Q43" s="308"/>
      <c r="S43" s="305">
        <v>1</v>
      </c>
      <c r="T43" s="306" t="s">
        <v>10</v>
      </c>
      <c r="U43" s="309">
        <f>REMUNERACION_ENEL!U104</f>
        <v>1384113942.9699998</v>
      </c>
      <c r="V43" s="310">
        <f>REMUNERACION_ENEL!V104</f>
        <v>1304507188.2100003</v>
      </c>
      <c r="W43" s="310">
        <f>REMUNERACION_ENEL!W104</f>
        <v>6217954410.7299995</v>
      </c>
      <c r="X43" s="310">
        <f>REMUNERACION_ENEL!X104</f>
        <v>2204083806.54</v>
      </c>
      <c r="Y43" s="311">
        <f>REMUNERACION_ENEL!Y104</f>
        <v>257139776.08000001</v>
      </c>
      <c r="Z43" s="312">
        <f>REMUNERACION_ENEL!Z104</f>
        <v>-189185987</v>
      </c>
      <c r="AA43" s="313">
        <f>REMUNERACION_ENEL!AA104</f>
        <v>-24100.32</v>
      </c>
      <c r="AB43" s="296">
        <f>REMUNERACION_ENEL!AB104</f>
        <v>9937924.0999999996</v>
      </c>
      <c r="AC43" s="313">
        <f>REMUNERACION_ENEL!AC104</f>
        <v>149.04</v>
      </c>
      <c r="AD43" s="293">
        <f>REMUNERACION_ENEL!AD104</f>
        <v>-5408534213.25</v>
      </c>
      <c r="AE43" s="293">
        <f>REMUNERACION_ENEL!AE104</f>
        <v>-3254583385.0900002</v>
      </c>
      <c r="AF43" s="315">
        <f>REMUNERACION_ENEL!AF104</f>
        <v>5779992897.1000023</v>
      </c>
      <c r="AG43" s="523">
        <f>REMUNERACION_ENEL!AG104</f>
        <v>0</v>
      </c>
      <c r="AH43" s="1"/>
      <c r="AI43" s="308"/>
      <c r="AM43" s="335"/>
    </row>
    <row r="44" spans="1:39" s="307" customFormat="1" ht="12" x14ac:dyDescent="0.25">
      <c r="B44" s="316">
        <v>2</v>
      </c>
      <c r="C44" s="317" t="s">
        <v>11</v>
      </c>
      <c r="D44" s="293">
        <f>REMUNERACION_ENEL!D105</f>
        <v>10307938498.949999</v>
      </c>
      <c r="E44" s="294">
        <f>REMUNERACION_ENEL!E105</f>
        <v>763120558.77999997</v>
      </c>
      <c r="F44" s="294">
        <f>REMUNERACION_ENEL!F105</f>
        <v>422863800.51999998</v>
      </c>
      <c r="G44" s="294">
        <f>REMUNERACION_ENEL!G105</f>
        <v>224000362.90000001</v>
      </c>
      <c r="H44" s="294">
        <f>REMUNERACION_ENEL!H105</f>
        <v>3469174829.2399998</v>
      </c>
      <c r="I44" s="294">
        <f>REMUNERACION_ENEL!I105</f>
        <v>123975657.7</v>
      </c>
      <c r="J44" s="290">
        <f>REMUNERACION_ENEL!J105</f>
        <v>-4217145526.9099998</v>
      </c>
      <c r="K44" s="297">
        <f>REMUNERACION_ENEL!K105</f>
        <v>9521948816.7199974</v>
      </c>
      <c r="L44" s="296">
        <f>REMUNERACION_ENEL!L105</f>
        <v>266580255</v>
      </c>
      <c r="M44" s="297">
        <f>REMUNERACION_ENEL!M105</f>
        <v>9255368561.7199974</v>
      </c>
      <c r="N44" s="296">
        <f>REMUNERACION_ENEL!N105</f>
        <v>6792800.1600000001</v>
      </c>
      <c r="O44" s="297">
        <f>REMUNERACION_ENEL!O105</f>
        <v>9262161361.8799973</v>
      </c>
      <c r="Q44" s="308"/>
      <c r="S44" s="316">
        <v>2</v>
      </c>
      <c r="T44" s="317" t="s">
        <v>11</v>
      </c>
      <c r="U44" s="318">
        <f>REMUNERACION_ENEL!U105</f>
        <v>1088389944.96</v>
      </c>
      <c r="V44" s="319">
        <f>REMUNERACION_ENEL!V105</f>
        <v>1034704736.4000001</v>
      </c>
      <c r="W44" s="319">
        <f>REMUNERACION_ENEL!W105</f>
        <v>4916740713.250001</v>
      </c>
      <c r="X44" s="319">
        <f>REMUNERACION_ENEL!X105</f>
        <v>1495136513.8400002</v>
      </c>
      <c r="Y44" s="320">
        <f>REMUNERACION_ENEL!Y105</f>
        <v>202380458.09999999</v>
      </c>
      <c r="Z44" s="321">
        <f>REMUNERACION_ENEL!Z105</f>
        <v>-266580255</v>
      </c>
      <c r="AA44" s="322">
        <f>REMUNERACION_ENEL!AA105</f>
        <v>-13402.730000000001</v>
      </c>
      <c r="AB44" s="296">
        <f>REMUNERACION_ENEL!AB105</f>
        <v>6792800.1600000001</v>
      </c>
      <c r="AC44" s="322">
        <f>REMUNERACION_ENEL!AC105</f>
        <v>-48.7</v>
      </c>
      <c r="AD44" s="293">
        <f>REMUNERACION_ENEL!AD105</f>
        <v>784609901.60000038</v>
      </c>
      <c r="AE44" s="293">
        <f>REMUNERACION_ENEL!AE105</f>
        <v>-3432535625.3099995</v>
      </c>
      <c r="AF44" s="324">
        <f>REMUNERACION_ENEL!AF105</f>
        <v>9262161361.8800011</v>
      </c>
      <c r="AG44" s="524">
        <f>REMUNERACION_ENEL!AG105</f>
        <v>0</v>
      </c>
      <c r="AH44" s="1"/>
      <c r="AI44" s="308"/>
      <c r="AM44" s="335"/>
    </row>
    <row r="45" spans="1:39" s="307" customFormat="1" ht="12" x14ac:dyDescent="0.25">
      <c r="B45" s="316">
        <v>3</v>
      </c>
      <c r="C45" s="317" t="s">
        <v>12</v>
      </c>
      <c r="D45" s="293">
        <f>REMUNERACION_ENEL!D106</f>
        <v>8394192614.9000006</v>
      </c>
      <c r="E45" s="294">
        <f>REMUNERACION_ENEL!E106</f>
        <v>520175121.88999999</v>
      </c>
      <c r="F45" s="294">
        <f>REMUNERACION_ENEL!F106</f>
        <v>289684342.38999999</v>
      </c>
      <c r="G45" s="294">
        <f>REMUNERACION_ENEL!G106</f>
        <v>154157420.00000003</v>
      </c>
      <c r="H45" s="294">
        <f>REMUNERACION_ENEL!H106</f>
        <v>2409034237.3800001</v>
      </c>
      <c r="I45" s="294">
        <f>REMUNERACION_ENEL!I106</f>
        <v>86409641.679999992</v>
      </c>
      <c r="J45" s="290">
        <f>REMUNERACION_ENEL!J106</f>
        <v>-1288806337.0900002</v>
      </c>
      <c r="K45" s="297">
        <f>REMUNERACION_ENEL!K106</f>
        <v>6223538188.6499996</v>
      </c>
      <c r="L45" s="296">
        <f>REMUNERACION_ENEL!L106</f>
        <v>154788535</v>
      </c>
      <c r="M45" s="297">
        <f>REMUNERACION_ENEL!M106</f>
        <v>6068749653.6499996</v>
      </c>
      <c r="N45" s="296">
        <f>REMUNERACION_ENEL!N106</f>
        <v>14510188.139999999</v>
      </c>
      <c r="O45" s="297">
        <f>REMUNERACION_ENEL!O106</f>
        <v>6083259841.79</v>
      </c>
      <c r="Q45" s="308"/>
      <c r="S45" s="316">
        <v>3</v>
      </c>
      <c r="T45" s="317" t="s">
        <v>12</v>
      </c>
      <c r="U45" s="318">
        <f>REMUNERACION_ENEL!U106</f>
        <v>759142002.11000001</v>
      </c>
      <c r="V45" s="319">
        <f>REMUNERACION_ENEL!V106</f>
        <v>718434709.62</v>
      </c>
      <c r="W45" s="319">
        <f>REMUNERACION_ENEL!W106</f>
        <v>3415907595.3499999</v>
      </c>
      <c r="X45" s="319">
        <f>REMUNERACION_ENEL!X106</f>
        <v>1232252370.26</v>
      </c>
      <c r="Y45" s="320">
        <f>REMUNERACION_ENEL!Y106</f>
        <v>141065744.70000002</v>
      </c>
      <c r="Z45" s="321">
        <f>REMUNERACION_ENEL!Z106</f>
        <v>-154788535</v>
      </c>
      <c r="AA45" s="322">
        <f>REMUNERACION_ENEL!AA106</f>
        <v>-80268.700000000012</v>
      </c>
      <c r="AB45" s="296">
        <f>REMUNERACION_ENEL!AB106</f>
        <v>14510188.139999999</v>
      </c>
      <c r="AC45" s="322">
        <f>REMUNERACION_ENEL!AC106</f>
        <v>1.1100000000000001</v>
      </c>
      <c r="AD45" s="293">
        <f>REMUNERACION_ENEL!AD106</f>
        <v>-43183965.799999714</v>
      </c>
      <c r="AE45" s="293">
        <f>REMUNERACION_ENEL!AE106</f>
        <v>-1331990302.8899999</v>
      </c>
      <c r="AF45" s="324">
        <f>REMUNERACION_ENEL!AF106</f>
        <v>6083259841.7900009</v>
      </c>
      <c r="AG45" s="524">
        <f>REMUNERACION_ENEL!AG106</f>
        <v>0</v>
      </c>
      <c r="AH45" s="1"/>
      <c r="AI45" s="308"/>
      <c r="AM45" s="335"/>
    </row>
    <row r="46" spans="1:39" s="307" customFormat="1" ht="12" x14ac:dyDescent="0.25">
      <c r="B46" s="316">
        <v>4</v>
      </c>
      <c r="C46" s="317" t="s">
        <v>13</v>
      </c>
      <c r="D46" s="293">
        <f>REMUNERACION_ENEL!D107</f>
        <v>9886897739.0499992</v>
      </c>
      <c r="E46" s="294">
        <f>REMUNERACION_ENEL!E107</f>
        <v>552903262.25999999</v>
      </c>
      <c r="F46" s="294">
        <f>REMUNERACION_ENEL!F107</f>
        <v>306856656.09999996</v>
      </c>
      <c r="G46" s="294">
        <f>REMUNERACION_ENEL!G107</f>
        <v>163164937.62</v>
      </c>
      <c r="H46" s="294">
        <f>REMUNERACION_ENEL!H107</f>
        <v>2332257088.8899999</v>
      </c>
      <c r="I46" s="294">
        <f>REMUNERACION_ENEL!I107</f>
        <v>87784289.409999996</v>
      </c>
      <c r="J46" s="290">
        <f>REMUNERACION_ENEL!J107</f>
        <v>61531953.689999998</v>
      </c>
      <c r="K46" s="297">
        <f>REMUNERACION_ENEL!K107</f>
        <v>6382399551.079999</v>
      </c>
      <c r="L46" s="296">
        <f>REMUNERACION_ENEL!L107</f>
        <v>120391083</v>
      </c>
      <c r="M46" s="297">
        <f>REMUNERACION_ENEL!M107</f>
        <v>6262008468.079999</v>
      </c>
      <c r="N46" s="296">
        <f>REMUNERACION_ENEL!N107</f>
        <v>7972372.8300000001</v>
      </c>
      <c r="O46" s="297">
        <f>REMUNERACION_ENEL!O107</f>
        <v>6269980840.9099989</v>
      </c>
      <c r="Q46" s="308"/>
      <c r="S46" s="316">
        <v>4</v>
      </c>
      <c r="T46" s="317" t="s">
        <v>13</v>
      </c>
      <c r="U46" s="318">
        <f>REMUNERACION_ENEL!U107</f>
        <v>769803614.69999993</v>
      </c>
      <c r="V46" s="319">
        <f>REMUNERACION_ENEL!V107</f>
        <v>729234377.32000005</v>
      </c>
      <c r="W46" s="319">
        <f>REMUNERACION_ENEL!W107</f>
        <v>3775444313.3099999</v>
      </c>
      <c r="X46" s="319">
        <f>REMUNERACION_ENEL!X107</f>
        <v>1463880495.5</v>
      </c>
      <c r="Y46" s="320">
        <f>REMUNERACION_ENEL!Y107</f>
        <v>143434665.66000006</v>
      </c>
      <c r="Z46" s="321">
        <f>REMUNERACION_ENEL!Z107</f>
        <v>-120391083</v>
      </c>
      <c r="AA46" s="322">
        <f>REMUNERACION_ENEL!AA107</f>
        <v>31641.47</v>
      </c>
      <c r="AB46" s="296">
        <f>REMUNERACION_ENEL!AB107</f>
        <v>7972372.8300000001</v>
      </c>
      <c r="AC46" s="322">
        <f>REMUNERACION_ENEL!AC107</f>
        <v>189.23</v>
      </c>
      <c r="AD46" s="293">
        <f>REMUNERACION_ENEL!AD107</f>
        <v>-499429746.11000007</v>
      </c>
      <c r="AE46" s="293">
        <f>REMUNERACION_ENEL!AE107</f>
        <v>-437897792.42000008</v>
      </c>
      <c r="AF46" s="324">
        <f>REMUNERACION_ENEL!AF107</f>
        <v>6269980840.9099998</v>
      </c>
      <c r="AG46" s="524">
        <f>REMUNERACION_ENEL!AG107</f>
        <v>0</v>
      </c>
      <c r="AH46" s="1"/>
      <c r="AI46" s="308"/>
      <c r="AM46" s="335"/>
    </row>
    <row r="47" spans="1:39" s="307" customFormat="1" ht="12.6" thickBot="1" x14ac:dyDescent="0.3">
      <c r="B47" s="326">
        <v>5</v>
      </c>
      <c r="C47" s="327" t="s">
        <v>14</v>
      </c>
      <c r="D47" s="298">
        <f>REMUNERACION_ENEL!D108</f>
        <v>7238405926.46</v>
      </c>
      <c r="E47" s="299">
        <f>REMUNERACION_ENEL!E108</f>
        <v>383530978.75</v>
      </c>
      <c r="F47" s="299">
        <f>REMUNERACION_ENEL!F108</f>
        <v>213577207.39000002</v>
      </c>
      <c r="G47" s="299">
        <f>REMUNERACION_ENEL!G108</f>
        <v>113555337.15000001</v>
      </c>
      <c r="H47" s="299">
        <f>REMUNERACION_ENEL!H108</f>
        <v>1814576452.78</v>
      </c>
      <c r="I47" s="299">
        <f>REMUNERACION_ENEL!I108</f>
        <v>60333537.049999997</v>
      </c>
      <c r="J47" s="291">
        <f>REMUNERACION_ENEL!J108</f>
        <v>-1246473094.4099998</v>
      </c>
      <c r="K47" s="297">
        <f>REMUNERACION_ENEL!K108</f>
        <v>5899305507.75</v>
      </c>
      <c r="L47" s="296">
        <f>REMUNERACION_ENEL!L108</f>
        <v>128990445</v>
      </c>
      <c r="M47" s="300">
        <f>REMUNERACION_ENEL!M108</f>
        <v>5770315062.75</v>
      </c>
      <c r="N47" s="301">
        <f>REMUNERACION_ENEL!N108</f>
        <v>10471696.869999999</v>
      </c>
      <c r="O47" s="300">
        <f>REMUNERACION_ENEL!O108</f>
        <v>5780786759.6199999</v>
      </c>
      <c r="Q47" s="308"/>
      <c r="S47" s="326">
        <v>5</v>
      </c>
      <c r="T47" s="327" t="s">
        <v>14</v>
      </c>
      <c r="U47" s="298">
        <f>REMUNERACION_ENEL!U108</f>
        <v>529345666.76999998</v>
      </c>
      <c r="V47" s="299">
        <f>REMUNERACION_ENEL!V108</f>
        <v>497206705.88</v>
      </c>
      <c r="W47" s="299">
        <f>REMUNERACION_ENEL!W108</f>
        <v>2557912270.1799998</v>
      </c>
      <c r="X47" s="299">
        <f>REMUNERACION_ENEL!X108</f>
        <v>1141268305.71</v>
      </c>
      <c r="Y47" s="291">
        <f>REMUNERACION_ENEL!Y108</f>
        <v>98443570.550000012</v>
      </c>
      <c r="Z47" s="321">
        <f>REMUNERACION_ENEL!Z108</f>
        <v>-128990445</v>
      </c>
      <c r="AA47" s="322">
        <f>REMUNERACION_ENEL!AA108</f>
        <v>11431.07</v>
      </c>
      <c r="AB47" s="296">
        <f>REMUNERACION_ENEL!AB108</f>
        <v>10471696.869999999</v>
      </c>
      <c r="AC47" s="322">
        <f>REMUNERACION_ENEL!AC108</f>
        <v>4.82</v>
      </c>
      <c r="AD47" s="293">
        <f>REMUNERACION_ENEL!AD108</f>
        <v>1075117552.77</v>
      </c>
      <c r="AE47" s="293">
        <f>REMUNERACION_ENEL!AE108</f>
        <v>-171355541.63999999</v>
      </c>
      <c r="AF47" s="324">
        <f>REMUNERACION_ENEL!AF108</f>
        <v>5780786759.6199989</v>
      </c>
      <c r="AG47" s="525">
        <f>REMUNERACION_ENEL!AG108</f>
        <v>0</v>
      </c>
      <c r="AH47" s="1"/>
      <c r="AI47" s="308"/>
      <c r="AM47" s="335"/>
    </row>
    <row r="48" spans="1:39" s="307" customFormat="1" ht="13.8" thickBot="1" x14ac:dyDescent="0.3">
      <c r="B48" s="329"/>
      <c r="C48" s="330" t="s">
        <v>2</v>
      </c>
      <c r="D48" s="292">
        <f>REMUNERACION_ENEL!D109</f>
        <v>50322380909.650002</v>
      </c>
      <c r="E48" s="292">
        <f>REMUNERACION_ENEL!E109</f>
        <v>3029658254.1400003</v>
      </c>
      <c r="F48" s="292">
        <f>REMUNERACION_ENEL!F109</f>
        <v>1684106881.0800002</v>
      </c>
      <c r="G48" s="292">
        <f>REMUNERACION_ENEL!G109</f>
        <v>894896867.24000001</v>
      </c>
      <c r="H48" s="292">
        <f>REMUNERACION_ENEL!H109</f>
        <v>14748197955.860001</v>
      </c>
      <c r="I48" s="292">
        <f>REMUNERACION_ENEL!I109</f>
        <v>516030103.69</v>
      </c>
      <c r="J48" s="292">
        <f>REMUNERACION_ENEL!J109</f>
        <v>-4536942176.5599995</v>
      </c>
      <c r="K48" s="302">
        <f>REMUNERACION_ENEL!K109</f>
        <v>33986433024.199993</v>
      </c>
      <c r="L48" s="303">
        <f>REMUNERACION_ENEL!L109</f>
        <v>859936305</v>
      </c>
      <c r="M48" s="304">
        <f>REMUNERACION_ENEL!M109</f>
        <v>33126496719.199993</v>
      </c>
      <c r="N48" s="303">
        <f>REMUNERACION_ENEL!N109</f>
        <v>49684982.099999994</v>
      </c>
      <c r="O48" s="304">
        <f>REMUNERACION_ENEL!O109</f>
        <v>33176181701.299992</v>
      </c>
      <c r="P48" s="331"/>
      <c r="Q48" s="308"/>
      <c r="S48" s="329"/>
      <c r="T48" s="330" t="s">
        <v>2</v>
      </c>
      <c r="U48" s="332">
        <f>REMUNERACION_ENEL!U109</f>
        <v>4530795171.5100002</v>
      </c>
      <c r="V48" s="332">
        <f>REMUNERACION_ENEL!V109</f>
        <v>4284087717.4300008</v>
      </c>
      <c r="W48" s="332">
        <f>REMUNERACION_ENEL!W109</f>
        <v>20883959302.82</v>
      </c>
      <c r="X48" s="332">
        <f>REMUNERACION_ENEL!X109</f>
        <v>7536621491.8500004</v>
      </c>
      <c r="Y48" s="332">
        <f>REMUNERACION_ENEL!Y109</f>
        <v>842464215.09000015</v>
      </c>
      <c r="Z48" s="292">
        <f>REMUNERACION_ENEL!Z109</f>
        <v>-859936305</v>
      </c>
      <c r="AA48" s="292">
        <f>REMUNERACION_ENEL!AA109</f>
        <v>-74699.210000000021</v>
      </c>
      <c r="AB48" s="292">
        <f>REMUNERACION_ENEL!AB109</f>
        <v>49684982.099999994</v>
      </c>
      <c r="AC48" s="292">
        <f>REMUNERACION_ENEL!AC109</f>
        <v>295.49999999999994</v>
      </c>
      <c r="AD48" s="292">
        <f>REMUNERACION_ENEL!AD109</f>
        <v>-4091420470.7899985</v>
      </c>
      <c r="AE48" s="292">
        <f>REMUNERACION_ENEL!AE109</f>
        <v>-8628362647.3499985</v>
      </c>
      <c r="AF48" s="333">
        <f>REMUNERACION_ENEL!AF109</f>
        <v>33176181701.300003</v>
      </c>
      <c r="AG48" s="526">
        <f>REMUNERACION_ENEL!AG109</f>
        <v>0</v>
      </c>
      <c r="AH48" s="1"/>
      <c r="AI48" s="308"/>
      <c r="AM48" s="335"/>
    </row>
    <row r="49" spans="1:39" ht="12" x14ac:dyDescent="0.25">
      <c r="B49" s="2"/>
      <c r="C49" s="2"/>
      <c r="D49" s="450"/>
      <c r="E49" s="450"/>
      <c r="F49" s="450"/>
      <c r="G49" s="450"/>
      <c r="H49" s="450"/>
      <c r="I49" s="450"/>
      <c r="K49" s="450"/>
      <c r="L49" s="450"/>
      <c r="M49" s="450"/>
      <c r="N49" s="450"/>
      <c r="O49" s="450"/>
      <c r="Q49" s="4"/>
      <c r="S49" s="2"/>
      <c r="T49" s="2"/>
      <c r="U49" s="450"/>
      <c r="V49" s="450"/>
      <c r="W49" s="450"/>
      <c r="X49" s="450"/>
      <c r="Y49" s="450"/>
      <c r="AF49" s="450"/>
      <c r="AI49" s="4"/>
    </row>
    <row r="50" spans="1:39" ht="12" x14ac:dyDescent="0.25">
      <c r="B50" s="2"/>
      <c r="C50" s="2"/>
      <c r="D50" s="541"/>
      <c r="E50" s="541"/>
      <c r="F50" s="541"/>
      <c r="G50" s="541"/>
      <c r="H50" s="541"/>
      <c r="I50" s="541"/>
      <c r="K50" s="541"/>
      <c r="L50" s="541"/>
      <c r="M50" s="541"/>
      <c r="N50" s="541"/>
      <c r="O50" s="541"/>
      <c r="Q50" s="4"/>
      <c r="AI50" s="4"/>
    </row>
    <row r="51" spans="1:39" ht="12" x14ac:dyDescent="0.25">
      <c r="A51" s="4"/>
      <c r="B51" s="34"/>
      <c r="C51" s="34"/>
      <c r="D51" s="476"/>
      <c r="E51" s="476"/>
      <c r="F51" s="476"/>
      <c r="G51" s="476"/>
      <c r="H51" s="476"/>
      <c r="I51" s="476"/>
      <c r="J51" s="4"/>
      <c r="K51" s="476"/>
      <c r="L51" s="476"/>
      <c r="M51" s="476"/>
      <c r="N51" s="476"/>
      <c r="O51" s="47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1"/>
      <c r="E52" s="541"/>
      <c r="F52" s="541"/>
      <c r="G52" s="541"/>
      <c r="H52" s="541"/>
      <c r="I52" s="541"/>
      <c r="K52" s="541"/>
      <c r="L52" s="541"/>
      <c r="M52" s="541"/>
      <c r="N52" s="541"/>
      <c r="O52" s="541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327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7" customFormat="1" ht="12" x14ac:dyDescent="0.25">
      <c r="B60" s="305">
        <v>1</v>
      </c>
      <c r="C60" s="306" t="s">
        <v>10</v>
      </c>
      <c r="D60" s="293">
        <f>REMUNERACION_ENERBIT!D104</f>
        <v>0</v>
      </c>
      <c r="E60" s="293">
        <f>REMUNERACION_ENERBIT!E104</f>
        <v>0</v>
      </c>
      <c r="F60" s="293">
        <f>REMUNERACION_ENERBIT!F104</f>
        <v>0</v>
      </c>
      <c r="G60" s="293">
        <f>REMUNERACION_ENERBIT!G104</f>
        <v>0</v>
      </c>
      <c r="H60" s="293">
        <f>REMUNERACION_ENERBIT!H104</f>
        <v>0</v>
      </c>
      <c r="I60" s="293">
        <f>REMUNERACION_ENERBIT!I104</f>
        <v>0</v>
      </c>
      <c r="J60" s="293">
        <f>REMUNERACION_ENERBIT!J104</f>
        <v>0</v>
      </c>
      <c r="K60" s="295">
        <f>REMUNERACION_ENERBIT!K104</f>
        <v>0</v>
      </c>
      <c r="L60" s="296">
        <f>REMUNERACION_ENERBIT!L104</f>
        <v>0</v>
      </c>
      <c r="M60" s="295">
        <f>REMUNERACION_ENERBIT!M104</f>
        <v>0</v>
      </c>
      <c r="N60" s="296">
        <f>REMUNERACION_ENERBIT!N104</f>
        <v>0</v>
      </c>
      <c r="O60" s="295">
        <f>REMUNERACION_ENERBIT!O104</f>
        <v>0</v>
      </c>
      <c r="Q60" s="308"/>
      <c r="S60" s="305">
        <v>1</v>
      </c>
      <c r="T60" s="306" t="s">
        <v>10</v>
      </c>
      <c r="U60" s="309">
        <f>REMUNERACION_ENERBIT!U104</f>
        <v>0</v>
      </c>
      <c r="V60" s="310">
        <f>REMUNERACION_ENERBIT!V104</f>
        <v>0</v>
      </c>
      <c r="W60" s="310">
        <f>REMUNERACION_ENERBIT!W104</f>
        <v>0</v>
      </c>
      <c r="X60" s="310">
        <f>REMUNERACION_ENERBIT!X104</f>
        <v>0</v>
      </c>
      <c r="Y60" s="311">
        <f>REMUNERACION_ENERBIT!Y104</f>
        <v>0</v>
      </c>
      <c r="Z60" s="311">
        <f>REMUNERACION_ENERBIT!Z104</f>
        <v>0</v>
      </c>
      <c r="AA60" s="311">
        <f>REMUNERACION_ENERBIT!AA104</f>
        <v>0</v>
      </c>
      <c r="AB60" s="311">
        <f>REMUNERACION_ENERBIT!AB104</f>
        <v>0</v>
      </c>
      <c r="AC60" s="311">
        <f>REMUNERACION_ENERBIT!AC104</f>
        <v>0</v>
      </c>
      <c r="AD60" s="311">
        <f>REMUNERACION_ENERBIT!AD104</f>
        <v>0</v>
      </c>
      <c r="AE60" s="311">
        <f>REMUNERACION_ENERBIT!AE104</f>
        <v>0</v>
      </c>
      <c r="AF60" s="315">
        <f>REMUNERACION_ENERBIT!AF104</f>
        <v>0</v>
      </c>
      <c r="AG60" s="523">
        <f>REMUNERACION_ENEL!AG121</f>
        <v>0</v>
      </c>
      <c r="AH60" s="1"/>
      <c r="AI60" s="308"/>
      <c r="AM60" s="335"/>
    </row>
    <row r="61" spans="1:39" s="307" customFormat="1" ht="12" x14ac:dyDescent="0.25">
      <c r="B61" s="316">
        <v>2</v>
      </c>
      <c r="C61" s="317" t="s">
        <v>11</v>
      </c>
      <c r="D61" s="293">
        <f>REMUNERACION_ENERBIT!D105</f>
        <v>0</v>
      </c>
      <c r="E61" s="293">
        <f>REMUNERACION_ENERBIT!E105</f>
        <v>0</v>
      </c>
      <c r="F61" s="293">
        <f>REMUNERACION_ENERBIT!F105</f>
        <v>0</v>
      </c>
      <c r="G61" s="293">
        <f>REMUNERACION_ENERBIT!G105</f>
        <v>0</v>
      </c>
      <c r="H61" s="293">
        <f>REMUNERACION_ENERBIT!H105</f>
        <v>0</v>
      </c>
      <c r="I61" s="293">
        <f>REMUNERACION_ENERBIT!I105</f>
        <v>0</v>
      </c>
      <c r="J61" s="293">
        <f>REMUNERACION_ENERBIT!J105</f>
        <v>0</v>
      </c>
      <c r="K61" s="297">
        <f>REMUNERACION_ENERBIT!K105</f>
        <v>0</v>
      </c>
      <c r="L61" s="296">
        <f>REMUNERACION_ENERBIT!L105</f>
        <v>0</v>
      </c>
      <c r="M61" s="297">
        <f>REMUNERACION_ENERBIT!M105</f>
        <v>0</v>
      </c>
      <c r="N61" s="296">
        <f>REMUNERACION_ENERBIT!N105</f>
        <v>0</v>
      </c>
      <c r="O61" s="297">
        <f>REMUNERACION_ENERBIT!O105</f>
        <v>0</v>
      </c>
      <c r="Q61" s="308"/>
      <c r="S61" s="316">
        <v>2</v>
      </c>
      <c r="T61" s="317" t="s">
        <v>11</v>
      </c>
      <c r="U61" s="318">
        <f>REMUNERACION_ENERBIT!U105</f>
        <v>0</v>
      </c>
      <c r="V61" s="319">
        <f>REMUNERACION_ENERBIT!V105</f>
        <v>0</v>
      </c>
      <c r="W61" s="319">
        <f>REMUNERACION_ENERBIT!W105</f>
        <v>0</v>
      </c>
      <c r="X61" s="319">
        <f>REMUNERACION_ENERBIT!X105</f>
        <v>0</v>
      </c>
      <c r="Y61" s="320">
        <f>REMUNERACION_ENERBIT!Y105</f>
        <v>0</v>
      </c>
      <c r="Z61" s="320">
        <f>REMUNERACION_ENERBIT!Z105</f>
        <v>0</v>
      </c>
      <c r="AA61" s="320">
        <f>REMUNERACION_ENERBIT!AA105</f>
        <v>0</v>
      </c>
      <c r="AB61" s="320">
        <f>REMUNERACION_ENERBIT!AB105</f>
        <v>0</v>
      </c>
      <c r="AC61" s="320">
        <f>REMUNERACION_ENERBIT!AC105</f>
        <v>0</v>
      </c>
      <c r="AD61" s="320">
        <f>REMUNERACION_ENERBIT!AD105</f>
        <v>0</v>
      </c>
      <c r="AE61" s="320">
        <f>REMUNERACION_ENERBIT!AE105</f>
        <v>0</v>
      </c>
      <c r="AF61" s="324">
        <f>REMUNERACION_ENERBIT!AF105</f>
        <v>0</v>
      </c>
      <c r="AG61" s="524">
        <f>REMUNERACION_ENEL!AG122</f>
        <v>0</v>
      </c>
      <c r="AH61" s="1"/>
      <c r="AI61" s="308"/>
      <c r="AM61" s="335"/>
    </row>
    <row r="62" spans="1:39" s="307" customFormat="1" ht="12" x14ac:dyDescent="0.25">
      <c r="B62" s="316">
        <v>3</v>
      </c>
      <c r="C62" s="317" t="s">
        <v>12</v>
      </c>
      <c r="D62" s="293">
        <f>REMUNERACION_ENERBIT!D106</f>
        <v>0</v>
      </c>
      <c r="E62" s="293">
        <f>REMUNERACION_ENERBIT!E106</f>
        <v>0</v>
      </c>
      <c r="F62" s="293">
        <f>REMUNERACION_ENERBIT!F106</f>
        <v>0</v>
      </c>
      <c r="G62" s="293">
        <f>REMUNERACION_ENERBIT!G106</f>
        <v>0</v>
      </c>
      <c r="H62" s="293">
        <f>REMUNERACION_ENERBIT!H106</f>
        <v>0</v>
      </c>
      <c r="I62" s="293">
        <f>REMUNERACION_ENERBIT!I106</f>
        <v>0</v>
      </c>
      <c r="J62" s="293">
        <f>REMUNERACION_ENERBIT!J106</f>
        <v>0</v>
      </c>
      <c r="K62" s="297">
        <f>REMUNERACION_ENERBIT!K106</f>
        <v>0</v>
      </c>
      <c r="L62" s="296">
        <f>REMUNERACION_ENERBIT!L106</f>
        <v>0</v>
      </c>
      <c r="M62" s="297">
        <f>REMUNERACION_ENERBIT!M106</f>
        <v>0</v>
      </c>
      <c r="N62" s="296">
        <f>REMUNERACION_ENERBIT!N106</f>
        <v>0</v>
      </c>
      <c r="O62" s="297">
        <f>REMUNERACION_ENERBIT!O106</f>
        <v>0</v>
      </c>
      <c r="Q62" s="308"/>
      <c r="S62" s="316">
        <v>3</v>
      </c>
      <c r="T62" s="317" t="s">
        <v>12</v>
      </c>
      <c r="U62" s="318">
        <f>REMUNERACION_ENERBIT!U106</f>
        <v>0</v>
      </c>
      <c r="V62" s="319">
        <f>REMUNERACION_ENERBIT!V106</f>
        <v>0</v>
      </c>
      <c r="W62" s="319">
        <f>REMUNERACION_ENERBIT!W106</f>
        <v>0</v>
      </c>
      <c r="X62" s="319">
        <f>REMUNERACION_ENERBIT!X106</f>
        <v>0</v>
      </c>
      <c r="Y62" s="320">
        <f>REMUNERACION_ENERBIT!Y106</f>
        <v>0</v>
      </c>
      <c r="Z62" s="320">
        <f>REMUNERACION_ENERBIT!Z106</f>
        <v>0</v>
      </c>
      <c r="AA62" s="320">
        <f>REMUNERACION_ENERBIT!AA106</f>
        <v>0</v>
      </c>
      <c r="AB62" s="320">
        <f>REMUNERACION_ENERBIT!AB106</f>
        <v>0</v>
      </c>
      <c r="AC62" s="320">
        <f>REMUNERACION_ENERBIT!AC106</f>
        <v>0</v>
      </c>
      <c r="AD62" s="320">
        <f>REMUNERACION_ENERBIT!AD106</f>
        <v>0</v>
      </c>
      <c r="AE62" s="320">
        <f>REMUNERACION_ENERBIT!AE106</f>
        <v>0</v>
      </c>
      <c r="AF62" s="324">
        <f>REMUNERACION_ENERBIT!AF106</f>
        <v>0</v>
      </c>
      <c r="AG62" s="524">
        <f>REMUNERACION_ENEL!AG123</f>
        <v>0</v>
      </c>
      <c r="AH62" s="1"/>
      <c r="AI62" s="308"/>
      <c r="AM62" s="335"/>
    </row>
    <row r="63" spans="1:39" s="307" customFormat="1" ht="12" x14ac:dyDescent="0.25">
      <c r="B63" s="316">
        <v>4</v>
      </c>
      <c r="C63" s="317" t="s">
        <v>13</v>
      </c>
      <c r="D63" s="293">
        <f>REMUNERACION_ENERBIT!D107</f>
        <v>0</v>
      </c>
      <c r="E63" s="293">
        <f>REMUNERACION_ENERBIT!E107</f>
        <v>0</v>
      </c>
      <c r="F63" s="293">
        <f>REMUNERACION_ENERBIT!F107</f>
        <v>0</v>
      </c>
      <c r="G63" s="293">
        <f>REMUNERACION_ENERBIT!G107</f>
        <v>0</v>
      </c>
      <c r="H63" s="293">
        <f>REMUNERACION_ENERBIT!H107</f>
        <v>0</v>
      </c>
      <c r="I63" s="293">
        <f>REMUNERACION_ENERBIT!I107</f>
        <v>0</v>
      </c>
      <c r="J63" s="293">
        <f>REMUNERACION_ENERBIT!J107</f>
        <v>0</v>
      </c>
      <c r="K63" s="297">
        <f>REMUNERACION_ENERBIT!K107</f>
        <v>0</v>
      </c>
      <c r="L63" s="296">
        <f>REMUNERACION_ENERBIT!L107</f>
        <v>0</v>
      </c>
      <c r="M63" s="297">
        <f>REMUNERACION_ENERBIT!M107</f>
        <v>0</v>
      </c>
      <c r="N63" s="296">
        <f>REMUNERACION_ENERBIT!N107</f>
        <v>0</v>
      </c>
      <c r="O63" s="297">
        <f>REMUNERACION_ENERBIT!O107</f>
        <v>0</v>
      </c>
      <c r="Q63" s="308"/>
      <c r="S63" s="316">
        <v>4</v>
      </c>
      <c r="T63" s="317" t="s">
        <v>13</v>
      </c>
      <c r="U63" s="318">
        <f>REMUNERACION_ENERBIT!U107</f>
        <v>0</v>
      </c>
      <c r="V63" s="319">
        <f>REMUNERACION_ENERBIT!V107</f>
        <v>0</v>
      </c>
      <c r="W63" s="319">
        <f>REMUNERACION_ENERBIT!W107</f>
        <v>0</v>
      </c>
      <c r="X63" s="319">
        <f>REMUNERACION_ENERBIT!X107</f>
        <v>0</v>
      </c>
      <c r="Y63" s="320">
        <f>REMUNERACION_ENERBIT!Y107</f>
        <v>0</v>
      </c>
      <c r="Z63" s="320">
        <f>REMUNERACION_ENERBIT!Z107</f>
        <v>0</v>
      </c>
      <c r="AA63" s="320">
        <f>REMUNERACION_ENERBIT!AA107</f>
        <v>0</v>
      </c>
      <c r="AB63" s="320">
        <f>REMUNERACION_ENERBIT!AB107</f>
        <v>0</v>
      </c>
      <c r="AC63" s="320">
        <f>REMUNERACION_ENERBIT!AC107</f>
        <v>0</v>
      </c>
      <c r="AD63" s="320">
        <f>REMUNERACION_ENERBIT!AD107</f>
        <v>0</v>
      </c>
      <c r="AE63" s="320">
        <f>REMUNERACION_ENERBIT!AE107</f>
        <v>0</v>
      </c>
      <c r="AF63" s="324">
        <f>REMUNERACION_ENERBIT!AF107</f>
        <v>0</v>
      </c>
      <c r="AG63" s="524">
        <f>REMUNERACION_ENEL!AG124</f>
        <v>0</v>
      </c>
      <c r="AH63" s="1"/>
      <c r="AI63" s="308"/>
      <c r="AM63" s="335"/>
    </row>
    <row r="64" spans="1:39" s="307" customFormat="1" ht="12.6" thickBot="1" x14ac:dyDescent="0.3">
      <c r="B64" s="326">
        <v>5</v>
      </c>
      <c r="C64" s="327" t="s">
        <v>14</v>
      </c>
      <c r="D64" s="293">
        <f>REMUNERACION_ENERBIT!D108</f>
        <v>139510580</v>
      </c>
      <c r="E64" s="293">
        <f>REMUNERACION_ENERBIT!E108</f>
        <v>8666290.4399999995</v>
      </c>
      <c r="F64" s="293">
        <f>REMUNERACION_ENERBIT!F108</f>
        <v>4836297.78</v>
      </c>
      <c r="G64" s="293">
        <f>REMUNERACION_ENERBIT!G108</f>
        <v>2584164.52</v>
      </c>
      <c r="H64" s="293">
        <f>REMUNERACION_ENERBIT!H108</f>
        <v>38419843.039999999</v>
      </c>
      <c r="I64" s="293">
        <f>REMUNERACION_ENERBIT!I108</f>
        <v>1269098.3899999999</v>
      </c>
      <c r="J64" s="293">
        <f>REMUNERACION_ENERBIT!J108</f>
        <v>0</v>
      </c>
      <c r="K64" s="297">
        <f>REMUNERACION_ENERBIT!K108</f>
        <v>83734885.829999998</v>
      </c>
      <c r="L64" s="296">
        <f>REMUNERACION_ENERBIT!L108</f>
        <v>0</v>
      </c>
      <c r="M64" s="300">
        <f>REMUNERACION_ENERBIT!M108</f>
        <v>83734885.829999998</v>
      </c>
      <c r="N64" s="301">
        <f>REMUNERACION_ENERBIT!N108</f>
        <v>0</v>
      </c>
      <c r="O64" s="300">
        <f>REMUNERACION_ENERBIT!O108</f>
        <v>83734885.829999998</v>
      </c>
      <c r="Q64" s="308"/>
      <c r="S64" s="326">
        <v>5</v>
      </c>
      <c r="T64" s="327" t="s">
        <v>14</v>
      </c>
      <c r="U64" s="298">
        <f>REMUNERACION_ENERBIT!U108</f>
        <v>11146402.07</v>
      </c>
      <c r="V64" s="299">
        <f>REMUNERACION_ENERBIT!V108</f>
        <v>10565640.77</v>
      </c>
      <c r="W64" s="299">
        <f>REMUNERACION_ENERBIT!W108</f>
        <v>54685399.630000003</v>
      </c>
      <c r="X64" s="299">
        <f>REMUNERACION_ENERBIT!X108</f>
        <v>25943616.440000001</v>
      </c>
      <c r="Y64" s="291">
        <f>REMUNERACION_ENERBIT!Y108</f>
        <v>2070340.36</v>
      </c>
      <c r="Z64" s="291">
        <f>REMUNERACION_ENERBIT!Z108</f>
        <v>0</v>
      </c>
      <c r="AA64" s="291">
        <f>REMUNERACION_ENERBIT!AA108</f>
        <v>-206.46</v>
      </c>
      <c r="AB64" s="291">
        <f>REMUNERACION_ENERBIT!AB108</f>
        <v>0</v>
      </c>
      <c r="AC64" s="291">
        <f>REMUNERACION_ENERBIT!AC108</f>
        <v>-0.01</v>
      </c>
      <c r="AD64" s="291">
        <f>REMUNERACION_ENERBIT!AD108</f>
        <v>-20676306.969999999</v>
      </c>
      <c r="AE64" s="291">
        <f>REMUNERACION_ENERBIT!AE108</f>
        <v>-20676306.969999999</v>
      </c>
      <c r="AF64" s="324">
        <f>REMUNERACION_ENERBIT!AF108</f>
        <v>83734885.829999998</v>
      </c>
      <c r="AG64" s="525">
        <f>REMUNERACION_ENEL!AG125</f>
        <v>0</v>
      </c>
      <c r="AH64" s="1"/>
      <c r="AI64" s="308"/>
      <c r="AM64" s="335"/>
    </row>
    <row r="65" spans="1:39" s="307" customFormat="1" ht="13.8" thickBot="1" x14ac:dyDescent="0.3">
      <c r="B65" s="329"/>
      <c r="C65" s="330" t="s">
        <v>2</v>
      </c>
      <c r="D65" s="292">
        <f>REMUNERACION_ENERBIT!D109</f>
        <v>139510580</v>
      </c>
      <c r="E65" s="292">
        <f>REMUNERACION_ENERBIT!E109</f>
        <v>8666290.4399999995</v>
      </c>
      <c r="F65" s="292">
        <f>REMUNERACION_ENERBIT!F109</f>
        <v>4836297.78</v>
      </c>
      <c r="G65" s="292">
        <f>REMUNERACION_ENERBIT!G109</f>
        <v>2584164.52</v>
      </c>
      <c r="H65" s="292">
        <f>REMUNERACION_ENERBIT!H109</f>
        <v>38419843.039999999</v>
      </c>
      <c r="I65" s="292">
        <f>REMUNERACION_ENERBIT!I109</f>
        <v>1269098.3899999999</v>
      </c>
      <c r="J65" s="292">
        <f>REMUNERACION_ENERBIT!J109</f>
        <v>0</v>
      </c>
      <c r="K65" s="302">
        <f>REMUNERACION_ENERBIT!K109</f>
        <v>83734885.829999998</v>
      </c>
      <c r="L65" s="303">
        <f>REMUNERACION_ENERBIT!L109</f>
        <v>0</v>
      </c>
      <c r="M65" s="304">
        <f>REMUNERACION_ENERBIT!M109</f>
        <v>83734885.829999998</v>
      </c>
      <c r="N65" s="303">
        <f>REMUNERACION_ENERBIT!N109</f>
        <v>0</v>
      </c>
      <c r="O65" s="304">
        <f>REMUNERACION_ENERBIT!O109</f>
        <v>83734885.829999998</v>
      </c>
      <c r="P65" s="331"/>
      <c r="Q65" s="308"/>
      <c r="S65" s="329"/>
      <c r="T65" s="330" t="s">
        <v>2</v>
      </c>
      <c r="U65" s="332">
        <f>REMUNERACION_ENERBIT!U109</f>
        <v>11146402.07</v>
      </c>
      <c r="V65" s="332">
        <f>REMUNERACION_ENERBIT!V109</f>
        <v>10565640.77</v>
      </c>
      <c r="W65" s="332">
        <f>REMUNERACION_ENERBIT!W109</f>
        <v>54685399.630000003</v>
      </c>
      <c r="X65" s="332">
        <f>REMUNERACION_ENERBIT!X109</f>
        <v>25943616.440000001</v>
      </c>
      <c r="Y65" s="332">
        <f>REMUNERACION_ENERBIT!Y109</f>
        <v>2070340.36</v>
      </c>
      <c r="Z65" s="332">
        <f>REMUNERACION_ENERBIT!Z109</f>
        <v>0</v>
      </c>
      <c r="AA65" s="332">
        <f>REMUNERACION_ENERBIT!AA109</f>
        <v>-206.46</v>
      </c>
      <c r="AB65" s="332">
        <f>REMUNERACION_ENERBIT!AB109</f>
        <v>0</v>
      </c>
      <c r="AC65" s="332">
        <f>REMUNERACION_ENERBIT!AC109</f>
        <v>-0.01</v>
      </c>
      <c r="AD65" s="332">
        <f>REMUNERACION_ENERBIT!AD109</f>
        <v>-20676306.969999999</v>
      </c>
      <c r="AE65" s="332">
        <f>REMUNERACION_ENERBIT!AE109</f>
        <v>-20676306.969999999</v>
      </c>
      <c r="AF65" s="333">
        <f>REMUNERACION_ENERBIT!AF109</f>
        <v>83734885.829999998</v>
      </c>
      <c r="AG65" s="526">
        <f>REMUNERACION_ENEL!AG126</f>
        <v>0</v>
      </c>
      <c r="AH65" s="1"/>
      <c r="AI65" s="308"/>
      <c r="AM65" s="335"/>
    </row>
    <row r="66" spans="1:39" ht="12" x14ac:dyDescent="0.25">
      <c r="B66" s="2"/>
      <c r="C66" s="2"/>
      <c r="D66" s="450"/>
      <c r="E66" s="450"/>
      <c r="F66" s="450"/>
      <c r="G66" s="450"/>
      <c r="H66" s="450"/>
      <c r="I66" s="450"/>
      <c r="K66" s="450"/>
      <c r="L66" s="450"/>
      <c r="M66" s="450"/>
      <c r="N66" s="450"/>
      <c r="O66" s="450"/>
      <c r="Q66" s="4"/>
      <c r="S66" s="2"/>
      <c r="T66" s="2"/>
      <c r="U66" s="450"/>
      <c r="V66" s="450"/>
      <c r="W66" s="450"/>
      <c r="X66" s="450"/>
      <c r="Y66" s="450"/>
      <c r="AF66" s="450"/>
      <c r="AI66" s="4"/>
    </row>
    <row r="67" spans="1:39" ht="12" x14ac:dyDescent="0.25">
      <c r="B67" s="2"/>
      <c r="C67" s="2"/>
      <c r="D67" s="541"/>
      <c r="E67" s="541"/>
      <c r="F67" s="541"/>
      <c r="G67" s="541"/>
      <c r="H67" s="541"/>
      <c r="I67" s="541"/>
      <c r="K67" s="541"/>
      <c r="L67" s="541"/>
      <c r="M67" s="541"/>
      <c r="N67" s="541"/>
      <c r="O67" s="541"/>
      <c r="Q67" s="4"/>
      <c r="AI67" s="4"/>
    </row>
    <row r="68" spans="1:39" ht="12.6" thickBot="1" x14ac:dyDescent="0.3">
      <c r="A68" s="4"/>
      <c r="B68" s="34"/>
      <c r="C68" s="34"/>
      <c r="D68" s="476"/>
      <c r="E68" s="476"/>
      <c r="F68" s="476"/>
      <c r="G68" s="476"/>
      <c r="H68" s="476"/>
      <c r="I68" s="476"/>
      <c r="J68" s="4"/>
      <c r="K68" s="476"/>
      <c r="L68" s="476"/>
      <c r="M68" s="476"/>
      <c r="N68" s="476"/>
      <c r="O68" s="47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8" t="s">
        <v>187</v>
      </c>
      <c r="G73" s="478"/>
      <c r="H73" s="479"/>
      <c r="I73" s="480"/>
      <c r="J73" s="479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7" customFormat="1" ht="12" x14ac:dyDescent="0.25">
      <c r="B76" s="305">
        <v>1</v>
      </c>
      <c r="C76" s="306" t="s">
        <v>10</v>
      </c>
      <c r="D76" s="293">
        <f>'REMUNERACION_OCCIDENTE_ Directa'!D104</f>
        <v>347479005.47999996</v>
      </c>
      <c r="E76" s="294">
        <f>'REMUNERACION_OCCIDENTE_ Directa'!E104</f>
        <v>33709786.700000003</v>
      </c>
      <c r="F76" s="294">
        <f>'REMUNERACION_OCCIDENTE_ Directa'!F104</f>
        <v>18797012.640000001</v>
      </c>
      <c r="G76" s="294">
        <f>'REMUNERACION_OCCIDENTE_ Directa'!G104</f>
        <v>10025566.59</v>
      </c>
      <c r="H76" s="294">
        <f>'REMUNERACION_OCCIDENTE_ Directa'!H104</f>
        <v>39843271.020000003</v>
      </c>
      <c r="I76" s="294">
        <f>'REMUNERACION_OCCIDENTE_ Directa'!I104</f>
        <v>1197924.1499999999</v>
      </c>
      <c r="J76" s="290">
        <f>'REMUNERACION_OCCIDENTE_ Directa'!J104</f>
        <v>0</v>
      </c>
      <c r="K76" s="295">
        <f>'REMUNERACION_OCCIDENTE_ Directa'!K104</f>
        <v>243905444.38</v>
      </c>
      <c r="L76" s="296">
        <f>'REMUNERACION_OCCIDENTE_ Directa'!L104</f>
        <v>0</v>
      </c>
      <c r="M76" s="295">
        <f>'REMUNERACION_OCCIDENTE_ Directa'!M104</f>
        <v>243905444.38</v>
      </c>
      <c r="N76" s="296">
        <f>'REMUNERACION_OCCIDENTE_ Directa'!N104</f>
        <v>9993768.9299999997</v>
      </c>
      <c r="O76" s="295">
        <f>'REMUNERACION_OCCIDENTE_ Directa'!O104</f>
        <v>253899213.31</v>
      </c>
      <c r="Q76" s="308"/>
      <c r="S76" s="305">
        <v>1</v>
      </c>
      <c r="T76" s="306" t="s">
        <v>10</v>
      </c>
      <c r="U76" s="309">
        <f>'REMUNERACION_OCCIDENTE_ Directa'!U104</f>
        <v>10408704.110000001</v>
      </c>
      <c r="V76" s="310">
        <f>'REMUNERACION_OCCIDENTE_ Directa'!V104</f>
        <v>13142457.219999999</v>
      </c>
      <c r="W76" s="310">
        <f>'REMUNERACION_OCCIDENTE_ Directa'!W104</f>
        <v>62102345.619999997</v>
      </c>
      <c r="X76" s="310">
        <f>'REMUNERACION_OCCIDENTE_ Directa'!X104</f>
        <v>92068448.899999991</v>
      </c>
      <c r="Y76" s="311">
        <f>'REMUNERACION_OCCIDENTE_ Directa'!Y104</f>
        <v>1953275.67</v>
      </c>
      <c r="Z76" s="312">
        <f>'REMUNERACION_OCCIDENTE_ Directa'!Z104</f>
        <v>0</v>
      </c>
      <c r="AA76" s="313">
        <f>'REMUNERACION_OCCIDENTE_ Directa'!AA104</f>
        <v>-3450.4900000000002</v>
      </c>
      <c r="AB76" s="296">
        <f>'REMUNERACION_OCCIDENTE_ Directa'!AB104</f>
        <v>9993768.9299999997</v>
      </c>
      <c r="AC76" s="313">
        <f>'REMUNERACION_OCCIDENTE_ Directa'!AC104</f>
        <v>0.09</v>
      </c>
      <c r="AD76" s="293">
        <f>'REMUNERACION_OCCIDENTE_ Directa'!AD104</f>
        <v>64233663.259999998</v>
      </c>
      <c r="AE76" s="293">
        <f>'REMUNERACION_OCCIDENTE_ Directa'!AE104</f>
        <v>64233663.259999998</v>
      </c>
      <c r="AF76" s="315">
        <f>'REMUNERACION_OCCIDENTE_ Directa'!AF104</f>
        <v>253899213.30999994</v>
      </c>
      <c r="AG76" s="523">
        <f>'REMUNERACION_OCCIDENTE_ Directa'!AG104</f>
        <v>0</v>
      </c>
      <c r="AH76" s="1"/>
      <c r="AI76" s="308"/>
      <c r="AM76" s="335"/>
    </row>
    <row r="77" spans="1:39" s="307" customFormat="1" ht="12" x14ac:dyDescent="0.25">
      <c r="B77" s="316">
        <v>2</v>
      </c>
      <c r="C77" s="317" t="s">
        <v>11</v>
      </c>
      <c r="D77" s="293">
        <f>'REMUNERACION_OCCIDENTE_ Directa'!D105</f>
        <v>982936724.74000001</v>
      </c>
      <c r="E77" s="294">
        <f>'REMUNERACION_OCCIDENTE_ Directa'!E105</f>
        <v>115436394.94000001</v>
      </c>
      <c r="F77" s="294">
        <f>'REMUNERACION_OCCIDENTE_ Directa'!F105</f>
        <v>63728128.359999999</v>
      </c>
      <c r="G77" s="294">
        <f>'REMUNERACION_OCCIDENTE_ Directa'!G105</f>
        <v>33622815.390000001</v>
      </c>
      <c r="H77" s="294">
        <f>'REMUNERACION_OCCIDENTE_ Directa'!H105</f>
        <v>121933633.41</v>
      </c>
      <c r="I77" s="294">
        <f>'REMUNERACION_OCCIDENTE_ Directa'!I105</f>
        <v>3243143.4400000004</v>
      </c>
      <c r="J77" s="290">
        <f>'REMUNERACION_OCCIDENTE_ Directa'!J105</f>
        <v>0</v>
      </c>
      <c r="K77" s="297">
        <f>'REMUNERACION_OCCIDENTE_ Directa'!K105</f>
        <v>644972609.19999993</v>
      </c>
      <c r="L77" s="296">
        <f>'REMUNERACION_OCCIDENTE_ Directa'!L105</f>
        <v>0</v>
      </c>
      <c r="M77" s="297">
        <f>'REMUNERACION_OCCIDENTE_ Directa'!M105</f>
        <v>644972609.19999993</v>
      </c>
      <c r="N77" s="296">
        <f>'REMUNERACION_OCCIDENTE_ Directa'!N105</f>
        <v>3112272.6</v>
      </c>
      <c r="O77" s="297">
        <f>'REMUNERACION_OCCIDENTE_ Directa'!O105</f>
        <v>648084881.79999995</v>
      </c>
      <c r="Q77" s="308"/>
      <c r="S77" s="316">
        <v>2</v>
      </c>
      <c r="T77" s="317" t="s">
        <v>11</v>
      </c>
      <c r="U77" s="318">
        <f>'REMUNERACION_OCCIDENTE_ Directa'!U105</f>
        <v>29276419.260000002</v>
      </c>
      <c r="V77" s="319">
        <f>'REMUNERACION_OCCIDENTE_ Directa'!V105</f>
        <v>38290352.970000006</v>
      </c>
      <c r="W77" s="319">
        <f>'REMUNERACION_OCCIDENTE_ Directa'!W105</f>
        <v>179643026.97</v>
      </c>
      <c r="X77" s="319">
        <f>'REMUNERACION_OCCIDENTE_ Directa'!X105</f>
        <v>229525936.09999999</v>
      </c>
      <c r="Y77" s="320">
        <f>'REMUNERACION_OCCIDENTE_ Directa'!Y105</f>
        <v>5254369.2600000007</v>
      </c>
      <c r="Z77" s="321">
        <f>'REMUNERACION_OCCIDENTE_ Directa'!Z105</f>
        <v>0</v>
      </c>
      <c r="AA77" s="322">
        <f>'REMUNERACION_OCCIDENTE_ Directa'!AA105</f>
        <v>-896.78</v>
      </c>
      <c r="AB77" s="296">
        <f>'REMUNERACION_OCCIDENTE_ Directa'!AB105</f>
        <v>3112272.6</v>
      </c>
      <c r="AC77" s="322">
        <f>'REMUNERACION_OCCIDENTE_ Directa'!AC105</f>
        <v>6703090.0899999999</v>
      </c>
      <c r="AD77" s="293">
        <f>'REMUNERACION_OCCIDENTE_ Directa'!AD105</f>
        <v>156280311.33000001</v>
      </c>
      <c r="AE77" s="293">
        <f>'REMUNERACION_OCCIDENTE_ Directa'!AE105</f>
        <v>156280311.33000001</v>
      </c>
      <c r="AF77" s="324">
        <f>'REMUNERACION_OCCIDENTE_ Directa'!AF105</f>
        <v>648084881.79999995</v>
      </c>
      <c r="AG77" s="524">
        <f>'REMUNERACION_OCCIDENTE_ Directa'!AG105</f>
        <v>0</v>
      </c>
      <c r="AH77" s="1"/>
      <c r="AI77" s="308"/>
      <c r="AM77" s="335"/>
    </row>
    <row r="78" spans="1:39" s="307" customFormat="1" ht="12" x14ac:dyDescent="0.25">
      <c r="B78" s="316">
        <v>3</v>
      </c>
      <c r="C78" s="317" t="s">
        <v>12</v>
      </c>
      <c r="D78" s="293">
        <f>'REMUNERACION_OCCIDENTE_ Directa'!D106</f>
        <v>429594685.46999997</v>
      </c>
      <c r="E78" s="294">
        <f>'REMUNERACION_OCCIDENTE_ Directa'!E106</f>
        <v>49800648.590000004</v>
      </c>
      <c r="F78" s="294">
        <f>'REMUNERACION_OCCIDENTE_ Directa'!F106</f>
        <v>28117430.219999999</v>
      </c>
      <c r="G78" s="294">
        <f>'REMUNERACION_OCCIDENTE_ Directa'!G106</f>
        <v>14729119.52</v>
      </c>
      <c r="H78" s="294">
        <f>'REMUNERACION_OCCIDENTE_ Directa'!H106</f>
        <v>22547115.34</v>
      </c>
      <c r="I78" s="294">
        <f>'REMUNERACION_OCCIDENTE_ Directa'!I106</f>
        <v>656222.57999999996</v>
      </c>
      <c r="J78" s="290">
        <f>'REMUNERACION_OCCIDENTE_ Directa'!J106</f>
        <v>0</v>
      </c>
      <c r="K78" s="297">
        <f>'REMUNERACION_OCCIDENTE_ Directa'!K106</f>
        <v>313744149.22000003</v>
      </c>
      <c r="L78" s="296">
        <f>'REMUNERACION_OCCIDENTE_ Directa'!L106</f>
        <v>0</v>
      </c>
      <c r="M78" s="297">
        <f>'REMUNERACION_OCCIDENTE_ Directa'!M106</f>
        <v>313744149.22000003</v>
      </c>
      <c r="N78" s="296">
        <f>'REMUNERACION_OCCIDENTE_ Directa'!N106</f>
        <v>4811611.8099999996</v>
      </c>
      <c r="O78" s="297">
        <f>'REMUNERACION_OCCIDENTE_ Directa'!O106</f>
        <v>318555761.03000003</v>
      </c>
      <c r="Q78" s="308"/>
      <c r="S78" s="316">
        <v>3</v>
      </c>
      <c r="T78" s="317" t="s">
        <v>12</v>
      </c>
      <c r="U78" s="318">
        <f>'REMUNERACION_OCCIDENTE_ Directa'!U106</f>
        <v>5782625.6299999999</v>
      </c>
      <c r="V78" s="319">
        <f>'REMUNERACION_OCCIDENTE_ Directa'!V106</f>
        <v>7498488.0099999998</v>
      </c>
      <c r="W78" s="319">
        <f>'REMUNERACION_OCCIDENTE_ Directa'!W106</f>
        <v>35441043.390000001</v>
      </c>
      <c r="X78" s="319">
        <f>'REMUNERACION_OCCIDENTE_ Directa'!X106</f>
        <v>117928796.84</v>
      </c>
      <c r="Y78" s="320">
        <f>'REMUNERACION_OCCIDENTE_ Directa'!Y106</f>
        <v>1079402.4700000002</v>
      </c>
      <c r="Z78" s="321">
        <f>'REMUNERACION_OCCIDENTE_ Directa'!Z106</f>
        <v>0</v>
      </c>
      <c r="AA78" s="322">
        <f>'REMUNERACION_OCCIDENTE_ Directa'!AA106</f>
        <v>794.36</v>
      </c>
      <c r="AB78" s="296">
        <f>'REMUNERACION_OCCIDENTE_ Directa'!AB106</f>
        <v>4811611.8099999996</v>
      </c>
      <c r="AC78" s="322">
        <f>'REMUNERACION_OCCIDENTE_ Directa'!AC106</f>
        <v>-41621.01</v>
      </c>
      <c r="AD78" s="293">
        <f>'REMUNERACION_OCCIDENTE_ Directa'!AD106</f>
        <v>146054619.53</v>
      </c>
      <c r="AE78" s="293">
        <f>'REMUNERACION_OCCIDENTE_ Directa'!AE106</f>
        <v>146054619.53</v>
      </c>
      <c r="AF78" s="324">
        <f>'REMUNERACION_OCCIDENTE_ Directa'!AF106</f>
        <v>318555761.03000003</v>
      </c>
      <c r="AG78" s="524">
        <f>'REMUNERACION_OCCIDENTE_ Directa'!AG106</f>
        <v>0</v>
      </c>
      <c r="AH78" s="1"/>
      <c r="AI78" s="308"/>
      <c r="AM78" s="335"/>
    </row>
    <row r="79" spans="1:39" s="307" customFormat="1" ht="12" x14ac:dyDescent="0.25">
      <c r="B79" s="316">
        <v>4</v>
      </c>
      <c r="C79" s="317" t="s">
        <v>13</v>
      </c>
      <c r="D79" s="293">
        <f>'REMUNERACION_OCCIDENTE_ Directa'!D107</f>
        <v>594430569.70000005</v>
      </c>
      <c r="E79" s="294">
        <f>'REMUNERACION_OCCIDENTE_ Directa'!E107</f>
        <v>52180056.310000002</v>
      </c>
      <c r="F79" s="294">
        <f>'REMUNERACION_OCCIDENTE_ Directa'!F107</f>
        <v>28623382.409999996</v>
      </c>
      <c r="G79" s="294">
        <f>'REMUNERACION_OCCIDENTE_ Directa'!G107</f>
        <v>15658370.209999997</v>
      </c>
      <c r="H79" s="294">
        <f>'REMUNERACION_OCCIDENTE_ Directa'!H107</f>
        <v>64319157.820000008</v>
      </c>
      <c r="I79" s="294">
        <f>'REMUNERACION_OCCIDENTE_ Directa'!I107</f>
        <v>1855358.4400000002</v>
      </c>
      <c r="J79" s="290">
        <f>'REMUNERACION_OCCIDENTE_ Directa'!J107</f>
        <v>0</v>
      </c>
      <c r="K79" s="297">
        <f>'REMUNERACION_OCCIDENTE_ Directa'!K107</f>
        <v>431794244.51000017</v>
      </c>
      <c r="L79" s="296">
        <f>'REMUNERACION_OCCIDENTE_ Directa'!L107</f>
        <v>0</v>
      </c>
      <c r="M79" s="297">
        <f>'REMUNERACION_OCCIDENTE_ Directa'!M107</f>
        <v>431794244.51000017</v>
      </c>
      <c r="N79" s="296">
        <f>'REMUNERACION_OCCIDENTE_ Directa'!N107</f>
        <v>670762.75</v>
      </c>
      <c r="O79" s="297">
        <f>'REMUNERACION_OCCIDENTE_ Directa'!O107</f>
        <v>432465007.26000017</v>
      </c>
      <c r="Q79" s="308"/>
      <c r="S79" s="316">
        <v>4</v>
      </c>
      <c r="T79" s="317" t="s">
        <v>13</v>
      </c>
      <c r="U79" s="318">
        <f>'REMUNERACION_OCCIDENTE_ Directa'!U107</f>
        <v>16117068.039999997</v>
      </c>
      <c r="V79" s="319">
        <f>'REMUNERACION_OCCIDENTE_ Directa'!V107</f>
        <v>20913712.34</v>
      </c>
      <c r="W79" s="319">
        <f>'REMUNERACION_OCCIDENTE_ Directa'!W107</f>
        <v>106223496.89</v>
      </c>
      <c r="X79" s="319">
        <f>'REMUNERACION_OCCIDENTE_ Directa'!X107</f>
        <v>138061076.84</v>
      </c>
      <c r="Y79" s="320">
        <f>'REMUNERACION_OCCIDENTE_ Directa'!Y107</f>
        <v>3040215.37</v>
      </c>
      <c r="Z79" s="321">
        <f>'REMUNERACION_OCCIDENTE_ Directa'!Z107</f>
        <v>0</v>
      </c>
      <c r="AA79" s="322">
        <f>'REMUNERACION_OCCIDENTE_ Directa'!AA107</f>
        <v>354.89000000000004</v>
      </c>
      <c r="AB79" s="296">
        <f>'REMUNERACION_OCCIDENTE_ Directa'!AB107</f>
        <v>670762.75</v>
      </c>
      <c r="AC79" s="322">
        <f>'REMUNERACION_OCCIDENTE_ Directa'!AC107</f>
        <v>0.19999999999999998</v>
      </c>
      <c r="AD79" s="293">
        <f>'REMUNERACION_OCCIDENTE_ Directa'!AD107</f>
        <v>147438319.94000003</v>
      </c>
      <c r="AE79" s="293">
        <f>'REMUNERACION_OCCIDENTE_ Directa'!AE107</f>
        <v>147438319.94000003</v>
      </c>
      <c r="AF79" s="324">
        <f>'REMUNERACION_OCCIDENTE_ Directa'!AF107</f>
        <v>432465007.25999999</v>
      </c>
      <c r="AG79" s="524">
        <f>'REMUNERACION_OCCIDENTE_ Directa'!AG107</f>
        <v>0</v>
      </c>
      <c r="AH79" s="1"/>
      <c r="AI79" s="308"/>
      <c r="AM79" s="335"/>
    </row>
    <row r="80" spans="1:39" s="307" customFormat="1" ht="12.6" thickBot="1" x14ac:dyDescent="0.3">
      <c r="B80" s="326">
        <v>5</v>
      </c>
      <c r="C80" s="327" t="s">
        <v>14</v>
      </c>
      <c r="D80" s="298">
        <f>'REMUNERACION_OCCIDENTE_ Directa'!D108</f>
        <v>172752158.53</v>
      </c>
      <c r="E80" s="299">
        <f>'REMUNERACION_OCCIDENTE_ Directa'!E108</f>
        <v>16329455.800000001</v>
      </c>
      <c r="F80" s="299">
        <f>'REMUNERACION_OCCIDENTE_ Directa'!F108</f>
        <v>8928836.1199999992</v>
      </c>
      <c r="G80" s="299">
        <f>'REMUNERACION_OCCIDENTE_ Directa'!G108</f>
        <v>4793074.6499999994</v>
      </c>
      <c r="H80" s="299">
        <f>'REMUNERACION_OCCIDENTE_ Directa'!H108</f>
        <v>12962427.069999998</v>
      </c>
      <c r="I80" s="299">
        <f>'REMUNERACION_OCCIDENTE_ Directa'!I108</f>
        <v>532384.06000000006</v>
      </c>
      <c r="J80" s="291">
        <f>'REMUNERACION_OCCIDENTE_ Directa'!J108</f>
        <v>0</v>
      </c>
      <c r="K80" s="297">
        <f>'REMUNERACION_OCCIDENTE_ Directa'!K108</f>
        <v>129205980.82999998</v>
      </c>
      <c r="L80" s="296">
        <f>'REMUNERACION_OCCIDENTE_ Directa'!L108</f>
        <v>0</v>
      </c>
      <c r="M80" s="300">
        <f>'REMUNERACION_OCCIDENTE_ Directa'!M108</f>
        <v>129205980.82999998</v>
      </c>
      <c r="N80" s="301">
        <f>'REMUNERACION_OCCIDENTE_ Directa'!N108</f>
        <v>1908241.19</v>
      </c>
      <c r="O80" s="300">
        <f>'REMUNERACION_OCCIDENTE_ Directa'!O108</f>
        <v>131114222.01999998</v>
      </c>
      <c r="Q80" s="308"/>
      <c r="S80" s="326">
        <v>5</v>
      </c>
      <c r="T80" s="327" t="s">
        <v>14</v>
      </c>
      <c r="U80" s="298">
        <f>'REMUNERACION_OCCIDENTE_ Directa'!U108</f>
        <v>4756762.43</v>
      </c>
      <c r="V80" s="299">
        <f>'REMUNERACION_OCCIDENTE_ Directa'!V108</f>
        <v>5680331.1400000006</v>
      </c>
      <c r="W80" s="299">
        <f>'REMUNERACION_OCCIDENTE_ Directa'!W108</f>
        <v>30480373.290000003</v>
      </c>
      <c r="X80" s="299">
        <f>'REMUNERACION_OCCIDENTE_ Directa'!X108</f>
        <v>48635423.340000004</v>
      </c>
      <c r="Y80" s="291">
        <f>'REMUNERACION_OCCIDENTE_ Directa'!Y108</f>
        <v>874491.08</v>
      </c>
      <c r="Z80" s="321">
        <f>'REMUNERACION_OCCIDENTE_ Directa'!Z108</f>
        <v>0</v>
      </c>
      <c r="AA80" s="322">
        <f>'REMUNERACION_OCCIDENTE_ Directa'!AA108</f>
        <v>-705.51</v>
      </c>
      <c r="AB80" s="296">
        <f>'REMUNERACION_OCCIDENTE_ Directa'!AB108</f>
        <v>1908241.19</v>
      </c>
      <c r="AC80" s="322">
        <f>'REMUNERACION_OCCIDENTE_ Directa'!AC108</f>
        <v>4.9999999999999996E-2</v>
      </c>
      <c r="AD80" s="293">
        <f>'REMUNERACION_OCCIDENTE_ Directa'!AD108</f>
        <v>38779305.009999998</v>
      </c>
      <c r="AE80" s="293">
        <f>'REMUNERACION_OCCIDENTE_ Directa'!AE108</f>
        <v>38779305.009999998</v>
      </c>
      <c r="AF80" s="324">
        <f>'REMUNERACION_OCCIDENTE_ Directa'!AF108</f>
        <v>131114222.01999998</v>
      </c>
      <c r="AG80" s="525">
        <f>'REMUNERACION_OCCIDENTE_ Directa'!AG108</f>
        <v>0</v>
      </c>
      <c r="AH80" s="1"/>
      <c r="AI80" s="308"/>
      <c r="AM80" s="335"/>
    </row>
    <row r="81" spans="1:39" s="307" customFormat="1" ht="13.8" thickBot="1" x14ac:dyDescent="0.3">
      <c r="B81" s="329"/>
      <c r="C81" s="330" t="s">
        <v>2</v>
      </c>
      <c r="D81" s="292">
        <f>'REMUNERACION_OCCIDENTE_ Directa'!D109</f>
        <v>2527193143.9200006</v>
      </c>
      <c r="E81" s="292">
        <f>'REMUNERACION_OCCIDENTE_ Directa'!E109</f>
        <v>267456342.34000003</v>
      </c>
      <c r="F81" s="292">
        <f>'REMUNERACION_OCCIDENTE_ Directa'!F109</f>
        <v>148194789.75</v>
      </c>
      <c r="G81" s="292">
        <f>'REMUNERACION_OCCIDENTE_ Directa'!G109</f>
        <v>78828946.359999999</v>
      </c>
      <c r="H81" s="292">
        <f>'REMUNERACION_OCCIDENTE_ Directa'!H109</f>
        <v>261605604.66000003</v>
      </c>
      <c r="I81" s="292">
        <f>'REMUNERACION_OCCIDENTE_ Directa'!I109</f>
        <v>7485032.6699999999</v>
      </c>
      <c r="J81" s="292">
        <f>'REMUNERACION_OCCIDENTE_ Directa'!J109</f>
        <v>0</v>
      </c>
      <c r="K81" s="302">
        <f>'REMUNERACION_OCCIDENTE_ Directa'!K109</f>
        <v>1763622428.1400001</v>
      </c>
      <c r="L81" s="303">
        <f>'REMUNERACION_OCCIDENTE_ Directa'!L109</f>
        <v>0</v>
      </c>
      <c r="M81" s="304">
        <f>'REMUNERACION_OCCIDENTE_ Directa'!M109</f>
        <v>1763622428.1400001</v>
      </c>
      <c r="N81" s="303">
        <f>'REMUNERACION_OCCIDENTE_ Directa'!N109</f>
        <v>20496657.280000001</v>
      </c>
      <c r="O81" s="304">
        <f>'REMUNERACION_OCCIDENTE_ Directa'!O109</f>
        <v>1784119085.4200001</v>
      </c>
      <c r="P81" s="331"/>
      <c r="Q81" s="308"/>
      <c r="S81" s="329"/>
      <c r="T81" s="330" t="s">
        <v>2</v>
      </c>
      <c r="U81" s="332">
        <f>'REMUNERACION_OCCIDENTE_ Directa'!U109</f>
        <v>66341579.470000006</v>
      </c>
      <c r="V81" s="332">
        <f>'REMUNERACION_OCCIDENTE_ Directa'!V109</f>
        <v>85525341.680000007</v>
      </c>
      <c r="W81" s="332">
        <f>'REMUNERACION_OCCIDENTE_ Directa'!W109</f>
        <v>413890286.16000003</v>
      </c>
      <c r="X81" s="332">
        <f>'REMUNERACION_OCCIDENTE_ Directa'!X109</f>
        <v>626219682.0200001</v>
      </c>
      <c r="Y81" s="332">
        <f>'REMUNERACION_OCCIDENTE_ Directa'!Y109</f>
        <v>12201753.85</v>
      </c>
      <c r="Z81" s="292">
        <f>'REMUNERACION_OCCIDENTE_ Directa'!Z109</f>
        <v>0</v>
      </c>
      <c r="AA81" s="292">
        <f>'REMUNERACION_OCCIDENTE_ Directa'!AA109</f>
        <v>-3903.5300000000007</v>
      </c>
      <c r="AB81" s="292">
        <f>'REMUNERACION_OCCIDENTE_ Directa'!AB109</f>
        <v>20496657.280000001</v>
      </c>
      <c r="AC81" s="292">
        <f>'REMUNERACION_OCCIDENTE_ Directa'!AC109</f>
        <v>6661469.4199999999</v>
      </c>
      <c r="AD81" s="292">
        <f>'REMUNERACION_OCCIDENTE_ Directa'!AD109</f>
        <v>552786219.07000005</v>
      </c>
      <c r="AE81" s="292">
        <f>'REMUNERACION_OCCIDENTE_ Directa'!AE109</f>
        <v>552786219.07000005</v>
      </c>
      <c r="AF81" s="333">
        <f>'REMUNERACION_OCCIDENTE_ Directa'!AF109</f>
        <v>1784119085.4199998</v>
      </c>
      <c r="AG81" s="526">
        <f>'REMUNERACION_OCCIDENTE_ Directa'!AG109</f>
        <v>0</v>
      </c>
      <c r="AH81" s="1"/>
      <c r="AI81" s="308"/>
      <c r="AM81" s="335"/>
    </row>
    <row r="82" spans="1:39" ht="12.6" thickBot="1" x14ac:dyDescent="0.3">
      <c r="B82" s="2"/>
      <c r="C82" s="2"/>
      <c r="D82" s="450"/>
      <c r="E82" s="450"/>
      <c r="F82" s="450"/>
      <c r="G82" s="450"/>
      <c r="H82" s="450"/>
      <c r="I82" s="450"/>
      <c r="K82" s="450"/>
      <c r="L82" s="450"/>
      <c r="M82" s="450"/>
      <c r="N82" s="450"/>
      <c r="O82" s="450"/>
      <c r="Q82" s="4"/>
      <c r="S82" s="2"/>
      <c r="T82" s="2"/>
      <c r="U82" s="450"/>
      <c r="V82" s="450"/>
      <c r="W82" s="450"/>
      <c r="X82" s="450"/>
      <c r="Y82" s="450"/>
      <c r="AF82" s="450"/>
      <c r="AI82" s="4"/>
    </row>
    <row r="83" spans="1:39" ht="12.6" thickBot="1" x14ac:dyDescent="0.3">
      <c r="B83" s="2"/>
      <c r="C83" s="2"/>
      <c r="D83" s="450"/>
      <c r="E83" s="450"/>
      <c r="F83" s="450"/>
      <c r="G83" s="450"/>
      <c r="H83" s="450"/>
      <c r="I83" s="450"/>
      <c r="K83" s="450"/>
      <c r="L83" s="450"/>
      <c r="M83" s="450"/>
      <c r="N83" s="450"/>
      <c r="O83" s="450"/>
      <c r="Q83" s="4"/>
      <c r="Y83" s="451"/>
      <c r="AI83" s="4"/>
    </row>
    <row r="84" spans="1:39" ht="12" x14ac:dyDescent="0.25">
      <c r="A84" s="4"/>
      <c r="B84" s="34"/>
      <c r="C84" s="34"/>
      <c r="D84" s="476"/>
      <c r="E84" s="476"/>
      <c r="F84" s="476"/>
      <c r="G84" s="476"/>
      <c r="H84" s="476"/>
      <c r="I84" s="476"/>
      <c r="J84" s="4"/>
      <c r="K84" s="476"/>
      <c r="L84" s="476"/>
      <c r="M84" s="476"/>
      <c r="N84" s="476"/>
      <c r="O84" s="47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7" customFormat="1" ht="12" x14ac:dyDescent="0.25">
      <c r="B93" s="305">
        <v>1</v>
      </c>
      <c r="C93" s="306" t="s">
        <v>10</v>
      </c>
      <c r="D93" s="293">
        <f>'REMUNERACION_EAAB-CL'!D104</f>
        <v>0</v>
      </c>
      <c r="E93" s="294">
        <f>'REMUNERACION_EAAB-CL'!E104</f>
        <v>0</v>
      </c>
      <c r="F93" s="294">
        <f>'REMUNERACION_EAAB-CL'!F104</f>
        <v>0</v>
      </c>
      <c r="G93" s="294">
        <f>'REMUNERACION_EAAB-CL'!G104</f>
        <v>0</v>
      </c>
      <c r="H93" s="294">
        <f>'REMUNERACION_EAAB-CL'!H104</f>
        <v>0</v>
      </c>
      <c r="I93" s="294">
        <f>'REMUNERACION_EAAB-CL'!I104</f>
        <v>0</v>
      </c>
      <c r="J93" s="290">
        <f>'REMUNERACION_EAAB-CL'!J104</f>
        <v>0</v>
      </c>
      <c r="K93" s="295">
        <f>'REMUNERACION_EAAB-CL'!K104</f>
        <v>0</v>
      </c>
      <c r="L93" s="296">
        <f>'REMUNERACION_EAAB-CL'!L104</f>
        <v>0</v>
      </c>
      <c r="M93" s="295">
        <f>'REMUNERACION_EAAB-CL'!M104</f>
        <v>0</v>
      </c>
      <c r="N93" s="296">
        <f>'REMUNERACION_EAAB-CL'!N104</f>
        <v>0</v>
      </c>
      <c r="O93" s="295">
        <f>'REMUNERACION_EAAB-CL'!O104</f>
        <v>0</v>
      </c>
      <c r="Q93" s="308"/>
      <c r="S93" s="305">
        <v>1</v>
      </c>
      <c r="T93" s="306" t="s">
        <v>10</v>
      </c>
      <c r="U93" s="309">
        <f>'REMUNERACION_EAAB-CL'!U104</f>
        <v>0</v>
      </c>
      <c r="V93" s="310">
        <f>'REMUNERACION_EAAB-CL'!V104</f>
        <v>0</v>
      </c>
      <c r="W93" s="310">
        <f>'REMUNERACION_EAAB-CL'!W104</f>
        <v>0</v>
      </c>
      <c r="X93" s="310">
        <f>'REMUNERACION_EAAB-CL'!X104</f>
        <v>0</v>
      </c>
      <c r="Y93" s="311">
        <f>'REMUNERACION_EAAB-CL'!Y104</f>
        <v>0</v>
      </c>
      <c r="Z93" s="312">
        <f>'REMUNERACION_EAAB-CL'!Z104</f>
        <v>0</v>
      </c>
      <c r="AA93" s="313">
        <f>'REMUNERACION_EAAB-CL'!AA104</f>
        <v>0</v>
      </c>
      <c r="AB93" s="296">
        <f>'REMUNERACION_EAAB-CL'!AB104</f>
        <v>0</v>
      </c>
      <c r="AC93" s="313">
        <f>'REMUNERACION_EAAB-CL'!AC104</f>
        <v>0</v>
      </c>
      <c r="AD93" s="293">
        <f>'REMUNERACION_EAAB-CL'!AD104</f>
        <v>0</v>
      </c>
      <c r="AE93" s="293">
        <f>'REMUNERACION_EAAB-CL'!AE104</f>
        <v>0</v>
      </c>
      <c r="AF93" s="315">
        <f>'REMUNERACION_EAAB-CL'!AF104</f>
        <v>0</v>
      </c>
      <c r="AG93" s="523">
        <f>'REMUNERACION_EAAB-CL'!AG104</f>
        <v>0</v>
      </c>
      <c r="AH93" s="1"/>
      <c r="AI93" s="308"/>
      <c r="AM93" s="335"/>
    </row>
    <row r="94" spans="1:39" s="307" customFormat="1" ht="12" x14ac:dyDescent="0.25">
      <c r="B94" s="316">
        <v>2</v>
      </c>
      <c r="C94" s="317" t="s">
        <v>11</v>
      </c>
      <c r="D94" s="293">
        <f>'REMUNERACION_EAAB-CL'!D105</f>
        <v>0</v>
      </c>
      <c r="E94" s="294">
        <f>'REMUNERACION_EAAB-CL'!E105</f>
        <v>0</v>
      </c>
      <c r="F94" s="294">
        <f>'REMUNERACION_EAAB-CL'!F105</f>
        <v>0</v>
      </c>
      <c r="G94" s="294">
        <f>'REMUNERACION_EAAB-CL'!G105</f>
        <v>0</v>
      </c>
      <c r="H94" s="294">
        <f>'REMUNERACION_EAAB-CL'!H105</f>
        <v>0</v>
      </c>
      <c r="I94" s="294">
        <f>'REMUNERACION_EAAB-CL'!I105</f>
        <v>0</v>
      </c>
      <c r="J94" s="290">
        <f>'REMUNERACION_EAAB-CL'!J105</f>
        <v>0</v>
      </c>
      <c r="K94" s="297">
        <f>'REMUNERACION_EAAB-CL'!K105</f>
        <v>0</v>
      </c>
      <c r="L94" s="296">
        <f>'REMUNERACION_EAAB-CL'!L105</f>
        <v>0</v>
      </c>
      <c r="M94" s="297">
        <f>'REMUNERACION_EAAB-CL'!M105</f>
        <v>0</v>
      </c>
      <c r="N94" s="296">
        <f>'REMUNERACION_EAAB-CL'!N105</f>
        <v>0</v>
      </c>
      <c r="O94" s="297">
        <f>'REMUNERACION_EAAB-CL'!O105</f>
        <v>0</v>
      </c>
      <c r="Q94" s="308"/>
      <c r="S94" s="316">
        <v>2</v>
      </c>
      <c r="T94" s="317" t="s">
        <v>11</v>
      </c>
      <c r="U94" s="318">
        <f>'REMUNERACION_EAAB-CL'!U105</f>
        <v>0</v>
      </c>
      <c r="V94" s="319">
        <f>'REMUNERACION_EAAB-CL'!V105</f>
        <v>0</v>
      </c>
      <c r="W94" s="319">
        <f>'REMUNERACION_EAAB-CL'!W105</f>
        <v>0</v>
      </c>
      <c r="X94" s="319">
        <f>'REMUNERACION_EAAB-CL'!X105</f>
        <v>0</v>
      </c>
      <c r="Y94" s="320">
        <f>'REMUNERACION_EAAB-CL'!Y105</f>
        <v>0</v>
      </c>
      <c r="Z94" s="321">
        <f>'REMUNERACION_EAAB-CL'!Z105</f>
        <v>0</v>
      </c>
      <c r="AA94" s="322">
        <f>'REMUNERACION_EAAB-CL'!AA105</f>
        <v>0</v>
      </c>
      <c r="AB94" s="296">
        <f>'REMUNERACION_EAAB-CL'!AB105</f>
        <v>0</v>
      </c>
      <c r="AC94" s="322">
        <f>'REMUNERACION_EAAB-CL'!AC105</f>
        <v>0</v>
      </c>
      <c r="AD94" s="293">
        <f>'REMUNERACION_EAAB-CL'!AD105</f>
        <v>0</v>
      </c>
      <c r="AE94" s="293">
        <f>'REMUNERACION_EAAB-CL'!AE105</f>
        <v>0</v>
      </c>
      <c r="AF94" s="324">
        <f>'REMUNERACION_EAAB-CL'!AF105</f>
        <v>0</v>
      </c>
      <c r="AG94" s="524">
        <f>'REMUNERACION_EAAB-CL'!AG105</f>
        <v>0</v>
      </c>
      <c r="AH94" s="1"/>
      <c r="AI94" s="308"/>
      <c r="AM94" s="335"/>
    </row>
    <row r="95" spans="1:39" s="307" customFormat="1" ht="12" x14ac:dyDescent="0.25">
      <c r="B95" s="316">
        <v>3</v>
      </c>
      <c r="C95" s="317" t="s">
        <v>12</v>
      </c>
      <c r="D95" s="293">
        <f>'REMUNERACION_EAAB-CL'!D106</f>
        <v>0</v>
      </c>
      <c r="E95" s="294">
        <f>'REMUNERACION_EAAB-CL'!E106</f>
        <v>0</v>
      </c>
      <c r="F95" s="294">
        <f>'REMUNERACION_EAAB-CL'!F106</f>
        <v>0</v>
      </c>
      <c r="G95" s="294">
        <f>'REMUNERACION_EAAB-CL'!G106</f>
        <v>0</v>
      </c>
      <c r="H95" s="294">
        <f>'REMUNERACION_EAAB-CL'!H106</f>
        <v>0</v>
      </c>
      <c r="I95" s="294">
        <f>'REMUNERACION_EAAB-CL'!I106</f>
        <v>0</v>
      </c>
      <c r="J95" s="290">
        <f>'REMUNERACION_EAAB-CL'!J106</f>
        <v>0</v>
      </c>
      <c r="K95" s="297">
        <f>'REMUNERACION_EAAB-CL'!K106</f>
        <v>0</v>
      </c>
      <c r="L95" s="296">
        <f>'REMUNERACION_EAAB-CL'!L106</f>
        <v>0</v>
      </c>
      <c r="M95" s="297">
        <f>'REMUNERACION_EAAB-CL'!M106</f>
        <v>0</v>
      </c>
      <c r="N95" s="296">
        <f>'REMUNERACION_EAAB-CL'!N106</f>
        <v>0</v>
      </c>
      <c r="O95" s="297">
        <f>'REMUNERACION_EAAB-CL'!O106</f>
        <v>0</v>
      </c>
      <c r="Q95" s="308"/>
      <c r="S95" s="316">
        <v>3</v>
      </c>
      <c r="T95" s="317" t="s">
        <v>12</v>
      </c>
      <c r="U95" s="318">
        <f>'REMUNERACION_EAAB-CL'!U106</f>
        <v>0</v>
      </c>
      <c r="V95" s="319">
        <f>'REMUNERACION_EAAB-CL'!V106</f>
        <v>0</v>
      </c>
      <c r="W95" s="319">
        <f>'REMUNERACION_EAAB-CL'!W106</f>
        <v>0</v>
      </c>
      <c r="X95" s="319">
        <f>'REMUNERACION_EAAB-CL'!X106</f>
        <v>0</v>
      </c>
      <c r="Y95" s="320">
        <f>'REMUNERACION_EAAB-CL'!Y106</f>
        <v>0</v>
      </c>
      <c r="Z95" s="321">
        <f>'REMUNERACION_EAAB-CL'!Z106</f>
        <v>0</v>
      </c>
      <c r="AA95" s="322">
        <f>'REMUNERACION_EAAB-CL'!AA106</f>
        <v>0</v>
      </c>
      <c r="AB95" s="296">
        <f>'REMUNERACION_EAAB-CL'!AB106</f>
        <v>0</v>
      </c>
      <c r="AC95" s="322">
        <f>'REMUNERACION_EAAB-CL'!AC106</f>
        <v>0</v>
      </c>
      <c r="AD95" s="293">
        <f>'REMUNERACION_EAAB-CL'!AD106</f>
        <v>0</v>
      </c>
      <c r="AE95" s="293">
        <f>'REMUNERACION_EAAB-CL'!AE106</f>
        <v>0</v>
      </c>
      <c r="AF95" s="324">
        <f>'REMUNERACION_EAAB-CL'!AF106</f>
        <v>0</v>
      </c>
      <c r="AG95" s="524">
        <f>'REMUNERACION_EAAB-CL'!AG106</f>
        <v>0</v>
      </c>
      <c r="AH95" s="1"/>
      <c r="AI95" s="308"/>
      <c r="AM95" s="335"/>
    </row>
    <row r="96" spans="1:39" s="307" customFormat="1" ht="12" x14ac:dyDescent="0.25">
      <c r="B96" s="316">
        <v>4</v>
      </c>
      <c r="C96" s="317" t="s">
        <v>13</v>
      </c>
      <c r="D96" s="293">
        <f>'REMUNERACION_EAAB-CL'!D107</f>
        <v>0</v>
      </c>
      <c r="E96" s="294">
        <f>'REMUNERACION_EAAB-CL'!E107</f>
        <v>0</v>
      </c>
      <c r="F96" s="294">
        <f>'REMUNERACION_EAAB-CL'!F107</f>
        <v>0</v>
      </c>
      <c r="G96" s="294">
        <f>'REMUNERACION_EAAB-CL'!G107</f>
        <v>0</v>
      </c>
      <c r="H96" s="294">
        <f>'REMUNERACION_EAAB-CL'!H107</f>
        <v>0</v>
      </c>
      <c r="I96" s="294">
        <f>'REMUNERACION_EAAB-CL'!I107</f>
        <v>0</v>
      </c>
      <c r="J96" s="290">
        <f>'REMUNERACION_EAAB-CL'!J107</f>
        <v>0</v>
      </c>
      <c r="K96" s="297">
        <f>'REMUNERACION_EAAB-CL'!K107</f>
        <v>0</v>
      </c>
      <c r="L96" s="296">
        <f>'REMUNERACION_EAAB-CL'!L107</f>
        <v>0</v>
      </c>
      <c r="M96" s="297">
        <f>'REMUNERACION_EAAB-CL'!M107</f>
        <v>0</v>
      </c>
      <c r="N96" s="296">
        <f>'REMUNERACION_EAAB-CL'!N107</f>
        <v>0</v>
      </c>
      <c r="O96" s="297">
        <f>'REMUNERACION_EAAB-CL'!O107</f>
        <v>0</v>
      </c>
      <c r="Q96" s="308"/>
      <c r="S96" s="316">
        <v>4</v>
      </c>
      <c r="T96" s="317" t="s">
        <v>13</v>
      </c>
      <c r="U96" s="318">
        <f>'REMUNERACION_EAAB-CL'!U107</f>
        <v>0</v>
      </c>
      <c r="V96" s="319">
        <f>'REMUNERACION_EAAB-CL'!V107</f>
        <v>0</v>
      </c>
      <c r="W96" s="319">
        <f>'REMUNERACION_EAAB-CL'!W107</f>
        <v>0</v>
      </c>
      <c r="X96" s="319">
        <f>'REMUNERACION_EAAB-CL'!X107</f>
        <v>0</v>
      </c>
      <c r="Y96" s="320">
        <f>'REMUNERACION_EAAB-CL'!Y107</f>
        <v>0</v>
      </c>
      <c r="Z96" s="321">
        <f>'REMUNERACION_EAAB-CL'!Z107</f>
        <v>0</v>
      </c>
      <c r="AA96" s="322">
        <f>'REMUNERACION_EAAB-CL'!AA107</f>
        <v>0</v>
      </c>
      <c r="AB96" s="296">
        <f>'REMUNERACION_EAAB-CL'!AB107</f>
        <v>0</v>
      </c>
      <c r="AC96" s="322">
        <f>'REMUNERACION_EAAB-CL'!AC107</f>
        <v>0</v>
      </c>
      <c r="AD96" s="293">
        <f>'REMUNERACION_EAAB-CL'!AD107</f>
        <v>0</v>
      </c>
      <c r="AE96" s="293">
        <f>'REMUNERACION_EAAB-CL'!AE107</f>
        <v>0</v>
      </c>
      <c r="AF96" s="324">
        <f>'REMUNERACION_EAAB-CL'!AF107</f>
        <v>0</v>
      </c>
      <c r="AG96" s="524">
        <f>'REMUNERACION_EAAB-CL'!AG107</f>
        <v>0</v>
      </c>
      <c r="AH96" s="1"/>
      <c r="AI96" s="308"/>
      <c r="AM96" s="335"/>
    </row>
    <row r="97" spans="1:39" s="307" customFormat="1" ht="12.6" thickBot="1" x14ac:dyDescent="0.3">
      <c r="B97" s="326">
        <v>5</v>
      </c>
      <c r="C97" s="327" t="s">
        <v>14</v>
      </c>
      <c r="D97" s="298">
        <f>'REMUNERACION_EAAB-CL'!D108</f>
        <v>0</v>
      </c>
      <c r="E97" s="299">
        <f>'REMUNERACION_EAAB-CL'!E108</f>
        <v>0</v>
      </c>
      <c r="F97" s="299">
        <f>'REMUNERACION_EAAB-CL'!F108</f>
        <v>0</v>
      </c>
      <c r="G97" s="299">
        <f>'REMUNERACION_EAAB-CL'!G108</f>
        <v>0</v>
      </c>
      <c r="H97" s="299">
        <f>'REMUNERACION_EAAB-CL'!H108</f>
        <v>0</v>
      </c>
      <c r="I97" s="299">
        <f>'REMUNERACION_EAAB-CL'!I108</f>
        <v>0</v>
      </c>
      <c r="J97" s="291">
        <f>'REMUNERACION_EAAB-CL'!J108</f>
        <v>0</v>
      </c>
      <c r="K97" s="297">
        <f>'REMUNERACION_EAAB-CL'!K108</f>
        <v>0</v>
      </c>
      <c r="L97" s="296">
        <f>'REMUNERACION_EAAB-CL'!L108</f>
        <v>0</v>
      </c>
      <c r="M97" s="300">
        <f>'REMUNERACION_EAAB-CL'!M108</f>
        <v>0</v>
      </c>
      <c r="N97" s="301">
        <f>'REMUNERACION_EAAB-CL'!N108</f>
        <v>0</v>
      </c>
      <c r="O97" s="300">
        <f>'REMUNERACION_EAAB-CL'!O108</f>
        <v>0</v>
      </c>
      <c r="Q97" s="308"/>
      <c r="S97" s="326">
        <v>5</v>
      </c>
      <c r="T97" s="327" t="s">
        <v>14</v>
      </c>
      <c r="U97" s="298">
        <f>'REMUNERACION_EAAB-CL'!U108</f>
        <v>0</v>
      </c>
      <c r="V97" s="299">
        <f>'REMUNERACION_EAAB-CL'!V108</f>
        <v>0</v>
      </c>
      <c r="W97" s="299">
        <f>'REMUNERACION_EAAB-CL'!W108</f>
        <v>0</v>
      </c>
      <c r="X97" s="299">
        <f>'REMUNERACION_EAAB-CL'!X108</f>
        <v>0</v>
      </c>
      <c r="Y97" s="291">
        <f>'REMUNERACION_EAAB-CL'!Y108</f>
        <v>0</v>
      </c>
      <c r="Z97" s="321">
        <f>'REMUNERACION_EAAB-CL'!Z108</f>
        <v>0</v>
      </c>
      <c r="AA97" s="322">
        <f>'REMUNERACION_EAAB-CL'!AA108</f>
        <v>0</v>
      </c>
      <c r="AB97" s="296">
        <f>'REMUNERACION_EAAB-CL'!AB108</f>
        <v>0</v>
      </c>
      <c r="AC97" s="322">
        <f>'REMUNERACION_EAAB-CL'!AC108</f>
        <v>0</v>
      </c>
      <c r="AD97" s="293">
        <f>'REMUNERACION_EAAB-CL'!AD108</f>
        <v>0</v>
      </c>
      <c r="AE97" s="293">
        <f>'REMUNERACION_EAAB-CL'!AE108</f>
        <v>0</v>
      </c>
      <c r="AF97" s="324">
        <f>'REMUNERACION_EAAB-CL'!AF108</f>
        <v>0</v>
      </c>
      <c r="AG97" s="525">
        <f>'REMUNERACION_EAAB-CL'!AG108</f>
        <v>0</v>
      </c>
      <c r="AH97" s="1"/>
      <c r="AI97" s="308"/>
      <c r="AM97" s="335"/>
    </row>
    <row r="98" spans="1:39" s="307" customFormat="1" ht="13.8" thickBot="1" x14ac:dyDescent="0.3">
      <c r="B98" s="329"/>
      <c r="C98" s="330" t="s">
        <v>2</v>
      </c>
      <c r="D98" s="292">
        <f>'REMUNERACION_EAAB-CL'!D109</f>
        <v>0</v>
      </c>
      <c r="E98" s="292">
        <f>'REMUNERACION_EAAB-CL'!E109</f>
        <v>0</v>
      </c>
      <c r="F98" s="292">
        <f>'REMUNERACION_EAAB-CL'!F109</f>
        <v>0</v>
      </c>
      <c r="G98" s="292">
        <f>'REMUNERACION_EAAB-CL'!G109</f>
        <v>0</v>
      </c>
      <c r="H98" s="292">
        <f>'REMUNERACION_EAAB-CL'!H109</f>
        <v>0</v>
      </c>
      <c r="I98" s="292">
        <f>'REMUNERACION_EAAB-CL'!I109</f>
        <v>0</v>
      </c>
      <c r="J98" s="292">
        <f>'REMUNERACION_EAAB-CL'!J109</f>
        <v>0</v>
      </c>
      <c r="K98" s="302">
        <f>'REMUNERACION_EAAB-CL'!K109</f>
        <v>0</v>
      </c>
      <c r="L98" s="303">
        <f>'REMUNERACION_EAAB-CL'!L109</f>
        <v>0</v>
      </c>
      <c r="M98" s="304">
        <f>'REMUNERACION_EAAB-CL'!M109</f>
        <v>0</v>
      </c>
      <c r="N98" s="303">
        <f>'REMUNERACION_EAAB-CL'!N109</f>
        <v>0</v>
      </c>
      <c r="O98" s="304">
        <f>'REMUNERACION_EAAB-CL'!O109</f>
        <v>0</v>
      </c>
      <c r="P98" s="331"/>
      <c r="Q98" s="308"/>
      <c r="S98" s="329"/>
      <c r="T98" s="330" t="s">
        <v>2</v>
      </c>
      <c r="U98" s="332">
        <f>'REMUNERACION_EAAB-CL'!U109</f>
        <v>0</v>
      </c>
      <c r="V98" s="332">
        <f>'REMUNERACION_EAAB-CL'!V109</f>
        <v>0</v>
      </c>
      <c r="W98" s="332">
        <f>'REMUNERACION_EAAB-CL'!W109</f>
        <v>0</v>
      </c>
      <c r="X98" s="332">
        <f>'REMUNERACION_EAAB-CL'!X109</f>
        <v>0</v>
      </c>
      <c r="Y98" s="332">
        <f>'REMUNERACION_EAAB-CL'!Y109</f>
        <v>0</v>
      </c>
      <c r="Z98" s="292">
        <f>'REMUNERACION_EAAB-CL'!Z109</f>
        <v>0</v>
      </c>
      <c r="AA98" s="292">
        <f>'REMUNERACION_EAAB-CL'!AA109</f>
        <v>0</v>
      </c>
      <c r="AB98" s="292">
        <f>'REMUNERACION_EAAB-CL'!AB109</f>
        <v>0</v>
      </c>
      <c r="AC98" s="292">
        <f>'REMUNERACION_EAAB-CL'!AC109</f>
        <v>0</v>
      </c>
      <c r="AD98" s="292">
        <f>'REMUNERACION_EAAB-CL'!AD109</f>
        <v>0</v>
      </c>
      <c r="AE98" s="292">
        <f>'REMUNERACION_EAAB-CL'!AE109</f>
        <v>0</v>
      </c>
      <c r="AF98" s="333">
        <f>'REMUNERACION_EAAB-CL'!AF109</f>
        <v>0</v>
      </c>
      <c r="AG98" s="526">
        <f>'REMUNERACION_EAAB-CL'!AG109</f>
        <v>0</v>
      </c>
      <c r="AH98" s="1"/>
      <c r="AI98" s="308"/>
      <c r="AM98" s="335"/>
    </row>
    <row r="99" spans="1:39" ht="12.6" thickBot="1" x14ac:dyDescent="0.3">
      <c r="B99" s="2"/>
      <c r="C99" s="2"/>
      <c r="D99" s="165"/>
      <c r="E99" s="450"/>
      <c r="F99" s="450"/>
      <c r="G99" s="450"/>
      <c r="H99" s="450"/>
      <c r="I99" s="450"/>
      <c r="J99" s="165"/>
      <c r="K99" s="450"/>
      <c r="L99" s="450"/>
      <c r="M99" s="450"/>
      <c r="N99" s="450"/>
      <c r="O99" s="450"/>
      <c r="Q99" s="4"/>
      <c r="S99" s="2"/>
      <c r="T99" s="2"/>
      <c r="U99" s="450"/>
      <c r="V99" s="450"/>
      <c r="W99" s="450"/>
      <c r="X99" s="450"/>
      <c r="Y99" s="450"/>
      <c r="AF99" s="450"/>
      <c r="AI99" s="4"/>
    </row>
    <row r="100" spans="1:39" ht="12.6" thickBot="1" x14ac:dyDescent="0.3">
      <c r="B100" s="2"/>
      <c r="C100" s="2"/>
      <c r="D100" s="450"/>
      <c r="E100" s="450"/>
      <c r="F100" s="450"/>
      <c r="G100" s="450"/>
      <c r="H100" s="450"/>
      <c r="I100" s="450"/>
      <c r="K100" s="450"/>
      <c r="L100" s="450"/>
      <c r="M100" s="450"/>
      <c r="N100" s="450"/>
      <c r="O100" s="450"/>
      <c r="Q100" s="4"/>
      <c r="Y100" s="451"/>
      <c r="AI100" s="4"/>
    </row>
    <row r="101" spans="1:39" ht="12" x14ac:dyDescent="0.25">
      <c r="A101" s="4"/>
      <c r="B101" s="34"/>
      <c r="C101" s="34"/>
      <c r="D101" s="476"/>
      <c r="E101" s="476"/>
      <c r="F101" s="476"/>
      <c r="G101" s="476"/>
      <c r="H101" s="476"/>
      <c r="I101" s="476"/>
      <c r="J101" s="4"/>
      <c r="K101" s="476"/>
      <c r="L101" s="476"/>
      <c r="M101" s="476"/>
      <c r="N101" s="476"/>
      <c r="O101" s="47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42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43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46" t="s">
        <v>21</v>
      </c>
      <c r="AA109" s="382" t="s">
        <v>46</v>
      </c>
      <c r="AB109" s="382" t="s">
        <v>7</v>
      </c>
      <c r="AC109" s="546" t="s">
        <v>167</v>
      </c>
      <c r="AD109" s="542" t="s">
        <v>105</v>
      </c>
      <c r="AE109" s="542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44">
        <f>D9-(D26+D60+D43+D76+D93)</f>
        <v>0</v>
      </c>
      <c r="E110" s="544">
        <f t="shared" ref="E110:O110" si="0">E9-(E26+E60+E43+E76+E93)</f>
        <v>0</v>
      </c>
      <c r="F110" s="544">
        <f t="shared" si="0"/>
        <v>0</v>
      </c>
      <c r="G110" s="544">
        <f t="shared" si="0"/>
        <v>0</v>
      </c>
      <c r="H110" s="544">
        <f t="shared" si="0"/>
        <v>0</v>
      </c>
      <c r="I110" s="544">
        <f t="shared" si="0"/>
        <v>0</v>
      </c>
      <c r="J110" s="544">
        <f t="shared" si="0"/>
        <v>0</v>
      </c>
      <c r="K110" s="544">
        <f t="shared" si="0"/>
        <v>0</v>
      </c>
      <c r="L110" s="544">
        <f t="shared" si="0"/>
        <v>0</v>
      </c>
      <c r="M110" s="544">
        <f t="shared" si="0"/>
        <v>0</v>
      </c>
      <c r="N110" s="544">
        <f t="shared" si="0"/>
        <v>0</v>
      </c>
      <c r="O110" s="544">
        <f t="shared" si="0"/>
        <v>0</v>
      </c>
      <c r="P110" s="482"/>
      <c r="Q110" s="483"/>
      <c r="R110" s="482"/>
      <c r="S110" s="484">
        <v>1</v>
      </c>
      <c r="T110" s="485" t="s">
        <v>10</v>
      </c>
      <c r="U110" s="544">
        <f>U9-(U26+U43+U60++U76+U93)</f>
        <v>0</v>
      </c>
      <c r="V110" s="544">
        <f t="shared" ref="V110:AF110" si="1">V9-(V26+V43+V60++V76+V93)</f>
        <v>0</v>
      </c>
      <c r="W110" s="544">
        <f t="shared" si="1"/>
        <v>0</v>
      </c>
      <c r="X110" s="544">
        <f t="shared" si="1"/>
        <v>0</v>
      </c>
      <c r="Y110" s="544">
        <f t="shared" si="1"/>
        <v>0</v>
      </c>
      <c r="Z110" s="544">
        <f t="shared" si="1"/>
        <v>0</v>
      </c>
      <c r="AA110" s="544">
        <f t="shared" si="1"/>
        <v>0</v>
      </c>
      <c r="AB110" s="544">
        <f t="shared" si="1"/>
        <v>0</v>
      </c>
      <c r="AC110" s="544">
        <f t="shared" si="1"/>
        <v>0</v>
      </c>
      <c r="AD110" s="544">
        <f t="shared" si="1"/>
        <v>0</v>
      </c>
      <c r="AE110" s="544">
        <f t="shared" si="1"/>
        <v>0</v>
      </c>
      <c r="AF110" s="544">
        <f t="shared" si="1"/>
        <v>0</v>
      </c>
      <c r="AG110" s="544">
        <f t="shared" ref="AG110" si="2">AG9-(AG26+AG43+AG60++AG76+AG93)</f>
        <v>0</v>
      </c>
      <c r="AI110" s="483"/>
      <c r="AJ110" s="482"/>
    </row>
    <row r="111" spans="1:39" ht="12" x14ac:dyDescent="0.25">
      <c r="B111" s="16">
        <v>2</v>
      </c>
      <c r="C111" s="62" t="s">
        <v>11</v>
      </c>
      <c r="D111" s="481">
        <f t="shared" ref="D111:O115" si="3">D10-(D27+D61+D44+D77+D94)</f>
        <v>0</v>
      </c>
      <c r="E111" s="481">
        <f t="shared" si="3"/>
        <v>0</v>
      </c>
      <c r="F111" s="481">
        <f t="shared" si="3"/>
        <v>0</v>
      </c>
      <c r="G111" s="481">
        <f t="shared" si="3"/>
        <v>0</v>
      </c>
      <c r="H111" s="481">
        <f t="shared" si="3"/>
        <v>0</v>
      </c>
      <c r="I111" s="481">
        <f t="shared" si="3"/>
        <v>0</v>
      </c>
      <c r="J111" s="481">
        <f t="shared" si="3"/>
        <v>0</v>
      </c>
      <c r="K111" s="481">
        <f t="shared" si="3"/>
        <v>0</v>
      </c>
      <c r="L111" s="481">
        <f t="shared" si="3"/>
        <v>0</v>
      </c>
      <c r="M111" s="481">
        <f t="shared" si="3"/>
        <v>0</v>
      </c>
      <c r="N111" s="481">
        <f t="shared" si="3"/>
        <v>0</v>
      </c>
      <c r="O111" s="481">
        <f t="shared" si="3"/>
        <v>0</v>
      </c>
      <c r="P111" s="482"/>
      <c r="Q111" s="483"/>
      <c r="R111" s="482"/>
      <c r="S111" s="486">
        <v>2</v>
      </c>
      <c r="T111" s="487" t="s">
        <v>11</v>
      </c>
      <c r="U111" s="481">
        <f t="shared" ref="U111:AF115" si="4">U10-(U27+U44+U61++U77+U94)</f>
        <v>0</v>
      </c>
      <c r="V111" s="481">
        <f t="shared" si="4"/>
        <v>0</v>
      </c>
      <c r="W111" s="481">
        <f t="shared" si="4"/>
        <v>0</v>
      </c>
      <c r="X111" s="481">
        <f t="shared" si="4"/>
        <v>0</v>
      </c>
      <c r="Y111" s="481">
        <f t="shared" si="4"/>
        <v>0</v>
      </c>
      <c r="Z111" s="481">
        <f t="shared" si="4"/>
        <v>0</v>
      </c>
      <c r="AA111" s="481">
        <f t="shared" si="4"/>
        <v>0</v>
      </c>
      <c r="AB111" s="481">
        <f t="shared" si="4"/>
        <v>0</v>
      </c>
      <c r="AC111" s="481">
        <f t="shared" si="4"/>
        <v>0</v>
      </c>
      <c r="AD111" s="481">
        <f t="shared" si="4"/>
        <v>0</v>
      </c>
      <c r="AE111" s="481">
        <f t="shared" si="4"/>
        <v>0</v>
      </c>
      <c r="AF111" s="481">
        <f t="shared" si="4"/>
        <v>0</v>
      </c>
      <c r="AG111" s="481">
        <f t="shared" ref="AG111" si="5">AG10-(AG27+AG44+AG61++AG77+AG94)</f>
        <v>0</v>
      </c>
      <c r="AI111" s="483"/>
      <c r="AJ111" s="482"/>
    </row>
    <row r="112" spans="1:39" ht="12" x14ac:dyDescent="0.25">
      <c r="B112" s="16">
        <v>3</v>
      </c>
      <c r="C112" s="62" t="s">
        <v>12</v>
      </c>
      <c r="D112" s="481">
        <f t="shared" si="3"/>
        <v>0</v>
      </c>
      <c r="E112" s="481">
        <f t="shared" si="3"/>
        <v>0</v>
      </c>
      <c r="F112" s="481">
        <f t="shared" si="3"/>
        <v>0</v>
      </c>
      <c r="G112" s="481">
        <f t="shared" si="3"/>
        <v>0</v>
      </c>
      <c r="H112" s="481">
        <f t="shared" si="3"/>
        <v>0</v>
      </c>
      <c r="I112" s="481">
        <f t="shared" si="3"/>
        <v>0</v>
      </c>
      <c r="J112" s="481">
        <f t="shared" si="3"/>
        <v>0</v>
      </c>
      <c r="K112" s="481">
        <f t="shared" si="3"/>
        <v>0</v>
      </c>
      <c r="L112" s="481">
        <f t="shared" si="3"/>
        <v>0</v>
      </c>
      <c r="M112" s="481">
        <f t="shared" si="3"/>
        <v>0</v>
      </c>
      <c r="N112" s="481">
        <f t="shared" si="3"/>
        <v>0</v>
      </c>
      <c r="O112" s="481">
        <f t="shared" si="3"/>
        <v>0</v>
      </c>
      <c r="P112" s="482"/>
      <c r="Q112" s="483"/>
      <c r="R112" s="482"/>
      <c r="S112" s="486">
        <v>3</v>
      </c>
      <c r="T112" s="487" t="s">
        <v>12</v>
      </c>
      <c r="U112" s="481">
        <f t="shared" si="4"/>
        <v>0</v>
      </c>
      <c r="V112" s="481">
        <f t="shared" si="4"/>
        <v>0</v>
      </c>
      <c r="W112" s="481">
        <f t="shared" si="4"/>
        <v>0</v>
      </c>
      <c r="X112" s="481">
        <f t="shared" si="4"/>
        <v>0</v>
      </c>
      <c r="Y112" s="481">
        <f t="shared" si="4"/>
        <v>0</v>
      </c>
      <c r="Z112" s="481">
        <f t="shared" si="4"/>
        <v>0</v>
      </c>
      <c r="AA112" s="481">
        <f t="shared" si="4"/>
        <v>0</v>
      </c>
      <c r="AB112" s="481">
        <f t="shared" si="4"/>
        <v>0</v>
      </c>
      <c r="AC112" s="481">
        <f t="shared" si="4"/>
        <v>0</v>
      </c>
      <c r="AD112" s="481">
        <f t="shared" si="4"/>
        <v>0</v>
      </c>
      <c r="AE112" s="481">
        <f t="shared" si="4"/>
        <v>0</v>
      </c>
      <c r="AF112" s="481">
        <f t="shared" ref="AF112" si="6">AF11-(AF28+AF45+AF62++AF78+AF95)</f>
        <v>0</v>
      </c>
      <c r="AG112" s="481">
        <f t="shared" ref="AG112" si="7">AG11-(AG28+AG45+AG62++AG78+AG95)</f>
        <v>0</v>
      </c>
      <c r="AI112" s="483"/>
      <c r="AJ112" s="482"/>
    </row>
    <row r="113" spans="1:36" ht="12" x14ac:dyDescent="0.25">
      <c r="B113" s="16">
        <v>4</v>
      </c>
      <c r="C113" s="62" t="s">
        <v>13</v>
      </c>
      <c r="D113" s="481">
        <f t="shared" si="3"/>
        <v>0</v>
      </c>
      <c r="E113" s="481">
        <f t="shared" si="3"/>
        <v>0</v>
      </c>
      <c r="F113" s="481">
        <f t="shared" si="3"/>
        <v>0</v>
      </c>
      <c r="G113" s="481">
        <f t="shared" si="3"/>
        <v>0</v>
      </c>
      <c r="H113" s="481">
        <f t="shared" si="3"/>
        <v>0</v>
      </c>
      <c r="I113" s="481">
        <f t="shared" si="3"/>
        <v>0</v>
      </c>
      <c r="J113" s="481">
        <f t="shared" si="3"/>
        <v>0</v>
      </c>
      <c r="K113" s="481">
        <f t="shared" si="3"/>
        <v>0</v>
      </c>
      <c r="L113" s="481">
        <f t="shared" si="3"/>
        <v>0</v>
      </c>
      <c r="M113" s="481">
        <f t="shared" si="3"/>
        <v>0</v>
      </c>
      <c r="N113" s="481">
        <f t="shared" si="3"/>
        <v>0</v>
      </c>
      <c r="O113" s="481">
        <f t="shared" si="3"/>
        <v>0</v>
      </c>
      <c r="P113" s="482"/>
      <c r="Q113" s="483"/>
      <c r="R113" s="482"/>
      <c r="S113" s="486">
        <v>4</v>
      </c>
      <c r="T113" s="487" t="s">
        <v>13</v>
      </c>
      <c r="U113" s="481">
        <f t="shared" si="4"/>
        <v>0</v>
      </c>
      <c r="V113" s="481">
        <f t="shared" si="4"/>
        <v>0</v>
      </c>
      <c r="W113" s="481">
        <f t="shared" si="4"/>
        <v>0</v>
      </c>
      <c r="X113" s="481">
        <f t="shared" si="4"/>
        <v>0</v>
      </c>
      <c r="Y113" s="481">
        <f t="shared" si="4"/>
        <v>0</v>
      </c>
      <c r="Z113" s="481">
        <f t="shared" si="4"/>
        <v>0</v>
      </c>
      <c r="AA113" s="481">
        <f t="shared" si="4"/>
        <v>0</v>
      </c>
      <c r="AB113" s="481">
        <f t="shared" si="4"/>
        <v>0</v>
      </c>
      <c r="AC113" s="481">
        <f t="shared" si="4"/>
        <v>0</v>
      </c>
      <c r="AD113" s="481">
        <f t="shared" si="4"/>
        <v>0</v>
      </c>
      <c r="AE113" s="481">
        <f t="shared" si="4"/>
        <v>0</v>
      </c>
      <c r="AF113" s="481">
        <f t="shared" ref="AF113" si="8">AF12-(AF29+AF46+AF63++AF79+AF96)</f>
        <v>0</v>
      </c>
      <c r="AG113" s="481">
        <f t="shared" ref="AG113" si="9">AG12-(AG29+AG46+AG63++AG79+AG96)</f>
        <v>0</v>
      </c>
      <c r="AI113" s="483"/>
      <c r="AJ113" s="482"/>
    </row>
    <row r="114" spans="1:36" ht="12.6" thickBot="1" x14ac:dyDescent="0.3">
      <c r="B114" s="19">
        <v>5</v>
      </c>
      <c r="C114" s="63" t="s">
        <v>14</v>
      </c>
      <c r="D114" s="481">
        <f t="shared" si="3"/>
        <v>0</v>
      </c>
      <c r="E114" s="481">
        <f t="shared" si="3"/>
        <v>0</v>
      </c>
      <c r="F114" s="481">
        <f t="shared" si="3"/>
        <v>0</v>
      </c>
      <c r="G114" s="481">
        <f t="shared" si="3"/>
        <v>0</v>
      </c>
      <c r="H114" s="481">
        <f t="shared" si="3"/>
        <v>0</v>
      </c>
      <c r="I114" s="481">
        <f t="shared" si="3"/>
        <v>0</v>
      </c>
      <c r="J114" s="481">
        <f t="shared" si="3"/>
        <v>0</v>
      </c>
      <c r="K114" s="481">
        <f t="shared" si="3"/>
        <v>0</v>
      </c>
      <c r="L114" s="481">
        <f t="shared" si="3"/>
        <v>0</v>
      </c>
      <c r="M114" s="481">
        <f t="shared" si="3"/>
        <v>0</v>
      </c>
      <c r="N114" s="481">
        <f t="shared" si="3"/>
        <v>0</v>
      </c>
      <c r="O114" s="481">
        <f t="shared" si="3"/>
        <v>0</v>
      </c>
      <c r="P114" s="482"/>
      <c r="Q114" s="483"/>
      <c r="R114" s="482"/>
      <c r="S114" s="488">
        <v>5</v>
      </c>
      <c r="T114" s="489" t="s">
        <v>14</v>
      </c>
      <c r="U114" s="481">
        <f t="shared" si="4"/>
        <v>0</v>
      </c>
      <c r="V114" s="481">
        <f t="shared" si="4"/>
        <v>0</v>
      </c>
      <c r="W114" s="481">
        <f t="shared" si="4"/>
        <v>0</v>
      </c>
      <c r="X114" s="481">
        <f t="shared" si="4"/>
        <v>0</v>
      </c>
      <c r="Y114" s="481">
        <f t="shared" si="4"/>
        <v>0</v>
      </c>
      <c r="Z114" s="481">
        <f t="shared" si="4"/>
        <v>0</v>
      </c>
      <c r="AA114" s="481">
        <f t="shared" si="4"/>
        <v>0</v>
      </c>
      <c r="AB114" s="481">
        <f t="shared" si="4"/>
        <v>0</v>
      </c>
      <c r="AC114" s="481">
        <f t="shared" si="4"/>
        <v>0</v>
      </c>
      <c r="AD114" s="481">
        <f t="shared" si="4"/>
        <v>0</v>
      </c>
      <c r="AE114" s="481">
        <f t="shared" si="4"/>
        <v>0</v>
      </c>
      <c r="AF114" s="481">
        <f t="shared" ref="AF114" si="10">AF13-(AF30+AF47+AF64++AF80+AF97)</f>
        <v>0</v>
      </c>
      <c r="AG114" s="481">
        <f t="shared" ref="AG114" si="11">AG13-(AG30+AG47+AG64++AG80+AG97)</f>
        <v>0</v>
      </c>
      <c r="AI114" s="483"/>
      <c r="AJ114" s="482"/>
    </row>
    <row r="115" spans="1:36" ht="12.6" thickBot="1" x14ac:dyDescent="0.3">
      <c r="B115" s="21"/>
      <c r="C115" s="22" t="s">
        <v>2</v>
      </c>
      <c r="D115" s="545">
        <f t="shared" si="3"/>
        <v>0</v>
      </c>
      <c r="E115" s="545">
        <f t="shared" si="3"/>
        <v>0</v>
      </c>
      <c r="F115" s="545">
        <f t="shared" si="3"/>
        <v>0</v>
      </c>
      <c r="G115" s="545">
        <f t="shared" si="3"/>
        <v>0</v>
      </c>
      <c r="H115" s="545">
        <f t="shared" si="3"/>
        <v>0</v>
      </c>
      <c r="I115" s="545">
        <f t="shared" si="3"/>
        <v>0</v>
      </c>
      <c r="J115" s="545">
        <f t="shared" si="3"/>
        <v>0</v>
      </c>
      <c r="K115" s="545">
        <f t="shared" si="3"/>
        <v>0</v>
      </c>
      <c r="L115" s="545">
        <f t="shared" si="3"/>
        <v>0</v>
      </c>
      <c r="M115" s="545">
        <f t="shared" si="3"/>
        <v>0</v>
      </c>
      <c r="N115" s="545">
        <f t="shared" si="3"/>
        <v>0</v>
      </c>
      <c r="O115" s="545">
        <f t="shared" si="3"/>
        <v>0</v>
      </c>
      <c r="P115" s="490"/>
      <c r="Q115" s="483"/>
      <c r="R115" s="482"/>
      <c r="S115" s="491"/>
      <c r="T115" s="492" t="s">
        <v>2</v>
      </c>
      <c r="U115" s="545">
        <f t="shared" si="4"/>
        <v>0</v>
      </c>
      <c r="V115" s="545">
        <f t="shared" si="4"/>
        <v>0</v>
      </c>
      <c r="W115" s="545">
        <f t="shared" si="4"/>
        <v>0</v>
      </c>
      <c r="X115" s="545">
        <f t="shared" si="4"/>
        <v>0</v>
      </c>
      <c r="Y115" s="545">
        <f t="shared" si="4"/>
        <v>0</v>
      </c>
      <c r="Z115" s="545">
        <f t="shared" si="4"/>
        <v>0</v>
      </c>
      <c r="AA115" s="545">
        <f t="shared" si="4"/>
        <v>0</v>
      </c>
      <c r="AB115" s="545">
        <f t="shared" si="4"/>
        <v>0</v>
      </c>
      <c r="AC115" s="545">
        <f t="shared" si="4"/>
        <v>0</v>
      </c>
      <c r="AD115" s="545">
        <f t="shared" si="4"/>
        <v>0</v>
      </c>
      <c r="AE115" s="545">
        <f t="shared" si="4"/>
        <v>0</v>
      </c>
      <c r="AF115" s="545">
        <f t="shared" si="4"/>
        <v>0</v>
      </c>
      <c r="AG115" s="545">
        <f t="shared" ref="AG115" si="12">AG14-(AG31+AG48+AG65++AG81+AG98)</f>
        <v>0</v>
      </c>
      <c r="AI115" s="483"/>
      <c r="AJ115" s="482"/>
    </row>
    <row r="116" spans="1:36" ht="12" x14ac:dyDescent="0.25">
      <c r="B116" s="2"/>
      <c r="C116" s="2"/>
      <c r="D116" s="450"/>
      <c r="E116" s="450"/>
      <c r="F116" s="450"/>
      <c r="G116" s="450"/>
      <c r="H116" s="450"/>
      <c r="I116" s="450"/>
      <c r="K116" s="450"/>
      <c r="L116" s="450"/>
      <c r="M116" s="450"/>
      <c r="N116" s="450"/>
      <c r="O116" s="450"/>
      <c r="Q116" s="4"/>
      <c r="S116" s="2"/>
      <c r="T116" s="2"/>
      <c r="U116" s="450"/>
      <c r="V116" s="450"/>
      <c r="W116" s="450"/>
      <c r="X116" s="450"/>
      <c r="Y116" s="450"/>
      <c r="AF116" s="450"/>
      <c r="AI116" s="4"/>
    </row>
    <row r="117" spans="1:36" ht="12" x14ac:dyDescent="0.25">
      <c r="B117" s="2"/>
      <c r="C117" s="2"/>
      <c r="D117" s="450" t="s">
        <v>1</v>
      </c>
      <c r="E117" s="450"/>
      <c r="F117" s="450"/>
      <c r="G117" s="450"/>
      <c r="H117" s="450"/>
      <c r="I117" s="450"/>
      <c r="K117" s="450"/>
      <c r="L117" s="450"/>
      <c r="M117" s="450"/>
      <c r="N117" s="450"/>
      <c r="O117" s="450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6"/>
      <c r="E118" s="476"/>
      <c r="F118" s="476"/>
      <c r="G118" s="476"/>
      <c r="H118" s="476"/>
      <c r="I118" s="476"/>
      <c r="J118" s="4"/>
      <c r="K118" s="476"/>
      <c r="L118" s="476"/>
      <c r="M118" s="476"/>
      <c r="N118" s="476"/>
      <c r="O118" s="47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2026101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2026101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46314</v>
      </c>
      <c r="F124" s="58" t="s">
        <v>188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47" t="s">
        <v>0</v>
      </c>
      <c r="D125" s="548">
        <f>'REMUNERACION_EAAB-CL'!D102</f>
        <v>0.58333333333333337</v>
      </c>
      <c r="E125" s="45"/>
      <c r="F125" s="547" t="s">
        <v>27</v>
      </c>
      <c r="G125" s="549">
        <f>'REMUNERACION_EAAB-CL'!G102</f>
        <v>46296</v>
      </c>
      <c r="H125" s="45"/>
      <c r="I125" s="45"/>
      <c r="J125" s="547" t="s">
        <v>28</v>
      </c>
      <c r="K125" s="549">
        <f>'REMUNERACION_EAAB-CL'!K102</f>
        <v>46310</v>
      </c>
      <c r="L125" s="92"/>
      <c r="M125" s="45"/>
      <c r="N125" s="45"/>
      <c r="O125" s="550"/>
      <c r="P125" s="2"/>
      <c r="Q125" s="4"/>
      <c r="S125" s="95"/>
      <c r="T125" s="45"/>
      <c r="U125" s="45" t="str">
        <f>F125</f>
        <v>Fecha Desde:</v>
      </c>
      <c r="V125" s="549">
        <f>'REMUNERACION_EAAB-CL'!V102</f>
        <v>46296</v>
      </c>
      <c r="W125" s="45" t="s">
        <v>1</v>
      </c>
      <c r="X125" s="45" t="str">
        <f>J125</f>
        <v>Feha Hasta:</v>
      </c>
      <c r="Y125" s="549">
        <f>'REMUNERACION_EAAB-CL'!Y102</f>
        <v>46310</v>
      </c>
      <c r="Z125" s="45" t="s">
        <v>1</v>
      </c>
      <c r="AA125" s="45"/>
      <c r="AB125" s="45"/>
      <c r="AC125" s="45"/>
      <c r="AD125" s="45"/>
      <c r="AE125" s="45"/>
      <c r="AF125" s="551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1" workbookViewId="0">
      <selection activeCell="L108" sqref="L108"/>
    </sheetView>
  </sheetViews>
  <sheetFormatPr baseColWidth="10" defaultRowHeight="13.2" x14ac:dyDescent="0.25"/>
  <cols>
    <col min="1" max="1" width="2.44140625" customWidth="1"/>
    <col min="3" max="3" width="36.77734375" bestFit="1" customWidth="1"/>
    <col min="4" max="4" width="12" bestFit="1" customWidth="1"/>
    <col min="5" max="5" width="12.21875" customWidth="1"/>
    <col min="6" max="6" width="9.21875" customWidth="1"/>
    <col min="7" max="7" width="14.77734375" customWidth="1"/>
    <col min="8" max="8" width="15.21875" customWidth="1"/>
    <col min="9" max="9" width="20.21875" bestFit="1" customWidth="1"/>
    <col min="10" max="10" width="15.44140625" customWidth="1"/>
    <col min="11" max="11" width="17.77734375" customWidth="1"/>
    <col min="12" max="12" width="20.77734375" customWidth="1"/>
    <col min="17" max="17" width="1.218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6"/>
    </row>
    <row r="3" spans="1:33" s="1" customFormat="1" ht="15.6" x14ac:dyDescent="0.3">
      <c r="B3" s="8"/>
      <c r="F3" s="473" t="s">
        <v>37</v>
      </c>
      <c r="G3" s="473"/>
      <c r="H3" s="474"/>
      <c r="I3" s="475"/>
      <c r="J3" s="474"/>
      <c r="K3" s="475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2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307" customFormat="1" ht="12" x14ac:dyDescent="0.25">
      <c r="B6" s="336">
        <v>1</v>
      </c>
      <c r="C6" s="337" t="s">
        <v>10</v>
      </c>
      <c r="D6" s="310">
        <f>'CONSOLIDADO_TOTAL RECAUDO'!D125</f>
        <v>46857237.219999999</v>
      </c>
      <c r="E6" s="311">
        <f>'CONSOLIDADO_TOTAL RECAUDO'!E125</f>
        <v>0</v>
      </c>
      <c r="G6" s="338">
        <f>'CONSOLIDADO_TOTAL RECAUDO'!G125</f>
        <v>648870</v>
      </c>
      <c r="H6" s="312">
        <f>'CONSOLIDADO_TOTAL RECAUDO'!H125</f>
        <v>30588071.020000003</v>
      </c>
      <c r="I6" s="311">
        <f>'CONSOLIDADO_TOTAL RECAUDO'!I125</f>
        <v>0</v>
      </c>
      <c r="J6" s="311">
        <f>'CONSOLIDADO_TOTAL RECAUDO'!J125</f>
        <v>-3833780</v>
      </c>
      <c r="K6" s="311">
        <f>'CONSOLIDADO_TOTAL RECAUDO'!K125</f>
        <v>0</v>
      </c>
      <c r="L6" s="311">
        <f>'CONSOLIDADO_TOTAL RECAUDO'!L125</f>
        <v>0</v>
      </c>
      <c r="O6" s="339"/>
      <c r="Q6" s="308"/>
    </row>
    <row r="7" spans="1:33" s="307" customFormat="1" ht="12" x14ac:dyDescent="0.25">
      <c r="B7" s="316">
        <v>2</v>
      </c>
      <c r="C7" s="340" t="s">
        <v>11</v>
      </c>
      <c r="D7" s="294">
        <f>'CONSOLIDADO_TOTAL RECAUDO'!D126</f>
        <v>52275662.099999994</v>
      </c>
      <c r="E7" s="290">
        <f>'CONSOLIDADO_TOTAL RECAUDO'!E126</f>
        <v>0</v>
      </c>
      <c r="G7" s="341">
        <f>'CONSOLIDADO_TOTAL RECAUDO'!G126</f>
        <v>9704974</v>
      </c>
      <c r="H7" s="342">
        <f>'CONSOLIDADO_TOTAL RECAUDO'!H126</f>
        <v>95705711.270000011</v>
      </c>
      <c r="I7" s="290">
        <f>'CONSOLIDADO_TOTAL RECAUDO'!I126</f>
        <v>0</v>
      </c>
      <c r="J7" s="290">
        <f>'CONSOLIDADO_TOTAL RECAUDO'!J126</f>
        <v>-21803648.449999999</v>
      </c>
      <c r="K7" s="290">
        <f>'CONSOLIDADO_TOTAL RECAUDO'!K126</f>
        <v>6055989</v>
      </c>
      <c r="L7" s="290">
        <f>'CONSOLIDADO_TOTAL RECAUDO'!L126</f>
        <v>255254.55</v>
      </c>
      <c r="O7" s="339"/>
      <c r="Q7" s="308"/>
    </row>
    <row r="8" spans="1:33" s="307" customFormat="1" ht="12" x14ac:dyDescent="0.25">
      <c r="B8" s="316">
        <v>3</v>
      </c>
      <c r="C8" s="340" t="s">
        <v>12</v>
      </c>
      <c r="D8" s="294">
        <f>'CONSOLIDADO_TOTAL RECAUDO'!D127</f>
        <v>13754369</v>
      </c>
      <c r="E8" s="290">
        <f>'CONSOLIDADO_TOTAL RECAUDO'!E127</f>
        <v>0</v>
      </c>
      <c r="G8" s="341">
        <f>'CONSOLIDADO_TOTAL RECAUDO'!G127</f>
        <v>0</v>
      </c>
      <c r="H8" s="342">
        <f>'CONSOLIDADO_TOTAL RECAUDO'!H127</f>
        <v>14590494.319999998</v>
      </c>
      <c r="I8" s="290">
        <f>'CONSOLIDADO_TOTAL RECAUDO'!I127</f>
        <v>0</v>
      </c>
      <c r="J8" s="290">
        <f>'CONSOLIDADO_TOTAL RECAUDO'!J127</f>
        <v>-2259272</v>
      </c>
      <c r="K8" s="290">
        <f>'CONSOLIDADO_TOTAL RECAUDO'!K127</f>
        <v>0</v>
      </c>
      <c r="L8" s="290">
        <f>'CONSOLIDADO_TOTAL RECAUDO'!L127</f>
        <v>0</v>
      </c>
      <c r="O8" s="339"/>
      <c r="Q8" s="308"/>
    </row>
    <row r="9" spans="1:33" s="307" customFormat="1" ht="12" x14ac:dyDescent="0.25">
      <c r="B9" s="316">
        <v>4</v>
      </c>
      <c r="C9" s="340" t="s">
        <v>13</v>
      </c>
      <c r="D9" s="294">
        <f>'CONSOLIDADO_TOTAL RECAUDO'!D128</f>
        <v>49700940</v>
      </c>
      <c r="E9" s="290">
        <f>'CONSOLIDADO_TOTAL RECAUDO'!E128</f>
        <v>0</v>
      </c>
      <c r="G9" s="341">
        <f>'CONSOLIDADO_TOTAL RECAUDO'!G128</f>
        <v>21557177</v>
      </c>
      <c r="H9" s="342">
        <f>'CONSOLIDADO_TOTAL RECAUDO'!H128</f>
        <v>29206357.07</v>
      </c>
      <c r="I9" s="290">
        <f>'CONSOLIDADO_TOTAL RECAUDO'!I128</f>
        <v>0</v>
      </c>
      <c r="J9" s="290">
        <f>'CONSOLIDADO_TOTAL RECAUDO'!J128</f>
        <v>-41558585.399999999</v>
      </c>
      <c r="K9" s="290">
        <f>'CONSOLIDADO_TOTAL RECAUDO'!K128</f>
        <v>19678542</v>
      </c>
      <c r="L9" s="290">
        <f>'CONSOLIDADO_TOTAL RECAUDO'!L128</f>
        <v>1258817.5999999999</v>
      </c>
      <c r="O9" s="339"/>
      <c r="Q9" s="308"/>
    </row>
    <row r="10" spans="1:33" s="307" customFormat="1" ht="12" x14ac:dyDescent="0.25">
      <c r="B10" s="343">
        <v>5</v>
      </c>
      <c r="C10" s="344" t="s">
        <v>14</v>
      </c>
      <c r="D10" s="294">
        <f>'CONSOLIDADO_TOTAL RECAUDO'!D129</f>
        <v>8596000</v>
      </c>
      <c r="E10" s="346">
        <f>'CONSOLIDADO_TOTAL RECAUDO'!E129</f>
        <v>0</v>
      </c>
      <c r="G10" s="341">
        <f>'CONSOLIDADO_TOTAL RECAUDO'!G129</f>
        <v>0</v>
      </c>
      <c r="H10" s="342">
        <f>'CONSOLIDADO_TOTAL RECAUDO'!H129</f>
        <v>10379542.050000001</v>
      </c>
      <c r="I10" s="290">
        <f>'CONSOLIDADO_TOTAL RECAUDO'!I129</f>
        <v>0</v>
      </c>
      <c r="J10" s="290">
        <f>'CONSOLIDADO_TOTAL RECAUDO'!J129</f>
        <v>-3964157</v>
      </c>
      <c r="K10" s="290">
        <f>'CONSOLIDADO_TOTAL RECAUDO'!K129</f>
        <v>0</v>
      </c>
      <c r="L10" s="290">
        <f>'CONSOLIDADO_TOTAL RECAUDO'!L129</f>
        <v>41240</v>
      </c>
      <c r="O10" s="339"/>
      <c r="Q10" s="308"/>
    </row>
    <row r="11" spans="1:33" s="307" customFormat="1" ht="12.6" thickBot="1" x14ac:dyDescent="0.3">
      <c r="B11" s="326" t="s">
        <v>89</v>
      </c>
      <c r="C11" s="347" t="s">
        <v>113</v>
      </c>
      <c r="D11" s="299">
        <f>'CONSOLIDADO_TOTAL RECAUDO'!D130</f>
        <v>0</v>
      </c>
      <c r="E11" s="291">
        <f>'CONSOLIDADO_TOTAL RECAUDO'!E130</f>
        <v>0</v>
      </c>
      <c r="G11" s="348">
        <f>'CONSOLIDADO_TOTAL RECAUDO'!G130</f>
        <v>0</v>
      </c>
      <c r="H11" s="349">
        <f>'CONSOLIDADO_TOTAL RECAUDO'!H130</f>
        <v>0</v>
      </c>
      <c r="I11" s="291">
        <f>'CONSOLIDADO_TOTAL RECAUDO'!I130</f>
        <v>0</v>
      </c>
      <c r="J11" s="291">
        <f>'CONSOLIDADO_TOTAL RECAUDO'!J130</f>
        <v>0</v>
      </c>
      <c r="K11" s="291">
        <f>'CONSOLIDADO_TOTAL RECAUDO'!K130</f>
        <v>0</v>
      </c>
      <c r="L11" s="291">
        <f>'CONSOLIDADO_TOTAL RECAUDO'!L130</f>
        <v>0</v>
      </c>
      <c r="O11" s="339"/>
      <c r="Q11" s="308"/>
    </row>
    <row r="12" spans="1:33" s="307" customFormat="1" ht="12.6" thickBot="1" x14ac:dyDescent="0.3">
      <c r="B12" s="350"/>
      <c r="C12" s="351" t="s">
        <v>2</v>
      </c>
      <c r="D12" s="352">
        <f>'CONSOLIDADO_TOTAL RECAUDO'!D131</f>
        <v>171184208.31999999</v>
      </c>
      <c r="E12" s="352">
        <f>'CONSOLIDADO_TOTAL RECAUDO'!E131</f>
        <v>0</v>
      </c>
      <c r="F12" s="353"/>
      <c r="G12" s="352">
        <f>'CONSOLIDADO_TOTAL RECAUDO'!G131</f>
        <v>31911021</v>
      </c>
      <c r="H12" s="352">
        <f>'CONSOLIDADO_TOTAL RECAUDO'!H131</f>
        <v>180470175.73000002</v>
      </c>
      <c r="I12" s="352">
        <f>'CONSOLIDADO_TOTAL RECAUDO'!I131</f>
        <v>0</v>
      </c>
      <c r="J12" s="352">
        <f>'CONSOLIDADO_TOTAL RECAUDO'!J131</f>
        <v>-73419442.849999994</v>
      </c>
      <c r="K12" s="352">
        <f>'CONSOLIDADO_TOTAL RECAUDO'!K131</f>
        <v>25734531</v>
      </c>
      <c r="L12" s="352">
        <f>'CONSOLIDADO_TOTAL RECAUDO'!L131</f>
        <v>1555312.15</v>
      </c>
      <c r="M12" s="353"/>
      <c r="N12" s="353"/>
      <c r="O12" s="354"/>
      <c r="P12" s="331"/>
      <c r="Q12" s="308"/>
    </row>
    <row r="13" spans="1:33" s="1" customFormat="1" ht="12" x14ac:dyDescent="0.25">
      <c r="B13" s="2"/>
      <c r="C13" s="2"/>
      <c r="D13" s="450"/>
      <c r="Q13" s="4"/>
    </row>
    <row r="14" spans="1:33" s="1" customFormat="1" ht="12" x14ac:dyDescent="0.25">
      <c r="B14" s="2"/>
      <c r="C14" s="2"/>
      <c r="D14" s="450"/>
      <c r="Q14" s="4"/>
    </row>
    <row r="15" spans="1:33" s="1" customFormat="1" ht="12" x14ac:dyDescent="0.25">
      <c r="A15" s="52"/>
      <c r="B15" s="53"/>
      <c r="C15" s="53"/>
      <c r="D15" s="456"/>
      <c r="E15" s="456"/>
      <c r="F15" s="456"/>
      <c r="G15" s="456"/>
      <c r="H15" s="456"/>
      <c r="I15" s="456"/>
      <c r="J15" s="52"/>
      <c r="K15" s="456"/>
      <c r="L15" s="456"/>
      <c r="M15" s="456"/>
      <c r="N15" s="456"/>
      <c r="O15" s="456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6"/>
    </row>
    <row r="18" spans="1:17" s="1" customFormat="1" ht="15.6" x14ac:dyDescent="0.3">
      <c r="B18" s="8"/>
      <c r="F18" s="477" t="s">
        <v>191</v>
      </c>
      <c r="G18" s="477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307" customFormat="1" ht="12" x14ac:dyDescent="0.25">
      <c r="B21" s="336">
        <v>1</v>
      </c>
      <c r="C21" s="337" t="s">
        <v>10</v>
      </c>
      <c r="D21" s="310">
        <f>'REMUNERACION Reciprocidad EAAB'!D125</f>
        <v>0</v>
      </c>
      <c r="E21" s="311">
        <f>'REMUNERACION Reciprocidad EAAB'!E125</f>
        <v>0</v>
      </c>
      <c r="G21" s="338">
        <f>'REMUNERACION Reciprocidad EAAB'!G125</f>
        <v>0</v>
      </c>
      <c r="H21" s="312">
        <f>'REMUNERACION Reciprocidad EAAB'!H125</f>
        <v>0</v>
      </c>
      <c r="I21" s="311">
        <f>'REMUNERACION Reciprocidad EAAB'!I125</f>
        <v>0</v>
      </c>
      <c r="J21" s="311">
        <f>'REMUNERACION Reciprocidad EAAB'!J125</f>
        <v>0</v>
      </c>
      <c r="K21" s="311">
        <f>'REMUNERACION Reciprocidad EAAB'!K125</f>
        <v>0</v>
      </c>
      <c r="L21" s="311">
        <f>'REMUNERACION Reciprocidad EAAB'!L125</f>
        <v>0</v>
      </c>
      <c r="O21" s="339"/>
      <c r="Q21" s="308"/>
    </row>
    <row r="22" spans="1:17" s="307" customFormat="1" ht="12" x14ac:dyDescent="0.25">
      <c r="B22" s="316">
        <v>2</v>
      </c>
      <c r="C22" s="340" t="s">
        <v>11</v>
      </c>
      <c r="D22" s="294">
        <f>'REMUNERACION Reciprocidad EAAB'!D126</f>
        <v>0</v>
      </c>
      <c r="E22" s="290">
        <f>'REMUNERACION Reciprocidad EAAB'!E126</f>
        <v>0</v>
      </c>
      <c r="G22" s="341">
        <f>'REMUNERACION Reciprocidad EAAB'!G126</f>
        <v>0</v>
      </c>
      <c r="H22" s="342">
        <f>'REMUNERACION Reciprocidad EAAB'!H126</f>
        <v>11762381.269999998</v>
      </c>
      <c r="I22" s="290">
        <f>'REMUNERACION Reciprocidad EAAB'!I126</f>
        <v>0</v>
      </c>
      <c r="J22" s="290">
        <f>'REMUNERACION Reciprocidad EAAB'!J126</f>
        <v>0</v>
      </c>
      <c r="K22" s="290">
        <f>'REMUNERACION Reciprocidad EAAB'!K126</f>
        <v>0</v>
      </c>
      <c r="L22" s="290">
        <f>'REMUNERACION Reciprocidad EAAB'!L126</f>
        <v>0</v>
      </c>
      <c r="O22" s="339"/>
      <c r="Q22" s="308"/>
    </row>
    <row r="23" spans="1:17" s="307" customFormat="1" ht="12" x14ac:dyDescent="0.25">
      <c r="B23" s="316">
        <v>3</v>
      </c>
      <c r="C23" s="340" t="s">
        <v>12</v>
      </c>
      <c r="D23" s="294">
        <f>'REMUNERACION Reciprocidad EAAB'!D127</f>
        <v>0</v>
      </c>
      <c r="E23" s="290">
        <f>'REMUNERACION Reciprocidad EAAB'!E127</f>
        <v>0</v>
      </c>
      <c r="G23" s="341">
        <f>'REMUNERACION Reciprocidad EAAB'!G127</f>
        <v>0</v>
      </c>
      <c r="H23" s="342">
        <f>'REMUNERACION Reciprocidad EAAB'!H127</f>
        <v>0</v>
      </c>
      <c r="I23" s="290">
        <f>'REMUNERACION Reciprocidad EAAB'!I127</f>
        <v>0</v>
      </c>
      <c r="J23" s="290">
        <f>'REMUNERACION Reciprocidad EAAB'!J127</f>
        <v>0</v>
      </c>
      <c r="K23" s="290">
        <f>'REMUNERACION Reciprocidad EAAB'!K127</f>
        <v>0</v>
      </c>
      <c r="L23" s="290">
        <f>'REMUNERACION Reciprocidad EAAB'!L127</f>
        <v>0</v>
      </c>
      <c r="O23" s="339"/>
      <c r="Q23" s="308"/>
    </row>
    <row r="24" spans="1:17" s="307" customFormat="1" ht="12" x14ac:dyDescent="0.25">
      <c r="B24" s="316">
        <v>4</v>
      </c>
      <c r="C24" s="340" t="s">
        <v>13</v>
      </c>
      <c r="D24" s="294">
        <f>'REMUNERACION Reciprocidad EAAB'!D128</f>
        <v>0</v>
      </c>
      <c r="E24" s="290">
        <f>'REMUNERACION Reciprocidad EAAB'!E128</f>
        <v>0</v>
      </c>
      <c r="G24" s="341">
        <f>'REMUNERACION Reciprocidad EAAB'!G128</f>
        <v>309350</v>
      </c>
      <c r="H24" s="342">
        <f>'REMUNERACION Reciprocidad EAAB'!H128</f>
        <v>2089183.34</v>
      </c>
      <c r="I24" s="290">
        <f>'REMUNERACION Reciprocidad EAAB'!I128</f>
        <v>0</v>
      </c>
      <c r="J24" s="290">
        <f>'REMUNERACION Reciprocidad EAAB'!J128</f>
        <v>-554080</v>
      </c>
      <c r="K24" s="290">
        <f>'REMUNERACION Reciprocidad EAAB'!K128</f>
        <v>244730</v>
      </c>
      <c r="L24" s="290">
        <f>'REMUNERACION Reciprocidad EAAB'!L128</f>
        <v>0</v>
      </c>
      <c r="O24" s="339"/>
      <c r="Q24" s="308"/>
    </row>
    <row r="25" spans="1:17" s="307" customFormat="1" ht="12" x14ac:dyDescent="0.25">
      <c r="B25" s="343">
        <v>5</v>
      </c>
      <c r="C25" s="344" t="s">
        <v>14</v>
      </c>
      <c r="D25" s="294">
        <f>'REMUNERACION Reciprocidad EAAB'!D129</f>
        <v>0</v>
      </c>
      <c r="E25" s="346">
        <f>'REMUNERACION Reciprocidad EAAB'!E129</f>
        <v>0</v>
      </c>
      <c r="G25" s="341">
        <f>'REMUNERACION Reciprocidad EAAB'!G129</f>
        <v>0</v>
      </c>
      <c r="H25" s="342">
        <f>'REMUNERACION Reciprocidad EAAB'!H129</f>
        <v>0</v>
      </c>
      <c r="I25" s="290">
        <f>'REMUNERACION Reciprocidad EAAB'!I129</f>
        <v>0</v>
      </c>
      <c r="J25" s="290">
        <f>'REMUNERACION Reciprocidad EAAB'!J129</f>
        <v>0</v>
      </c>
      <c r="K25" s="290">
        <f>'REMUNERACION Reciprocidad EAAB'!K129</f>
        <v>0</v>
      </c>
      <c r="L25" s="290">
        <f>'REMUNERACION Reciprocidad EAAB'!L129</f>
        <v>0</v>
      </c>
      <c r="O25" s="339"/>
      <c r="Q25" s="308"/>
    </row>
    <row r="26" spans="1:17" s="307" customFormat="1" ht="12.6" thickBot="1" x14ac:dyDescent="0.3">
      <c r="B26" s="326" t="s">
        <v>89</v>
      </c>
      <c r="C26" s="347" t="s">
        <v>113</v>
      </c>
      <c r="D26" s="299">
        <f>'REMUNERACION Reciprocidad EAAB'!D130</f>
        <v>0</v>
      </c>
      <c r="E26" s="291">
        <f>'REMUNERACION Reciprocidad EAAB'!E130</f>
        <v>0</v>
      </c>
      <c r="G26" s="348">
        <f>'REMUNERACION Reciprocidad EAAB'!G130</f>
        <v>0</v>
      </c>
      <c r="H26" s="349">
        <f>'REMUNERACION Reciprocidad EAAB'!H130</f>
        <v>0</v>
      </c>
      <c r="I26" s="291">
        <f>'REMUNERACION Reciprocidad EAAB'!I130</f>
        <v>0</v>
      </c>
      <c r="J26" s="291">
        <f>'REMUNERACION Reciprocidad EAAB'!J130</f>
        <v>0</v>
      </c>
      <c r="K26" s="291">
        <f>'REMUNERACION Reciprocidad EAAB'!K130</f>
        <v>0</v>
      </c>
      <c r="L26" s="291">
        <f>'REMUNERACION Reciprocidad EAAB'!L130</f>
        <v>0</v>
      </c>
      <c r="O26" s="339"/>
      <c r="Q26" s="308"/>
    </row>
    <row r="27" spans="1:17" s="307" customFormat="1" ht="12.6" thickBot="1" x14ac:dyDescent="0.3">
      <c r="B27" s="350"/>
      <c r="C27" s="351" t="s">
        <v>2</v>
      </c>
      <c r="D27" s="352">
        <f>'REMUNERACION Reciprocidad EAAB'!D131</f>
        <v>0</v>
      </c>
      <c r="E27" s="352">
        <f>'REMUNERACION Reciprocidad EAAB'!E131</f>
        <v>0</v>
      </c>
      <c r="F27" s="353"/>
      <c r="G27" s="352">
        <f>'REMUNERACION Reciprocidad EAAB'!G131</f>
        <v>309350</v>
      </c>
      <c r="H27" s="352">
        <f>'REMUNERACION Reciprocidad EAAB'!H131</f>
        <v>13851564.609999998</v>
      </c>
      <c r="I27" s="352">
        <f>'REMUNERACION Reciprocidad EAAB'!I131</f>
        <v>0</v>
      </c>
      <c r="J27" s="352">
        <f>'REMUNERACION Reciprocidad EAAB'!J131</f>
        <v>-554080</v>
      </c>
      <c r="K27" s="352">
        <f>'REMUNERACION Reciprocidad EAAB'!K131</f>
        <v>244730</v>
      </c>
      <c r="L27" s="352">
        <f>'REMUNERACION Reciprocidad EAAB'!L131</f>
        <v>0</v>
      </c>
      <c r="M27" s="353"/>
      <c r="N27" s="353"/>
      <c r="O27" s="354"/>
      <c r="P27" s="331"/>
      <c r="Q27" s="308"/>
    </row>
    <row r="28" spans="1:17" s="1" customFormat="1" ht="12" x14ac:dyDescent="0.25">
      <c r="B28" s="2"/>
      <c r="C28" s="2"/>
      <c r="D28" s="450"/>
      <c r="Q28" s="4"/>
    </row>
    <row r="29" spans="1:17" s="1" customFormat="1" ht="12" x14ac:dyDescent="0.25">
      <c r="B29" s="2"/>
      <c r="C29" s="2"/>
      <c r="D29" s="450"/>
      <c r="Q29" s="4"/>
    </row>
    <row r="30" spans="1:17" s="1" customFormat="1" ht="12" x14ac:dyDescent="0.25">
      <c r="A30" s="52"/>
      <c r="B30" s="53"/>
      <c r="C30" s="53"/>
      <c r="D30" s="456"/>
      <c r="E30" s="456"/>
      <c r="F30" s="456"/>
      <c r="G30" s="456"/>
      <c r="H30" s="456"/>
      <c r="I30" s="456"/>
      <c r="J30" s="52"/>
      <c r="K30" s="456"/>
      <c r="L30" s="456"/>
      <c r="M30" s="456"/>
      <c r="N30" s="456"/>
      <c r="O30" s="456"/>
      <c r="P30" s="52"/>
      <c r="Q30" s="4"/>
    </row>
    <row r="32" spans="1:17" s="1" customFormat="1" ht="15.6" x14ac:dyDescent="0.3">
      <c r="B32" s="8"/>
      <c r="F32" s="493" t="s">
        <v>192</v>
      </c>
      <c r="G32" s="493"/>
      <c r="H32" s="494"/>
      <c r="I32" s="495"/>
      <c r="J32" s="494"/>
      <c r="K32" s="495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307" customFormat="1" ht="12" x14ac:dyDescent="0.25">
      <c r="B35" s="336">
        <v>1</v>
      </c>
      <c r="C35" s="337" t="s">
        <v>10</v>
      </c>
      <c r="D35" s="310">
        <f>REMUNERACION_ENEL!D125</f>
        <v>29606547</v>
      </c>
      <c r="E35" s="311">
        <f>REMUNERACION_ENEL!E125</f>
        <v>0</v>
      </c>
      <c r="G35" s="338">
        <f>REMUNERACION_ENEL!G125</f>
        <v>513960</v>
      </c>
      <c r="H35" s="312">
        <f>REMUNERACION_ENEL!H125</f>
        <v>26731349.390000001</v>
      </c>
      <c r="I35" s="311">
        <f>REMUNERACION_ENEL!I125</f>
        <v>0</v>
      </c>
      <c r="J35" s="311">
        <f>REMUNERACION_ENEL!J125</f>
        <v>-3698870</v>
      </c>
      <c r="K35" s="311">
        <f>REMUNERACION_ENEL!K125</f>
        <v>0</v>
      </c>
      <c r="L35" s="311">
        <f>REMUNERACION_ENEL!L125</f>
        <v>0</v>
      </c>
      <c r="O35" s="339"/>
      <c r="Q35" s="308"/>
    </row>
    <row r="36" spans="1:17" s="307" customFormat="1" ht="12" x14ac:dyDescent="0.25">
      <c r="B36" s="316">
        <v>2</v>
      </c>
      <c r="C36" s="340" t="s">
        <v>11</v>
      </c>
      <c r="D36" s="294">
        <f>REMUNERACION_ENEL!D126</f>
        <v>22325147.129999999</v>
      </c>
      <c r="E36" s="290">
        <f>REMUNERACION_ENEL!E126</f>
        <v>0</v>
      </c>
      <c r="G36" s="341">
        <f>REMUNERACION_ENEL!G126</f>
        <v>9240820</v>
      </c>
      <c r="H36" s="342">
        <f>REMUNERACION_ENEL!H126</f>
        <v>39413638.689999998</v>
      </c>
      <c r="I36" s="290">
        <f>REMUNERACION_ENEL!I126</f>
        <v>0</v>
      </c>
      <c r="J36" s="290">
        <f>REMUNERACION_ENEL!J126</f>
        <v>-20858585.449999999</v>
      </c>
      <c r="K36" s="290">
        <f>REMUNERACION_ENEL!K126</f>
        <v>5526530</v>
      </c>
      <c r="L36" s="290">
        <f>REMUNERACION_ENEL!L126</f>
        <v>206704.55</v>
      </c>
      <c r="O36" s="339"/>
      <c r="Q36" s="308"/>
    </row>
    <row r="37" spans="1:17" s="307" customFormat="1" ht="12" x14ac:dyDescent="0.25">
      <c r="B37" s="316">
        <v>3</v>
      </c>
      <c r="C37" s="340" t="s">
        <v>12</v>
      </c>
      <c r="D37" s="294">
        <f>REMUNERACION_ENEL!D127</f>
        <v>8845080</v>
      </c>
      <c r="E37" s="290">
        <f>REMUNERACION_ENEL!E127</f>
        <v>0</v>
      </c>
      <c r="G37" s="341">
        <f>REMUNERACION_ENEL!G127</f>
        <v>0</v>
      </c>
      <c r="H37" s="342">
        <f>REMUNERACION_ENEL!H127</f>
        <v>12385143.039999999</v>
      </c>
      <c r="I37" s="290">
        <f>REMUNERACION_ENEL!I127</f>
        <v>0</v>
      </c>
      <c r="J37" s="290">
        <f>REMUNERACION_ENEL!J127</f>
        <v>-2259272</v>
      </c>
      <c r="K37" s="290">
        <f>REMUNERACION_ENEL!K127</f>
        <v>0</v>
      </c>
      <c r="L37" s="290">
        <f>REMUNERACION_ENEL!L127</f>
        <v>0</v>
      </c>
      <c r="O37" s="339"/>
      <c r="Q37" s="308"/>
    </row>
    <row r="38" spans="1:17" s="307" customFormat="1" ht="12" x14ac:dyDescent="0.25">
      <c r="B38" s="316">
        <v>4</v>
      </c>
      <c r="C38" s="340" t="s">
        <v>13</v>
      </c>
      <c r="D38" s="294">
        <f>REMUNERACION_ENEL!D128</f>
        <v>42284806</v>
      </c>
      <c r="E38" s="290">
        <f>REMUNERACION_ENEL!E128</f>
        <v>0</v>
      </c>
      <c r="G38" s="341">
        <f>REMUNERACION_ENEL!G128</f>
        <v>20397090</v>
      </c>
      <c r="H38" s="342">
        <f>REMUNERACION_ENEL!H128</f>
        <v>23742361.280000001</v>
      </c>
      <c r="I38" s="290">
        <f>REMUNERACION_ENEL!I128</f>
        <v>0</v>
      </c>
      <c r="J38" s="290">
        <f>REMUNERACION_ENEL!J128</f>
        <v>-39633253.399999999</v>
      </c>
      <c r="K38" s="290">
        <f>REMUNERACION_ENEL!K128</f>
        <v>18827526</v>
      </c>
      <c r="L38" s="290">
        <f>REMUNERACION_ENEL!L128</f>
        <v>1173046.5999999999</v>
      </c>
      <c r="O38" s="339"/>
      <c r="Q38" s="308"/>
    </row>
    <row r="39" spans="1:17" s="307" customFormat="1" ht="12" x14ac:dyDescent="0.25">
      <c r="B39" s="343">
        <v>5</v>
      </c>
      <c r="C39" s="344" t="s">
        <v>14</v>
      </c>
      <c r="D39" s="294">
        <f>REMUNERACION_ENEL!D129</f>
        <v>5249580</v>
      </c>
      <c r="E39" s="346">
        <f>REMUNERACION_ENEL!E129</f>
        <v>0</v>
      </c>
      <c r="G39" s="341">
        <f>REMUNERACION_ENEL!G129</f>
        <v>0</v>
      </c>
      <c r="H39" s="342">
        <f>REMUNERACION_ENEL!H129</f>
        <v>9192655.3300000001</v>
      </c>
      <c r="I39" s="290">
        <f>REMUNERACION_ENEL!I129</f>
        <v>0</v>
      </c>
      <c r="J39" s="290">
        <f>REMUNERACION_ENEL!J129</f>
        <v>-3964157</v>
      </c>
      <c r="K39" s="290">
        <f>REMUNERACION_ENEL!K129</f>
        <v>0</v>
      </c>
      <c r="L39" s="290">
        <f>REMUNERACION_ENEL!L129</f>
        <v>41240</v>
      </c>
      <c r="O39" s="339"/>
      <c r="Q39" s="308"/>
    </row>
    <row r="40" spans="1:17" s="307" customFormat="1" ht="12.6" thickBot="1" x14ac:dyDescent="0.3">
      <c r="B40" s="326" t="s">
        <v>89</v>
      </c>
      <c r="C40" s="347" t="s">
        <v>113</v>
      </c>
      <c r="D40" s="299">
        <f>REMUNERACION_ENEL!D130</f>
        <v>0</v>
      </c>
      <c r="E40" s="291">
        <f>REMUNERACION_ENEL!E130</f>
        <v>0</v>
      </c>
      <c r="G40" s="348">
        <f>REMUNERACION_ENEL!G130</f>
        <v>0</v>
      </c>
      <c r="H40" s="349">
        <f>REMUNERACION_ENEL!H130</f>
        <v>0</v>
      </c>
      <c r="I40" s="291">
        <f>REMUNERACION_ENEL!I130</f>
        <v>0</v>
      </c>
      <c r="J40" s="291">
        <f>REMUNERACION_ENEL!J130</f>
        <v>0</v>
      </c>
      <c r="K40" s="291">
        <f>REMUNERACION_ENEL!K130</f>
        <v>0</v>
      </c>
      <c r="L40" s="291">
        <f>REMUNERACION_ENEL!L130</f>
        <v>0</v>
      </c>
      <c r="O40" s="339"/>
      <c r="Q40" s="308"/>
    </row>
    <row r="41" spans="1:17" s="307" customFormat="1" ht="12.6" thickBot="1" x14ac:dyDescent="0.3">
      <c r="B41" s="350"/>
      <c r="C41" s="351" t="s">
        <v>2</v>
      </c>
      <c r="D41" s="352">
        <f>REMUNERACION_ENEL!D131</f>
        <v>108311160.13</v>
      </c>
      <c r="E41" s="352">
        <f>REMUNERACION_ENEL!E131</f>
        <v>0</v>
      </c>
      <c r="F41" s="353"/>
      <c r="G41" s="352">
        <f>REMUNERACION_ENEL!G131</f>
        <v>30151870</v>
      </c>
      <c r="H41" s="352">
        <f>REMUNERACION_ENEL!H131</f>
        <v>111465147.73</v>
      </c>
      <c r="I41" s="352">
        <f>REMUNERACION_ENEL!I131</f>
        <v>0</v>
      </c>
      <c r="J41" s="352">
        <f>REMUNERACION_ENEL!J131</f>
        <v>-70414137.849999994</v>
      </c>
      <c r="K41" s="352">
        <f>REMUNERACION_ENEL!K131</f>
        <v>24354056</v>
      </c>
      <c r="L41" s="352">
        <f>REMUNERACION_ENEL!L131</f>
        <v>1420991.15</v>
      </c>
      <c r="M41" s="353"/>
      <c r="N41" s="353"/>
      <c r="O41" s="354"/>
      <c r="P41" s="331"/>
      <c r="Q41" s="308"/>
    </row>
    <row r="42" spans="1:17" s="1" customFormat="1" ht="12" x14ac:dyDescent="0.25">
      <c r="B42" s="2"/>
      <c r="C42" s="2"/>
      <c r="D42" s="450"/>
      <c r="Q42" s="4"/>
    </row>
    <row r="43" spans="1:17" s="1" customFormat="1" ht="12" x14ac:dyDescent="0.25">
      <c r="B43" s="2"/>
      <c r="C43" s="2"/>
      <c r="D43" s="450"/>
      <c r="Q43" s="4"/>
    </row>
    <row r="44" spans="1:17" s="1" customFormat="1" ht="12" x14ac:dyDescent="0.25">
      <c r="A44" s="52"/>
      <c r="B44" s="53"/>
      <c r="C44" s="53"/>
      <c r="D44" s="456"/>
      <c r="E44" s="456"/>
      <c r="F44" s="456"/>
      <c r="G44" s="456"/>
      <c r="H44" s="456"/>
      <c r="I44" s="456"/>
      <c r="J44" s="52"/>
      <c r="K44" s="456"/>
      <c r="L44" s="456"/>
      <c r="M44" s="456"/>
      <c r="N44" s="456"/>
      <c r="O44" s="456"/>
      <c r="P44" s="52"/>
      <c r="Q44" s="4"/>
    </row>
    <row r="45" spans="1:17" s="1" customFormat="1" ht="12" x14ac:dyDescent="0.25">
      <c r="B45" s="2"/>
      <c r="C45" s="2"/>
      <c r="D45" s="450"/>
      <c r="Q45" s="4"/>
    </row>
    <row r="46" spans="1:17" s="1" customFormat="1" ht="15.6" x14ac:dyDescent="0.3">
      <c r="B46" s="8"/>
      <c r="F46" s="493" t="s">
        <v>328</v>
      </c>
      <c r="G46" s="493"/>
      <c r="H46" s="494"/>
      <c r="I46" s="495"/>
      <c r="J46" s="494"/>
      <c r="K46" s="495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307" customFormat="1" ht="12" x14ac:dyDescent="0.25">
      <c r="B49" s="336">
        <v>1</v>
      </c>
      <c r="C49" s="337" t="s">
        <v>10</v>
      </c>
      <c r="D49" s="310">
        <f>REMUNERACION_ENERBIT!D125</f>
        <v>0</v>
      </c>
      <c r="E49" s="310">
        <f>REMUNERACION_ENERBIT!E125</f>
        <v>0</v>
      </c>
      <c r="G49" s="338">
        <f>REMUNERACION_ENERBIT!G125</f>
        <v>0</v>
      </c>
      <c r="H49" s="338">
        <f>REMUNERACION_ENERBIT!H125</f>
        <v>0</v>
      </c>
      <c r="I49" s="338">
        <f>REMUNERACION_ENERBIT!I125</f>
        <v>0</v>
      </c>
      <c r="J49" s="338">
        <f>REMUNERACION_ENERBIT!J125</f>
        <v>0</v>
      </c>
      <c r="K49" s="338">
        <f>REMUNERACION_ENERBIT!K125</f>
        <v>0</v>
      </c>
      <c r="L49" s="338">
        <f>REMUNERACION_ENERBIT!L125</f>
        <v>0</v>
      </c>
      <c r="O49" s="339"/>
      <c r="Q49" s="308"/>
    </row>
    <row r="50" spans="1:17" s="307" customFormat="1" ht="12" x14ac:dyDescent="0.25">
      <c r="B50" s="316">
        <v>2</v>
      </c>
      <c r="C50" s="340" t="s">
        <v>11</v>
      </c>
      <c r="D50" s="294">
        <f>REMUNERACION_ENERBIT!D126</f>
        <v>0</v>
      </c>
      <c r="E50" s="294">
        <f>REMUNERACION_ENERBIT!E126</f>
        <v>0</v>
      </c>
      <c r="G50" s="341">
        <f>REMUNERACION_ENERBIT!G126</f>
        <v>0</v>
      </c>
      <c r="H50" s="341">
        <f>REMUNERACION_ENERBIT!H126</f>
        <v>0</v>
      </c>
      <c r="I50" s="341">
        <f>REMUNERACION_ENERBIT!I126</f>
        <v>0</v>
      </c>
      <c r="J50" s="341">
        <f>REMUNERACION_ENERBIT!J126</f>
        <v>0</v>
      </c>
      <c r="K50" s="341">
        <f>REMUNERACION_ENERBIT!K126</f>
        <v>0</v>
      </c>
      <c r="L50" s="341">
        <f>REMUNERACION_ENERBIT!L126</f>
        <v>0</v>
      </c>
      <c r="O50" s="339"/>
      <c r="Q50" s="308"/>
    </row>
    <row r="51" spans="1:17" s="307" customFormat="1" ht="12" x14ac:dyDescent="0.25">
      <c r="B51" s="316">
        <v>3</v>
      </c>
      <c r="C51" s="340" t="s">
        <v>12</v>
      </c>
      <c r="D51" s="294">
        <f>REMUNERACION_ENERBIT!D127</f>
        <v>0</v>
      </c>
      <c r="E51" s="294">
        <f>REMUNERACION_ENERBIT!E127</f>
        <v>0</v>
      </c>
      <c r="G51" s="341">
        <f>REMUNERACION_ENERBIT!G127</f>
        <v>0</v>
      </c>
      <c r="H51" s="341">
        <f>REMUNERACION_ENERBIT!H127</f>
        <v>0</v>
      </c>
      <c r="I51" s="341">
        <f>REMUNERACION_ENERBIT!I127</f>
        <v>0</v>
      </c>
      <c r="J51" s="341">
        <f>REMUNERACION_ENERBIT!J127</f>
        <v>0</v>
      </c>
      <c r="K51" s="341">
        <f>REMUNERACION_ENERBIT!K127</f>
        <v>0</v>
      </c>
      <c r="L51" s="341">
        <f>REMUNERACION_ENERBIT!L127</f>
        <v>0</v>
      </c>
      <c r="O51" s="339"/>
      <c r="Q51" s="308"/>
    </row>
    <row r="52" spans="1:17" s="307" customFormat="1" ht="12" x14ac:dyDescent="0.25">
      <c r="B52" s="316">
        <v>4</v>
      </c>
      <c r="C52" s="340" t="s">
        <v>13</v>
      </c>
      <c r="D52" s="294">
        <f>REMUNERACION_ENERBIT!D128</f>
        <v>0</v>
      </c>
      <c r="E52" s="294">
        <f>REMUNERACION_ENERBIT!E128</f>
        <v>0</v>
      </c>
      <c r="G52" s="341">
        <f>REMUNERACION_ENERBIT!G128</f>
        <v>0</v>
      </c>
      <c r="H52" s="341">
        <f>REMUNERACION_ENERBIT!H128</f>
        <v>0</v>
      </c>
      <c r="I52" s="341">
        <f>REMUNERACION_ENERBIT!I128</f>
        <v>0</v>
      </c>
      <c r="J52" s="341">
        <f>REMUNERACION_ENERBIT!J128</f>
        <v>0</v>
      </c>
      <c r="K52" s="341">
        <f>REMUNERACION_ENERBIT!K128</f>
        <v>0</v>
      </c>
      <c r="L52" s="341">
        <f>REMUNERACION_ENERBIT!L128</f>
        <v>0</v>
      </c>
      <c r="O52" s="339"/>
      <c r="Q52" s="308"/>
    </row>
    <row r="53" spans="1:17" s="307" customFormat="1" ht="12" x14ac:dyDescent="0.25">
      <c r="B53" s="343">
        <v>5</v>
      </c>
      <c r="C53" s="344" t="s">
        <v>14</v>
      </c>
      <c r="D53" s="294">
        <f>REMUNERACION_ENERBIT!D129</f>
        <v>914180</v>
      </c>
      <c r="E53" s="294">
        <f>REMUNERACION_ENERBIT!E129</f>
        <v>0</v>
      </c>
      <c r="G53" s="341">
        <f>REMUNERACION_ENERBIT!G129</f>
        <v>0</v>
      </c>
      <c r="H53" s="341">
        <f>REMUNERACION_ENERBIT!H129</f>
        <v>0</v>
      </c>
      <c r="I53" s="341">
        <f>REMUNERACION_ENERBIT!I129</f>
        <v>0</v>
      </c>
      <c r="J53" s="341">
        <f>REMUNERACION_ENERBIT!J129</f>
        <v>0</v>
      </c>
      <c r="K53" s="341">
        <f>REMUNERACION_ENERBIT!K129</f>
        <v>0</v>
      </c>
      <c r="L53" s="341">
        <f>REMUNERACION_ENERBIT!L129</f>
        <v>0</v>
      </c>
      <c r="O53" s="339"/>
      <c r="Q53" s="308"/>
    </row>
    <row r="54" spans="1:17" s="307" customFormat="1" ht="12.6" thickBot="1" x14ac:dyDescent="0.3">
      <c r="B54" s="326" t="s">
        <v>89</v>
      </c>
      <c r="C54" s="347" t="s">
        <v>113</v>
      </c>
      <c r="D54" s="299">
        <f>REMUNERACION_ENERBIT!D130</f>
        <v>0</v>
      </c>
      <c r="E54" s="299">
        <f>REMUNERACION_ENERBIT!E130</f>
        <v>0</v>
      </c>
      <c r="G54" s="348">
        <f>REMUNERACION_ENERBIT!G130</f>
        <v>0</v>
      </c>
      <c r="H54" s="348">
        <f>REMUNERACION_ENERBIT!H130</f>
        <v>0</v>
      </c>
      <c r="I54" s="348">
        <f>REMUNERACION_ENERBIT!I130</f>
        <v>0</v>
      </c>
      <c r="J54" s="348">
        <f>REMUNERACION_ENERBIT!J130</f>
        <v>0</v>
      </c>
      <c r="K54" s="348">
        <f>REMUNERACION_ENERBIT!K130</f>
        <v>0</v>
      </c>
      <c r="L54" s="348">
        <f>REMUNERACION_ENERBIT!L130</f>
        <v>0</v>
      </c>
      <c r="O54" s="339"/>
      <c r="Q54" s="308"/>
    </row>
    <row r="55" spans="1:17" s="307" customFormat="1" ht="12.6" thickBot="1" x14ac:dyDescent="0.3">
      <c r="B55" s="350"/>
      <c r="C55" s="351" t="s">
        <v>2</v>
      </c>
      <c r="D55" s="352">
        <f>REMUNERACION_ENERBIT!D131</f>
        <v>914180</v>
      </c>
      <c r="E55" s="352">
        <f>REMUNERACION_ENERBIT!E131</f>
        <v>0</v>
      </c>
      <c r="F55" s="353"/>
      <c r="G55" s="352">
        <f>REMUNERACION_ENERBIT!G131</f>
        <v>0</v>
      </c>
      <c r="H55" s="352">
        <f>REMUNERACION_ENERBIT!H131</f>
        <v>0</v>
      </c>
      <c r="I55" s="352">
        <f>REMUNERACION_ENERBIT!I131</f>
        <v>0</v>
      </c>
      <c r="J55" s="352">
        <f>REMUNERACION_ENERBIT!J131</f>
        <v>0</v>
      </c>
      <c r="K55" s="352">
        <f>REMUNERACION_ENERBIT!K131</f>
        <v>0</v>
      </c>
      <c r="L55" s="352">
        <f>REMUNERACION_ENERBIT!L131</f>
        <v>0</v>
      </c>
      <c r="M55" s="353"/>
      <c r="N55" s="353"/>
      <c r="O55" s="354"/>
      <c r="P55" s="331"/>
      <c r="Q55" s="308"/>
    </row>
    <row r="56" spans="1:17" s="1" customFormat="1" ht="12" x14ac:dyDescent="0.25">
      <c r="B56" s="2"/>
      <c r="C56" s="2"/>
      <c r="D56" s="450"/>
      <c r="Q56" s="4"/>
    </row>
    <row r="57" spans="1:17" s="1" customFormat="1" ht="12" x14ac:dyDescent="0.25">
      <c r="B57" s="2"/>
      <c r="C57" s="2"/>
      <c r="D57" s="450"/>
      <c r="Q57" s="4"/>
    </row>
    <row r="58" spans="1:17" s="1" customFormat="1" ht="12" x14ac:dyDescent="0.25">
      <c r="A58" s="52"/>
      <c r="B58" s="53"/>
      <c r="C58" s="53"/>
      <c r="D58" s="456"/>
      <c r="E58" s="456"/>
      <c r="F58" s="456"/>
      <c r="G58" s="456"/>
      <c r="H58" s="456"/>
      <c r="I58" s="456"/>
      <c r="J58" s="52"/>
      <c r="K58" s="456"/>
      <c r="L58" s="456"/>
      <c r="M58" s="456"/>
      <c r="N58" s="456"/>
      <c r="O58" s="456"/>
      <c r="P58" s="52"/>
      <c r="Q58" s="4"/>
    </row>
    <row r="60" spans="1:17" s="1" customFormat="1" ht="15.6" x14ac:dyDescent="0.3">
      <c r="B60" s="8"/>
      <c r="F60" s="478" t="s">
        <v>193</v>
      </c>
      <c r="G60" s="478"/>
      <c r="H60" s="479"/>
      <c r="I60" s="480"/>
      <c r="J60" s="479"/>
      <c r="K60" s="480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307" customFormat="1" ht="12" x14ac:dyDescent="0.25">
      <c r="B63" s="336">
        <v>1</v>
      </c>
      <c r="C63" s="337" t="s">
        <v>10</v>
      </c>
      <c r="D63" s="310">
        <f>'REMUNERACION_OCCIDENTE_ Directa'!D125</f>
        <v>17250690.219999999</v>
      </c>
      <c r="E63" s="311">
        <f>'REMUNERACION_OCCIDENTE_ Directa'!E125</f>
        <v>0</v>
      </c>
      <c r="G63" s="338">
        <f>'REMUNERACION_OCCIDENTE_ Directa'!G125</f>
        <v>134910</v>
      </c>
      <c r="H63" s="312">
        <f>'REMUNERACION_OCCIDENTE_ Directa'!H125</f>
        <v>3856721.63</v>
      </c>
      <c r="I63" s="311">
        <f>'REMUNERACION_OCCIDENTE_ Directa'!I125</f>
        <v>0</v>
      </c>
      <c r="J63" s="311">
        <f>'REMUNERACION_OCCIDENTE_ Directa'!J125</f>
        <v>-134910</v>
      </c>
      <c r="K63" s="311">
        <f>'REMUNERACION_OCCIDENTE_ Directa'!K125</f>
        <v>0</v>
      </c>
      <c r="L63" s="311">
        <f>'REMUNERACION_OCCIDENTE_ Directa'!L125</f>
        <v>0</v>
      </c>
      <c r="O63" s="339"/>
      <c r="Q63" s="308"/>
    </row>
    <row r="64" spans="1:17" s="307" customFormat="1" ht="12" x14ac:dyDescent="0.25">
      <c r="B64" s="316">
        <v>2</v>
      </c>
      <c r="C64" s="340" t="s">
        <v>11</v>
      </c>
      <c r="D64" s="294">
        <f>'REMUNERACION_OCCIDENTE_ Directa'!D126</f>
        <v>29950514.969999999</v>
      </c>
      <c r="E64" s="290">
        <f>'REMUNERACION_OCCIDENTE_ Directa'!E126</f>
        <v>0</v>
      </c>
      <c r="G64" s="341">
        <f>'REMUNERACION_OCCIDENTE_ Directa'!G126</f>
        <v>464154</v>
      </c>
      <c r="H64" s="342">
        <f>'REMUNERACION_OCCIDENTE_ Directa'!H126</f>
        <v>44529691.310000002</v>
      </c>
      <c r="I64" s="290">
        <f>'REMUNERACION_OCCIDENTE_ Directa'!I126</f>
        <v>0</v>
      </c>
      <c r="J64" s="290">
        <f>'REMUNERACION_OCCIDENTE_ Directa'!J126</f>
        <v>-945063</v>
      </c>
      <c r="K64" s="290">
        <f>'REMUNERACION_OCCIDENTE_ Directa'!K126</f>
        <v>529459</v>
      </c>
      <c r="L64" s="290">
        <f>'REMUNERACION_OCCIDENTE_ Directa'!L126</f>
        <v>48550</v>
      </c>
      <c r="O64" s="339"/>
      <c r="Q64" s="308"/>
    </row>
    <row r="65" spans="1:17" s="307" customFormat="1" ht="12" x14ac:dyDescent="0.25">
      <c r="B65" s="316">
        <v>3</v>
      </c>
      <c r="C65" s="340" t="s">
        <v>12</v>
      </c>
      <c r="D65" s="294">
        <f>'REMUNERACION_OCCIDENTE_ Directa'!D127</f>
        <v>4909289</v>
      </c>
      <c r="E65" s="290">
        <f>'REMUNERACION_OCCIDENTE_ Directa'!E127</f>
        <v>0</v>
      </c>
      <c r="G65" s="341">
        <f>'REMUNERACION_OCCIDENTE_ Directa'!G127</f>
        <v>0</v>
      </c>
      <c r="H65" s="342">
        <f>'REMUNERACION_OCCIDENTE_ Directa'!H127</f>
        <v>2205351.2800000003</v>
      </c>
      <c r="I65" s="290">
        <f>'REMUNERACION_OCCIDENTE_ Directa'!I127</f>
        <v>0</v>
      </c>
      <c r="J65" s="290">
        <f>'REMUNERACION_OCCIDENTE_ Directa'!J127</f>
        <v>0</v>
      </c>
      <c r="K65" s="290">
        <f>'REMUNERACION_OCCIDENTE_ Directa'!K127</f>
        <v>0</v>
      </c>
      <c r="L65" s="290">
        <f>'REMUNERACION_OCCIDENTE_ Directa'!L127</f>
        <v>0</v>
      </c>
      <c r="O65" s="339"/>
      <c r="Q65" s="308"/>
    </row>
    <row r="66" spans="1:17" s="307" customFormat="1" ht="12" x14ac:dyDescent="0.25">
      <c r="B66" s="316">
        <v>4</v>
      </c>
      <c r="C66" s="340" t="s">
        <v>13</v>
      </c>
      <c r="D66" s="294">
        <f>'REMUNERACION_OCCIDENTE_ Directa'!D128</f>
        <v>7416134</v>
      </c>
      <c r="E66" s="290">
        <f>'REMUNERACION_OCCIDENTE_ Directa'!E128</f>
        <v>0</v>
      </c>
      <c r="G66" s="341">
        <f>'REMUNERACION_OCCIDENTE_ Directa'!G128</f>
        <v>850737</v>
      </c>
      <c r="H66" s="342">
        <f>'REMUNERACION_OCCIDENTE_ Directa'!H128</f>
        <v>3374812.45</v>
      </c>
      <c r="I66" s="290">
        <f>'REMUNERACION_OCCIDENTE_ Directa'!I128</f>
        <v>0</v>
      </c>
      <c r="J66" s="290">
        <f>'REMUNERACION_OCCIDENTE_ Directa'!J128</f>
        <v>-1371252</v>
      </c>
      <c r="K66" s="290">
        <f>'REMUNERACION_OCCIDENTE_ Directa'!K128</f>
        <v>606286</v>
      </c>
      <c r="L66" s="290">
        <f>'REMUNERACION_OCCIDENTE_ Directa'!L128</f>
        <v>85771</v>
      </c>
      <c r="O66" s="339"/>
      <c r="Q66" s="308"/>
    </row>
    <row r="67" spans="1:17" s="307" customFormat="1" ht="12" x14ac:dyDescent="0.25">
      <c r="B67" s="343">
        <v>5</v>
      </c>
      <c r="C67" s="344" t="s">
        <v>14</v>
      </c>
      <c r="D67" s="294">
        <f>'REMUNERACION_OCCIDENTE_ Directa'!D129</f>
        <v>2432240</v>
      </c>
      <c r="E67" s="346">
        <f>'REMUNERACION_OCCIDENTE_ Directa'!E129</f>
        <v>0</v>
      </c>
      <c r="G67" s="341">
        <f>'REMUNERACION_OCCIDENTE_ Directa'!G129</f>
        <v>0</v>
      </c>
      <c r="H67" s="342">
        <f>'REMUNERACION_OCCIDENTE_ Directa'!H129</f>
        <v>1186886.72</v>
      </c>
      <c r="I67" s="290">
        <f>'REMUNERACION_OCCIDENTE_ Directa'!I129</f>
        <v>0</v>
      </c>
      <c r="J67" s="290">
        <f>'REMUNERACION_OCCIDENTE_ Directa'!J129</f>
        <v>0</v>
      </c>
      <c r="K67" s="290">
        <f>'REMUNERACION_OCCIDENTE_ Directa'!K129</f>
        <v>0</v>
      </c>
      <c r="L67" s="290">
        <f>'REMUNERACION_OCCIDENTE_ Directa'!L129</f>
        <v>0</v>
      </c>
      <c r="O67" s="339"/>
      <c r="Q67" s="308"/>
    </row>
    <row r="68" spans="1:17" s="307" customFormat="1" ht="12.6" thickBot="1" x14ac:dyDescent="0.3">
      <c r="B68" s="326" t="s">
        <v>89</v>
      </c>
      <c r="C68" s="347" t="s">
        <v>113</v>
      </c>
      <c r="D68" s="299">
        <f>'REMUNERACION_OCCIDENTE_ Directa'!D130</f>
        <v>0</v>
      </c>
      <c r="E68" s="291">
        <f>'REMUNERACION_OCCIDENTE_ Directa'!E130</f>
        <v>0</v>
      </c>
      <c r="G68" s="348">
        <f>'REMUNERACION_OCCIDENTE_ Directa'!G130</f>
        <v>0</v>
      </c>
      <c r="H68" s="349">
        <f>'REMUNERACION_OCCIDENTE_ Directa'!H130</f>
        <v>0</v>
      </c>
      <c r="I68" s="291">
        <f>'REMUNERACION_OCCIDENTE_ Directa'!I130</f>
        <v>0</v>
      </c>
      <c r="J68" s="291">
        <f>'REMUNERACION_OCCIDENTE_ Directa'!J130</f>
        <v>0</v>
      </c>
      <c r="K68" s="291">
        <f>'REMUNERACION_OCCIDENTE_ Directa'!K130</f>
        <v>0</v>
      </c>
      <c r="L68" s="291">
        <f>'REMUNERACION_OCCIDENTE_ Directa'!L130</f>
        <v>0</v>
      </c>
      <c r="O68" s="339"/>
      <c r="Q68" s="308"/>
    </row>
    <row r="69" spans="1:17" s="307" customFormat="1" ht="12.6" thickBot="1" x14ac:dyDescent="0.3">
      <c r="B69" s="350"/>
      <c r="C69" s="351" t="s">
        <v>2</v>
      </c>
      <c r="D69" s="352">
        <f>'REMUNERACION_OCCIDENTE_ Directa'!D131</f>
        <v>61958868.189999998</v>
      </c>
      <c r="E69" s="352">
        <f>'REMUNERACION_OCCIDENTE_ Directa'!E131</f>
        <v>0</v>
      </c>
      <c r="F69" s="353"/>
      <c r="G69" s="352">
        <f>'REMUNERACION_OCCIDENTE_ Directa'!G131</f>
        <v>1449801</v>
      </c>
      <c r="H69" s="352">
        <f>'REMUNERACION_OCCIDENTE_ Directa'!H131</f>
        <v>55153463.390000008</v>
      </c>
      <c r="I69" s="352">
        <f>'REMUNERACION_OCCIDENTE_ Directa'!I131</f>
        <v>0</v>
      </c>
      <c r="J69" s="352">
        <f>'REMUNERACION_OCCIDENTE_ Directa'!J131</f>
        <v>-2451225</v>
      </c>
      <c r="K69" s="352">
        <f>'REMUNERACION_OCCIDENTE_ Directa'!K131</f>
        <v>1135745</v>
      </c>
      <c r="L69" s="352">
        <f>'REMUNERACION_OCCIDENTE_ Directa'!L131</f>
        <v>134321</v>
      </c>
      <c r="M69" s="353"/>
      <c r="N69" s="353"/>
      <c r="O69" s="354"/>
      <c r="P69" s="331"/>
      <c r="Q69" s="308"/>
    </row>
    <row r="70" spans="1:17" s="1" customFormat="1" ht="12" x14ac:dyDescent="0.25">
      <c r="B70" s="2"/>
      <c r="C70" s="2"/>
      <c r="D70" s="450"/>
      <c r="Q70" s="4"/>
    </row>
    <row r="71" spans="1:17" s="1" customFormat="1" ht="12" x14ac:dyDescent="0.25">
      <c r="B71" s="2"/>
      <c r="C71" s="2"/>
      <c r="D71" s="450"/>
      <c r="Q71" s="4"/>
    </row>
    <row r="72" spans="1:17" s="1" customFormat="1" ht="12" x14ac:dyDescent="0.25">
      <c r="A72" s="52"/>
      <c r="B72" s="53"/>
      <c r="C72" s="53"/>
      <c r="D72" s="456"/>
      <c r="E72" s="456"/>
      <c r="F72" s="456"/>
      <c r="G72" s="456"/>
      <c r="H72" s="456"/>
      <c r="I72" s="456"/>
      <c r="J72" s="52"/>
      <c r="K72" s="456"/>
      <c r="L72" s="456"/>
      <c r="M72" s="456"/>
      <c r="N72" s="456"/>
      <c r="O72" s="456"/>
      <c r="P72" s="52"/>
      <c r="Q72" s="4"/>
    </row>
    <row r="74" spans="1:17" s="1" customFormat="1" ht="15.6" x14ac:dyDescent="0.3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307" customFormat="1" ht="12" x14ac:dyDescent="0.25">
      <c r="B77" s="336">
        <v>1</v>
      </c>
      <c r="C77" s="337" t="s">
        <v>10</v>
      </c>
      <c r="D77" s="310">
        <f>'REMUNERACION_EAAB-CL'!D125</f>
        <v>0</v>
      </c>
      <c r="E77" s="311">
        <f>'REMUNERACION_EAAB-CL'!E125</f>
        <v>0</v>
      </c>
      <c r="G77" s="338">
        <f>'REMUNERACION_EAAB-CL'!G125</f>
        <v>0</v>
      </c>
      <c r="H77" s="312">
        <f>'REMUNERACION_EAAB-CL'!H125</f>
        <v>0</v>
      </c>
      <c r="I77" s="311">
        <f>'REMUNERACION_EAAB-CL'!I125</f>
        <v>0</v>
      </c>
      <c r="J77" s="311">
        <f>'REMUNERACION_EAAB-CL'!J125</f>
        <v>0</v>
      </c>
      <c r="K77" s="311">
        <f>'REMUNERACION_EAAB-CL'!K125</f>
        <v>0</v>
      </c>
      <c r="L77" s="311">
        <f>'REMUNERACION_EAAB-CL'!L125</f>
        <v>0</v>
      </c>
      <c r="O77" s="339"/>
      <c r="Q77" s="308"/>
    </row>
    <row r="78" spans="1:17" s="307" customFormat="1" ht="12" x14ac:dyDescent="0.25">
      <c r="B78" s="316">
        <v>2</v>
      </c>
      <c r="C78" s="340" t="s">
        <v>11</v>
      </c>
      <c r="D78" s="294">
        <f>'REMUNERACION_EAAB-CL'!D126</f>
        <v>0</v>
      </c>
      <c r="E78" s="290">
        <f>'REMUNERACION_EAAB-CL'!E126</f>
        <v>0</v>
      </c>
      <c r="G78" s="341">
        <f>'REMUNERACION_EAAB-CL'!G126</f>
        <v>0</v>
      </c>
      <c r="H78" s="342">
        <f>'REMUNERACION_EAAB-CL'!H126</f>
        <v>0</v>
      </c>
      <c r="I78" s="290">
        <f>'REMUNERACION_EAAB-CL'!I126</f>
        <v>0</v>
      </c>
      <c r="J78" s="290">
        <f>'REMUNERACION_EAAB-CL'!J126</f>
        <v>0</v>
      </c>
      <c r="K78" s="290">
        <f>'REMUNERACION_EAAB-CL'!K126</f>
        <v>0</v>
      </c>
      <c r="L78" s="290">
        <f>'REMUNERACION_EAAB-CL'!L126</f>
        <v>0</v>
      </c>
      <c r="O78" s="339"/>
      <c r="Q78" s="308"/>
    </row>
    <row r="79" spans="1:17" s="307" customFormat="1" ht="12" x14ac:dyDescent="0.25">
      <c r="B79" s="316">
        <v>3</v>
      </c>
      <c r="C79" s="340" t="s">
        <v>12</v>
      </c>
      <c r="D79" s="294">
        <f>'REMUNERACION_EAAB-CL'!D127</f>
        <v>0</v>
      </c>
      <c r="E79" s="290">
        <f>'REMUNERACION_EAAB-CL'!E127</f>
        <v>0</v>
      </c>
      <c r="G79" s="341">
        <f>'REMUNERACION_EAAB-CL'!G127</f>
        <v>0</v>
      </c>
      <c r="H79" s="342">
        <f>'REMUNERACION_EAAB-CL'!H127</f>
        <v>0</v>
      </c>
      <c r="I79" s="290">
        <f>'REMUNERACION_EAAB-CL'!I127</f>
        <v>0</v>
      </c>
      <c r="J79" s="290">
        <f>'REMUNERACION_EAAB-CL'!J127</f>
        <v>0</v>
      </c>
      <c r="K79" s="290">
        <f>'REMUNERACION_EAAB-CL'!K127</f>
        <v>0</v>
      </c>
      <c r="L79" s="290">
        <f>'REMUNERACION_EAAB-CL'!L127</f>
        <v>0</v>
      </c>
      <c r="O79" s="339"/>
      <c r="Q79" s="308"/>
    </row>
    <row r="80" spans="1:17" s="307" customFormat="1" ht="12" x14ac:dyDescent="0.25">
      <c r="B80" s="316">
        <v>4</v>
      </c>
      <c r="C80" s="340" t="s">
        <v>13</v>
      </c>
      <c r="D80" s="294">
        <f>'REMUNERACION_EAAB-CL'!D128</f>
        <v>0</v>
      </c>
      <c r="E80" s="290">
        <f>'REMUNERACION_EAAB-CL'!E128</f>
        <v>0</v>
      </c>
      <c r="G80" s="341">
        <f>'REMUNERACION_EAAB-CL'!G128</f>
        <v>0</v>
      </c>
      <c r="H80" s="342">
        <f>'REMUNERACION_EAAB-CL'!H128</f>
        <v>0</v>
      </c>
      <c r="I80" s="290">
        <f>'REMUNERACION_EAAB-CL'!I128</f>
        <v>0</v>
      </c>
      <c r="J80" s="290">
        <f>'REMUNERACION_EAAB-CL'!J128</f>
        <v>0</v>
      </c>
      <c r="K80" s="290">
        <f>'REMUNERACION_EAAB-CL'!K128</f>
        <v>0</v>
      </c>
      <c r="L80" s="290">
        <f>'REMUNERACION_EAAB-CL'!L128</f>
        <v>0</v>
      </c>
      <c r="O80" s="339"/>
      <c r="Q80" s="308"/>
    </row>
    <row r="81" spans="1:17" s="307" customFormat="1" ht="12" x14ac:dyDescent="0.25">
      <c r="B81" s="343">
        <v>5</v>
      </c>
      <c r="C81" s="344" t="s">
        <v>14</v>
      </c>
      <c r="D81" s="294">
        <f>'REMUNERACION_EAAB-CL'!D129</f>
        <v>0</v>
      </c>
      <c r="E81" s="346">
        <f>'REMUNERACION_EAAB-CL'!E129</f>
        <v>0</v>
      </c>
      <c r="G81" s="341">
        <f>'REMUNERACION_EAAB-CL'!G129</f>
        <v>0</v>
      </c>
      <c r="H81" s="342">
        <f>'REMUNERACION_EAAB-CL'!H129</f>
        <v>0</v>
      </c>
      <c r="I81" s="290">
        <f>'REMUNERACION_EAAB-CL'!I129</f>
        <v>0</v>
      </c>
      <c r="J81" s="290">
        <f>'REMUNERACION_EAAB-CL'!J129</f>
        <v>0</v>
      </c>
      <c r="K81" s="290">
        <f>'REMUNERACION_EAAB-CL'!K129</f>
        <v>0</v>
      </c>
      <c r="L81" s="290">
        <f>'REMUNERACION_EAAB-CL'!L129</f>
        <v>0</v>
      </c>
      <c r="O81" s="339"/>
      <c r="Q81" s="308"/>
    </row>
    <row r="82" spans="1:17" s="307" customFormat="1" ht="12.6" thickBot="1" x14ac:dyDescent="0.3">
      <c r="B82" s="326" t="s">
        <v>89</v>
      </c>
      <c r="C82" s="347" t="s">
        <v>113</v>
      </c>
      <c r="D82" s="299">
        <f>'REMUNERACION_EAAB-CL'!D130</f>
        <v>0</v>
      </c>
      <c r="E82" s="291">
        <f>'REMUNERACION_EAAB-CL'!E130</f>
        <v>0</v>
      </c>
      <c r="G82" s="348">
        <f>'REMUNERACION_EAAB-CL'!G130</f>
        <v>0</v>
      </c>
      <c r="H82" s="349">
        <f>'REMUNERACION_EAAB-CL'!H130</f>
        <v>0</v>
      </c>
      <c r="I82" s="291">
        <f>'REMUNERACION_EAAB-CL'!I130</f>
        <v>0</v>
      </c>
      <c r="J82" s="291">
        <f>'REMUNERACION_EAAB-CL'!J130</f>
        <v>0</v>
      </c>
      <c r="K82" s="291">
        <f>'REMUNERACION_EAAB-CL'!K130</f>
        <v>0</v>
      </c>
      <c r="L82" s="291">
        <f>'REMUNERACION_EAAB-CL'!L130</f>
        <v>0</v>
      </c>
      <c r="O82" s="339"/>
      <c r="Q82" s="308"/>
    </row>
    <row r="83" spans="1:17" s="307" customFormat="1" ht="12.6" thickBot="1" x14ac:dyDescent="0.3">
      <c r="B83" s="350"/>
      <c r="C83" s="351" t="s">
        <v>2</v>
      </c>
      <c r="D83" s="352">
        <f>'REMUNERACION_EAAB-CL'!D131</f>
        <v>0</v>
      </c>
      <c r="E83" s="352">
        <f>'REMUNERACION_EAAB-CL'!E131</f>
        <v>0</v>
      </c>
      <c r="F83" s="353"/>
      <c r="G83" s="352">
        <f>'REMUNERACION_EAAB-CL'!G131</f>
        <v>0</v>
      </c>
      <c r="H83" s="352">
        <f>'REMUNERACION_EAAB-CL'!H131</f>
        <v>0</v>
      </c>
      <c r="I83" s="352">
        <f>'REMUNERACION_EAAB-CL'!I131</f>
        <v>0</v>
      </c>
      <c r="J83" s="352">
        <f>'REMUNERACION_EAAB-CL'!J131</f>
        <v>0</v>
      </c>
      <c r="K83" s="352">
        <f>'REMUNERACION_EAAB-CL'!K131</f>
        <v>0</v>
      </c>
      <c r="L83" s="352">
        <f>'REMUNERACION_EAAB-CL'!L131</f>
        <v>0</v>
      </c>
      <c r="M83" s="353"/>
      <c r="N83" s="353"/>
      <c r="O83" s="354"/>
      <c r="P83" s="331"/>
      <c r="Q83" s="308"/>
    </row>
    <row r="84" spans="1:17" s="1" customFormat="1" ht="12" x14ac:dyDescent="0.25">
      <c r="B84" s="2"/>
      <c r="C84" s="2"/>
      <c r="D84" s="450"/>
      <c r="Q84" s="4"/>
    </row>
    <row r="85" spans="1:17" s="1" customFormat="1" ht="12" x14ac:dyDescent="0.25">
      <c r="B85" s="2"/>
      <c r="C85" s="2"/>
      <c r="D85" s="450"/>
      <c r="Q85" s="4"/>
    </row>
    <row r="86" spans="1:17" s="1" customFormat="1" ht="12" x14ac:dyDescent="0.25">
      <c r="A86" s="52"/>
      <c r="B86" s="53"/>
      <c r="C86" s="53"/>
      <c r="D86" s="456"/>
      <c r="E86" s="456"/>
      <c r="F86" s="456"/>
      <c r="G86" s="456"/>
      <c r="H86" s="456"/>
      <c r="I86" s="456"/>
      <c r="J86" s="52"/>
      <c r="K86" s="456"/>
      <c r="L86" s="456"/>
      <c r="M86" s="456"/>
      <c r="N86" s="456"/>
      <c r="O86" s="456"/>
      <c r="P86" s="52"/>
      <c r="Q86" s="4"/>
    </row>
    <row r="88" spans="1:17" ht="15.6" x14ac:dyDescent="0.3">
      <c r="F88" s="41" t="s">
        <v>190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307" customFormat="1" ht="12" x14ac:dyDescent="0.25">
      <c r="B92" s="336">
        <v>1</v>
      </c>
      <c r="C92" s="337" t="s">
        <v>10</v>
      </c>
      <c r="D92" s="310">
        <f>D6-(D21+D35+D49++D63+D77)</f>
        <v>0</v>
      </c>
      <c r="E92" s="310">
        <f>E6-(E21+E35+E49++E63+E77)</f>
        <v>0</v>
      </c>
      <c r="G92" s="338">
        <f>G6-(G21+G35+G49+G63+G77)</f>
        <v>0</v>
      </c>
      <c r="H92" s="338">
        <f t="shared" ref="H92:L92" si="0">H6-(H21+H35+H49+H63+H77)</f>
        <v>0</v>
      </c>
      <c r="I92" s="338">
        <f t="shared" si="0"/>
        <v>0</v>
      </c>
      <c r="J92" s="338">
        <f t="shared" si="0"/>
        <v>0</v>
      </c>
      <c r="K92" s="338">
        <f t="shared" si="0"/>
        <v>0</v>
      </c>
      <c r="L92" s="338">
        <f t="shared" si="0"/>
        <v>0</v>
      </c>
      <c r="O92" s="339"/>
      <c r="Q92" s="308"/>
    </row>
    <row r="93" spans="1:17" s="307" customFormat="1" ht="12" x14ac:dyDescent="0.25">
      <c r="B93" s="316">
        <v>2</v>
      </c>
      <c r="C93" s="340" t="s">
        <v>11</v>
      </c>
      <c r="D93" s="294">
        <f t="shared" ref="D93:E98" si="1">D7-(D22+D36+D50++D64+D78)</f>
        <v>0</v>
      </c>
      <c r="E93" s="294">
        <f t="shared" si="1"/>
        <v>0</v>
      </c>
      <c r="G93" s="341">
        <f t="shared" ref="G93:L98" si="2">G7-(G22+G36+G50+G64+G78)</f>
        <v>0</v>
      </c>
      <c r="H93" s="341">
        <f t="shared" si="2"/>
        <v>0</v>
      </c>
      <c r="I93" s="341">
        <f t="shared" si="2"/>
        <v>0</v>
      </c>
      <c r="J93" s="341">
        <f t="shared" si="2"/>
        <v>0</v>
      </c>
      <c r="K93" s="341">
        <f t="shared" si="2"/>
        <v>0</v>
      </c>
      <c r="L93" s="341">
        <f t="shared" si="2"/>
        <v>0</v>
      </c>
      <c r="O93" s="339"/>
      <c r="Q93" s="308"/>
    </row>
    <row r="94" spans="1:17" s="307" customFormat="1" ht="12" x14ac:dyDescent="0.25">
      <c r="B94" s="316">
        <v>3</v>
      </c>
      <c r="C94" s="340" t="s">
        <v>12</v>
      </c>
      <c r="D94" s="294">
        <f t="shared" si="1"/>
        <v>0</v>
      </c>
      <c r="E94" s="294">
        <f t="shared" si="1"/>
        <v>0</v>
      </c>
      <c r="G94" s="341">
        <f t="shared" si="2"/>
        <v>0</v>
      </c>
      <c r="H94" s="341">
        <f t="shared" si="2"/>
        <v>0</v>
      </c>
      <c r="I94" s="341">
        <f t="shared" si="2"/>
        <v>0</v>
      </c>
      <c r="J94" s="341">
        <f t="shared" si="2"/>
        <v>0</v>
      </c>
      <c r="K94" s="341">
        <f t="shared" si="2"/>
        <v>0</v>
      </c>
      <c r="L94" s="341">
        <f t="shared" si="2"/>
        <v>0</v>
      </c>
      <c r="O94" s="339"/>
      <c r="Q94" s="308"/>
    </row>
    <row r="95" spans="1:17" s="307" customFormat="1" ht="12" x14ac:dyDescent="0.25">
      <c r="B95" s="316">
        <v>4</v>
      </c>
      <c r="C95" s="340" t="s">
        <v>13</v>
      </c>
      <c r="D95" s="294">
        <f t="shared" si="1"/>
        <v>0</v>
      </c>
      <c r="E95" s="294">
        <f t="shared" si="1"/>
        <v>0</v>
      </c>
      <c r="G95" s="341">
        <f t="shared" si="2"/>
        <v>0</v>
      </c>
      <c r="H95" s="341">
        <f t="shared" si="2"/>
        <v>0</v>
      </c>
      <c r="I95" s="341">
        <f t="shared" si="2"/>
        <v>0</v>
      </c>
      <c r="J95" s="341">
        <f t="shared" si="2"/>
        <v>0</v>
      </c>
      <c r="K95" s="341">
        <f t="shared" si="2"/>
        <v>0</v>
      </c>
      <c r="L95" s="341">
        <f t="shared" si="2"/>
        <v>0</v>
      </c>
      <c r="O95" s="339"/>
      <c r="Q95" s="308"/>
    </row>
    <row r="96" spans="1:17" s="307" customFormat="1" ht="12" x14ac:dyDescent="0.25">
      <c r="B96" s="343">
        <v>5</v>
      </c>
      <c r="C96" s="344" t="s">
        <v>14</v>
      </c>
      <c r="D96" s="294">
        <f t="shared" si="1"/>
        <v>0</v>
      </c>
      <c r="E96" s="294">
        <f t="shared" si="1"/>
        <v>0</v>
      </c>
      <c r="G96" s="341">
        <f t="shared" si="2"/>
        <v>0</v>
      </c>
      <c r="H96" s="341">
        <f t="shared" si="2"/>
        <v>0</v>
      </c>
      <c r="I96" s="341">
        <f t="shared" si="2"/>
        <v>0</v>
      </c>
      <c r="J96" s="341">
        <f t="shared" si="2"/>
        <v>0</v>
      </c>
      <c r="K96" s="341">
        <f t="shared" si="2"/>
        <v>0</v>
      </c>
      <c r="L96" s="341">
        <f t="shared" si="2"/>
        <v>0</v>
      </c>
      <c r="O96" s="339"/>
      <c r="Q96" s="308"/>
    </row>
    <row r="97" spans="1:17" s="307" customFormat="1" ht="12.6" thickBot="1" x14ac:dyDescent="0.3">
      <c r="B97" s="326" t="s">
        <v>89</v>
      </c>
      <c r="C97" s="347" t="s">
        <v>113</v>
      </c>
      <c r="D97" s="299">
        <f t="shared" si="1"/>
        <v>0</v>
      </c>
      <c r="E97" s="299">
        <f t="shared" si="1"/>
        <v>0</v>
      </c>
      <c r="G97" s="348">
        <f t="shared" si="2"/>
        <v>0</v>
      </c>
      <c r="H97" s="348">
        <f t="shared" si="2"/>
        <v>0</v>
      </c>
      <c r="I97" s="348">
        <f t="shared" si="2"/>
        <v>0</v>
      </c>
      <c r="J97" s="348">
        <f t="shared" si="2"/>
        <v>0</v>
      </c>
      <c r="K97" s="348">
        <f t="shared" si="2"/>
        <v>0</v>
      </c>
      <c r="L97" s="348">
        <f t="shared" si="2"/>
        <v>0</v>
      </c>
      <c r="O97" s="339"/>
      <c r="Q97" s="308"/>
    </row>
    <row r="98" spans="1:17" s="307" customFormat="1" ht="12.6" thickBot="1" x14ac:dyDescent="0.3">
      <c r="B98" s="350"/>
      <c r="C98" s="351" t="s">
        <v>2</v>
      </c>
      <c r="D98" s="352">
        <f t="shared" si="1"/>
        <v>0</v>
      </c>
      <c r="E98" s="352">
        <f t="shared" si="1"/>
        <v>0</v>
      </c>
      <c r="F98" s="353"/>
      <c r="G98" s="352">
        <f t="shared" si="2"/>
        <v>0</v>
      </c>
      <c r="H98" s="352">
        <f t="shared" si="2"/>
        <v>0</v>
      </c>
      <c r="I98" s="352">
        <f t="shared" si="2"/>
        <v>0</v>
      </c>
      <c r="J98" s="352">
        <f t="shared" si="2"/>
        <v>0</v>
      </c>
      <c r="K98" s="352">
        <f t="shared" si="2"/>
        <v>0</v>
      </c>
      <c r="L98" s="352">
        <f t="shared" si="2"/>
        <v>0</v>
      </c>
      <c r="M98" s="353"/>
      <c r="N98" s="353"/>
      <c r="O98" s="354"/>
      <c r="P98" s="331"/>
      <c r="Q98" s="308"/>
    </row>
    <row r="99" spans="1:17" s="1" customFormat="1" ht="12" x14ac:dyDescent="0.25">
      <c r="B99" s="2"/>
      <c r="C99" s="2"/>
      <c r="D99" s="450"/>
      <c r="Q99" s="4"/>
    </row>
    <row r="100" spans="1:17" s="1" customFormat="1" ht="12" x14ac:dyDescent="0.25">
      <c r="B100" s="2"/>
      <c r="C100" s="2"/>
      <c r="D100" s="450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6"/>
      <c r="E101" s="456"/>
      <c r="F101" s="456"/>
      <c r="G101" s="456"/>
      <c r="H101" s="456"/>
      <c r="I101" s="456"/>
      <c r="J101" s="52"/>
      <c r="K101" s="456"/>
      <c r="L101" s="456"/>
      <c r="M101" s="456"/>
      <c r="N101" s="456"/>
      <c r="O101" s="456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D13" sqref="D13"/>
    </sheetView>
  </sheetViews>
  <sheetFormatPr baseColWidth="10" defaultRowHeight="13.2" x14ac:dyDescent="0.25"/>
  <cols>
    <col min="1" max="1" width="4.77734375" customWidth="1"/>
    <col min="2" max="2" width="10" customWidth="1"/>
    <col min="3" max="3" width="20.44140625" bestFit="1" customWidth="1"/>
    <col min="4" max="4" width="17.21875" customWidth="1"/>
    <col min="5" max="5" width="16.21875" customWidth="1"/>
    <col min="6" max="6" width="21" bestFit="1" customWidth="1"/>
  </cols>
  <sheetData>
    <row r="1" spans="2:9" ht="13.8" thickBot="1" x14ac:dyDescent="0.3"/>
    <row r="2" spans="2:9" ht="15" thickBot="1" x14ac:dyDescent="0.35">
      <c r="C2" s="528">
        <v>2026101</v>
      </c>
      <c r="D2" s="748" t="s">
        <v>222</v>
      </c>
      <c r="E2" s="748" t="s">
        <v>201</v>
      </c>
      <c r="F2" s="143"/>
      <c r="G2" s="143"/>
      <c r="H2" s="143"/>
      <c r="I2" s="143"/>
    </row>
    <row r="3" spans="2:9" ht="14.4" x14ac:dyDescent="0.3">
      <c r="B3" s="569">
        <v>0</v>
      </c>
      <c r="C3" s="530" t="s">
        <v>202</v>
      </c>
      <c r="D3" s="749">
        <v>0</v>
      </c>
      <c r="E3" s="531">
        <v>0</v>
      </c>
      <c r="F3" s="750"/>
      <c r="G3" s="143"/>
      <c r="H3" s="143"/>
      <c r="I3" s="143"/>
    </row>
    <row r="4" spans="2:9" ht="14.4" x14ac:dyDescent="0.3">
      <c r="B4" s="570">
        <v>0</v>
      </c>
      <c r="C4" s="532" t="s">
        <v>202</v>
      </c>
      <c r="D4" s="751">
        <v>0</v>
      </c>
      <c r="E4" s="533"/>
      <c r="F4" s="752"/>
      <c r="G4" s="143"/>
      <c r="H4" s="143"/>
      <c r="I4" s="143"/>
    </row>
    <row r="5" spans="2:9" ht="14.4" x14ac:dyDescent="0.3">
      <c r="B5" s="570">
        <v>0</v>
      </c>
      <c r="C5" s="534" t="s">
        <v>203</v>
      </c>
      <c r="D5" s="753">
        <v>0</v>
      </c>
      <c r="E5" s="535">
        <v>0</v>
      </c>
      <c r="F5" s="752"/>
      <c r="G5" s="143"/>
      <c r="H5" s="143"/>
      <c r="I5" s="143"/>
    </row>
    <row r="6" spans="2:9" ht="15" thickBot="1" x14ac:dyDescent="0.35">
      <c r="B6" s="571">
        <v>0</v>
      </c>
      <c r="C6" s="534" t="s">
        <v>203</v>
      </c>
      <c r="D6" s="753">
        <v>0</v>
      </c>
      <c r="E6" s="536"/>
      <c r="F6" s="752"/>
      <c r="G6" s="143"/>
      <c r="H6" s="143"/>
      <c r="I6" s="143"/>
    </row>
    <row r="7" spans="2:9" ht="14.4" x14ac:dyDescent="0.3">
      <c r="B7" t="s">
        <v>1</v>
      </c>
      <c r="C7" s="537" t="s">
        <v>338</v>
      </c>
      <c r="D7" s="538">
        <v>50406458396</v>
      </c>
      <c r="E7" s="754">
        <v>50546883156</v>
      </c>
      <c r="F7" s="755" t="b">
        <v>1</v>
      </c>
      <c r="G7" s="143"/>
      <c r="H7" s="143"/>
      <c r="I7" s="143"/>
    </row>
    <row r="8" spans="2:9" ht="14.4" x14ac:dyDescent="0.3">
      <c r="C8" s="537" t="s">
        <v>324</v>
      </c>
      <c r="D8" s="538">
        <v>140424760</v>
      </c>
      <c r="E8" s="736"/>
      <c r="F8" s="755"/>
      <c r="G8" s="143"/>
      <c r="H8" s="143"/>
      <c r="I8" s="143"/>
    </row>
    <row r="9" spans="2:9" ht="14.4" x14ac:dyDescent="0.3">
      <c r="B9" t="s">
        <v>1</v>
      </c>
      <c r="C9" s="537" t="s">
        <v>204</v>
      </c>
      <c r="D9" s="538">
        <v>0</v>
      </c>
      <c r="E9" s="756"/>
      <c r="F9" s="752">
        <v>0</v>
      </c>
      <c r="G9" s="143"/>
      <c r="H9" s="143"/>
      <c r="I9" s="143"/>
    </row>
    <row r="10" spans="2:9" ht="15" thickBot="1" x14ac:dyDescent="0.35">
      <c r="C10" s="539" t="s">
        <v>205</v>
      </c>
      <c r="D10" s="529">
        <v>2555496630</v>
      </c>
      <c r="E10" s="529">
        <v>2555496630</v>
      </c>
      <c r="F10" s="757">
        <v>53102379786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2026-06-17T17:29:10Z</cp:lastPrinted>
  <dcterms:created xsi:type="dcterms:W3CDTF">2003-01-13T14:55:35Z</dcterms:created>
  <dcterms:modified xsi:type="dcterms:W3CDTF">2026-10-24T01:12:50Z</dcterms:modified>
</cp:coreProperties>
</file>