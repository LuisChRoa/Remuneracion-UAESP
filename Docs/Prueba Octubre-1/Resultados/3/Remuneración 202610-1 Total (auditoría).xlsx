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Octubre-1/Resultados/3/"/>
    </mc:Choice>
  </mc:AlternateContent>
  <xr:revisionPtr revIDLastSave="0" documentId="8_{38A87A57-83F5-4CEC-B23B-93F2FBF2577E}" xr6:coauthVersionLast="47" xr6:coauthVersionMax="47" xr10:uidLastSave="{00000000-0000-0000-0000-000000000000}"/>
  <bookViews>
    <workbookView xWindow="-108" yWindow="-108" windowWidth="23256" windowHeight="12456" tabRatio="780" firstSheet="7" activeTab="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10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101" sheetId="93" r:id="rId36"/>
    <sheet name="DetValiRetri202610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R1'!$A$5:$X$45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2" l="1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I129" i="86"/>
  <c r="I128" i="86"/>
  <c r="I127" i="86"/>
  <c r="I126" i="86"/>
  <c r="I125" i="86"/>
  <c r="L108" i="86"/>
  <c r="J108" i="86"/>
  <c r="L107" i="86"/>
  <c r="J107" i="86"/>
  <c r="L106" i="86"/>
  <c r="J106" i="86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 s="1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F66" i="86"/>
  <c r="E66" i="86"/>
  <c r="D66" i="86"/>
  <c r="X64" i="86"/>
  <c r="U64" i="86"/>
  <c r="AC52" i="86"/>
  <c r="L52" i="86"/>
  <c r="J52" i="86"/>
  <c r="AE51" i="86"/>
  <c r="AD51" i="86" s="1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Z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E52" i="86" s="1"/>
  <c r="AD47" i="86"/>
  <c r="AD52" i="86" s="1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 s="1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 s="1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 s="1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E33" i="86" s="1"/>
  <c r="AD28" i="86"/>
  <c r="AD33" i="86" s="1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C13" i="86"/>
  <c r="AC108" i="86" s="1"/>
  <c r="AA13" i="86"/>
  <c r="Z13" i="86"/>
  <c r="Y13" i="86"/>
  <c r="X13" i="86"/>
  <c r="W13" i="86"/>
  <c r="V13" i="86"/>
  <c r="U13" i="86"/>
  <c r="N13" i="86"/>
  <c r="I13" i="86"/>
  <c r="H13" i="86"/>
  <c r="G13" i="86"/>
  <c r="F13" i="86"/>
  <c r="E13" i="86"/>
  <c r="D13" i="86"/>
  <c r="AE12" i="86"/>
  <c r="AD12" i="86"/>
  <c r="AC12" i="86"/>
  <c r="AC107" i="86" s="1"/>
  <c r="AA12" i="86"/>
  <c r="Z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11" i="86"/>
  <c r="AD11" i="86"/>
  <c r="AC11" i="86"/>
  <c r="AC106" i="86" s="1"/>
  <c r="AA11" i="86"/>
  <c r="Z11" i="86"/>
  <c r="Y11" i="86"/>
  <c r="X11" i="86"/>
  <c r="W11" i="86"/>
  <c r="V11" i="86"/>
  <c r="U11" i="86"/>
  <c r="N11" i="86"/>
  <c r="I11" i="86"/>
  <c r="H11" i="86"/>
  <c r="G11" i="86"/>
  <c r="F11" i="86"/>
  <c r="E11" i="86"/>
  <c r="D11" i="86"/>
  <c r="AE10" i="86"/>
  <c r="AC10" i="86"/>
  <c r="AC105" i="86" s="1"/>
  <c r="AA10" i="86"/>
  <c r="Z10" i="86"/>
  <c r="Y10" i="86"/>
  <c r="X10" i="86"/>
  <c r="W10" i="86"/>
  <c r="V10" i="86"/>
  <c r="U10" i="86"/>
  <c r="N10" i="86"/>
  <c r="I10" i="86"/>
  <c r="H10" i="86"/>
  <c r="G10" i="86"/>
  <c r="F10" i="86"/>
  <c r="E10" i="86"/>
  <c r="D10" i="86"/>
  <c r="AE9" i="86"/>
  <c r="AD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E35" i="82" s="1"/>
  <c r="I129" i="85"/>
  <c r="I128" i="85"/>
  <c r="I127" i="85"/>
  <c r="I126" i="85"/>
  <c r="I125" i="85"/>
  <c r="I30" i="82" s="1"/>
  <c r="L108" i="85"/>
  <c r="J108" i="85"/>
  <c r="J13" i="82" s="1"/>
  <c r="L107" i="85"/>
  <c r="J107" i="85"/>
  <c r="J12" i="82" s="1"/>
  <c r="L106" i="85"/>
  <c r="J106" i="85"/>
  <c r="J11" i="82" s="1"/>
  <c r="L105" i="85"/>
  <c r="J105" i="85"/>
  <c r="J10" i="82" s="1"/>
  <c r="L104" i="85"/>
  <c r="L9" i="82" s="1"/>
  <c r="J104" i="85"/>
  <c r="J9" i="82" s="1"/>
  <c r="J14" i="82" s="1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L52" i="85"/>
  <c r="J52" i="85"/>
  <c r="Z51" i="85"/>
  <c r="Z50" i="85"/>
  <c r="Z49" i="85"/>
  <c r="Z48" i="85"/>
  <c r="Z47" i="85"/>
  <c r="Z52" i="85" s="1"/>
  <c r="X45" i="85"/>
  <c r="U45" i="85"/>
  <c r="L33" i="85"/>
  <c r="J33" i="85"/>
  <c r="Z32" i="85"/>
  <c r="Z31" i="85"/>
  <c r="Z30" i="85"/>
  <c r="Z29" i="85"/>
  <c r="Z28" i="85"/>
  <c r="Z33" i="85" s="1"/>
  <c r="X26" i="85"/>
  <c r="U26" i="85"/>
  <c r="L14" i="85"/>
  <c r="J14" i="85"/>
  <c r="Z13" i="85"/>
  <c r="Z108" i="85" s="1"/>
  <c r="Z12" i="85"/>
  <c r="Z107" i="85" s="1"/>
  <c r="Z11" i="85"/>
  <c r="Z106" i="85" s="1"/>
  <c r="Z10" i="85"/>
  <c r="Z105" i="85" s="1"/>
  <c r="Z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I128" i="97"/>
  <c r="I126" i="97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J71" i="97"/>
  <c r="AE70" i="97"/>
  <c r="AD70" i="97" s="1"/>
  <c r="AC70" i="97"/>
  <c r="AA70" i="97"/>
  <c r="Z70" i="97"/>
  <c r="Y70" i="97"/>
  <c r="X70" i="97"/>
  <c r="W70" i="97"/>
  <c r="V70" i="97"/>
  <c r="U70" i="97"/>
  <c r="N70" i="97"/>
  <c r="AB70" i="97" s="1"/>
  <c r="I70" i="97"/>
  <c r="H70" i="97"/>
  <c r="G70" i="97"/>
  <c r="F70" i="97"/>
  <c r="E70" i="97"/>
  <c r="D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 s="1"/>
  <c r="AC67" i="97"/>
  <c r="AA67" i="97"/>
  <c r="Z67" i="97"/>
  <c r="Y67" i="97"/>
  <c r="X67" i="97"/>
  <c r="W67" i="97"/>
  <c r="V67" i="97"/>
  <c r="U67" i="97"/>
  <c r="N67" i="97"/>
  <c r="AB67" i="97" s="1"/>
  <c r="I67" i="97"/>
  <c r="H67" i="97"/>
  <c r="G67" i="97"/>
  <c r="F67" i="97"/>
  <c r="E67" i="97"/>
  <c r="D67" i="97"/>
  <c r="AE66" i="97"/>
  <c r="AE71" i="97" s="1"/>
  <c r="AD66" i="97"/>
  <c r="AD71" i="97" s="1"/>
  <c r="AC66" i="97"/>
  <c r="AC71" i="97" s="1"/>
  <c r="AA66" i="97"/>
  <c r="AA71" i="97" s="1"/>
  <c r="Z66" i="97"/>
  <c r="Z71" i="97" s="1"/>
  <c r="Y66" i="97"/>
  <c r="Y71" i="97" s="1"/>
  <c r="X66" i="97"/>
  <c r="X71" i="97" s="1"/>
  <c r="W66" i="97"/>
  <c r="W71" i="97" s="1"/>
  <c r="V66" i="97"/>
  <c r="V71" i="97" s="1"/>
  <c r="U66" i="97"/>
  <c r="N66" i="97"/>
  <c r="I66" i="97"/>
  <c r="I71" i="97" s="1"/>
  <c r="H66" i="97"/>
  <c r="H71" i="97" s="1"/>
  <c r="G66" i="97"/>
  <c r="G71" i="97" s="1"/>
  <c r="F66" i="97"/>
  <c r="F71" i="97" s="1"/>
  <c r="E66" i="97"/>
  <c r="E71" i="97" s="1"/>
  <c r="D66" i="97"/>
  <c r="X64" i="97"/>
  <c r="U64" i="97"/>
  <c r="L52" i="97"/>
  <c r="J52" i="97"/>
  <c r="AE51" i="97"/>
  <c r="AD51" i="97" s="1"/>
  <c r="AC51" i="97"/>
  <c r="AA51" i="97"/>
  <c r="Z51" i="97"/>
  <c r="Y51" i="97"/>
  <c r="X51" i="97"/>
  <c r="W51" i="97"/>
  <c r="V51" i="97"/>
  <c r="U51" i="97"/>
  <c r="N51" i="97"/>
  <c r="AB51" i="97" s="1"/>
  <c r="I51" i="97"/>
  <c r="H51" i="97"/>
  <c r="G51" i="97"/>
  <c r="F51" i="97"/>
  <c r="E51" i="97"/>
  <c r="D51" i="97"/>
  <c r="AE50" i="97"/>
  <c r="AD50" i="97"/>
  <c r="AC50" i="97"/>
  <c r="AA50" i="97"/>
  <c r="Z50" i="97"/>
  <c r="Y50" i="97"/>
  <c r="X50" i="97"/>
  <c r="W50" i="97"/>
  <c r="V50" i="97"/>
  <c r="U50" i="97"/>
  <c r="N50" i="97"/>
  <c r="AB50" i="97" s="1"/>
  <c r="I50" i="97"/>
  <c r="H50" i="97"/>
  <c r="G50" i="97"/>
  <c r="F50" i="97"/>
  <c r="E50" i="97"/>
  <c r="D50" i="97"/>
  <c r="AE49" i="97"/>
  <c r="AD49" i="97"/>
  <c r="AC49" i="97"/>
  <c r="AA49" i="97"/>
  <c r="Z49" i="97"/>
  <c r="Y49" i="97"/>
  <c r="X49" i="97"/>
  <c r="W49" i="97"/>
  <c r="V49" i="97"/>
  <c r="U49" i="97"/>
  <c r="N49" i="97"/>
  <c r="AB49" i="97" s="1"/>
  <c r="I49" i="97"/>
  <c r="H49" i="97"/>
  <c r="G49" i="97"/>
  <c r="F49" i="97"/>
  <c r="E49" i="97"/>
  <c r="D49" i="97"/>
  <c r="AE48" i="97"/>
  <c r="AD48" i="97" s="1"/>
  <c r="AC48" i="97"/>
  <c r="AA48" i="97"/>
  <c r="Z48" i="97"/>
  <c r="Y48" i="97"/>
  <c r="X48" i="97"/>
  <c r="W48" i="97"/>
  <c r="V48" i="97"/>
  <c r="U48" i="97"/>
  <c r="N48" i="97"/>
  <c r="AB48" i="97" s="1"/>
  <c r="I48" i="97"/>
  <c r="H48" i="97"/>
  <c r="G48" i="97"/>
  <c r="F48" i="97"/>
  <c r="E48" i="97"/>
  <c r="D48" i="97"/>
  <c r="AE47" i="97"/>
  <c r="AC47" i="97"/>
  <c r="AC52" i="97" s="1"/>
  <c r="AA47" i="97"/>
  <c r="AA52" i="97" s="1"/>
  <c r="Z47" i="97"/>
  <c r="Z52" i="97" s="1"/>
  <c r="Y47" i="97"/>
  <c r="Y52" i="97" s="1"/>
  <c r="X47" i="97"/>
  <c r="X52" i="97" s="1"/>
  <c r="W47" i="97"/>
  <c r="W52" i="97" s="1"/>
  <c r="V47" i="97"/>
  <c r="V52" i="97" s="1"/>
  <c r="U47" i="97"/>
  <c r="N47" i="97"/>
  <c r="I47" i="97"/>
  <c r="I52" i="97" s="1"/>
  <c r="H47" i="97"/>
  <c r="H52" i="97" s="1"/>
  <c r="G47" i="97"/>
  <c r="G52" i="97" s="1"/>
  <c r="F47" i="97"/>
  <c r="F52" i="97" s="1"/>
  <c r="E47" i="97"/>
  <c r="E52" i="97" s="1"/>
  <c r="D47" i="97"/>
  <c r="X45" i="97"/>
  <c r="U45" i="97"/>
  <c r="L33" i="97"/>
  <c r="J33" i="97"/>
  <c r="Z32" i="97"/>
  <c r="AE31" i="97"/>
  <c r="AD31" i="97" s="1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E28" i="97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F28" i="97"/>
  <c r="E28" i="97"/>
  <c r="D28" i="97"/>
  <c r="X26" i="97"/>
  <c r="U26" i="97"/>
  <c r="L14" i="97"/>
  <c r="J14" i="97"/>
  <c r="Z13" i="97"/>
  <c r="AE12" i="97"/>
  <c r="AC12" i="97"/>
  <c r="AC107" i="97" s="1"/>
  <c r="AA12" i="97"/>
  <c r="AA107" i="97" s="1"/>
  <c r="Z12" i="97"/>
  <c r="Y12" i="97"/>
  <c r="Y107" i="97" s="1"/>
  <c r="X12" i="97"/>
  <c r="X107" i="97" s="1"/>
  <c r="W12" i="97"/>
  <c r="W107" i="97" s="1"/>
  <c r="V12" i="97"/>
  <c r="V107" i="97" s="1"/>
  <c r="U12" i="97"/>
  <c r="N12" i="97"/>
  <c r="I12" i="97"/>
  <c r="I107" i="97" s="1"/>
  <c r="H12" i="97"/>
  <c r="H107" i="97" s="1"/>
  <c r="G12" i="97"/>
  <c r="G107" i="97" s="1"/>
  <c r="F12" i="97"/>
  <c r="F107" i="97" s="1"/>
  <c r="E12" i="97"/>
  <c r="E107" i="97" s="1"/>
  <c r="D12" i="97"/>
  <c r="AE11" i="97"/>
  <c r="AC11" i="97"/>
  <c r="AC106" i="97" s="1"/>
  <c r="AA11" i="97"/>
  <c r="Z11" i="97"/>
  <c r="Y11" i="97"/>
  <c r="Y106" i="97" s="1"/>
  <c r="X11" i="97"/>
  <c r="X106" i="97" s="1"/>
  <c r="W11" i="97"/>
  <c r="W106" i="97" s="1"/>
  <c r="V11" i="97"/>
  <c r="V106" i="97" s="1"/>
  <c r="U11" i="97"/>
  <c r="N11" i="97"/>
  <c r="I11" i="97"/>
  <c r="I106" i="97" s="1"/>
  <c r="H11" i="97"/>
  <c r="H106" i="97" s="1"/>
  <c r="G11" i="97"/>
  <c r="G106" i="97" s="1"/>
  <c r="F11" i="97"/>
  <c r="F106" i="97" s="1"/>
  <c r="E11" i="97"/>
  <c r="E106" i="97" s="1"/>
  <c r="D11" i="97"/>
  <c r="AE10" i="97"/>
  <c r="AE105" i="97" s="1"/>
  <c r="AD10" i="97"/>
  <c r="AC10" i="97"/>
  <c r="AC105" i="97" s="1"/>
  <c r="AA10" i="97"/>
  <c r="AA105" i="97" s="1"/>
  <c r="Z10" i="97"/>
  <c r="Y10" i="97"/>
  <c r="Y105" i="97" s="1"/>
  <c r="X10" i="97"/>
  <c r="X105" i="97" s="1"/>
  <c r="W10" i="97"/>
  <c r="W105" i="97" s="1"/>
  <c r="V10" i="97"/>
  <c r="V105" i="97" s="1"/>
  <c r="U10" i="97"/>
  <c r="N10" i="97"/>
  <c r="I10" i="97"/>
  <c r="I105" i="97" s="1"/>
  <c r="H10" i="97"/>
  <c r="H105" i="97" s="1"/>
  <c r="G10" i="97"/>
  <c r="G105" i="97" s="1"/>
  <c r="F10" i="97"/>
  <c r="F105" i="97" s="1"/>
  <c r="E10" i="97"/>
  <c r="E105" i="97" s="1"/>
  <c r="D10" i="97"/>
  <c r="AE9" i="97"/>
  <c r="AD9" i="97"/>
  <c r="AC9" i="97"/>
  <c r="AA9" i="97"/>
  <c r="Z9" i="97"/>
  <c r="Y9" i="97"/>
  <c r="X9" i="97"/>
  <c r="W9" i="97"/>
  <c r="V9" i="97"/>
  <c r="U9" i="97"/>
  <c r="N9" i="97"/>
  <c r="I9" i="97"/>
  <c r="H9" i="97"/>
  <c r="G9" i="97"/>
  <c r="F9" i="97"/>
  <c r="E9" i="97"/>
  <c r="D9" i="97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47" i="79" s="1"/>
  <c r="E130" i="79"/>
  <c r="I128" i="79"/>
  <c r="I126" i="79"/>
  <c r="AG107" i="79"/>
  <c r="X102" i="79"/>
  <c r="U102" i="79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L71" i="79"/>
  <c r="J71" i="79"/>
  <c r="Z70" i="79"/>
  <c r="Z69" i="79"/>
  <c r="Z68" i="79"/>
  <c r="AE67" i="79"/>
  <c r="AD67" i="79"/>
  <c r="AC67" i="79"/>
  <c r="AA67" i="79"/>
  <c r="Z67" i="79"/>
  <c r="Y67" i="79"/>
  <c r="X67" i="79"/>
  <c r="W67" i="79"/>
  <c r="V67" i="79"/>
  <c r="U67" i="79"/>
  <c r="N67" i="79"/>
  <c r="AB67" i="79" s="1"/>
  <c r="I67" i="79"/>
  <c r="H67" i="79"/>
  <c r="G67" i="79"/>
  <c r="F67" i="79"/>
  <c r="E67" i="79"/>
  <c r="D67" i="79"/>
  <c r="AE66" i="79"/>
  <c r="AC66" i="79"/>
  <c r="AA66" i="79"/>
  <c r="Z66" i="79"/>
  <c r="Z71" i="79" s="1"/>
  <c r="Y66" i="79"/>
  <c r="X66" i="79"/>
  <c r="W66" i="79"/>
  <c r="V66" i="79"/>
  <c r="U66" i="79"/>
  <c r="N66" i="79"/>
  <c r="I66" i="79"/>
  <c r="H66" i="79"/>
  <c r="G66" i="79"/>
  <c r="F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E144" i="75"/>
  <c r="E143" i="75"/>
  <c r="H142" i="75"/>
  <c r="E142" i="75"/>
  <c r="E130" i="75"/>
  <c r="I129" i="75"/>
  <c r="I127" i="75"/>
  <c r="I125" i="75"/>
  <c r="L108" i="75"/>
  <c r="J108" i="75"/>
  <c r="L107" i="75"/>
  <c r="L106" i="75"/>
  <c r="J106" i="75"/>
  <c r="L105" i="75"/>
  <c r="L104" i="75"/>
  <c r="X102" i="75"/>
  <c r="U102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AB70" i="75" s="1"/>
  <c r="I70" i="75"/>
  <c r="H70" i="75"/>
  <c r="G70" i="75"/>
  <c r="F70" i="75"/>
  <c r="E70" i="75"/>
  <c r="D70" i="75"/>
  <c r="Z69" i="75"/>
  <c r="AE68" i="75"/>
  <c r="AD68" i="75" s="1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D66" i="75"/>
  <c r="AC66" i="75"/>
  <c r="AA66" i="75"/>
  <c r="Z66" i="75"/>
  <c r="Z71" i="75" s="1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L52" i="75"/>
  <c r="J52" i="75"/>
  <c r="AE51" i="75"/>
  <c r="AD51" i="75"/>
  <c r="AC51" i="75"/>
  <c r="AA51" i="75"/>
  <c r="Z51" i="75"/>
  <c r="Y51" i="75"/>
  <c r="X51" i="75"/>
  <c r="W51" i="75"/>
  <c r="V51" i="75"/>
  <c r="U51" i="75"/>
  <c r="AF51" i="75" s="1"/>
  <c r="N51" i="75"/>
  <c r="AB51" i="75" s="1"/>
  <c r="I51" i="75"/>
  <c r="H51" i="75"/>
  <c r="G51" i="75"/>
  <c r="F51" i="75"/>
  <c r="E51" i="75"/>
  <c r="D51" i="75"/>
  <c r="Z50" i="75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Z48" i="75"/>
  <c r="AE47" i="75"/>
  <c r="AD47" i="75"/>
  <c r="AC47" i="75"/>
  <c r="AA47" i="75"/>
  <c r="Z47" i="75"/>
  <c r="Z52" i="75" s="1"/>
  <c r="Y47" i="75"/>
  <c r="X47" i="75"/>
  <c r="W47" i="75"/>
  <c r="V47" i="75"/>
  <c r="U47" i="75"/>
  <c r="N47" i="75"/>
  <c r="I47" i="75"/>
  <c r="H47" i="75"/>
  <c r="G47" i="75"/>
  <c r="F47" i="75"/>
  <c r="E47" i="75"/>
  <c r="D47" i="75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Z31" i="75"/>
  <c r="AE30" i="75"/>
  <c r="AD30" i="75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Z29" i="75"/>
  <c r="AE28" i="75"/>
  <c r="AD28" i="75" s="1"/>
  <c r="AC28" i="75"/>
  <c r="AA28" i="75"/>
  <c r="Z28" i="75"/>
  <c r="Z33" i="75" s="1"/>
  <c r="Y28" i="75"/>
  <c r="X28" i="75"/>
  <c r="W28" i="75"/>
  <c r="V28" i="75"/>
  <c r="U28" i="75"/>
  <c r="N28" i="75"/>
  <c r="I28" i="75"/>
  <c r="H28" i="75"/>
  <c r="G28" i="75"/>
  <c r="F28" i="75"/>
  <c r="E28" i="75"/>
  <c r="D28" i="75"/>
  <c r="X26" i="75"/>
  <c r="U26" i="75"/>
  <c r="L14" i="75"/>
  <c r="J14" i="75"/>
  <c r="AE13" i="75"/>
  <c r="AE108" i="75" s="1"/>
  <c r="AD13" i="75"/>
  <c r="AC13" i="75"/>
  <c r="AC108" i="75" s="1"/>
  <c r="AA13" i="75"/>
  <c r="AA108" i="75" s="1"/>
  <c r="Z13" i="75"/>
  <c r="Z108" i="75" s="1"/>
  <c r="Y13" i="75"/>
  <c r="Y108" i="75" s="1"/>
  <c r="X13" i="75"/>
  <c r="X108" i="75" s="1"/>
  <c r="W13" i="75"/>
  <c r="W108" i="75" s="1"/>
  <c r="V13" i="75"/>
  <c r="V108" i="75" s="1"/>
  <c r="U13" i="75"/>
  <c r="N13" i="75"/>
  <c r="I13" i="75"/>
  <c r="I108" i="75" s="1"/>
  <c r="H13" i="75"/>
  <c r="H108" i="75" s="1"/>
  <c r="G13" i="75"/>
  <c r="G108" i="75" s="1"/>
  <c r="F13" i="75"/>
  <c r="F108" i="75" s="1"/>
  <c r="E13" i="75"/>
  <c r="E108" i="75" s="1"/>
  <c r="D13" i="75"/>
  <c r="Z12" i="75"/>
  <c r="Z107" i="75" s="1"/>
  <c r="AE11" i="75"/>
  <c r="AC11" i="75"/>
  <c r="AC106" i="75" s="1"/>
  <c r="AA11" i="75"/>
  <c r="AA106" i="75" s="1"/>
  <c r="Z11" i="75"/>
  <c r="Z106" i="75" s="1"/>
  <c r="Y11" i="75"/>
  <c r="Y106" i="75" s="1"/>
  <c r="X11" i="75"/>
  <c r="X106" i="75" s="1"/>
  <c r="W11" i="75"/>
  <c r="W106" i="75" s="1"/>
  <c r="V11" i="75"/>
  <c r="V106" i="75" s="1"/>
  <c r="U11" i="75"/>
  <c r="N11" i="75"/>
  <c r="I11" i="75"/>
  <c r="I106" i="75" s="1"/>
  <c r="H11" i="75"/>
  <c r="H106" i="75" s="1"/>
  <c r="G11" i="75"/>
  <c r="G106" i="75" s="1"/>
  <c r="F11" i="75"/>
  <c r="F106" i="75" s="1"/>
  <c r="E11" i="75"/>
  <c r="E106" i="75" s="1"/>
  <c r="D11" i="75"/>
  <c r="Z10" i="75"/>
  <c r="Z105" i="75" s="1"/>
  <c r="AE9" i="75"/>
  <c r="AD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U7" i="75"/>
  <c r="K7" i="75"/>
  <c r="G7" i="75"/>
  <c r="D7" i="75"/>
  <c r="D6" i="75"/>
  <c r="N3" i="75"/>
  <c r="O45" i="39"/>
  <c r="N45" i="39"/>
  <c r="M45" i="39"/>
  <c r="F45" i="39"/>
  <c r="E34" i="39"/>
  <c r="E33" i="39"/>
  <c r="E32" i="39"/>
  <c r="E31" i="39"/>
  <c r="E30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E146" i="22"/>
  <c r="E145" i="22"/>
  <c r="E144" i="22"/>
  <c r="E143" i="22"/>
  <c r="E142" i="22"/>
  <c r="E147" i="22" s="1"/>
  <c r="E130" i="22"/>
  <c r="K122" i="22"/>
  <c r="G122" i="22"/>
  <c r="M117" i="22"/>
  <c r="X102" i="22"/>
  <c r="U102" i="22"/>
  <c r="K102" i="22"/>
  <c r="G102" i="22"/>
  <c r="D102" i="22"/>
  <c r="D101" i="22"/>
  <c r="N98" i="22"/>
  <c r="AC90" i="22"/>
  <c r="L90" i="22"/>
  <c r="Z89" i="22"/>
  <c r="Z88" i="22"/>
  <c r="Z87" i="22"/>
  <c r="Z86" i="22"/>
  <c r="Z85" i="22"/>
  <c r="Z90" i="22" s="1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Z51" i="22"/>
  <c r="Z50" i="22"/>
  <c r="Z49" i="22"/>
  <c r="Z48" i="22"/>
  <c r="Z47" i="22"/>
  <c r="Z52" i="22" s="1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Z32" i="22"/>
  <c r="Z31" i="22"/>
  <c r="Z30" i="22"/>
  <c r="Z29" i="22"/>
  <c r="Z28" i="22"/>
  <c r="Z33" i="22" s="1"/>
  <c r="X26" i="22"/>
  <c r="U26" i="22"/>
  <c r="K26" i="22"/>
  <c r="Y26" i="22" s="1"/>
  <c r="G26" i="22"/>
  <c r="V26" i="22" s="1"/>
  <c r="D26" i="22"/>
  <c r="D25" i="22"/>
  <c r="N22" i="22"/>
  <c r="AD22" i="22" s="1"/>
  <c r="L13" i="22"/>
  <c r="L12" i="22"/>
  <c r="L11" i="22"/>
  <c r="L10" i="22"/>
  <c r="L9" i="22"/>
  <c r="Y7" i="22"/>
  <c r="X7" i="22"/>
  <c r="V7" i="22"/>
  <c r="U7" i="22"/>
  <c r="AD3" i="22"/>
  <c r="I10" i="89"/>
  <c r="F10" i="89"/>
  <c r="R31" i="95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 s="1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J89" i="79" s="1"/>
  <c r="Z50" i="69"/>
  <c r="J50" i="69"/>
  <c r="Z49" i="69"/>
  <c r="J49" i="69"/>
  <c r="J87" i="79" s="1"/>
  <c r="Z48" i="69"/>
  <c r="J48" i="69"/>
  <c r="Z47" i="69"/>
  <c r="Z85" i="79" s="1"/>
  <c r="J47" i="69"/>
  <c r="J85" i="79" s="1"/>
  <c r="J90" i="79" s="1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74" i="61"/>
  <c r="AE70" i="85" s="1"/>
  <c r="AD70" i="85" s="1"/>
  <c r="R373" i="61"/>
  <c r="Q373" i="61"/>
  <c r="AC70" i="85" s="1"/>
  <c r="P373" i="61"/>
  <c r="N70" i="85" s="1"/>
  <c r="AB70" i="85" s="1"/>
  <c r="O373" i="61"/>
  <c r="AA70" i="85" s="1"/>
  <c r="N373" i="61"/>
  <c r="Y70" i="85" s="1"/>
  <c r="M373" i="61"/>
  <c r="X70" i="85" s="1"/>
  <c r="L373" i="61"/>
  <c r="W70" i="85" s="1"/>
  <c r="K373" i="61"/>
  <c r="V70" i="85" s="1"/>
  <c r="J373" i="61"/>
  <c r="U70" i="85" s="1"/>
  <c r="AF70" i="85" s="1"/>
  <c r="I373" i="61"/>
  <c r="I70" i="85" s="1"/>
  <c r="H373" i="61"/>
  <c r="H70" i="85" s="1"/>
  <c r="G373" i="61"/>
  <c r="G70" i="85" s="1"/>
  <c r="F373" i="61"/>
  <c r="F70" i="85" s="1"/>
  <c r="E373" i="61"/>
  <c r="E70" i="85" s="1"/>
  <c r="D373" i="61"/>
  <c r="D70" i="85" s="1"/>
  <c r="D368" i="61"/>
  <c r="AE70" i="79" s="1"/>
  <c r="AD70" i="79" s="1"/>
  <c r="R367" i="61"/>
  <c r="Q367" i="61"/>
  <c r="AC70" i="79" s="1"/>
  <c r="AC108" i="79" s="1"/>
  <c r="P367" i="61"/>
  <c r="N70" i="79" s="1"/>
  <c r="AB70" i="79" s="1"/>
  <c r="O367" i="61"/>
  <c r="AA70" i="79" s="1"/>
  <c r="N367" i="61"/>
  <c r="Y70" i="79" s="1"/>
  <c r="M367" i="61"/>
  <c r="X70" i="79" s="1"/>
  <c r="L367" i="61"/>
  <c r="W70" i="79" s="1"/>
  <c r="K367" i="61"/>
  <c r="V70" i="79" s="1"/>
  <c r="J367" i="61"/>
  <c r="U70" i="79" s="1"/>
  <c r="I367" i="61"/>
  <c r="I70" i="79" s="1"/>
  <c r="H367" i="61"/>
  <c r="H70" i="79" s="1"/>
  <c r="G367" i="61"/>
  <c r="G70" i="79" s="1"/>
  <c r="F367" i="61"/>
  <c r="F70" i="79" s="1"/>
  <c r="E367" i="61"/>
  <c r="E70" i="79" s="1"/>
  <c r="D367" i="61"/>
  <c r="D70" i="79" s="1"/>
  <c r="D362" i="61"/>
  <c r="AE70" i="22" s="1"/>
  <c r="AD70" i="22" s="1"/>
  <c r="R361" i="61"/>
  <c r="Q361" i="61"/>
  <c r="AC70" i="22" s="1"/>
  <c r="P361" i="61"/>
  <c r="N70" i="22" s="1"/>
  <c r="AB70" i="22" s="1"/>
  <c r="O361" i="61"/>
  <c r="AA70" i="22" s="1"/>
  <c r="N361" i="61"/>
  <c r="Y70" i="22" s="1"/>
  <c r="M361" i="61"/>
  <c r="X70" i="22" s="1"/>
  <c r="L361" i="61"/>
  <c r="W70" i="22" s="1"/>
  <c r="K361" i="61"/>
  <c r="V70" i="22" s="1"/>
  <c r="J361" i="61"/>
  <c r="U70" i="22" s="1"/>
  <c r="AF70" i="22" s="1"/>
  <c r="I361" i="61"/>
  <c r="I70" i="22" s="1"/>
  <c r="H361" i="61"/>
  <c r="H70" i="22" s="1"/>
  <c r="G361" i="61"/>
  <c r="G70" i="22" s="1"/>
  <c r="F361" i="61"/>
  <c r="F70" i="22" s="1"/>
  <c r="E361" i="61"/>
  <c r="E70" i="22" s="1"/>
  <c r="D361" i="61"/>
  <c r="D70" i="22" s="1"/>
  <c r="D339" i="61"/>
  <c r="AE69" i="85" s="1"/>
  <c r="AD69" i="85" s="1"/>
  <c r="R338" i="61"/>
  <c r="Q338" i="61"/>
  <c r="AC69" i="85" s="1"/>
  <c r="P338" i="61"/>
  <c r="N69" i="85" s="1"/>
  <c r="AB69" i="85" s="1"/>
  <c r="O338" i="61"/>
  <c r="AA69" i="85" s="1"/>
  <c r="N338" i="61"/>
  <c r="Y69" i="85" s="1"/>
  <c r="M338" i="61"/>
  <c r="X69" i="85" s="1"/>
  <c r="L338" i="61"/>
  <c r="W69" i="85" s="1"/>
  <c r="K338" i="61"/>
  <c r="V69" i="85" s="1"/>
  <c r="J338" i="61"/>
  <c r="U69" i="85" s="1"/>
  <c r="AF69" i="85" s="1"/>
  <c r="I338" i="61"/>
  <c r="I69" i="85" s="1"/>
  <c r="H338" i="61"/>
  <c r="H69" i="85" s="1"/>
  <c r="G338" i="61"/>
  <c r="G69" i="85" s="1"/>
  <c r="F338" i="61"/>
  <c r="F69" i="85" s="1"/>
  <c r="E338" i="61"/>
  <c r="E69" i="85" s="1"/>
  <c r="D338" i="61"/>
  <c r="D69" i="85" s="1"/>
  <c r="D333" i="61"/>
  <c r="AE69" i="79" s="1"/>
  <c r="R332" i="61"/>
  <c r="Q332" i="61"/>
  <c r="AC69" i="79" s="1"/>
  <c r="AC107" i="79" s="1"/>
  <c r="P332" i="61"/>
  <c r="N69" i="79" s="1"/>
  <c r="AB69" i="79" s="1"/>
  <c r="O332" i="61"/>
  <c r="AA69" i="79" s="1"/>
  <c r="N332" i="61"/>
  <c r="Y69" i="79" s="1"/>
  <c r="Y107" i="79" s="1"/>
  <c r="M332" i="61"/>
  <c r="X69" i="79" s="1"/>
  <c r="L332" i="61"/>
  <c r="W69" i="79" s="1"/>
  <c r="W107" i="79" s="1"/>
  <c r="K332" i="61"/>
  <c r="V69" i="79" s="1"/>
  <c r="J332" i="61"/>
  <c r="U69" i="79" s="1"/>
  <c r="I332" i="61"/>
  <c r="I69" i="79" s="1"/>
  <c r="I107" i="79" s="1"/>
  <c r="H332" i="61"/>
  <c r="H69" i="79" s="1"/>
  <c r="G332" i="61"/>
  <c r="G69" i="79" s="1"/>
  <c r="G107" i="79" s="1"/>
  <c r="F332" i="61"/>
  <c r="F69" i="79" s="1"/>
  <c r="F107" i="79" s="1"/>
  <c r="E332" i="61"/>
  <c r="E69" i="79" s="1"/>
  <c r="D332" i="61"/>
  <c r="D69" i="79" s="1"/>
  <c r="D330" i="61"/>
  <c r="AE69" i="75" s="1"/>
  <c r="AD69" i="75" s="1"/>
  <c r="R329" i="61"/>
  <c r="Q329" i="61"/>
  <c r="AC69" i="75" s="1"/>
  <c r="P329" i="61"/>
  <c r="N69" i="75" s="1"/>
  <c r="AB69" i="75" s="1"/>
  <c r="O329" i="61"/>
  <c r="AA69" i="75" s="1"/>
  <c r="N329" i="61"/>
  <c r="Y69" i="75" s="1"/>
  <c r="M329" i="61"/>
  <c r="X69" i="75" s="1"/>
  <c r="L329" i="61"/>
  <c r="W69" i="75" s="1"/>
  <c r="K329" i="61"/>
  <c r="V69" i="75" s="1"/>
  <c r="J329" i="61"/>
  <c r="U69" i="75" s="1"/>
  <c r="I329" i="61"/>
  <c r="I69" i="75" s="1"/>
  <c r="H329" i="61"/>
  <c r="H69" i="75" s="1"/>
  <c r="G329" i="61"/>
  <c r="G69" i="75" s="1"/>
  <c r="F329" i="61"/>
  <c r="F69" i="75" s="1"/>
  <c r="E329" i="61"/>
  <c r="E69" i="75" s="1"/>
  <c r="D329" i="61"/>
  <c r="D69" i="75" s="1"/>
  <c r="D327" i="61"/>
  <c r="AE69" i="22" s="1"/>
  <c r="AD69" i="22" s="1"/>
  <c r="R326" i="61"/>
  <c r="Q326" i="61"/>
  <c r="AC69" i="22" s="1"/>
  <c r="P326" i="61"/>
  <c r="N69" i="22" s="1"/>
  <c r="AB69" i="22" s="1"/>
  <c r="O326" i="61"/>
  <c r="AA69" i="22" s="1"/>
  <c r="N326" i="61"/>
  <c r="Y69" i="22" s="1"/>
  <c r="M326" i="61"/>
  <c r="X69" i="22" s="1"/>
  <c r="L326" i="61"/>
  <c r="W69" i="22" s="1"/>
  <c r="K326" i="61"/>
  <c r="V69" i="22" s="1"/>
  <c r="J326" i="61"/>
  <c r="U69" i="22" s="1"/>
  <c r="I326" i="61"/>
  <c r="I69" i="22" s="1"/>
  <c r="H326" i="61"/>
  <c r="H69" i="22" s="1"/>
  <c r="G326" i="61"/>
  <c r="G69" i="22" s="1"/>
  <c r="F326" i="61"/>
  <c r="F69" i="22" s="1"/>
  <c r="E326" i="61"/>
  <c r="E69" i="22" s="1"/>
  <c r="D326" i="61"/>
  <c r="D69" i="22" s="1"/>
  <c r="D224" i="61"/>
  <c r="AE68" i="85" s="1"/>
  <c r="AD68" i="85" s="1"/>
  <c r="R223" i="61"/>
  <c r="Q223" i="61"/>
  <c r="AC68" i="85" s="1"/>
  <c r="P223" i="61"/>
  <c r="N68" i="85" s="1"/>
  <c r="AB68" i="85" s="1"/>
  <c r="O223" i="61"/>
  <c r="AA68" i="85" s="1"/>
  <c r="N223" i="61"/>
  <c r="Y68" i="85" s="1"/>
  <c r="M223" i="61"/>
  <c r="X68" i="85" s="1"/>
  <c r="L223" i="61"/>
  <c r="W68" i="85" s="1"/>
  <c r="K223" i="61"/>
  <c r="V68" i="85" s="1"/>
  <c r="J223" i="61"/>
  <c r="U68" i="85" s="1"/>
  <c r="AF68" i="85" s="1"/>
  <c r="I223" i="61"/>
  <c r="I68" i="85" s="1"/>
  <c r="H223" i="61"/>
  <c r="H68" i="85" s="1"/>
  <c r="G223" i="61"/>
  <c r="G68" i="85" s="1"/>
  <c r="F223" i="61"/>
  <c r="F68" i="85" s="1"/>
  <c r="E223" i="61"/>
  <c r="E68" i="85" s="1"/>
  <c r="D223" i="61"/>
  <c r="D68" i="85" s="1"/>
  <c r="D218" i="61"/>
  <c r="AE68" i="79" s="1"/>
  <c r="AD68" i="79" s="1"/>
  <c r="R217" i="61"/>
  <c r="Q217" i="61"/>
  <c r="AC68" i="79" s="1"/>
  <c r="AC71" i="79" s="1"/>
  <c r="P217" i="61"/>
  <c r="N68" i="79" s="1"/>
  <c r="AB68" i="79" s="1"/>
  <c r="O217" i="61"/>
  <c r="AA68" i="79" s="1"/>
  <c r="N217" i="61"/>
  <c r="Y68" i="79" s="1"/>
  <c r="Y71" i="79" s="1"/>
  <c r="M217" i="61"/>
  <c r="X68" i="79" s="1"/>
  <c r="X71" i="79" s="1"/>
  <c r="L217" i="61"/>
  <c r="W68" i="79" s="1"/>
  <c r="W71" i="79" s="1"/>
  <c r="K217" i="61"/>
  <c r="V68" i="79" s="1"/>
  <c r="J217" i="61"/>
  <c r="U68" i="79" s="1"/>
  <c r="I217" i="61"/>
  <c r="I68" i="79" s="1"/>
  <c r="H217" i="61"/>
  <c r="H68" i="79" s="1"/>
  <c r="G217" i="61"/>
  <c r="G68" i="79" s="1"/>
  <c r="G71" i="79" s="1"/>
  <c r="F217" i="61"/>
  <c r="F68" i="79" s="1"/>
  <c r="E217" i="61"/>
  <c r="E68" i="79" s="1"/>
  <c r="D217" i="61"/>
  <c r="D68" i="79" s="1"/>
  <c r="D212" i="61"/>
  <c r="AE68" i="22" s="1"/>
  <c r="AD68" i="22" s="1"/>
  <c r="R211" i="61"/>
  <c r="Q211" i="61"/>
  <c r="AC68" i="22" s="1"/>
  <c r="P211" i="61"/>
  <c r="N68" i="22" s="1"/>
  <c r="AB68" i="22" s="1"/>
  <c r="O211" i="61"/>
  <c r="AA68" i="22" s="1"/>
  <c r="N211" i="61"/>
  <c r="Y68" i="22" s="1"/>
  <c r="M211" i="61"/>
  <c r="X68" i="22" s="1"/>
  <c r="L211" i="61"/>
  <c r="W68" i="22" s="1"/>
  <c r="K211" i="61"/>
  <c r="V68" i="22" s="1"/>
  <c r="J211" i="61"/>
  <c r="U68" i="22" s="1"/>
  <c r="AF68" i="22" s="1"/>
  <c r="I211" i="61"/>
  <c r="I68" i="22" s="1"/>
  <c r="H211" i="61"/>
  <c r="H68" i="22" s="1"/>
  <c r="G211" i="61"/>
  <c r="G68" i="22" s="1"/>
  <c r="F211" i="61"/>
  <c r="F68" i="22" s="1"/>
  <c r="E211" i="61"/>
  <c r="E68" i="22" s="1"/>
  <c r="D211" i="61"/>
  <c r="D68" i="22" s="1"/>
  <c r="D187" i="61"/>
  <c r="AE67" i="85" s="1"/>
  <c r="AD67" i="85" s="1"/>
  <c r="R186" i="61"/>
  <c r="Q186" i="61"/>
  <c r="AC67" i="85" s="1"/>
  <c r="P186" i="61"/>
  <c r="N67" i="85" s="1"/>
  <c r="AB67" i="85" s="1"/>
  <c r="O186" i="61"/>
  <c r="AA67" i="85" s="1"/>
  <c r="N186" i="61"/>
  <c r="Y67" i="85" s="1"/>
  <c r="M186" i="61"/>
  <c r="X67" i="85" s="1"/>
  <c r="L186" i="61"/>
  <c r="W67" i="85" s="1"/>
  <c r="K186" i="61"/>
  <c r="V67" i="85" s="1"/>
  <c r="J186" i="61"/>
  <c r="U67" i="85" s="1"/>
  <c r="I186" i="61"/>
  <c r="I67" i="85" s="1"/>
  <c r="H186" i="61"/>
  <c r="H67" i="85" s="1"/>
  <c r="G186" i="61"/>
  <c r="G67" i="85" s="1"/>
  <c r="F186" i="61"/>
  <c r="F67" i="85" s="1"/>
  <c r="E186" i="61"/>
  <c r="E67" i="85" s="1"/>
  <c r="D186" i="61"/>
  <c r="D67" i="85" s="1"/>
  <c r="D181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E180" i="61"/>
  <c r="D180" i="61"/>
  <c r="D178" i="61"/>
  <c r="AE67" i="75" s="1"/>
  <c r="AD67" i="75" s="1"/>
  <c r="R177" i="61"/>
  <c r="Q177" i="61"/>
  <c r="AC67" i="75" s="1"/>
  <c r="P177" i="61"/>
  <c r="N67" i="75" s="1"/>
  <c r="AB67" i="75" s="1"/>
  <c r="O177" i="61"/>
  <c r="AA67" i="75" s="1"/>
  <c r="N177" i="61"/>
  <c r="Y67" i="75" s="1"/>
  <c r="M177" i="61"/>
  <c r="X67" i="75" s="1"/>
  <c r="L177" i="61"/>
  <c r="W67" i="75" s="1"/>
  <c r="K177" i="61"/>
  <c r="V67" i="75" s="1"/>
  <c r="J177" i="61"/>
  <c r="U67" i="75" s="1"/>
  <c r="I177" i="61"/>
  <c r="I67" i="75" s="1"/>
  <c r="H177" i="61"/>
  <c r="H67" i="75" s="1"/>
  <c r="G177" i="61"/>
  <c r="G67" i="75" s="1"/>
  <c r="F177" i="61"/>
  <c r="F67" i="75" s="1"/>
  <c r="E177" i="61"/>
  <c r="E67" i="75" s="1"/>
  <c r="D177" i="61"/>
  <c r="D67" i="75" s="1"/>
  <c r="D175" i="61"/>
  <c r="AE67" i="22" s="1"/>
  <c r="AD67" i="22" s="1"/>
  <c r="R174" i="61"/>
  <c r="Q174" i="61"/>
  <c r="AC67" i="22" s="1"/>
  <c r="P174" i="61"/>
  <c r="N67" i="22" s="1"/>
  <c r="AB67" i="22" s="1"/>
  <c r="O174" i="61"/>
  <c r="AA67" i="22" s="1"/>
  <c r="N174" i="61"/>
  <c r="Y67" i="22" s="1"/>
  <c r="M174" i="61"/>
  <c r="X67" i="22" s="1"/>
  <c r="L174" i="61"/>
  <c r="W67" i="22" s="1"/>
  <c r="K174" i="61"/>
  <c r="V67" i="22" s="1"/>
  <c r="J174" i="61"/>
  <c r="U67" i="22" s="1"/>
  <c r="I174" i="61"/>
  <c r="I67" i="22" s="1"/>
  <c r="H174" i="61"/>
  <c r="H67" i="22" s="1"/>
  <c r="G174" i="61"/>
  <c r="G67" i="22" s="1"/>
  <c r="F174" i="61"/>
  <c r="F67" i="22" s="1"/>
  <c r="E174" i="61"/>
  <c r="E67" i="22" s="1"/>
  <c r="D174" i="61"/>
  <c r="D67" i="22" s="1"/>
  <c r="D86" i="61"/>
  <c r="AE66" i="85" s="1"/>
  <c r="R85" i="61"/>
  <c r="Q85" i="61"/>
  <c r="AC66" i="85" s="1"/>
  <c r="P85" i="61"/>
  <c r="N66" i="85" s="1"/>
  <c r="O85" i="61"/>
  <c r="AA66" i="85" s="1"/>
  <c r="N85" i="61"/>
  <c r="Y66" i="85" s="1"/>
  <c r="M85" i="61"/>
  <c r="X66" i="85" s="1"/>
  <c r="L85" i="61"/>
  <c r="W66" i="85" s="1"/>
  <c r="K85" i="61"/>
  <c r="V66" i="85" s="1"/>
  <c r="J85" i="61"/>
  <c r="U66" i="85" s="1"/>
  <c r="I85" i="61"/>
  <c r="I66" i="85" s="1"/>
  <c r="H85" i="61"/>
  <c r="H66" i="85" s="1"/>
  <c r="G85" i="61"/>
  <c r="G66" i="85" s="1"/>
  <c r="F85" i="61"/>
  <c r="F66" i="85" s="1"/>
  <c r="E85" i="61"/>
  <c r="E66" i="85" s="1"/>
  <c r="D85" i="61"/>
  <c r="D66" i="85" s="1"/>
  <c r="D80" i="61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E66" i="79" s="1"/>
  <c r="D79" i="61"/>
  <c r="D66" i="79" s="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481" i="59"/>
  <c r="AE32" i="85" s="1"/>
  <c r="AD32" i="85" s="1"/>
  <c r="R480" i="59"/>
  <c r="AC32" i="85" s="1"/>
  <c r="Q480" i="59"/>
  <c r="AA32" i="85" s="1"/>
  <c r="P480" i="59"/>
  <c r="Y32" i="85" s="1"/>
  <c r="O480" i="59"/>
  <c r="X32" i="85" s="1"/>
  <c r="N480" i="59"/>
  <c r="W32" i="85" s="1"/>
  <c r="M480" i="59"/>
  <c r="V32" i="85" s="1"/>
  <c r="L480" i="59"/>
  <c r="U32" i="85" s="1"/>
  <c r="K480" i="59"/>
  <c r="N32" i="85" s="1"/>
  <c r="AB32" i="85" s="1"/>
  <c r="J480" i="59"/>
  <c r="I32" i="85" s="1"/>
  <c r="I480" i="59"/>
  <c r="H32" i="85" s="1"/>
  <c r="H480" i="59"/>
  <c r="G32" i="85" s="1"/>
  <c r="G480" i="59"/>
  <c r="F32" i="85" s="1"/>
  <c r="F480" i="59"/>
  <c r="E32" i="85" s="1"/>
  <c r="E480" i="59"/>
  <c r="D32" i="85" s="1"/>
  <c r="E478" i="59"/>
  <c r="AE32" i="97" s="1"/>
  <c r="AD32" i="97" s="1"/>
  <c r="R477" i="59"/>
  <c r="AC32" i="97" s="1"/>
  <c r="Q477" i="59"/>
  <c r="AA32" i="97" s="1"/>
  <c r="P477" i="59"/>
  <c r="Y32" i="97" s="1"/>
  <c r="O477" i="59"/>
  <c r="X32" i="97" s="1"/>
  <c r="N477" i="59"/>
  <c r="W32" i="97" s="1"/>
  <c r="M477" i="59"/>
  <c r="V32" i="97" s="1"/>
  <c r="L477" i="59"/>
  <c r="U32" i="97" s="1"/>
  <c r="K477" i="59"/>
  <c r="N32" i="97" s="1"/>
  <c r="AB32" i="97" s="1"/>
  <c r="J477" i="59"/>
  <c r="I32" i="97" s="1"/>
  <c r="I477" i="59"/>
  <c r="H32" i="97" s="1"/>
  <c r="H477" i="59"/>
  <c r="G32" i="97" s="1"/>
  <c r="G477" i="59"/>
  <c r="F32" i="97" s="1"/>
  <c r="F477" i="59"/>
  <c r="E32" i="97" s="1"/>
  <c r="E477" i="59"/>
  <c r="D32" i="97" s="1"/>
  <c r="E475" i="59"/>
  <c r="AE32" i="79" s="1"/>
  <c r="AD32" i="79" s="1"/>
  <c r="R474" i="59"/>
  <c r="AC32" i="79" s="1"/>
  <c r="Q474" i="59"/>
  <c r="AA32" i="79" s="1"/>
  <c r="P474" i="59"/>
  <c r="Y32" i="79" s="1"/>
  <c r="O474" i="59"/>
  <c r="X32" i="79" s="1"/>
  <c r="N474" i="59"/>
  <c r="W32" i="79" s="1"/>
  <c r="M474" i="59"/>
  <c r="V32" i="79" s="1"/>
  <c r="L474" i="59"/>
  <c r="U32" i="79" s="1"/>
  <c r="K474" i="59"/>
  <c r="N32" i="79" s="1"/>
  <c r="AB32" i="79" s="1"/>
  <c r="J474" i="59"/>
  <c r="I32" i="79" s="1"/>
  <c r="I474" i="59"/>
  <c r="H32" i="79" s="1"/>
  <c r="H474" i="59"/>
  <c r="G32" i="79" s="1"/>
  <c r="G474" i="59"/>
  <c r="F32" i="79" s="1"/>
  <c r="F474" i="59"/>
  <c r="E32" i="79" s="1"/>
  <c r="E474" i="59"/>
  <c r="D32" i="79" s="1"/>
  <c r="E469" i="59"/>
  <c r="AE32" i="22" s="1"/>
  <c r="AD32" i="22" s="1"/>
  <c r="R468" i="59"/>
  <c r="AC32" i="22" s="1"/>
  <c r="Q468" i="59"/>
  <c r="AA32" i="22" s="1"/>
  <c r="P468" i="59"/>
  <c r="Y32" i="22" s="1"/>
  <c r="O468" i="59"/>
  <c r="X32" i="22" s="1"/>
  <c r="N468" i="59"/>
  <c r="W32" i="22" s="1"/>
  <c r="M468" i="59"/>
  <c r="V32" i="22" s="1"/>
  <c r="L468" i="59"/>
  <c r="U32" i="22" s="1"/>
  <c r="K468" i="59"/>
  <c r="N32" i="22" s="1"/>
  <c r="AB32" i="22" s="1"/>
  <c r="J468" i="59"/>
  <c r="I32" i="22" s="1"/>
  <c r="I468" i="59"/>
  <c r="H32" i="22" s="1"/>
  <c r="H468" i="59"/>
  <c r="G32" i="22" s="1"/>
  <c r="G468" i="59"/>
  <c r="F32" i="22" s="1"/>
  <c r="F468" i="59"/>
  <c r="E32" i="22" s="1"/>
  <c r="E468" i="59"/>
  <c r="D32" i="22" s="1"/>
  <c r="E397" i="59"/>
  <c r="AE31" i="85" s="1"/>
  <c r="AD31" i="85" s="1"/>
  <c r="R396" i="59"/>
  <c r="AC31" i="85" s="1"/>
  <c r="Q396" i="59"/>
  <c r="AA31" i="85" s="1"/>
  <c r="P396" i="59"/>
  <c r="Y31" i="85" s="1"/>
  <c r="O396" i="59"/>
  <c r="X31" i="85" s="1"/>
  <c r="N396" i="59"/>
  <c r="W31" i="85" s="1"/>
  <c r="M396" i="59"/>
  <c r="V31" i="85" s="1"/>
  <c r="L396" i="59"/>
  <c r="U31" i="85" s="1"/>
  <c r="K396" i="59"/>
  <c r="N31" i="85" s="1"/>
  <c r="AB31" i="85" s="1"/>
  <c r="J396" i="59"/>
  <c r="I31" i="85" s="1"/>
  <c r="I396" i="59"/>
  <c r="H31" i="85" s="1"/>
  <c r="H396" i="59"/>
  <c r="G31" i="85" s="1"/>
  <c r="G396" i="59"/>
  <c r="F31" i="85" s="1"/>
  <c r="F396" i="59"/>
  <c r="E31" i="85" s="1"/>
  <c r="E396" i="59"/>
  <c r="D31" i="85" s="1"/>
  <c r="E391" i="59"/>
  <c r="AE31" i="79" s="1"/>
  <c r="AD31" i="79" s="1"/>
  <c r="R390" i="59"/>
  <c r="AC31" i="79" s="1"/>
  <c r="Q390" i="59"/>
  <c r="AA31" i="79" s="1"/>
  <c r="P390" i="59"/>
  <c r="Y31" i="79" s="1"/>
  <c r="O390" i="59"/>
  <c r="X31" i="79" s="1"/>
  <c r="N390" i="59"/>
  <c r="W31" i="79" s="1"/>
  <c r="M390" i="59"/>
  <c r="V31" i="79" s="1"/>
  <c r="L390" i="59"/>
  <c r="U31" i="79" s="1"/>
  <c r="K390" i="59"/>
  <c r="N31" i="79" s="1"/>
  <c r="AB31" i="79" s="1"/>
  <c r="J390" i="59"/>
  <c r="I31" i="79" s="1"/>
  <c r="I390" i="59"/>
  <c r="H31" i="79" s="1"/>
  <c r="H390" i="59"/>
  <c r="G31" i="79" s="1"/>
  <c r="G390" i="59"/>
  <c r="F31" i="79" s="1"/>
  <c r="F390" i="59"/>
  <c r="E31" i="79" s="1"/>
  <c r="E390" i="59"/>
  <c r="D31" i="79" s="1"/>
  <c r="E388" i="59"/>
  <c r="AE31" i="75" s="1"/>
  <c r="AD31" i="75" s="1"/>
  <c r="R387" i="59"/>
  <c r="AC31" i="75" s="1"/>
  <c r="Q387" i="59"/>
  <c r="AA31" i="75" s="1"/>
  <c r="P387" i="59"/>
  <c r="Y31" i="75" s="1"/>
  <c r="O387" i="59"/>
  <c r="X31" i="75" s="1"/>
  <c r="N387" i="59"/>
  <c r="W31" i="75" s="1"/>
  <c r="M387" i="59"/>
  <c r="V31" i="75" s="1"/>
  <c r="L387" i="59"/>
  <c r="U31" i="75" s="1"/>
  <c r="K387" i="59"/>
  <c r="N31" i="75" s="1"/>
  <c r="AB31" i="75" s="1"/>
  <c r="J387" i="59"/>
  <c r="I31" i="75" s="1"/>
  <c r="I387" i="59"/>
  <c r="H31" i="75" s="1"/>
  <c r="H387" i="59"/>
  <c r="G31" i="75" s="1"/>
  <c r="G387" i="59"/>
  <c r="F31" i="75" s="1"/>
  <c r="F387" i="59"/>
  <c r="E31" i="75" s="1"/>
  <c r="E387" i="59"/>
  <c r="D31" i="75" s="1"/>
  <c r="E385" i="59"/>
  <c r="AE31" i="22" s="1"/>
  <c r="AD31" i="22" s="1"/>
  <c r="R384" i="59"/>
  <c r="AC31" i="22" s="1"/>
  <c r="Q384" i="59"/>
  <c r="AA31" i="22" s="1"/>
  <c r="P384" i="59"/>
  <c r="Y31" i="22" s="1"/>
  <c r="O384" i="59"/>
  <c r="X31" i="22" s="1"/>
  <c r="N384" i="59"/>
  <c r="W31" i="22" s="1"/>
  <c r="M384" i="59"/>
  <c r="V31" i="22" s="1"/>
  <c r="L384" i="59"/>
  <c r="U31" i="22" s="1"/>
  <c r="K384" i="59"/>
  <c r="N31" i="22" s="1"/>
  <c r="AB31" i="22" s="1"/>
  <c r="J384" i="59"/>
  <c r="I31" i="22" s="1"/>
  <c r="I384" i="59"/>
  <c r="H31" i="22" s="1"/>
  <c r="H384" i="59"/>
  <c r="G31" i="22" s="1"/>
  <c r="G384" i="59"/>
  <c r="F31" i="22" s="1"/>
  <c r="F384" i="59"/>
  <c r="E31" i="22" s="1"/>
  <c r="E384" i="59"/>
  <c r="D31" i="22" s="1"/>
  <c r="E286" i="59"/>
  <c r="AE30" i="85" s="1"/>
  <c r="AD30" i="85" s="1"/>
  <c r="R285" i="59"/>
  <c r="AC30" i="85" s="1"/>
  <c r="Q285" i="59"/>
  <c r="AA30" i="85" s="1"/>
  <c r="P285" i="59"/>
  <c r="Y30" i="85" s="1"/>
  <c r="O285" i="59"/>
  <c r="X30" i="85" s="1"/>
  <c r="N285" i="59"/>
  <c r="W30" i="85" s="1"/>
  <c r="M285" i="59"/>
  <c r="V30" i="85" s="1"/>
  <c r="L285" i="59"/>
  <c r="U30" i="85" s="1"/>
  <c r="K285" i="59"/>
  <c r="N30" i="85" s="1"/>
  <c r="AB30" i="85" s="1"/>
  <c r="J285" i="59"/>
  <c r="I30" i="85" s="1"/>
  <c r="I285" i="59"/>
  <c r="H30" i="85" s="1"/>
  <c r="H285" i="59"/>
  <c r="G30" i="85" s="1"/>
  <c r="G285" i="59"/>
  <c r="F30" i="85" s="1"/>
  <c r="F285" i="59"/>
  <c r="E30" i="85" s="1"/>
  <c r="E285" i="59"/>
  <c r="D30" i="85" s="1"/>
  <c r="E280" i="59"/>
  <c r="AE30" i="79" s="1"/>
  <c r="AD30" i="79" s="1"/>
  <c r="R279" i="59"/>
  <c r="AC30" i="79" s="1"/>
  <c r="Q279" i="59"/>
  <c r="AA30" i="79" s="1"/>
  <c r="P279" i="59"/>
  <c r="Y30" i="79" s="1"/>
  <c r="O279" i="59"/>
  <c r="X30" i="79" s="1"/>
  <c r="N279" i="59"/>
  <c r="W30" i="79" s="1"/>
  <c r="M279" i="59"/>
  <c r="V30" i="79" s="1"/>
  <c r="L279" i="59"/>
  <c r="U30" i="79" s="1"/>
  <c r="K279" i="59"/>
  <c r="N30" i="79" s="1"/>
  <c r="AB30" i="79" s="1"/>
  <c r="J279" i="59"/>
  <c r="I30" i="79" s="1"/>
  <c r="I279" i="59"/>
  <c r="H30" i="79" s="1"/>
  <c r="H279" i="59"/>
  <c r="G30" i="79" s="1"/>
  <c r="G279" i="59"/>
  <c r="F30" i="79" s="1"/>
  <c r="F279" i="59"/>
  <c r="E30" i="79" s="1"/>
  <c r="E279" i="59"/>
  <c r="D30" i="79" s="1"/>
  <c r="E274" i="59"/>
  <c r="AE30" i="22" s="1"/>
  <c r="AD30" i="22" s="1"/>
  <c r="R273" i="59"/>
  <c r="AC30" i="22" s="1"/>
  <c r="Q273" i="59"/>
  <c r="AA30" i="22" s="1"/>
  <c r="P273" i="59"/>
  <c r="Y30" i="22" s="1"/>
  <c r="O273" i="59"/>
  <c r="X30" i="22" s="1"/>
  <c r="N273" i="59"/>
  <c r="W30" i="22" s="1"/>
  <c r="M273" i="59"/>
  <c r="V30" i="22" s="1"/>
  <c r="L273" i="59"/>
  <c r="U30" i="22" s="1"/>
  <c r="K273" i="59"/>
  <c r="N30" i="22" s="1"/>
  <c r="AB30" i="22" s="1"/>
  <c r="J273" i="59"/>
  <c r="I30" i="22" s="1"/>
  <c r="I273" i="59"/>
  <c r="H30" i="22" s="1"/>
  <c r="H273" i="59"/>
  <c r="G30" i="22" s="1"/>
  <c r="G273" i="59"/>
  <c r="F30" i="22" s="1"/>
  <c r="F273" i="59"/>
  <c r="E30" i="22" s="1"/>
  <c r="E273" i="59"/>
  <c r="D30" i="22" s="1"/>
  <c r="E168" i="59"/>
  <c r="AE29" i="85" s="1"/>
  <c r="AD29" i="85" s="1"/>
  <c r="R167" i="59"/>
  <c r="AC29" i="85" s="1"/>
  <c r="Q167" i="59"/>
  <c r="AA29" i="85" s="1"/>
  <c r="P167" i="59"/>
  <c r="Y29" i="85" s="1"/>
  <c r="O167" i="59"/>
  <c r="X29" i="85" s="1"/>
  <c r="N167" i="59"/>
  <c r="W29" i="85" s="1"/>
  <c r="M167" i="59"/>
  <c r="V29" i="85" s="1"/>
  <c r="L167" i="59"/>
  <c r="U29" i="85" s="1"/>
  <c r="K167" i="59"/>
  <c r="N29" i="85" s="1"/>
  <c r="AB29" i="85" s="1"/>
  <c r="J167" i="59"/>
  <c r="I29" i="85" s="1"/>
  <c r="I167" i="59"/>
  <c r="H29" i="85" s="1"/>
  <c r="H167" i="59"/>
  <c r="G29" i="85" s="1"/>
  <c r="G167" i="59"/>
  <c r="F29" i="85" s="1"/>
  <c r="F167" i="59"/>
  <c r="E29" i="85" s="1"/>
  <c r="E167" i="59"/>
  <c r="D29" i="85" s="1"/>
  <c r="E162" i="59"/>
  <c r="AE29" i="79" s="1"/>
  <c r="AD29" i="79" s="1"/>
  <c r="R161" i="59"/>
  <c r="AC29" i="79" s="1"/>
  <c r="Q161" i="59"/>
  <c r="AA29" i="79" s="1"/>
  <c r="P161" i="59"/>
  <c r="Y29" i="79" s="1"/>
  <c r="O161" i="59"/>
  <c r="X29" i="79" s="1"/>
  <c r="N161" i="59"/>
  <c r="W29" i="79" s="1"/>
  <c r="M161" i="59"/>
  <c r="V29" i="79" s="1"/>
  <c r="L161" i="59"/>
  <c r="U29" i="79" s="1"/>
  <c r="K161" i="59"/>
  <c r="N29" i="79" s="1"/>
  <c r="AB29" i="79" s="1"/>
  <c r="J161" i="59"/>
  <c r="I29" i="79" s="1"/>
  <c r="I161" i="59"/>
  <c r="H29" i="79" s="1"/>
  <c r="H161" i="59"/>
  <c r="G29" i="79" s="1"/>
  <c r="G161" i="59"/>
  <c r="F29" i="79" s="1"/>
  <c r="F161" i="59"/>
  <c r="E29" i="79" s="1"/>
  <c r="E161" i="59"/>
  <c r="D29" i="79" s="1"/>
  <c r="E159" i="59"/>
  <c r="AE29" i="75" s="1"/>
  <c r="AD29" i="75" s="1"/>
  <c r="R158" i="59"/>
  <c r="AC29" i="75" s="1"/>
  <c r="Q158" i="59"/>
  <c r="AA29" i="75" s="1"/>
  <c r="P158" i="59"/>
  <c r="Y29" i="75" s="1"/>
  <c r="O158" i="59"/>
  <c r="X29" i="75" s="1"/>
  <c r="N158" i="59"/>
  <c r="W29" i="75" s="1"/>
  <c r="M158" i="59"/>
  <c r="V29" i="75" s="1"/>
  <c r="L158" i="59"/>
  <c r="U29" i="75" s="1"/>
  <c r="K158" i="59"/>
  <c r="N29" i="75" s="1"/>
  <c r="AB29" i="75" s="1"/>
  <c r="J158" i="59"/>
  <c r="I29" i="75" s="1"/>
  <c r="I158" i="59"/>
  <c r="H29" i="75" s="1"/>
  <c r="H158" i="59"/>
  <c r="G29" i="75" s="1"/>
  <c r="G158" i="59"/>
  <c r="F29" i="75" s="1"/>
  <c r="F158" i="59"/>
  <c r="E29" i="75" s="1"/>
  <c r="E158" i="59"/>
  <c r="D29" i="75" s="1"/>
  <c r="E156" i="59"/>
  <c r="AE29" i="22" s="1"/>
  <c r="AD29" i="22" s="1"/>
  <c r="R155" i="59"/>
  <c r="AC29" i="22" s="1"/>
  <c r="Q155" i="59"/>
  <c r="AA29" i="22" s="1"/>
  <c r="P155" i="59"/>
  <c r="Y29" i="22" s="1"/>
  <c r="O155" i="59"/>
  <c r="X29" i="22" s="1"/>
  <c r="N155" i="59"/>
  <c r="W29" i="22" s="1"/>
  <c r="M155" i="59"/>
  <c r="V29" i="22" s="1"/>
  <c r="L155" i="59"/>
  <c r="U29" i="22" s="1"/>
  <c r="K155" i="59"/>
  <c r="N29" i="22" s="1"/>
  <c r="AB29" i="22" s="1"/>
  <c r="J155" i="59"/>
  <c r="I29" i="22" s="1"/>
  <c r="I155" i="59"/>
  <c r="H29" i="22" s="1"/>
  <c r="H155" i="59"/>
  <c r="G29" i="22" s="1"/>
  <c r="G155" i="59"/>
  <c r="F29" i="22" s="1"/>
  <c r="F155" i="59"/>
  <c r="E29" i="22" s="1"/>
  <c r="E155" i="59"/>
  <c r="D29" i="22" s="1"/>
  <c r="E60" i="59"/>
  <c r="AE28" i="85" s="1"/>
  <c r="S59" i="59"/>
  <c r="R59" i="59"/>
  <c r="AC28" i="85" s="1"/>
  <c r="AC33" i="85" s="1"/>
  <c r="Q59" i="59"/>
  <c r="AA28" i="85" s="1"/>
  <c r="AA33" i="85" s="1"/>
  <c r="P59" i="59"/>
  <c r="Y28" i="85" s="1"/>
  <c r="Y33" i="85" s="1"/>
  <c r="O59" i="59"/>
  <c r="X28" i="85" s="1"/>
  <c r="X33" i="85" s="1"/>
  <c r="N59" i="59"/>
  <c r="W28" i="85" s="1"/>
  <c r="W33" i="85" s="1"/>
  <c r="M59" i="59"/>
  <c r="V28" i="85" s="1"/>
  <c r="V33" i="85" s="1"/>
  <c r="L59" i="59"/>
  <c r="U28" i="85" s="1"/>
  <c r="K59" i="59"/>
  <c r="N28" i="85" s="1"/>
  <c r="J59" i="59"/>
  <c r="I28" i="85" s="1"/>
  <c r="I33" i="85" s="1"/>
  <c r="I59" i="59"/>
  <c r="H28" i="85" s="1"/>
  <c r="H33" i="85" s="1"/>
  <c r="H59" i="59"/>
  <c r="G28" i="85" s="1"/>
  <c r="G33" i="85" s="1"/>
  <c r="G59" i="59"/>
  <c r="F28" i="85" s="1"/>
  <c r="F33" i="85" s="1"/>
  <c r="F59" i="59"/>
  <c r="E28" i="85" s="1"/>
  <c r="E33" i="85" s="1"/>
  <c r="E59" i="59"/>
  <c r="D28" i="85" s="1"/>
  <c r="E54" i="59"/>
  <c r="AE28" i="79" s="1"/>
  <c r="S53" i="59"/>
  <c r="R53" i="59"/>
  <c r="AC28" i="79" s="1"/>
  <c r="AC33" i="79" s="1"/>
  <c r="Q53" i="59"/>
  <c r="AA28" i="79" s="1"/>
  <c r="AA33" i="79" s="1"/>
  <c r="P53" i="59"/>
  <c r="Y28" i="79" s="1"/>
  <c r="Y33" i="79" s="1"/>
  <c r="O53" i="59"/>
  <c r="X28" i="79" s="1"/>
  <c r="X33" i="79" s="1"/>
  <c r="N53" i="59"/>
  <c r="W28" i="79" s="1"/>
  <c r="W33" i="79" s="1"/>
  <c r="M53" i="59"/>
  <c r="V28" i="79" s="1"/>
  <c r="V33" i="79" s="1"/>
  <c r="L53" i="59"/>
  <c r="U28" i="79" s="1"/>
  <c r="K53" i="59"/>
  <c r="N28" i="79" s="1"/>
  <c r="J53" i="59"/>
  <c r="I28" i="79" s="1"/>
  <c r="I33" i="79" s="1"/>
  <c r="I53" i="59"/>
  <c r="H28" i="79" s="1"/>
  <c r="H33" i="79" s="1"/>
  <c r="H53" i="59"/>
  <c r="G28" i="79" s="1"/>
  <c r="G33" i="79" s="1"/>
  <c r="G53" i="59"/>
  <c r="F28" i="79" s="1"/>
  <c r="F33" i="79" s="1"/>
  <c r="F53" i="59"/>
  <c r="E28" i="79" s="1"/>
  <c r="E33" i="79" s="1"/>
  <c r="E53" i="59"/>
  <c r="D28" i="79" s="1"/>
  <c r="E48" i="59"/>
  <c r="AE28" i="22" s="1"/>
  <c r="S47" i="59"/>
  <c r="R47" i="59"/>
  <c r="AC28" i="22" s="1"/>
  <c r="AC33" i="22" s="1"/>
  <c r="Q47" i="59"/>
  <c r="AA28" i="22" s="1"/>
  <c r="AA33" i="22" s="1"/>
  <c r="P47" i="59"/>
  <c r="Y28" i="22" s="1"/>
  <c r="Y33" i="22" s="1"/>
  <c r="O47" i="59"/>
  <c r="X28" i="22" s="1"/>
  <c r="X33" i="22" s="1"/>
  <c r="N47" i="59"/>
  <c r="W28" i="22" s="1"/>
  <c r="W33" i="22" s="1"/>
  <c r="M47" i="59"/>
  <c r="V28" i="22" s="1"/>
  <c r="V33" i="22" s="1"/>
  <c r="L47" i="59"/>
  <c r="U28" i="22" s="1"/>
  <c r="K47" i="59"/>
  <c r="N28" i="22" s="1"/>
  <c r="J47" i="59"/>
  <c r="I28" i="22" s="1"/>
  <c r="I33" i="22" s="1"/>
  <c r="I47" i="59"/>
  <c r="H28" i="22" s="1"/>
  <c r="H33" i="22" s="1"/>
  <c r="H47" i="59"/>
  <c r="G28" i="22" s="1"/>
  <c r="G33" i="22" s="1"/>
  <c r="G47" i="59"/>
  <c r="F28" i="22" s="1"/>
  <c r="F33" i="22" s="1"/>
  <c r="F47" i="59"/>
  <c r="E28" i="22" s="1"/>
  <c r="E33" i="22" s="1"/>
  <c r="E47" i="59"/>
  <c r="D28" i="22" s="1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L129" i="86" s="1"/>
  <c r="O25" i="56"/>
  <c r="L129" i="85" s="1"/>
  <c r="L25" i="56"/>
  <c r="L129" i="97" s="1"/>
  <c r="I25" i="56"/>
  <c r="L129" i="79" s="1"/>
  <c r="F25" i="56"/>
  <c r="L129" i="75" s="1"/>
  <c r="R24" i="56"/>
  <c r="L128" i="86" s="1"/>
  <c r="O24" i="56"/>
  <c r="L128" i="85" s="1"/>
  <c r="L24" i="56"/>
  <c r="L128" i="97" s="1"/>
  <c r="I24" i="56"/>
  <c r="L128" i="79" s="1"/>
  <c r="F24" i="56"/>
  <c r="L128" i="75" s="1"/>
  <c r="R23" i="56"/>
  <c r="L127" i="86" s="1"/>
  <c r="O23" i="56"/>
  <c r="L127" i="85" s="1"/>
  <c r="L23" i="56"/>
  <c r="L127" i="97" s="1"/>
  <c r="I23" i="56"/>
  <c r="L127" i="79" s="1"/>
  <c r="F23" i="56"/>
  <c r="L127" i="75" s="1"/>
  <c r="R22" i="56"/>
  <c r="L126" i="86" s="1"/>
  <c r="O22" i="56"/>
  <c r="L126" i="85" s="1"/>
  <c r="L22" i="56"/>
  <c r="L126" i="97" s="1"/>
  <c r="I22" i="56"/>
  <c r="L126" i="79" s="1"/>
  <c r="F22" i="56"/>
  <c r="L126" i="75" s="1"/>
  <c r="R21" i="56"/>
  <c r="O21" i="56"/>
  <c r="L21" i="56"/>
  <c r="I21" i="56"/>
  <c r="F21" i="56"/>
  <c r="R16" i="56"/>
  <c r="K129" i="86" s="1"/>
  <c r="O16" i="56"/>
  <c r="K129" i="85" s="1"/>
  <c r="L16" i="56"/>
  <c r="K129" i="97" s="1"/>
  <c r="I16" i="56"/>
  <c r="K129" i="79" s="1"/>
  <c r="F16" i="56"/>
  <c r="K129" i="75" s="1"/>
  <c r="R15" i="56"/>
  <c r="K128" i="86" s="1"/>
  <c r="O15" i="56"/>
  <c r="K128" i="85" s="1"/>
  <c r="L15" i="56"/>
  <c r="K128" i="97" s="1"/>
  <c r="I15" i="56"/>
  <c r="K128" i="79" s="1"/>
  <c r="F15" i="56"/>
  <c r="K128" i="75" s="1"/>
  <c r="R14" i="56"/>
  <c r="K127" i="86" s="1"/>
  <c r="O14" i="56"/>
  <c r="K127" i="85" s="1"/>
  <c r="L14" i="56"/>
  <c r="K127" i="97" s="1"/>
  <c r="I14" i="56"/>
  <c r="K127" i="79" s="1"/>
  <c r="F14" i="56"/>
  <c r="K127" i="75" s="1"/>
  <c r="R13" i="56"/>
  <c r="K126" i="86" s="1"/>
  <c r="O13" i="56"/>
  <c r="K126" i="85" s="1"/>
  <c r="L13" i="56"/>
  <c r="K126" i="97" s="1"/>
  <c r="I13" i="56"/>
  <c r="K126" i="79" s="1"/>
  <c r="F13" i="56"/>
  <c r="K126" i="75" s="1"/>
  <c r="R12" i="56"/>
  <c r="O12" i="56"/>
  <c r="L12" i="56"/>
  <c r="I12" i="56"/>
  <c r="F12" i="56"/>
  <c r="R7" i="56"/>
  <c r="D129" i="86" s="1"/>
  <c r="O7" i="56"/>
  <c r="D129" i="85" s="1"/>
  <c r="L7" i="56"/>
  <c r="D129" i="97" s="1"/>
  <c r="I7" i="56"/>
  <c r="D129" i="79" s="1"/>
  <c r="F7" i="56"/>
  <c r="D129" i="75" s="1"/>
  <c r="R6" i="56"/>
  <c r="D128" i="86" s="1"/>
  <c r="O6" i="56"/>
  <c r="D128" i="85" s="1"/>
  <c r="L6" i="56"/>
  <c r="D128" i="97" s="1"/>
  <c r="I6" i="56"/>
  <c r="D128" i="79" s="1"/>
  <c r="F6" i="56"/>
  <c r="D128" i="75" s="1"/>
  <c r="R5" i="56"/>
  <c r="D127" i="86" s="1"/>
  <c r="O5" i="56"/>
  <c r="D127" i="85" s="1"/>
  <c r="L5" i="56"/>
  <c r="D127" i="97" s="1"/>
  <c r="I5" i="56"/>
  <c r="D127" i="79" s="1"/>
  <c r="F5" i="56"/>
  <c r="D127" i="75" s="1"/>
  <c r="R4" i="56"/>
  <c r="D126" i="86" s="1"/>
  <c r="O4" i="56"/>
  <c r="D126" i="85" s="1"/>
  <c r="L4" i="56"/>
  <c r="D126" i="97" s="1"/>
  <c r="I4" i="56"/>
  <c r="D126" i="79" s="1"/>
  <c r="F4" i="56"/>
  <c r="D126" i="75" s="1"/>
  <c r="R3" i="56"/>
  <c r="O3" i="56"/>
  <c r="L3" i="56"/>
  <c r="I3" i="56"/>
  <c r="F3" i="56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J52" i="62"/>
  <c r="I52" i="62"/>
  <c r="C7" i="56" s="1"/>
  <c r="D129" i="22" s="1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AA710" i="55"/>
  <c r="Z710" i="55"/>
  <c r="Y710" i="55"/>
  <c r="X710" i="55"/>
  <c r="W710" i="55"/>
  <c r="V710" i="55"/>
  <c r="U710" i="55"/>
  <c r="T710" i="55"/>
  <c r="S710" i="55"/>
  <c r="R710" i="55"/>
  <c r="Q710" i="55"/>
  <c r="T16" i="89" s="1"/>
  <c r="P710" i="55"/>
  <c r="S16" i="89" s="1"/>
  <c r="O710" i="55"/>
  <c r="R16" i="89" s="1"/>
  <c r="N710" i="55"/>
  <c r="Q16" i="89" s="1"/>
  <c r="M710" i="55"/>
  <c r="P16" i="89" s="1"/>
  <c r="U16" i="89" s="1"/>
  <c r="L710" i="55"/>
  <c r="K710" i="55"/>
  <c r="I16" i="89" s="1"/>
  <c r="J710" i="55"/>
  <c r="H16" i="89" s="1"/>
  <c r="I710" i="55"/>
  <c r="G16" i="89" s="1"/>
  <c r="H710" i="55"/>
  <c r="F16" i="89" s="1"/>
  <c r="G710" i="55"/>
  <c r="E16" i="89" s="1"/>
  <c r="F710" i="55"/>
  <c r="D16" i="89" s="1"/>
  <c r="J16" i="89" s="1"/>
  <c r="V16" i="89" s="1"/>
  <c r="W16" i="89" s="1"/>
  <c r="F703" i="55"/>
  <c r="AE51" i="85" s="1"/>
  <c r="AD51" i="85" s="1"/>
  <c r="AO702" i="55"/>
  <c r="AN702" i="55"/>
  <c r="AM702" i="55"/>
  <c r="AL702" i="55"/>
  <c r="AK702" i="55"/>
  <c r="AJ702" i="55"/>
  <c r="AI702" i="55"/>
  <c r="AH702" i="55"/>
  <c r="AG702" i="55"/>
  <c r="AF702" i="55"/>
  <c r="AE702" i="55"/>
  <c r="AD702" i="55"/>
  <c r="AC702" i="55"/>
  <c r="AB702" i="55"/>
  <c r="AA702" i="55"/>
  <c r="Z702" i="55"/>
  <c r="Y702" i="55"/>
  <c r="X702" i="55"/>
  <c r="W702" i="55"/>
  <c r="V702" i="55"/>
  <c r="U702" i="55"/>
  <c r="T702" i="55"/>
  <c r="AC51" i="85" s="1"/>
  <c r="S702" i="55"/>
  <c r="R702" i="55"/>
  <c r="AA51" i="85" s="1"/>
  <c r="Q702" i="55"/>
  <c r="Y51" i="85" s="1"/>
  <c r="P702" i="55"/>
  <c r="X51" i="85" s="1"/>
  <c r="O702" i="55"/>
  <c r="W51" i="85" s="1"/>
  <c r="N702" i="55"/>
  <c r="V51" i="85" s="1"/>
  <c r="M702" i="55"/>
  <c r="U51" i="85" s="1"/>
  <c r="L702" i="55"/>
  <c r="N51" i="85" s="1"/>
  <c r="AB51" i="85" s="1"/>
  <c r="K702" i="55"/>
  <c r="I51" i="85" s="1"/>
  <c r="J702" i="55"/>
  <c r="H51" i="85" s="1"/>
  <c r="I702" i="55"/>
  <c r="G51" i="85" s="1"/>
  <c r="H702" i="55"/>
  <c r="F51" i="85" s="1"/>
  <c r="G702" i="55"/>
  <c r="E51" i="85" s="1"/>
  <c r="F702" i="55"/>
  <c r="D51" i="85" s="1"/>
  <c r="F701" i="55"/>
  <c r="AE13" i="85" s="1"/>
  <c r="AO700" i="55"/>
  <c r="AN700" i="55"/>
  <c r="AM700" i="55"/>
  <c r="AL700" i="55"/>
  <c r="AK700" i="55"/>
  <c r="AJ700" i="55"/>
  <c r="AI700" i="55"/>
  <c r="AH700" i="55"/>
  <c r="AG700" i="55"/>
  <c r="AF700" i="55"/>
  <c r="AE700" i="55"/>
  <c r="AD700" i="55"/>
  <c r="AC700" i="55"/>
  <c r="AB700" i="55"/>
  <c r="AA700" i="55"/>
  <c r="Z700" i="55"/>
  <c r="Y700" i="55"/>
  <c r="X700" i="55"/>
  <c r="W700" i="55"/>
  <c r="V700" i="55"/>
  <c r="U700" i="55"/>
  <c r="T700" i="55"/>
  <c r="AC13" i="85" s="1"/>
  <c r="AC108" i="85" s="1"/>
  <c r="S700" i="55"/>
  <c r="R700" i="55"/>
  <c r="AA13" i="85" s="1"/>
  <c r="AA108" i="85" s="1"/>
  <c r="Q700" i="55"/>
  <c r="Y13" i="85" s="1"/>
  <c r="Y108" i="85" s="1"/>
  <c r="P700" i="55"/>
  <c r="X13" i="85" s="1"/>
  <c r="X108" i="85" s="1"/>
  <c r="O700" i="55"/>
  <c r="W13" i="85" s="1"/>
  <c r="W108" i="85" s="1"/>
  <c r="N700" i="55"/>
  <c r="V13" i="85" s="1"/>
  <c r="V108" i="85" s="1"/>
  <c r="M700" i="55"/>
  <c r="U13" i="85" s="1"/>
  <c r="L700" i="55"/>
  <c r="N13" i="85" s="1"/>
  <c r="K700" i="55"/>
  <c r="I13" i="85" s="1"/>
  <c r="I108" i="85" s="1"/>
  <c r="J700" i="55"/>
  <c r="H13" i="85" s="1"/>
  <c r="H108" i="85" s="1"/>
  <c r="I700" i="55"/>
  <c r="G13" i="85" s="1"/>
  <c r="G108" i="85" s="1"/>
  <c r="H700" i="55"/>
  <c r="F13" i="85" s="1"/>
  <c r="F108" i="85" s="1"/>
  <c r="G700" i="55"/>
  <c r="E13" i="85" s="1"/>
  <c r="E108" i="85" s="1"/>
  <c r="F700" i="55"/>
  <c r="D13" i="85" s="1"/>
  <c r="F696" i="55"/>
  <c r="AE13" i="97" s="1"/>
  <c r="AO695" i="55"/>
  <c r="AN695" i="55"/>
  <c r="AM695" i="55"/>
  <c r="AL695" i="55"/>
  <c r="AK695" i="55"/>
  <c r="AJ695" i="55"/>
  <c r="AI695" i="55"/>
  <c r="AH695" i="55"/>
  <c r="AG695" i="55"/>
  <c r="AF695" i="55"/>
  <c r="AE695" i="55"/>
  <c r="AD695" i="55"/>
  <c r="AC695" i="55"/>
  <c r="AB695" i="55"/>
  <c r="AA695" i="55"/>
  <c r="Z695" i="55"/>
  <c r="Y695" i="55"/>
  <c r="X695" i="55"/>
  <c r="W695" i="55"/>
  <c r="V695" i="55"/>
  <c r="U695" i="55"/>
  <c r="T695" i="55"/>
  <c r="AC13" i="97" s="1"/>
  <c r="AC108" i="97" s="1"/>
  <c r="S695" i="55"/>
  <c r="R695" i="55"/>
  <c r="AA13" i="97" s="1"/>
  <c r="Q695" i="55"/>
  <c r="Y13" i="97" s="1"/>
  <c r="P695" i="55"/>
  <c r="X13" i="97" s="1"/>
  <c r="O695" i="55"/>
  <c r="W13" i="97" s="1"/>
  <c r="N695" i="55"/>
  <c r="V13" i="97" s="1"/>
  <c r="M695" i="55"/>
  <c r="U13" i="97" s="1"/>
  <c r="L695" i="55"/>
  <c r="N13" i="97" s="1"/>
  <c r="K695" i="55"/>
  <c r="I13" i="97" s="1"/>
  <c r="J695" i="55"/>
  <c r="H13" i="97" s="1"/>
  <c r="I695" i="55"/>
  <c r="G13" i="97" s="1"/>
  <c r="H695" i="55"/>
  <c r="F13" i="97" s="1"/>
  <c r="G695" i="55"/>
  <c r="E13" i="97" s="1"/>
  <c r="F695" i="55"/>
  <c r="D13" i="97" s="1"/>
  <c r="F693" i="55"/>
  <c r="AE51" i="79" s="1"/>
  <c r="AD51" i="79" s="1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AC51" i="79" s="1"/>
  <c r="S692" i="55"/>
  <c r="R692" i="55"/>
  <c r="AA51" i="79" s="1"/>
  <c r="Q692" i="55"/>
  <c r="Y51" i="79" s="1"/>
  <c r="P692" i="55"/>
  <c r="X51" i="79" s="1"/>
  <c r="O692" i="55"/>
  <c r="W51" i="79" s="1"/>
  <c r="N692" i="55"/>
  <c r="V51" i="79" s="1"/>
  <c r="M692" i="55"/>
  <c r="U51" i="79" s="1"/>
  <c r="L692" i="55"/>
  <c r="N51" i="79" s="1"/>
  <c r="AB51" i="79" s="1"/>
  <c r="K692" i="55"/>
  <c r="I51" i="79" s="1"/>
  <c r="J692" i="55"/>
  <c r="H51" i="79" s="1"/>
  <c r="I692" i="55"/>
  <c r="G51" i="79" s="1"/>
  <c r="H692" i="55"/>
  <c r="F51" i="79" s="1"/>
  <c r="G692" i="55"/>
  <c r="E51" i="79" s="1"/>
  <c r="F692" i="55"/>
  <c r="D51" i="79" s="1"/>
  <c r="F691" i="55"/>
  <c r="AE13" i="79" s="1"/>
  <c r="AO690" i="55"/>
  <c r="AN690" i="55"/>
  <c r="AM690" i="55"/>
  <c r="AL690" i="55"/>
  <c r="AK690" i="55"/>
  <c r="AJ690" i="55"/>
  <c r="AI690" i="55"/>
  <c r="AH690" i="55"/>
  <c r="AG690" i="55"/>
  <c r="AF690" i="55"/>
  <c r="AE690" i="55"/>
  <c r="AD690" i="55"/>
  <c r="AC690" i="55"/>
  <c r="AB690" i="55"/>
  <c r="AA690" i="55"/>
  <c r="Z690" i="55"/>
  <c r="Y690" i="55"/>
  <c r="X690" i="55"/>
  <c r="W690" i="55"/>
  <c r="V690" i="55"/>
  <c r="U690" i="55"/>
  <c r="T690" i="55"/>
  <c r="AC13" i="79" s="1"/>
  <c r="S690" i="55"/>
  <c r="R690" i="55"/>
  <c r="AA13" i="79" s="1"/>
  <c r="Q690" i="55"/>
  <c r="Y13" i="79" s="1"/>
  <c r="P690" i="55"/>
  <c r="X13" i="79" s="1"/>
  <c r="O690" i="55"/>
  <c r="W13" i="79" s="1"/>
  <c r="N690" i="55"/>
  <c r="V13" i="79" s="1"/>
  <c r="M690" i="55"/>
  <c r="U13" i="79" s="1"/>
  <c r="L690" i="55"/>
  <c r="N13" i="79" s="1"/>
  <c r="K690" i="55"/>
  <c r="I13" i="79" s="1"/>
  <c r="J690" i="55"/>
  <c r="H13" i="79" s="1"/>
  <c r="I690" i="55"/>
  <c r="G13" i="79" s="1"/>
  <c r="H690" i="55"/>
  <c r="F13" i="79" s="1"/>
  <c r="G690" i="55"/>
  <c r="E13" i="79" s="1"/>
  <c r="F690" i="55"/>
  <c r="D13" i="79" s="1"/>
  <c r="F683" i="55"/>
  <c r="AE51" i="22" s="1"/>
  <c r="AD51" i="22" s="1"/>
  <c r="AO682" i="55"/>
  <c r="AN682" i="55"/>
  <c r="AM682" i="55"/>
  <c r="AL682" i="55"/>
  <c r="AK682" i="55"/>
  <c r="AJ682" i="55"/>
  <c r="AI682" i="55"/>
  <c r="AH682" i="55"/>
  <c r="AG682" i="55"/>
  <c r="AF682" i="55"/>
  <c r="AE682" i="55"/>
  <c r="AD682" i="55"/>
  <c r="AC682" i="55"/>
  <c r="AB682" i="55"/>
  <c r="AA682" i="55"/>
  <c r="Z682" i="55"/>
  <c r="Y682" i="55"/>
  <c r="X682" i="55"/>
  <c r="W682" i="55"/>
  <c r="V682" i="55"/>
  <c r="U682" i="55"/>
  <c r="T682" i="55"/>
  <c r="AC51" i="22" s="1"/>
  <c r="S682" i="55"/>
  <c r="R682" i="55"/>
  <c r="AA51" i="22" s="1"/>
  <c r="Q682" i="55"/>
  <c r="Y51" i="22" s="1"/>
  <c r="P682" i="55"/>
  <c r="X51" i="22" s="1"/>
  <c r="O682" i="55"/>
  <c r="W51" i="22" s="1"/>
  <c r="N682" i="55"/>
  <c r="V51" i="22" s="1"/>
  <c r="M682" i="55"/>
  <c r="U51" i="22" s="1"/>
  <c r="L682" i="55"/>
  <c r="N51" i="22" s="1"/>
  <c r="AB51" i="22" s="1"/>
  <c r="K682" i="55"/>
  <c r="I51" i="22" s="1"/>
  <c r="J682" i="55"/>
  <c r="H51" i="22" s="1"/>
  <c r="I682" i="55"/>
  <c r="G51" i="22" s="1"/>
  <c r="H682" i="55"/>
  <c r="F51" i="22" s="1"/>
  <c r="G682" i="55"/>
  <c r="E51" i="22" s="1"/>
  <c r="F682" i="55"/>
  <c r="D51" i="22" s="1"/>
  <c r="F681" i="55"/>
  <c r="AO680" i="55"/>
  <c r="AN680" i="55"/>
  <c r="AM680" i="55"/>
  <c r="AL680" i="55"/>
  <c r="AK680" i="55"/>
  <c r="AJ680" i="55"/>
  <c r="AI680" i="55"/>
  <c r="AH680" i="55"/>
  <c r="AG680" i="55"/>
  <c r="AF680" i="55"/>
  <c r="AE680" i="55"/>
  <c r="AD680" i="55"/>
  <c r="AC680" i="55"/>
  <c r="AB680" i="55"/>
  <c r="AA680" i="55"/>
  <c r="Z680" i="55"/>
  <c r="Y680" i="55"/>
  <c r="X680" i="55"/>
  <c r="W680" i="55"/>
  <c r="V680" i="55"/>
  <c r="U680" i="55"/>
  <c r="T680" i="55"/>
  <c r="AC13" i="22" s="1"/>
  <c r="AC108" i="22" s="1"/>
  <c r="S680" i="55"/>
  <c r="R680" i="55"/>
  <c r="Q680" i="55"/>
  <c r="P680" i="55"/>
  <c r="O680" i="55"/>
  <c r="N680" i="55"/>
  <c r="M680" i="55"/>
  <c r="L680" i="55"/>
  <c r="K680" i="55"/>
  <c r="I13" i="22" s="1"/>
  <c r="J680" i="55"/>
  <c r="H13" i="22" s="1"/>
  <c r="I680" i="55"/>
  <c r="G13" i="22" s="1"/>
  <c r="H680" i="55"/>
  <c r="F13" i="22" s="1"/>
  <c r="G680" i="55"/>
  <c r="E13" i="22" s="1"/>
  <c r="F680" i="55"/>
  <c r="Z598" i="55"/>
  <c r="Y598" i="55"/>
  <c r="X598" i="55"/>
  <c r="W598" i="55"/>
  <c r="V598" i="55"/>
  <c r="U598" i="55"/>
  <c r="T598" i="55"/>
  <c r="S598" i="55"/>
  <c r="R598" i="55"/>
  <c r="Q598" i="55"/>
  <c r="T15" i="89" s="1"/>
  <c r="P598" i="55"/>
  <c r="S15" i="89" s="1"/>
  <c r="O598" i="55"/>
  <c r="R15" i="89" s="1"/>
  <c r="N598" i="55"/>
  <c r="Q15" i="89" s="1"/>
  <c r="M598" i="55"/>
  <c r="P15" i="89" s="1"/>
  <c r="U15" i="89" s="1"/>
  <c r="L598" i="55"/>
  <c r="K598" i="55"/>
  <c r="I15" i="89" s="1"/>
  <c r="J598" i="55"/>
  <c r="H15" i="89" s="1"/>
  <c r="I598" i="55"/>
  <c r="G15" i="89" s="1"/>
  <c r="H598" i="55"/>
  <c r="F15" i="89" s="1"/>
  <c r="G598" i="55"/>
  <c r="E15" i="89" s="1"/>
  <c r="F598" i="55"/>
  <c r="D15" i="89" s="1"/>
  <c r="F591" i="55"/>
  <c r="AE50" i="85" s="1"/>
  <c r="AD50" i="85" s="1"/>
  <c r="Z590" i="55"/>
  <c r="Y590" i="55"/>
  <c r="X590" i="55"/>
  <c r="W590" i="55"/>
  <c r="V590" i="55"/>
  <c r="U590" i="55"/>
  <c r="T590" i="55"/>
  <c r="AC50" i="85" s="1"/>
  <c r="S590" i="55"/>
  <c r="R590" i="55"/>
  <c r="AA50" i="85" s="1"/>
  <c r="Q590" i="55"/>
  <c r="Y50" i="85" s="1"/>
  <c r="P590" i="55"/>
  <c r="X50" i="85" s="1"/>
  <c r="O590" i="55"/>
  <c r="W50" i="85" s="1"/>
  <c r="N590" i="55"/>
  <c r="V50" i="85" s="1"/>
  <c r="M590" i="55"/>
  <c r="U50" i="85" s="1"/>
  <c r="L590" i="55"/>
  <c r="N50" i="85" s="1"/>
  <c r="AB50" i="85" s="1"/>
  <c r="K590" i="55"/>
  <c r="I50" i="85" s="1"/>
  <c r="J590" i="55"/>
  <c r="H50" i="85" s="1"/>
  <c r="I590" i="55"/>
  <c r="G50" i="85" s="1"/>
  <c r="H590" i="55"/>
  <c r="F50" i="85" s="1"/>
  <c r="G590" i="55"/>
  <c r="E50" i="85" s="1"/>
  <c r="F590" i="55"/>
  <c r="D50" i="85" s="1"/>
  <c r="F589" i="55"/>
  <c r="AE12" i="85" s="1"/>
  <c r="AO588" i="55"/>
  <c r="AN588" i="55"/>
  <c r="AM588" i="55"/>
  <c r="AL588" i="55"/>
  <c r="AK588" i="55"/>
  <c r="AJ588" i="55"/>
  <c r="AI588" i="55"/>
  <c r="AH588" i="55"/>
  <c r="AG588" i="55"/>
  <c r="AF588" i="55"/>
  <c r="AE588" i="55"/>
  <c r="AD588" i="55"/>
  <c r="AC588" i="55"/>
  <c r="AB588" i="55"/>
  <c r="AA588" i="55"/>
  <c r="Z588" i="55"/>
  <c r="Y588" i="55"/>
  <c r="X588" i="55"/>
  <c r="W588" i="55"/>
  <c r="V588" i="55"/>
  <c r="U588" i="55"/>
  <c r="T588" i="55"/>
  <c r="AC12" i="85" s="1"/>
  <c r="AC107" i="85" s="1"/>
  <c r="S588" i="55"/>
  <c r="R588" i="55"/>
  <c r="AA12" i="85" s="1"/>
  <c r="AA107" i="85" s="1"/>
  <c r="Q588" i="55"/>
  <c r="Y12" i="85" s="1"/>
  <c r="Y107" i="85" s="1"/>
  <c r="P588" i="55"/>
  <c r="X12" i="85" s="1"/>
  <c r="X107" i="85" s="1"/>
  <c r="O588" i="55"/>
  <c r="W12" i="85" s="1"/>
  <c r="W107" i="85" s="1"/>
  <c r="N588" i="55"/>
  <c r="V12" i="85" s="1"/>
  <c r="V107" i="85" s="1"/>
  <c r="M588" i="55"/>
  <c r="U12" i="85" s="1"/>
  <c r="L588" i="55"/>
  <c r="N12" i="85" s="1"/>
  <c r="K588" i="55"/>
  <c r="I12" i="85" s="1"/>
  <c r="I107" i="85" s="1"/>
  <c r="J588" i="55"/>
  <c r="H12" i="85" s="1"/>
  <c r="H107" i="85" s="1"/>
  <c r="I588" i="55"/>
  <c r="G12" i="85" s="1"/>
  <c r="G107" i="85" s="1"/>
  <c r="H588" i="55"/>
  <c r="F12" i="85" s="1"/>
  <c r="F107" i="85" s="1"/>
  <c r="G588" i="55"/>
  <c r="E12" i="85" s="1"/>
  <c r="E107" i="85" s="1"/>
  <c r="F588" i="55"/>
  <c r="D12" i="85" s="1"/>
  <c r="F581" i="55"/>
  <c r="AE50" i="79" s="1"/>
  <c r="AD50" i="79" s="1"/>
  <c r="Z580" i="55"/>
  <c r="Y580" i="55"/>
  <c r="X580" i="55"/>
  <c r="W580" i="55"/>
  <c r="V580" i="55"/>
  <c r="U580" i="55"/>
  <c r="T580" i="55"/>
  <c r="AC50" i="79" s="1"/>
  <c r="S580" i="55"/>
  <c r="R580" i="55"/>
  <c r="AA50" i="79" s="1"/>
  <c r="Q580" i="55"/>
  <c r="Y50" i="79" s="1"/>
  <c r="P580" i="55"/>
  <c r="X50" i="79" s="1"/>
  <c r="O580" i="55"/>
  <c r="W50" i="79" s="1"/>
  <c r="N580" i="55"/>
  <c r="V50" i="79" s="1"/>
  <c r="M580" i="55"/>
  <c r="U50" i="79" s="1"/>
  <c r="L580" i="55"/>
  <c r="N50" i="79" s="1"/>
  <c r="AB50" i="79" s="1"/>
  <c r="K580" i="55"/>
  <c r="I50" i="79" s="1"/>
  <c r="J580" i="55"/>
  <c r="H50" i="79" s="1"/>
  <c r="I580" i="55"/>
  <c r="G50" i="79" s="1"/>
  <c r="H580" i="55"/>
  <c r="F50" i="79" s="1"/>
  <c r="G580" i="55"/>
  <c r="E50" i="79" s="1"/>
  <c r="F580" i="55"/>
  <c r="D50" i="79" s="1"/>
  <c r="F579" i="55"/>
  <c r="AE12" i="79" s="1"/>
  <c r="Z578" i="55"/>
  <c r="Y578" i="55"/>
  <c r="X578" i="55"/>
  <c r="W578" i="55"/>
  <c r="V578" i="55"/>
  <c r="U578" i="55"/>
  <c r="T578" i="55"/>
  <c r="AC12" i="79" s="1"/>
  <c r="S578" i="55"/>
  <c r="R578" i="55"/>
  <c r="AA12" i="79" s="1"/>
  <c r="Q578" i="55"/>
  <c r="Y12" i="79" s="1"/>
  <c r="P578" i="55"/>
  <c r="X12" i="79" s="1"/>
  <c r="O578" i="55"/>
  <c r="W12" i="79" s="1"/>
  <c r="N578" i="55"/>
  <c r="V12" i="79" s="1"/>
  <c r="M578" i="55"/>
  <c r="U12" i="79" s="1"/>
  <c r="L578" i="55"/>
  <c r="N12" i="79" s="1"/>
  <c r="K578" i="55"/>
  <c r="I12" i="79" s="1"/>
  <c r="J578" i="55"/>
  <c r="H12" i="79" s="1"/>
  <c r="I578" i="55"/>
  <c r="G12" i="79" s="1"/>
  <c r="H578" i="55"/>
  <c r="F12" i="79" s="1"/>
  <c r="G578" i="55"/>
  <c r="E12" i="79" s="1"/>
  <c r="F578" i="55"/>
  <c r="D12" i="79" s="1"/>
  <c r="F576" i="55"/>
  <c r="AE50" i="75" s="1"/>
  <c r="AD50" i="75" s="1"/>
  <c r="Z575" i="55"/>
  <c r="Y575" i="55"/>
  <c r="X575" i="55"/>
  <c r="W575" i="55"/>
  <c r="V575" i="55"/>
  <c r="U575" i="55"/>
  <c r="T575" i="55"/>
  <c r="AC50" i="75" s="1"/>
  <c r="S575" i="55"/>
  <c r="R575" i="55"/>
  <c r="AA50" i="75" s="1"/>
  <c r="Q575" i="55"/>
  <c r="Y50" i="75" s="1"/>
  <c r="P575" i="55"/>
  <c r="X50" i="75" s="1"/>
  <c r="O575" i="55"/>
  <c r="W50" i="75" s="1"/>
  <c r="N575" i="55"/>
  <c r="V50" i="75" s="1"/>
  <c r="M575" i="55"/>
  <c r="U50" i="75" s="1"/>
  <c r="L575" i="55"/>
  <c r="N50" i="75" s="1"/>
  <c r="AB50" i="75" s="1"/>
  <c r="K575" i="55"/>
  <c r="I50" i="75" s="1"/>
  <c r="J575" i="55"/>
  <c r="H50" i="75" s="1"/>
  <c r="I575" i="55"/>
  <c r="G50" i="75" s="1"/>
  <c r="H575" i="55"/>
  <c r="F50" i="75" s="1"/>
  <c r="G575" i="55"/>
  <c r="E50" i="75" s="1"/>
  <c r="F575" i="55"/>
  <c r="D50" i="75" s="1"/>
  <c r="F574" i="55"/>
  <c r="AE12" i="75" s="1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AC12" i="75" s="1"/>
  <c r="AC107" i="75" s="1"/>
  <c r="S573" i="55"/>
  <c r="R573" i="55"/>
  <c r="AA12" i="75" s="1"/>
  <c r="Q573" i="55"/>
  <c r="Y12" i="75" s="1"/>
  <c r="P573" i="55"/>
  <c r="X12" i="75" s="1"/>
  <c r="O573" i="55"/>
  <c r="W12" i="75" s="1"/>
  <c r="N573" i="55"/>
  <c r="V12" i="75" s="1"/>
  <c r="M573" i="55"/>
  <c r="U12" i="75" s="1"/>
  <c r="L573" i="55"/>
  <c r="N12" i="75" s="1"/>
  <c r="K573" i="55"/>
  <c r="I12" i="75" s="1"/>
  <c r="J573" i="55"/>
  <c r="H12" i="75" s="1"/>
  <c r="I573" i="55"/>
  <c r="G12" i="75" s="1"/>
  <c r="H573" i="55"/>
  <c r="F12" i="75" s="1"/>
  <c r="G573" i="55"/>
  <c r="E12" i="75" s="1"/>
  <c r="F573" i="55"/>
  <c r="D12" i="75" s="1"/>
  <c r="F571" i="55"/>
  <c r="AE50" i="22" s="1"/>
  <c r="AD50" i="22" s="1"/>
  <c r="AA570" i="55"/>
  <c r="Z570" i="55"/>
  <c r="Y570" i="55"/>
  <c r="X570" i="55"/>
  <c r="W570" i="55"/>
  <c r="V570" i="55"/>
  <c r="U570" i="55"/>
  <c r="T570" i="55"/>
  <c r="AC50" i="22" s="1"/>
  <c r="S570" i="55"/>
  <c r="R570" i="55"/>
  <c r="AA50" i="22" s="1"/>
  <c r="Q570" i="55"/>
  <c r="Y50" i="22" s="1"/>
  <c r="P570" i="55"/>
  <c r="X50" i="22" s="1"/>
  <c r="O570" i="55"/>
  <c r="W50" i="22" s="1"/>
  <c r="N570" i="55"/>
  <c r="V50" i="22" s="1"/>
  <c r="M570" i="55"/>
  <c r="U50" i="22" s="1"/>
  <c r="AF50" i="22" s="1"/>
  <c r="L570" i="55"/>
  <c r="N50" i="22" s="1"/>
  <c r="AB50" i="22" s="1"/>
  <c r="K570" i="55"/>
  <c r="I50" i="22" s="1"/>
  <c r="J570" i="55"/>
  <c r="H50" i="22" s="1"/>
  <c r="I570" i="55"/>
  <c r="G50" i="22" s="1"/>
  <c r="H570" i="55"/>
  <c r="F50" i="22" s="1"/>
  <c r="G570" i="55"/>
  <c r="E50" i="22" s="1"/>
  <c r="F570" i="55"/>
  <c r="D50" i="22" s="1"/>
  <c r="F569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AC12" i="22" s="1"/>
  <c r="AC107" i="22" s="1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G568" i="55"/>
  <c r="F568" i="55"/>
  <c r="Z445" i="55"/>
  <c r="Y445" i="55"/>
  <c r="X445" i="55"/>
  <c r="W445" i="55"/>
  <c r="V445" i="55"/>
  <c r="U445" i="55"/>
  <c r="T445" i="55"/>
  <c r="S445" i="55"/>
  <c r="R445" i="55"/>
  <c r="Q445" i="55"/>
  <c r="T14" i="89" s="1"/>
  <c r="P445" i="55"/>
  <c r="S14" i="89" s="1"/>
  <c r="O445" i="55"/>
  <c r="R14" i="89" s="1"/>
  <c r="N445" i="55"/>
  <c r="Q14" i="89" s="1"/>
  <c r="M445" i="55"/>
  <c r="P14" i="89" s="1"/>
  <c r="U14" i="89" s="1"/>
  <c r="L445" i="55"/>
  <c r="K445" i="55"/>
  <c r="I14" i="89" s="1"/>
  <c r="J445" i="55"/>
  <c r="H14" i="89" s="1"/>
  <c r="I445" i="55"/>
  <c r="G14" i="89" s="1"/>
  <c r="H445" i="55"/>
  <c r="F14" i="89" s="1"/>
  <c r="G445" i="55"/>
  <c r="E14" i="89" s="1"/>
  <c r="F445" i="55"/>
  <c r="D14" i="89" s="1"/>
  <c r="F438" i="55"/>
  <c r="AE49" i="85" s="1"/>
  <c r="AD49" i="85" s="1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AC49" i="85" s="1"/>
  <c r="S437" i="55"/>
  <c r="R437" i="55"/>
  <c r="AA49" i="85" s="1"/>
  <c r="Q437" i="55"/>
  <c r="Y49" i="85" s="1"/>
  <c r="P437" i="55"/>
  <c r="X49" i="85" s="1"/>
  <c r="O437" i="55"/>
  <c r="W49" i="85" s="1"/>
  <c r="N437" i="55"/>
  <c r="V49" i="85" s="1"/>
  <c r="M437" i="55"/>
  <c r="U49" i="85" s="1"/>
  <c r="L437" i="55"/>
  <c r="N49" i="85" s="1"/>
  <c r="AB49" i="85" s="1"/>
  <c r="K437" i="55"/>
  <c r="I49" i="85" s="1"/>
  <c r="J437" i="55"/>
  <c r="H49" i="85" s="1"/>
  <c r="I437" i="55"/>
  <c r="G49" i="85" s="1"/>
  <c r="H437" i="55"/>
  <c r="F49" i="85" s="1"/>
  <c r="G437" i="55"/>
  <c r="E49" i="85" s="1"/>
  <c r="F437" i="55"/>
  <c r="D49" i="85" s="1"/>
  <c r="F436" i="55"/>
  <c r="AE11" i="85" s="1"/>
  <c r="AO435" i="55"/>
  <c r="AN435" i="55"/>
  <c r="AM435" i="55"/>
  <c r="AL435" i="55"/>
  <c r="AK435" i="55"/>
  <c r="AJ435" i="55"/>
  <c r="AI435" i="55"/>
  <c r="AH435" i="55"/>
  <c r="AG435" i="55"/>
  <c r="AF435" i="55"/>
  <c r="AE435" i="55"/>
  <c r="AD435" i="55"/>
  <c r="AC435" i="55"/>
  <c r="AB435" i="55"/>
  <c r="AA435" i="55"/>
  <c r="Z435" i="55"/>
  <c r="Y435" i="55"/>
  <c r="X435" i="55"/>
  <c r="W435" i="55"/>
  <c r="V435" i="55"/>
  <c r="U435" i="55"/>
  <c r="T435" i="55"/>
  <c r="AC11" i="85" s="1"/>
  <c r="AC106" i="85" s="1"/>
  <c r="S435" i="55"/>
  <c r="R435" i="55"/>
  <c r="AA11" i="85" s="1"/>
  <c r="AA106" i="85" s="1"/>
  <c r="Q435" i="55"/>
  <c r="Y11" i="85" s="1"/>
  <c r="Y106" i="85" s="1"/>
  <c r="P435" i="55"/>
  <c r="X11" i="85" s="1"/>
  <c r="X106" i="85" s="1"/>
  <c r="O435" i="55"/>
  <c r="W11" i="85" s="1"/>
  <c r="W106" i="85" s="1"/>
  <c r="N435" i="55"/>
  <c r="V11" i="85" s="1"/>
  <c r="V106" i="85" s="1"/>
  <c r="M435" i="55"/>
  <c r="U11" i="85" s="1"/>
  <c r="L435" i="55"/>
  <c r="N11" i="85" s="1"/>
  <c r="K435" i="55"/>
  <c r="I11" i="85" s="1"/>
  <c r="I106" i="85" s="1"/>
  <c r="J435" i="55"/>
  <c r="H11" i="85" s="1"/>
  <c r="H106" i="85" s="1"/>
  <c r="I435" i="55"/>
  <c r="G11" i="85" s="1"/>
  <c r="G106" i="85" s="1"/>
  <c r="H435" i="55"/>
  <c r="F11" i="85" s="1"/>
  <c r="F106" i="85" s="1"/>
  <c r="G435" i="55"/>
  <c r="E11" i="85" s="1"/>
  <c r="E106" i="85" s="1"/>
  <c r="F435" i="55"/>
  <c r="D11" i="85" s="1"/>
  <c r="F428" i="55"/>
  <c r="AE49" i="79" s="1"/>
  <c r="AD49" i="79" s="1"/>
  <c r="AO427" i="55"/>
  <c r="AN427" i="55"/>
  <c r="AM427" i="55"/>
  <c r="AL427" i="55"/>
  <c r="AK427" i="55"/>
  <c r="AJ427" i="55"/>
  <c r="AI427" i="55"/>
  <c r="AH427" i="55"/>
  <c r="AG427" i="55"/>
  <c r="AF427" i="55"/>
  <c r="AE427" i="55"/>
  <c r="AD427" i="55"/>
  <c r="AC427" i="55"/>
  <c r="AB427" i="55"/>
  <c r="AA427" i="55"/>
  <c r="Z427" i="55"/>
  <c r="Y427" i="55"/>
  <c r="X427" i="55"/>
  <c r="W427" i="55"/>
  <c r="V427" i="55"/>
  <c r="U427" i="55"/>
  <c r="T427" i="55"/>
  <c r="AC49" i="79" s="1"/>
  <c r="S427" i="55"/>
  <c r="R427" i="55"/>
  <c r="AA49" i="79" s="1"/>
  <c r="Q427" i="55"/>
  <c r="Y49" i="79" s="1"/>
  <c r="P427" i="55"/>
  <c r="X49" i="79" s="1"/>
  <c r="O427" i="55"/>
  <c r="W49" i="79" s="1"/>
  <c r="N427" i="55"/>
  <c r="V49" i="79" s="1"/>
  <c r="M427" i="55"/>
  <c r="U49" i="79" s="1"/>
  <c r="AF49" i="79" s="1"/>
  <c r="L427" i="55"/>
  <c r="N49" i="79" s="1"/>
  <c r="AB49" i="79" s="1"/>
  <c r="K427" i="55"/>
  <c r="I49" i="79" s="1"/>
  <c r="J427" i="55"/>
  <c r="H49" i="79" s="1"/>
  <c r="I427" i="55"/>
  <c r="G49" i="79" s="1"/>
  <c r="H427" i="55"/>
  <c r="F49" i="79" s="1"/>
  <c r="G427" i="55"/>
  <c r="E49" i="79" s="1"/>
  <c r="F427" i="55"/>
  <c r="D49" i="79" s="1"/>
  <c r="F426" i="55"/>
  <c r="AE11" i="79" s="1"/>
  <c r="AO425" i="55"/>
  <c r="AN425" i="55"/>
  <c r="AM425" i="55"/>
  <c r="AL425" i="55"/>
  <c r="AK425" i="55"/>
  <c r="AJ425" i="55"/>
  <c r="AI425" i="55"/>
  <c r="AH425" i="55"/>
  <c r="AG425" i="55"/>
  <c r="AF425" i="55"/>
  <c r="AE425" i="55"/>
  <c r="AD425" i="55"/>
  <c r="AC425" i="55"/>
  <c r="AB425" i="55"/>
  <c r="AA425" i="55"/>
  <c r="Z425" i="55"/>
  <c r="Y425" i="55"/>
  <c r="X425" i="55"/>
  <c r="W425" i="55"/>
  <c r="V425" i="55"/>
  <c r="U425" i="55"/>
  <c r="T425" i="55"/>
  <c r="AC11" i="79" s="1"/>
  <c r="S425" i="55"/>
  <c r="R425" i="55"/>
  <c r="AA11" i="79" s="1"/>
  <c r="Q425" i="55"/>
  <c r="Y11" i="79" s="1"/>
  <c r="P425" i="55"/>
  <c r="X11" i="79" s="1"/>
  <c r="O425" i="55"/>
  <c r="W11" i="79" s="1"/>
  <c r="N425" i="55"/>
  <c r="V11" i="79" s="1"/>
  <c r="M425" i="55"/>
  <c r="U11" i="79" s="1"/>
  <c r="L425" i="55"/>
  <c r="N11" i="79" s="1"/>
  <c r="K425" i="55"/>
  <c r="I11" i="79" s="1"/>
  <c r="J425" i="55"/>
  <c r="H11" i="79" s="1"/>
  <c r="I425" i="55"/>
  <c r="G11" i="79" s="1"/>
  <c r="H425" i="55"/>
  <c r="F11" i="79" s="1"/>
  <c r="G425" i="55"/>
  <c r="E11" i="79" s="1"/>
  <c r="F425" i="55"/>
  <c r="D11" i="79" s="1"/>
  <c r="F418" i="55"/>
  <c r="AE49" i="22" s="1"/>
  <c r="AD49" i="22" s="1"/>
  <c r="AO417" i="55"/>
  <c r="AN417" i="55"/>
  <c r="AM417" i="55"/>
  <c r="AL417" i="55"/>
  <c r="AK417" i="55"/>
  <c r="AJ417" i="55"/>
  <c r="AI417" i="55"/>
  <c r="AH417" i="55"/>
  <c r="AG417" i="55"/>
  <c r="AF417" i="55"/>
  <c r="AE417" i="55"/>
  <c r="AD417" i="55"/>
  <c r="AC417" i="55"/>
  <c r="AB417" i="55"/>
  <c r="AA417" i="55"/>
  <c r="Z417" i="55"/>
  <c r="Y417" i="55"/>
  <c r="X417" i="55"/>
  <c r="W417" i="55"/>
  <c r="V417" i="55"/>
  <c r="U417" i="55"/>
  <c r="T417" i="55"/>
  <c r="AC49" i="22" s="1"/>
  <c r="S417" i="55"/>
  <c r="R417" i="55"/>
  <c r="AA49" i="22" s="1"/>
  <c r="Q417" i="55"/>
  <c r="Y49" i="22" s="1"/>
  <c r="P417" i="55"/>
  <c r="X49" i="22" s="1"/>
  <c r="O417" i="55"/>
  <c r="W49" i="22" s="1"/>
  <c r="N417" i="55"/>
  <c r="V49" i="22" s="1"/>
  <c r="M417" i="55"/>
  <c r="U49" i="22" s="1"/>
  <c r="L417" i="55"/>
  <c r="N49" i="22" s="1"/>
  <c r="AB49" i="22" s="1"/>
  <c r="K417" i="55"/>
  <c r="I49" i="22" s="1"/>
  <c r="J417" i="55"/>
  <c r="H49" i="22" s="1"/>
  <c r="I417" i="55"/>
  <c r="G49" i="22" s="1"/>
  <c r="H417" i="55"/>
  <c r="F49" i="22" s="1"/>
  <c r="G417" i="55"/>
  <c r="E49" i="22" s="1"/>
  <c r="F417" i="55"/>
  <c r="D49" i="22" s="1"/>
  <c r="F416" i="55"/>
  <c r="AO415" i="55"/>
  <c r="AN415" i="55"/>
  <c r="AM415" i="55"/>
  <c r="AL415" i="55"/>
  <c r="AK415" i="55"/>
  <c r="AJ415" i="55"/>
  <c r="AI415" i="55"/>
  <c r="AH415" i="55"/>
  <c r="AG415" i="55"/>
  <c r="AF415" i="55"/>
  <c r="AE415" i="55"/>
  <c r="AD415" i="55"/>
  <c r="AC415" i="55"/>
  <c r="AB415" i="55"/>
  <c r="AA415" i="55"/>
  <c r="Z415" i="55"/>
  <c r="Y415" i="55"/>
  <c r="X415" i="55"/>
  <c r="W415" i="55"/>
  <c r="V415" i="55"/>
  <c r="U415" i="55"/>
  <c r="T415" i="55"/>
  <c r="AC11" i="22" s="1"/>
  <c r="AC106" i="22" s="1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G415" i="55"/>
  <c r="F415" i="55"/>
  <c r="AA284" i="55"/>
  <c r="Z284" i="55"/>
  <c r="Y284" i="55"/>
  <c r="X284" i="55"/>
  <c r="W284" i="55"/>
  <c r="V284" i="55"/>
  <c r="U284" i="55"/>
  <c r="T284" i="55"/>
  <c r="S284" i="55"/>
  <c r="R284" i="55"/>
  <c r="Q284" i="55"/>
  <c r="T13" i="89" s="1"/>
  <c r="P284" i="55"/>
  <c r="S13" i="89" s="1"/>
  <c r="O284" i="55"/>
  <c r="R13" i="89" s="1"/>
  <c r="N284" i="55"/>
  <c r="Q13" i="89" s="1"/>
  <c r="M284" i="55"/>
  <c r="P13" i="89" s="1"/>
  <c r="U13" i="89" s="1"/>
  <c r="L284" i="55"/>
  <c r="K284" i="55"/>
  <c r="I13" i="89" s="1"/>
  <c r="J284" i="55"/>
  <c r="H13" i="89" s="1"/>
  <c r="I284" i="55"/>
  <c r="G13" i="89" s="1"/>
  <c r="H284" i="55"/>
  <c r="F13" i="89" s="1"/>
  <c r="G284" i="55"/>
  <c r="E13" i="89" s="1"/>
  <c r="F284" i="55"/>
  <c r="D13" i="89" s="1"/>
  <c r="F277" i="55"/>
  <c r="AE48" i="85" s="1"/>
  <c r="AD48" i="85" s="1"/>
  <c r="AP276" i="55"/>
  <c r="AO276" i="55"/>
  <c r="AN276" i="55"/>
  <c r="AM276" i="55"/>
  <c r="AL276" i="55"/>
  <c r="AK276" i="55"/>
  <c r="AJ276" i="55"/>
  <c r="AI276" i="55"/>
  <c r="AH276" i="55"/>
  <c r="AG276" i="55"/>
  <c r="AF276" i="55"/>
  <c r="AE276" i="55"/>
  <c r="AD276" i="55"/>
  <c r="AC276" i="55"/>
  <c r="AB276" i="55"/>
  <c r="AA276" i="55"/>
  <c r="Z276" i="55"/>
  <c r="Y276" i="55"/>
  <c r="X276" i="55"/>
  <c r="W276" i="55"/>
  <c r="V276" i="55"/>
  <c r="U276" i="55"/>
  <c r="T276" i="55"/>
  <c r="AC48" i="85" s="1"/>
  <c r="S276" i="55"/>
  <c r="R276" i="55"/>
  <c r="AA48" i="85" s="1"/>
  <c r="Q276" i="55"/>
  <c r="Y48" i="85" s="1"/>
  <c r="P276" i="55"/>
  <c r="X48" i="85" s="1"/>
  <c r="O276" i="55"/>
  <c r="W48" i="85" s="1"/>
  <c r="N276" i="55"/>
  <c r="V48" i="85" s="1"/>
  <c r="M276" i="55"/>
  <c r="U48" i="85" s="1"/>
  <c r="L276" i="55"/>
  <c r="N48" i="85" s="1"/>
  <c r="AB48" i="85" s="1"/>
  <c r="K276" i="55"/>
  <c r="I48" i="85" s="1"/>
  <c r="J276" i="55"/>
  <c r="H48" i="85" s="1"/>
  <c r="I276" i="55"/>
  <c r="G48" i="85" s="1"/>
  <c r="H276" i="55"/>
  <c r="F48" i="85" s="1"/>
  <c r="G276" i="55"/>
  <c r="E48" i="85" s="1"/>
  <c r="F276" i="55"/>
  <c r="D48" i="85" s="1"/>
  <c r="F275" i="55"/>
  <c r="AE10" i="85" s="1"/>
  <c r="AP274" i="55"/>
  <c r="AO274" i="55"/>
  <c r="AN274" i="55"/>
  <c r="AM274" i="55"/>
  <c r="AL274" i="55"/>
  <c r="AK274" i="55"/>
  <c r="AJ274" i="55"/>
  <c r="AI274" i="55"/>
  <c r="AH274" i="55"/>
  <c r="AG274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AC10" i="85" s="1"/>
  <c r="AC105" i="85" s="1"/>
  <c r="S274" i="55"/>
  <c r="R274" i="55"/>
  <c r="AA10" i="85" s="1"/>
  <c r="AA105" i="85" s="1"/>
  <c r="Q274" i="55"/>
  <c r="Y10" i="85" s="1"/>
  <c r="Y105" i="85" s="1"/>
  <c r="P274" i="55"/>
  <c r="X10" i="85" s="1"/>
  <c r="X105" i="85" s="1"/>
  <c r="O274" i="55"/>
  <c r="W10" i="85" s="1"/>
  <c r="W105" i="85" s="1"/>
  <c r="N274" i="55"/>
  <c r="V10" i="85" s="1"/>
  <c r="V105" i="85" s="1"/>
  <c r="M274" i="55"/>
  <c r="U10" i="85" s="1"/>
  <c r="L274" i="55"/>
  <c r="N10" i="85" s="1"/>
  <c r="K274" i="55"/>
  <c r="I10" i="85" s="1"/>
  <c r="I105" i="85" s="1"/>
  <c r="J274" i="55"/>
  <c r="H10" i="85" s="1"/>
  <c r="H105" i="85" s="1"/>
  <c r="I274" i="55"/>
  <c r="G10" i="85" s="1"/>
  <c r="G105" i="85" s="1"/>
  <c r="H274" i="55"/>
  <c r="F10" i="85" s="1"/>
  <c r="F105" i="85" s="1"/>
  <c r="G274" i="55"/>
  <c r="E10" i="85" s="1"/>
  <c r="E105" i="85" s="1"/>
  <c r="F274" i="55"/>
  <c r="D10" i="85" s="1"/>
  <c r="F267" i="55"/>
  <c r="AE48" i="79" s="1"/>
  <c r="AD48" i="79" s="1"/>
  <c r="AA266" i="55"/>
  <c r="Z266" i="55"/>
  <c r="Y266" i="55"/>
  <c r="X266" i="55"/>
  <c r="W266" i="55"/>
  <c r="V266" i="55"/>
  <c r="U266" i="55"/>
  <c r="T266" i="55"/>
  <c r="S266" i="55"/>
  <c r="R266" i="55"/>
  <c r="AA48" i="79" s="1"/>
  <c r="Q266" i="55"/>
  <c r="Y48" i="79" s="1"/>
  <c r="P266" i="55"/>
  <c r="X48" i="79" s="1"/>
  <c r="O266" i="55"/>
  <c r="W48" i="79" s="1"/>
  <c r="N266" i="55"/>
  <c r="V48" i="79" s="1"/>
  <c r="M266" i="55"/>
  <c r="U48" i="79" s="1"/>
  <c r="L266" i="55"/>
  <c r="N48" i="79" s="1"/>
  <c r="AB48" i="79" s="1"/>
  <c r="K266" i="55"/>
  <c r="I48" i="79" s="1"/>
  <c r="J266" i="55"/>
  <c r="H48" i="79" s="1"/>
  <c r="I266" i="55"/>
  <c r="G48" i="79" s="1"/>
  <c r="H266" i="55"/>
  <c r="F48" i="79" s="1"/>
  <c r="G266" i="55"/>
  <c r="E48" i="79" s="1"/>
  <c r="F266" i="55"/>
  <c r="D48" i="79" s="1"/>
  <c r="F265" i="55"/>
  <c r="AE10" i="79" s="1"/>
  <c r="AE105" i="79" s="1"/>
  <c r="AA264" i="55"/>
  <c r="Z264" i="55"/>
  <c r="Y264" i="55"/>
  <c r="X264" i="55"/>
  <c r="W264" i="55"/>
  <c r="V264" i="55"/>
  <c r="U264" i="55"/>
  <c r="T264" i="55"/>
  <c r="AC10" i="79" s="1"/>
  <c r="S264" i="55"/>
  <c r="R264" i="55"/>
  <c r="AA10" i="79" s="1"/>
  <c r="AA105" i="79" s="1"/>
  <c r="Q264" i="55"/>
  <c r="Y10" i="79" s="1"/>
  <c r="Y105" i="79" s="1"/>
  <c r="P264" i="55"/>
  <c r="X10" i="79" s="1"/>
  <c r="X105" i="79" s="1"/>
  <c r="O264" i="55"/>
  <c r="W10" i="79" s="1"/>
  <c r="W105" i="79" s="1"/>
  <c r="N264" i="55"/>
  <c r="V10" i="79" s="1"/>
  <c r="V105" i="79" s="1"/>
  <c r="M264" i="55"/>
  <c r="U10" i="79" s="1"/>
  <c r="L264" i="55"/>
  <c r="N10" i="79" s="1"/>
  <c r="K264" i="55"/>
  <c r="I10" i="79" s="1"/>
  <c r="I105" i="79" s="1"/>
  <c r="J264" i="55"/>
  <c r="H10" i="79" s="1"/>
  <c r="H105" i="79" s="1"/>
  <c r="I264" i="55"/>
  <c r="G10" i="79" s="1"/>
  <c r="G105" i="79" s="1"/>
  <c r="H264" i="55"/>
  <c r="F10" i="79" s="1"/>
  <c r="F105" i="79" s="1"/>
  <c r="G264" i="55"/>
  <c r="E10" i="79" s="1"/>
  <c r="E105" i="79" s="1"/>
  <c r="F264" i="55"/>
  <c r="D10" i="79" s="1"/>
  <c r="F262" i="55"/>
  <c r="AE48" i="75" s="1"/>
  <c r="AD48" i="75" s="1"/>
  <c r="AP261" i="55"/>
  <c r="AO261" i="55"/>
  <c r="AN261" i="55"/>
  <c r="AM261" i="55"/>
  <c r="AL261" i="55"/>
  <c r="AK261" i="55"/>
  <c r="AJ261" i="55"/>
  <c r="AI261" i="55"/>
  <c r="AH261" i="55"/>
  <c r="AG261" i="55"/>
  <c r="AF261" i="55"/>
  <c r="AE261" i="55"/>
  <c r="AD261" i="55"/>
  <c r="AC261" i="55"/>
  <c r="AB261" i="55"/>
  <c r="AA261" i="55"/>
  <c r="Z261" i="55"/>
  <c r="Y261" i="55"/>
  <c r="X261" i="55"/>
  <c r="W261" i="55"/>
  <c r="V261" i="55"/>
  <c r="U261" i="55"/>
  <c r="T261" i="55"/>
  <c r="AC48" i="75" s="1"/>
  <c r="S261" i="55"/>
  <c r="R261" i="55"/>
  <c r="AA48" i="75" s="1"/>
  <c r="Q261" i="55"/>
  <c r="Y48" i="75" s="1"/>
  <c r="P261" i="55"/>
  <c r="X48" i="75" s="1"/>
  <c r="O261" i="55"/>
  <c r="W48" i="75" s="1"/>
  <c r="N261" i="55"/>
  <c r="V48" i="75" s="1"/>
  <c r="M261" i="55"/>
  <c r="U48" i="75" s="1"/>
  <c r="L261" i="55"/>
  <c r="N48" i="75" s="1"/>
  <c r="AB48" i="75" s="1"/>
  <c r="K261" i="55"/>
  <c r="I48" i="75" s="1"/>
  <c r="J261" i="55"/>
  <c r="H48" i="75" s="1"/>
  <c r="I261" i="55"/>
  <c r="G48" i="75" s="1"/>
  <c r="H261" i="55"/>
  <c r="F48" i="75" s="1"/>
  <c r="G261" i="55"/>
  <c r="E48" i="75" s="1"/>
  <c r="F261" i="55"/>
  <c r="D48" i="75" s="1"/>
  <c r="F260" i="55"/>
  <c r="AE10" i="75" s="1"/>
  <c r="AP259" i="55"/>
  <c r="AO259" i="55"/>
  <c r="AN259" i="55"/>
  <c r="AM259" i="55"/>
  <c r="AL259" i="55"/>
  <c r="AK259" i="55"/>
  <c r="AJ259" i="55"/>
  <c r="AI259" i="55"/>
  <c r="AH259" i="55"/>
  <c r="AG259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AC10" i="75" s="1"/>
  <c r="AC105" i="75" s="1"/>
  <c r="S259" i="55"/>
  <c r="R259" i="55"/>
  <c r="AA10" i="75" s="1"/>
  <c r="Q259" i="55"/>
  <c r="Y10" i="75" s="1"/>
  <c r="P259" i="55"/>
  <c r="X10" i="75" s="1"/>
  <c r="O259" i="55"/>
  <c r="W10" i="75" s="1"/>
  <c r="N259" i="55"/>
  <c r="V10" i="75" s="1"/>
  <c r="M259" i="55"/>
  <c r="U10" i="75" s="1"/>
  <c r="L259" i="55"/>
  <c r="N10" i="75" s="1"/>
  <c r="K259" i="55"/>
  <c r="I10" i="75" s="1"/>
  <c r="J259" i="55"/>
  <c r="H10" i="75" s="1"/>
  <c r="I259" i="55"/>
  <c r="G10" i="75" s="1"/>
  <c r="H259" i="55"/>
  <c r="F10" i="75" s="1"/>
  <c r="G259" i="55"/>
  <c r="E10" i="75" s="1"/>
  <c r="F259" i="55"/>
  <c r="D10" i="75" s="1"/>
  <c r="F257" i="55"/>
  <c r="AE48" i="22" s="1"/>
  <c r="AD48" i="22" s="1"/>
  <c r="AP256" i="55"/>
  <c r="AO256" i="55"/>
  <c r="AN256" i="55"/>
  <c r="AM256" i="55"/>
  <c r="AL256" i="55"/>
  <c r="AK256" i="55"/>
  <c r="AJ256" i="55"/>
  <c r="AI256" i="55"/>
  <c r="AH256" i="55"/>
  <c r="AG256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AA48" i="22" s="1"/>
  <c r="Q256" i="55"/>
  <c r="Y48" i="22" s="1"/>
  <c r="P256" i="55"/>
  <c r="X48" i="22" s="1"/>
  <c r="O256" i="55"/>
  <c r="W48" i="22" s="1"/>
  <c r="N256" i="55"/>
  <c r="V48" i="22" s="1"/>
  <c r="M256" i="55"/>
  <c r="U48" i="22" s="1"/>
  <c r="L256" i="55"/>
  <c r="N48" i="22" s="1"/>
  <c r="AB48" i="22" s="1"/>
  <c r="K256" i="55"/>
  <c r="I48" i="22" s="1"/>
  <c r="J256" i="55"/>
  <c r="H48" i="22" s="1"/>
  <c r="I256" i="55"/>
  <c r="G48" i="22" s="1"/>
  <c r="H256" i="55"/>
  <c r="F48" i="22" s="1"/>
  <c r="G256" i="55"/>
  <c r="E48" i="22" s="1"/>
  <c r="F256" i="55"/>
  <c r="D48" i="22" s="1"/>
  <c r="F255" i="55"/>
  <c r="AP254" i="55"/>
  <c r="AO254" i="55"/>
  <c r="AN254" i="55"/>
  <c r="AM254" i="55"/>
  <c r="AL254" i="55"/>
  <c r="AK254" i="55"/>
  <c r="AJ254" i="55"/>
  <c r="AI254" i="55"/>
  <c r="AH254" i="55"/>
  <c r="AG254" i="55"/>
  <c r="AF254" i="55"/>
  <c r="AE254" i="55"/>
  <c r="AD254" i="55"/>
  <c r="AC254" i="55"/>
  <c r="AB254" i="55"/>
  <c r="AA254" i="55"/>
  <c r="Z254" i="55"/>
  <c r="Y254" i="55"/>
  <c r="X254" i="55"/>
  <c r="W254" i="55"/>
  <c r="V254" i="55"/>
  <c r="U254" i="55"/>
  <c r="T254" i="55"/>
  <c r="AC10" i="22" s="1"/>
  <c r="S254" i="55"/>
  <c r="R254" i="55"/>
  <c r="Q254" i="55"/>
  <c r="P254" i="55"/>
  <c r="O254" i="55"/>
  <c r="N254" i="55"/>
  <c r="M254" i="55"/>
  <c r="L254" i="55"/>
  <c r="K254" i="55"/>
  <c r="I10" i="22" s="1"/>
  <c r="J254" i="55"/>
  <c r="H10" i="22" s="1"/>
  <c r="I254" i="55"/>
  <c r="G10" i="22" s="1"/>
  <c r="H254" i="55"/>
  <c r="F10" i="22" s="1"/>
  <c r="G254" i="55"/>
  <c r="E10" i="22" s="1"/>
  <c r="F254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T12" i="89" s="1"/>
  <c r="T17" i="89" s="1"/>
  <c r="P105" i="55"/>
  <c r="S12" i="89" s="1"/>
  <c r="S17" i="89" s="1"/>
  <c r="O105" i="55"/>
  <c r="R12" i="89" s="1"/>
  <c r="R17" i="89" s="1"/>
  <c r="N105" i="55"/>
  <c r="Q12" i="89" s="1"/>
  <c r="Q17" i="89" s="1"/>
  <c r="M105" i="55"/>
  <c r="P12" i="89" s="1"/>
  <c r="L105" i="55"/>
  <c r="K105" i="55"/>
  <c r="I12" i="89" s="1"/>
  <c r="I17" i="89" s="1"/>
  <c r="J105" i="55"/>
  <c r="H12" i="89" s="1"/>
  <c r="H17" i="89" s="1"/>
  <c r="I105" i="55"/>
  <c r="G12" i="89" s="1"/>
  <c r="G17" i="89" s="1"/>
  <c r="H105" i="55"/>
  <c r="F12" i="89" s="1"/>
  <c r="F17" i="89" s="1"/>
  <c r="G105" i="55"/>
  <c r="E12" i="89" s="1"/>
  <c r="E17" i="89" s="1"/>
  <c r="F105" i="55"/>
  <c r="D12" i="89" s="1"/>
  <c r="F98" i="55"/>
  <c r="AE47" i="85" s="1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AC47" i="85" s="1"/>
  <c r="AC52" i="85" s="1"/>
  <c r="S97" i="55"/>
  <c r="R97" i="55"/>
  <c r="AA47" i="85" s="1"/>
  <c r="AA52" i="85" s="1"/>
  <c r="Q97" i="55"/>
  <c r="Y47" i="85" s="1"/>
  <c r="Y52" i="85" s="1"/>
  <c r="P97" i="55"/>
  <c r="X47" i="85" s="1"/>
  <c r="X52" i="85" s="1"/>
  <c r="O97" i="55"/>
  <c r="W47" i="85" s="1"/>
  <c r="W52" i="85" s="1"/>
  <c r="N97" i="55"/>
  <c r="V47" i="85" s="1"/>
  <c r="V52" i="85" s="1"/>
  <c r="M97" i="55"/>
  <c r="U47" i="85" s="1"/>
  <c r="L97" i="55"/>
  <c r="N47" i="85" s="1"/>
  <c r="K97" i="55"/>
  <c r="I47" i="85" s="1"/>
  <c r="J97" i="55"/>
  <c r="H47" i="85" s="1"/>
  <c r="I97" i="55"/>
  <c r="G47" i="85" s="1"/>
  <c r="H97" i="55"/>
  <c r="F47" i="85" s="1"/>
  <c r="G97" i="55"/>
  <c r="E47" i="85" s="1"/>
  <c r="F97" i="55"/>
  <c r="D47" i="85" s="1"/>
  <c r="F96" i="55"/>
  <c r="AE9" i="85" s="1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AA9" i="85" s="1"/>
  <c r="Q95" i="55"/>
  <c r="Y9" i="85" s="1"/>
  <c r="P95" i="55"/>
  <c r="X9" i="85" s="1"/>
  <c r="O95" i="55"/>
  <c r="W9" i="85" s="1"/>
  <c r="N95" i="55"/>
  <c r="V9" i="85" s="1"/>
  <c r="M95" i="55"/>
  <c r="U9" i="85" s="1"/>
  <c r="L95" i="55"/>
  <c r="N9" i="85" s="1"/>
  <c r="K95" i="55"/>
  <c r="I9" i="85" s="1"/>
  <c r="J95" i="55"/>
  <c r="H9" i="85" s="1"/>
  <c r="I95" i="55"/>
  <c r="G9" i="85" s="1"/>
  <c r="H95" i="55"/>
  <c r="F9" i="85" s="1"/>
  <c r="G95" i="55"/>
  <c r="E9" i="85" s="1"/>
  <c r="F95" i="55"/>
  <c r="D9" i="85" s="1"/>
  <c r="F88" i="55"/>
  <c r="AE47" i="79" s="1"/>
  <c r="AP87" i="55"/>
  <c r="AO87" i="55"/>
  <c r="AN87" i="55"/>
  <c r="AM87" i="55"/>
  <c r="AL87" i="55"/>
  <c r="AK87" i="55"/>
  <c r="AJ87" i="55"/>
  <c r="AI87" i="55"/>
  <c r="AH87" i="55"/>
  <c r="AG87" i="55"/>
  <c r="AF87" i="55"/>
  <c r="AE87" i="55"/>
  <c r="AD87" i="55"/>
  <c r="AC87" i="55"/>
  <c r="AB87" i="55"/>
  <c r="AA87" i="55"/>
  <c r="Z87" i="55"/>
  <c r="Y87" i="55"/>
  <c r="X87" i="55"/>
  <c r="W87" i="55"/>
  <c r="V87" i="55"/>
  <c r="U87" i="55"/>
  <c r="T87" i="55"/>
  <c r="S87" i="55"/>
  <c r="R87" i="55"/>
  <c r="AA47" i="79" s="1"/>
  <c r="Q87" i="55"/>
  <c r="Y47" i="79" s="1"/>
  <c r="P87" i="55"/>
  <c r="X47" i="79" s="1"/>
  <c r="O87" i="55"/>
  <c r="W47" i="79" s="1"/>
  <c r="N87" i="55"/>
  <c r="V47" i="79" s="1"/>
  <c r="M87" i="55"/>
  <c r="U47" i="79" s="1"/>
  <c r="L87" i="55"/>
  <c r="N47" i="79" s="1"/>
  <c r="K87" i="55"/>
  <c r="I47" i="79" s="1"/>
  <c r="J87" i="55"/>
  <c r="H47" i="79" s="1"/>
  <c r="I87" i="55"/>
  <c r="G47" i="79" s="1"/>
  <c r="H87" i="55"/>
  <c r="F47" i="79" s="1"/>
  <c r="G87" i="55"/>
  <c r="E47" i="79" s="1"/>
  <c r="F87" i="55"/>
  <c r="D47" i="79" s="1"/>
  <c r="F86" i="55"/>
  <c r="AE9" i="79" s="1"/>
  <c r="AP85" i="55"/>
  <c r="AO85" i="55"/>
  <c r="AN85" i="55"/>
  <c r="AM85" i="55"/>
  <c r="AL85" i="55"/>
  <c r="AK85" i="55"/>
  <c r="AJ85" i="55"/>
  <c r="AI85" i="55"/>
  <c r="AH85" i="55"/>
  <c r="AG85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AA9" i="79" s="1"/>
  <c r="Q85" i="55"/>
  <c r="Y9" i="79" s="1"/>
  <c r="P85" i="55"/>
  <c r="X9" i="79" s="1"/>
  <c r="O85" i="55"/>
  <c r="W9" i="79" s="1"/>
  <c r="N85" i="55"/>
  <c r="V9" i="79" s="1"/>
  <c r="M85" i="55"/>
  <c r="U9" i="79" s="1"/>
  <c r="L85" i="55"/>
  <c r="N9" i="79" s="1"/>
  <c r="K85" i="55"/>
  <c r="I9" i="79" s="1"/>
  <c r="J85" i="55"/>
  <c r="H9" i="79" s="1"/>
  <c r="I85" i="55"/>
  <c r="G9" i="79" s="1"/>
  <c r="H85" i="55"/>
  <c r="F9" i="79" s="1"/>
  <c r="G85" i="55"/>
  <c r="E9" i="79" s="1"/>
  <c r="F85" i="55"/>
  <c r="D9" i="79" s="1"/>
  <c r="F78" i="55"/>
  <c r="AE47" i="22" s="1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AA47" i="22" s="1"/>
  <c r="Q77" i="55"/>
  <c r="Y47" i="22" s="1"/>
  <c r="P77" i="55"/>
  <c r="X47" i="22" s="1"/>
  <c r="O77" i="55"/>
  <c r="W47" i="22" s="1"/>
  <c r="N77" i="55"/>
  <c r="V47" i="22" s="1"/>
  <c r="M77" i="55"/>
  <c r="U47" i="22" s="1"/>
  <c r="L77" i="55"/>
  <c r="N47" i="22" s="1"/>
  <c r="K77" i="55"/>
  <c r="I47" i="22" s="1"/>
  <c r="J77" i="55"/>
  <c r="H47" i="22" s="1"/>
  <c r="I77" i="55"/>
  <c r="G47" i="22" s="1"/>
  <c r="H77" i="55"/>
  <c r="F47" i="22" s="1"/>
  <c r="G77" i="55"/>
  <c r="E47" i="22" s="1"/>
  <c r="F77" i="55"/>
  <c r="D47" i="22" s="1"/>
  <c r="F76" i="55"/>
  <c r="AP75" i="55"/>
  <c r="AO75" i="55"/>
  <c r="AN75" i="55"/>
  <c r="AM75" i="55"/>
  <c r="AL75" i="55"/>
  <c r="AK75" i="55"/>
  <c r="AJ75" i="55"/>
  <c r="AI75" i="55"/>
  <c r="AH75" i="55"/>
  <c r="AG75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I9" i="22" s="1"/>
  <c r="J75" i="55"/>
  <c r="H9" i="22" s="1"/>
  <c r="I75" i="55"/>
  <c r="G9" i="22" s="1"/>
  <c r="H75" i="55"/>
  <c r="F9" i="22" s="1"/>
  <c r="G75" i="55"/>
  <c r="E9" i="22" s="1"/>
  <c r="F75" i="55"/>
  <c r="AA71" i="79" l="1"/>
  <c r="V71" i="79"/>
  <c r="F71" i="79"/>
  <c r="AE32" i="69"/>
  <c r="AF32" i="69" s="1"/>
  <c r="AG32" i="69" s="1"/>
  <c r="J15" i="89"/>
  <c r="V15" i="89" s="1"/>
  <c r="W15" i="89" s="1"/>
  <c r="X107" i="79"/>
  <c r="H107" i="79"/>
  <c r="AC106" i="79"/>
  <c r="G71" i="86"/>
  <c r="F71" i="86"/>
  <c r="E71" i="86"/>
  <c r="AA108" i="86"/>
  <c r="Z108" i="86"/>
  <c r="Y108" i="86"/>
  <c r="X108" i="86"/>
  <c r="W108" i="86"/>
  <c r="V108" i="86"/>
  <c r="I108" i="86"/>
  <c r="H108" i="86"/>
  <c r="G108" i="86"/>
  <c r="F108" i="86"/>
  <c r="E108" i="86"/>
  <c r="AE107" i="86"/>
  <c r="AA107" i="86"/>
  <c r="Z107" i="86"/>
  <c r="Y107" i="86"/>
  <c r="X107" i="86"/>
  <c r="W107" i="86"/>
  <c r="V107" i="86"/>
  <c r="I107" i="86"/>
  <c r="H107" i="86"/>
  <c r="G107" i="86"/>
  <c r="F107" i="86"/>
  <c r="E107" i="86"/>
  <c r="AE106" i="86"/>
  <c r="AA106" i="86"/>
  <c r="Z106" i="86"/>
  <c r="Y106" i="86"/>
  <c r="X106" i="86"/>
  <c r="W106" i="86"/>
  <c r="V106" i="86"/>
  <c r="I106" i="86"/>
  <c r="H106" i="86"/>
  <c r="G106" i="86"/>
  <c r="H71" i="79"/>
  <c r="I4" i="62"/>
  <c r="AF50" i="79"/>
  <c r="AA107" i="79"/>
  <c r="V107" i="79"/>
  <c r="E107" i="79"/>
  <c r="AC48" i="79"/>
  <c r="F106" i="86"/>
  <c r="E106" i="86"/>
  <c r="AA105" i="86"/>
  <c r="Z105" i="86"/>
  <c r="Y105" i="86"/>
  <c r="X105" i="86"/>
  <c r="W105" i="86"/>
  <c r="V105" i="86"/>
  <c r="I105" i="86"/>
  <c r="H105" i="86"/>
  <c r="G105" i="86"/>
  <c r="F105" i="86"/>
  <c r="E105" i="86"/>
  <c r="I71" i="79"/>
  <c r="E147" i="75"/>
  <c r="AG87" i="75"/>
  <c r="AH87" i="75" s="1"/>
  <c r="Z105" i="97"/>
  <c r="Z107" i="97"/>
  <c r="AF69" i="75"/>
  <c r="Z52" i="79"/>
  <c r="J13" i="89"/>
  <c r="V13" i="89" s="1"/>
  <c r="W13" i="89" s="1"/>
  <c r="AC48" i="22"/>
  <c r="AF67" i="85"/>
  <c r="AF67" i="75"/>
  <c r="AF67" i="22"/>
  <c r="E71" i="79"/>
  <c r="R381" i="61"/>
  <c r="AF50" i="75"/>
  <c r="J14" i="89"/>
  <c r="V14" i="89" s="1"/>
  <c r="W14" i="89" s="1"/>
  <c r="I52" i="85"/>
  <c r="H52" i="85"/>
  <c r="G52" i="85"/>
  <c r="F52" i="85"/>
  <c r="E52" i="85"/>
  <c r="AC9" i="85"/>
  <c r="AC47" i="79"/>
  <c r="AC52" i="79" s="1"/>
  <c r="AA52" i="79"/>
  <c r="Y52" i="79"/>
  <c r="X52" i="79"/>
  <c r="W52" i="79"/>
  <c r="V52" i="79"/>
  <c r="I52" i="79"/>
  <c r="H52" i="79"/>
  <c r="G52" i="79"/>
  <c r="F52" i="79"/>
  <c r="E52" i="79"/>
  <c r="AC9" i="79"/>
  <c r="AC47" i="22"/>
  <c r="AC52" i="22" s="1"/>
  <c r="AA52" i="22"/>
  <c r="Y52" i="22"/>
  <c r="X52" i="22"/>
  <c r="W52" i="22"/>
  <c r="V52" i="22"/>
  <c r="I52" i="22"/>
  <c r="H52" i="22"/>
  <c r="G52" i="22"/>
  <c r="F52" i="22"/>
  <c r="E52" i="22"/>
  <c r="AC9" i="22"/>
  <c r="I67" i="91"/>
  <c r="I34" i="82"/>
  <c r="I66" i="91"/>
  <c r="I33" i="82"/>
  <c r="I65" i="91"/>
  <c r="I32" i="82"/>
  <c r="I64" i="91"/>
  <c r="I31" i="82"/>
  <c r="I36" i="82" s="1"/>
  <c r="L80" i="90"/>
  <c r="L13" i="82"/>
  <c r="L79" i="90"/>
  <c r="L12" i="82"/>
  <c r="L78" i="90"/>
  <c r="L11" i="82"/>
  <c r="L77" i="90"/>
  <c r="L10" i="82"/>
  <c r="L14" i="82" s="1"/>
  <c r="K83" i="79"/>
  <c r="Y83" i="79" s="1"/>
  <c r="K122" i="79"/>
  <c r="K27" i="81" s="1"/>
  <c r="K102" i="79"/>
  <c r="G122" i="79"/>
  <c r="H27" i="81" s="1"/>
  <c r="G83" i="79"/>
  <c r="V83" i="79" s="1"/>
  <c r="G102" i="79"/>
  <c r="D83" i="79"/>
  <c r="D102" i="79"/>
  <c r="D7" i="81" s="1"/>
  <c r="D82" i="79"/>
  <c r="D101" i="79"/>
  <c r="D6" i="81" s="1"/>
  <c r="N98" i="79"/>
  <c r="N79" i="79"/>
  <c r="AD79" i="79" s="1"/>
  <c r="M117" i="79"/>
  <c r="N22" i="81" s="1"/>
  <c r="AE106" i="75"/>
  <c r="AD11" i="75"/>
  <c r="Z89" i="97"/>
  <c r="Z89" i="79"/>
  <c r="Z87" i="97"/>
  <c r="Z87" i="79"/>
  <c r="Z90" i="79" s="1"/>
  <c r="AE107" i="79"/>
  <c r="AD69" i="79"/>
  <c r="AF69" i="79" s="1"/>
  <c r="I55" i="62"/>
  <c r="J55" i="62" s="1"/>
  <c r="J51" i="62"/>
  <c r="C9" i="87"/>
  <c r="C15" i="87" s="1"/>
  <c r="L8" i="87"/>
  <c r="E82" i="91"/>
  <c r="E35" i="88"/>
  <c r="E131" i="86"/>
  <c r="I34" i="88"/>
  <c r="I81" i="91"/>
  <c r="G7" i="87"/>
  <c r="G6" i="87"/>
  <c r="I80" i="91"/>
  <c r="I33" i="88"/>
  <c r="G5" i="87"/>
  <c r="I79" i="91"/>
  <c r="I32" i="88"/>
  <c r="I78" i="91"/>
  <c r="I31" i="88"/>
  <c r="G4" i="87"/>
  <c r="I77" i="91"/>
  <c r="I131" i="86"/>
  <c r="I83" i="91" s="1"/>
  <c r="G3" i="87"/>
  <c r="G9" i="87" s="1"/>
  <c r="I30" i="88"/>
  <c r="I36" i="88" s="1"/>
  <c r="I45" i="88" s="1"/>
  <c r="L13" i="88"/>
  <c r="L97" i="90"/>
  <c r="J97" i="90"/>
  <c r="J13" i="88"/>
  <c r="L96" i="90"/>
  <c r="L12" i="88"/>
  <c r="J12" i="88"/>
  <c r="J96" i="90"/>
  <c r="AD107" i="86"/>
  <c r="L95" i="90"/>
  <c r="L11" i="88"/>
  <c r="AD106" i="86"/>
  <c r="J11" i="88"/>
  <c r="J95" i="90"/>
  <c r="L94" i="90"/>
  <c r="L10" i="88"/>
  <c r="J94" i="90"/>
  <c r="J10" i="88"/>
  <c r="L9" i="88"/>
  <c r="L14" i="88" s="1"/>
  <c r="L44" i="88" s="1"/>
  <c r="L93" i="90"/>
  <c r="L109" i="86"/>
  <c r="L98" i="90" s="1"/>
  <c r="J109" i="86"/>
  <c r="J98" i="90" s="1"/>
  <c r="J93" i="90"/>
  <c r="J9" i="88"/>
  <c r="J14" i="88" s="1"/>
  <c r="J44" i="88" s="1"/>
  <c r="AF85" i="86"/>
  <c r="Z90" i="86"/>
  <c r="M85" i="86"/>
  <c r="K90" i="86"/>
  <c r="K70" i="86"/>
  <c r="M70" i="86" s="1"/>
  <c r="O70" i="86" s="1"/>
  <c r="J129" i="86"/>
  <c r="M7" i="87"/>
  <c r="G146" i="86"/>
  <c r="K69" i="86"/>
  <c r="M69" i="86" s="1"/>
  <c r="O69" i="86" s="1"/>
  <c r="J128" i="86"/>
  <c r="M6" i="87"/>
  <c r="G145" i="86"/>
  <c r="G144" i="86"/>
  <c r="K68" i="86"/>
  <c r="M68" i="86" s="1"/>
  <c r="O68" i="86" s="1"/>
  <c r="M5" i="87"/>
  <c r="J127" i="86"/>
  <c r="M4" i="87"/>
  <c r="G143" i="86"/>
  <c r="K67" i="86"/>
  <c r="M67" i="86" s="1"/>
  <c r="O67" i="86" s="1"/>
  <c r="J126" i="86"/>
  <c r="AE71" i="86"/>
  <c r="AD66" i="86"/>
  <c r="AD71" i="86" s="1"/>
  <c r="U71" i="86"/>
  <c r="Y73" i="86" s="1"/>
  <c r="AB66" i="86"/>
  <c r="N71" i="86"/>
  <c r="J125" i="86"/>
  <c r="G142" i="86"/>
  <c r="G147" i="86" s="1"/>
  <c r="M3" i="87"/>
  <c r="M9" i="87" s="1"/>
  <c r="K66" i="86"/>
  <c r="D71" i="86"/>
  <c r="K51" i="86"/>
  <c r="M51" i="86" s="1"/>
  <c r="O51" i="86" s="1"/>
  <c r="G129" i="86"/>
  <c r="G128" i="86"/>
  <c r="K50" i="86"/>
  <c r="M50" i="86" s="1"/>
  <c r="O50" i="86" s="1"/>
  <c r="K49" i="86"/>
  <c r="M49" i="86" s="1"/>
  <c r="O49" i="86" s="1"/>
  <c r="G127" i="86"/>
  <c r="G126" i="86"/>
  <c r="K48" i="86"/>
  <c r="M48" i="86" s="1"/>
  <c r="O48" i="86" s="1"/>
  <c r="U52" i="86"/>
  <c r="Y54" i="86" s="1"/>
  <c r="N52" i="86"/>
  <c r="AB47" i="86"/>
  <c r="G125" i="86"/>
  <c r="D52" i="86"/>
  <c r="K47" i="86"/>
  <c r="K32" i="86"/>
  <c r="M32" i="86" s="1"/>
  <c r="O32" i="86" s="1"/>
  <c r="H129" i="86"/>
  <c r="F146" i="86"/>
  <c r="K31" i="86"/>
  <c r="M31" i="86" s="1"/>
  <c r="O31" i="86" s="1"/>
  <c r="H128" i="86"/>
  <c r="F145" i="86"/>
  <c r="K30" i="86"/>
  <c r="M30" i="86" s="1"/>
  <c r="O30" i="86" s="1"/>
  <c r="H127" i="86"/>
  <c r="F144" i="86"/>
  <c r="F143" i="86"/>
  <c r="K29" i="86"/>
  <c r="M29" i="86" s="1"/>
  <c r="O29" i="86" s="1"/>
  <c r="H126" i="86"/>
  <c r="U33" i="86"/>
  <c r="Y35" i="86" s="1"/>
  <c r="AB28" i="86"/>
  <c r="N33" i="86"/>
  <c r="K28" i="86"/>
  <c r="D33" i="86"/>
  <c r="H125" i="86"/>
  <c r="F142" i="86"/>
  <c r="F147" i="86" s="1"/>
  <c r="AE108" i="86"/>
  <c r="AD108" i="86" s="1"/>
  <c r="AD13" i="86"/>
  <c r="AC13" i="88"/>
  <c r="AC97" i="90"/>
  <c r="AA97" i="90"/>
  <c r="AA13" i="88"/>
  <c r="Z97" i="90"/>
  <c r="Z13" i="88"/>
  <c r="Y13" i="88"/>
  <c r="Y97" i="90"/>
  <c r="X97" i="90"/>
  <c r="X13" i="88"/>
  <c r="W97" i="90"/>
  <c r="W13" i="88"/>
  <c r="V97" i="90"/>
  <c r="V13" i="88"/>
  <c r="U108" i="86"/>
  <c r="N108" i="86"/>
  <c r="AB13" i="86"/>
  <c r="I97" i="90"/>
  <c r="I13" i="88"/>
  <c r="H97" i="90"/>
  <c r="H13" i="88"/>
  <c r="G97" i="90"/>
  <c r="G13" i="88"/>
  <c r="F97" i="90"/>
  <c r="F13" i="88"/>
  <c r="E97" i="90"/>
  <c r="E13" i="88"/>
  <c r="K13" i="86"/>
  <c r="M13" i="86" s="1"/>
  <c r="O13" i="86" s="1"/>
  <c r="D108" i="86"/>
  <c r="AE12" i="88"/>
  <c r="AE96" i="90"/>
  <c r="AC12" i="88"/>
  <c r="AC96" i="90"/>
  <c r="AA96" i="90"/>
  <c r="AA12" i="88"/>
  <c r="Z12" i="88"/>
  <c r="Z96" i="90"/>
  <c r="Y96" i="90"/>
  <c r="Y12" i="88"/>
  <c r="X96" i="90"/>
  <c r="X12" i="88"/>
  <c r="W12" i="88"/>
  <c r="W96" i="90"/>
  <c r="V96" i="90"/>
  <c r="V12" i="88"/>
  <c r="U107" i="86"/>
  <c r="AB12" i="86"/>
  <c r="N107" i="86"/>
  <c r="I12" i="88"/>
  <c r="I96" i="90"/>
  <c r="H12" i="88"/>
  <c r="H96" i="90"/>
  <c r="G12" i="88"/>
  <c r="G96" i="90"/>
  <c r="F12" i="88"/>
  <c r="F96" i="90"/>
  <c r="E12" i="88"/>
  <c r="E96" i="90"/>
  <c r="K12" i="86"/>
  <c r="M12" i="86" s="1"/>
  <c r="O12" i="86" s="1"/>
  <c r="D107" i="86"/>
  <c r="AE11" i="88"/>
  <c r="AE95" i="90"/>
  <c r="AC11" i="88"/>
  <c r="AC95" i="90"/>
  <c r="AA11" i="88"/>
  <c r="AA95" i="90"/>
  <c r="Z11" i="88"/>
  <c r="Z95" i="90"/>
  <c r="Y11" i="88"/>
  <c r="Y95" i="90"/>
  <c r="X11" i="88"/>
  <c r="X95" i="90"/>
  <c r="W11" i="88"/>
  <c r="W95" i="90"/>
  <c r="V11" i="88"/>
  <c r="V95" i="90"/>
  <c r="U106" i="86"/>
  <c r="AB11" i="86"/>
  <c r="N106" i="86"/>
  <c r="I11" i="88"/>
  <c r="I95" i="90"/>
  <c r="H11" i="88"/>
  <c r="H95" i="90"/>
  <c r="G11" i="88"/>
  <c r="G95" i="90"/>
  <c r="F11" i="88"/>
  <c r="F95" i="90"/>
  <c r="E11" i="88"/>
  <c r="E95" i="90"/>
  <c r="K11" i="86"/>
  <c r="M11" i="86" s="1"/>
  <c r="O11" i="86" s="1"/>
  <c r="D106" i="86"/>
  <c r="AD10" i="86"/>
  <c r="AD14" i="86" s="1"/>
  <c r="AE105" i="86"/>
  <c r="AD105" i="86" s="1"/>
  <c r="AC10" i="88"/>
  <c r="AC94" i="90"/>
  <c r="AA10" i="88"/>
  <c r="AA94" i="90"/>
  <c r="Z10" i="88"/>
  <c r="Z94" i="90"/>
  <c r="Y10" i="88"/>
  <c r="Y94" i="90"/>
  <c r="X10" i="88"/>
  <c r="X94" i="90"/>
  <c r="W10" i="88"/>
  <c r="W94" i="90"/>
  <c r="V10" i="88"/>
  <c r="V94" i="90"/>
  <c r="U105" i="86"/>
  <c r="N105" i="86"/>
  <c r="AB10" i="86"/>
  <c r="D105" i="86"/>
  <c r="K10" i="86"/>
  <c r="M10" i="86" s="1"/>
  <c r="O10" i="86" s="1"/>
  <c r="AE104" i="86"/>
  <c r="AD104" i="86" s="1"/>
  <c r="AE14" i="86"/>
  <c r="AC14" i="86"/>
  <c r="AC104" i="86"/>
  <c r="AA14" i="86"/>
  <c r="AA104" i="86"/>
  <c r="Z14" i="86"/>
  <c r="Z104" i="86"/>
  <c r="Y104" i="86"/>
  <c r="Y14" i="86"/>
  <c r="X14" i="86"/>
  <c r="X104" i="86"/>
  <c r="W14" i="86"/>
  <c r="W104" i="86"/>
  <c r="V14" i="86"/>
  <c r="V104" i="86"/>
  <c r="U14" i="86"/>
  <c r="Y16" i="86" s="1"/>
  <c r="U104" i="86"/>
  <c r="N14" i="86"/>
  <c r="AB9" i="86"/>
  <c r="AF9" i="86" s="1"/>
  <c r="N104" i="86"/>
  <c r="I104" i="86"/>
  <c r="I14" i="86"/>
  <c r="H14" i="86"/>
  <c r="H104" i="86"/>
  <c r="G104" i="86"/>
  <c r="G14" i="86"/>
  <c r="F14" i="86"/>
  <c r="F104" i="86"/>
  <c r="E14" i="86"/>
  <c r="E104" i="86"/>
  <c r="K9" i="86"/>
  <c r="D104" i="86"/>
  <c r="D14" i="86"/>
  <c r="K122" i="86"/>
  <c r="K26" i="86"/>
  <c r="Y26" i="86" s="1"/>
  <c r="K102" i="86"/>
  <c r="K45" i="86"/>
  <c r="Y45" i="86" s="1"/>
  <c r="Y7" i="86"/>
  <c r="K83" i="86"/>
  <c r="Y83" i="86" s="1"/>
  <c r="K64" i="86"/>
  <c r="Y64" i="86" s="1"/>
  <c r="G102" i="86"/>
  <c r="G64" i="86"/>
  <c r="V64" i="86" s="1"/>
  <c r="G26" i="86"/>
  <c r="V26" i="86" s="1"/>
  <c r="V7" i="86"/>
  <c r="G83" i="86"/>
  <c r="V83" i="86" s="1"/>
  <c r="G45" i="86"/>
  <c r="V45" i="86" s="1"/>
  <c r="G122" i="86"/>
  <c r="D83" i="86"/>
  <c r="D102" i="86"/>
  <c r="D125" i="90" s="1"/>
  <c r="D64" i="86"/>
  <c r="D26" i="86"/>
  <c r="D45" i="86"/>
  <c r="D63" i="86"/>
  <c r="D25" i="86"/>
  <c r="D101" i="86"/>
  <c r="D124" i="90" s="1"/>
  <c r="D82" i="86"/>
  <c r="D44" i="86"/>
  <c r="M117" i="86"/>
  <c r="AD3" i="86"/>
  <c r="N98" i="86"/>
  <c r="N22" i="86"/>
  <c r="AD22" i="86" s="1"/>
  <c r="N79" i="86"/>
  <c r="AD79" i="86" s="1"/>
  <c r="N41" i="86"/>
  <c r="AD41" i="86" s="1"/>
  <c r="N60" i="86"/>
  <c r="AD60" i="86" s="1"/>
  <c r="C9" i="83"/>
  <c r="H147" i="85"/>
  <c r="G3" i="83"/>
  <c r="G9" i="83" s="1"/>
  <c r="H23" i="36" s="1"/>
  <c r="E68" i="91"/>
  <c r="E131" i="85"/>
  <c r="L8" i="83"/>
  <c r="I63" i="91"/>
  <c r="I131" i="85"/>
  <c r="J80" i="90"/>
  <c r="J79" i="90"/>
  <c r="J78" i="90"/>
  <c r="AD106" i="85"/>
  <c r="J77" i="90"/>
  <c r="AD105" i="85"/>
  <c r="L76" i="90"/>
  <c r="L109" i="85"/>
  <c r="J76" i="90"/>
  <c r="J109" i="85"/>
  <c r="AD104" i="85"/>
  <c r="AF90" i="85"/>
  <c r="M85" i="85"/>
  <c r="K90" i="85"/>
  <c r="Z80" i="90"/>
  <c r="Z13" i="82"/>
  <c r="Z79" i="90"/>
  <c r="Z12" i="82"/>
  <c r="Z78" i="90"/>
  <c r="Z11" i="82"/>
  <c r="Z10" i="82"/>
  <c r="Z77" i="90"/>
  <c r="Z14" i="85"/>
  <c r="Z104" i="85"/>
  <c r="Y7" i="85"/>
  <c r="K45" i="85"/>
  <c r="Y45" i="85" s="1"/>
  <c r="K83" i="85"/>
  <c r="Y83" i="85" s="1"/>
  <c r="K64" i="85"/>
  <c r="Y64" i="85" s="1"/>
  <c r="K102" i="85"/>
  <c r="K122" i="85"/>
  <c r="K27" i="82" s="1"/>
  <c r="K26" i="85"/>
  <c r="Y26" i="85" s="1"/>
  <c r="G102" i="85"/>
  <c r="G45" i="85"/>
  <c r="V45" i="85" s="1"/>
  <c r="G26" i="85"/>
  <c r="V26" i="85" s="1"/>
  <c r="G83" i="85"/>
  <c r="V83" i="85" s="1"/>
  <c r="V7" i="85"/>
  <c r="G64" i="85"/>
  <c r="V64" i="85" s="1"/>
  <c r="G122" i="85"/>
  <c r="H27" i="82" s="1"/>
  <c r="D26" i="85"/>
  <c r="D102" i="85"/>
  <c r="D7" i="82" s="1"/>
  <c r="D45" i="85"/>
  <c r="D64" i="85"/>
  <c r="D83" i="85"/>
  <c r="D82" i="85"/>
  <c r="D44" i="85"/>
  <c r="D63" i="85"/>
  <c r="D25" i="85"/>
  <c r="D101" i="85"/>
  <c r="D6" i="82" s="1"/>
  <c r="AD3" i="85"/>
  <c r="N22" i="85"/>
  <c r="AD22" i="85" s="1"/>
  <c r="M117" i="85"/>
  <c r="N22" i="82" s="1"/>
  <c r="N98" i="85"/>
  <c r="N41" i="85"/>
  <c r="AD41" i="85" s="1"/>
  <c r="N60" i="85"/>
  <c r="AD60" i="85" s="1"/>
  <c r="N79" i="85"/>
  <c r="AD79" i="85" s="1"/>
  <c r="C9" i="98"/>
  <c r="E54" i="91"/>
  <c r="E131" i="97"/>
  <c r="E35" i="99"/>
  <c r="L8" i="98"/>
  <c r="I52" i="91"/>
  <c r="I33" i="99"/>
  <c r="I50" i="91"/>
  <c r="I31" i="99"/>
  <c r="L64" i="90"/>
  <c r="L13" i="99"/>
  <c r="AD12" i="99"/>
  <c r="AD63" i="90"/>
  <c r="L63" i="90"/>
  <c r="L12" i="99"/>
  <c r="J12" i="99"/>
  <c r="J63" i="90"/>
  <c r="L11" i="99"/>
  <c r="L62" i="90"/>
  <c r="L61" i="90"/>
  <c r="L10" i="99"/>
  <c r="J10" i="99"/>
  <c r="AD105" i="97"/>
  <c r="J61" i="90"/>
  <c r="L109" i="97"/>
  <c r="L65" i="90" s="1"/>
  <c r="L9" i="99"/>
  <c r="L14" i="99" s="1"/>
  <c r="L45" i="99" s="1"/>
  <c r="L60" i="90"/>
  <c r="M7" i="98"/>
  <c r="J129" i="97"/>
  <c r="K70" i="97"/>
  <c r="M70" i="97" s="1"/>
  <c r="O70" i="97" s="1"/>
  <c r="G146" i="97"/>
  <c r="G145" i="97"/>
  <c r="K69" i="97"/>
  <c r="M69" i="97" s="1"/>
  <c r="O69" i="97" s="1"/>
  <c r="M6" i="98"/>
  <c r="J128" i="97"/>
  <c r="J127" i="97"/>
  <c r="K68" i="97"/>
  <c r="M68" i="97" s="1"/>
  <c r="O68" i="97" s="1"/>
  <c r="M5" i="98"/>
  <c r="G144" i="97"/>
  <c r="K67" i="97"/>
  <c r="M67" i="97" s="1"/>
  <c r="O67" i="97" s="1"/>
  <c r="G143" i="97"/>
  <c r="M4" i="98"/>
  <c r="J126" i="97"/>
  <c r="U71" i="97"/>
  <c r="Y73" i="97" s="1"/>
  <c r="AB66" i="97"/>
  <c r="N71" i="97"/>
  <c r="J125" i="97"/>
  <c r="K66" i="97"/>
  <c r="G142" i="97"/>
  <c r="G147" i="97" s="1"/>
  <c r="M3" i="98"/>
  <c r="M9" i="98" s="1"/>
  <c r="N22" i="36" s="1"/>
  <c r="D71" i="97"/>
  <c r="K51" i="97"/>
  <c r="M51" i="97" s="1"/>
  <c r="O51" i="97" s="1"/>
  <c r="G129" i="97"/>
  <c r="K50" i="97"/>
  <c r="M50" i="97" s="1"/>
  <c r="O50" i="97" s="1"/>
  <c r="G128" i="97"/>
  <c r="G127" i="97"/>
  <c r="K49" i="97"/>
  <c r="M49" i="97" s="1"/>
  <c r="O49" i="97" s="1"/>
  <c r="K48" i="97"/>
  <c r="M48" i="97" s="1"/>
  <c r="O48" i="97" s="1"/>
  <c r="G126" i="97"/>
  <c r="AE52" i="97"/>
  <c r="AD47" i="97"/>
  <c r="AD52" i="97" s="1"/>
  <c r="U52" i="97"/>
  <c r="Y54" i="97" s="1"/>
  <c r="N52" i="97"/>
  <c r="AB47" i="97"/>
  <c r="G125" i="97"/>
  <c r="D52" i="97"/>
  <c r="K47" i="97"/>
  <c r="E6" i="98"/>
  <c r="K31" i="97"/>
  <c r="M31" i="97" s="1"/>
  <c r="O31" i="97" s="1"/>
  <c r="F145" i="97"/>
  <c r="H128" i="97"/>
  <c r="F144" i="97"/>
  <c r="E5" i="98"/>
  <c r="K30" i="97"/>
  <c r="M30" i="97" s="1"/>
  <c r="O30" i="97" s="1"/>
  <c r="H127" i="97"/>
  <c r="K29" i="97"/>
  <c r="M29" i="97" s="1"/>
  <c r="O29" i="97" s="1"/>
  <c r="H126" i="97"/>
  <c r="E4" i="98"/>
  <c r="F143" i="97"/>
  <c r="AE33" i="97"/>
  <c r="AD28" i="97"/>
  <c r="AD33" i="97" s="1"/>
  <c r="U33" i="97"/>
  <c r="Y35" i="97" s="1"/>
  <c r="AB28" i="97"/>
  <c r="N33" i="97"/>
  <c r="E3" i="98"/>
  <c r="E9" i="98" s="1"/>
  <c r="F22" i="36" s="1"/>
  <c r="K28" i="97"/>
  <c r="D33" i="97"/>
  <c r="H125" i="97"/>
  <c r="F142" i="97"/>
  <c r="F147" i="97" s="1"/>
  <c r="AD12" i="97"/>
  <c r="AE107" i="97"/>
  <c r="AC63" i="90"/>
  <c r="AC12" i="99"/>
  <c r="AA63" i="90"/>
  <c r="AA12" i="99"/>
  <c r="Z12" i="99"/>
  <c r="Z63" i="90"/>
  <c r="Y63" i="90"/>
  <c r="Y12" i="99"/>
  <c r="X63" i="90"/>
  <c r="X12" i="99"/>
  <c r="W12" i="99"/>
  <c r="W63" i="90"/>
  <c r="V12" i="99"/>
  <c r="V63" i="90"/>
  <c r="U107" i="97"/>
  <c r="AB12" i="97"/>
  <c r="N107" i="97"/>
  <c r="I12" i="99"/>
  <c r="I63" i="90"/>
  <c r="H12" i="99"/>
  <c r="H63" i="90"/>
  <c r="G63" i="90"/>
  <c r="G12" i="99"/>
  <c r="F12" i="99"/>
  <c r="F63" i="90"/>
  <c r="E12" i="99"/>
  <c r="E63" i="90"/>
  <c r="D107" i="97"/>
  <c r="K12" i="97"/>
  <c r="M12" i="97" s="1"/>
  <c r="O12" i="97" s="1"/>
  <c r="AD11" i="97"/>
  <c r="AD14" i="97" s="1"/>
  <c r="AE106" i="97"/>
  <c r="AC62" i="90"/>
  <c r="AC11" i="99"/>
  <c r="Y11" i="99"/>
  <c r="Y62" i="90"/>
  <c r="X62" i="90"/>
  <c r="X11" i="99"/>
  <c r="W11" i="99"/>
  <c r="W62" i="90"/>
  <c r="V62" i="90"/>
  <c r="V11" i="99"/>
  <c r="U106" i="97"/>
  <c r="AF11" i="97"/>
  <c r="AB11" i="97"/>
  <c r="I11" i="99"/>
  <c r="I62" i="90"/>
  <c r="H62" i="90"/>
  <c r="H11" i="99"/>
  <c r="G11" i="99"/>
  <c r="G62" i="90"/>
  <c r="F11" i="99"/>
  <c r="F62" i="90"/>
  <c r="E62" i="90"/>
  <c r="E11" i="99"/>
  <c r="K11" i="97"/>
  <c r="M11" i="97" s="1"/>
  <c r="O11" i="97" s="1"/>
  <c r="D106" i="97"/>
  <c r="AE10" i="99"/>
  <c r="AE61" i="90"/>
  <c r="AC10" i="99"/>
  <c r="AC61" i="90"/>
  <c r="AA10" i="99"/>
  <c r="AA61" i="90"/>
  <c r="Z10" i="99"/>
  <c r="Z61" i="90"/>
  <c r="Y61" i="90"/>
  <c r="Y10" i="99"/>
  <c r="X10" i="99"/>
  <c r="X61" i="90"/>
  <c r="W61" i="90"/>
  <c r="W10" i="99"/>
  <c r="V10" i="99"/>
  <c r="V61" i="90"/>
  <c r="U105" i="97"/>
  <c r="N105" i="97"/>
  <c r="AB10" i="97"/>
  <c r="I61" i="90"/>
  <c r="I10" i="99"/>
  <c r="H61" i="90"/>
  <c r="H10" i="99"/>
  <c r="G10" i="99"/>
  <c r="G61" i="90"/>
  <c r="F10" i="99"/>
  <c r="F61" i="90"/>
  <c r="E10" i="99"/>
  <c r="E61" i="90"/>
  <c r="D105" i="97"/>
  <c r="K10" i="97"/>
  <c r="M10" i="97" s="1"/>
  <c r="O10" i="97" s="1"/>
  <c r="AE104" i="97"/>
  <c r="AE14" i="97"/>
  <c r="AC14" i="97"/>
  <c r="AC104" i="97"/>
  <c r="AA14" i="97"/>
  <c r="AA104" i="97"/>
  <c r="Z104" i="97"/>
  <c r="Z14" i="97"/>
  <c r="Y14" i="97"/>
  <c r="Y104" i="97"/>
  <c r="X14" i="97"/>
  <c r="X104" i="97"/>
  <c r="W14" i="97"/>
  <c r="W104" i="97"/>
  <c r="V14" i="97"/>
  <c r="V104" i="97"/>
  <c r="U14" i="97"/>
  <c r="Y16" i="97" s="1"/>
  <c r="U104" i="97"/>
  <c r="N14" i="97"/>
  <c r="AB9" i="97"/>
  <c r="AF9" i="97" s="1"/>
  <c r="I104" i="97"/>
  <c r="I14" i="97"/>
  <c r="H104" i="97"/>
  <c r="H14" i="97"/>
  <c r="G14" i="97"/>
  <c r="G104" i="97"/>
  <c r="F104" i="97"/>
  <c r="F14" i="97"/>
  <c r="E14" i="97"/>
  <c r="E104" i="97"/>
  <c r="D104" i="97"/>
  <c r="K9" i="97"/>
  <c r="D14" i="97"/>
  <c r="K45" i="97"/>
  <c r="Y45" i="97" s="1"/>
  <c r="K26" i="97"/>
  <c r="Y26" i="97" s="1"/>
  <c r="K64" i="97"/>
  <c r="Y64" i="97" s="1"/>
  <c r="K122" i="97"/>
  <c r="K27" i="99" s="1"/>
  <c r="K83" i="97"/>
  <c r="Y83" i="97" s="1"/>
  <c r="Y7" i="97"/>
  <c r="K102" i="97"/>
  <c r="G102" i="97"/>
  <c r="G64" i="97"/>
  <c r="V64" i="97" s="1"/>
  <c r="G26" i="97"/>
  <c r="V26" i="97" s="1"/>
  <c r="G83" i="97"/>
  <c r="V83" i="97" s="1"/>
  <c r="G45" i="97"/>
  <c r="V45" i="97" s="1"/>
  <c r="G122" i="97"/>
  <c r="H27" i="99" s="1"/>
  <c r="V7" i="97"/>
  <c r="D102" i="97"/>
  <c r="D7" i="99" s="1"/>
  <c r="D83" i="97"/>
  <c r="D26" i="97"/>
  <c r="D45" i="97"/>
  <c r="D64" i="97"/>
  <c r="D82" i="97"/>
  <c r="D25" i="97"/>
  <c r="D44" i="97"/>
  <c r="D63" i="97"/>
  <c r="D101" i="97"/>
  <c r="D6" i="99" s="1"/>
  <c r="M117" i="97"/>
  <c r="N22" i="99" s="1"/>
  <c r="N98" i="97"/>
  <c r="N60" i="97"/>
  <c r="AD60" i="97" s="1"/>
  <c r="N41" i="97"/>
  <c r="AD41" i="97" s="1"/>
  <c r="N22" i="97"/>
  <c r="AD22" i="97" s="1"/>
  <c r="N79" i="97"/>
  <c r="AD79" i="97" s="1"/>
  <c r="AD3" i="97"/>
  <c r="C9" i="80"/>
  <c r="E35" i="81"/>
  <c r="E40" i="91"/>
  <c r="L8" i="80"/>
  <c r="E131" i="79"/>
  <c r="I33" i="81"/>
  <c r="I38" i="91"/>
  <c r="I36" i="91"/>
  <c r="I31" i="81"/>
  <c r="AG46" i="90"/>
  <c r="AH107" i="79"/>
  <c r="K70" i="79"/>
  <c r="M70" i="79" s="1"/>
  <c r="O70" i="79" s="1"/>
  <c r="G146" i="79"/>
  <c r="J129" i="79"/>
  <c r="M7" i="80"/>
  <c r="J128" i="79"/>
  <c r="M6" i="80"/>
  <c r="K69" i="79"/>
  <c r="M69" i="79" s="1"/>
  <c r="O69" i="79" s="1"/>
  <c r="G145" i="79"/>
  <c r="G144" i="79"/>
  <c r="J127" i="79"/>
  <c r="K68" i="79"/>
  <c r="M68" i="79" s="1"/>
  <c r="O68" i="79" s="1"/>
  <c r="M5" i="80"/>
  <c r="M4" i="80"/>
  <c r="K67" i="79"/>
  <c r="M67" i="79" s="1"/>
  <c r="O67" i="79" s="1"/>
  <c r="J126" i="79"/>
  <c r="G143" i="79"/>
  <c r="AD66" i="79"/>
  <c r="AE71" i="79"/>
  <c r="U71" i="79"/>
  <c r="N71" i="79"/>
  <c r="AB66" i="79"/>
  <c r="K45" i="79"/>
  <c r="Y45" i="79" s="1"/>
  <c r="Y7" i="79"/>
  <c r="K64" i="79"/>
  <c r="Y64" i="79" s="1"/>
  <c r="K26" i="79"/>
  <c r="Y26" i="79" s="1"/>
  <c r="G26" i="79"/>
  <c r="V26" i="79" s="1"/>
  <c r="G45" i="79"/>
  <c r="V45" i="79" s="1"/>
  <c r="V7" i="79"/>
  <c r="G64" i="79"/>
  <c r="V64" i="79" s="1"/>
  <c r="D45" i="79"/>
  <c r="D64" i="79"/>
  <c r="D26" i="79"/>
  <c r="D44" i="79"/>
  <c r="D63" i="79"/>
  <c r="D25" i="79"/>
  <c r="N41" i="79"/>
  <c r="AD41" i="79" s="1"/>
  <c r="N60" i="79"/>
  <c r="AD60" i="79" s="1"/>
  <c r="AD3" i="79"/>
  <c r="N22" i="79"/>
  <c r="AD22" i="79" s="1"/>
  <c r="C9" i="77"/>
  <c r="G3" i="77"/>
  <c r="E131" i="75"/>
  <c r="E35" i="76"/>
  <c r="E26" i="91"/>
  <c r="L8" i="77"/>
  <c r="I34" i="76"/>
  <c r="I25" i="91"/>
  <c r="I32" i="76"/>
  <c r="I23" i="91"/>
  <c r="I21" i="91"/>
  <c r="I30" i="76"/>
  <c r="L13" i="76"/>
  <c r="L30" i="90"/>
  <c r="AD108" i="75"/>
  <c r="J13" i="76"/>
  <c r="J30" i="90"/>
  <c r="L12" i="76"/>
  <c r="L29" i="90"/>
  <c r="L11" i="76"/>
  <c r="L28" i="90"/>
  <c r="J28" i="90"/>
  <c r="J11" i="76"/>
  <c r="AD106" i="75"/>
  <c r="L27" i="90"/>
  <c r="L10" i="76"/>
  <c r="L26" i="90"/>
  <c r="L9" i="76"/>
  <c r="L14" i="76" s="1"/>
  <c r="L109" i="75"/>
  <c r="L31" i="90" s="1"/>
  <c r="Z90" i="75"/>
  <c r="M7" i="77"/>
  <c r="K70" i="75"/>
  <c r="M70" i="75" s="1"/>
  <c r="O70" i="75" s="1"/>
  <c r="J129" i="75"/>
  <c r="G146" i="75"/>
  <c r="K68" i="75"/>
  <c r="M68" i="75" s="1"/>
  <c r="O68" i="75" s="1"/>
  <c r="G144" i="75"/>
  <c r="J127" i="75"/>
  <c r="M5" i="77"/>
  <c r="U71" i="75"/>
  <c r="N71" i="75"/>
  <c r="AB66" i="75"/>
  <c r="D71" i="75"/>
  <c r="J125" i="75"/>
  <c r="G142" i="75"/>
  <c r="G147" i="75" s="1"/>
  <c r="M3" i="77"/>
  <c r="M9" i="77" s="1"/>
  <c r="N20" i="36" s="1"/>
  <c r="K66" i="75"/>
  <c r="G129" i="75"/>
  <c r="K51" i="75"/>
  <c r="M51" i="75" s="1"/>
  <c r="O51" i="75" s="1"/>
  <c r="AG51" i="75" s="1"/>
  <c r="AH51" i="75" s="1"/>
  <c r="K49" i="75"/>
  <c r="M49" i="75" s="1"/>
  <c r="O49" i="75" s="1"/>
  <c r="G127" i="75"/>
  <c r="U52" i="75"/>
  <c r="AB47" i="75"/>
  <c r="N52" i="75"/>
  <c r="D52" i="75"/>
  <c r="K47" i="75"/>
  <c r="G125" i="75"/>
  <c r="E7" i="77"/>
  <c r="H129" i="75"/>
  <c r="F146" i="75"/>
  <c r="K32" i="75"/>
  <c r="M32" i="75" s="1"/>
  <c r="O32" i="75" s="1"/>
  <c r="H127" i="75"/>
  <c r="K30" i="75"/>
  <c r="M30" i="75" s="1"/>
  <c r="O30" i="75" s="1"/>
  <c r="F144" i="75"/>
  <c r="E5" i="77"/>
  <c r="U33" i="75"/>
  <c r="AB28" i="75"/>
  <c r="N33" i="75"/>
  <c r="H125" i="75"/>
  <c r="D33" i="75"/>
  <c r="F142" i="75"/>
  <c r="E3" i="77"/>
  <c r="K28" i="75"/>
  <c r="AE13" i="76"/>
  <c r="AE30" i="90"/>
  <c r="AC13" i="76"/>
  <c r="AC30" i="90"/>
  <c r="AA13" i="76"/>
  <c r="AA30" i="90"/>
  <c r="Z13" i="76"/>
  <c r="Z30" i="90"/>
  <c r="Y13" i="76"/>
  <c r="Y30" i="90"/>
  <c r="X13" i="76"/>
  <c r="X30" i="90"/>
  <c r="W13" i="76"/>
  <c r="W30" i="90"/>
  <c r="V13" i="76"/>
  <c r="V30" i="90"/>
  <c r="U108" i="75"/>
  <c r="AB13" i="75"/>
  <c r="N108" i="75"/>
  <c r="I13" i="76"/>
  <c r="I30" i="90"/>
  <c r="H13" i="76"/>
  <c r="H30" i="90"/>
  <c r="G13" i="76"/>
  <c r="G30" i="90"/>
  <c r="F13" i="76"/>
  <c r="F30" i="90"/>
  <c r="E13" i="76"/>
  <c r="E30" i="90"/>
  <c r="K13" i="75"/>
  <c r="M13" i="75" s="1"/>
  <c r="O13" i="75" s="1"/>
  <c r="D108" i="75"/>
  <c r="Z12" i="76"/>
  <c r="Z29" i="90"/>
  <c r="AE11" i="76"/>
  <c r="AE28" i="90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06" i="75"/>
  <c r="N106" i="75"/>
  <c r="AB11" i="75"/>
  <c r="I11" i="76"/>
  <c r="I28" i="90"/>
  <c r="H11" i="76"/>
  <c r="H28" i="90"/>
  <c r="G11" i="76"/>
  <c r="G28" i="90"/>
  <c r="F11" i="76"/>
  <c r="F28" i="90"/>
  <c r="E11" i="76"/>
  <c r="E28" i="90"/>
  <c r="D106" i="75"/>
  <c r="K11" i="75"/>
  <c r="M11" i="75" s="1"/>
  <c r="O11" i="75" s="1"/>
  <c r="Z10" i="76"/>
  <c r="Z27" i="90"/>
  <c r="AE14" i="75"/>
  <c r="AE104" i="75"/>
  <c r="AC14" i="75"/>
  <c r="AC104" i="75"/>
  <c r="AA14" i="75"/>
  <c r="AA104" i="75"/>
  <c r="Z14" i="75"/>
  <c r="Z104" i="75"/>
  <c r="Y104" i="75"/>
  <c r="Y14" i="75"/>
  <c r="X104" i="75"/>
  <c r="X14" i="75"/>
  <c r="W104" i="75"/>
  <c r="W14" i="75"/>
  <c r="V14" i="75"/>
  <c r="V104" i="75"/>
  <c r="U14" i="75"/>
  <c r="Y16" i="75" s="1"/>
  <c r="U104" i="75"/>
  <c r="N104" i="75"/>
  <c r="N14" i="75"/>
  <c r="AB9" i="75"/>
  <c r="AF9" i="75" s="1"/>
  <c r="I14" i="75"/>
  <c r="I104" i="75"/>
  <c r="H14" i="75"/>
  <c r="H104" i="75"/>
  <c r="G14" i="75"/>
  <c r="G104" i="75"/>
  <c r="F14" i="75"/>
  <c r="F104" i="75"/>
  <c r="E14" i="75"/>
  <c r="E104" i="75"/>
  <c r="D14" i="75"/>
  <c r="D104" i="75"/>
  <c r="K9" i="75"/>
  <c r="Y7" i="75"/>
  <c r="K122" i="75"/>
  <c r="K27" i="76" s="1"/>
  <c r="K102" i="75"/>
  <c r="K83" i="75"/>
  <c r="Y83" i="75" s="1"/>
  <c r="K64" i="75"/>
  <c r="Y64" i="75" s="1"/>
  <c r="K45" i="75"/>
  <c r="Y45" i="75" s="1"/>
  <c r="K26" i="75"/>
  <c r="Y26" i="75" s="1"/>
  <c r="G64" i="75"/>
  <c r="V64" i="75" s="1"/>
  <c r="V7" i="75"/>
  <c r="G102" i="75"/>
  <c r="G122" i="75"/>
  <c r="H27" i="76" s="1"/>
  <c r="G83" i="75"/>
  <c r="V83" i="75" s="1"/>
  <c r="G45" i="75"/>
  <c r="V45" i="75" s="1"/>
  <c r="G26" i="75"/>
  <c r="V26" i="75" s="1"/>
  <c r="D102" i="75"/>
  <c r="D7" i="76" s="1"/>
  <c r="D45" i="75"/>
  <c r="D64" i="75"/>
  <c r="D26" i="75"/>
  <c r="D83" i="75"/>
  <c r="D101" i="75"/>
  <c r="D6" i="76" s="1"/>
  <c r="D25" i="75"/>
  <c r="D44" i="75"/>
  <c r="D82" i="75"/>
  <c r="D63" i="75"/>
  <c r="N60" i="75"/>
  <c r="AD60" i="75" s="1"/>
  <c r="N98" i="75"/>
  <c r="M117" i="75"/>
  <c r="N22" i="76" s="1"/>
  <c r="AD3" i="75"/>
  <c r="N22" i="75"/>
  <c r="AD22" i="75" s="1"/>
  <c r="N41" i="75"/>
  <c r="AD41" i="75" s="1"/>
  <c r="N79" i="75"/>
  <c r="AD79" i="75" s="1"/>
  <c r="C9" i="36"/>
  <c r="C15" i="36" s="1"/>
  <c r="E35" i="39"/>
  <c r="E11" i="91"/>
  <c r="L8" i="36"/>
  <c r="E131" i="22"/>
  <c r="K27" i="39"/>
  <c r="K27" i="88"/>
  <c r="H27" i="39"/>
  <c r="H27" i="88"/>
  <c r="N22" i="39"/>
  <c r="N22" i="88"/>
  <c r="Y102" i="22"/>
  <c r="K7" i="88"/>
  <c r="Y7" i="88" s="1"/>
  <c r="K7" i="39"/>
  <c r="Y7" i="39" s="1"/>
  <c r="G7" i="39"/>
  <c r="V7" i="39" s="1"/>
  <c r="V102" i="22"/>
  <c r="G7" i="88"/>
  <c r="V7" i="88" s="1"/>
  <c r="D7" i="88"/>
  <c r="D7" i="39"/>
  <c r="D6" i="88"/>
  <c r="D6" i="39"/>
  <c r="N3" i="88"/>
  <c r="AD3" i="88" s="1"/>
  <c r="AD98" i="22"/>
  <c r="N3" i="39"/>
  <c r="AD3" i="39" s="1"/>
  <c r="L13" i="79"/>
  <c r="L108" i="22"/>
  <c r="Z13" i="22"/>
  <c r="Z108" i="22" s="1"/>
  <c r="L107" i="22"/>
  <c r="Z12" i="22"/>
  <c r="Z107" i="22" s="1"/>
  <c r="L12" i="79"/>
  <c r="L106" i="22"/>
  <c r="Z11" i="22"/>
  <c r="Z106" i="22" s="1"/>
  <c r="L11" i="79"/>
  <c r="L10" i="79"/>
  <c r="L105" i="22"/>
  <c r="Z10" i="22"/>
  <c r="Z105" i="22" s="1"/>
  <c r="Z9" i="22"/>
  <c r="L104" i="22"/>
  <c r="L14" i="22"/>
  <c r="L9" i="79"/>
  <c r="K32" i="95"/>
  <c r="O31" i="95"/>
  <c r="J89" i="22"/>
  <c r="J89" i="97"/>
  <c r="J108" i="97" s="1"/>
  <c r="J88" i="22"/>
  <c r="J88" i="75"/>
  <c r="J87" i="22"/>
  <c r="J87" i="97"/>
  <c r="J86" i="75"/>
  <c r="J86" i="22"/>
  <c r="Z52" i="69"/>
  <c r="Z85" i="97"/>
  <c r="J85" i="22"/>
  <c r="J85" i="75"/>
  <c r="J85" i="97"/>
  <c r="J52" i="69"/>
  <c r="K26" i="69"/>
  <c r="Y26" i="69" s="1"/>
  <c r="Y7" i="69"/>
  <c r="K45" i="69"/>
  <c r="Y45" i="69" s="1"/>
  <c r="H26" i="69"/>
  <c r="V26" i="69" s="1"/>
  <c r="V7" i="69"/>
  <c r="H45" i="69"/>
  <c r="V45" i="69" s="1"/>
  <c r="D26" i="69"/>
  <c r="D45" i="69"/>
  <c r="D25" i="69"/>
  <c r="D44" i="69"/>
  <c r="AC3" i="69"/>
  <c r="N22" i="69"/>
  <c r="AC22" i="69" s="1"/>
  <c r="N41" i="69"/>
  <c r="AC41" i="69" s="1"/>
  <c r="AD33" i="69"/>
  <c r="AC28" i="69"/>
  <c r="AC33" i="69" s="1"/>
  <c r="U33" i="69"/>
  <c r="Y35" i="69" s="1"/>
  <c r="AB28" i="69"/>
  <c r="N33" i="69"/>
  <c r="K28" i="69"/>
  <c r="D33" i="69"/>
  <c r="AD51" i="69"/>
  <c r="AC13" i="69"/>
  <c r="AC51" i="69" s="1"/>
  <c r="AA89" i="22"/>
  <c r="AA89" i="79"/>
  <c r="AA108" i="79" s="1"/>
  <c r="AA89" i="97"/>
  <c r="AA108" i="97" s="1"/>
  <c r="Y89" i="22"/>
  <c r="Y89" i="97"/>
  <c r="Y89" i="79"/>
  <c r="Y108" i="79" s="1"/>
  <c r="X89" i="22"/>
  <c r="X89" i="79"/>
  <c r="X108" i="79" s="1"/>
  <c r="X89" i="97"/>
  <c r="W89" i="22"/>
  <c r="W89" i="97"/>
  <c r="W89" i="79"/>
  <c r="W108" i="79" s="1"/>
  <c r="V89" i="22"/>
  <c r="V89" i="79"/>
  <c r="V108" i="79" s="1"/>
  <c r="V89" i="97"/>
  <c r="U51" i="69"/>
  <c r="AB13" i="69"/>
  <c r="N51" i="69"/>
  <c r="I89" i="22"/>
  <c r="I108" i="22" s="1"/>
  <c r="I89" i="79"/>
  <c r="I108" i="79" s="1"/>
  <c r="I89" i="97"/>
  <c r="H89" i="22"/>
  <c r="H108" i="22" s="1"/>
  <c r="H89" i="97"/>
  <c r="H89" i="79"/>
  <c r="H108" i="79" s="1"/>
  <c r="G89" i="22"/>
  <c r="G108" i="22" s="1"/>
  <c r="G89" i="97"/>
  <c r="G89" i="79"/>
  <c r="G108" i="79" s="1"/>
  <c r="F89" i="22"/>
  <c r="F108" i="22" s="1"/>
  <c r="F89" i="97"/>
  <c r="F89" i="79"/>
  <c r="F108" i="79" s="1"/>
  <c r="E89" i="22"/>
  <c r="E108" i="22" s="1"/>
  <c r="E89" i="79"/>
  <c r="E108" i="79" s="1"/>
  <c r="E89" i="97"/>
  <c r="K13" i="69"/>
  <c r="M13" i="69" s="1"/>
  <c r="O13" i="69" s="1"/>
  <c r="D51" i="69"/>
  <c r="AD50" i="69"/>
  <c r="AC12" i="69"/>
  <c r="AC50" i="69" s="1"/>
  <c r="AA88" i="22"/>
  <c r="AA88" i="75"/>
  <c r="AA107" i="75" s="1"/>
  <c r="AA29" i="90" s="1"/>
  <c r="Y88" i="22"/>
  <c r="Y88" i="75"/>
  <c r="Y107" i="75" s="1"/>
  <c r="X88" i="22"/>
  <c r="X88" i="75"/>
  <c r="X107" i="75" s="1"/>
  <c r="W88" i="22"/>
  <c r="W88" i="75"/>
  <c r="W107" i="75" s="1"/>
  <c r="V88" i="22"/>
  <c r="V88" i="75"/>
  <c r="V107" i="75" s="1"/>
  <c r="U50" i="69"/>
  <c r="AB12" i="69"/>
  <c r="N50" i="69"/>
  <c r="I88" i="22"/>
  <c r="I88" i="75"/>
  <c r="I107" i="75" s="1"/>
  <c r="H88" i="22"/>
  <c r="H88" i="75"/>
  <c r="H107" i="75" s="1"/>
  <c r="G88" i="22"/>
  <c r="G88" i="75"/>
  <c r="G107" i="75" s="1"/>
  <c r="F88" i="22"/>
  <c r="F88" i="75"/>
  <c r="F107" i="75" s="1"/>
  <c r="E88" i="22"/>
  <c r="E88" i="75"/>
  <c r="E107" i="75" s="1"/>
  <c r="K12" i="69"/>
  <c r="M12" i="69" s="1"/>
  <c r="O12" i="69" s="1"/>
  <c r="D50" i="69"/>
  <c r="AD49" i="69"/>
  <c r="AC11" i="69"/>
  <c r="AC49" i="69" s="1"/>
  <c r="AD87" i="79" s="1"/>
  <c r="AA87" i="22"/>
  <c r="AA87" i="97"/>
  <c r="AA87" i="79"/>
  <c r="AA106" i="79" s="1"/>
  <c r="Y87" i="22"/>
  <c r="Y87" i="79"/>
  <c r="Y106" i="79" s="1"/>
  <c r="X87" i="22"/>
  <c r="X87" i="79"/>
  <c r="X106" i="79" s="1"/>
  <c r="W87" i="22"/>
  <c r="W87" i="79"/>
  <c r="W106" i="79" s="1"/>
  <c r="V87" i="22"/>
  <c r="V87" i="79"/>
  <c r="V106" i="79" s="1"/>
  <c r="U49" i="69"/>
  <c r="AB11" i="69"/>
  <c r="N49" i="69"/>
  <c r="I87" i="22"/>
  <c r="I87" i="79"/>
  <c r="I106" i="79" s="1"/>
  <c r="H87" i="22"/>
  <c r="H87" i="79"/>
  <c r="H106" i="79" s="1"/>
  <c r="G87" i="22"/>
  <c r="G87" i="79"/>
  <c r="G106" i="79" s="1"/>
  <c r="F87" i="22"/>
  <c r="F87" i="79"/>
  <c r="F106" i="79" s="1"/>
  <c r="E87" i="22"/>
  <c r="E87" i="79"/>
  <c r="E106" i="79" s="1"/>
  <c r="K11" i="69"/>
  <c r="M11" i="69" s="1"/>
  <c r="O11" i="69" s="1"/>
  <c r="D49" i="69"/>
  <c r="AD48" i="69"/>
  <c r="AC10" i="69"/>
  <c r="AC48" i="69" s="1"/>
  <c r="AA86" i="22"/>
  <c r="AA86" i="75"/>
  <c r="Y86" i="22"/>
  <c r="Y86" i="75"/>
  <c r="X86" i="22"/>
  <c r="X86" i="75"/>
  <c r="W86" i="22"/>
  <c r="W86" i="75"/>
  <c r="V86" i="22"/>
  <c r="V86" i="75"/>
  <c r="U48" i="69"/>
  <c r="AB10" i="69"/>
  <c r="N48" i="69"/>
  <c r="I86" i="22"/>
  <c r="I105" i="22" s="1"/>
  <c r="I86" i="75"/>
  <c r="H86" i="22"/>
  <c r="H105" i="22" s="1"/>
  <c r="H86" i="75"/>
  <c r="G86" i="22"/>
  <c r="G105" i="22" s="1"/>
  <c r="G86" i="75"/>
  <c r="F86" i="22"/>
  <c r="F105" i="22" s="1"/>
  <c r="F86" i="75"/>
  <c r="E86" i="22"/>
  <c r="E105" i="22" s="1"/>
  <c r="E86" i="75"/>
  <c r="K10" i="69"/>
  <c r="M10" i="69" s="1"/>
  <c r="O10" i="69" s="1"/>
  <c r="D48" i="69"/>
  <c r="AD14" i="69"/>
  <c r="AD47" i="69"/>
  <c r="AC9" i="69"/>
  <c r="AA14" i="69"/>
  <c r="AA47" i="69"/>
  <c r="Y14" i="69"/>
  <c r="Y47" i="69"/>
  <c r="X14" i="69"/>
  <c r="X47" i="69"/>
  <c r="W14" i="69"/>
  <c r="W47" i="69"/>
  <c r="V14" i="69"/>
  <c r="V47" i="69"/>
  <c r="U14" i="69"/>
  <c r="Y16" i="69" s="1"/>
  <c r="U47" i="69"/>
  <c r="AB9" i="69"/>
  <c r="AE9" i="69" s="1"/>
  <c r="N14" i="69"/>
  <c r="N47" i="69"/>
  <c r="I14" i="69"/>
  <c r="I47" i="69"/>
  <c r="H14" i="69"/>
  <c r="H47" i="69"/>
  <c r="G14" i="69"/>
  <c r="G47" i="69"/>
  <c r="F14" i="69"/>
  <c r="F47" i="69"/>
  <c r="E14" i="69"/>
  <c r="E47" i="69"/>
  <c r="K9" i="69"/>
  <c r="D14" i="69"/>
  <c r="D47" i="69"/>
  <c r="K70" i="85"/>
  <c r="M70" i="85" s="1"/>
  <c r="O70" i="85" s="1"/>
  <c r="AG70" i="85" s="1"/>
  <c r="AH70" i="85" s="1"/>
  <c r="J129" i="85"/>
  <c r="G146" i="85"/>
  <c r="M7" i="83"/>
  <c r="K70" i="22"/>
  <c r="M70" i="22" s="1"/>
  <c r="O70" i="22" s="1"/>
  <c r="AG70" i="22" s="1"/>
  <c r="AH70" i="22" s="1"/>
  <c r="J129" i="22"/>
  <c r="G146" i="22"/>
  <c r="M7" i="36"/>
  <c r="J128" i="85"/>
  <c r="G145" i="85"/>
  <c r="M6" i="83"/>
  <c r="K69" i="85"/>
  <c r="M69" i="85" s="1"/>
  <c r="O69" i="85" s="1"/>
  <c r="AG69" i="85" s="1"/>
  <c r="AH69" i="85" s="1"/>
  <c r="K69" i="75"/>
  <c r="M69" i="75" s="1"/>
  <c r="O69" i="75" s="1"/>
  <c r="J128" i="75"/>
  <c r="G145" i="75"/>
  <c r="M6" i="77"/>
  <c r="K69" i="22"/>
  <c r="M69" i="22" s="1"/>
  <c r="O69" i="22" s="1"/>
  <c r="J128" i="22"/>
  <c r="G145" i="22"/>
  <c r="M6" i="36"/>
  <c r="K68" i="85"/>
  <c r="M68" i="85" s="1"/>
  <c r="O68" i="85" s="1"/>
  <c r="AG68" i="85" s="1"/>
  <c r="AH68" i="85" s="1"/>
  <c r="J127" i="85"/>
  <c r="G144" i="85"/>
  <c r="M5" i="83"/>
  <c r="K68" i="22"/>
  <c r="M68" i="22" s="1"/>
  <c r="O68" i="22" s="1"/>
  <c r="AG68" i="22" s="1"/>
  <c r="AH68" i="22" s="1"/>
  <c r="J127" i="22"/>
  <c r="G144" i="22"/>
  <c r="M5" i="36"/>
  <c r="K67" i="85"/>
  <c r="M67" i="85" s="1"/>
  <c r="O67" i="85" s="1"/>
  <c r="J126" i="85"/>
  <c r="G143" i="85"/>
  <c r="M4" i="83"/>
  <c r="K67" i="75"/>
  <c r="M67" i="75" s="1"/>
  <c r="O67" i="75" s="1"/>
  <c r="J126" i="75"/>
  <c r="G143" i="75"/>
  <c r="M4" i="77"/>
  <c r="K67" i="22"/>
  <c r="M67" i="22" s="1"/>
  <c r="O67" i="22" s="1"/>
  <c r="J126" i="22"/>
  <c r="G143" i="22"/>
  <c r="M4" i="36"/>
  <c r="AE71" i="85"/>
  <c r="AD66" i="85"/>
  <c r="AD71" i="85" s="1"/>
  <c r="N71" i="85"/>
  <c r="AB66" i="85"/>
  <c r="AB71" i="85" s="1"/>
  <c r="U71" i="85"/>
  <c r="AF66" i="85"/>
  <c r="K66" i="85"/>
  <c r="D71" i="85"/>
  <c r="J125" i="85"/>
  <c r="G142" i="85"/>
  <c r="G147" i="85" s="1"/>
  <c r="M3" i="83"/>
  <c r="K66" i="79"/>
  <c r="D71" i="79"/>
  <c r="J125" i="79"/>
  <c r="G142" i="79"/>
  <c r="M3" i="80"/>
  <c r="D382" i="61"/>
  <c r="AE66" i="22"/>
  <c r="AC66" i="22"/>
  <c r="AC71" i="22" s="1"/>
  <c r="Q381" i="61"/>
  <c r="N66" i="22"/>
  <c r="P381" i="61"/>
  <c r="AA66" i="22"/>
  <c r="AA71" i="22" s="1"/>
  <c r="O381" i="61"/>
  <c r="Y66" i="22"/>
  <c r="Y71" i="22" s="1"/>
  <c r="N381" i="61"/>
  <c r="X66" i="22"/>
  <c r="X71" i="22" s="1"/>
  <c r="M381" i="61"/>
  <c r="W66" i="22"/>
  <c r="W71" i="22" s="1"/>
  <c r="L381" i="61"/>
  <c r="V66" i="22"/>
  <c r="V71" i="22" s="1"/>
  <c r="K381" i="61"/>
  <c r="U66" i="22"/>
  <c r="J381" i="61"/>
  <c r="I66" i="22"/>
  <c r="I71" i="22" s="1"/>
  <c r="I381" i="61"/>
  <c r="H66" i="22"/>
  <c r="H71" i="22" s="1"/>
  <c r="H381" i="61"/>
  <c r="G66" i="22"/>
  <c r="G71" i="22" s="1"/>
  <c r="G381" i="61"/>
  <c r="F66" i="22"/>
  <c r="F71" i="22" s="1"/>
  <c r="F381" i="61"/>
  <c r="E66" i="22"/>
  <c r="E71" i="22" s="1"/>
  <c r="E381" i="61"/>
  <c r="D66" i="22"/>
  <c r="D381" i="61"/>
  <c r="H129" i="85"/>
  <c r="F146" i="85"/>
  <c r="E7" i="83"/>
  <c r="K32" i="85"/>
  <c r="M32" i="85" s="1"/>
  <c r="O32" i="85" s="1"/>
  <c r="K32" i="97"/>
  <c r="M32" i="97" s="1"/>
  <c r="O32" i="97" s="1"/>
  <c r="H129" i="97"/>
  <c r="F146" i="97"/>
  <c r="E7" i="98"/>
  <c r="K32" i="79"/>
  <c r="M32" i="79" s="1"/>
  <c r="O32" i="79" s="1"/>
  <c r="E7" i="80"/>
  <c r="H129" i="79"/>
  <c r="F146" i="79"/>
  <c r="K32" i="22"/>
  <c r="M32" i="22" s="1"/>
  <c r="O32" i="22" s="1"/>
  <c r="H129" i="22"/>
  <c r="F146" i="22"/>
  <c r="E7" i="36"/>
  <c r="H128" i="85"/>
  <c r="F145" i="85"/>
  <c r="E6" i="83"/>
  <c r="K31" i="85"/>
  <c r="M31" i="85" s="1"/>
  <c r="O31" i="85" s="1"/>
  <c r="K31" i="79"/>
  <c r="M31" i="79" s="1"/>
  <c r="O31" i="79" s="1"/>
  <c r="F145" i="79"/>
  <c r="H128" i="79"/>
  <c r="E6" i="80"/>
  <c r="K31" i="75"/>
  <c r="M31" i="75" s="1"/>
  <c r="O31" i="75" s="1"/>
  <c r="H128" i="75"/>
  <c r="F145" i="75"/>
  <c r="E6" i="77"/>
  <c r="K31" i="22"/>
  <c r="M31" i="22" s="1"/>
  <c r="O31" i="22" s="1"/>
  <c r="H128" i="22"/>
  <c r="F145" i="22"/>
  <c r="E6" i="36"/>
  <c r="K30" i="85"/>
  <c r="M30" i="85" s="1"/>
  <c r="O30" i="85" s="1"/>
  <c r="H127" i="85"/>
  <c r="F144" i="85"/>
  <c r="E5" i="83"/>
  <c r="K30" i="79"/>
  <c r="M30" i="79" s="1"/>
  <c r="O30" i="79" s="1"/>
  <c r="F144" i="79"/>
  <c r="E5" i="80"/>
  <c r="H127" i="79"/>
  <c r="K30" i="22"/>
  <c r="M30" i="22" s="1"/>
  <c r="O30" i="22" s="1"/>
  <c r="H127" i="22"/>
  <c r="F144" i="22"/>
  <c r="E5" i="36"/>
  <c r="H126" i="85"/>
  <c r="F143" i="85"/>
  <c r="E4" i="83"/>
  <c r="K29" i="85"/>
  <c r="M29" i="85" s="1"/>
  <c r="O29" i="85" s="1"/>
  <c r="K29" i="79"/>
  <c r="M29" i="79" s="1"/>
  <c r="O29" i="79" s="1"/>
  <c r="H126" i="79"/>
  <c r="F143" i="79"/>
  <c r="E4" i="80"/>
  <c r="K29" i="75"/>
  <c r="M29" i="75" s="1"/>
  <c r="O29" i="75" s="1"/>
  <c r="H126" i="75"/>
  <c r="F143" i="75"/>
  <c r="E4" i="77"/>
  <c r="K29" i="22"/>
  <c r="M29" i="22" s="1"/>
  <c r="O29" i="22" s="1"/>
  <c r="H126" i="22"/>
  <c r="F143" i="22"/>
  <c r="E4" i="36"/>
  <c r="AD28" i="85"/>
  <c r="AD33" i="85" s="1"/>
  <c r="AE33" i="85"/>
  <c r="U33" i="85"/>
  <c r="Y35" i="85" s="1"/>
  <c r="N33" i="85"/>
  <c r="AB28" i="85"/>
  <c r="K28" i="85"/>
  <c r="D33" i="85"/>
  <c r="H125" i="85"/>
  <c r="F142" i="85"/>
  <c r="F147" i="85" s="1"/>
  <c r="E3" i="83"/>
  <c r="E9" i="83" s="1"/>
  <c r="F23" i="36" s="1"/>
  <c r="AE33" i="79"/>
  <c r="AD28" i="79"/>
  <c r="AD33" i="79" s="1"/>
  <c r="U33" i="79"/>
  <c r="Y35" i="79" s="1"/>
  <c r="AB28" i="79"/>
  <c r="N33" i="79"/>
  <c r="K28" i="79"/>
  <c r="D33" i="79"/>
  <c r="F142" i="79"/>
  <c r="F147" i="79" s="1"/>
  <c r="E3" i="80"/>
  <c r="E9" i="80" s="1"/>
  <c r="F21" i="36" s="1"/>
  <c r="H125" i="79"/>
  <c r="AE33" i="22"/>
  <c r="AD28" i="22"/>
  <c r="AD33" i="22" s="1"/>
  <c r="U33" i="22"/>
  <c r="Y35" i="22" s="1"/>
  <c r="AB28" i="22"/>
  <c r="N33" i="22"/>
  <c r="K28" i="22"/>
  <c r="D33" i="22"/>
  <c r="H125" i="22"/>
  <c r="F142" i="22"/>
  <c r="F147" i="22" s="1"/>
  <c r="E3" i="36"/>
  <c r="E9" i="36" s="1"/>
  <c r="J13" i="22"/>
  <c r="I7" i="64"/>
  <c r="I6" i="64"/>
  <c r="J12" i="22"/>
  <c r="J11" i="22"/>
  <c r="I5" i="64"/>
  <c r="I4" i="64"/>
  <c r="J10" i="22"/>
  <c r="I3" i="64"/>
  <c r="F9" i="64"/>
  <c r="J9" i="22"/>
  <c r="L81" i="91"/>
  <c r="L34" i="88"/>
  <c r="L34" i="82"/>
  <c r="L67" i="91"/>
  <c r="L53" i="91"/>
  <c r="L34" i="99"/>
  <c r="L34" i="81"/>
  <c r="L39" i="91"/>
  <c r="L34" i="76"/>
  <c r="L25" i="91"/>
  <c r="L33" i="88"/>
  <c r="L80" i="91"/>
  <c r="L33" i="82"/>
  <c r="L66" i="91"/>
  <c r="L52" i="91"/>
  <c r="L33" i="99"/>
  <c r="L33" i="81"/>
  <c r="L38" i="91"/>
  <c r="L33" i="76"/>
  <c r="L24" i="91"/>
  <c r="L32" i="88"/>
  <c r="L79" i="91"/>
  <c r="L32" i="82"/>
  <c r="L65" i="91"/>
  <c r="L32" i="99"/>
  <c r="L51" i="91"/>
  <c r="L37" i="91"/>
  <c r="L32" i="81"/>
  <c r="L32" i="76"/>
  <c r="L23" i="91"/>
  <c r="L31" i="88"/>
  <c r="L78" i="91"/>
  <c r="L31" i="82"/>
  <c r="L64" i="91"/>
  <c r="L31" i="99"/>
  <c r="L50" i="91"/>
  <c r="L31" i="81"/>
  <c r="L36" i="91"/>
  <c r="L31" i="76"/>
  <c r="L22" i="91"/>
  <c r="L125" i="86"/>
  <c r="R26" i="56"/>
  <c r="R27" i="56" s="1"/>
  <c r="L125" i="85"/>
  <c r="O26" i="56"/>
  <c r="O27" i="56" s="1"/>
  <c r="L125" i="97"/>
  <c r="L26" i="56"/>
  <c r="L27" i="56" s="1"/>
  <c r="L125" i="79"/>
  <c r="I26" i="56"/>
  <c r="I27" i="56" s="1"/>
  <c r="L125" i="75"/>
  <c r="F26" i="56"/>
  <c r="F27" i="56" s="1"/>
  <c r="K34" i="88"/>
  <c r="K81" i="91"/>
  <c r="K34" i="82"/>
  <c r="K67" i="91"/>
  <c r="K34" i="99"/>
  <c r="K53" i="91"/>
  <c r="K34" i="81"/>
  <c r="K39" i="91"/>
  <c r="K34" i="76"/>
  <c r="K25" i="91"/>
  <c r="K80" i="91"/>
  <c r="K33" i="88"/>
  <c r="K33" i="82"/>
  <c r="K66" i="91"/>
  <c r="K33" i="99"/>
  <c r="K52" i="91"/>
  <c r="K33" i="81"/>
  <c r="K38" i="91"/>
  <c r="K33" i="76"/>
  <c r="K24" i="91"/>
  <c r="K79" i="91"/>
  <c r="K32" i="88"/>
  <c r="K32" i="82"/>
  <c r="K65" i="91"/>
  <c r="K32" i="99"/>
  <c r="K51" i="91"/>
  <c r="K32" i="81"/>
  <c r="K37" i="91"/>
  <c r="K32" i="76"/>
  <c r="K23" i="91"/>
  <c r="K78" i="91"/>
  <c r="K31" i="88"/>
  <c r="K31" i="82"/>
  <c r="K64" i="91"/>
  <c r="K31" i="99"/>
  <c r="K50" i="91"/>
  <c r="K31" i="81"/>
  <c r="K36" i="91"/>
  <c r="K31" i="76"/>
  <c r="K22" i="91"/>
  <c r="K125" i="86"/>
  <c r="R17" i="56"/>
  <c r="R18" i="56" s="1"/>
  <c r="K125" i="85"/>
  <c r="O17" i="56"/>
  <c r="O18" i="56" s="1"/>
  <c r="L17" i="56"/>
  <c r="L18" i="56" s="1"/>
  <c r="K125" i="97"/>
  <c r="K125" i="79"/>
  <c r="I17" i="56"/>
  <c r="I18" i="56" s="1"/>
  <c r="F17" i="56"/>
  <c r="F18" i="56" s="1"/>
  <c r="K125" i="75"/>
  <c r="D81" i="91"/>
  <c r="K7" i="87"/>
  <c r="D34" i="88"/>
  <c r="K7" i="83"/>
  <c r="D34" i="82"/>
  <c r="D67" i="91"/>
  <c r="K7" i="98"/>
  <c r="D34" i="99"/>
  <c r="D53" i="91"/>
  <c r="D34" i="81"/>
  <c r="K7" i="80"/>
  <c r="D39" i="91"/>
  <c r="K7" i="77"/>
  <c r="D34" i="76"/>
  <c r="D25" i="91"/>
  <c r="K6" i="87"/>
  <c r="D80" i="91"/>
  <c r="D33" i="88"/>
  <c r="K6" i="83"/>
  <c r="D33" i="82"/>
  <c r="D66" i="91"/>
  <c r="D145" i="97"/>
  <c r="D52" i="91"/>
  <c r="K6" i="98"/>
  <c r="D33" i="99"/>
  <c r="D38" i="91"/>
  <c r="K6" i="80"/>
  <c r="D33" i="81"/>
  <c r="K6" i="77"/>
  <c r="D33" i="76"/>
  <c r="D24" i="91"/>
  <c r="D79" i="91"/>
  <c r="K5" i="87"/>
  <c r="D32" i="88"/>
  <c r="K5" i="83"/>
  <c r="D32" i="82"/>
  <c r="D65" i="91"/>
  <c r="K5" i="98"/>
  <c r="D51" i="91"/>
  <c r="D32" i="99"/>
  <c r="K5" i="80"/>
  <c r="D37" i="91"/>
  <c r="D32" i="81"/>
  <c r="K5" i="77"/>
  <c r="D32" i="76"/>
  <c r="D23" i="91"/>
  <c r="D31" i="88"/>
  <c r="K4" i="87"/>
  <c r="D78" i="91"/>
  <c r="K4" i="83"/>
  <c r="D31" i="82"/>
  <c r="D64" i="91"/>
  <c r="D50" i="91"/>
  <c r="K4" i="98"/>
  <c r="D31" i="99"/>
  <c r="K4" i="80"/>
  <c r="D31" i="81"/>
  <c r="D36" i="91"/>
  <c r="K4" i="77"/>
  <c r="D31" i="76"/>
  <c r="D22" i="91"/>
  <c r="D125" i="86"/>
  <c r="R8" i="56"/>
  <c r="R9" i="56" s="1"/>
  <c r="O8" i="56"/>
  <c r="O9" i="56" s="1"/>
  <c r="D125" i="85"/>
  <c r="L8" i="56"/>
  <c r="L9" i="56" s="1"/>
  <c r="D125" i="97"/>
  <c r="I8" i="56"/>
  <c r="I9" i="56" s="1"/>
  <c r="D125" i="79"/>
  <c r="D125" i="75"/>
  <c r="F8" i="56"/>
  <c r="F9" i="56" s="1"/>
  <c r="L34" i="39"/>
  <c r="L10" i="91"/>
  <c r="L96" i="91" s="1"/>
  <c r="K34" i="39"/>
  <c r="K10" i="91"/>
  <c r="K96" i="91" s="1"/>
  <c r="L33" i="39"/>
  <c r="L9" i="91"/>
  <c r="L95" i="91" s="1"/>
  <c r="K33" i="39"/>
  <c r="K9" i="91"/>
  <c r="K95" i="91" s="1"/>
  <c r="L32" i="39"/>
  <c r="L8" i="91"/>
  <c r="L94" i="91" s="1"/>
  <c r="K32" i="39"/>
  <c r="K8" i="91"/>
  <c r="K94" i="91" s="1"/>
  <c r="L31" i="39"/>
  <c r="L7" i="91"/>
  <c r="L93" i="91" s="1"/>
  <c r="K31" i="39"/>
  <c r="K7" i="91"/>
  <c r="K93" i="91" s="1"/>
  <c r="N4" i="70"/>
  <c r="C21" i="56"/>
  <c r="C12" i="56"/>
  <c r="M4" i="70"/>
  <c r="N3" i="70"/>
  <c r="D5" i="70"/>
  <c r="D6" i="70" s="1"/>
  <c r="C5" i="70"/>
  <c r="C6" i="70" s="1"/>
  <c r="M3" i="70"/>
  <c r="M5" i="70" s="1"/>
  <c r="M6" i="70" s="1"/>
  <c r="D79" i="62"/>
  <c r="E79" i="62"/>
  <c r="I146" i="85" s="1"/>
  <c r="F7" i="83" s="1"/>
  <c r="D78" i="62"/>
  <c r="E78" i="62"/>
  <c r="I145" i="85" s="1"/>
  <c r="F6" i="83" s="1"/>
  <c r="E77" i="62"/>
  <c r="I144" i="85" s="1"/>
  <c r="F5" i="83" s="1"/>
  <c r="D77" i="62"/>
  <c r="D76" i="62"/>
  <c r="E76" i="62"/>
  <c r="I143" i="85" s="1"/>
  <c r="F4" i="83" s="1"/>
  <c r="D75" i="62"/>
  <c r="E75" i="62"/>
  <c r="I142" i="85" s="1"/>
  <c r="D73" i="62"/>
  <c r="E73" i="62"/>
  <c r="I146" i="97" s="1"/>
  <c r="F7" i="98" s="1"/>
  <c r="D72" i="62"/>
  <c r="E72" i="62"/>
  <c r="K7" i="36"/>
  <c r="D34" i="39"/>
  <c r="D10" i="91"/>
  <c r="E71" i="62"/>
  <c r="I145" i="97" s="1"/>
  <c r="F6" i="98" s="1"/>
  <c r="D71" i="62"/>
  <c r="D69" i="62"/>
  <c r="E69" i="62"/>
  <c r="E70" i="62"/>
  <c r="I145" i="79" s="1"/>
  <c r="F6" i="80" s="1"/>
  <c r="D70" i="62"/>
  <c r="J42" i="62"/>
  <c r="C6" i="56"/>
  <c r="D128" i="22" s="1"/>
  <c r="I45" i="62"/>
  <c r="J45" i="62" s="1"/>
  <c r="J41" i="62"/>
  <c r="D68" i="62"/>
  <c r="E68" i="62"/>
  <c r="I144" i="97" s="1"/>
  <c r="F5" i="98" s="1"/>
  <c r="E67" i="62"/>
  <c r="D67" i="62"/>
  <c r="J33" i="62"/>
  <c r="C5" i="56"/>
  <c r="D127" i="22" s="1"/>
  <c r="I36" i="62"/>
  <c r="J36" i="62" s="1"/>
  <c r="J32" i="62"/>
  <c r="E66" i="62"/>
  <c r="I143" i="97" s="1"/>
  <c r="F4" i="98" s="1"/>
  <c r="D66" i="62"/>
  <c r="D64" i="62"/>
  <c r="E64" i="62"/>
  <c r="D65" i="62"/>
  <c r="E65" i="62"/>
  <c r="I143" i="79" s="1"/>
  <c r="F4" i="80" s="1"/>
  <c r="J24" i="62"/>
  <c r="C4" i="56"/>
  <c r="D126" i="22" s="1"/>
  <c r="I27" i="62"/>
  <c r="J27" i="62" s="1"/>
  <c r="J23" i="62"/>
  <c r="D63" i="62"/>
  <c r="E63" i="62"/>
  <c r="I142" i="97" s="1"/>
  <c r="E62" i="62"/>
  <c r="D62" i="62"/>
  <c r="C3" i="56"/>
  <c r="J14" i="62"/>
  <c r="J13" i="62"/>
  <c r="I17" i="62"/>
  <c r="J17" i="62" s="1"/>
  <c r="I2" i="62"/>
  <c r="C6" i="62"/>
  <c r="C7" i="62" s="1"/>
  <c r="K51" i="85"/>
  <c r="M51" i="85" s="1"/>
  <c r="O51" i="85" s="1"/>
  <c r="G129" i="85"/>
  <c r="AD13" i="85"/>
  <c r="AE108" i="85"/>
  <c r="AD108" i="85" s="1"/>
  <c r="AC13" i="82"/>
  <c r="AC80" i="90"/>
  <c r="AA13" i="82"/>
  <c r="AA80" i="90"/>
  <c r="Y13" i="82"/>
  <c r="Y80" i="90"/>
  <c r="X13" i="82"/>
  <c r="X80" i="90"/>
  <c r="W13" i="82"/>
  <c r="W80" i="90"/>
  <c r="V80" i="90"/>
  <c r="V13" i="82"/>
  <c r="U108" i="85"/>
  <c r="N108" i="85"/>
  <c r="AB13" i="85"/>
  <c r="I80" i="90"/>
  <c r="I13" i="82"/>
  <c r="H80" i="90"/>
  <c r="H13" i="82"/>
  <c r="G80" i="90"/>
  <c r="G13" i="82"/>
  <c r="F80" i="90"/>
  <c r="F13" i="82"/>
  <c r="E80" i="90"/>
  <c r="E13" i="82"/>
  <c r="K13" i="85"/>
  <c r="M13" i="85" s="1"/>
  <c r="O13" i="85" s="1"/>
  <c r="D108" i="85"/>
  <c r="AD13" i="97"/>
  <c r="AC64" i="90"/>
  <c r="AC13" i="99"/>
  <c r="AA13" i="99"/>
  <c r="AA64" i="90"/>
  <c r="AB13" i="97"/>
  <c r="AF13" i="97" s="1"/>
  <c r="K13" i="97"/>
  <c r="M13" i="97" s="1"/>
  <c r="O13" i="97" s="1"/>
  <c r="K51" i="79"/>
  <c r="M51" i="79" s="1"/>
  <c r="O51" i="79" s="1"/>
  <c r="G129" i="79"/>
  <c r="AC47" i="90"/>
  <c r="AC13" i="81"/>
  <c r="AA47" i="90"/>
  <c r="AA13" i="81"/>
  <c r="Y13" i="81"/>
  <c r="Y47" i="90"/>
  <c r="X13" i="81"/>
  <c r="X47" i="90"/>
  <c r="W47" i="90"/>
  <c r="W13" i="81"/>
  <c r="V13" i="81"/>
  <c r="V47" i="90"/>
  <c r="AB13" i="79"/>
  <c r="I47" i="90"/>
  <c r="I13" i="81"/>
  <c r="H13" i="81"/>
  <c r="H47" i="90"/>
  <c r="G47" i="90"/>
  <c r="G13" i="81"/>
  <c r="F13" i="81"/>
  <c r="F47" i="90"/>
  <c r="E13" i="81"/>
  <c r="E47" i="90"/>
  <c r="K51" i="22"/>
  <c r="M51" i="22" s="1"/>
  <c r="O51" i="22" s="1"/>
  <c r="G129" i="22"/>
  <c r="AE13" i="22"/>
  <c r="AC13" i="39"/>
  <c r="AC13" i="90"/>
  <c r="AA13" i="22"/>
  <c r="AA108" i="22" s="1"/>
  <c r="Y13" i="22"/>
  <c r="Y108" i="22" s="1"/>
  <c r="X13" i="22"/>
  <c r="X108" i="22" s="1"/>
  <c r="W13" i="22"/>
  <c r="W108" i="22" s="1"/>
  <c r="V13" i="22"/>
  <c r="V108" i="22" s="1"/>
  <c r="U13" i="22"/>
  <c r="N13" i="22"/>
  <c r="I13" i="39"/>
  <c r="I27" i="93"/>
  <c r="I36" i="93" s="1"/>
  <c r="I13" i="90"/>
  <c r="H13" i="39"/>
  <c r="H27" i="93"/>
  <c r="H36" i="93" s="1"/>
  <c r="H13" i="90"/>
  <c r="G13" i="39"/>
  <c r="G27" i="93"/>
  <c r="G36" i="93" s="1"/>
  <c r="G13" i="90"/>
  <c r="F13" i="39"/>
  <c r="F27" i="93"/>
  <c r="F36" i="93" s="1"/>
  <c r="F13" i="90"/>
  <c r="E13" i="39"/>
  <c r="E27" i="93"/>
  <c r="E36" i="93" s="1"/>
  <c r="E13" i="90"/>
  <c r="D13" i="22"/>
  <c r="K50" i="85"/>
  <c r="M50" i="85" s="1"/>
  <c r="O50" i="85" s="1"/>
  <c r="G128" i="85"/>
  <c r="AD12" i="85"/>
  <c r="AE107" i="85"/>
  <c r="AD107" i="85" s="1"/>
  <c r="AC79" i="90"/>
  <c r="AC12" i="82"/>
  <c r="AA79" i="90"/>
  <c r="AA12" i="82"/>
  <c r="Y12" i="82"/>
  <c r="Y79" i="90"/>
  <c r="X79" i="90"/>
  <c r="X12" i="82"/>
  <c r="W12" i="82"/>
  <c r="W79" i="90"/>
  <c r="V79" i="90"/>
  <c r="V12" i="82"/>
  <c r="U107" i="85"/>
  <c r="N107" i="85"/>
  <c r="AB12" i="85"/>
  <c r="I12" i="82"/>
  <c r="I79" i="90"/>
  <c r="H79" i="90"/>
  <c r="H12" i="82"/>
  <c r="G12" i="82"/>
  <c r="G79" i="90"/>
  <c r="F79" i="90"/>
  <c r="F12" i="82"/>
  <c r="E12" i="82"/>
  <c r="E79" i="90"/>
  <c r="D107" i="85"/>
  <c r="K12" i="85"/>
  <c r="M12" i="85" s="1"/>
  <c r="O12" i="85" s="1"/>
  <c r="K50" i="79"/>
  <c r="M50" i="79" s="1"/>
  <c r="O50" i="79" s="1"/>
  <c r="AG50" i="79" s="1"/>
  <c r="AH50" i="79" s="1"/>
  <c r="G128" i="79"/>
  <c r="AE12" i="81"/>
  <c r="AE46" i="90"/>
  <c r="AC12" i="81"/>
  <c r="AC46" i="90"/>
  <c r="AA46" i="90"/>
  <c r="AA12" i="81"/>
  <c r="Y12" i="81"/>
  <c r="Y46" i="90"/>
  <c r="X12" i="81"/>
  <c r="X46" i="90"/>
  <c r="W46" i="90"/>
  <c r="W12" i="81"/>
  <c r="V12" i="81"/>
  <c r="V46" i="90"/>
  <c r="U107" i="79"/>
  <c r="AB12" i="79"/>
  <c r="AB107" i="79" s="1"/>
  <c r="N107" i="79"/>
  <c r="I46" i="90"/>
  <c r="I12" i="81"/>
  <c r="H12" i="81"/>
  <c r="H46" i="90"/>
  <c r="G46" i="90"/>
  <c r="G12" i="81"/>
  <c r="F12" i="81"/>
  <c r="F46" i="90"/>
  <c r="E12" i="81"/>
  <c r="E46" i="90"/>
  <c r="D107" i="79"/>
  <c r="K50" i="75"/>
  <c r="M50" i="75" s="1"/>
  <c r="O50" i="75" s="1"/>
  <c r="AG50" i="75" s="1"/>
  <c r="AH50" i="75" s="1"/>
  <c r="G128" i="75"/>
  <c r="AD12" i="75"/>
  <c r="AC12" i="76"/>
  <c r="AC29" i="90"/>
  <c r="AA12" i="76"/>
  <c r="AB12" i="75"/>
  <c r="K12" i="75"/>
  <c r="M12" i="75" s="1"/>
  <c r="O12" i="75" s="1"/>
  <c r="K50" i="22"/>
  <c r="M50" i="22" s="1"/>
  <c r="O50" i="22" s="1"/>
  <c r="AG50" i="22" s="1"/>
  <c r="AH50" i="22" s="1"/>
  <c r="G128" i="22"/>
  <c r="AE12" i="22"/>
  <c r="AC12" i="39"/>
  <c r="AC12" i="90"/>
  <c r="AA12" i="22"/>
  <c r="Y12" i="22"/>
  <c r="X12" i="22"/>
  <c r="W12" i="22"/>
  <c r="V12" i="22"/>
  <c r="U12" i="22"/>
  <c r="N12" i="22"/>
  <c r="I12" i="22"/>
  <c r="H12" i="22"/>
  <c r="G12" i="22"/>
  <c r="F12" i="22"/>
  <c r="E12" i="22"/>
  <c r="D12" i="22"/>
  <c r="G127" i="85"/>
  <c r="K49" i="85"/>
  <c r="M49" i="85" s="1"/>
  <c r="O49" i="85" s="1"/>
  <c r="AD11" i="85"/>
  <c r="AE106" i="85"/>
  <c r="AC11" i="82"/>
  <c r="AC78" i="90"/>
  <c r="AA11" i="82"/>
  <c r="AA78" i="90"/>
  <c r="Y11" i="82"/>
  <c r="Y78" i="90"/>
  <c r="X11" i="82"/>
  <c r="X78" i="90"/>
  <c r="W78" i="90"/>
  <c r="W11" i="82"/>
  <c r="V11" i="82"/>
  <c r="V78" i="90"/>
  <c r="U106" i="85"/>
  <c r="AB11" i="85"/>
  <c r="N106" i="85"/>
  <c r="I11" i="82"/>
  <c r="I78" i="90"/>
  <c r="H11" i="82"/>
  <c r="H78" i="90"/>
  <c r="G78" i="90"/>
  <c r="G11" i="82"/>
  <c r="F11" i="82"/>
  <c r="F78" i="90"/>
  <c r="E78" i="90"/>
  <c r="E11" i="82"/>
  <c r="K11" i="85"/>
  <c r="M11" i="85" s="1"/>
  <c r="O11" i="85" s="1"/>
  <c r="D106" i="85"/>
  <c r="K49" i="79"/>
  <c r="M49" i="79" s="1"/>
  <c r="O49" i="79" s="1"/>
  <c r="AG49" i="79" s="1"/>
  <c r="AH49" i="79" s="1"/>
  <c r="G127" i="79"/>
  <c r="W45" i="90"/>
  <c r="W11" i="81"/>
  <c r="V11" i="81"/>
  <c r="V45" i="90"/>
  <c r="AB11" i="79"/>
  <c r="I45" i="90"/>
  <c r="I11" i="81"/>
  <c r="H11" i="81"/>
  <c r="H45" i="90"/>
  <c r="G45" i="90"/>
  <c r="G11" i="81"/>
  <c r="F11" i="81"/>
  <c r="F45" i="90"/>
  <c r="E11" i="81"/>
  <c r="E45" i="90"/>
  <c r="K49" i="22"/>
  <c r="M49" i="22" s="1"/>
  <c r="O49" i="22" s="1"/>
  <c r="G127" i="22"/>
  <c r="AE11" i="22"/>
  <c r="AC11" i="39"/>
  <c r="AC11" i="90"/>
  <c r="AA11" i="22"/>
  <c r="Y11" i="22"/>
  <c r="X11" i="22"/>
  <c r="W11" i="22"/>
  <c r="V11" i="22"/>
  <c r="V106" i="22" s="1"/>
  <c r="U11" i="22"/>
  <c r="N11" i="22"/>
  <c r="I11" i="22"/>
  <c r="I106" i="22" s="1"/>
  <c r="H11" i="22"/>
  <c r="H106" i="22" s="1"/>
  <c r="G11" i="22"/>
  <c r="G106" i="22" s="1"/>
  <c r="F11" i="22"/>
  <c r="E11" i="22"/>
  <c r="D11" i="22"/>
  <c r="G126" i="85"/>
  <c r="K48" i="85"/>
  <c r="M48" i="85" s="1"/>
  <c r="O48" i="85" s="1"/>
  <c r="AD10" i="85"/>
  <c r="AE105" i="85"/>
  <c r="AC77" i="90"/>
  <c r="AC10" i="82"/>
  <c r="AA10" i="82"/>
  <c r="AA77" i="90"/>
  <c r="Y77" i="90"/>
  <c r="Y10" i="82"/>
  <c r="X10" i="82"/>
  <c r="X77" i="90"/>
  <c r="W77" i="90"/>
  <c r="W10" i="82"/>
  <c r="V10" i="82"/>
  <c r="V77" i="90"/>
  <c r="U105" i="85"/>
  <c r="AB10" i="85"/>
  <c r="N105" i="85"/>
  <c r="I10" i="82"/>
  <c r="I77" i="90"/>
  <c r="H77" i="90"/>
  <c r="H10" i="82"/>
  <c r="G10" i="82"/>
  <c r="G77" i="90"/>
  <c r="F77" i="90"/>
  <c r="F10" i="82"/>
  <c r="E10" i="82"/>
  <c r="E77" i="90"/>
  <c r="K10" i="85"/>
  <c r="M10" i="85" s="1"/>
  <c r="O10" i="85" s="1"/>
  <c r="D105" i="85"/>
  <c r="K48" i="79"/>
  <c r="M48" i="79" s="1"/>
  <c r="O48" i="79" s="1"/>
  <c r="G126" i="79"/>
  <c r="AE10" i="81"/>
  <c r="AE44" i="90"/>
  <c r="AA10" i="81"/>
  <c r="AA44" i="90"/>
  <c r="Y10" i="81"/>
  <c r="Y44" i="90"/>
  <c r="X44" i="90"/>
  <c r="X10" i="81"/>
  <c r="W10" i="81"/>
  <c r="W44" i="90"/>
  <c r="V10" i="81"/>
  <c r="V44" i="90"/>
  <c r="U105" i="79"/>
  <c r="AB10" i="79"/>
  <c r="AB105" i="79" s="1"/>
  <c r="N105" i="79"/>
  <c r="I10" i="81"/>
  <c r="I44" i="90"/>
  <c r="H44" i="90"/>
  <c r="H10" i="81"/>
  <c r="G10" i="81"/>
  <c r="G44" i="90"/>
  <c r="F44" i="90"/>
  <c r="F10" i="81"/>
  <c r="E10" i="81"/>
  <c r="E44" i="90"/>
  <c r="D105" i="79"/>
  <c r="K48" i="75"/>
  <c r="M48" i="75" s="1"/>
  <c r="O48" i="75" s="1"/>
  <c r="G126" i="75"/>
  <c r="AD10" i="75"/>
  <c r="AC10" i="76"/>
  <c r="AC27" i="90"/>
  <c r="AB10" i="75"/>
  <c r="AF10" i="75" s="1"/>
  <c r="K10" i="75"/>
  <c r="M10" i="75" s="1"/>
  <c r="O10" i="75" s="1"/>
  <c r="K48" i="22"/>
  <c r="M48" i="22" s="1"/>
  <c r="O48" i="22" s="1"/>
  <c r="G126" i="22"/>
  <c r="AE10" i="22"/>
  <c r="AA10" i="22"/>
  <c r="AA105" i="22" s="1"/>
  <c r="Y10" i="22"/>
  <c r="Y105" i="22" s="1"/>
  <c r="X10" i="22"/>
  <c r="X105" i="22" s="1"/>
  <c r="W10" i="22"/>
  <c r="W105" i="22" s="1"/>
  <c r="V10" i="22"/>
  <c r="V105" i="22" s="1"/>
  <c r="U10" i="22"/>
  <c r="N10" i="22"/>
  <c r="I10" i="39"/>
  <c r="I24" i="93"/>
  <c r="I33" i="93" s="1"/>
  <c r="I10" i="90"/>
  <c r="H10" i="39"/>
  <c r="H24" i="93"/>
  <c r="H33" i="93" s="1"/>
  <c r="H10" i="90"/>
  <c r="G10" i="39"/>
  <c r="G24" i="93"/>
  <c r="G33" i="93" s="1"/>
  <c r="G10" i="90"/>
  <c r="F10" i="39"/>
  <c r="F24" i="93"/>
  <c r="F33" i="93" s="1"/>
  <c r="F10" i="90"/>
  <c r="E10" i="39"/>
  <c r="E24" i="93"/>
  <c r="E33" i="93" s="1"/>
  <c r="E10" i="90"/>
  <c r="D10" i="22"/>
  <c r="U12" i="89"/>
  <c r="U17" i="89" s="1"/>
  <c r="P17" i="89"/>
  <c r="T19" i="89" s="1"/>
  <c r="J12" i="89"/>
  <c r="D17" i="89"/>
  <c r="AD47" i="85"/>
  <c r="AD52" i="85" s="1"/>
  <c r="AE52" i="85"/>
  <c r="U52" i="85"/>
  <c r="Y54" i="85" s="1"/>
  <c r="AB47" i="85"/>
  <c r="N52" i="85"/>
  <c r="D52" i="85"/>
  <c r="K47" i="85"/>
  <c r="G125" i="85"/>
  <c r="AE14" i="85"/>
  <c r="AD9" i="85"/>
  <c r="AE104" i="85"/>
  <c r="AA14" i="85"/>
  <c r="AA104" i="85"/>
  <c r="Y14" i="85"/>
  <c r="Y104" i="85"/>
  <c r="X14" i="85"/>
  <c r="X104" i="85"/>
  <c r="W104" i="85"/>
  <c r="W14" i="85"/>
  <c r="V104" i="85"/>
  <c r="V14" i="85"/>
  <c r="U14" i="85"/>
  <c r="Y16" i="85" s="1"/>
  <c r="U104" i="85"/>
  <c r="N104" i="85"/>
  <c r="AB9" i="85"/>
  <c r="N14" i="85"/>
  <c r="I104" i="85"/>
  <c r="I14" i="85"/>
  <c r="H104" i="85"/>
  <c r="H14" i="85"/>
  <c r="G104" i="85"/>
  <c r="G14" i="85"/>
  <c r="F14" i="85"/>
  <c r="F104" i="85"/>
  <c r="E14" i="85"/>
  <c r="E104" i="85"/>
  <c r="K9" i="85"/>
  <c r="D14" i="85"/>
  <c r="D104" i="85"/>
  <c r="AE52" i="79"/>
  <c r="AD47" i="79"/>
  <c r="AD52" i="79" s="1"/>
  <c r="U52" i="79"/>
  <c r="AB47" i="79"/>
  <c r="N52" i="79"/>
  <c r="K47" i="79"/>
  <c r="D52" i="79"/>
  <c r="G125" i="79"/>
  <c r="AE14" i="79"/>
  <c r="AA14" i="79"/>
  <c r="Y14" i="79"/>
  <c r="X14" i="79"/>
  <c r="W14" i="79"/>
  <c r="V14" i="79"/>
  <c r="U14" i="79"/>
  <c r="Y16" i="79" s="1"/>
  <c r="AB9" i="79"/>
  <c r="N14" i="79"/>
  <c r="I14" i="79"/>
  <c r="H14" i="79"/>
  <c r="G14" i="79"/>
  <c r="F14" i="79"/>
  <c r="E14" i="79"/>
  <c r="D14" i="79"/>
  <c r="AE52" i="22"/>
  <c r="AD47" i="22"/>
  <c r="AD52" i="22" s="1"/>
  <c r="U52" i="22"/>
  <c r="AB47" i="22"/>
  <c r="N52" i="22"/>
  <c r="K47" i="22"/>
  <c r="D52" i="22"/>
  <c r="G125" i="22"/>
  <c r="AE9" i="22"/>
  <c r="AA9" i="22"/>
  <c r="Y9" i="22"/>
  <c r="X9" i="22"/>
  <c r="W9" i="22"/>
  <c r="V9" i="22"/>
  <c r="U9" i="22"/>
  <c r="N9" i="22"/>
  <c r="I14" i="22"/>
  <c r="H14" i="22"/>
  <c r="G14" i="22"/>
  <c r="F14" i="22"/>
  <c r="E14" i="22"/>
  <c r="D9" i="22"/>
  <c r="AG89" i="86"/>
  <c r="AH89" i="86" s="1"/>
  <c r="AG88" i="86"/>
  <c r="AH88" i="86" s="1"/>
  <c r="AG87" i="86"/>
  <c r="AH87" i="86" s="1"/>
  <c r="AG86" i="86"/>
  <c r="AH86" i="86" s="1"/>
  <c r="AF70" i="86"/>
  <c r="AF69" i="86"/>
  <c r="AF68" i="86"/>
  <c r="AF67" i="86"/>
  <c r="AF51" i="86"/>
  <c r="AF50" i="86"/>
  <c r="AF49" i="86"/>
  <c r="AF48" i="86"/>
  <c r="AF32" i="86"/>
  <c r="AF31" i="86"/>
  <c r="AF30" i="86"/>
  <c r="AF29" i="86"/>
  <c r="AC71" i="75"/>
  <c r="X71" i="75"/>
  <c r="I71" i="75"/>
  <c r="G71" i="75"/>
  <c r="F71" i="75"/>
  <c r="AD52" i="75"/>
  <c r="AA52" i="75"/>
  <c r="Y52" i="75"/>
  <c r="W52" i="75"/>
  <c r="I52" i="75"/>
  <c r="G52" i="75"/>
  <c r="E52" i="75"/>
  <c r="AD33" i="75"/>
  <c r="AA33" i="75"/>
  <c r="Y33" i="75"/>
  <c r="X33" i="75"/>
  <c r="W33" i="75"/>
  <c r="I33" i="75"/>
  <c r="G33" i="75"/>
  <c r="E33" i="75"/>
  <c r="AE31" i="69"/>
  <c r="AF31" i="69" s="1"/>
  <c r="AG31" i="69" s="1"/>
  <c r="AF51" i="85"/>
  <c r="AF51" i="79"/>
  <c r="AF51" i="22"/>
  <c r="AF50" i="85"/>
  <c r="AF49" i="85"/>
  <c r="AG49" i="85" s="1"/>
  <c r="AH49" i="85" s="1"/>
  <c r="AF48" i="85"/>
  <c r="AG48" i="85" s="1"/>
  <c r="AH48" i="85" s="1"/>
  <c r="AG89" i="85"/>
  <c r="AH89" i="85" s="1"/>
  <c r="AG88" i="85"/>
  <c r="AH88" i="85" s="1"/>
  <c r="AG87" i="85"/>
  <c r="AH87" i="85" s="1"/>
  <c r="AG86" i="85"/>
  <c r="AH86" i="85" s="1"/>
  <c r="AG88" i="97"/>
  <c r="AH88" i="97" s="1"/>
  <c r="AG86" i="97"/>
  <c r="AH86" i="97" s="1"/>
  <c r="AF70" i="97"/>
  <c r="AF69" i="97"/>
  <c r="AF68" i="97"/>
  <c r="AF67" i="97"/>
  <c r="AF51" i="97"/>
  <c r="AF50" i="97"/>
  <c r="AF49" i="97"/>
  <c r="AF48" i="97"/>
  <c r="AF31" i="97"/>
  <c r="AF30" i="97"/>
  <c r="AF29" i="97"/>
  <c r="AC33" i="97"/>
  <c r="AA33" i="97"/>
  <c r="Y33" i="97"/>
  <c r="X33" i="97"/>
  <c r="W33" i="97"/>
  <c r="V33" i="97"/>
  <c r="I33" i="97"/>
  <c r="H33" i="97"/>
  <c r="G33" i="97"/>
  <c r="F33" i="97"/>
  <c r="E33" i="97"/>
  <c r="Z108" i="97"/>
  <c r="Z106" i="97"/>
  <c r="AG88" i="79"/>
  <c r="AH88" i="79" s="1"/>
  <c r="AG86" i="79"/>
  <c r="AH86" i="79" s="1"/>
  <c r="AF70" i="79"/>
  <c r="AF68" i="79"/>
  <c r="AF67" i="79"/>
  <c r="AG89" i="75"/>
  <c r="AH89" i="75" s="1"/>
  <c r="AF70" i="75"/>
  <c r="AF68" i="75"/>
  <c r="AE71" i="75"/>
  <c r="AD71" i="75"/>
  <c r="AA71" i="75"/>
  <c r="Y71" i="75"/>
  <c r="W71" i="75"/>
  <c r="V71" i="75"/>
  <c r="H71" i="75"/>
  <c r="E71" i="75"/>
  <c r="AF49" i="75"/>
  <c r="AE52" i="75"/>
  <c r="AC52" i="75"/>
  <c r="X52" i="75"/>
  <c r="V52" i="75"/>
  <c r="H52" i="75"/>
  <c r="F52" i="75"/>
  <c r="AF32" i="75"/>
  <c r="AF30" i="75"/>
  <c r="AE33" i="75"/>
  <c r="AC33" i="75"/>
  <c r="V33" i="75"/>
  <c r="H33" i="75"/>
  <c r="F33" i="75"/>
  <c r="AE30" i="69"/>
  <c r="AF30" i="69" s="1"/>
  <c r="AG30" i="69" s="1"/>
  <c r="AE29" i="69"/>
  <c r="AF29" i="69" s="1"/>
  <c r="AG29" i="69" s="1"/>
  <c r="AF48" i="75"/>
  <c r="AG48" i="75" s="1"/>
  <c r="AH48" i="75" s="1"/>
  <c r="AF69" i="22"/>
  <c r="AG69" i="22" s="1"/>
  <c r="AH69" i="22" s="1"/>
  <c r="AC71" i="85"/>
  <c r="AA71" i="85"/>
  <c r="Y71" i="85"/>
  <c r="X71" i="85"/>
  <c r="W71" i="85"/>
  <c r="V71" i="85"/>
  <c r="I71" i="85"/>
  <c r="H71" i="85"/>
  <c r="G71" i="85"/>
  <c r="F71" i="85"/>
  <c r="E71" i="85"/>
  <c r="AF32" i="85"/>
  <c r="AG32" i="85" s="1"/>
  <c r="AH32" i="85" s="1"/>
  <c r="AF32" i="97"/>
  <c r="AG32" i="97" s="1"/>
  <c r="AH32" i="97" s="1"/>
  <c r="AF32" i="79"/>
  <c r="AG32" i="79" s="1"/>
  <c r="AH32" i="79" s="1"/>
  <c r="AF32" i="22"/>
  <c r="AG32" i="22" s="1"/>
  <c r="AH32" i="22" s="1"/>
  <c r="AF31" i="85"/>
  <c r="AG31" i="85" s="1"/>
  <c r="AH31" i="85" s="1"/>
  <c r="AF31" i="79"/>
  <c r="AG31" i="79" s="1"/>
  <c r="AH31" i="79" s="1"/>
  <c r="AF31" i="75"/>
  <c r="AG31" i="75" s="1"/>
  <c r="AH31" i="75" s="1"/>
  <c r="AF31" i="22"/>
  <c r="AG31" i="22" s="1"/>
  <c r="AH31" i="22" s="1"/>
  <c r="AF30" i="85"/>
  <c r="AG30" i="85" s="1"/>
  <c r="AH30" i="85" s="1"/>
  <c r="AF30" i="79"/>
  <c r="AG30" i="79" s="1"/>
  <c r="AH30" i="79" s="1"/>
  <c r="AF30" i="22"/>
  <c r="AG30" i="22" s="1"/>
  <c r="AH30" i="22" s="1"/>
  <c r="AF29" i="85"/>
  <c r="AG29" i="85" s="1"/>
  <c r="AH29" i="85" s="1"/>
  <c r="AF29" i="79"/>
  <c r="AG29" i="79" s="1"/>
  <c r="AH29" i="79" s="1"/>
  <c r="AF29" i="75"/>
  <c r="AG29" i="75" s="1"/>
  <c r="AH29" i="75" s="1"/>
  <c r="AF29" i="22"/>
  <c r="AG29" i="22" s="1"/>
  <c r="AH29" i="22" s="1"/>
  <c r="AF49" i="22"/>
  <c r="AG49" i="22" s="1"/>
  <c r="AH49" i="22" s="1"/>
  <c r="AD71" i="79" l="1"/>
  <c r="Y73" i="79"/>
  <c r="L44" i="76"/>
  <c r="Y73" i="75"/>
  <c r="Y54" i="75"/>
  <c r="Y35" i="75"/>
  <c r="F147" i="75"/>
  <c r="E9" i="77"/>
  <c r="F20" i="36" s="1"/>
  <c r="F24" i="36" s="1"/>
  <c r="F25" i="36" s="1"/>
  <c r="AG69" i="75"/>
  <c r="AH69" i="75" s="1"/>
  <c r="AG67" i="85"/>
  <c r="AH67" i="85" s="1"/>
  <c r="AG67" i="75"/>
  <c r="AH67" i="75" s="1"/>
  <c r="AG67" i="22"/>
  <c r="AH67" i="22" s="1"/>
  <c r="D96" i="91"/>
  <c r="I6" i="62"/>
  <c r="I7" i="62" s="1"/>
  <c r="AG13" i="97"/>
  <c r="AH13" i="97" s="1"/>
  <c r="AF12" i="75"/>
  <c r="AG12" i="75" s="1"/>
  <c r="AH12" i="75" s="1"/>
  <c r="AA107" i="22"/>
  <c r="Y107" i="22"/>
  <c r="X107" i="22"/>
  <c r="W107" i="22"/>
  <c r="V107" i="22"/>
  <c r="I107" i="22"/>
  <c r="H107" i="22"/>
  <c r="G107" i="22"/>
  <c r="F107" i="22"/>
  <c r="E107" i="22"/>
  <c r="AA106" i="22"/>
  <c r="Y106" i="22"/>
  <c r="X106" i="22"/>
  <c r="W106" i="22"/>
  <c r="AG51" i="22"/>
  <c r="AH51" i="22" s="1"/>
  <c r="F106" i="22"/>
  <c r="E106" i="22"/>
  <c r="AG10" i="75"/>
  <c r="AH10" i="75" s="1"/>
  <c r="AF9" i="85"/>
  <c r="Y54" i="79"/>
  <c r="Y54" i="22"/>
  <c r="AG51" i="85"/>
  <c r="AH51" i="85" s="1"/>
  <c r="AG51" i="79"/>
  <c r="AH51" i="79" s="1"/>
  <c r="AG50" i="85"/>
  <c r="AH50" i="85" s="1"/>
  <c r="AC45" i="90"/>
  <c r="AC11" i="81"/>
  <c r="AC105" i="79"/>
  <c r="AF48" i="79"/>
  <c r="AG48" i="79" s="1"/>
  <c r="AH48" i="79" s="1"/>
  <c r="I10" i="88"/>
  <c r="I94" i="90"/>
  <c r="H10" i="88"/>
  <c r="H94" i="90"/>
  <c r="G10" i="88"/>
  <c r="G94" i="90"/>
  <c r="F10" i="88"/>
  <c r="F94" i="90"/>
  <c r="E10" i="88"/>
  <c r="E94" i="90"/>
  <c r="AC105" i="22"/>
  <c r="AF48" i="22"/>
  <c r="AG48" i="22" s="1"/>
  <c r="AH48" i="22" s="1"/>
  <c r="AC14" i="85"/>
  <c r="AC104" i="85"/>
  <c r="AC104" i="79"/>
  <c r="AC14" i="79"/>
  <c r="AC104" i="22"/>
  <c r="AC14" i="22"/>
  <c r="Y102" i="79"/>
  <c r="K7" i="81"/>
  <c r="Y7" i="81" s="1"/>
  <c r="G7" i="81"/>
  <c r="V7" i="81" s="1"/>
  <c r="V102" i="79"/>
  <c r="AD98" i="79"/>
  <c r="N3" i="81"/>
  <c r="AD3" i="81" s="1"/>
  <c r="AB52" i="75"/>
  <c r="AF47" i="75"/>
  <c r="AF52" i="75" s="1"/>
  <c r="AB106" i="75"/>
  <c r="AF11" i="75"/>
  <c r="Y29" i="90"/>
  <c r="Y12" i="76"/>
  <c r="X29" i="90"/>
  <c r="X12" i="76"/>
  <c r="W29" i="90"/>
  <c r="W12" i="76"/>
  <c r="V29" i="90"/>
  <c r="V12" i="76"/>
  <c r="I12" i="76"/>
  <c r="I29" i="90"/>
  <c r="H12" i="76"/>
  <c r="H29" i="90"/>
  <c r="G12" i="76"/>
  <c r="G29" i="90"/>
  <c r="F12" i="76"/>
  <c r="F29" i="90"/>
  <c r="E12" i="76"/>
  <c r="E29" i="90"/>
  <c r="AA11" i="81"/>
  <c r="AA45" i="90"/>
  <c r="Y11" i="81"/>
  <c r="Y45" i="90"/>
  <c r="X11" i="81"/>
  <c r="X45" i="90"/>
  <c r="L9" i="87"/>
  <c r="N8" i="87"/>
  <c r="O8" i="87" s="1"/>
  <c r="P8" i="87" s="1"/>
  <c r="E45" i="88"/>
  <c r="E83" i="91"/>
  <c r="AD97" i="90"/>
  <c r="AD13" i="88"/>
  <c r="AD96" i="90"/>
  <c r="AD12" i="88"/>
  <c r="AD11" i="88"/>
  <c r="AD95" i="90"/>
  <c r="AD10" i="88"/>
  <c r="AD94" i="90"/>
  <c r="AD109" i="86"/>
  <c r="AD98" i="90" s="1"/>
  <c r="AD9" i="88"/>
  <c r="AD14" i="88" s="1"/>
  <c r="AD93" i="90"/>
  <c r="AF90" i="86"/>
  <c r="O85" i="86"/>
  <c r="M90" i="86"/>
  <c r="J34" i="88"/>
  <c r="J81" i="91"/>
  <c r="J33" i="88"/>
  <c r="J80" i="91"/>
  <c r="J32" i="88"/>
  <c r="J79" i="91"/>
  <c r="J31" i="88"/>
  <c r="J78" i="91"/>
  <c r="J77" i="91"/>
  <c r="J131" i="86"/>
  <c r="J83" i="91" s="1"/>
  <c r="J30" i="88"/>
  <c r="J36" i="88" s="1"/>
  <c r="J45" i="88" s="1"/>
  <c r="K71" i="86"/>
  <c r="M66" i="86"/>
  <c r="J146" i="86"/>
  <c r="G34" i="88"/>
  <c r="G81" i="91"/>
  <c r="D7" i="87"/>
  <c r="J145" i="86"/>
  <c r="D6" i="87"/>
  <c r="G33" i="88"/>
  <c r="G80" i="91"/>
  <c r="J144" i="86"/>
  <c r="G32" i="88"/>
  <c r="D5" i="87"/>
  <c r="G79" i="91"/>
  <c r="G78" i="91"/>
  <c r="J143" i="86"/>
  <c r="D4" i="87"/>
  <c r="G31" i="88"/>
  <c r="D3" i="87"/>
  <c r="G77" i="91"/>
  <c r="J142" i="86"/>
  <c r="J147" i="86" s="1"/>
  <c r="G131" i="86"/>
  <c r="G83" i="91" s="1"/>
  <c r="G30" i="88"/>
  <c r="G36" i="88" s="1"/>
  <c r="G45" i="88" s="1"/>
  <c r="M47" i="86"/>
  <c r="K52" i="86"/>
  <c r="K146" i="86"/>
  <c r="E7" i="87"/>
  <c r="H81" i="91"/>
  <c r="H34" i="88"/>
  <c r="K145" i="86"/>
  <c r="H80" i="91"/>
  <c r="E6" i="87"/>
  <c r="H33" i="88"/>
  <c r="E5" i="87"/>
  <c r="H32" i="88"/>
  <c r="K144" i="86"/>
  <c r="H79" i="91"/>
  <c r="K143" i="86"/>
  <c r="H31" i="88"/>
  <c r="E4" i="87"/>
  <c r="H78" i="91"/>
  <c r="M28" i="86"/>
  <c r="K33" i="86"/>
  <c r="H30" i="88"/>
  <c r="H131" i="86"/>
  <c r="H83" i="91" s="1"/>
  <c r="K142" i="86"/>
  <c r="H77" i="91"/>
  <c r="E3" i="87"/>
  <c r="AE97" i="90"/>
  <c r="AE13" i="88"/>
  <c r="AF108" i="86"/>
  <c r="U13" i="88"/>
  <c r="U97" i="90"/>
  <c r="N97" i="90"/>
  <c r="J7" i="87"/>
  <c r="N13" i="88"/>
  <c r="I7" i="87"/>
  <c r="N7" i="87" s="1"/>
  <c r="D97" i="90"/>
  <c r="K108" i="86"/>
  <c r="D146" i="86"/>
  <c r="D13" i="88"/>
  <c r="K13" i="88" s="1"/>
  <c r="M13" i="88" s="1"/>
  <c r="O13" i="88" s="1"/>
  <c r="AF107" i="86"/>
  <c r="U96" i="90"/>
  <c r="U12" i="88"/>
  <c r="J6" i="87"/>
  <c r="N12" i="88"/>
  <c r="N96" i="90"/>
  <c r="K107" i="86"/>
  <c r="D145" i="86"/>
  <c r="D12" i="88"/>
  <c r="K12" i="88" s="1"/>
  <c r="M12" i="88" s="1"/>
  <c r="O12" i="88" s="1"/>
  <c r="I6" i="87"/>
  <c r="N6" i="87" s="1"/>
  <c r="D96" i="90"/>
  <c r="AF106" i="86"/>
  <c r="U11" i="88"/>
  <c r="U95" i="90"/>
  <c r="N11" i="88"/>
  <c r="J5" i="87"/>
  <c r="N95" i="90"/>
  <c r="K106" i="86"/>
  <c r="D144" i="86"/>
  <c r="I5" i="87"/>
  <c r="N5" i="87" s="1"/>
  <c r="D11" i="88"/>
  <c r="K11" i="88" s="1"/>
  <c r="M11" i="88" s="1"/>
  <c r="O11" i="88" s="1"/>
  <c r="D95" i="90"/>
  <c r="AE10" i="88"/>
  <c r="AE94" i="90"/>
  <c r="AF105" i="86"/>
  <c r="U10" i="88"/>
  <c r="U94" i="90"/>
  <c r="J4" i="87"/>
  <c r="N10" i="88"/>
  <c r="N94" i="90"/>
  <c r="K105" i="86"/>
  <c r="D143" i="86"/>
  <c r="D10" i="88"/>
  <c r="K10" i="88" s="1"/>
  <c r="M10" i="88" s="1"/>
  <c r="O10" i="88" s="1"/>
  <c r="D94" i="90"/>
  <c r="I4" i="87"/>
  <c r="N4" i="87" s="1"/>
  <c r="AE9" i="88"/>
  <c r="AE109" i="86"/>
  <c r="AE98" i="90" s="1"/>
  <c r="AE93" i="90"/>
  <c r="AC109" i="86"/>
  <c r="AC98" i="90" s="1"/>
  <c r="AC9" i="88"/>
  <c r="AC14" i="88" s="1"/>
  <c r="AC93" i="90"/>
  <c r="AA9" i="88"/>
  <c r="AA14" i="88" s="1"/>
  <c r="AA109" i="86"/>
  <c r="AA98" i="90" s="1"/>
  <c r="AA93" i="90"/>
  <c r="Z9" i="88"/>
  <c r="Z14" i="88" s="1"/>
  <c r="Z93" i="90"/>
  <c r="Z109" i="86"/>
  <c r="Z98" i="90" s="1"/>
  <c r="Y109" i="86"/>
  <c r="Y98" i="90" s="1"/>
  <c r="Y9" i="88"/>
  <c r="Y14" i="88" s="1"/>
  <c r="Y93" i="90"/>
  <c r="X109" i="86"/>
  <c r="X98" i="90" s="1"/>
  <c r="X9" i="88"/>
  <c r="X14" i="88" s="1"/>
  <c r="X93" i="90"/>
  <c r="W9" i="88"/>
  <c r="W14" i="88" s="1"/>
  <c r="W93" i="90"/>
  <c r="W109" i="86"/>
  <c r="W98" i="90" s="1"/>
  <c r="V9" i="88"/>
  <c r="V14" i="88" s="1"/>
  <c r="V93" i="90"/>
  <c r="V109" i="86"/>
  <c r="V98" i="90" s="1"/>
  <c r="U109" i="86"/>
  <c r="U9" i="88"/>
  <c r="U93" i="90"/>
  <c r="AB104" i="86"/>
  <c r="AF104" i="86" s="1"/>
  <c r="AB14" i="86"/>
  <c r="N109" i="86"/>
  <c r="N98" i="90" s="1"/>
  <c r="J3" i="87"/>
  <c r="J9" i="87" s="1"/>
  <c r="N9" i="88"/>
  <c r="N14" i="88" s="1"/>
  <c r="N44" i="88" s="1"/>
  <c r="N93" i="90"/>
  <c r="I9" i="88"/>
  <c r="I14" i="88" s="1"/>
  <c r="I93" i="90"/>
  <c r="I109" i="86"/>
  <c r="I98" i="90" s="1"/>
  <c r="H93" i="90"/>
  <c r="H109" i="86"/>
  <c r="H98" i="90" s="1"/>
  <c r="H9" i="88"/>
  <c r="H14" i="88" s="1"/>
  <c r="H44" i="88" s="1"/>
  <c r="G9" i="88"/>
  <c r="G14" i="88" s="1"/>
  <c r="G93" i="90"/>
  <c r="G109" i="86"/>
  <c r="G98" i="90" s="1"/>
  <c r="F109" i="86"/>
  <c r="F98" i="90" s="1"/>
  <c r="F9" i="88"/>
  <c r="F14" i="88" s="1"/>
  <c r="F44" i="88" s="1"/>
  <c r="F93" i="90"/>
  <c r="E9" i="88"/>
  <c r="E14" i="88" s="1"/>
  <c r="E93" i="90"/>
  <c r="E109" i="86"/>
  <c r="E98" i="90" s="1"/>
  <c r="K14" i="86"/>
  <c r="M9" i="86"/>
  <c r="D93" i="90"/>
  <c r="K104" i="86"/>
  <c r="D142" i="86"/>
  <c r="I3" i="87"/>
  <c r="D109" i="86"/>
  <c r="D98" i="90" s="1"/>
  <c r="D9" i="88"/>
  <c r="K125" i="90"/>
  <c r="Y102" i="86"/>
  <c r="Y125" i="90" s="1"/>
  <c r="G125" i="90"/>
  <c r="V102" i="86"/>
  <c r="V125" i="90" s="1"/>
  <c r="AD98" i="86"/>
  <c r="AD121" i="90" s="1"/>
  <c r="N121" i="90"/>
  <c r="C15" i="83"/>
  <c r="D23" i="36"/>
  <c r="E36" i="82"/>
  <c r="E45" i="82" s="1"/>
  <c r="E69" i="91"/>
  <c r="L9" i="83"/>
  <c r="M23" i="36" s="1"/>
  <c r="N8" i="83"/>
  <c r="O8" i="83" s="1"/>
  <c r="P8" i="83" s="1"/>
  <c r="I45" i="82"/>
  <c r="I69" i="91"/>
  <c r="M32" i="36"/>
  <c r="AD80" i="90"/>
  <c r="AD13" i="82"/>
  <c r="AD79" i="90"/>
  <c r="AD12" i="82"/>
  <c r="AD78" i="90"/>
  <c r="AD11" i="82"/>
  <c r="AD10" i="82"/>
  <c r="AD77" i="90"/>
  <c r="L44" i="82"/>
  <c r="L81" i="90"/>
  <c r="J44" i="82"/>
  <c r="J81" i="90"/>
  <c r="AD109" i="85"/>
  <c r="AD81" i="90" s="1"/>
  <c r="AD76" i="90"/>
  <c r="AD9" i="82"/>
  <c r="AD14" i="82" s="1"/>
  <c r="O85" i="85"/>
  <c r="M90" i="85"/>
  <c r="Z109" i="85"/>
  <c r="Z81" i="90" s="1"/>
  <c r="Z9" i="82"/>
  <c r="Z14" i="82" s="1"/>
  <c r="Z76" i="90"/>
  <c r="Y102" i="85"/>
  <c r="K7" i="82"/>
  <c r="Y7" i="82" s="1"/>
  <c r="V102" i="85"/>
  <c r="G7" i="82"/>
  <c r="V7" i="82" s="1"/>
  <c r="AD98" i="85"/>
  <c r="N3" i="82"/>
  <c r="AD3" i="82" s="1"/>
  <c r="C15" i="98"/>
  <c r="D22" i="36"/>
  <c r="E36" i="99"/>
  <c r="E46" i="99" s="1"/>
  <c r="E55" i="91"/>
  <c r="L9" i="98"/>
  <c r="M22" i="36" s="1"/>
  <c r="N8" i="98"/>
  <c r="O8" i="98" s="1"/>
  <c r="P8" i="98" s="1"/>
  <c r="AD61" i="90"/>
  <c r="AD10" i="99"/>
  <c r="J53" i="91"/>
  <c r="J34" i="99"/>
  <c r="J33" i="99"/>
  <c r="J52" i="91"/>
  <c r="J51" i="91"/>
  <c r="J32" i="99"/>
  <c r="J31" i="99"/>
  <c r="J50" i="91"/>
  <c r="J131" i="97"/>
  <c r="J30" i="99"/>
  <c r="J36" i="99" s="1"/>
  <c r="J46" i="99" s="1"/>
  <c r="J49" i="91"/>
  <c r="M66" i="97"/>
  <c r="K71" i="97"/>
  <c r="G34" i="99"/>
  <c r="J146" i="97"/>
  <c r="G53" i="91"/>
  <c r="D7" i="98"/>
  <c r="G52" i="91"/>
  <c r="G33" i="99"/>
  <c r="J145" i="97"/>
  <c r="L145" i="97" s="1"/>
  <c r="M145" i="97" s="1"/>
  <c r="D6" i="98"/>
  <c r="H6" i="98" s="1"/>
  <c r="J144" i="97"/>
  <c r="G51" i="91"/>
  <c r="D5" i="98"/>
  <c r="G32" i="99"/>
  <c r="J143" i="97"/>
  <c r="G31" i="99"/>
  <c r="G50" i="91"/>
  <c r="D4" i="98"/>
  <c r="H4" i="98" s="1"/>
  <c r="G131" i="97"/>
  <c r="G30" i="99"/>
  <c r="G36" i="99" s="1"/>
  <c r="G46" i="99" s="1"/>
  <c r="G49" i="91"/>
  <c r="J142" i="97"/>
  <c r="J147" i="97" s="1"/>
  <c r="D3" i="98"/>
  <c r="M47" i="97"/>
  <c r="K52" i="97"/>
  <c r="H33" i="99"/>
  <c r="H52" i="91"/>
  <c r="K145" i="97"/>
  <c r="K144" i="97"/>
  <c r="H32" i="99"/>
  <c r="H51" i="91"/>
  <c r="K143" i="97"/>
  <c r="H31" i="99"/>
  <c r="H50" i="91"/>
  <c r="M28" i="97"/>
  <c r="K33" i="97"/>
  <c r="H49" i="91"/>
  <c r="K142" i="97"/>
  <c r="K147" i="97" s="1"/>
  <c r="H131" i="97"/>
  <c r="H30" i="99"/>
  <c r="H36" i="99" s="1"/>
  <c r="H46" i="99" s="1"/>
  <c r="AE12" i="99"/>
  <c r="AE63" i="90"/>
  <c r="U12" i="99"/>
  <c r="U63" i="90"/>
  <c r="J6" i="98"/>
  <c r="N63" i="90"/>
  <c r="N12" i="99"/>
  <c r="I6" i="98"/>
  <c r="N6" i="98" s="1"/>
  <c r="D12" i="99"/>
  <c r="K12" i="99" s="1"/>
  <c r="M12" i="99" s="1"/>
  <c r="O12" i="99" s="1"/>
  <c r="K107" i="97"/>
  <c r="D63" i="90"/>
  <c r="AE62" i="90"/>
  <c r="AE11" i="99"/>
  <c r="U62" i="90"/>
  <c r="U11" i="99"/>
  <c r="D11" i="99"/>
  <c r="D62" i="90"/>
  <c r="I5" i="98"/>
  <c r="AF105" i="97"/>
  <c r="U61" i="90"/>
  <c r="U10" i="99"/>
  <c r="N10" i="99"/>
  <c r="N61" i="90"/>
  <c r="J4" i="98"/>
  <c r="D143" i="97"/>
  <c r="L143" i="97" s="1"/>
  <c r="M143" i="97" s="1"/>
  <c r="K105" i="97"/>
  <c r="I4" i="98"/>
  <c r="N4" i="98" s="1"/>
  <c r="D10" i="99"/>
  <c r="K10" i="99" s="1"/>
  <c r="M10" i="99" s="1"/>
  <c r="O10" i="99" s="1"/>
  <c r="D61" i="90"/>
  <c r="AE60" i="90"/>
  <c r="AE9" i="99"/>
  <c r="AC60" i="90"/>
  <c r="AC9" i="99"/>
  <c r="AC14" i="99" s="1"/>
  <c r="AC109" i="97"/>
  <c r="AC65" i="90" s="1"/>
  <c r="AA9" i="99"/>
  <c r="AA60" i="90"/>
  <c r="Z60" i="90"/>
  <c r="Z109" i="97"/>
  <c r="Z65" i="90" s="1"/>
  <c r="Z9" i="99"/>
  <c r="Y9" i="99"/>
  <c r="Y60" i="90"/>
  <c r="X60" i="90"/>
  <c r="X9" i="99"/>
  <c r="W60" i="90"/>
  <c r="W9" i="99"/>
  <c r="V60" i="90"/>
  <c r="V9" i="99"/>
  <c r="U9" i="99"/>
  <c r="U60" i="90"/>
  <c r="AB14" i="97"/>
  <c r="I9" i="99"/>
  <c r="I60" i="90"/>
  <c r="H9" i="99"/>
  <c r="H60" i="90"/>
  <c r="G9" i="99"/>
  <c r="G60" i="90"/>
  <c r="F9" i="99"/>
  <c r="F60" i="90"/>
  <c r="E60" i="90"/>
  <c r="E9" i="99"/>
  <c r="D9" i="99"/>
  <c r="D60" i="90"/>
  <c r="I3" i="98"/>
  <c r="K14" i="97"/>
  <c r="M9" i="97"/>
  <c r="Y102" i="97"/>
  <c r="K7" i="99"/>
  <c r="Y7" i="99" s="1"/>
  <c r="V102" i="97"/>
  <c r="G7" i="99"/>
  <c r="V7" i="99" s="1"/>
  <c r="AD98" i="97"/>
  <c r="N3" i="99"/>
  <c r="AD3" i="99" s="1"/>
  <c r="C15" i="80"/>
  <c r="D21" i="36"/>
  <c r="L9" i="80"/>
  <c r="M21" i="36" s="1"/>
  <c r="N8" i="80"/>
  <c r="O8" i="80" s="1"/>
  <c r="P8" i="80" s="1"/>
  <c r="E41" i="91"/>
  <c r="E36" i="81"/>
  <c r="E46" i="81" s="1"/>
  <c r="J39" i="91"/>
  <c r="J34" i="81"/>
  <c r="J38" i="91"/>
  <c r="J33" i="81"/>
  <c r="J32" i="81"/>
  <c r="J37" i="91"/>
  <c r="J31" i="81"/>
  <c r="J36" i="91"/>
  <c r="C15" i="77"/>
  <c r="D20" i="36"/>
  <c r="E36" i="76"/>
  <c r="E45" i="76" s="1"/>
  <c r="E27" i="91"/>
  <c r="L9" i="77"/>
  <c r="M20" i="36" s="1"/>
  <c r="N8" i="77"/>
  <c r="O8" i="77" s="1"/>
  <c r="P8" i="77" s="1"/>
  <c r="AD13" i="76"/>
  <c r="AD30" i="90"/>
  <c r="AD11" i="76"/>
  <c r="AD28" i="90"/>
  <c r="J34" i="76"/>
  <c r="J25" i="91"/>
  <c r="J32" i="76"/>
  <c r="J23" i="91"/>
  <c r="J131" i="75"/>
  <c r="J30" i="76"/>
  <c r="J21" i="91"/>
  <c r="M66" i="75"/>
  <c r="K71" i="75"/>
  <c r="J146" i="75"/>
  <c r="D7" i="77"/>
  <c r="H7" i="77" s="1"/>
  <c r="G34" i="76"/>
  <c r="G25" i="91"/>
  <c r="J144" i="75"/>
  <c r="D5" i="77"/>
  <c r="H5" i="77" s="1"/>
  <c r="G32" i="76"/>
  <c r="G23" i="91"/>
  <c r="M47" i="75"/>
  <c r="K52" i="75"/>
  <c r="G131" i="75"/>
  <c r="J142" i="75"/>
  <c r="D3" i="77"/>
  <c r="G30" i="76"/>
  <c r="G21" i="91"/>
  <c r="K146" i="75"/>
  <c r="H34" i="76"/>
  <c r="H25" i="91"/>
  <c r="K144" i="75"/>
  <c r="H32" i="76"/>
  <c r="H23" i="91"/>
  <c r="H131" i="75"/>
  <c r="K142" i="75"/>
  <c r="H30" i="76"/>
  <c r="H21" i="91"/>
  <c r="M28" i="75"/>
  <c r="K33" i="75"/>
  <c r="U13" i="76"/>
  <c r="U30" i="90"/>
  <c r="J7" i="77"/>
  <c r="N13" i="76"/>
  <c r="N30" i="90"/>
  <c r="K108" i="75"/>
  <c r="D146" i="75"/>
  <c r="L146" i="75" s="1"/>
  <c r="M146" i="75" s="1"/>
  <c r="I7" i="77"/>
  <c r="N7" i="77" s="1"/>
  <c r="D13" i="76"/>
  <c r="K13" i="76" s="1"/>
  <c r="M13" i="76" s="1"/>
  <c r="O13" i="76" s="1"/>
  <c r="D30" i="90"/>
  <c r="AF106" i="75"/>
  <c r="U11" i="76"/>
  <c r="U28" i="90"/>
  <c r="J5" i="77"/>
  <c r="N11" i="76"/>
  <c r="N28" i="90"/>
  <c r="AB11" i="76"/>
  <c r="AB28" i="90"/>
  <c r="K106" i="75"/>
  <c r="D144" i="75"/>
  <c r="L144" i="75" s="1"/>
  <c r="M144" i="75" s="1"/>
  <c r="I5" i="77"/>
  <c r="N5" i="77" s="1"/>
  <c r="D11" i="76"/>
  <c r="K11" i="76" s="1"/>
  <c r="M11" i="76" s="1"/>
  <c r="D28" i="90"/>
  <c r="AE9" i="76"/>
  <c r="AE26" i="90"/>
  <c r="AC109" i="75"/>
  <c r="AC31" i="90" s="1"/>
  <c r="AC9" i="76"/>
  <c r="AC14" i="76" s="1"/>
  <c r="AC26" i="90"/>
  <c r="AA9" i="76"/>
  <c r="AA26" i="90"/>
  <c r="Z109" i="75"/>
  <c r="Z31" i="90" s="1"/>
  <c r="Z9" i="76"/>
  <c r="Z14" i="76" s="1"/>
  <c r="Z26" i="90"/>
  <c r="Y9" i="76"/>
  <c r="Y26" i="90"/>
  <c r="X9" i="76"/>
  <c r="X26" i="90"/>
  <c r="W9" i="76"/>
  <c r="W26" i="90"/>
  <c r="V9" i="76"/>
  <c r="V26" i="90"/>
  <c r="U9" i="76"/>
  <c r="U26" i="90"/>
  <c r="J3" i="77"/>
  <c r="N9" i="76"/>
  <c r="N26" i="90"/>
  <c r="AB14" i="75"/>
  <c r="AB104" i="75"/>
  <c r="I9" i="76"/>
  <c r="I26" i="90"/>
  <c r="H9" i="76"/>
  <c r="H26" i="90"/>
  <c r="G9" i="76"/>
  <c r="G26" i="90"/>
  <c r="F9" i="76"/>
  <c r="F26" i="90"/>
  <c r="E9" i="76"/>
  <c r="E26" i="90"/>
  <c r="D142" i="75"/>
  <c r="I3" i="77"/>
  <c r="D9" i="76"/>
  <c r="D26" i="90"/>
  <c r="M9" i="75"/>
  <c r="K14" i="75"/>
  <c r="Y102" i="75"/>
  <c r="K7" i="76"/>
  <c r="Y7" i="76" s="1"/>
  <c r="V102" i="75"/>
  <c r="G7" i="76"/>
  <c r="V7" i="76" s="1"/>
  <c r="AD98" i="75"/>
  <c r="N3" i="76"/>
  <c r="AD3" i="76" s="1"/>
  <c r="L9" i="36"/>
  <c r="N8" i="36"/>
  <c r="O8" i="36" s="1"/>
  <c r="P8" i="36" s="1"/>
  <c r="J32" i="36"/>
  <c r="J33" i="36" s="1"/>
  <c r="E36" i="39"/>
  <c r="E45" i="39" s="1"/>
  <c r="E12" i="91"/>
  <c r="Z13" i="79"/>
  <c r="L108" i="79"/>
  <c r="L13" i="39"/>
  <c r="L27" i="93"/>
  <c r="L36" i="93" s="1"/>
  <c r="L13" i="90"/>
  <c r="Q30" i="95"/>
  <c r="S30" i="95" s="1"/>
  <c r="Z13" i="39"/>
  <c r="I20" i="94"/>
  <c r="I28" i="94" s="1"/>
  <c r="Z13" i="90"/>
  <c r="L12" i="39"/>
  <c r="L26" i="93"/>
  <c r="L35" i="93" s="1"/>
  <c r="L12" i="90"/>
  <c r="Q29" i="95"/>
  <c r="S29" i="95" s="1"/>
  <c r="Z12" i="39"/>
  <c r="I19" i="94"/>
  <c r="I27" i="94" s="1"/>
  <c r="Z12" i="90"/>
  <c r="Z12" i="79"/>
  <c r="L107" i="79"/>
  <c r="L11" i="39"/>
  <c r="L25" i="93"/>
  <c r="L34" i="93" s="1"/>
  <c r="L11" i="90"/>
  <c r="Q28" i="95"/>
  <c r="S28" i="95" s="1"/>
  <c r="Z11" i="39"/>
  <c r="I18" i="94"/>
  <c r="I26" i="94" s="1"/>
  <c r="Z11" i="90"/>
  <c r="Z11" i="79"/>
  <c r="L106" i="79"/>
  <c r="Z10" i="79"/>
  <c r="L105" i="79"/>
  <c r="L10" i="39"/>
  <c r="L24" i="93"/>
  <c r="L33" i="93" s="1"/>
  <c r="L10" i="90"/>
  <c r="Q27" i="95"/>
  <c r="S27" i="95" s="1"/>
  <c r="Z10" i="39"/>
  <c r="I17" i="94"/>
  <c r="I25" i="94" s="1"/>
  <c r="Z10" i="90"/>
  <c r="Z14" i="22"/>
  <c r="Z104" i="22"/>
  <c r="L109" i="22"/>
  <c r="L9" i="39"/>
  <c r="L14" i="39" s="1"/>
  <c r="L44" i="39" s="1"/>
  <c r="L23" i="93"/>
  <c r="L32" i="93" s="1"/>
  <c r="L9" i="90"/>
  <c r="Q26" i="95"/>
  <c r="S26" i="95" s="1"/>
  <c r="Z9" i="79"/>
  <c r="L14" i="79"/>
  <c r="L104" i="79"/>
  <c r="J13" i="99"/>
  <c r="J64" i="90"/>
  <c r="J107" i="75"/>
  <c r="K87" i="97"/>
  <c r="M87" i="97" s="1"/>
  <c r="J106" i="97"/>
  <c r="K106" i="97" s="1"/>
  <c r="J105" i="75"/>
  <c r="Z90" i="97"/>
  <c r="J90" i="22"/>
  <c r="K85" i="75"/>
  <c r="AD85" i="75"/>
  <c r="J90" i="75"/>
  <c r="J104" i="75"/>
  <c r="K104" i="75" s="1"/>
  <c r="K85" i="97"/>
  <c r="J90" i="97"/>
  <c r="J104" i="97"/>
  <c r="K104" i="97" s="1"/>
  <c r="M28" i="69"/>
  <c r="K33" i="69"/>
  <c r="AE89" i="22"/>
  <c r="AE89" i="79"/>
  <c r="AE108" i="79" s="1"/>
  <c r="AE89" i="97"/>
  <c r="AD89" i="97"/>
  <c r="AD90" i="97" s="1"/>
  <c r="AD89" i="79"/>
  <c r="Y108" i="97"/>
  <c r="Y109" i="97" s="1"/>
  <c r="Y65" i="90" s="1"/>
  <c r="Y90" i="97"/>
  <c r="X108" i="97"/>
  <c r="X109" i="97" s="1"/>
  <c r="X65" i="90" s="1"/>
  <c r="X90" i="97"/>
  <c r="W108" i="97"/>
  <c r="W109" i="97" s="1"/>
  <c r="W65" i="90" s="1"/>
  <c r="W90" i="97"/>
  <c r="V108" i="97"/>
  <c r="V109" i="97" s="1"/>
  <c r="V65" i="90" s="1"/>
  <c r="V90" i="97"/>
  <c r="AE51" i="69"/>
  <c r="U89" i="22"/>
  <c r="U108" i="22" s="1"/>
  <c r="U89" i="79"/>
  <c r="U89" i="97"/>
  <c r="N89" i="22"/>
  <c r="N89" i="97"/>
  <c r="N108" i="97" s="1"/>
  <c r="N89" i="79"/>
  <c r="N108" i="79" s="1"/>
  <c r="I108" i="97"/>
  <c r="I109" i="97" s="1"/>
  <c r="I65" i="90" s="1"/>
  <c r="I90" i="97"/>
  <c r="H108" i="97"/>
  <c r="H109" i="97" s="1"/>
  <c r="H65" i="90" s="1"/>
  <c r="H90" i="97"/>
  <c r="G108" i="97"/>
  <c r="G109" i="97" s="1"/>
  <c r="G65" i="90" s="1"/>
  <c r="G90" i="97"/>
  <c r="F108" i="97"/>
  <c r="F109" i="97" s="1"/>
  <c r="F65" i="90" s="1"/>
  <c r="F90" i="97"/>
  <c r="E108" i="97"/>
  <c r="E109" i="97" s="1"/>
  <c r="E65" i="90" s="1"/>
  <c r="E90" i="97"/>
  <c r="K51" i="69"/>
  <c r="M51" i="69" s="1"/>
  <c r="O51" i="69" s="1"/>
  <c r="D89" i="22"/>
  <c r="D108" i="22" s="1"/>
  <c r="D89" i="79"/>
  <c r="D89" i="97"/>
  <c r="AE88" i="22"/>
  <c r="AE88" i="75"/>
  <c r="AE50" i="69"/>
  <c r="U88" i="22"/>
  <c r="U107" i="22" s="1"/>
  <c r="U88" i="75"/>
  <c r="N88" i="22"/>
  <c r="N88" i="75"/>
  <c r="K50" i="69"/>
  <c r="M50" i="69" s="1"/>
  <c r="O50" i="69" s="1"/>
  <c r="D88" i="22"/>
  <c r="D107" i="22" s="1"/>
  <c r="D88" i="75"/>
  <c r="AE87" i="22"/>
  <c r="AE87" i="79"/>
  <c r="AE106" i="79" s="1"/>
  <c r="AA106" i="97"/>
  <c r="AA90" i="97"/>
  <c r="AE49" i="69"/>
  <c r="U87" i="22"/>
  <c r="U106" i="22" s="1"/>
  <c r="U87" i="79"/>
  <c r="N87" i="22"/>
  <c r="N87" i="97"/>
  <c r="N87" i="79"/>
  <c r="N106" i="79" s="1"/>
  <c r="K49" i="69"/>
  <c r="M49" i="69" s="1"/>
  <c r="O49" i="69" s="1"/>
  <c r="D87" i="22"/>
  <c r="D106" i="22" s="1"/>
  <c r="D87" i="79"/>
  <c r="AE86" i="22"/>
  <c r="AE86" i="75"/>
  <c r="AD86" i="75" s="1"/>
  <c r="AA105" i="75"/>
  <c r="AA109" i="75" s="1"/>
  <c r="AA31" i="90" s="1"/>
  <c r="AA90" i="75"/>
  <c r="Y105" i="75"/>
  <c r="Y109" i="75" s="1"/>
  <c r="Y31" i="90" s="1"/>
  <c r="Y90" i="75"/>
  <c r="X105" i="75"/>
  <c r="X109" i="75" s="1"/>
  <c r="X31" i="90" s="1"/>
  <c r="X90" i="75"/>
  <c r="W105" i="75"/>
  <c r="W109" i="75" s="1"/>
  <c r="W31" i="90" s="1"/>
  <c r="W90" i="75"/>
  <c r="V105" i="75"/>
  <c r="V109" i="75" s="1"/>
  <c r="V31" i="90" s="1"/>
  <c r="V90" i="75"/>
  <c r="AE48" i="69"/>
  <c r="U86" i="22"/>
  <c r="U105" i="22" s="1"/>
  <c r="U86" i="75"/>
  <c r="N86" i="22"/>
  <c r="N86" i="75"/>
  <c r="I105" i="75"/>
  <c r="I109" i="75" s="1"/>
  <c r="I31" i="90" s="1"/>
  <c r="I90" i="75"/>
  <c r="H105" i="75"/>
  <c r="H109" i="75" s="1"/>
  <c r="H31" i="90" s="1"/>
  <c r="H90" i="75"/>
  <c r="G105" i="75"/>
  <c r="G109" i="75" s="1"/>
  <c r="G31" i="90" s="1"/>
  <c r="G90" i="75"/>
  <c r="F105" i="75"/>
  <c r="F109" i="75" s="1"/>
  <c r="F31" i="90" s="1"/>
  <c r="F90" i="75"/>
  <c r="E105" i="75"/>
  <c r="E109" i="75" s="1"/>
  <c r="E31" i="90" s="1"/>
  <c r="E90" i="75"/>
  <c r="K48" i="69"/>
  <c r="M48" i="69" s="1"/>
  <c r="O48" i="69" s="1"/>
  <c r="D86" i="22"/>
  <c r="D105" i="22" s="1"/>
  <c r="D86" i="75"/>
  <c r="AD52" i="69"/>
  <c r="AE85" i="22"/>
  <c r="AE85" i="79"/>
  <c r="AC14" i="69"/>
  <c r="AC47" i="69"/>
  <c r="AA52" i="69"/>
  <c r="AA85" i="22"/>
  <c r="AA85" i="79"/>
  <c r="Y52" i="69"/>
  <c r="Y85" i="22"/>
  <c r="Y85" i="79"/>
  <c r="X52" i="69"/>
  <c r="X85" i="22"/>
  <c r="X85" i="79"/>
  <c r="W52" i="69"/>
  <c r="W85" i="22"/>
  <c r="W85" i="79"/>
  <c r="V52" i="69"/>
  <c r="V85" i="22"/>
  <c r="V85" i="79"/>
  <c r="AE14" i="69"/>
  <c r="U52" i="69"/>
  <c r="Y54" i="69" s="1"/>
  <c r="U85" i="22"/>
  <c r="U104" i="22" s="1"/>
  <c r="U85" i="79"/>
  <c r="AB14" i="69"/>
  <c r="AB47" i="69"/>
  <c r="AE47" i="69" s="1"/>
  <c r="N52" i="69"/>
  <c r="N85" i="22"/>
  <c r="N104" i="22" s="1"/>
  <c r="N85" i="79"/>
  <c r="N85" i="97"/>
  <c r="I52" i="69"/>
  <c r="I85" i="22"/>
  <c r="I85" i="79"/>
  <c r="H52" i="69"/>
  <c r="H85" i="22"/>
  <c r="H85" i="79"/>
  <c r="G52" i="69"/>
  <c r="G85" i="22"/>
  <c r="G85" i="79"/>
  <c r="F52" i="69"/>
  <c r="F85" i="22"/>
  <c r="F85" i="79"/>
  <c r="E52" i="69"/>
  <c r="E85" i="22"/>
  <c r="E85" i="79"/>
  <c r="M9" i="69"/>
  <c r="K14" i="69"/>
  <c r="K47" i="69"/>
  <c r="D52" i="69"/>
  <c r="D85" i="22"/>
  <c r="D104" i="22" s="1"/>
  <c r="D85" i="79"/>
  <c r="J34" i="82"/>
  <c r="J67" i="91"/>
  <c r="J34" i="39"/>
  <c r="J10" i="91"/>
  <c r="J33" i="82"/>
  <c r="J66" i="91"/>
  <c r="J33" i="76"/>
  <c r="J24" i="91"/>
  <c r="J33" i="39"/>
  <c r="J9" i="91"/>
  <c r="J32" i="82"/>
  <c r="J65" i="91"/>
  <c r="J32" i="39"/>
  <c r="J8" i="91"/>
  <c r="J31" i="82"/>
  <c r="J64" i="91"/>
  <c r="J31" i="76"/>
  <c r="J22" i="91"/>
  <c r="J31" i="39"/>
  <c r="J7" i="91"/>
  <c r="AF71" i="85"/>
  <c r="M66" i="85"/>
  <c r="K71" i="85"/>
  <c r="J131" i="85"/>
  <c r="J30" i="82"/>
  <c r="J36" i="82" s="1"/>
  <c r="J45" i="82" s="1"/>
  <c r="J63" i="91"/>
  <c r="K71" i="79"/>
  <c r="M66" i="79"/>
  <c r="J131" i="79"/>
  <c r="J35" i="91"/>
  <c r="J30" i="81"/>
  <c r="AE71" i="22"/>
  <c r="AD66" i="22"/>
  <c r="AD71" i="22" s="1"/>
  <c r="AB66" i="22"/>
  <c r="AB71" i="22" s="1"/>
  <c r="N71" i="22"/>
  <c r="AF66" i="22"/>
  <c r="U71" i="22"/>
  <c r="Y73" i="22" s="1"/>
  <c r="K66" i="22"/>
  <c r="D71" i="22"/>
  <c r="J125" i="22"/>
  <c r="G142" i="22"/>
  <c r="G147" i="22" s="1"/>
  <c r="M3" i="36"/>
  <c r="M9" i="36" s="1"/>
  <c r="K146" i="85"/>
  <c r="H34" i="82"/>
  <c r="H67" i="91"/>
  <c r="H34" i="99"/>
  <c r="K146" i="97"/>
  <c r="H53" i="91"/>
  <c r="H39" i="91"/>
  <c r="K146" i="79"/>
  <c r="H34" i="81"/>
  <c r="K146" i="22"/>
  <c r="H34" i="39"/>
  <c r="H10" i="91"/>
  <c r="K145" i="85"/>
  <c r="H33" i="82"/>
  <c r="H66" i="91"/>
  <c r="K145" i="79"/>
  <c r="H33" i="81"/>
  <c r="H38" i="91"/>
  <c r="K145" i="75"/>
  <c r="H33" i="76"/>
  <c r="H24" i="91"/>
  <c r="K145" i="22"/>
  <c r="H33" i="39"/>
  <c r="H9" i="91"/>
  <c r="K144" i="85"/>
  <c r="H32" i="82"/>
  <c r="H65" i="91"/>
  <c r="K144" i="79"/>
  <c r="H37" i="91"/>
  <c r="H32" i="81"/>
  <c r="K144" i="22"/>
  <c r="H32" i="39"/>
  <c r="H8" i="91"/>
  <c r="K143" i="85"/>
  <c r="H31" i="82"/>
  <c r="H64" i="91"/>
  <c r="H31" i="81"/>
  <c r="H36" i="91"/>
  <c r="K143" i="79"/>
  <c r="K143" i="75"/>
  <c r="H31" i="76"/>
  <c r="H22" i="91"/>
  <c r="K143" i="22"/>
  <c r="H31" i="39"/>
  <c r="H7" i="91"/>
  <c r="M28" i="85"/>
  <c r="K33" i="85"/>
  <c r="H131" i="85"/>
  <c r="K142" i="85"/>
  <c r="K147" i="85" s="1"/>
  <c r="H30" i="82"/>
  <c r="H36" i="82" s="1"/>
  <c r="H45" i="82" s="1"/>
  <c r="H63" i="91"/>
  <c r="M28" i="79"/>
  <c r="K33" i="79"/>
  <c r="H30" i="81"/>
  <c r="H36" i="81" s="1"/>
  <c r="H35" i="91"/>
  <c r="K142" i="79"/>
  <c r="K147" i="79" s="1"/>
  <c r="H131" i="79"/>
  <c r="M28" i="22"/>
  <c r="K33" i="22"/>
  <c r="H131" i="22"/>
  <c r="H12" i="91" s="1"/>
  <c r="K142" i="22"/>
  <c r="K147" i="22" s="1"/>
  <c r="H30" i="39"/>
  <c r="H36" i="39" s="1"/>
  <c r="H45" i="39" s="1"/>
  <c r="H6" i="91"/>
  <c r="AD13" i="22"/>
  <c r="J108" i="22"/>
  <c r="J13" i="79"/>
  <c r="AD12" i="22"/>
  <c r="J107" i="22"/>
  <c r="J12" i="79"/>
  <c r="AD11" i="22"/>
  <c r="J106" i="22"/>
  <c r="J11" i="79"/>
  <c r="AD10" i="22"/>
  <c r="J105" i="22"/>
  <c r="J10" i="79"/>
  <c r="AD9" i="22"/>
  <c r="J14" i="22"/>
  <c r="J104" i="22"/>
  <c r="J9" i="79"/>
  <c r="L131" i="86"/>
  <c r="L83" i="91" s="1"/>
  <c r="L30" i="88"/>
  <c r="L36" i="88" s="1"/>
  <c r="L45" i="88" s="1"/>
  <c r="L77" i="91"/>
  <c r="L131" i="85"/>
  <c r="L69" i="91" s="1"/>
  <c r="L30" i="82"/>
  <c r="L36" i="82" s="1"/>
  <c r="L45" i="82" s="1"/>
  <c r="L63" i="91"/>
  <c r="L30" i="99"/>
  <c r="L36" i="99" s="1"/>
  <c r="L131" i="97"/>
  <c r="L55" i="91" s="1"/>
  <c r="L49" i="91"/>
  <c r="L30" i="81"/>
  <c r="L36" i="81" s="1"/>
  <c r="L35" i="91"/>
  <c r="L131" i="79"/>
  <c r="L41" i="91" s="1"/>
  <c r="L131" i="75"/>
  <c r="L27" i="91" s="1"/>
  <c r="L30" i="76"/>
  <c r="L36" i="76" s="1"/>
  <c r="L45" i="76" s="1"/>
  <c r="L21" i="91"/>
  <c r="K30" i="88"/>
  <c r="K36" i="88" s="1"/>
  <c r="K131" i="86"/>
  <c r="K83" i="91" s="1"/>
  <c r="K77" i="91"/>
  <c r="K131" i="85"/>
  <c r="K69" i="91" s="1"/>
  <c r="K30" i="82"/>
  <c r="K36" i="82" s="1"/>
  <c r="K45" i="82" s="1"/>
  <c r="K63" i="91"/>
  <c r="K131" i="97"/>
  <c r="K49" i="91"/>
  <c r="K30" i="99"/>
  <c r="K36" i="99" s="1"/>
  <c r="K46" i="99" s="1"/>
  <c r="K30" i="81"/>
  <c r="K36" i="81" s="1"/>
  <c r="K35" i="91"/>
  <c r="K131" i="79"/>
  <c r="K41" i="91" s="1"/>
  <c r="K131" i="75"/>
  <c r="K27" i="91" s="1"/>
  <c r="K30" i="76"/>
  <c r="K36" i="76" s="1"/>
  <c r="K45" i="76" s="1"/>
  <c r="K21" i="91"/>
  <c r="D30" i="88"/>
  <c r="D36" i="88" s="1"/>
  <c r="K3" i="87"/>
  <c r="K9" i="87" s="1"/>
  <c r="D77" i="91"/>
  <c r="D131" i="86"/>
  <c r="D83" i="91" s="1"/>
  <c r="D131" i="85"/>
  <c r="K3" i="83"/>
  <c r="K9" i="83" s="1"/>
  <c r="L23" i="36" s="1"/>
  <c r="D30" i="82"/>
  <c r="D36" i="82" s="1"/>
  <c r="D45" i="82" s="1"/>
  <c r="D63" i="91"/>
  <c r="D49" i="91"/>
  <c r="D131" i="97"/>
  <c r="K3" i="98"/>
  <c r="K9" i="98" s="1"/>
  <c r="L22" i="36" s="1"/>
  <c r="D30" i="99"/>
  <c r="D36" i="99" s="1"/>
  <c r="D46" i="99" s="1"/>
  <c r="D30" i="81"/>
  <c r="D36" i="81" s="1"/>
  <c r="D35" i="91"/>
  <c r="D131" i="79"/>
  <c r="K3" i="80"/>
  <c r="K9" i="80" s="1"/>
  <c r="L21" i="36" s="1"/>
  <c r="D131" i="75"/>
  <c r="K3" i="77"/>
  <c r="K9" i="77" s="1"/>
  <c r="L20" i="36" s="1"/>
  <c r="L24" i="36" s="1"/>
  <c r="D30" i="76"/>
  <c r="D36" i="76" s="1"/>
  <c r="D45" i="76" s="1"/>
  <c r="D21" i="91"/>
  <c r="C26" i="56"/>
  <c r="C27" i="56" s="1"/>
  <c r="L125" i="22"/>
  <c r="C17" i="56"/>
  <c r="C18" i="56" s="1"/>
  <c r="K125" i="22"/>
  <c r="N5" i="70"/>
  <c r="N6" i="70" s="1"/>
  <c r="P3" i="70"/>
  <c r="I147" i="85"/>
  <c r="O32" i="36" s="1"/>
  <c r="F3" i="83"/>
  <c r="F9" i="83" s="1"/>
  <c r="G23" i="36" s="1"/>
  <c r="I146" i="79"/>
  <c r="F7" i="80" s="1"/>
  <c r="I146" i="22"/>
  <c r="F7" i="36" s="1"/>
  <c r="I145" i="22"/>
  <c r="F6" i="36" s="1"/>
  <c r="I145" i="75"/>
  <c r="F6" i="77" s="1"/>
  <c r="K6" i="36"/>
  <c r="D33" i="39"/>
  <c r="D9" i="91"/>
  <c r="D95" i="91" s="1"/>
  <c r="I144" i="79"/>
  <c r="F5" i="80" s="1"/>
  <c r="I144" i="22"/>
  <c r="F5" i="36" s="1"/>
  <c r="K5" i="36"/>
  <c r="D32" i="39"/>
  <c r="D8" i="91"/>
  <c r="D94" i="91" s="1"/>
  <c r="I143" i="22"/>
  <c r="F4" i="36" s="1"/>
  <c r="I143" i="75"/>
  <c r="K4" i="36"/>
  <c r="D31" i="39"/>
  <c r="D7" i="91"/>
  <c r="D93" i="91" s="1"/>
  <c r="F3" i="98"/>
  <c r="F9" i="98" s="1"/>
  <c r="G22" i="36" s="1"/>
  <c r="I147" i="97"/>
  <c r="I142" i="79"/>
  <c r="I142" i="22"/>
  <c r="D125" i="22"/>
  <c r="C8" i="56"/>
  <c r="C9" i="56" s="1"/>
  <c r="J146" i="85"/>
  <c r="D7" i="83"/>
  <c r="H7" i="83" s="1"/>
  <c r="G34" i="82"/>
  <c r="G67" i="91"/>
  <c r="AE13" i="82"/>
  <c r="AE80" i="90"/>
  <c r="AF108" i="85"/>
  <c r="U13" i="82"/>
  <c r="U80" i="90"/>
  <c r="J7" i="83"/>
  <c r="N13" i="82"/>
  <c r="N80" i="90"/>
  <c r="K108" i="85"/>
  <c r="D146" i="85"/>
  <c r="L146" i="85" s="1"/>
  <c r="M146" i="85" s="1"/>
  <c r="I7" i="83"/>
  <c r="N7" i="83" s="1"/>
  <c r="D80" i="90"/>
  <c r="D13" i="82"/>
  <c r="K13" i="82" s="1"/>
  <c r="M13" i="82" s="1"/>
  <c r="O13" i="82" s="1"/>
  <c r="J146" i="79"/>
  <c r="G34" i="81"/>
  <c r="D7" i="80"/>
  <c r="G39" i="91"/>
  <c r="J146" i="22"/>
  <c r="D7" i="36"/>
  <c r="G34" i="39"/>
  <c r="G10" i="91"/>
  <c r="AA13" i="39"/>
  <c r="J20" i="94"/>
  <c r="J28" i="94" s="1"/>
  <c r="AA13" i="90"/>
  <c r="AA114" i="90" s="1"/>
  <c r="Y13" i="39"/>
  <c r="H20" i="94"/>
  <c r="H28" i="94" s="1"/>
  <c r="Y13" i="90"/>
  <c r="X13" i="39"/>
  <c r="G20" i="94"/>
  <c r="G28" i="94" s="1"/>
  <c r="X13" i="90"/>
  <c r="W13" i="39"/>
  <c r="F20" i="94"/>
  <c r="F28" i="94" s="1"/>
  <c r="W13" i="90"/>
  <c r="V13" i="39"/>
  <c r="E20" i="94"/>
  <c r="E28" i="94" s="1"/>
  <c r="V13" i="90"/>
  <c r="AB13" i="22"/>
  <c r="AF13" i="22" s="1"/>
  <c r="K13" i="22"/>
  <c r="M13" i="22" s="1"/>
  <c r="O13" i="22" s="1"/>
  <c r="J145" i="85"/>
  <c r="D6" i="83"/>
  <c r="H6" i="83" s="1"/>
  <c r="G33" i="82"/>
  <c r="G66" i="91"/>
  <c r="AE12" i="82"/>
  <c r="AE79" i="90"/>
  <c r="AF107" i="85"/>
  <c r="U79" i="90"/>
  <c r="U12" i="82"/>
  <c r="J6" i="83"/>
  <c r="N79" i="90"/>
  <c r="N12" i="82"/>
  <c r="K107" i="85"/>
  <c r="D145" i="85"/>
  <c r="L145" i="85" s="1"/>
  <c r="M145" i="85" s="1"/>
  <c r="I6" i="83"/>
  <c r="N6" i="83" s="1"/>
  <c r="D12" i="82"/>
  <c r="K12" i="82" s="1"/>
  <c r="M12" i="82" s="1"/>
  <c r="O12" i="82" s="1"/>
  <c r="D79" i="90"/>
  <c r="D6" i="80"/>
  <c r="H6" i="80" s="1"/>
  <c r="G38" i="91"/>
  <c r="J145" i="79"/>
  <c r="G33" i="81"/>
  <c r="U12" i="81"/>
  <c r="U46" i="90"/>
  <c r="AB12" i="81"/>
  <c r="AB46" i="90"/>
  <c r="N46" i="90"/>
  <c r="J6" i="80"/>
  <c r="N12" i="81"/>
  <c r="D145" i="79"/>
  <c r="L145" i="79" s="1"/>
  <c r="M145" i="79" s="1"/>
  <c r="I6" i="80"/>
  <c r="N6" i="80" s="1"/>
  <c r="D46" i="90"/>
  <c r="D12" i="81"/>
  <c r="J145" i="75"/>
  <c r="D6" i="77"/>
  <c r="G33" i="76"/>
  <c r="G24" i="91"/>
  <c r="J145" i="22"/>
  <c r="D6" i="36"/>
  <c r="G33" i="39"/>
  <c r="G9" i="91"/>
  <c r="G95" i="91" s="1"/>
  <c r="AA12" i="39"/>
  <c r="J19" i="94"/>
  <c r="J27" i="94" s="1"/>
  <c r="AA12" i="90"/>
  <c r="AA113" i="90" s="1"/>
  <c r="Y12" i="39"/>
  <c r="H19" i="94"/>
  <c r="H27" i="94" s="1"/>
  <c r="Y12" i="90"/>
  <c r="Y113" i="90" s="1"/>
  <c r="X12" i="39"/>
  <c r="G19" i="94"/>
  <c r="G27" i="94" s="1"/>
  <c r="X12" i="90"/>
  <c r="X113" i="90" s="1"/>
  <c r="W12" i="39"/>
  <c r="F19" i="94"/>
  <c r="F27" i="94" s="1"/>
  <c r="W12" i="90"/>
  <c r="W113" i="90" s="1"/>
  <c r="V12" i="39"/>
  <c r="E19" i="94"/>
  <c r="E27" i="94" s="1"/>
  <c r="V12" i="90"/>
  <c r="V113" i="90" s="1"/>
  <c r="AB12" i="22"/>
  <c r="AF12" i="22" s="1"/>
  <c r="I12" i="39"/>
  <c r="I26" i="93"/>
  <c r="I35" i="93" s="1"/>
  <c r="I12" i="90"/>
  <c r="I113" i="90" s="1"/>
  <c r="H12" i="39"/>
  <c r="H26" i="93"/>
  <c r="H35" i="93" s="1"/>
  <c r="H12" i="90"/>
  <c r="H113" i="90" s="1"/>
  <c r="G12" i="39"/>
  <c r="G26" i="93"/>
  <c r="G35" i="93" s="1"/>
  <c r="G12" i="90"/>
  <c r="G113" i="90" s="1"/>
  <c r="F12" i="39"/>
  <c r="F26" i="93"/>
  <c r="F35" i="93" s="1"/>
  <c r="F12" i="90"/>
  <c r="F113" i="90" s="1"/>
  <c r="E12" i="39"/>
  <c r="E26" i="93"/>
  <c r="E35" i="93" s="1"/>
  <c r="E12" i="90"/>
  <c r="E113" i="90" s="1"/>
  <c r="K12" i="22"/>
  <c r="M12" i="22" s="1"/>
  <c r="O12" i="22" s="1"/>
  <c r="J144" i="85"/>
  <c r="D5" i="83"/>
  <c r="H5" i="83" s="1"/>
  <c r="G32" i="82"/>
  <c r="G65" i="91"/>
  <c r="AE11" i="82"/>
  <c r="AE78" i="90"/>
  <c r="AF106" i="85"/>
  <c r="U78" i="90"/>
  <c r="U11" i="82"/>
  <c r="J5" i="83"/>
  <c r="N11" i="82"/>
  <c r="N78" i="90"/>
  <c r="K106" i="85"/>
  <c r="D144" i="85"/>
  <c r="I5" i="83"/>
  <c r="D11" i="82"/>
  <c r="K11" i="82" s="1"/>
  <c r="M11" i="82" s="1"/>
  <c r="O11" i="82" s="1"/>
  <c r="D78" i="90"/>
  <c r="G32" i="81"/>
  <c r="G37" i="91"/>
  <c r="J144" i="79"/>
  <c r="D5" i="80"/>
  <c r="J144" i="22"/>
  <c r="D5" i="36"/>
  <c r="G32" i="39"/>
  <c r="G8" i="91"/>
  <c r="AA11" i="39"/>
  <c r="J18" i="94"/>
  <c r="J26" i="94" s="1"/>
  <c r="AA11" i="90"/>
  <c r="Y11" i="39"/>
  <c r="H18" i="94"/>
  <c r="H26" i="94" s="1"/>
  <c r="Y11" i="90"/>
  <c r="Y112" i="90" s="1"/>
  <c r="X11" i="39"/>
  <c r="G18" i="94"/>
  <c r="G26" i="94" s="1"/>
  <c r="X11" i="90"/>
  <c r="X112" i="90" s="1"/>
  <c r="W11" i="39"/>
  <c r="F18" i="94"/>
  <c r="F26" i="94" s="1"/>
  <c r="W11" i="90"/>
  <c r="W112" i="90" s="1"/>
  <c r="V11" i="39"/>
  <c r="E18" i="94"/>
  <c r="E26" i="94" s="1"/>
  <c r="V11" i="90"/>
  <c r="V112" i="90" s="1"/>
  <c r="AB11" i="22"/>
  <c r="AF11" i="22" s="1"/>
  <c r="I11" i="39"/>
  <c r="I25" i="93"/>
  <c r="I34" i="93" s="1"/>
  <c r="I11" i="90"/>
  <c r="I112" i="90" s="1"/>
  <c r="H11" i="39"/>
  <c r="H25" i="93"/>
  <c r="H34" i="93" s="1"/>
  <c r="H11" i="90"/>
  <c r="H112" i="90" s="1"/>
  <c r="G11" i="39"/>
  <c r="G25" i="93"/>
  <c r="G34" i="93" s="1"/>
  <c r="G11" i="90"/>
  <c r="G112" i="90" s="1"/>
  <c r="F11" i="39"/>
  <c r="F25" i="93"/>
  <c r="F34" i="93" s="1"/>
  <c r="F11" i="90"/>
  <c r="F112" i="90" s="1"/>
  <c r="E11" i="39"/>
  <c r="E25" i="93"/>
  <c r="E34" i="93" s="1"/>
  <c r="E11" i="90"/>
  <c r="E112" i="90" s="1"/>
  <c r="K11" i="22"/>
  <c r="M11" i="22" s="1"/>
  <c r="O11" i="22" s="1"/>
  <c r="J143" i="85"/>
  <c r="D4" i="83"/>
  <c r="H4" i="83" s="1"/>
  <c r="G31" i="82"/>
  <c r="G64" i="91"/>
  <c r="AE77" i="90"/>
  <c r="AE10" i="82"/>
  <c r="AF105" i="85"/>
  <c r="U10" i="82"/>
  <c r="U77" i="90"/>
  <c r="J4" i="83"/>
  <c r="N77" i="90"/>
  <c r="N10" i="82"/>
  <c r="K105" i="85"/>
  <c r="D143" i="85"/>
  <c r="I4" i="83"/>
  <c r="D10" i="82"/>
  <c r="K10" i="82" s="1"/>
  <c r="M10" i="82" s="1"/>
  <c r="D77" i="90"/>
  <c r="J143" i="79"/>
  <c r="G31" i="81"/>
  <c r="G36" i="91"/>
  <c r="D4" i="80"/>
  <c r="H4" i="80" s="1"/>
  <c r="U44" i="90"/>
  <c r="U10" i="81"/>
  <c r="AB44" i="90"/>
  <c r="AB10" i="81"/>
  <c r="N44" i="90"/>
  <c r="J4" i="80"/>
  <c r="N10" i="81"/>
  <c r="I4" i="80"/>
  <c r="N4" i="80" s="1"/>
  <c r="D44" i="90"/>
  <c r="D10" i="81"/>
  <c r="D143" i="79"/>
  <c r="L143" i="79" s="1"/>
  <c r="M143" i="79" s="1"/>
  <c r="J143" i="75"/>
  <c r="D4" i="77"/>
  <c r="G31" i="76"/>
  <c r="G22" i="91"/>
  <c r="J143" i="22"/>
  <c r="D4" i="36"/>
  <c r="G31" i="39"/>
  <c r="G7" i="91"/>
  <c r="AA10" i="39"/>
  <c r="J17" i="94"/>
  <c r="J25" i="94" s="1"/>
  <c r="AA10" i="90"/>
  <c r="Y10" i="39"/>
  <c r="H17" i="94"/>
  <c r="H25" i="94" s="1"/>
  <c r="Y10" i="90"/>
  <c r="X10" i="39"/>
  <c r="G17" i="94"/>
  <c r="G25" i="94" s="1"/>
  <c r="X10" i="90"/>
  <c r="W10" i="39"/>
  <c r="F17" i="94"/>
  <c r="F25" i="94" s="1"/>
  <c r="W10" i="90"/>
  <c r="V10" i="39"/>
  <c r="E17" i="94"/>
  <c r="E25" i="94" s="1"/>
  <c r="V10" i="90"/>
  <c r="AB10" i="22"/>
  <c r="AF10" i="22" s="1"/>
  <c r="K10" i="22"/>
  <c r="M10" i="22" s="1"/>
  <c r="O10" i="22" s="1"/>
  <c r="V12" i="89"/>
  <c r="J17" i="89"/>
  <c r="J20" i="89"/>
  <c r="M47" i="85"/>
  <c r="K52" i="85"/>
  <c r="G131" i="85"/>
  <c r="J142" i="85"/>
  <c r="D3" i="83"/>
  <c r="G30" i="82"/>
  <c r="G63" i="91"/>
  <c r="AE109" i="85"/>
  <c r="AE81" i="90" s="1"/>
  <c r="AE9" i="82"/>
  <c r="AE76" i="90"/>
  <c r="AC109" i="85"/>
  <c r="AC81" i="90" s="1"/>
  <c r="AC9" i="82"/>
  <c r="AC14" i="82" s="1"/>
  <c r="AC76" i="90"/>
  <c r="AA109" i="85"/>
  <c r="AA81" i="90" s="1"/>
  <c r="AA76" i="90"/>
  <c r="AA9" i="82"/>
  <c r="AA14" i="82" s="1"/>
  <c r="Y109" i="85"/>
  <c r="Y81" i="90" s="1"/>
  <c r="Y76" i="90"/>
  <c r="Y9" i="82"/>
  <c r="Y14" i="82" s="1"/>
  <c r="X109" i="85"/>
  <c r="X81" i="90" s="1"/>
  <c r="X9" i="82"/>
  <c r="X14" i="82" s="1"/>
  <c r="X76" i="90"/>
  <c r="W109" i="85"/>
  <c r="W81" i="90" s="1"/>
  <c r="W76" i="90"/>
  <c r="W9" i="82"/>
  <c r="W14" i="82" s="1"/>
  <c r="V109" i="85"/>
  <c r="V81" i="90" s="1"/>
  <c r="V9" i="82"/>
  <c r="V14" i="82" s="1"/>
  <c r="V76" i="90"/>
  <c r="U109" i="85"/>
  <c r="U9" i="82"/>
  <c r="U76" i="90"/>
  <c r="N109" i="85"/>
  <c r="J3" i="83"/>
  <c r="N9" i="82"/>
  <c r="N76" i="90"/>
  <c r="AB14" i="85"/>
  <c r="AB104" i="85"/>
  <c r="AF104" i="85" s="1"/>
  <c r="I109" i="85"/>
  <c r="I81" i="90" s="1"/>
  <c r="I76" i="90"/>
  <c r="I9" i="82"/>
  <c r="I14" i="82" s="1"/>
  <c r="I44" i="82" s="1"/>
  <c r="H109" i="85"/>
  <c r="H81" i="90" s="1"/>
  <c r="H76" i="90"/>
  <c r="H9" i="82"/>
  <c r="H14" i="82" s="1"/>
  <c r="H44" i="82" s="1"/>
  <c r="G109" i="85"/>
  <c r="G81" i="90" s="1"/>
  <c r="G9" i="82"/>
  <c r="G14" i="82" s="1"/>
  <c r="G44" i="82" s="1"/>
  <c r="G76" i="90"/>
  <c r="F109" i="85"/>
  <c r="F81" i="90" s="1"/>
  <c r="F9" i="82"/>
  <c r="F14" i="82" s="1"/>
  <c r="F44" i="82" s="1"/>
  <c r="F76" i="90"/>
  <c r="E109" i="85"/>
  <c r="E81" i="90" s="1"/>
  <c r="E76" i="90"/>
  <c r="E9" i="82"/>
  <c r="E14" i="82" s="1"/>
  <c r="E44" i="82" s="1"/>
  <c r="K14" i="85"/>
  <c r="M9" i="85"/>
  <c r="K104" i="85"/>
  <c r="D109" i="85"/>
  <c r="D142" i="85"/>
  <c r="I3" i="83"/>
  <c r="D9" i="82"/>
  <c r="D76" i="90"/>
  <c r="M47" i="79"/>
  <c r="K52" i="79"/>
  <c r="G131" i="79"/>
  <c r="J142" i="79"/>
  <c r="D3" i="80"/>
  <c r="G35" i="91"/>
  <c r="G30" i="81"/>
  <c r="AC109" i="79"/>
  <c r="AC48" i="90" s="1"/>
  <c r="AC9" i="81"/>
  <c r="AC43" i="90"/>
  <c r="AB14" i="79"/>
  <c r="M47" i="22"/>
  <c r="K52" i="22"/>
  <c r="G131" i="22"/>
  <c r="G12" i="91" s="1"/>
  <c r="J142" i="22"/>
  <c r="D3" i="36"/>
  <c r="G30" i="39"/>
  <c r="G6" i="91"/>
  <c r="AE14" i="22"/>
  <c r="AC109" i="22"/>
  <c r="AC14" i="90" s="1"/>
  <c r="AC9" i="39"/>
  <c r="AC9" i="90"/>
  <c r="AA14" i="22"/>
  <c r="Y14" i="22"/>
  <c r="X14" i="22"/>
  <c r="W14" i="22"/>
  <c r="V14" i="22"/>
  <c r="U14" i="22"/>
  <c r="Y16" i="22" s="1"/>
  <c r="AB9" i="22"/>
  <c r="AF9" i="22" s="1"/>
  <c r="N14" i="22"/>
  <c r="K9" i="22"/>
  <c r="D14" i="22"/>
  <c r="Z64" i="90"/>
  <c r="Z13" i="99"/>
  <c r="Z62" i="90"/>
  <c r="Z11" i="99"/>
  <c r="E97" i="91"/>
  <c r="AG68" i="86"/>
  <c r="AH68" i="86" s="1"/>
  <c r="AG49" i="86"/>
  <c r="AH49" i="86" s="1"/>
  <c r="AG31" i="86"/>
  <c r="AH31" i="86" s="1"/>
  <c r="AG70" i="97"/>
  <c r="AH70" i="97" s="1"/>
  <c r="AG67" i="97"/>
  <c r="AH67" i="97" s="1"/>
  <c r="AG11" i="97"/>
  <c r="AH11" i="97" s="1"/>
  <c r="Y73" i="85"/>
  <c r="AG67" i="86"/>
  <c r="AH67" i="86" s="1"/>
  <c r="AG48" i="86"/>
  <c r="AH48" i="86" s="1"/>
  <c r="AG30" i="86"/>
  <c r="AH30" i="86" s="1"/>
  <c r="AG68" i="97"/>
  <c r="AH68" i="97" s="1"/>
  <c r="M9" i="83"/>
  <c r="N23" i="36" s="1"/>
  <c r="G147" i="79"/>
  <c r="M9" i="80"/>
  <c r="N21" i="36" s="1"/>
  <c r="N24" i="36" s="1"/>
  <c r="AC114" i="90"/>
  <c r="AG69" i="86"/>
  <c r="AH69" i="86" s="1"/>
  <c r="AG51" i="86"/>
  <c r="AH51" i="86" s="1"/>
  <c r="AG32" i="86"/>
  <c r="AH32" i="86" s="1"/>
  <c r="AG51" i="97"/>
  <c r="AH51" i="97" s="1"/>
  <c r="AC113" i="90"/>
  <c r="AC112" i="90"/>
  <c r="AG70" i="86"/>
  <c r="AH70" i="86" s="1"/>
  <c r="AG50" i="86"/>
  <c r="AH50" i="86" s="1"/>
  <c r="AG29" i="86"/>
  <c r="AH29" i="86" s="1"/>
  <c r="AD14" i="75"/>
  <c r="AD14" i="85"/>
  <c r="AG69" i="97"/>
  <c r="AH69" i="97" s="1"/>
  <c r="AG50" i="97"/>
  <c r="AH50" i="97" s="1"/>
  <c r="AG49" i="97"/>
  <c r="AH49" i="97" s="1"/>
  <c r="AG48" i="97"/>
  <c r="AH48" i="97" s="1"/>
  <c r="AG31" i="97"/>
  <c r="AH31" i="97" s="1"/>
  <c r="AG30" i="97"/>
  <c r="AH30" i="97" s="1"/>
  <c r="AG29" i="97"/>
  <c r="AH29" i="97" s="1"/>
  <c r="AG70" i="79"/>
  <c r="AH70" i="79" s="1"/>
  <c r="AG69" i="79"/>
  <c r="AH69" i="79" s="1"/>
  <c r="AG68" i="79"/>
  <c r="AH68" i="79" s="1"/>
  <c r="AG67" i="79"/>
  <c r="AH67" i="79" s="1"/>
  <c r="AG70" i="75"/>
  <c r="AH70" i="75" s="1"/>
  <c r="AG68" i="75"/>
  <c r="AH68" i="75" s="1"/>
  <c r="AG49" i="75"/>
  <c r="AH49" i="75" s="1"/>
  <c r="AG32" i="75"/>
  <c r="AH32" i="75" s="1"/>
  <c r="AG30" i="75"/>
  <c r="AH30" i="75" s="1"/>
  <c r="AB71" i="86"/>
  <c r="AF66" i="86"/>
  <c r="AB52" i="86"/>
  <c r="AF47" i="86"/>
  <c r="AB33" i="86"/>
  <c r="AF28" i="86"/>
  <c r="AB108" i="86"/>
  <c r="AF13" i="86"/>
  <c r="AG13" i="86" s="1"/>
  <c r="AH13" i="86" s="1"/>
  <c r="AB107" i="86"/>
  <c r="AF12" i="86"/>
  <c r="AG12" i="86" s="1"/>
  <c r="AH12" i="86" s="1"/>
  <c r="AB106" i="86"/>
  <c r="AF11" i="86"/>
  <c r="AG11" i="86" s="1"/>
  <c r="AH11" i="86" s="1"/>
  <c r="AB105" i="86"/>
  <c r="AF10" i="86"/>
  <c r="AB71" i="97"/>
  <c r="AF66" i="97"/>
  <c r="AB52" i="97"/>
  <c r="AF47" i="97"/>
  <c r="AB33" i="97"/>
  <c r="AF28" i="97"/>
  <c r="AB107" i="97"/>
  <c r="AF12" i="97"/>
  <c r="AG12" i="97" s="1"/>
  <c r="AH12" i="97" s="1"/>
  <c r="AB105" i="97"/>
  <c r="AF10" i="97"/>
  <c r="AB71" i="79"/>
  <c r="AF66" i="79"/>
  <c r="AB71" i="75"/>
  <c r="AF66" i="75"/>
  <c r="AB33" i="75"/>
  <c r="AF28" i="75"/>
  <c r="AB108" i="75"/>
  <c r="AF108" i="75" s="1"/>
  <c r="AF13" i="75"/>
  <c r="AG13" i="75" s="1"/>
  <c r="AH13" i="75" s="1"/>
  <c r="AB33" i="69"/>
  <c r="AE28" i="69"/>
  <c r="AB51" i="69"/>
  <c r="AE13" i="69"/>
  <c r="AF13" i="69" s="1"/>
  <c r="AG13" i="69" s="1"/>
  <c r="AB50" i="69"/>
  <c r="AE12" i="69"/>
  <c r="AF12" i="69" s="1"/>
  <c r="AG12" i="69" s="1"/>
  <c r="AB49" i="69"/>
  <c r="AE11" i="69"/>
  <c r="AF11" i="69" s="1"/>
  <c r="AG11" i="69" s="1"/>
  <c r="AB48" i="69"/>
  <c r="AE10" i="69"/>
  <c r="AF10" i="69" s="1"/>
  <c r="AG10" i="69" s="1"/>
  <c r="AB33" i="85"/>
  <c r="AF28" i="85"/>
  <c r="AB33" i="79"/>
  <c r="AF28" i="79"/>
  <c r="AB33" i="22"/>
  <c r="AF28" i="22"/>
  <c r="I9" i="64"/>
  <c r="F12" i="64"/>
  <c r="F13" i="64"/>
  <c r="AB108" i="85"/>
  <c r="AF13" i="85"/>
  <c r="AG13" i="85" s="1"/>
  <c r="AH13" i="85" s="1"/>
  <c r="AB107" i="85"/>
  <c r="AF12" i="85"/>
  <c r="AG12" i="85" s="1"/>
  <c r="AH12" i="85" s="1"/>
  <c r="AB106" i="85"/>
  <c r="AF11" i="85"/>
  <c r="AG11" i="85" s="1"/>
  <c r="AH11" i="85" s="1"/>
  <c r="AB105" i="85"/>
  <c r="AF10" i="85"/>
  <c r="AB52" i="85"/>
  <c r="AF47" i="85"/>
  <c r="AB52" i="79"/>
  <c r="AF47" i="79"/>
  <c r="AB52" i="22"/>
  <c r="AF47" i="22"/>
  <c r="AC44" i="90" l="1"/>
  <c r="AC10" i="81"/>
  <c r="AC14" i="81" s="1"/>
  <c r="AC10" i="39"/>
  <c r="AC14" i="39" s="1"/>
  <c r="AC10" i="90"/>
  <c r="AC111" i="90" s="1"/>
  <c r="AG10" i="22"/>
  <c r="AH10" i="22" s="1"/>
  <c r="H36" i="88"/>
  <c r="H45" i="88" s="1"/>
  <c r="K147" i="86"/>
  <c r="E9" i="87"/>
  <c r="M24" i="36"/>
  <c r="J36" i="76"/>
  <c r="J45" i="76" s="1"/>
  <c r="K147" i="75"/>
  <c r="H36" i="76"/>
  <c r="H45" i="76" s="1"/>
  <c r="O11" i="76"/>
  <c r="E98" i="91"/>
  <c r="AF50" i="69"/>
  <c r="AG50" i="69" s="1"/>
  <c r="AG12" i="22"/>
  <c r="AH12" i="22" s="1"/>
  <c r="AD14" i="22"/>
  <c r="AG13" i="22"/>
  <c r="AH13" i="22" s="1"/>
  <c r="N25" i="36"/>
  <c r="AG11" i="22"/>
  <c r="AH11" i="22" s="1"/>
  <c r="AF14" i="75"/>
  <c r="AG11" i="75"/>
  <c r="AH11" i="75" s="1"/>
  <c r="M71" i="86"/>
  <c r="O66" i="86"/>
  <c r="H3" i="87"/>
  <c r="D9" i="87"/>
  <c r="O47" i="86"/>
  <c r="M52" i="86"/>
  <c r="O28" i="86"/>
  <c r="M33" i="86"/>
  <c r="AF97" i="90"/>
  <c r="M108" i="86"/>
  <c r="K97" i="90"/>
  <c r="AF96" i="90"/>
  <c r="M107" i="86"/>
  <c r="K96" i="90"/>
  <c r="AF95" i="90"/>
  <c r="M106" i="86"/>
  <c r="K95" i="90"/>
  <c r="AF94" i="90"/>
  <c r="K94" i="90"/>
  <c r="M105" i="86"/>
  <c r="AF109" i="86"/>
  <c r="AF98" i="90" s="1"/>
  <c r="AF93" i="90"/>
  <c r="U98" i="90"/>
  <c r="Y111" i="86"/>
  <c r="U14" i="88"/>
  <c r="Y16" i="88" s="1"/>
  <c r="AB109" i="86"/>
  <c r="AB98" i="90" s="1"/>
  <c r="AB9" i="88"/>
  <c r="AB93" i="90"/>
  <c r="M14" i="86"/>
  <c r="O9" i="86"/>
  <c r="K109" i="86"/>
  <c r="K98" i="90" s="1"/>
  <c r="M104" i="86"/>
  <c r="K93" i="90"/>
  <c r="D147" i="86"/>
  <c r="L142" i="86"/>
  <c r="N3" i="87"/>
  <c r="N9" i="87" s="1"/>
  <c r="I9" i="87"/>
  <c r="K9" i="88"/>
  <c r="D14" i="88"/>
  <c r="D44" i="88" s="1"/>
  <c r="AG85" i="85"/>
  <c r="O90" i="85"/>
  <c r="J55" i="91"/>
  <c r="N31" i="36"/>
  <c r="M71" i="97"/>
  <c r="O66" i="97"/>
  <c r="G55" i="91"/>
  <c r="K31" i="36"/>
  <c r="D9" i="98"/>
  <c r="E22" i="36" s="1"/>
  <c r="O47" i="97"/>
  <c r="M52" i="97"/>
  <c r="O28" i="97"/>
  <c r="M33" i="97"/>
  <c r="H55" i="91"/>
  <c r="L31" i="36"/>
  <c r="K63" i="90"/>
  <c r="M107" i="97"/>
  <c r="M106" i="97"/>
  <c r="K62" i="90"/>
  <c r="AF61" i="90"/>
  <c r="K61" i="90"/>
  <c r="M105" i="97"/>
  <c r="K9" i="99"/>
  <c r="M104" i="97"/>
  <c r="K60" i="90"/>
  <c r="O9" i="97"/>
  <c r="M14" i="97"/>
  <c r="D24" i="36"/>
  <c r="J27" i="91"/>
  <c r="N29" i="36"/>
  <c r="O66" i="75"/>
  <c r="M71" i="75"/>
  <c r="O47" i="75"/>
  <c r="M52" i="75"/>
  <c r="G27" i="91"/>
  <c r="K29" i="36"/>
  <c r="H3" i="77"/>
  <c r="D9" i="77"/>
  <c r="E20" i="36" s="1"/>
  <c r="H27" i="91"/>
  <c r="L29" i="36"/>
  <c r="O28" i="75"/>
  <c r="M33" i="75"/>
  <c r="AF30" i="90"/>
  <c r="M108" i="75"/>
  <c r="K30" i="90"/>
  <c r="AF28" i="90"/>
  <c r="M106" i="75"/>
  <c r="K28" i="90"/>
  <c r="AB9" i="76"/>
  <c r="AB26" i="90"/>
  <c r="M104" i="75"/>
  <c r="K26" i="90"/>
  <c r="L142" i="75"/>
  <c r="N3" i="77"/>
  <c r="O9" i="75"/>
  <c r="M14" i="75"/>
  <c r="Z108" i="79"/>
  <c r="L13" i="81"/>
  <c r="L47" i="90"/>
  <c r="L114" i="90" s="1"/>
  <c r="Z107" i="79"/>
  <c r="L46" i="90"/>
  <c r="L113" i="90" s="1"/>
  <c r="L12" i="81"/>
  <c r="Z106" i="79"/>
  <c r="L11" i="81"/>
  <c r="L45" i="90"/>
  <c r="L112" i="90" s="1"/>
  <c r="Z105" i="79"/>
  <c r="L10" i="81"/>
  <c r="L44" i="90"/>
  <c r="L111" i="90" s="1"/>
  <c r="Z109" i="22"/>
  <c r="Z9" i="39"/>
  <c r="Z14" i="39" s="1"/>
  <c r="I16" i="94"/>
  <c r="I24" i="94" s="1"/>
  <c r="Z9" i="90"/>
  <c r="L28" i="93"/>
  <c r="L14" i="90"/>
  <c r="Q31" i="95"/>
  <c r="S31" i="95" s="1"/>
  <c r="Z14" i="79"/>
  <c r="Z104" i="79"/>
  <c r="L109" i="79"/>
  <c r="L48" i="90" s="1"/>
  <c r="L9" i="81"/>
  <c r="L43" i="90"/>
  <c r="L110" i="90" s="1"/>
  <c r="AD107" i="75"/>
  <c r="J12" i="76"/>
  <c r="J29" i="90"/>
  <c r="J11" i="99"/>
  <c r="K11" i="99" s="1"/>
  <c r="M11" i="99" s="1"/>
  <c r="J62" i="90"/>
  <c r="AD106" i="97"/>
  <c r="J10" i="76"/>
  <c r="J27" i="90"/>
  <c r="M85" i="75"/>
  <c r="AF85" i="75"/>
  <c r="AD104" i="75"/>
  <c r="J109" i="75"/>
  <c r="J31" i="90" s="1"/>
  <c r="J9" i="76"/>
  <c r="J26" i="90"/>
  <c r="M85" i="97"/>
  <c r="AD104" i="97"/>
  <c r="J109" i="97"/>
  <c r="J65" i="90" s="1"/>
  <c r="J60" i="90"/>
  <c r="J9" i="99"/>
  <c r="O28" i="69"/>
  <c r="M33" i="69"/>
  <c r="AE108" i="22"/>
  <c r="AD89" i="22"/>
  <c r="AE47" i="90"/>
  <c r="AE13" i="81"/>
  <c r="AE108" i="97"/>
  <c r="AE90" i="97"/>
  <c r="Y13" i="99"/>
  <c r="Y14" i="99" s="1"/>
  <c r="Y64" i="90"/>
  <c r="Y114" i="90" s="1"/>
  <c r="X64" i="90"/>
  <c r="X114" i="90" s="1"/>
  <c r="X13" i="99"/>
  <c r="X14" i="99" s="1"/>
  <c r="W13" i="99"/>
  <c r="W14" i="99" s="1"/>
  <c r="W64" i="90"/>
  <c r="W114" i="90" s="1"/>
  <c r="V64" i="90"/>
  <c r="V114" i="90" s="1"/>
  <c r="V13" i="99"/>
  <c r="V14" i="99" s="1"/>
  <c r="U108" i="79"/>
  <c r="U108" i="97"/>
  <c r="U90" i="97"/>
  <c r="Y92" i="97" s="1"/>
  <c r="I13" i="99"/>
  <c r="I14" i="99" s="1"/>
  <c r="I45" i="99" s="1"/>
  <c r="I64" i="90"/>
  <c r="I114" i="90" s="1"/>
  <c r="H64" i="90"/>
  <c r="H114" i="90" s="1"/>
  <c r="H13" i="99"/>
  <c r="H14" i="99" s="1"/>
  <c r="H45" i="99" s="1"/>
  <c r="G64" i="90"/>
  <c r="G114" i="90" s="1"/>
  <c r="G13" i="99"/>
  <c r="G14" i="99" s="1"/>
  <c r="G45" i="99" s="1"/>
  <c r="F64" i="90"/>
  <c r="F114" i="90" s="1"/>
  <c r="F13" i="99"/>
  <c r="F14" i="99" s="1"/>
  <c r="F45" i="99" s="1"/>
  <c r="E64" i="90"/>
  <c r="E114" i="90" s="1"/>
  <c r="E13" i="99"/>
  <c r="E14" i="99" s="1"/>
  <c r="E45" i="99" s="1"/>
  <c r="K89" i="22"/>
  <c r="M89" i="22" s="1"/>
  <c r="O89" i="22" s="1"/>
  <c r="I129" i="22"/>
  <c r="H146" i="22"/>
  <c r="G7" i="36" s="1"/>
  <c r="H7" i="36" s="1"/>
  <c r="D108" i="79"/>
  <c r="I129" i="79"/>
  <c r="H146" i="79"/>
  <c r="G7" i="80" s="1"/>
  <c r="H7" i="80" s="1"/>
  <c r="K89" i="79"/>
  <c r="M89" i="79" s="1"/>
  <c r="O89" i="79" s="1"/>
  <c r="D108" i="97"/>
  <c r="H146" i="97"/>
  <c r="G7" i="98" s="1"/>
  <c r="H7" i="98" s="1"/>
  <c r="K89" i="97"/>
  <c r="I129" i="97"/>
  <c r="D90" i="97"/>
  <c r="AE107" i="22"/>
  <c r="AD88" i="22"/>
  <c r="U107" i="75"/>
  <c r="N107" i="75"/>
  <c r="AB88" i="75"/>
  <c r="K88" i="22"/>
  <c r="M88" i="22" s="1"/>
  <c r="O88" i="22" s="1"/>
  <c r="I128" i="22"/>
  <c r="H145" i="22"/>
  <c r="G6" i="36" s="1"/>
  <c r="H6" i="36" s="1"/>
  <c r="D107" i="75"/>
  <c r="K88" i="75"/>
  <c r="M88" i="75" s="1"/>
  <c r="O88" i="75" s="1"/>
  <c r="I128" i="75"/>
  <c r="H145" i="75"/>
  <c r="G6" i="77" s="1"/>
  <c r="H6" i="77" s="1"/>
  <c r="AE106" i="22"/>
  <c r="AD87" i="22"/>
  <c r="AE45" i="90"/>
  <c r="AE11" i="81"/>
  <c r="AA62" i="90"/>
  <c r="AA112" i="90" s="1"/>
  <c r="AA11" i="99"/>
  <c r="U106" i="79"/>
  <c r="N106" i="97"/>
  <c r="I127" i="97"/>
  <c r="H144" i="97"/>
  <c r="G5" i="98" s="1"/>
  <c r="H5" i="98" s="1"/>
  <c r="K87" i="22"/>
  <c r="M87" i="22" s="1"/>
  <c r="O87" i="22" s="1"/>
  <c r="I127" i="22"/>
  <c r="H144" i="22"/>
  <c r="G5" i="36" s="1"/>
  <c r="H5" i="36" s="1"/>
  <c r="D106" i="79"/>
  <c r="K87" i="79"/>
  <c r="M87" i="79" s="1"/>
  <c r="O87" i="79" s="1"/>
  <c r="I127" i="79"/>
  <c r="H144" i="79"/>
  <c r="G5" i="80" s="1"/>
  <c r="H5" i="80" s="1"/>
  <c r="AE105" i="22"/>
  <c r="AD105" i="22" s="1"/>
  <c r="AD86" i="22"/>
  <c r="AE105" i="75"/>
  <c r="AD105" i="75" s="1"/>
  <c r="AE90" i="75"/>
  <c r="AA27" i="90"/>
  <c r="AA111" i="90" s="1"/>
  <c r="AA10" i="76"/>
  <c r="AA14" i="76" s="1"/>
  <c r="Y27" i="90"/>
  <c r="Y111" i="90" s="1"/>
  <c r="Y10" i="76"/>
  <c r="Y14" i="76" s="1"/>
  <c r="X27" i="90"/>
  <c r="X111" i="90" s="1"/>
  <c r="X10" i="76"/>
  <c r="X14" i="76" s="1"/>
  <c r="W27" i="90"/>
  <c r="W111" i="90" s="1"/>
  <c r="W10" i="76"/>
  <c r="W14" i="76" s="1"/>
  <c r="V27" i="90"/>
  <c r="V111" i="90" s="1"/>
  <c r="V10" i="76"/>
  <c r="V14" i="76" s="1"/>
  <c r="U105" i="75"/>
  <c r="U90" i="75"/>
  <c r="Y92" i="75" s="1"/>
  <c r="N105" i="75"/>
  <c r="AB86" i="75"/>
  <c r="AF86" i="75" s="1"/>
  <c r="N90" i="75"/>
  <c r="I27" i="90"/>
  <c r="I111" i="90" s="1"/>
  <c r="I10" i="76"/>
  <c r="I14" i="76" s="1"/>
  <c r="I44" i="76" s="1"/>
  <c r="H27" i="90"/>
  <c r="H111" i="90" s="1"/>
  <c r="H10" i="76"/>
  <c r="H14" i="76" s="1"/>
  <c r="H44" i="76" s="1"/>
  <c r="G27" i="90"/>
  <c r="G111" i="90" s="1"/>
  <c r="G10" i="76"/>
  <c r="G14" i="76" s="1"/>
  <c r="G44" i="76" s="1"/>
  <c r="F27" i="90"/>
  <c r="F111" i="90" s="1"/>
  <c r="F10" i="76"/>
  <c r="F14" i="76" s="1"/>
  <c r="F44" i="76" s="1"/>
  <c r="E27" i="90"/>
  <c r="E111" i="90" s="1"/>
  <c r="E10" i="76"/>
  <c r="E14" i="76" s="1"/>
  <c r="E44" i="76" s="1"/>
  <c r="K86" i="22"/>
  <c r="M86" i="22" s="1"/>
  <c r="O86" i="22" s="1"/>
  <c r="I126" i="22"/>
  <c r="H143" i="22"/>
  <c r="G4" i="36" s="1"/>
  <c r="H4" i="36" s="1"/>
  <c r="D105" i="75"/>
  <c r="K86" i="75"/>
  <c r="D90" i="75"/>
  <c r="I126" i="75"/>
  <c r="H143" i="75"/>
  <c r="AE104" i="79"/>
  <c r="AE90" i="79"/>
  <c r="AC52" i="69"/>
  <c r="AD85" i="79"/>
  <c r="AD90" i="79" s="1"/>
  <c r="AA104" i="79"/>
  <c r="AA90" i="79"/>
  <c r="Y104" i="79"/>
  <c r="Y90" i="79"/>
  <c r="X104" i="79"/>
  <c r="X90" i="79"/>
  <c r="W104" i="79"/>
  <c r="W90" i="79"/>
  <c r="V104" i="79"/>
  <c r="V90" i="79"/>
  <c r="AE52" i="69"/>
  <c r="U90" i="22"/>
  <c r="Y92" i="22" s="1"/>
  <c r="U104" i="79"/>
  <c r="U90" i="79"/>
  <c r="Y92" i="79" s="1"/>
  <c r="AB52" i="69"/>
  <c r="AB85" i="97"/>
  <c r="AB85" i="79"/>
  <c r="AF85" i="79" s="1"/>
  <c r="AB85" i="22"/>
  <c r="N90" i="22"/>
  <c r="N104" i="79"/>
  <c r="N90" i="79"/>
  <c r="N104" i="97"/>
  <c r="N90" i="97"/>
  <c r="I125" i="97"/>
  <c r="H142" i="97"/>
  <c r="I104" i="22"/>
  <c r="I90" i="22"/>
  <c r="I104" i="79"/>
  <c r="I90" i="79"/>
  <c r="H104" i="22"/>
  <c r="H90" i="22"/>
  <c r="H104" i="79"/>
  <c r="H90" i="79"/>
  <c r="G104" i="22"/>
  <c r="G90" i="22"/>
  <c r="G104" i="79"/>
  <c r="G90" i="79"/>
  <c r="F104" i="22"/>
  <c r="F90" i="22"/>
  <c r="F104" i="79"/>
  <c r="F90" i="79"/>
  <c r="E104" i="22"/>
  <c r="K104" i="22" s="1"/>
  <c r="E90" i="22"/>
  <c r="E104" i="79"/>
  <c r="E90" i="79"/>
  <c r="O9" i="69"/>
  <c r="M14" i="69"/>
  <c r="M47" i="69"/>
  <c r="K52" i="69"/>
  <c r="K85" i="22"/>
  <c r="D90" i="22"/>
  <c r="I125" i="22"/>
  <c r="H142" i="22"/>
  <c r="D104" i="79"/>
  <c r="K85" i="79"/>
  <c r="H142" i="79"/>
  <c r="D90" i="79"/>
  <c r="I125" i="79"/>
  <c r="M71" i="85"/>
  <c r="O66" i="85"/>
  <c r="J69" i="91"/>
  <c r="N32" i="36"/>
  <c r="M71" i="79"/>
  <c r="O66" i="79"/>
  <c r="J41" i="91"/>
  <c r="N30" i="36"/>
  <c r="AF71" i="22"/>
  <c r="M66" i="22"/>
  <c r="K71" i="22"/>
  <c r="J131" i="22"/>
  <c r="J12" i="91" s="1"/>
  <c r="J98" i="91" s="1"/>
  <c r="J30" i="39"/>
  <c r="J36" i="39" s="1"/>
  <c r="J6" i="91"/>
  <c r="J92" i="91" s="1"/>
  <c r="O28" i="85"/>
  <c r="M33" i="85"/>
  <c r="H69" i="91"/>
  <c r="L32" i="36"/>
  <c r="O28" i="79"/>
  <c r="M33" i="79"/>
  <c r="H41" i="91"/>
  <c r="L30" i="36"/>
  <c r="O28" i="22"/>
  <c r="M33" i="22"/>
  <c r="AD108" i="22"/>
  <c r="J13" i="39"/>
  <c r="E23" i="64"/>
  <c r="J27" i="93"/>
  <c r="J36" i="93" s="1"/>
  <c r="J13" i="90"/>
  <c r="K13" i="79"/>
  <c r="M13" i="79" s="1"/>
  <c r="O13" i="79" s="1"/>
  <c r="AD13" i="79"/>
  <c r="AF13" i="79" s="1"/>
  <c r="J108" i="79"/>
  <c r="AD107" i="22"/>
  <c r="AF107" i="22" s="1"/>
  <c r="J12" i="39"/>
  <c r="J26" i="93"/>
  <c r="J35" i="93" s="1"/>
  <c r="J12" i="90"/>
  <c r="E22" i="64"/>
  <c r="K12" i="79"/>
  <c r="M12" i="79" s="1"/>
  <c r="O12" i="79" s="1"/>
  <c r="AD12" i="79"/>
  <c r="AF12" i="79" s="1"/>
  <c r="AG12" i="79" s="1"/>
  <c r="AH12" i="79" s="1"/>
  <c r="J107" i="79"/>
  <c r="AD106" i="22"/>
  <c r="J11" i="39"/>
  <c r="E21" i="64"/>
  <c r="J25" i="93"/>
  <c r="J34" i="93" s="1"/>
  <c r="J11" i="90"/>
  <c r="K11" i="79"/>
  <c r="M11" i="79" s="1"/>
  <c r="O11" i="79" s="1"/>
  <c r="AD11" i="79"/>
  <c r="AF11" i="79" s="1"/>
  <c r="AG11" i="79" s="1"/>
  <c r="AH11" i="79" s="1"/>
  <c r="J106" i="79"/>
  <c r="J10" i="39"/>
  <c r="J24" i="93"/>
  <c r="J33" i="93" s="1"/>
  <c r="J10" i="90"/>
  <c r="E20" i="64"/>
  <c r="K10" i="79"/>
  <c r="M10" i="79" s="1"/>
  <c r="O10" i="79" s="1"/>
  <c r="AD10" i="79"/>
  <c r="AF10" i="79" s="1"/>
  <c r="AG10" i="79" s="1"/>
  <c r="AH10" i="79" s="1"/>
  <c r="J105" i="79"/>
  <c r="J109" i="22"/>
  <c r="J9" i="39"/>
  <c r="J23" i="93"/>
  <c r="J32" i="93" s="1"/>
  <c r="J9" i="90"/>
  <c r="E19" i="64"/>
  <c r="K9" i="79"/>
  <c r="AD9" i="79"/>
  <c r="AF9" i="79" s="1"/>
  <c r="J14" i="79"/>
  <c r="J104" i="79"/>
  <c r="K55" i="91"/>
  <c r="O31" i="36"/>
  <c r="D69" i="91"/>
  <c r="I32" i="36"/>
  <c r="D55" i="91"/>
  <c r="I31" i="36"/>
  <c r="D41" i="91"/>
  <c r="I30" i="36"/>
  <c r="D27" i="91"/>
  <c r="I29" i="36"/>
  <c r="L131" i="22"/>
  <c r="L30" i="39"/>
  <c r="L36" i="39" s="1"/>
  <c r="L45" i="39" s="1"/>
  <c r="L6" i="91"/>
  <c r="L92" i="91" s="1"/>
  <c r="K131" i="22"/>
  <c r="K12" i="91" s="1"/>
  <c r="K98" i="91" s="1"/>
  <c r="K30" i="39"/>
  <c r="K36" i="39" s="1"/>
  <c r="K6" i="91"/>
  <c r="K92" i="91" s="1"/>
  <c r="I147" i="75"/>
  <c r="O29" i="36" s="1"/>
  <c r="F4" i="77"/>
  <c r="I147" i="79"/>
  <c r="O30" i="36" s="1"/>
  <c r="F3" i="80"/>
  <c r="I147" i="22"/>
  <c r="F3" i="36"/>
  <c r="D131" i="22"/>
  <c r="D12" i="91" s="1"/>
  <c r="D98" i="91" s="1"/>
  <c r="K3" i="36"/>
  <c r="K9" i="36" s="1"/>
  <c r="L25" i="36" s="1"/>
  <c r="D30" i="39"/>
  <c r="D36" i="39" s="1"/>
  <c r="D45" i="39" s="1"/>
  <c r="D6" i="91"/>
  <c r="D92" i="91" s="1"/>
  <c r="AF80" i="90"/>
  <c r="M108" i="85"/>
  <c r="K80" i="90"/>
  <c r="U13" i="39"/>
  <c r="D20" i="94"/>
  <c r="D28" i="94" s="1"/>
  <c r="U13" i="90"/>
  <c r="K108" i="22"/>
  <c r="D146" i="22"/>
  <c r="L146" i="22" s="1"/>
  <c r="M146" i="22" s="1"/>
  <c r="I7" i="36"/>
  <c r="D13" i="39"/>
  <c r="D27" i="93"/>
  <c r="D36" i="93" s="1"/>
  <c r="D13" i="90"/>
  <c r="AF79" i="90"/>
  <c r="M107" i="85"/>
  <c r="K79" i="90"/>
  <c r="U12" i="39"/>
  <c r="D19" i="94"/>
  <c r="D27" i="94" s="1"/>
  <c r="U12" i="90"/>
  <c r="K107" i="22"/>
  <c r="D145" i="22"/>
  <c r="L145" i="22" s="1"/>
  <c r="M145" i="22" s="1"/>
  <c r="I6" i="36"/>
  <c r="D12" i="39"/>
  <c r="D26" i="93"/>
  <c r="D35" i="93" s="1"/>
  <c r="D12" i="90"/>
  <c r="AF78" i="90"/>
  <c r="M106" i="85"/>
  <c r="K78" i="90"/>
  <c r="U11" i="39"/>
  <c r="D18" i="94"/>
  <c r="D26" i="94" s="1"/>
  <c r="U11" i="90"/>
  <c r="K106" i="22"/>
  <c r="D144" i="22"/>
  <c r="L144" i="22" s="1"/>
  <c r="M144" i="22" s="1"/>
  <c r="I5" i="36"/>
  <c r="D11" i="39"/>
  <c r="D25" i="93"/>
  <c r="D34" i="93" s="1"/>
  <c r="D11" i="90"/>
  <c r="AF77" i="90"/>
  <c r="M105" i="85"/>
  <c r="K77" i="90"/>
  <c r="U10" i="39"/>
  <c r="D17" i="94"/>
  <c r="D25" i="94" s="1"/>
  <c r="U10" i="90"/>
  <c r="K105" i="22"/>
  <c r="D143" i="22"/>
  <c r="L143" i="22" s="1"/>
  <c r="M143" i="22" s="1"/>
  <c r="I4" i="36"/>
  <c r="D10" i="39"/>
  <c r="D24" i="93"/>
  <c r="D33" i="93" s="1"/>
  <c r="D10" i="90"/>
  <c r="W12" i="89"/>
  <c r="V17" i="89"/>
  <c r="W17" i="89" s="1"/>
  <c r="O47" i="85"/>
  <c r="M52" i="85"/>
  <c r="G69" i="91"/>
  <c r="K32" i="36"/>
  <c r="H3" i="83"/>
  <c r="D9" i="83"/>
  <c r="E23" i="36" s="1"/>
  <c r="AF109" i="85"/>
  <c r="AF81" i="90" s="1"/>
  <c r="AF76" i="90"/>
  <c r="Y111" i="85"/>
  <c r="U81" i="90"/>
  <c r="U14" i="82"/>
  <c r="Y16" i="82" s="1"/>
  <c r="N81" i="90"/>
  <c r="E32" i="36"/>
  <c r="AB109" i="85"/>
  <c r="AB81" i="90" s="1"/>
  <c r="AB9" i="82"/>
  <c r="AF9" i="82" s="1"/>
  <c r="AB76" i="90"/>
  <c r="O9" i="85"/>
  <c r="M14" i="85"/>
  <c r="M104" i="85"/>
  <c r="K109" i="85"/>
  <c r="K81" i="90" s="1"/>
  <c r="K76" i="90"/>
  <c r="D81" i="90"/>
  <c r="D32" i="36"/>
  <c r="F32" i="36" s="1"/>
  <c r="G32" i="36" s="1"/>
  <c r="L142" i="85"/>
  <c r="D147" i="85"/>
  <c r="N3" i="83"/>
  <c r="I9" i="83"/>
  <c r="J23" i="36" s="1"/>
  <c r="K9" i="82"/>
  <c r="D14" i="82"/>
  <c r="D44" i="82" s="1"/>
  <c r="O47" i="79"/>
  <c r="M52" i="79"/>
  <c r="G41" i="91"/>
  <c r="K30" i="36"/>
  <c r="D9" i="80"/>
  <c r="E21" i="36" s="1"/>
  <c r="O47" i="22"/>
  <c r="M52" i="22"/>
  <c r="D9" i="36"/>
  <c r="AF14" i="22"/>
  <c r="U109" i="22"/>
  <c r="U9" i="39"/>
  <c r="D16" i="94"/>
  <c r="D24" i="94" s="1"/>
  <c r="U9" i="90"/>
  <c r="AB14" i="22"/>
  <c r="J3" i="36"/>
  <c r="N9" i="39"/>
  <c r="N23" i="93"/>
  <c r="N32" i="93" s="1"/>
  <c r="K24" i="94" s="1"/>
  <c r="N9" i="90"/>
  <c r="M9" i="22"/>
  <c r="K14" i="22"/>
  <c r="D109" i="22"/>
  <c r="D142" i="22"/>
  <c r="I3" i="36"/>
  <c r="D9" i="39"/>
  <c r="D23" i="93"/>
  <c r="D32" i="93" s="1"/>
  <c r="D9" i="90"/>
  <c r="AF71" i="86"/>
  <c r="AF52" i="86"/>
  <c r="AF33" i="86"/>
  <c r="AB13" i="88"/>
  <c r="AF13" i="88" s="1"/>
  <c r="AG13" i="88" s="1"/>
  <c r="AH13" i="88" s="1"/>
  <c r="AB97" i="90"/>
  <c r="AB12" i="88"/>
  <c r="AF12" i="88" s="1"/>
  <c r="AG12" i="88" s="1"/>
  <c r="AH12" i="88" s="1"/>
  <c r="AB96" i="90"/>
  <c r="AB95" i="90"/>
  <c r="AB11" i="88"/>
  <c r="AF11" i="88" s="1"/>
  <c r="AG11" i="88" s="1"/>
  <c r="AH11" i="88" s="1"/>
  <c r="AB94" i="90"/>
  <c r="AB10" i="88"/>
  <c r="AF10" i="88" s="1"/>
  <c r="AG10" i="88" s="1"/>
  <c r="AH10" i="88" s="1"/>
  <c r="AF71" i="97"/>
  <c r="AF52" i="97"/>
  <c r="AF33" i="97"/>
  <c r="AB63" i="90"/>
  <c r="AB12" i="99"/>
  <c r="AF12" i="99" s="1"/>
  <c r="AG12" i="99" s="1"/>
  <c r="AH12" i="99" s="1"/>
  <c r="AB10" i="99"/>
  <c r="AF10" i="99" s="1"/>
  <c r="AG10" i="99" s="1"/>
  <c r="AH10" i="99" s="1"/>
  <c r="AB61" i="90"/>
  <c r="AF71" i="79"/>
  <c r="AF71" i="75"/>
  <c r="AF33" i="75"/>
  <c r="AB30" i="90"/>
  <c r="AB13" i="76"/>
  <c r="AF13" i="76" s="1"/>
  <c r="AG13" i="76" s="1"/>
  <c r="AH13" i="76" s="1"/>
  <c r="AE33" i="69"/>
  <c r="AB89" i="79"/>
  <c r="AB89" i="97"/>
  <c r="AB87" i="97"/>
  <c r="AB87" i="79"/>
  <c r="AF33" i="85"/>
  <c r="AF33" i="79"/>
  <c r="AF33" i="22"/>
  <c r="AB13" i="82"/>
  <c r="AF13" i="82" s="1"/>
  <c r="AG13" i="82" s="1"/>
  <c r="AH13" i="82" s="1"/>
  <c r="AB80" i="90"/>
  <c r="AB79" i="90"/>
  <c r="AB12" i="82"/>
  <c r="AF12" i="82" s="1"/>
  <c r="AG12" i="82" s="1"/>
  <c r="AH12" i="82" s="1"/>
  <c r="AB11" i="82"/>
  <c r="AF11" i="82" s="1"/>
  <c r="AG11" i="82" s="1"/>
  <c r="AH11" i="82" s="1"/>
  <c r="AB78" i="90"/>
  <c r="AB77" i="90"/>
  <c r="AB10" i="82"/>
  <c r="AF10" i="82" s="1"/>
  <c r="AF52" i="85"/>
  <c r="AF52" i="79"/>
  <c r="AF52" i="22"/>
  <c r="L146" i="86"/>
  <c r="M146" i="86" s="1"/>
  <c r="L145" i="86"/>
  <c r="M145" i="86" s="1"/>
  <c r="L144" i="86"/>
  <c r="M144" i="86" s="1"/>
  <c r="L143" i="86"/>
  <c r="M143" i="86" s="1"/>
  <c r="AE14" i="88"/>
  <c r="I44" i="88"/>
  <c r="G44" i="88"/>
  <c r="E44" i="88"/>
  <c r="O6" i="98"/>
  <c r="P6" i="98" s="1"/>
  <c r="O4" i="98"/>
  <c r="P4" i="98" s="1"/>
  <c r="Z14" i="99"/>
  <c r="M25" i="36"/>
  <c r="O7" i="77"/>
  <c r="P7" i="77" s="1"/>
  <c r="O5" i="77"/>
  <c r="P5" i="77" s="1"/>
  <c r="J147" i="75"/>
  <c r="G36" i="76"/>
  <c r="G45" i="76" s="1"/>
  <c r="AF11" i="76"/>
  <c r="AG11" i="76" s="1"/>
  <c r="AH11" i="76" s="1"/>
  <c r="AF51" i="69"/>
  <c r="AG51" i="69" s="1"/>
  <c r="J96" i="91"/>
  <c r="J95" i="91"/>
  <c r="J94" i="91"/>
  <c r="J93" i="91"/>
  <c r="J36" i="81"/>
  <c r="J46" i="81" s="1"/>
  <c r="H96" i="91"/>
  <c r="H95" i="91"/>
  <c r="H94" i="91"/>
  <c r="H93" i="91"/>
  <c r="H46" i="81"/>
  <c r="H92" i="91"/>
  <c r="L46" i="99"/>
  <c r="L46" i="81"/>
  <c r="K45" i="88"/>
  <c r="K46" i="81"/>
  <c r="D45" i="88"/>
  <c r="D46" i="81"/>
  <c r="O7" i="83"/>
  <c r="P7" i="83" s="1"/>
  <c r="G96" i="91"/>
  <c r="O6" i="83"/>
  <c r="P6" i="83" s="1"/>
  <c r="O6" i="80"/>
  <c r="P6" i="80" s="1"/>
  <c r="L144" i="85"/>
  <c r="M144" i="85" s="1"/>
  <c r="N5" i="83"/>
  <c r="O5" i="83" s="1"/>
  <c r="P5" i="83" s="1"/>
  <c r="G94" i="91"/>
  <c r="AE14" i="82"/>
  <c r="N14" i="82"/>
  <c r="N44" i="82" s="1"/>
  <c r="J147" i="79"/>
  <c r="J147" i="22"/>
  <c r="G36" i="39"/>
  <c r="G45" i="39" s="1"/>
  <c r="AC115" i="90"/>
  <c r="AC110" i="90"/>
  <c r="H4" i="87"/>
  <c r="O4" i="87" s="1"/>
  <c r="P4" i="87" s="1"/>
  <c r="AF48" i="69"/>
  <c r="AG48" i="69" s="1"/>
  <c r="L143" i="85"/>
  <c r="M143" i="85" s="1"/>
  <c r="N4" i="83"/>
  <c r="O4" i="83" s="1"/>
  <c r="P4" i="83" s="1"/>
  <c r="O10" i="82"/>
  <c r="O4" i="80"/>
  <c r="P4" i="80" s="1"/>
  <c r="G93" i="91"/>
  <c r="J147" i="85"/>
  <c r="G36" i="82"/>
  <c r="G45" i="82" s="1"/>
  <c r="J9" i="83"/>
  <c r="K23" i="36" s="1"/>
  <c r="G36" i="81"/>
  <c r="G46" i="81" s="1"/>
  <c r="G92" i="91"/>
  <c r="H6" i="87"/>
  <c r="O6" i="87" s="1"/>
  <c r="P6" i="87" s="1"/>
  <c r="H5" i="87"/>
  <c r="O5" i="87" s="1"/>
  <c r="P5" i="87" s="1"/>
  <c r="O87" i="97"/>
  <c r="H7" i="87"/>
  <c r="O7" i="87" s="1"/>
  <c r="P7" i="87" s="1"/>
  <c r="AF49" i="69"/>
  <c r="AG49" i="69" s="1"/>
  <c r="O90" i="86"/>
  <c r="AG85" i="86"/>
  <c r="AB89" i="22"/>
  <c r="N108" i="22"/>
  <c r="N13" i="99"/>
  <c r="N64" i="90"/>
  <c r="J7" i="98"/>
  <c r="J7" i="80"/>
  <c r="N13" i="81"/>
  <c r="N47" i="90"/>
  <c r="AE107" i="75"/>
  <c r="AD88" i="75"/>
  <c r="AD90" i="75" s="1"/>
  <c r="AB88" i="22"/>
  <c r="AB107" i="22" s="1"/>
  <c r="N107" i="22"/>
  <c r="AA109" i="97"/>
  <c r="AA65" i="90" s="1"/>
  <c r="AB87" i="22"/>
  <c r="N106" i="22"/>
  <c r="N45" i="90"/>
  <c r="N11" i="81"/>
  <c r="J5" i="80"/>
  <c r="AB86" i="22"/>
  <c r="N105" i="22"/>
  <c r="N109" i="22" s="1"/>
  <c r="AE90" i="22"/>
  <c r="AD85" i="22"/>
  <c r="AE104" i="22"/>
  <c r="AD104" i="22" s="1"/>
  <c r="AA90" i="22"/>
  <c r="AA104" i="22"/>
  <c r="Y90" i="22"/>
  <c r="Y104" i="22"/>
  <c r="X90" i="22"/>
  <c r="X104" i="22"/>
  <c r="W90" i="22"/>
  <c r="W104" i="22"/>
  <c r="V90" i="22"/>
  <c r="V104" i="22"/>
  <c r="AG10" i="86"/>
  <c r="AH10" i="86" s="1"/>
  <c r="AF14" i="86"/>
  <c r="AG10" i="97"/>
  <c r="AH10" i="97" s="1"/>
  <c r="AF14" i="97"/>
  <c r="AG10" i="85"/>
  <c r="AH10" i="85" s="1"/>
  <c r="AF14" i="85"/>
  <c r="E24" i="36" l="1"/>
  <c r="E25" i="36" s="1"/>
  <c r="AG13" i="79"/>
  <c r="AH13" i="79" s="1"/>
  <c r="J14" i="99"/>
  <c r="J45" i="99" s="1"/>
  <c r="AF88" i="22"/>
  <c r="AG88" i="22" s="1"/>
  <c r="AH88" i="22" s="1"/>
  <c r="J14" i="39"/>
  <c r="J44" i="39" s="1"/>
  <c r="J14" i="76"/>
  <c r="J44" i="76" s="1"/>
  <c r="K9" i="76"/>
  <c r="O52" i="79"/>
  <c r="AG47" i="79"/>
  <c r="O52" i="22"/>
  <c r="AG47" i="22"/>
  <c r="AB108" i="79"/>
  <c r="AF89" i="79"/>
  <c r="AG89" i="79" s="1"/>
  <c r="AH89" i="79" s="1"/>
  <c r="AB108" i="97"/>
  <c r="AF89" i="97"/>
  <c r="AB106" i="79"/>
  <c r="AF87" i="79"/>
  <c r="O3" i="87"/>
  <c r="H9" i="87"/>
  <c r="O108" i="86"/>
  <c r="M97" i="90"/>
  <c r="O107" i="86"/>
  <c r="M96" i="90"/>
  <c r="O106" i="86"/>
  <c r="M95" i="90"/>
  <c r="O105" i="86"/>
  <c r="M94" i="90"/>
  <c r="AG9" i="86"/>
  <c r="O14" i="86"/>
  <c r="O104" i="86"/>
  <c r="M93" i="90"/>
  <c r="M109" i="86"/>
  <c r="M98" i="90" s="1"/>
  <c r="M142" i="86"/>
  <c r="L147" i="86"/>
  <c r="M147" i="86" s="1"/>
  <c r="M9" i="88"/>
  <c r="K14" i="88"/>
  <c r="K44" i="88" s="1"/>
  <c r="AG90" i="85"/>
  <c r="AH90" i="85" s="1"/>
  <c r="AH85" i="85"/>
  <c r="M63" i="90"/>
  <c r="O107" i="97"/>
  <c r="O63" i="90" s="1"/>
  <c r="O106" i="97"/>
  <c r="O62" i="90" s="1"/>
  <c r="M62" i="90"/>
  <c r="O105" i="97"/>
  <c r="M61" i="90"/>
  <c r="M9" i="99"/>
  <c r="M60" i="90"/>
  <c r="O104" i="97"/>
  <c r="AG9" i="97"/>
  <c r="O14" i="97"/>
  <c r="D25" i="36"/>
  <c r="AG47" i="75"/>
  <c r="O52" i="75"/>
  <c r="O3" i="77"/>
  <c r="O108" i="75"/>
  <c r="M30" i="90"/>
  <c r="O106" i="75"/>
  <c r="M28" i="90"/>
  <c r="O104" i="75"/>
  <c r="M26" i="90"/>
  <c r="M142" i="75"/>
  <c r="M9" i="76"/>
  <c r="AG9" i="75"/>
  <c r="O14" i="75"/>
  <c r="Z47" i="90"/>
  <c r="Z114" i="90" s="1"/>
  <c r="Z13" i="81"/>
  <c r="Z12" i="81"/>
  <c r="Z46" i="90"/>
  <c r="Z113" i="90" s="1"/>
  <c r="Z11" i="81"/>
  <c r="Z45" i="90"/>
  <c r="Z112" i="90" s="1"/>
  <c r="Z44" i="90"/>
  <c r="Z111" i="90" s="1"/>
  <c r="Z10" i="81"/>
  <c r="I21" i="94"/>
  <c r="I29" i="94" s="1"/>
  <c r="Z14" i="90"/>
  <c r="AF14" i="79"/>
  <c r="Z109" i="79"/>
  <c r="Z48" i="90" s="1"/>
  <c r="Z9" i="81"/>
  <c r="Z14" i="81" s="1"/>
  <c r="Z43" i="90"/>
  <c r="Z110" i="90" s="1"/>
  <c r="AD12" i="76"/>
  <c r="AD29" i="90"/>
  <c r="AD11" i="99"/>
  <c r="AD62" i="90"/>
  <c r="AD10" i="76"/>
  <c r="AD27" i="90"/>
  <c r="O85" i="75"/>
  <c r="AF90" i="75"/>
  <c r="AG85" i="75"/>
  <c r="AF104" i="75"/>
  <c r="AD109" i="75"/>
  <c r="AD31" i="90" s="1"/>
  <c r="AD9" i="76"/>
  <c r="AD26" i="90"/>
  <c r="O85" i="97"/>
  <c r="O90" i="97" s="1"/>
  <c r="M90" i="97"/>
  <c r="AD9" i="99"/>
  <c r="AD60" i="90"/>
  <c r="AE13" i="90"/>
  <c r="AE114" i="90" s="1"/>
  <c r="L20" i="94"/>
  <c r="AE13" i="39"/>
  <c r="AD108" i="97"/>
  <c r="AE109" i="97"/>
  <c r="AE65" i="90" s="1"/>
  <c r="AE64" i="90"/>
  <c r="AE13" i="99"/>
  <c r="AE14" i="99" s="1"/>
  <c r="U13" i="81"/>
  <c r="U47" i="90"/>
  <c r="U109" i="97"/>
  <c r="U64" i="90"/>
  <c r="U13" i="99"/>
  <c r="I34" i="39"/>
  <c r="I10" i="91"/>
  <c r="I7" i="80"/>
  <c r="N7" i="80" s="1"/>
  <c r="O7" i="80" s="1"/>
  <c r="P7" i="80" s="1"/>
  <c r="D146" i="79"/>
  <c r="L146" i="79" s="1"/>
  <c r="M146" i="79" s="1"/>
  <c r="K108" i="79"/>
  <c r="D47" i="90"/>
  <c r="D13" i="81"/>
  <c r="I39" i="91"/>
  <c r="I34" i="81"/>
  <c r="D109" i="97"/>
  <c r="I7" i="98"/>
  <c r="D64" i="90"/>
  <c r="D114" i="90" s="1"/>
  <c r="D146" i="97"/>
  <c r="L146" i="97" s="1"/>
  <c r="M146" i="97" s="1"/>
  <c r="D13" i="99"/>
  <c r="K108" i="97"/>
  <c r="I34" i="99"/>
  <c r="I53" i="91"/>
  <c r="AE12" i="90"/>
  <c r="L19" i="94"/>
  <c r="AE12" i="39"/>
  <c r="U29" i="90"/>
  <c r="U113" i="90" s="1"/>
  <c r="U12" i="76"/>
  <c r="N29" i="90"/>
  <c r="N12" i="76"/>
  <c r="J6" i="77"/>
  <c r="I33" i="39"/>
  <c r="I9" i="91"/>
  <c r="D29" i="90"/>
  <c r="D113" i="90" s="1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33" i="76"/>
  <c r="I24" i="91"/>
  <c r="AE11" i="90"/>
  <c r="AE112" i="90" s="1"/>
  <c r="L18" i="94"/>
  <c r="AE11" i="39"/>
  <c r="U11" i="81"/>
  <c r="U45" i="90"/>
  <c r="U112" i="90" s="1"/>
  <c r="D144" i="97"/>
  <c r="L144" i="97" s="1"/>
  <c r="M144" i="97" s="1"/>
  <c r="N62" i="90"/>
  <c r="J5" i="98"/>
  <c r="N5" i="98" s="1"/>
  <c r="O5" i="98" s="1"/>
  <c r="P5" i="98" s="1"/>
  <c r="N11" i="99"/>
  <c r="O11" i="99" s="1"/>
  <c r="I51" i="91"/>
  <c r="I32" i="99"/>
  <c r="I32" i="39"/>
  <c r="I8" i="91"/>
  <c r="D144" i="79"/>
  <c r="L144" i="79" s="1"/>
  <c r="M144" i="79" s="1"/>
  <c r="D11" i="81"/>
  <c r="I5" i="80"/>
  <c r="N5" i="80" s="1"/>
  <c r="O5" i="80" s="1"/>
  <c r="P5" i="80" s="1"/>
  <c r="D45" i="90"/>
  <c r="D112" i="90" s="1"/>
  <c r="K106" i="79"/>
  <c r="I37" i="91"/>
  <c r="I32" i="81"/>
  <c r="AE10" i="90"/>
  <c r="L17" i="94"/>
  <c r="AE10" i="39"/>
  <c r="AE109" i="75"/>
  <c r="AE31" i="90" s="1"/>
  <c r="AE27" i="90"/>
  <c r="AE10" i="76"/>
  <c r="U109" i="75"/>
  <c r="U27" i="90"/>
  <c r="U111" i="90" s="1"/>
  <c r="U10" i="76"/>
  <c r="N109" i="75"/>
  <c r="N27" i="90"/>
  <c r="N10" i="76"/>
  <c r="N14" i="76" s="1"/>
  <c r="N44" i="76" s="1"/>
  <c r="J4" i="77"/>
  <c r="J9" i="77" s="1"/>
  <c r="K20" i="36" s="1"/>
  <c r="AB105" i="75"/>
  <c r="AF105" i="75" s="1"/>
  <c r="AB90" i="75"/>
  <c r="I31" i="39"/>
  <c r="I7" i="91"/>
  <c r="D109" i="75"/>
  <c r="D27" i="90"/>
  <c r="D111" i="90" s="1"/>
  <c r="D10" i="76"/>
  <c r="I4" i="77"/>
  <c r="D143" i="75"/>
  <c r="K105" i="75"/>
  <c r="I131" i="75"/>
  <c r="I31" i="76"/>
  <c r="I36" i="76" s="1"/>
  <c r="I45" i="76" s="1"/>
  <c r="I22" i="91"/>
  <c r="H147" i="75"/>
  <c r="G4" i="77"/>
  <c r="G9" i="77" s="1"/>
  <c r="H20" i="36" s="1"/>
  <c r="AE43" i="90"/>
  <c r="AE9" i="81"/>
  <c r="AE14" i="81" s="1"/>
  <c r="AE109" i="79"/>
  <c r="AE48" i="90" s="1"/>
  <c r="AA9" i="81"/>
  <c r="AA14" i="81" s="1"/>
  <c r="AA109" i="79"/>
  <c r="AA48" i="90" s="1"/>
  <c r="AA43" i="90"/>
  <c r="Y9" i="81"/>
  <c r="Y14" i="81" s="1"/>
  <c r="Y43" i="90"/>
  <c r="Y109" i="79"/>
  <c r="Y48" i="90" s="1"/>
  <c r="X43" i="90"/>
  <c r="X9" i="81"/>
  <c r="X14" i="81" s="1"/>
  <c r="X109" i="79"/>
  <c r="X48" i="90" s="1"/>
  <c r="W9" i="81"/>
  <c r="W14" i="81" s="1"/>
  <c r="W43" i="90"/>
  <c r="W109" i="79"/>
  <c r="W48" i="90" s="1"/>
  <c r="V9" i="81"/>
  <c r="V14" i="81" s="1"/>
  <c r="V109" i="79"/>
  <c r="V48" i="90" s="1"/>
  <c r="V43" i="90"/>
  <c r="U43" i="90"/>
  <c r="U110" i="90" s="1"/>
  <c r="U9" i="81"/>
  <c r="U109" i="79"/>
  <c r="AF85" i="97"/>
  <c r="AB104" i="97"/>
  <c r="AB90" i="97"/>
  <c r="AB104" i="79"/>
  <c r="AB90" i="79"/>
  <c r="N43" i="90"/>
  <c r="N9" i="81"/>
  <c r="N14" i="81" s="1"/>
  <c r="J3" i="80"/>
  <c r="J9" i="80" s="1"/>
  <c r="K21" i="36" s="1"/>
  <c r="N109" i="79"/>
  <c r="D142" i="97"/>
  <c r="N60" i="90"/>
  <c r="J3" i="98"/>
  <c r="N109" i="97"/>
  <c r="N9" i="99"/>
  <c r="N14" i="99" s="1"/>
  <c r="N45" i="99" s="1"/>
  <c r="I30" i="99"/>
  <c r="I36" i="99" s="1"/>
  <c r="I49" i="91"/>
  <c r="I131" i="97"/>
  <c r="G3" i="98"/>
  <c r="H147" i="97"/>
  <c r="I9" i="90"/>
  <c r="I23" i="93"/>
  <c r="I32" i="93" s="1"/>
  <c r="I9" i="39"/>
  <c r="I14" i="39" s="1"/>
  <c r="I109" i="22"/>
  <c r="I43" i="90"/>
  <c r="I9" i="81"/>
  <c r="I14" i="81" s="1"/>
  <c r="I109" i="79"/>
  <c r="I48" i="90" s="1"/>
  <c r="H9" i="90"/>
  <c r="H23" i="93"/>
  <c r="H32" i="93" s="1"/>
  <c r="H9" i="39"/>
  <c r="H14" i="39" s="1"/>
  <c r="H109" i="22"/>
  <c r="H9" i="81"/>
  <c r="H14" i="81" s="1"/>
  <c r="H109" i="79"/>
  <c r="H48" i="90" s="1"/>
  <c r="H43" i="90"/>
  <c r="G9" i="90"/>
  <c r="G23" i="93"/>
  <c r="G32" i="93" s="1"/>
  <c r="G9" i="39"/>
  <c r="G14" i="39" s="1"/>
  <c r="G109" i="22"/>
  <c r="G43" i="90"/>
  <c r="G9" i="81"/>
  <c r="G14" i="81" s="1"/>
  <c r="G109" i="79"/>
  <c r="G48" i="90" s="1"/>
  <c r="F9" i="90"/>
  <c r="F23" i="93"/>
  <c r="F32" i="93" s="1"/>
  <c r="F9" i="39"/>
  <c r="F14" i="39" s="1"/>
  <c r="F109" i="22"/>
  <c r="F9" i="81"/>
  <c r="F14" i="81" s="1"/>
  <c r="F109" i="79"/>
  <c r="F48" i="90" s="1"/>
  <c r="F43" i="90"/>
  <c r="E9" i="90"/>
  <c r="E23" i="93"/>
  <c r="E32" i="93" s="1"/>
  <c r="E9" i="39"/>
  <c r="E14" i="39" s="1"/>
  <c r="E44" i="39" s="1"/>
  <c r="E109" i="22"/>
  <c r="E43" i="90"/>
  <c r="E9" i="81"/>
  <c r="E14" i="81" s="1"/>
  <c r="E109" i="79"/>
  <c r="E48" i="90" s="1"/>
  <c r="AF9" i="69"/>
  <c r="O14" i="69"/>
  <c r="O47" i="69"/>
  <c r="M52" i="69"/>
  <c r="M85" i="22"/>
  <c r="K90" i="22"/>
  <c r="I131" i="22"/>
  <c r="I12" i="91" s="1"/>
  <c r="I30" i="39"/>
  <c r="I6" i="91"/>
  <c r="H147" i="22"/>
  <c r="G3" i="36"/>
  <c r="D142" i="79"/>
  <c r="D109" i="79"/>
  <c r="D43" i="90"/>
  <c r="D110" i="90" s="1"/>
  <c r="D9" i="81"/>
  <c r="I3" i="80"/>
  <c r="K104" i="79"/>
  <c r="M85" i="79"/>
  <c r="K90" i="79"/>
  <c r="G3" i="80"/>
  <c r="H147" i="79"/>
  <c r="I30" i="81"/>
  <c r="I131" i="79"/>
  <c r="I35" i="91"/>
  <c r="AG66" i="85"/>
  <c r="O71" i="85"/>
  <c r="O66" i="22"/>
  <c r="M71" i="22"/>
  <c r="AD13" i="39"/>
  <c r="M20" i="94"/>
  <c r="M28" i="94" s="1"/>
  <c r="AD13" i="90"/>
  <c r="F23" i="64"/>
  <c r="G23" i="64"/>
  <c r="H23" i="64"/>
  <c r="AD108" i="79"/>
  <c r="AF108" i="79" s="1"/>
  <c r="J13" i="81"/>
  <c r="J47" i="90"/>
  <c r="J114" i="90" s="1"/>
  <c r="AD12" i="39"/>
  <c r="M19" i="94"/>
  <c r="M27" i="94" s="1"/>
  <c r="AD12" i="90"/>
  <c r="G22" i="64"/>
  <c r="H22" i="64"/>
  <c r="F22" i="64"/>
  <c r="K107" i="79"/>
  <c r="J12" i="81"/>
  <c r="K12" i="81" s="1"/>
  <c r="M12" i="81" s="1"/>
  <c r="O12" i="81" s="1"/>
  <c r="AD107" i="79"/>
  <c r="AF107" i="79" s="1"/>
  <c r="AF46" i="90" s="1"/>
  <c r="J46" i="90"/>
  <c r="J113" i="90" s="1"/>
  <c r="AD11" i="39"/>
  <c r="M18" i="94"/>
  <c r="M26" i="94" s="1"/>
  <c r="AD11" i="90"/>
  <c r="G21" i="64"/>
  <c r="H21" i="64"/>
  <c r="F21" i="64"/>
  <c r="AD106" i="79"/>
  <c r="AF106" i="79" s="1"/>
  <c r="J11" i="81"/>
  <c r="J45" i="90"/>
  <c r="J112" i="90" s="1"/>
  <c r="AD10" i="39"/>
  <c r="M17" i="94"/>
  <c r="M25" i="94" s="1"/>
  <c r="AD10" i="90"/>
  <c r="F20" i="64"/>
  <c r="H20" i="64"/>
  <c r="G20" i="64"/>
  <c r="K105" i="79"/>
  <c r="AD105" i="79"/>
  <c r="AF105" i="79" s="1"/>
  <c r="J44" i="90"/>
  <c r="J111" i="90" s="1"/>
  <c r="J10" i="81"/>
  <c r="K10" i="81" s="1"/>
  <c r="M10" i="81" s="1"/>
  <c r="O10" i="81" s="1"/>
  <c r="AD109" i="22"/>
  <c r="AD9" i="39"/>
  <c r="AD14" i="39" s="1"/>
  <c r="M16" i="94"/>
  <c r="M24" i="94" s="1"/>
  <c r="AD9" i="90"/>
  <c r="J28" i="93"/>
  <c r="J14" i="90"/>
  <c r="H19" i="64"/>
  <c r="F19" i="64"/>
  <c r="G19" i="64"/>
  <c r="E24" i="64"/>
  <c r="K14" i="79"/>
  <c r="M9" i="79"/>
  <c r="AD104" i="79"/>
  <c r="J109" i="79"/>
  <c r="J48" i="90" s="1"/>
  <c r="J9" i="81"/>
  <c r="J14" i="81" s="1"/>
  <c r="J45" i="81" s="1"/>
  <c r="J43" i="90"/>
  <c r="J110" i="90" s="1"/>
  <c r="I33" i="36"/>
  <c r="P4" i="70"/>
  <c r="L12" i="91"/>
  <c r="L98" i="91" s="1"/>
  <c r="J45" i="39"/>
  <c r="K45" i="39"/>
  <c r="H4" i="77"/>
  <c r="H9" i="77" s="1"/>
  <c r="I20" i="36" s="1"/>
  <c r="F9" i="77"/>
  <c r="G20" i="36" s="1"/>
  <c r="O108" i="85"/>
  <c r="M80" i="90"/>
  <c r="M108" i="22"/>
  <c r="K27" i="93"/>
  <c r="K36" i="93" s="1"/>
  <c r="K13" i="90"/>
  <c r="O107" i="85"/>
  <c r="M79" i="90"/>
  <c r="N19" i="94"/>
  <c r="O27" i="94" s="1"/>
  <c r="AF12" i="90"/>
  <c r="M107" i="22"/>
  <c r="K26" i="93"/>
  <c r="K35" i="93" s="1"/>
  <c r="K12" i="90"/>
  <c r="O106" i="85"/>
  <c r="M78" i="90"/>
  <c r="M106" i="22"/>
  <c r="K25" i="93"/>
  <c r="K34" i="93" s="1"/>
  <c r="K11" i="90"/>
  <c r="O105" i="85"/>
  <c r="M77" i="90"/>
  <c r="M105" i="22"/>
  <c r="K24" i="93"/>
  <c r="K33" i="93" s="1"/>
  <c r="K10" i="90"/>
  <c r="H9" i="83"/>
  <c r="I23" i="36" s="1"/>
  <c r="O3" i="83"/>
  <c r="AF14" i="82"/>
  <c r="AG9" i="85"/>
  <c r="O14" i="85"/>
  <c r="O104" i="85"/>
  <c r="M109" i="85"/>
  <c r="M81" i="90" s="1"/>
  <c r="M76" i="90"/>
  <c r="M142" i="85"/>
  <c r="L147" i="85"/>
  <c r="M147" i="85" s="1"/>
  <c r="M9" i="82"/>
  <c r="K14" i="82"/>
  <c r="K44" i="82" s="1"/>
  <c r="D21" i="94"/>
  <c r="D29" i="94" s="1"/>
  <c r="U14" i="90"/>
  <c r="U14" i="39"/>
  <c r="N28" i="93"/>
  <c r="N14" i="90"/>
  <c r="O9" i="22"/>
  <c r="M14" i="22"/>
  <c r="M104" i="22"/>
  <c r="K109" i="22"/>
  <c r="K23" i="93"/>
  <c r="K32" i="93" s="1"/>
  <c r="K9" i="90"/>
  <c r="D28" i="93"/>
  <c r="D14" i="90"/>
  <c r="L142" i="22"/>
  <c r="M142" i="22" s="1"/>
  <c r="D147" i="22"/>
  <c r="L147" i="22" s="1"/>
  <c r="M147" i="22" s="1"/>
  <c r="N3" i="36"/>
  <c r="I9" i="36"/>
  <c r="K9" i="39"/>
  <c r="D14" i="39"/>
  <c r="D44" i="39" s="1"/>
  <c r="AB47" i="90"/>
  <c r="AB13" i="81"/>
  <c r="AB64" i="90"/>
  <c r="AB13" i="99"/>
  <c r="AF87" i="97"/>
  <c r="AG87" i="97" s="1"/>
  <c r="AH87" i="97" s="1"/>
  <c r="AB106" i="97"/>
  <c r="AB11" i="81"/>
  <c r="AB45" i="90"/>
  <c r="AH47" i="79"/>
  <c r="AG52" i="79"/>
  <c r="AH52" i="79" s="1"/>
  <c r="AH47" i="22"/>
  <c r="AG52" i="22"/>
  <c r="AH52" i="22" s="1"/>
  <c r="AG90" i="86"/>
  <c r="AH90" i="86" s="1"/>
  <c r="AH85" i="86"/>
  <c r="AF89" i="22"/>
  <c r="AG89" i="22" s="1"/>
  <c r="AH89" i="22" s="1"/>
  <c r="AB108" i="22"/>
  <c r="N13" i="90"/>
  <c r="N114" i="90" s="1"/>
  <c r="N27" i="93"/>
  <c r="N36" i="93" s="1"/>
  <c r="K28" i="94" s="1"/>
  <c r="N13" i="39"/>
  <c r="J7" i="36"/>
  <c r="N7" i="36" s="1"/>
  <c r="O7" i="36" s="1"/>
  <c r="P7" i="36" s="1"/>
  <c r="AE12" i="76"/>
  <c r="AE29" i="90"/>
  <c r="AB12" i="90"/>
  <c r="K19" i="94"/>
  <c r="AB12" i="39"/>
  <c r="AF12" i="39" s="1"/>
  <c r="N12" i="90"/>
  <c r="N113" i="90" s="1"/>
  <c r="N26" i="93"/>
  <c r="N35" i="93" s="1"/>
  <c r="K27" i="94" s="1"/>
  <c r="N12" i="39"/>
  <c r="J6" i="36"/>
  <c r="N6" i="36" s="1"/>
  <c r="O6" i="36" s="1"/>
  <c r="P6" i="36" s="1"/>
  <c r="AB106" i="22"/>
  <c r="AF87" i="22"/>
  <c r="AG87" i="22" s="1"/>
  <c r="AH87" i="22" s="1"/>
  <c r="N11" i="90"/>
  <c r="N112" i="90" s="1"/>
  <c r="N25" i="93"/>
  <c r="N34" i="93" s="1"/>
  <c r="K26" i="94" s="1"/>
  <c r="N11" i="39"/>
  <c r="J5" i="36"/>
  <c r="N5" i="36" s="1"/>
  <c r="O5" i="36" s="1"/>
  <c r="P5" i="36" s="1"/>
  <c r="AB105" i="22"/>
  <c r="AF86" i="22"/>
  <c r="AG86" i="22" s="1"/>
  <c r="AH86" i="22" s="1"/>
  <c r="N10" i="90"/>
  <c r="N111" i="90" s="1"/>
  <c r="N24" i="93"/>
  <c r="N33" i="93" s="1"/>
  <c r="K25" i="94" s="1"/>
  <c r="N10" i="39"/>
  <c r="J4" i="36"/>
  <c r="AE9" i="90"/>
  <c r="AE110" i="90" s="1"/>
  <c r="L16" i="94"/>
  <c r="AE9" i="39"/>
  <c r="AE109" i="22"/>
  <c r="AA9" i="90"/>
  <c r="AA110" i="90" s="1"/>
  <c r="J16" i="94"/>
  <c r="J24" i="94" s="1"/>
  <c r="AA9" i="39"/>
  <c r="AA14" i="39" s="1"/>
  <c r="AA109" i="22"/>
  <c r="Y9" i="90"/>
  <c r="H16" i="94"/>
  <c r="H24" i="94" s="1"/>
  <c r="Y9" i="39"/>
  <c r="Y14" i="39" s="1"/>
  <c r="Y109" i="22"/>
  <c r="X9" i="90"/>
  <c r="G16" i="94"/>
  <c r="G24" i="94" s="1"/>
  <c r="X9" i="39"/>
  <c r="X14" i="39" s="1"/>
  <c r="X109" i="22"/>
  <c r="W9" i="90"/>
  <c r="F16" i="94"/>
  <c r="F24" i="94" s="1"/>
  <c r="W9" i="39"/>
  <c r="W14" i="39" s="1"/>
  <c r="W109" i="22"/>
  <c r="V9" i="90"/>
  <c r="E16" i="94"/>
  <c r="E24" i="94" s="1"/>
  <c r="V9" i="39"/>
  <c r="V109" i="22"/>
  <c r="Y111" i="22" s="1"/>
  <c r="L115" i="90"/>
  <c r="L14" i="81"/>
  <c r="L45" i="81" s="1"/>
  <c r="AD14" i="79"/>
  <c r="P32" i="36"/>
  <c r="Q32" i="36" s="1"/>
  <c r="O33" i="36"/>
  <c r="K13" i="39"/>
  <c r="M13" i="39" s="1"/>
  <c r="K12" i="39"/>
  <c r="M12" i="39" s="1"/>
  <c r="K11" i="39"/>
  <c r="M11" i="39" s="1"/>
  <c r="K10" i="39"/>
  <c r="M10" i="39" s="1"/>
  <c r="AB14" i="82"/>
  <c r="N9" i="83"/>
  <c r="O23" i="36" s="1"/>
  <c r="AD90" i="22"/>
  <c r="G98" i="91"/>
  <c r="AG10" i="82"/>
  <c r="AH10" i="82" s="1"/>
  <c r="N33" i="36"/>
  <c r="K33" i="36"/>
  <c r="H98" i="91"/>
  <c r="L33" i="36"/>
  <c r="O71" i="86"/>
  <c r="AG66" i="86"/>
  <c r="O52" i="86"/>
  <c r="AG47" i="86"/>
  <c r="O33" i="86"/>
  <c r="AG28" i="86"/>
  <c r="AB14" i="88"/>
  <c r="AF9" i="88"/>
  <c r="O71" i="97"/>
  <c r="AG66" i="97"/>
  <c r="O52" i="97"/>
  <c r="AG47" i="97"/>
  <c r="O33" i="97"/>
  <c r="AG28" i="97"/>
  <c r="O71" i="75"/>
  <c r="AG66" i="75"/>
  <c r="O33" i="75"/>
  <c r="AG28" i="75"/>
  <c r="O33" i="69"/>
  <c r="M35" i="69"/>
  <c r="AF28" i="69"/>
  <c r="M89" i="97"/>
  <c r="O89" i="97" s="1"/>
  <c r="K90" i="97"/>
  <c r="AB107" i="75"/>
  <c r="AF107" i="75" s="1"/>
  <c r="AF88" i="75"/>
  <c r="AG88" i="75" s="1"/>
  <c r="AH88" i="75" s="1"/>
  <c r="AA14" i="99"/>
  <c r="M86" i="75"/>
  <c r="K90" i="75"/>
  <c r="AB90" i="22"/>
  <c r="AB104" i="22"/>
  <c r="AF85" i="22"/>
  <c r="O71" i="79"/>
  <c r="AG66" i="79"/>
  <c r="O33" i="85"/>
  <c r="AG28" i="85"/>
  <c r="O33" i="79"/>
  <c r="AG28" i="79"/>
  <c r="O33" i="22"/>
  <c r="AG28" i="22"/>
  <c r="F9" i="80"/>
  <c r="G21" i="36" s="1"/>
  <c r="F9" i="36"/>
  <c r="O52" i="85"/>
  <c r="AG47" i="85"/>
  <c r="AF104" i="79" l="1"/>
  <c r="N45" i="81"/>
  <c r="N110" i="90"/>
  <c r="I44" i="39"/>
  <c r="I45" i="81"/>
  <c r="H110" i="90"/>
  <c r="I36" i="81"/>
  <c r="I46" i="81" s="1"/>
  <c r="G45" i="81"/>
  <c r="F44" i="39"/>
  <c r="G24" i="36"/>
  <c r="G25" i="36" s="1"/>
  <c r="N14" i="39"/>
  <c r="N44" i="39" s="1"/>
  <c r="AE14" i="39"/>
  <c r="Y110" i="90"/>
  <c r="X110" i="90"/>
  <c r="W110" i="90"/>
  <c r="V110" i="90"/>
  <c r="O13" i="39"/>
  <c r="O12" i="39"/>
  <c r="AG12" i="39" s="1"/>
  <c r="AH12" i="39" s="1"/>
  <c r="O11" i="39"/>
  <c r="O10" i="39"/>
  <c r="AG89" i="97"/>
  <c r="AH89" i="97" s="1"/>
  <c r="AF90" i="79"/>
  <c r="AG87" i="79"/>
  <c r="AH87" i="79" s="1"/>
  <c r="O86" i="75"/>
  <c r="M90" i="75"/>
  <c r="O9" i="87"/>
  <c r="P9" i="87" s="1"/>
  <c r="P3" i="87"/>
  <c r="AG108" i="86"/>
  <c r="O97" i="90"/>
  <c r="AG107" i="86"/>
  <c r="O96" i="90"/>
  <c r="AG106" i="86"/>
  <c r="O95" i="90"/>
  <c r="AG105" i="86"/>
  <c r="O94" i="90"/>
  <c r="AG14" i="86"/>
  <c r="AH14" i="86" s="1"/>
  <c r="AH9" i="86"/>
  <c r="AG104" i="86"/>
  <c r="O93" i="90"/>
  <c r="O109" i="86"/>
  <c r="O98" i="90" s="1"/>
  <c r="M14" i="88"/>
  <c r="M44" i="88" s="1"/>
  <c r="O9" i="88"/>
  <c r="AG105" i="97"/>
  <c r="AH105" i="97" s="1"/>
  <c r="O61" i="90"/>
  <c r="O9" i="99"/>
  <c r="O60" i="90"/>
  <c r="AG14" i="97"/>
  <c r="AH14" i="97" s="1"/>
  <c r="AH9" i="97"/>
  <c r="AG52" i="75"/>
  <c r="AH52" i="75" s="1"/>
  <c r="AH47" i="75"/>
  <c r="P3" i="77"/>
  <c r="AG108" i="75"/>
  <c r="O30" i="90"/>
  <c r="AG106" i="75"/>
  <c r="O28" i="90"/>
  <c r="O26" i="90"/>
  <c r="O9" i="76"/>
  <c r="AG14" i="75"/>
  <c r="AH14" i="75" s="1"/>
  <c r="AH9" i="75"/>
  <c r="AF44" i="90"/>
  <c r="AH85" i="75"/>
  <c r="AF26" i="90"/>
  <c r="AF109" i="75"/>
  <c r="AF31" i="90" s="1"/>
  <c r="AG104" i="75"/>
  <c r="AF9" i="76"/>
  <c r="AD14" i="76"/>
  <c r="N28" i="94"/>
  <c r="L28" i="94"/>
  <c r="AD64" i="90"/>
  <c r="AD13" i="99"/>
  <c r="AD14" i="99" s="1"/>
  <c r="AF47" i="90"/>
  <c r="Y111" i="97"/>
  <c r="U65" i="90"/>
  <c r="U14" i="99"/>
  <c r="Y16" i="99" s="1"/>
  <c r="AF13" i="99"/>
  <c r="M108" i="79"/>
  <c r="K47" i="90"/>
  <c r="D65" i="90"/>
  <c r="D31" i="36"/>
  <c r="F31" i="36" s="1"/>
  <c r="G31" i="36" s="1"/>
  <c r="Q31" i="36" s="1"/>
  <c r="I9" i="98"/>
  <c r="J22" i="36" s="1"/>
  <c r="N7" i="98"/>
  <c r="O7" i="98" s="1"/>
  <c r="P7" i="98" s="1"/>
  <c r="D14" i="99"/>
  <c r="D45" i="99" s="1"/>
  <c r="K13" i="99"/>
  <c r="K109" i="97"/>
  <c r="K65" i="90" s="1"/>
  <c r="K64" i="90"/>
  <c r="M108" i="97"/>
  <c r="N27" i="94"/>
  <c r="L27" i="94"/>
  <c r="AF29" i="90"/>
  <c r="AF113" i="90" s="1"/>
  <c r="M107" i="75"/>
  <c r="K29" i="90"/>
  <c r="N26" i="94"/>
  <c r="L26" i="94"/>
  <c r="AF45" i="90"/>
  <c r="M106" i="79"/>
  <c r="K45" i="90"/>
  <c r="K112" i="90" s="1"/>
  <c r="L25" i="94"/>
  <c r="N25" i="94"/>
  <c r="U31" i="90"/>
  <c r="Y111" i="75"/>
  <c r="U14" i="76"/>
  <c r="Y16" i="76" s="1"/>
  <c r="AF27" i="90"/>
  <c r="E29" i="36"/>
  <c r="N31" i="90"/>
  <c r="AB109" i="75"/>
  <c r="AB31" i="90" s="1"/>
  <c r="AB27" i="90"/>
  <c r="AB10" i="76"/>
  <c r="D29" i="36"/>
  <c r="D31" i="90"/>
  <c r="D14" i="76"/>
  <c r="D44" i="76" s="1"/>
  <c r="K10" i="76"/>
  <c r="I9" i="77"/>
  <c r="J20" i="36" s="1"/>
  <c r="N4" i="77"/>
  <c r="D147" i="75"/>
  <c r="L143" i="75"/>
  <c r="K109" i="75"/>
  <c r="K31" i="90" s="1"/>
  <c r="M105" i="75"/>
  <c r="K27" i="90"/>
  <c r="M29" i="36"/>
  <c r="I27" i="91"/>
  <c r="U14" i="81"/>
  <c r="Y16" i="81" s="1"/>
  <c r="U48" i="90"/>
  <c r="Y111" i="79"/>
  <c r="AG85" i="97"/>
  <c r="AF90" i="97"/>
  <c r="AB109" i="97"/>
  <c r="AB65" i="90" s="1"/>
  <c r="AB60" i="90"/>
  <c r="AB9" i="99"/>
  <c r="AF104" i="97"/>
  <c r="AB43" i="90"/>
  <c r="AB9" i="81"/>
  <c r="AB109" i="79"/>
  <c r="AB48" i="90" s="1"/>
  <c r="N48" i="90"/>
  <c r="E30" i="36"/>
  <c r="L142" i="97"/>
  <c r="D147" i="97"/>
  <c r="N3" i="98"/>
  <c r="J9" i="98"/>
  <c r="K22" i="36" s="1"/>
  <c r="N65" i="90"/>
  <c r="E31" i="36"/>
  <c r="I55" i="91"/>
  <c r="M31" i="36"/>
  <c r="P31" i="36" s="1"/>
  <c r="H3" i="98"/>
  <c r="G9" i="98"/>
  <c r="H22" i="36" s="1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F14" i="69"/>
  <c r="AG14" i="69" s="1"/>
  <c r="AG9" i="69"/>
  <c r="AF47" i="69"/>
  <c r="O52" i="69"/>
  <c r="O85" i="22"/>
  <c r="M90" i="22"/>
  <c r="L142" i="79"/>
  <c r="D147" i="79"/>
  <c r="D30" i="36"/>
  <c r="F30" i="36" s="1"/>
  <c r="G30" i="36" s="1"/>
  <c r="D48" i="90"/>
  <c r="K9" i="81"/>
  <c r="D14" i="81"/>
  <c r="D45" i="81" s="1"/>
  <c r="N3" i="80"/>
  <c r="N9" i="80" s="1"/>
  <c r="O21" i="36" s="1"/>
  <c r="I9" i="80"/>
  <c r="J21" i="36" s="1"/>
  <c r="K43" i="90"/>
  <c r="K110" i="90" s="1"/>
  <c r="M104" i="79"/>
  <c r="K109" i="79"/>
  <c r="K48" i="90" s="1"/>
  <c r="O85" i="79"/>
  <c r="M90" i="79"/>
  <c r="I41" i="91"/>
  <c r="M30" i="36"/>
  <c r="P30" i="36" s="1"/>
  <c r="AG71" i="85"/>
  <c r="AH71" i="85" s="1"/>
  <c r="AH66" i="85"/>
  <c r="AG66" i="22"/>
  <c r="O71" i="22"/>
  <c r="AD13" i="81"/>
  <c r="AF13" i="81" s="1"/>
  <c r="AD47" i="90"/>
  <c r="AD114" i="90" s="1"/>
  <c r="M107" i="79"/>
  <c r="K46" i="90"/>
  <c r="AD46" i="90"/>
  <c r="AD12" i="81"/>
  <c r="AF12" i="81" s="1"/>
  <c r="AG12" i="81" s="1"/>
  <c r="AH12" i="81" s="1"/>
  <c r="AD45" i="90"/>
  <c r="AD112" i="90" s="1"/>
  <c r="AD11" i="81"/>
  <c r="AF11" i="81" s="1"/>
  <c r="K44" i="90"/>
  <c r="M105" i="79"/>
  <c r="AD44" i="90"/>
  <c r="AD111" i="90" s="1"/>
  <c r="AD10" i="81"/>
  <c r="AF10" i="81" s="1"/>
  <c r="AG10" i="81" s="1"/>
  <c r="AH10" i="81" s="1"/>
  <c r="M21" i="94"/>
  <c r="M29" i="94" s="1"/>
  <c r="AD14" i="90"/>
  <c r="H24" i="64"/>
  <c r="F24" i="64"/>
  <c r="G24" i="64"/>
  <c r="O9" i="79"/>
  <c r="M14" i="79"/>
  <c r="AD9" i="81"/>
  <c r="AD109" i="79"/>
  <c r="AD48" i="90" s="1"/>
  <c r="AD43" i="90"/>
  <c r="AD110" i="90" s="1"/>
  <c r="AG108" i="85"/>
  <c r="O80" i="90"/>
  <c r="O108" i="22"/>
  <c r="M27" i="93"/>
  <c r="M36" i="93" s="1"/>
  <c r="M13" i="90"/>
  <c r="AG107" i="85"/>
  <c r="O79" i="90"/>
  <c r="O107" i="22"/>
  <c r="M26" i="93"/>
  <c r="M35" i="93" s="1"/>
  <c r="M12" i="90"/>
  <c r="AG106" i="85"/>
  <c r="O78" i="90"/>
  <c r="O106" i="22"/>
  <c r="M25" i="93"/>
  <c r="M34" i="93" s="1"/>
  <c r="M11" i="90"/>
  <c r="AG105" i="85"/>
  <c r="O77" i="90"/>
  <c r="O105" i="22"/>
  <c r="M24" i="93"/>
  <c r="M33" i="93" s="1"/>
  <c r="M10" i="90"/>
  <c r="P3" i="83"/>
  <c r="O9" i="83"/>
  <c r="P9" i="83" s="1"/>
  <c r="AH9" i="85"/>
  <c r="AG14" i="85"/>
  <c r="AH14" i="85" s="1"/>
  <c r="AG104" i="85"/>
  <c r="O109" i="85"/>
  <c r="O81" i="90" s="1"/>
  <c r="O76" i="90"/>
  <c r="O9" i="82"/>
  <c r="M14" i="82"/>
  <c r="M44" i="82" s="1"/>
  <c r="AG9" i="22"/>
  <c r="O14" i="22"/>
  <c r="O104" i="22"/>
  <c r="M109" i="22"/>
  <c r="M23" i="93"/>
  <c r="M32" i="93" s="1"/>
  <c r="M9" i="90"/>
  <c r="K28" i="93"/>
  <c r="K14" i="90"/>
  <c r="K115" i="90" s="1"/>
  <c r="M9" i="39"/>
  <c r="K14" i="39"/>
  <c r="K44" i="39" s="1"/>
  <c r="AF106" i="97"/>
  <c r="AB62" i="90"/>
  <c r="AB11" i="99"/>
  <c r="AF11" i="99" s="1"/>
  <c r="AG11" i="99" s="1"/>
  <c r="AH11" i="99" s="1"/>
  <c r="AF108" i="22"/>
  <c r="AB13" i="90"/>
  <c r="AB114" i="90" s="1"/>
  <c r="K20" i="94"/>
  <c r="AB13" i="39"/>
  <c r="AF13" i="39" s="1"/>
  <c r="AF106" i="22"/>
  <c r="AB11" i="90"/>
  <c r="AB112" i="90" s="1"/>
  <c r="K18" i="94"/>
  <c r="AB11" i="39"/>
  <c r="AF11" i="39" s="1"/>
  <c r="AF105" i="22"/>
  <c r="AB10" i="90"/>
  <c r="AB111" i="90" s="1"/>
  <c r="K17" i="94"/>
  <c r="AB10" i="39"/>
  <c r="AF10" i="39" s="1"/>
  <c r="J9" i="36"/>
  <c r="N4" i="36"/>
  <c r="L24" i="94"/>
  <c r="N24" i="94"/>
  <c r="L21" i="94"/>
  <c r="AE14" i="90"/>
  <c r="AE115" i="90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E21" i="94"/>
  <c r="E29" i="94" s="1"/>
  <c r="V14" i="90"/>
  <c r="V115" i="90" s="1"/>
  <c r="AH66" i="86"/>
  <c r="AG71" i="86"/>
  <c r="AH71" i="86" s="1"/>
  <c r="AG52" i="86"/>
  <c r="AH52" i="86" s="1"/>
  <c r="AH47" i="86"/>
  <c r="AG33" i="86"/>
  <c r="AH33" i="86" s="1"/>
  <c r="AH28" i="86"/>
  <c r="AF14" i="88"/>
  <c r="AG71" i="97"/>
  <c r="AH71" i="97" s="1"/>
  <c r="AH66" i="97"/>
  <c r="AG52" i="97"/>
  <c r="AH52" i="97" s="1"/>
  <c r="AH47" i="97"/>
  <c r="AH28" i="97"/>
  <c r="AG33" i="97"/>
  <c r="AH33" i="97" s="1"/>
  <c r="AG71" i="75"/>
  <c r="AH71" i="75" s="1"/>
  <c r="AH66" i="75"/>
  <c r="AG33" i="75"/>
  <c r="AH33" i="75" s="1"/>
  <c r="AH28" i="75"/>
  <c r="AF33" i="69"/>
  <c r="AG33" i="69" s="1"/>
  <c r="AG28" i="69"/>
  <c r="AB12" i="76"/>
  <c r="AF12" i="76" s="1"/>
  <c r="AG12" i="76" s="1"/>
  <c r="AH12" i="76" s="1"/>
  <c r="AB29" i="90"/>
  <c r="AB113" i="90" s="1"/>
  <c r="AB9" i="90"/>
  <c r="K16" i="94"/>
  <c r="AB9" i="39"/>
  <c r="AB109" i="22"/>
  <c r="AF104" i="22"/>
  <c r="AF90" i="22"/>
  <c r="AH66" i="79"/>
  <c r="AG71" i="79"/>
  <c r="AH71" i="79" s="1"/>
  <c r="AG33" i="85"/>
  <c r="AH33" i="85" s="1"/>
  <c r="AH28" i="85"/>
  <c r="AG33" i="79"/>
  <c r="AH33" i="79" s="1"/>
  <c r="AH28" i="79"/>
  <c r="AG33" i="22"/>
  <c r="AH33" i="22" s="1"/>
  <c r="AH28" i="22"/>
  <c r="AH47" i="85"/>
  <c r="AG52" i="85"/>
  <c r="AH52" i="85" s="1"/>
  <c r="U114" i="90"/>
  <c r="I96" i="91"/>
  <c r="K13" i="81"/>
  <c r="M13" i="81" s="1"/>
  <c r="O13" i="81" s="1"/>
  <c r="AE113" i="90"/>
  <c r="I95" i="91"/>
  <c r="I94" i="91"/>
  <c r="K11" i="81"/>
  <c r="M11" i="81" s="1"/>
  <c r="O11" i="81" s="1"/>
  <c r="AE111" i="90"/>
  <c r="AE14" i="76"/>
  <c r="I110" i="90"/>
  <c r="G44" i="39"/>
  <c r="K24" i="36"/>
  <c r="I93" i="91"/>
  <c r="I46" i="99"/>
  <c r="H44" i="39"/>
  <c r="H45" i="81"/>
  <c r="F110" i="90"/>
  <c r="F45" i="81"/>
  <c r="E110" i="90"/>
  <c r="E45" i="81"/>
  <c r="G110" i="90"/>
  <c r="I36" i="39"/>
  <c r="I45" i="39" s="1"/>
  <c r="I92" i="91"/>
  <c r="AD113" i="90"/>
  <c r="J115" i="90"/>
  <c r="Z115" i="90"/>
  <c r="AF108" i="97"/>
  <c r="AD109" i="97"/>
  <c r="AD65" i="90" s="1"/>
  <c r="G9" i="36"/>
  <c r="H3" i="36"/>
  <c r="G9" i="80"/>
  <c r="H21" i="36" s="1"/>
  <c r="H3" i="80"/>
  <c r="V14" i="39"/>
  <c r="Y16" i="39" s="1"/>
  <c r="AF9" i="39"/>
  <c r="O90" i="75" l="1"/>
  <c r="AG86" i="75"/>
  <c r="AG10" i="39"/>
  <c r="AH10" i="39" s="1"/>
  <c r="K114" i="90"/>
  <c r="AG11" i="81"/>
  <c r="AH11" i="81" s="1"/>
  <c r="AG13" i="39"/>
  <c r="AH13" i="39" s="1"/>
  <c r="E33" i="36"/>
  <c r="E34" i="36" s="1"/>
  <c r="N115" i="90"/>
  <c r="D115" i="90"/>
  <c r="J24" i="36"/>
  <c r="J25" i="36" s="1"/>
  <c r="H24" i="36"/>
  <c r="H25" i="36" s="1"/>
  <c r="I98" i="91"/>
  <c r="AG13" i="81"/>
  <c r="AH13" i="81" s="1"/>
  <c r="AG11" i="39"/>
  <c r="AH11" i="39" s="1"/>
  <c r="AF43" i="90"/>
  <c r="AF109" i="79"/>
  <c r="AF48" i="90" s="1"/>
  <c r="AG97" i="90"/>
  <c r="AH108" i="86"/>
  <c r="AH107" i="86"/>
  <c r="AG96" i="90"/>
  <c r="AG95" i="90"/>
  <c r="AH106" i="86"/>
  <c r="AG94" i="90"/>
  <c r="AH105" i="86"/>
  <c r="AG93" i="90"/>
  <c r="AG109" i="86"/>
  <c r="AH104" i="86"/>
  <c r="AG30" i="90"/>
  <c r="AH108" i="75"/>
  <c r="AG28" i="90"/>
  <c r="AH106" i="75"/>
  <c r="AH104" i="75"/>
  <c r="AG26" i="90"/>
  <c r="AG9" i="76"/>
  <c r="M47" i="90"/>
  <c r="O108" i="79"/>
  <c r="K14" i="99"/>
  <c r="K45" i="99" s="1"/>
  <c r="M13" i="99"/>
  <c r="M109" i="97"/>
  <c r="M65" i="90" s="1"/>
  <c r="O108" i="97"/>
  <c r="AG108" i="97" s="1"/>
  <c r="AH108" i="97" s="1"/>
  <c r="M64" i="90"/>
  <c r="O107" i="75"/>
  <c r="M29" i="90"/>
  <c r="M45" i="90"/>
  <c r="M112" i="90" s="1"/>
  <c r="O106" i="79"/>
  <c r="F29" i="36"/>
  <c r="D33" i="36"/>
  <c r="D34" i="36" s="1"/>
  <c r="K14" i="76"/>
  <c r="K44" i="76" s="1"/>
  <c r="M10" i="76"/>
  <c r="O4" i="77"/>
  <c r="N9" i="77"/>
  <c r="O20" i="36" s="1"/>
  <c r="L147" i="75"/>
  <c r="M147" i="75" s="1"/>
  <c r="M143" i="75"/>
  <c r="M109" i="75"/>
  <c r="M31" i="90" s="1"/>
  <c r="O105" i="75"/>
  <c r="M27" i="90"/>
  <c r="M111" i="90" s="1"/>
  <c r="P29" i="36"/>
  <c r="P33" i="36" s="1"/>
  <c r="M33" i="36"/>
  <c r="AH85" i="97"/>
  <c r="AG90" i="97"/>
  <c r="AH90" i="97" s="1"/>
  <c r="AF9" i="99"/>
  <c r="AB14" i="99"/>
  <c r="AF60" i="90"/>
  <c r="AF109" i="97"/>
  <c r="AF65" i="90" s="1"/>
  <c r="AG104" i="97"/>
  <c r="M142" i="97"/>
  <c r="L147" i="97"/>
  <c r="M147" i="97" s="1"/>
  <c r="H9" i="98"/>
  <c r="I22" i="36" s="1"/>
  <c r="O3" i="98"/>
  <c r="AF52" i="69"/>
  <c r="AG52" i="69" s="1"/>
  <c r="AG47" i="69"/>
  <c r="M142" i="79"/>
  <c r="L147" i="79"/>
  <c r="M147" i="79" s="1"/>
  <c r="M9" i="81"/>
  <c r="K14" i="81"/>
  <c r="K45" i="81" s="1"/>
  <c r="O104" i="79"/>
  <c r="M109" i="79"/>
  <c r="M48" i="90" s="1"/>
  <c r="M43" i="90"/>
  <c r="M110" i="90" s="1"/>
  <c r="AG85" i="79"/>
  <c r="O90" i="79"/>
  <c r="AG71" i="22"/>
  <c r="AH71" i="22" s="1"/>
  <c r="AH66" i="22"/>
  <c r="O107" i="79"/>
  <c r="O46" i="90" s="1"/>
  <c r="M46" i="90"/>
  <c r="O105" i="79"/>
  <c r="M44" i="90"/>
  <c r="AG9" i="79"/>
  <c r="O14" i="79"/>
  <c r="AG80" i="90"/>
  <c r="AH108" i="85"/>
  <c r="O27" i="93"/>
  <c r="O36" i="93" s="1"/>
  <c r="O13" i="90"/>
  <c r="AG79" i="90"/>
  <c r="AH107" i="85"/>
  <c r="AG107" i="22"/>
  <c r="O26" i="93"/>
  <c r="O35" i="93" s="1"/>
  <c r="O12" i="90"/>
  <c r="AG78" i="90"/>
  <c r="AH106" i="85"/>
  <c r="O25" i="93"/>
  <c r="O34" i="93" s="1"/>
  <c r="O11" i="90"/>
  <c r="AG77" i="90"/>
  <c r="AH105" i="85"/>
  <c r="O24" i="93"/>
  <c r="O33" i="93" s="1"/>
  <c r="O10" i="90"/>
  <c r="AG76" i="90"/>
  <c r="AG109" i="85"/>
  <c r="AH104" i="85"/>
  <c r="AG9" i="82"/>
  <c r="O14" i="82"/>
  <c r="O44" i="82" s="1"/>
  <c r="AG14" i="22"/>
  <c r="AH14" i="22" s="1"/>
  <c r="AH9" i="22"/>
  <c r="O109" i="22"/>
  <c r="O23" i="93"/>
  <c r="O32" i="93" s="1"/>
  <c r="O9" i="90"/>
  <c r="M28" i="93"/>
  <c r="M14" i="90"/>
  <c r="O9" i="39"/>
  <c r="O14" i="39" s="1"/>
  <c r="O44" i="39" s="1"/>
  <c r="M14" i="39"/>
  <c r="M44" i="39" s="1"/>
  <c r="AG106" i="97"/>
  <c r="AH106" i="97" s="1"/>
  <c r="AF62" i="90"/>
  <c r="AF13" i="90"/>
  <c r="N20" i="94"/>
  <c r="O28" i="94" s="1"/>
  <c r="AG108" i="22"/>
  <c r="AF11" i="90"/>
  <c r="AF112" i="90" s="1"/>
  <c r="N18" i="94"/>
  <c r="O26" i="94" s="1"/>
  <c r="AG106" i="22"/>
  <c r="AF10" i="90"/>
  <c r="AF111" i="90" s="1"/>
  <c r="N17" i="94"/>
  <c r="O25" i="94" s="1"/>
  <c r="AG105" i="22"/>
  <c r="N9" i="36"/>
  <c r="O4" i="36"/>
  <c r="P4" i="36" s="1"/>
  <c r="N29" i="94"/>
  <c r="L29" i="94"/>
  <c r="K21" i="94"/>
  <c r="K29" i="94" s="1"/>
  <c r="AB14" i="90"/>
  <c r="AB115" i="90" s="1"/>
  <c r="AF9" i="90"/>
  <c r="N16" i="94"/>
  <c r="O24" i="94" s="1"/>
  <c r="AF109" i="22"/>
  <c r="AG104" i="22"/>
  <c r="AF64" i="90"/>
  <c r="H9" i="36"/>
  <c r="O3" i="36"/>
  <c r="O3" i="80"/>
  <c r="H9" i="80"/>
  <c r="I21" i="36" s="1"/>
  <c r="AF14" i="39"/>
  <c r="AG9" i="39"/>
  <c r="K113" i="90"/>
  <c r="U115" i="90"/>
  <c r="K111" i="90"/>
  <c r="AD115" i="90"/>
  <c r="N9" i="98"/>
  <c r="O22" i="36" s="1"/>
  <c r="Q30" i="36"/>
  <c r="AD14" i="81"/>
  <c r="AB110" i="90"/>
  <c r="AB14" i="39"/>
  <c r="K25" i="36"/>
  <c r="O14" i="88"/>
  <c r="O44" i="88" s="1"/>
  <c r="AG9" i="88"/>
  <c r="AB14" i="76"/>
  <c r="AF10" i="76"/>
  <c r="AF14" i="76" s="1"/>
  <c r="AB14" i="81"/>
  <c r="AF9" i="81"/>
  <c r="O90" i="22"/>
  <c r="AG85" i="22"/>
  <c r="AG90" i="75" l="1"/>
  <c r="AH90" i="75" s="1"/>
  <c r="AH86" i="75"/>
  <c r="AF114" i="90"/>
  <c r="M114" i="90"/>
  <c r="M113" i="90"/>
  <c r="O24" i="36"/>
  <c r="O25" i="36" s="1"/>
  <c r="AH109" i="86"/>
  <c r="AG98" i="90"/>
  <c r="AH9" i="76"/>
  <c r="AG108" i="79"/>
  <c r="O47" i="90"/>
  <c r="M14" i="99"/>
  <c r="M45" i="99" s="1"/>
  <c r="O13" i="99"/>
  <c r="O109" i="97"/>
  <c r="O65" i="90" s="1"/>
  <c r="O64" i="90"/>
  <c r="O114" i="90" s="1"/>
  <c r="AG107" i="75"/>
  <c r="O29" i="90"/>
  <c r="O113" i="90" s="1"/>
  <c r="AG106" i="79"/>
  <c r="O45" i="90"/>
  <c r="O112" i="90" s="1"/>
  <c r="G29" i="36"/>
  <c r="Q29" i="36" s="1"/>
  <c r="Q33" i="36" s="1"/>
  <c r="F33" i="36"/>
  <c r="M14" i="76"/>
  <c r="M44" i="76" s="1"/>
  <c r="O10" i="76"/>
  <c r="O9" i="77"/>
  <c r="P9" i="77" s="1"/>
  <c r="P4" i="77"/>
  <c r="AG105" i="75"/>
  <c r="O109" i="75"/>
  <c r="O31" i="90" s="1"/>
  <c r="O27" i="90"/>
  <c r="AG9" i="99"/>
  <c r="AF14" i="99"/>
  <c r="AH104" i="97"/>
  <c r="AG109" i="97"/>
  <c r="AH109" i="97" s="1"/>
  <c r="O9" i="98"/>
  <c r="P9" i="98" s="1"/>
  <c r="P3" i="98"/>
  <c r="O9" i="81"/>
  <c r="M14" i="81"/>
  <c r="M45" i="81" s="1"/>
  <c r="AG104" i="79"/>
  <c r="O43" i="90"/>
  <c r="O110" i="90" s="1"/>
  <c r="O109" i="79"/>
  <c r="O48" i="90" s="1"/>
  <c r="AH85" i="79"/>
  <c r="AG90" i="79"/>
  <c r="AH90" i="79" s="1"/>
  <c r="AG105" i="79"/>
  <c r="O44" i="90"/>
  <c r="AG14" i="79"/>
  <c r="AH14" i="79" s="1"/>
  <c r="AH9" i="79"/>
  <c r="AG12" i="90"/>
  <c r="O19" i="94"/>
  <c r="AH107" i="22"/>
  <c r="AH109" i="85"/>
  <c r="AG81" i="90"/>
  <c r="AG14" i="82"/>
  <c r="AH14" i="82" s="1"/>
  <c r="AH9" i="82"/>
  <c r="O28" i="93"/>
  <c r="O14" i="90"/>
  <c r="AH108" i="22"/>
  <c r="O20" i="94"/>
  <c r="AG13" i="90"/>
  <c r="AH106" i="22"/>
  <c r="O18" i="94"/>
  <c r="AG11" i="90"/>
  <c r="AH105" i="22"/>
  <c r="O17" i="94"/>
  <c r="AG10" i="90"/>
  <c r="N21" i="94"/>
  <c r="O29" i="94" s="1"/>
  <c r="AF14" i="90"/>
  <c r="AF115" i="90" s="1"/>
  <c r="AH104" i="22"/>
  <c r="AG109" i="22"/>
  <c r="O16" i="94"/>
  <c r="AG9" i="90"/>
  <c r="P3" i="36"/>
  <c r="O9" i="36"/>
  <c r="P9" i="36" s="1"/>
  <c r="P3" i="80"/>
  <c r="O9" i="80"/>
  <c r="P9" i="80" s="1"/>
  <c r="AH9" i="39"/>
  <c r="AG14" i="39"/>
  <c r="AH14" i="39" s="1"/>
  <c r="AG14" i="88"/>
  <c r="AH14" i="88" s="1"/>
  <c r="AH9" i="88"/>
  <c r="AF14" i="81"/>
  <c r="AG90" i="22"/>
  <c r="AH90" i="22" s="1"/>
  <c r="AH85" i="22"/>
  <c r="M115" i="90"/>
  <c r="AF110" i="90"/>
  <c r="I24" i="36"/>
  <c r="I25" i="36" s="1"/>
  <c r="O111" i="90" l="1"/>
  <c r="AG47" i="90"/>
  <c r="AG114" i="90" s="1"/>
  <c r="AH108" i="79"/>
  <c r="AG13" i="99"/>
  <c r="O14" i="99"/>
  <c r="O45" i="99" s="1"/>
  <c r="AG29" i="90"/>
  <c r="AG113" i="90" s="1"/>
  <c r="AH107" i="75"/>
  <c r="AG45" i="90"/>
  <c r="AG112" i="90" s="1"/>
  <c r="AH106" i="79"/>
  <c r="G33" i="36"/>
  <c r="P35" i="36" s="1"/>
  <c r="F34" i="36"/>
  <c r="AG10" i="76"/>
  <c r="O14" i="76"/>
  <c r="O44" i="76" s="1"/>
  <c r="AG109" i="75"/>
  <c r="AG27" i="90"/>
  <c r="AH105" i="75"/>
  <c r="AH9" i="99"/>
  <c r="AG43" i="90"/>
  <c r="AG110" i="90" s="1"/>
  <c r="AH104" i="79"/>
  <c r="AG109" i="79"/>
  <c r="AH105" i="79"/>
  <c r="AG44" i="90"/>
  <c r="AH109" i="22"/>
  <c r="O21" i="94"/>
  <c r="AG14" i="90"/>
  <c r="O115" i="90"/>
  <c r="O14" i="81"/>
  <c r="O45" i="81" s="1"/>
  <c r="AG9" i="81"/>
  <c r="AH13" i="99" l="1"/>
  <c r="AG14" i="99"/>
  <c r="AH14" i="99" s="1"/>
  <c r="AG14" i="76"/>
  <c r="AH14" i="76" s="1"/>
  <c r="AH10" i="76"/>
  <c r="AG31" i="90"/>
  <c r="AH109" i="75"/>
  <c r="AH109" i="79"/>
  <c r="AG48" i="90"/>
  <c r="AH9" i="81"/>
  <c r="AG14" i="81"/>
  <c r="AH14" i="81" s="1"/>
  <c r="AG111" i="90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<sst xmlns="http://schemas.openxmlformats.org/spreadsheetml/2006/main" count="7772" uniqueCount="345">
  <si>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</si>
  <si>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</si>
  <si>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</si>
  <si>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</si>
  <si>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</si>
  <si>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</si>
  <si>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</si>
  <si>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</si>
  <si>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</si>
  <si>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</si>
  <si>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</si>
  <si>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</si>
  <si>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</si>
  <si>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</si>
  <si>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</si>
  <si>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</si>
  <si>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</si>
  <si>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</si>
  <si>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</si>
  <si>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</si>
  <si>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</si>
  <si>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</si>
  <si>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</si>
  <si>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</si>
  <si>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</si>
  <si>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</si>
  <si>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</si>
  <si>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</si>
  <si>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</si>
  <si>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</si>
  <si>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</si>
  <si>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</si>
  <si>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</si>
  <si>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</si>
  <si>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</si>
  <si>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</si>
  <si>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</si>
  <si>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</si>
  <si>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</si>
  <si>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</si>
  <si>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</si>
  <si>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</si>
  <si>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</si>
  <si>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</si>
  <si>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</si>
  <si>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</si>
  <si>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</si>
  <si>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</si>
  <si>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</si>
  <si>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</si>
  <si>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</si>
  <si>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</si>
  <si>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</si>
  <si>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</si>
  <si>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</si>
  <si>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</si>
  <si>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</si>
  <si>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</si>
  <si>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</si>
  <si>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</si>
  <si>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</si>
  <si>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</si>
  <si>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</si>
  <si>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</si>
  <si>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</si>
  <si>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</si>
  <si>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</si>
  <si>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</si>
  <si>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</si>
  <si>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</si>
  <si>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</si>
  <si>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</si>
  <si>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</si>
  <si>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</si>
  <si>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</si>
  <si>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</si>
  <si>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</si>
  <si>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</si>
  <si>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</si>
  <si>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</si>
  <si>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</si>
  <si>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</si>
  <si>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</si>
  <si>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</si>
  <si>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</si>
  <si>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</si>
  <si>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</si>
  <si>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</si>
  <si>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</si>
  <si>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</si>
  <si>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</si>
  <si>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</si>
  <si>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</si>
  <si>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</si>
  <si>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</si>
  <si>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</si>
  <si>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</si>
  <si>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</si>
  <si>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</si>
  <si>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</si>
  <si>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</si>
  <si>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</si>
  <si>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</si>
  <si>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</si>
  <si>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</si>
  <si>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</si>
  <si>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</si>
  <si>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</si>
  <si>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</si>
  <si>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</si>
  <si>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</si>
  <si>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</si>
  <si>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</si>
  <si>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</si>
  <si>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</si>
  <si>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</si>
  <si>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</si>
  <si>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</si>
  <si>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</si>
  <si>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</si>
  <si>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</si>
  <si>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</si>
  <si>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</si>
  <si>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</si>
  <si>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</si>
  <si>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</si>
  <si>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</si>
  <si>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</si>
  <si>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</si>
  <si>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</si>
  <si>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</si>
  <si>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</si>
  <si>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</si>
  <si>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</si>
  <si>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</si>
  <si>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</si>
  <si>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</si>
  <si>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</si>
  <si>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</si>
  <si>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</si>
  <si>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</si>
  <si>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</si>
  <si>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</si>
  <si>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</si>
  <si>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</si>
  <si>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</si>
  <si>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</si>
  <si>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</si>
  <si>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</si>
  <si>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</si>
  <si>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</si>
  <si>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</si>
  <si>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</si>
  <si>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</si>
  <si>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</si>
  <si>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</si>
  <si>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</si>
  <si>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</si>
  <si>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</si>
  <si>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</si>
  <si>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</si>
  <si>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</si>
  <si>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</si>
  <si>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</si>
  <si>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</si>
  <si>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</si>
  <si>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</si>
  <si>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</si>
  <si>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</si>
  <si>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</si>
  <si>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</si>
  <si>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</si>
  <si>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</si>
  <si>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</si>
  <si>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</si>
  <si>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</si>
  <si>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</si>
  <si>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</si>
  <si>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</si>
  <si>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</si>
  <si>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</si>
  <si>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</si>
  <si>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</si>
  <si>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</si>
  <si>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</si>
  <si>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</si>
  <si>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</si>
  <si>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</si>
  <si>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</si>
  <si>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</si>
  <si>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</si>
  <si>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</si>
  <si>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</si>
  <si>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</si>
  <si>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</si>
  <si>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</si>
  <si>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</si>
  <si>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</si>
  <si>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</si>
  <si>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</si>
  <si>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</si>
  <si>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</si>
  <si>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</si>
  <si>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</si>
  <si>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</si>
  <si>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</si>
  <si>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</si>
  <si>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</si>
  <si>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</si>
  <si>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</si>
  <si>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</si>
  <si>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</si>
  <si>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</si>
  <si>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</si>
  <si>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</si>
  <si>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</si>
  <si>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</si>
  <si>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</si>
  <si>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</si>
  <si>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</si>
  <si>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</si>
  <si>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</si>
  <si>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</si>
  <si>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</si>
  <si>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</si>
  <si>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</si>
  <si>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</si>
  <si>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</si>
  <si>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</si>
  <si>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</si>
  <si>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</si>
  <si>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</si>
  <si>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</si>
  <si>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</si>
  <si>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</si>
  <si>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</si>
  <si>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</si>
  <si>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</si>
  <si>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</si>
  <si>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</si>
  <si>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</si>
  <si>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</si>
  <si>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</si>
  <si>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</si>
  <si>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</si>
  <si>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</si>
  <si>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</si>
  <si>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</si>
  <si>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</si>
  <si>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</si>
  <si>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</si>
  <si>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</si>
  <si>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</si>
  <si>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</si>
  <si>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</si>
  <si>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</si>
  <si>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</si>
  <si>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</si>
  <si>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</si>
  <si>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</si>
  <si>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</si>
  <si>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</si>
  <si>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</si>
  <si>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</si>
  <si>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</si>
  <si>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</si>
  <si>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</si>
  <si>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</si>
  <si>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</si>
  <si>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</si>
  <si>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</si>
  <si>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</si>
  <si>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</si>
  <si>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</si>
  <si>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</si>
  <si>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</si>
  <si>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</si>
  <si>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</si>
  <si>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</si>
  <si>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</si>
  <si>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</si>
  <si>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</si>
  <si>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</si>
  <si>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</si>
  <si>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</si>
  <si>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</si>
  <si>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</si>
  <si>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</si>
  <si>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</si>
  <si>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</si>
  <si>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</si>
  <si>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</si>
  <si>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</si>
  <si>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</si>
  <si>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</si>
  <si>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</si>
  <si>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</si>
  <si>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</si>
  <si>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</si>
  <si>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</si>
  <si>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</si>
  <si>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</si>
  <si>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</si>
  <si>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</si>
  <si>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</si>
  <si>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</si>
  <si>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</si>
  <si>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</si>
  <si>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</si>
  <si>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</si>
  <si>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</si>
  <si>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</si>
  <si>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</si>
  <si>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</si>
  <si>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</si>
  <si>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</si>
  <si>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</si>
  <si>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</si>
  <si>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</si>
  <si>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</si>
  <si>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</si>
  <si>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</si>
  <si>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</si>
  <si>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</si>
  <si>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</si>
  <si>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</si>
  <si>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</si>
  <si>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</si>
  <si>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</si>
  <si>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</si>
  <si>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</si>
  <si>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</si>
  <si>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</si>
  <si>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</si>
  <si>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</si>
  <si>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</si>
  <si>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</si>
  <si>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</si>
  <si>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</si>
  <si>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</si>
  <si>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2026101</t>
  </si>
  <si>
    <t>16/09/2026</t>
  </si>
  <si>
    <t>30/09/2026</t>
  </si>
  <si>
    <t>18/10/2026</t>
  </si>
  <si>
    <t>04:03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</si>
</sst>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332031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332031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55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14382259562</v>
      </c>
      <c r="E3" s="176">
        <v>305702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10247752463</v>
      </c>
      <c r="E4" s="180">
        <v>198695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8348318512</v>
      </c>
      <c r="E5" s="180">
        <v>195122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9859647946</v>
      </c>
      <c r="E6" s="180">
        <v>172571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7125653520</v>
      </c>
      <c r="E7" s="180">
        <v>137028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49963632003</v>
      </c>
      <c r="E9" s="186">
        <v>1009118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128684600</v>
      </c>
      <c r="E12" s="176">
        <v>2090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60162560</v>
      </c>
      <c r="E13" s="180">
        <v>1233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58639078</v>
      </c>
      <c r="E14" s="180">
        <v>1146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72782190</v>
      </c>
      <c r="E15" s="180">
        <v>1190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122557965</v>
      </c>
      <c r="E16" s="180">
        <v>2207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442826393</v>
      </c>
      <c r="E18" s="186">
        <v>7866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14510944162</v>
      </c>
      <c r="E21" s="176">
        <v>307792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10307915023</v>
      </c>
      <c r="E22" s="180">
        <v>199928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8406957590</v>
      </c>
      <c r="E23" s="180">
        <v>196268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9932430136</v>
      </c>
      <c r="E24" s="180">
        <v>173761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7248211485</v>
      </c>
      <c r="E25" s="180">
        <v>139235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50406458396</v>
      </c>
      <c r="E27" s="186">
        <v>1016984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332031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55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140424760</v>
      </c>
      <c r="E7" s="180">
        <v>2998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140424760</v>
      </c>
      <c r="E9" s="186">
        <v>2998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140424760</v>
      </c>
      <c r="E25" s="180">
        <v>2998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140424760</v>
      </c>
      <c r="E27" s="186">
        <v>2998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332031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332031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332031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332031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332031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322739090</v>
      </c>
      <c r="E3" s="176">
        <v>1616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839789795</v>
      </c>
      <c r="E4" s="180">
        <v>3964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417500887</v>
      </c>
      <c r="E5" s="180">
        <v>1376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481464262</v>
      </c>
      <c r="E6" s="180">
        <v>2591</v>
      </c>
      <c r="F6" s="180">
        <v>0</v>
      </c>
      <c r="G6" s="181">
        <v>0</v>
      </c>
    </row>
    <row r="7" spans="2:13" x14ac:dyDescent="0.25">
      <c r="C7" s="178">
        <v>5</v>
      </c>
      <c r="D7" s="278">
        <v>168793421</v>
      </c>
      <c r="E7" s="180">
        <v>1160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2230287455</v>
      </c>
      <c r="E9" s="186">
        <v>10707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48127653</v>
      </c>
      <c r="E12" s="191">
        <v>73</v>
      </c>
      <c r="F12" s="191">
        <v>0</v>
      </c>
      <c r="G12" s="192">
        <v>0</v>
      </c>
    </row>
    <row r="13" spans="2:13" x14ac:dyDescent="0.25">
      <c r="C13" s="193">
        <v>2</v>
      </c>
      <c r="D13" s="278">
        <v>132160935</v>
      </c>
      <c r="E13" s="180">
        <v>54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19609348</v>
      </c>
      <c r="E14" s="180">
        <v>11</v>
      </c>
      <c r="F14" s="180">
        <v>0</v>
      </c>
      <c r="G14" s="181">
        <v>0</v>
      </c>
    </row>
    <row r="15" spans="2:13" x14ac:dyDescent="0.25">
      <c r="C15" s="193">
        <v>4</v>
      </c>
      <c r="D15" s="278">
        <v>118198907</v>
      </c>
      <c r="E15" s="180">
        <v>9</v>
      </c>
      <c r="F15" s="180">
        <v>0</v>
      </c>
      <c r="G15" s="181">
        <v>0</v>
      </c>
    </row>
    <row r="16" spans="2:13" x14ac:dyDescent="0.25">
      <c r="C16" s="193">
        <v>5</v>
      </c>
      <c r="D16" s="278">
        <v>7112332</v>
      </c>
      <c r="E16" s="180">
        <v>27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325209175</v>
      </c>
      <c r="E18" s="198">
        <v>174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370866743</v>
      </c>
      <c r="E21" s="282">
        <v>1689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971950730</v>
      </c>
      <c r="E22" s="283">
        <v>4018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437110235</v>
      </c>
      <c r="E23" s="283">
        <v>1387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599663169</v>
      </c>
      <c r="E24" s="283">
        <v>2600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175905753</v>
      </c>
      <c r="E25" s="283">
        <v>1187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2555496630</v>
      </c>
      <c r="E27" s="186">
        <v>10881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50300863011.870003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139510580</v>
      </c>
      <c r="H2" s="249">
        <f t="shared" si="0"/>
        <v>2448056228.5500002</v>
      </c>
      <c r="I2" s="250">
        <f>SUM(C2:H2)</f>
        <v>52888429820.420006</v>
      </c>
    </row>
    <row r="3" spans="1:10" x14ac:dyDescent="0.25">
      <c r="B3" t="s">
        <v>98</v>
      </c>
      <c r="C3" s="249">
        <f>C14+C24+C33+C42+C52</f>
        <v>108311160.13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914180</v>
      </c>
      <c r="H3" s="249">
        <f t="shared" si="1"/>
        <v>61958868.189999998</v>
      </c>
      <c r="I3" s="250">
        <f>SUM(C3:H3)</f>
        <v>171184208.31999999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45481533.259999998</v>
      </c>
      <c r="I4" s="250">
        <f>SUM(C4:H4)</f>
        <v>45481533.259999998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50409174172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140424760</v>
      </c>
      <c r="H6" s="250">
        <f t="shared" si="5"/>
        <v>2555496630.0000005</v>
      </c>
      <c r="I6" s="250">
        <f>SUM(I2:I5)</f>
        <v>53105095562.000008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14481337615</v>
      </c>
      <c r="D13" s="244">
        <v>0</v>
      </c>
      <c r="E13" s="244">
        <v>0</v>
      </c>
      <c r="F13" s="244">
        <v>0</v>
      </c>
      <c r="G13" s="244">
        <v>0</v>
      </c>
      <c r="H13" s="244">
        <v>351466052.77999997</v>
      </c>
      <c r="I13" s="246">
        <f>SUM(C13:H13)</f>
        <v>14832803667.780001</v>
      </c>
      <c r="J13" s="251" t="b">
        <f>SUM(C13:H13)=I13</f>
        <v>1</v>
      </c>
    </row>
    <row r="14" spans="1:10" x14ac:dyDescent="0.25">
      <c r="B14" s="89" t="s">
        <v>98</v>
      </c>
      <c r="C14" s="244">
        <v>29606547</v>
      </c>
      <c r="D14" s="244">
        <v>0</v>
      </c>
      <c r="E14" s="244">
        <v>0</v>
      </c>
      <c r="F14" s="244">
        <v>0</v>
      </c>
      <c r="G14" s="244">
        <v>0</v>
      </c>
      <c r="H14" s="244">
        <v>17250690.219999999</v>
      </c>
      <c r="I14" s="246">
        <f t="shared" ref="I14:I16" si="7">SUM(C14:H14)</f>
        <v>46857237.219999999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2150000</v>
      </c>
      <c r="I15" s="246">
        <f t="shared" si="7"/>
        <v>2150000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14510944162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370866743</v>
      </c>
      <c r="I17" s="247">
        <f t="shared" si="9"/>
        <v>14881810905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10286935425.870001</v>
      </c>
      <c r="D23" s="244">
        <v>0</v>
      </c>
      <c r="E23" s="244">
        <v>0</v>
      </c>
      <c r="F23" s="244">
        <v>0</v>
      </c>
      <c r="G23" s="244">
        <v>0</v>
      </c>
      <c r="H23" s="244">
        <v>924037603.38999999</v>
      </c>
      <c r="I23" s="246">
        <f>SUM(C23:H23)</f>
        <v>11210973029.26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22325147.129999999</v>
      </c>
      <c r="D24" s="244">
        <v>0</v>
      </c>
      <c r="E24" s="244">
        <v>0</v>
      </c>
      <c r="F24" s="244">
        <v>0</v>
      </c>
      <c r="G24" s="244">
        <v>0</v>
      </c>
      <c r="H24" s="244">
        <v>29950514.969999999</v>
      </c>
      <c r="I24" s="246">
        <f t="shared" ref="I24:I26" si="11">SUM(C24:H24)</f>
        <v>52275662.099999994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17962611.640000001</v>
      </c>
      <c r="I25" s="246">
        <f t="shared" si="11"/>
        <v>17962611.640000001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10309260573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971950730</v>
      </c>
      <c r="I27" s="247">
        <f>SUM(I23:I26)</f>
        <v>11281211303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8398576932</v>
      </c>
      <c r="D32" s="244">
        <v>0</v>
      </c>
      <c r="E32" s="244">
        <v>0</v>
      </c>
      <c r="F32" s="244">
        <v>0</v>
      </c>
      <c r="G32" s="244">
        <v>0</v>
      </c>
      <c r="H32" s="244">
        <v>431521625.29000002</v>
      </c>
      <c r="I32" s="246">
        <f>SUM(C32:H32)</f>
        <v>8830098557.2900009</v>
      </c>
      <c r="J32" s="251" t="b">
        <f>SUM(C32:H32)=I32</f>
        <v>1</v>
      </c>
    </row>
    <row r="33" spans="2:10" x14ac:dyDescent="0.25">
      <c r="B33" s="89" t="s">
        <v>98</v>
      </c>
      <c r="C33" s="244">
        <v>8845080</v>
      </c>
      <c r="D33" s="244">
        <v>0</v>
      </c>
      <c r="E33" s="244">
        <v>0</v>
      </c>
      <c r="F33" s="244">
        <v>0</v>
      </c>
      <c r="G33" s="244">
        <v>0</v>
      </c>
      <c r="H33" s="244">
        <v>4909289</v>
      </c>
      <c r="I33" s="246">
        <f>SUM(C33:H33)</f>
        <v>13754369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679320.71</v>
      </c>
      <c r="I34" s="246">
        <f t="shared" ref="I34:I35" si="14">SUM(C34:H34)</f>
        <v>679320.71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8407422012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437110235</v>
      </c>
      <c r="I36" s="247">
        <f>SUM(I32:I35)</f>
        <v>8844532247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9890363914</v>
      </c>
      <c r="D41" s="244">
        <v>0</v>
      </c>
      <c r="E41" s="244">
        <v>0</v>
      </c>
      <c r="F41" s="244">
        <v>0</v>
      </c>
      <c r="G41" s="244">
        <v>0</v>
      </c>
      <c r="H41" s="244">
        <v>567677879.85000002</v>
      </c>
      <c r="I41" s="246">
        <f t="shared" ref="I41:I44" si="16">SUM(C41:H41)</f>
        <v>10458041793.85</v>
      </c>
      <c r="J41" s="251" t="b">
        <f>SUM(C41:H41)=I41</f>
        <v>1</v>
      </c>
    </row>
    <row r="42" spans="2:10" x14ac:dyDescent="0.25">
      <c r="B42" s="89" t="s">
        <v>98</v>
      </c>
      <c r="C42" s="244">
        <v>42284806</v>
      </c>
      <c r="D42" s="244">
        <v>0</v>
      </c>
      <c r="E42" s="244">
        <v>0</v>
      </c>
      <c r="F42" s="244">
        <v>0</v>
      </c>
      <c r="G42" s="244">
        <v>0</v>
      </c>
      <c r="H42" s="244">
        <v>7416134</v>
      </c>
      <c r="I42" s="246">
        <f t="shared" si="16"/>
        <v>49700940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24569155.149999999</v>
      </c>
      <c r="I43" s="246">
        <f t="shared" si="16"/>
        <v>24569155.149999999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9932648720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599663169</v>
      </c>
      <c r="I45" s="247">
        <f>SUM(I41:I44)</f>
        <v>10532311889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7243649125</v>
      </c>
      <c r="D51" s="244">
        <v>0</v>
      </c>
      <c r="E51" s="244">
        <v>0</v>
      </c>
      <c r="F51" s="244">
        <v>0</v>
      </c>
      <c r="G51" s="244">
        <v>139510580</v>
      </c>
      <c r="H51" s="590">
        <v>173353067.24000001</v>
      </c>
      <c r="I51" s="246">
        <f t="shared" ref="I51:I54" si="19">SUM(C51:H51)</f>
        <v>7556512772.2399998</v>
      </c>
      <c r="J51" s="251" t="b">
        <f>SUM(C51:H51)=I51</f>
        <v>1</v>
      </c>
    </row>
    <row r="52" spans="2:10" x14ac:dyDescent="0.25">
      <c r="B52" s="89" t="s">
        <v>98</v>
      </c>
      <c r="C52" s="590">
        <v>5249580</v>
      </c>
      <c r="D52" s="244">
        <v>0</v>
      </c>
      <c r="E52" s="244">
        <v>0</v>
      </c>
      <c r="F52" s="244">
        <v>0</v>
      </c>
      <c r="G52" s="244">
        <v>914180</v>
      </c>
      <c r="H52" s="590">
        <v>2432240</v>
      </c>
      <c r="I52" s="246">
        <f>SUM(C52:H52)</f>
        <v>8596000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120445.75999999999</v>
      </c>
      <c r="I53" s="246">
        <f t="shared" si="19"/>
        <v>120445.75999999999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7248898705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140424760</v>
      </c>
      <c r="H55" s="244">
        <f>SUM(H51:H54)</f>
        <v>175905753</v>
      </c>
      <c r="I55" s="247">
        <f>SUM(I51:I54)</f>
        <v>7565229218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1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14510944162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10307915023</v>
      </c>
      <c r="D65" s="748" t="b">
        <f>C27=C65</f>
        <v>0</v>
      </c>
      <c r="E65" s="750">
        <f>C27-C65</f>
        <v>1345550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8406957590</v>
      </c>
      <c r="D67" s="745" t="b">
        <f>C36=C67</f>
        <v>0</v>
      </c>
      <c r="E67" s="747">
        <f>C36-C67</f>
        <v>464422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9932430136</v>
      </c>
      <c r="D70" s="748" t="b">
        <f>C45=C70</f>
        <v>0</v>
      </c>
      <c r="E70" s="750">
        <f>C45-C70</f>
        <v>218584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7248211485</v>
      </c>
      <c r="D72" s="745" t="b">
        <f>C55=C72</f>
        <v>0</v>
      </c>
      <c r="E72" s="747">
        <f>C55-C72</f>
        <v>687220</v>
      </c>
      <c r="F72" s="142"/>
    </row>
    <row r="73" spans="2:7" x14ac:dyDescent="0.25">
      <c r="B73" s="745" t="s">
        <v>327</v>
      </c>
      <c r="C73" s="746">
        <f>IF($C$59=1,'Recaudo ENERBIT'!D25,'Recaudo ENERBIT'!F25)</f>
        <v>140424760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370866743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971950730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437110235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599663169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175905753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332031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8" t="s">
        <v>99</v>
      </c>
      <c r="D1" s="778"/>
      <c r="E1" s="778" t="s">
        <v>100</v>
      </c>
      <c r="F1" s="778"/>
      <c r="G1" s="778" t="s">
        <v>101</v>
      </c>
      <c r="H1" s="778"/>
      <c r="I1" s="778" t="s">
        <v>102</v>
      </c>
      <c r="J1" s="778"/>
      <c r="K1" s="778" t="s">
        <v>103</v>
      </c>
      <c r="L1" s="778"/>
      <c r="M1" s="778" t="s">
        <v>2</v>
      </c>
      <c r="N1" s="778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8" t="s">
        <v>99</v>
      </c>
      <c r="D9" s="778"/>
      <c r="E9" s="778" t="s">
        <v>100</v>
      </c>
      <c r="F9" s="778"/>
      <c r="G9" s="778" t="s">
        <v>101</v>
      </c>
      <c r="H9" s="778"/>
      <c r="I9" s="778" t="s">
        <v>102</v>
      </c>
      <c r="J9" s="778"/>
      <c r="K9" s="778" t="s">
        <v>103</v>
      </c>
      <c r="L9" s="778"/>
      <c r="M9" s="778" t="s">
        <v>2</v>
      </c>
      <c r="N9" s="778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8" t="s">
        <v>99</v>
      </c>
      <c r="D17" s="778"/>
      <c r="E17" s="778" t="s">
        <v>100</v>
      </c>
      <c r="F17" s="778"/>
      <c r="G17" s="778" t="s">
        <v>101</v>
      </c>
      <c r="H17" s="778"/>
      <c r="I17" s="778" t="s">
        <v>102</v>
      </c>
      <c r="J17" s="778"/>
      <c r="K17" s="778" t="s">
        <v>103</v>
      </c>
      <c r="L17" s="778"/>
      <c r="M17" s="778" t="s">
        <v>2</v>
      </c>
      <c r="N17" s="778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8" t="s">
        <v>99</v>
      </c>
      <c r="D25" s="778"/>
      <c r="E25" s="778" t="s">
        <v>100</v>
      </c>
      <c r="F25" s="778"/>
      <c r="G25" s="778" t="s">
        <v>101</v>
      </c>
      <c r="H25" s="778"/>
      <c r="I25" s="778" t="s">
        <v>102</v>
      </c>
      <c r="J25" s="778"/>
      <c r="K25" s="778" t="s">
        <v>103</v>
      </c>
      <c r="L25" s="778"/>
      <c r="M25" s="778" t="s">
        <v>2</v>
      </c>
      <c r="N25" s="778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8" t="s">
        <v>99</v>
      </c>
      <c r="D33" s="778"/>
      <c r="E33" s="778" t="s">
        <v>100</v>
      </c>
      <c r="F33" s="778"/>
      <c r="G33" s="778" t="s">
        <v>101</v>
      </c>
      <c r="H33" s="778"/>
      <c r="I33" s="778" t="s">
        <v>102</v>
      </c>
      <c r="J33" s="778"/>
      <c r="K33" s="778" t="s">
        <v>103</v>
      </c>
      <c r="L33" s="778"/>
      <c r="M33" s="778" t="s">
        <v>2</v>
      </c>
      <c r="N33" s="778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8" t="s">
        <v>99</v>
      </c>
      <c r="D41" s="778"/>
      <c r="E41" s="778" t="s">
        <v>100</v>
      </c>
      <c r="F41" s="778"/>
      <c r="G41" s="778" t="s">
        <v>101</v>
      </c>
      <c r="H41" s="778"/>
      <c r="I41" s="778" t="s">
        <v>102</v>
      </c>
      <c r="J41" s="778"/>
      <c r="K41" s="778" t="s">
        <v>103</v>
      </c>
      <c r="L41" s="778"/>
      <c r="M41" s="778" t="s">
        <v>2</v>
      </c>
      <c r="N41" s="778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332031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33203125" customWidth="1"/>
    <col min="13" max="13" width="1.88671875" style="238" customWidth="1"/>
    <col min="14" max="14" width="14.109375" customWidth="1"/>
    <col min="15" max="15" width="17.332031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332031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46857237.219999999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29606547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17250690.219999999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52275662.099999994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22325147.129999999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29950514.969999999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13754369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8845080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4909289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49700940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42284806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7416134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8596000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5249580</v>
      </c>
      <c r="K7" s="19">
        <v>5</v>
      </c>
      <c r="L7" s="15">
        <f>'REPORTE RECAUDO x BANCO'!G52</f>
        <v>914180</v>
      </c>
      <c r="N7" s="19">
        <v>5</v>
      </c>
      <c r="O7" s="15">
        <f>'REPORTE RECAUDO x BANCO'!H52</f>
        <v>2432240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171184208.31999999</v>
      </c>
      <c r="E8" s="21"/>
      <c r="F8" s="47">
        <f>SUM(F3:F7)</f>
        <v>0</v>
      </c>
      <c r="H8" s="21"/>
      <c r="I8" s="47">
        <f>SUM(I3:I7)</f>
        <v>108311160.13</v>
      </c>
      <c r="K8" s="21"/>
      <c r="L8" s="47">
        <f>SUM(L3:L7)</f>
        <v>914180</v>
      </c>
      <c r="N8" s="21"/>
      <c r="O8" s="47">
        <f>SUM(O3:O7)</f>
        <v>61958868.189999998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332031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332031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-1328072948.0999999</v>
      </c>
      <c r="E3" s="592">
        <v>3482023776.2600002</v>
      </c>
      <c r="F3" s="593">
        <f>D3+E3</f>
        <v>2153950828.1600003</v>
      </c>
      <c r="G3" s="499"/>
      <c r="H3" s="612">
        <f>DetRetri2026101!J9</f>
        <v>0</v>
      </c>
      <c r="I3" s="276">
        <f>F3-H3</f>
        <v>2153950828.1600003</v>
      </c>
    </row>
    <row r="4" spans="1:17" x14ac:dyDescent="0.25">
      <c r="C4" s="124">
        <v>2</v>
      </c>
      <c r="D4" s="602">
        <v>-6051831964.4499998</v>
      </c>
      <c r="E4" s="602">
        <v>1834686437.54</v>
      </c>
      <c r="F4" s="593">
        <f>D4+E4</f>
        <v>-4217145526.9099998</v>
      </c>
      <c r="G4" s="499"/>
      <c r="H4" s="613">
        <f>DetRetri2026101!J10</f>
        <v>0</v>
      </c>
      <c r="I4" s="276">
        <f t="shared" ref="I4:I7" si="0">F4-H4</f>
        <v>-4217145526.9099998</v>
      </c>
    </row>
    <row r="5" spans="1:17" x14ac:dyDescent="0.25">
      <c r="C5" s="124">
        <v>3</v>
      </c>
      <c r="D5" s="602">
        <v>-3105003372.71</v>
      </c>
      <c r="E5" s="602">
        <v>1816197035.6199999</v>
      </c>
      <c r="F5" s="593">
        <f>D5+E5</f>
        <v>-1288806337.0900002</v>
      </c>
      <c r="G5" s="499"/>
      <c r="H5" s="613">
        <f>DetRetri2026101!J11</f>
        <v>0</v>
      </c>
      <c r="I5" s="276">
        <f t="shared" si="0"/>
        <v>-1288806337.0900002</v>
      </c>
    </row>
    <row r="6" spans="1:17" x14ac:dyDescent="0.25">
      <c r="C6" s="124">
        <v>4</v>
      </c>
      <c r="D6" s="602">
        <v>-369325603.57999998</v>
      </c>
      <c r="E6" s="602">
        <v>430857557.26999998</v>
      </c>
      <c r="F6" s="593">
        <f>D6+E6</f>
        <v>61531953.689999998</v>
      </c>
      <c r="G6" s="499"/>
      <c r="H6" s="613">
        <f>DetRetri2026101!J12</f>
        <v>0</v>
      </c>
      <c r="I6" s="276">
        <f t="shared" si="0"/>
        <v>61531953.689999998</v>
      </c>
    </row>
    <row r="7" spans="1:17" ht="13.8" thickBot="1" x14ac:dyDescent="0.3">
      <c r="C7" s="125">
        <v>5</v>
      </c>
      <c r="D7" s="603">
        <v>-2387606939.3099999</v>
      </c>
      <c r="E7" s="603">
        <v>1141133844.9000001</v>
      </c>
      <c r="F7" s="594">
        <f>D7+E7</f>
        <v>-1246473094.4099998</v>
      </c>
      <c r="G7" s="499"/>
      <c r="H7" s="614">
        <f>DetRetri2026101!J13</f>
        <v>0</v>
      </c>
      <c r="I7" s="276">
        <f t="shared" si="0"/>
        <v>-1246473094.4099998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-4536942176.5599995</v>
      </c>
      <c r="G9" s="499"/>
      <c r="H9" s="615">
        <f>SUM(H3:H7)</f>
        <v>0</v>
      </c>
      <c r="I9" s="276">
        <f>F9-H9</f>
        <v>-4536942176.5599995</v>
      </c>
    </row>
    <row r="10" spans="1:17" ht="13.8" thickBot="1" x14ac:dyDescent="0.3">
      <c r="D10" s="144"/>
      <c r="E10" s="144"/>
      <c r="F10" s="144"/>
      <c r="G10" s="500"/>
      <c r="H10" s="265" t="b">
        <f>H9=DetRetri2026101!J14</f>
        <v>1</v>
      </c>
    </row>
    <row r="11" spans="1:17" ht="13.8" thickBot="1" x14ac:dyDescent="0.3">
      <c r="D11" s="264">
        <f>SUM(D3:D7)</f>
        <v>-13241840828.149998</v>
      </c>
      <c r="E11" s="264">
        <f t="shared" ref="E11" si="1">SUM(E3:E7)</f>
        <v>8704898651.5900002</v>
      </c>
      <c r="F11" s="264">
        <f>SUM(D3:E7)</f>
        <v>-4536942176.5599995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2153950828.1600003</v>
      </c>
      <c r="F19" s="514" t="b">
        <f>E19=F3</f>
        <v>1</v>
      </c>
      <c r="G19" s="514" t="b">
        <f>E19=H3</f>
        <v>0</v>
      </c>
      <c r="H19" s="515">
        <f>E19-H3</f>
        <v>2153950828.1600003</v>
      </c>
      <c r="I19" s="137"/>
    </row>
    <row r="20" spans="4:9" x14ac:dyDescent="0.25">
      <c r="D20" s="511">
        <v>2</v>
      </c>
      <c r="E20" s="516">
        <f>'CONSOLIDADO_TOTAL RECAUDO'!J105</f>
        <v>-4217145526.9099998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-4217145526.9099998</v>
      </c>
      <c r="I20" s="137"/>
    </row>
    <row r="21" spans="4:9" x14ac:dyDescent="0.25">
      <c r="D21" s="511">
        <v>3</v>
      </c>
      <c r="E21" s="516">
        <f>'CONSOLIDADO_TOTAL RECAUDO'!J106</f>
        <v>-1288806337.0900002</v>
      </c>
      <c r="F21" s="505" t="b">
        <f t="shared" si="2"/>
        <v>1</v>
      </c>
      <c r="G21" s="505" t="b">
        <f t="shared" si="3"/>
        <v>0</v>
      </c>
      <c r="H21" s="261">
        <f t="shared" si="4"/>
        <v>-1288806337.0900002</v>
      </c>
    </row>
    <row r="22" spans="4:9" x14ac:dyDescent="0.25">
      <c r="D22" s="511">
        <v>4</v>
      </c>
      <c r="E22" s="516">
        <f>'CONSOLIDADO_TOTAL RECAUDO'!J107</f>
        <v>61531953.689999998</v>
      </c>
      <c r="F22" s="505" t="b">
        <f t="shared" si="2"/>
        <v>1</v>
      </c>
      <c r="G22" s="505" t="b">
        <f t="shared" si="3"/>
        <v>0</v>
      </c>
      <c r="H22" s="261">
        <f t="shared" si="4"/>
        <v>61531953.689999998</v>
      </c>
    </row>
    <row r="23" spans="4:9" ht="13.8" thickBot="1" x14ac:dyDescent="0.3">
      <c r="D23" s="512">
        <v>5</v>
      </c>
      <c r="E23" s="517">
        <f>'CONSOLIDADO_TOTAL RECAUDO'!J108</f>
        <v>-1246473094.4099998</v>
      </c>
      <c r="F23" s="518" t="b">
        <f t="shared" si="2"/>
        <v>1</v>
      </c>
      <c r="G23" s="518" t="b">
        <f t="shared" si="3"/>
        <v>0</v>
      </c>
      <c r="H23" s="262">
        <f t="shared" si="4"/>
        <v>-1246473094.4099998</v>
      </c>
    </row>
    <row r="24" spans="4:9" ht="13.8" thickBot="1" x14ac:dyDescent="0.3">
      <c r="E24" s="264">
        <f>SUM(E19:E23)</f>
        <v>-4536942176.5599995</v>
      </c>
      <c r="F24" s="506" t="b">
        <f>E24=F9</f>
        <v>1</v>
      </c>
      <c r="G24" s="507" t="b">
        <f>E24=H9</f>
        <v>0</v>
      </c>
      <c r="H24" s="263">
        <f>E24-H9</f>
        <v>-4536942176.5599995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712"/>
  <sheetViews>
    <sheetView tabSelected="1" zoomScale="50" zoomScaleNormal="50" workbookViewId="0">
      <pane ySplit="5" topLeftCell="A689" activePane="bottomLeft" state="frozen"/>
      <selection activeCell="D22" sqref="D22"/>
      <selection pane="bottomLeft" activeCell="G702" sqref="G702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332031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33203125" bestFit="1" customWidth="1"/>
    <col min="13" max="13" width="16.88671875" bestFit="1" customWidth="1"/>
    <col min="14" max="14" width="20.33203125" bestFit="1" customWidth="1"/>
    <col min="15" max="15" width="20.33203125" customWidth="1"/>
    <col min="16" max="16" width="20.332031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-2015.07</v>
      </c>
      <c r="G6" s="90">
        <v>-122.1</v>
      </c>
      <c r="H6" s="90">
        <v>-51.87</v>
      </c>
      <c r="I6" s="90">
        <v>-22.65</v>
      </c>
      <c r="J6" s="90">
        <v>-369.44</v>
      </c>
      <c r="K6" s="90">
        <v>-23.88</v>
      </c>
      <c r="L6" s="90">
        <v>0</v>
      </c>
      <c r="M6" s="90">
        <v>-209.4</v>
      </c>
      <c r="N6" s="90">
        <v>-175.25</v>
      </c>
      <c r="O6" s="90">
        <v>-699.55</v>
      </c>
      <c r="P6" s="90">
        <v>-301.98</v>
      </c>
      <c r="Q6" s="90">
        <v>-38.950000000000003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-2015.07</v>
      </c>
      <c r="G7" s="90">
        <v>-122.1</v>
      </c>
      <c r="H7" s="90">
        <v>-51.87</v>
      </c>
      <c r="I7" s="90">
        <v>-22.65</v>
      </c>
      <c r="J7" s="90">
        <v>-369.44</v>
      </c>
      <c r="K7" s="90">
        <v>-23.88</v>
      </c>
      <c r="L7" s="90">
        <v>0</v>
      </c>
      <c r="M7" s="90">
        <v>-209.4</v>
      </c>
      <c r="N7" s="90">
        <v>-175.25</v>
      </c>
      <c r="O7" s="90">
        <v>-699.55</v>
      </c>
      <c r="P7" s="90">
        <v>-301.98</v>
      </c>
      <c r="Q7" s="90">
        <v>-38.950000000000003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-2015.07</v>
      </c>
      <c r="G8" s="230">
        <v>-122.1</v>
      </c>
      <c r="H8" s="230">
        <v>-51.87</v>
      </c>
      <c r="I8" s="230">
        <v>-22.65</v>
      </c>
      <c r="J8" s="230">
        <v>-369.44</v>
      </c>
      <c r="K8" s="230">
        <v>-23.88</v>
      </c>
      <c r="L8" s="230">
        <v>0</v>
      </c>
      <c r="M8" s="230">
        <v>-209.4</v>
      </c>
      <c r="N8" s="230">
        <v>-175.25</v>
      </c>
      <c r="O8" s="230">
        <v>-699.55</v>
      </c>
      <c r="P8" s="230">
        <v>-301.98</v>
      </c>
      <c r="Q8" s="230">
        <v>-38.950000000000003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-2015.07</v>
      </c>
      <c r="G16" s="90">
        <v>-122.1</v>
      </c>
      <c r="H16" s="90">
        <v>-51.87</v>
      </c>
      <c r="I16" s="90">
        <v>-22.65</v>
      </c>
      <c r="J16" s="90">
        <v>-369.44</v>
      </c>
      <c r="K16" s="90">
        <v>-23.88</v>
      </c>
      <c r="L16" s="90">
        <v>0</v>
      </c>
      <c r="M16" s="90">
        <v>-209.4</v>
      </c>
      <c r="N16" s="90">
        <v>-175.25</v>
      </c>
      <c r="O16" s="90">
        <v>-699.55</v>
      </c>
      <c r="P16" s="90">
        <v>-301.98</v>
      </c>
      <c r="Q16" s="90">
        <v>-38.950000000000003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-2015.07</v>
      </c>
      <c r="G17" s="458">
        <v>-122.1</v>
      </c>
      <c r="H17" s="458">
        <v>-51.87</v>
      </c>
      <c r="I17" s="458">
        <v>-22.65</v>
      </c>
      <c r="J17" s="458">
        <v>-369.44</v>
      </c>
      <c r="K17" s="458">
        <v>-23.88</v>
      </c>
      <c r="L17" s="458">
        <v>0</v>
      </c>
      <c r="M17" s="458">
        <v>-209.4</v>
      </c>
      <c r="N17" s="458">
        <v>-175.25</v>
      </c>
      <c r="O17" s="458">
        <v>-699.55</v>
      </c>
      <c r="P17" s="458">
        <v>-301.98</v>
      </c>
      <c r="Q17" s="458">
        <v>-38.950000000000003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543996.54</v>
      </c>
      <c r="G18" s="90">
        <v>23503.13</v>
      </c>
      <c r="H18" s="90">
        <v>13266.51</v>
      </c>
      <c r="I18" s="90">
        <v>6965.01</v>
      </c>
      <c r="J18" s="90">
        <v>119922.22</v>
      </c>
      <c r="K18" s="90">
        <v>5285.43</v>
      </c>
      <c r="L18" s="90">
        <v>0</v>
      </c>
      <c r="M18" s="90">
        <v>46363.01</v>
      </c>
      <c r="N18" s="90">
        <v>44625.42</v>
      </c>
      <c r="O18" s="90">
        <v>211250.82</v>
      </c>
      <c r="P18" s="90">
        <v>64191.45</v>
      </c>
      <c r="Q18" s="90">
        <v>8623.4599999999991</v>
      </c>
      <c r="R18" s="90">
        <v>0.08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2063.1</v>
      </c>
      <c r="G19" s="90">
        <v>86.78</v>
      </c>
      <c r="H19" s="90">
        <v>48.91</v>
      </c>
      <c r="I19" s="90">
        <v>25.71</v>
      </c>
      <c r="J19" s="90">
        <v>441.75</v>
      </c>
      <c r="K19" s="90">
        <v>20.420000000000002</v>
      </c>
      <c r="L19" s="90">
        <v>0</v>
      </c>
      <c r="M19" s="90">
        <v>179.53</v>
      </c>
      <c r="N19" s="90">
        <v>172.72</v>
      </c>
      <c r="O19" s="90">
        <v>816.93</v>
      </c>
      <c r="P19" s="90">
        <v>236.94</v>
      </c>
      <c r="Q19" s="90">
        <v>33.409999999999997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546059.64</v>
      </c>
      <c r="G20" s="90">
        <v>23589.91</v>
      </c>
      <c r="H20" s="90">
        <v>13315.42</v>
      </c>
      <c r="I20" s="90">
        <v>6990.72</v>
      </c>
      <c r="J20" s="90">
        <v>120363.97</v>
      </c>
      <c r="K20" s="90">
        <v>5305.85</v>
      </c>
      <c r="L20" s="90">
        <v>0</v>
      </c>
      <c r="M20" s="90">
        <v>46542.54</v>
      </c>
      <c r="N20" s="90">
        <v>44798.14</v>
      </c>
      <c r="O20" s="90">
        <v>212067.75</v>
      </c>
      <c r="P20" s="90">
        <v>64428.39</v>
      </c>
      <c r="Q20" s="90">
        <v>8656.8700000000008</v>
      </c>
      <c r="R20" s="90">
        <v>0.08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546059.64</v>
      </c>
      <c r="G21" s="230">
        <v>23589.91</v>
      </c>
      <c r="H21" s="230">
        <v>13315.42</v>
      </c>
      <c r="I21" s="230">
        <v>6990.72</v>
      </c>
      <c r="J21" s="230">
        <v>120363.97</v>
      </c>
      <c r="K21" s="230">
        <v>5305.85</v>
      </c>
      <c r="L21" s="230">
        <v>0</v>
      </c>
      <c r="M21" s="230">
        <v>46542.54</v>
      </c>
      <c r="N21" s="230">
        <v>44798.14</v>
      </c>
      <c r="O21" s="230">
        <v>212067.75</v>
      </c>
      <c r="P21" s="230">
        <v>64428.39</v>
      </c>
      <c r="Q21" s="230">
        <v>8656.8700000000008</v>
      </c>
      <c r="R21" s="230">
        <v>0.08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370.08</v>
      </c>
      <c r="R22" s="90">
        <v>-1.95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7.0000000000000007E-2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82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370.15</v>
      </c>
      <c r="R24" s="90">
        <v>-1.95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x14ac:dyDescent="0.25">
      <c r="E25" t="s">
        <v>72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370.08</v>
      </c>
      <c r="R25" s="90">
        <v>-1.95</v>
      </c>
      <c r="S25" s="90">
        <v>0</v>
      </c>
      <c r="T25" s="90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90">
        <v>0</v>
      </c>
    </row>
    <row r="26" spans="1:26" x14ac:dyDescent="0.25">
      <c r="E26" t="s">
        <v>81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7.0000000000000007E-2</v>
      </c>
      <c r="R26" s="90">
        <v>0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D27" t="s">
        <v>86</v>
      </c>
      <c r="E27" t="s">
        <v>70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370.15</v>
      </c>
      <c r="R27" s="90">
        <v>-1.95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ht="12.75" customHeight="1" x14ac:dyDescent="0.25">
      <c r="E28" s="89" t="s">
        <v>72</v>
      </c>
      <c r="F28" s="371">
        <v>89870.51</v>
      </c>
      <c r="G28" s="90">
        <v>5626.37</v>
      </c>
      <c r="H28" s="90">
        <v>3138.96</v>
      </c>
      <c r="I28" s="90">
        <v>1667.33</v>
      </c>
      <c r="J28" s="90">
        <v>21034.12</v>
      </c>
      <c r="K28" s="90">
        <v>519.02</v>
      </c>
      <c r="L28" s="90">
        <v>0</v>
      </c>
      <c r="M28" s="90">
        <v>4552.92</v>
      </c>
      <c r="N28" s="90">
        <v>6472.07</v>
      </c>
      <c r="O28" s="90">
        <v>30640.84</v>
      </c>
      <c r="P28" s="90">
        <v>15366.98</v>
      </c>
      <c r="Q28" s="90">
        <v>846.86</v>
      </c>
      <c r="R28" s="90">
        <v>5.04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x14ac:dyDescent="0.25">
      <c r="E29" t="s">
        <v>81</v>
      </c>
      <c r="F29" s="90">
        <v>116.92</v>
      </c>
      <c r="G29" s="90">
        <v>7.31</v>
      </c>
      <c r="H29" s="90">
        <v>4.09</v>
      </c>
      <c r="I29" s="90">
        <v>2.17</v>
      </c>
      <c r="J29" s="90">
        <v>27.38</v>
      </c>
      <c r="K29" s="90">
        <v>0.67</v>
      </c>
      <c r="L29" s="90">
        <v>0</v>
      </c>
      <c r="M29" s="90">
        <v>5.91</v>
      </c>
      <c r="N29" s="90">
        <v>8.4700000000000006</v>
      </c>
      <c r="O29" s="90">
        <v>39.840000000000003</v>
      </c>
      <c r="P29" s="90">
        <v>19.98</v>
      </c>
      <c r="Q29" s="90">
        <v>1.1000000000000001</v>
      </c>
      <c r="R29" s="90">
        <v>0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ht="12.75" customHeight="1" x14ac:dyDescent="0.25">
      <c r="D30" t="s">
        <v>87</v>
      </c>
      <c r="E30" s="89" t="s">
        <v>70</v>
      </c>
      <c r="F30" s="371">
        <v>89987.43</v>
      </c>
      <c r="G30" s="90">
        <v>5633.68</v>
      </c>
      <c r="H30" s="90">
        <v>3143.05</v>
      </c>
      <c r="I30" s="90">
        <v>1669.5</v>
      </c>
      <c r="J30" s="90">
        <v>21061.5</v>
      </c>
      <c r="K30" s="90">
        <v>519.69000000000005</v>
      </c>
      <c r="L30" s="90">
        <v>0</v>
      </c>
      <c r="M30" s="90">
        <v>4558.83</v>
      </c>
      <c r="N30" s="90">
        <v>6480.54</v>
      </c>
      <c r="O30" s="90">
        <v>30680.68</v>
      </c>
      <c r="P30" s="90">
        <v>15386.96</v>
      </c>
      <c r="Q30" s="90">
        <v>847.96</v>
      </c>
      <c r="R30" s="90">
        <v>5.04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94" customFormat="1" ht="12.75" customHeight="1" x14ac:dyDescent="0.25">
      <c r="C31" s="101" t="s">
        <v>119</v>
      </c>
      <c r="D31" s="101" t="s">
        <v>70</v>
      </c>
      <c r="F31" s="93">
        <v>89987.43</v>
      </c>
      <c r="G31" s="93">
        <v>5633.68</v>
      </c>
      <c r="H31" s="93">
        <v>3143.05</v>
      </c>
      <c r="I31" s="93">
        <v>1669.5</v>
      </c>
      <c r="J31" s="93">
        <v>21061.5</v>
      </c>
      <c r="K31" s="93">
        <v>519.69000000000005</v>
      </c>
      <c r="L31" s="93">
        <v>0</v>
      </c>
      <c r="M31" s="93">
        <v>4558.83</v>
      </c>
      <c r="N31" s="93">
        <v>6480.54</v>
      </c>
      <c r="O31" s="93">
        <v>30680.68</v>
      </c>
      <c r="P31" s="93">
        <v>15386.96</v>
      </c>
      <c r="Q31" s="93">
        <v>847.96</v>
      </c>
      <c r="R31" s="93">
        <v>5.04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1:26" s="378" customFormat="1" ht="12.75" customHeight="1" x14ac:dyDescent="0.25">
      <c r="B32" s="378" t="s">
        <v>122</v>
      </c>
      <c r="C32" s="378" t="s">
        <v>70</v>
      </c>
      <c r="E32" s="376"/>
      <c r="F32" s="710">
        <v>636047.06999999995</v>
      </c>
      <c r="G32" s="377">
        <v>29223.59</v>
      </c>
      <c r="H32" s="377">
        <v>16458.47</v>
      </c>
      <c r="I32" s="377">
        <v>8660.2199999999993</v>
      </c>
      <c r="J32" s="377">
        <v>141425.47</v>
      </c>
      <c r="K32" s="377">
        <v>5825.54</v>
      </c>
      <c r="L32" s="377">
        <v>0</v>
      </c>
      <c r="M32" s="377">
        <v>51101.37</v>
      </c>
      <c r="N32" s="377">
        <v>51278.68</v>
      </c>
      <c r="O32" s="377">
        <v>242748.43</v>
      </c>
      <c r="P32" s="377">
        <v>79815.350000000006</v>
      </c>
      <c r="Q32" s="377">
        <v>9504.83</v>
      </c>
      <c r="R32" s="377">
        <v>5.12</v>
      </c>
      <c r="S32" s="377">
        <v>0</v>
      </c>
      <c r="T32" s="377">
        <v>0</v>
      </c>
      <c r="U32" s="377">
        <v>0</v>
      </c>
      <c r="V32" s="377">
        <v>0</v>
      </c>
      <c r="W32" s="377">
        <v>0</v>
      </c>
      <c r="X32" s="377">
        <v>0</v>
      </c>
      <c r="Y32" s="377">
        <v>0</v>
      </c>
      <c r="Z32" s="377">
        <v>0</v>
      </c>
    </row>
    <row r="33" spans="1:26" ht="12.75" customHeight="1" x14ac:dyDescent="0.25">
      <c r="E33" s="89" t="s">
        <v>72</v>
      </c>
      <c r="F33" s="371">
        <v>17732826240.02</v>
      </c>
      <c r="G33" s="90">
        <v>808116076.44000006</v>
      </c>
      <c r="H33" s="90">
        <v>450181450.91000003</v>
      </c>
      <c r="I33" s="90">
        <v>239639703.56</v>
      </c>
      <c r="J33" s="90">
        <v>4717289422.5</v>
      </c>
      <c r="K33" s="90">
        <v>157316530.83000001</v>
      </c>
      <c r="L33" s="90">
        <v>9937432.2400000002</v>
      </c>
      <c r="M33" s="90">
        <v>1381411069.8</v>
      </c>
      <c r="N33" s="90">
        <v>1302863540.5899999</v>
      </c>
      <c r="O33" s="90">
        <v>6210343115.9099998</v>
      </c>
      <c r="P33" s="90">
        <v>2198936535.1700001</v>
      </c>
      <c r="Q33" s="90">
        <v>256815605.87</v>
      </c>
      <c r="R33" s="90">
        <v>-24243.8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26" ht="12.75" customHeight="1" x14ac:dyDescent="0.25">
      <c r="E34" s="89" t="s">
        <v>81</v>
      </c>
      <c r="F34" s="90">
        <v>2121030.59</v>
      </c>
      <c r="G34" s="90">
        <v>114429.04</v>
      </c>
      <c r="H34" s="90">
        <v>59031.07</v>
      </c>
      <c r="I34" s="90">
        <v>30884.79</v>
      </c>
      <c r="J34" s="90">
        <v>467332.66</v>
      </c>
      <c r="K34" s="90">
        <v>20333.36</v>
      </c>
      <c r="L34" s="90">
        <v>491.86</v>
      </c>
      <c r="M34" s="90">
        <v>178752.52</v>
      </c>
      <c r="N34" s="90">
        <v>163509.31</v>
      </c>
      <c r="O34" s="90">
        <v>744605.58</v>
      </c>
      <c r="P34" s="90">
        <v>308414.05</v>
      </c>
      <c r="Q34" s="90">
        <v>33078.85</v>
      </c>
      <c r="R34" s="90">
        <v>18.46</v>
      </c>
      <c r="S34" s="90">
        <v>19.47</v>
      </c>
      <c r="T34" s="90">
        <v>236.47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-106.9</v>
      </c>
    </row>
    <row r="35" spans="1:26" ht="12.75" customHeight="1" x14ac:dyDescent="0.25">
      <c r="D35" t="s">
        <v>156</v>
      </c>
      <c r="E35" s="89" t="s">
        <v>70</v>
      </c>
      <c r="F35" s="89">
        <v>17734947270.610001</v>
      </c>
      <c r="G35" s="90">
        <v>808230505.48000002</v>
      </c>
      <c r="H35" s="90">
        <v>450240481.98000002</v>
      </c>
      <c r="I35" s="90">
        <v>239670588.34999999</v>
      </c>
      <c r="J35" s="90">
        <v>4717756755.1599998</v>
      </c>
      <c r="K35" s="90">
        <v>157336864.19</v>
      </c>
      <c r="L35" s="90">
        <v>9937924.0999999996</v>
      </c>
      <c r="M35" s="90">
        <v>1381589822.3199999</v>
      </c>
      <c r="N35" s="90">
        <v>1303027049.9000001</v>
      </c>
      <c r="O35" s="90">
        <v>6211087721.4899998</v>
      </c>
      <c r="P35" s="90">
        <v>2199244949.2199998</v>
      </c>
      <c r="Q35" s="90">
        <v>256848684.72</v>
      </c>
      <c r="R35" s="90">
        <v>-24225.34</v>
      </c>
      <c r="S35" s="90">
        <v>19.47</v>
      </c>
      <c r="T35" s="90">
        <v>236.47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-106.9</v>
      </c>
    </row>
    <row r="36" spans="1:26" s="286" customFormat="1" ht="12.75" customHeight="1" x14ac:dyDescent="0.25">
      <c r="C36" s="286" t="s">
        <v>155</v>
      </c>
      <c r="D36" s="286" t="s">
        <v>70</v>
      </c>
      <c r="E36" s="229"/>
      <c r="F36" s="229">
        <v>17734947270.610001</v>
      </c>
      <c r="G36" s="230">
        <v>808230505.48000002</v>
      </c>
      <c r="H36" s="230">
        <v>450240481.98000002</v>
      </c>
      <c r="I36" s="230">
        <v>239670588.34999999</v>
      </c>
      <c r="J36" s="230">
        <v>4717756755.1599998</v>
      </c>
      <c r="K36" s="230">
        <v>157336864.19</v>
      </c>
      <c r="L36" s="230">
        <v>9937924.0999999996</v>
      </c>
      <c r="M36" s="230">
        <v>1381589822.3199999</v>
      </c>
      <c r="N36" s="230">
        <v>1303027049.9000001</v>
      </c>
      <c r="O36" s="230">
        <v>6211087721.4899998</v>
      </c>
      <c r="P36" s="230">
        <v>2199244949.2199998</v>
      </c>
      <c r="Q36" s="230">
        <v>256848684.72</v>
      </c>
      <c r="R36" s="230">
        <v>-24225.34</v>
      </c>
      <c r="S36" s="230">
        <v>19.47</v>
      </c>
      <c r="T36" s="230">
        <v>236.47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-106.9</v>
      </c>
    </row>
    <row r="37" spans="1:26" ht="12.75" customHeight="1" x14ac:dyDescent="0.25">
      <c r="E37" s="89" t="s">
        <v>72</v>
      </c>
      <c r="F37" s="89">
        <v>27812533.989999998</v>
      </c>
      <c r="G37" s="90">
        <v>3127682.62</v>
      </c>
      <c r="H37" s="90">
        <v>1787750.62</v>
      </c>
      <c r="I37" s="90">
        <v>994482.9</v>
      </c>
      <c r="J37" s="90">
        <v>3900132.39</v>
      </c>
      <c r="K37" s="90">
        <v>128394.64</v>
      </c>
      <c r="L37" s="90">
        <v>65261.43</v>
      </c>
      <c r="M37" s="90">
        <v>1108739.27</v>
      </c>
      <c r="N37" s="90">
        <v>1377785.37</v>
      </c>
      <c r="O37" s="90">
        <v>6585392.25</v>
      </c>
      <c r="P37" s="90">
        <v>8526230.0600000005</v>
      </c>
      <c r="Q37" s="90">
        <v>210777.87</v>
      </c>
      <c r="R37" s="90">
        <v>-95.43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ht="12.75" customHeight="1" x14ac:dyDescent="0.25">
      <c r="E38" s="89" t="s">
        <v>81</v>
      </c>
      <c r="F38" s="90">
        <v>52627</v>
      </c>
      <c r="G38" s="90">
        <v>3905.72</v>
      </c>
      <c r="H38" s="90">
        <v>2108.89</v>
      </c>
      <c r="I38" s="90">
        <v>1129.02</v>
      </c>
      <c r="J38" s="90">
        <v>9194.6</v>
      </c>
      <c r="K38" s="90">
        <v>397.89</v>
      </c>
      <c r="L38" s="90">
        <v>0</v>
      </c>
      <c r="M38" s="90">
        <v>3497.21</v>
      </c>
      <c r="N38" s="90">
        <v>3710.89</v>
      </c>
      <c r="O38" s="90">
        <v>17365.580000000002</v>
      </c>
      <c r="P38" s="90">
        <v>10667.02</v>
      </c>
      <c r="Q38" s="90">
        <v>649.71</v>
      </c>
      <c r="R38" s="90">
        <v>0.42</v>
      </c>
      <c r="S38" s="90">
        <v>-0.01</v>
      </c>
      <c r="T38" s="90">
        <v>0.06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s="89" t="s">
        <v>82</v>
      </c>
      <c r="E39" s="89" t="s">
        <v>70</v>
      </c>
      <c r="F39" s="90">
        <v>27865160.989999998</v>
      </c>
      <c r="G39" s="90">
        <v>3131588.34</v>
      </c>
      <c r="H39" s="90">
        <v>1789859.51</v>
      </c>
      <c r="I39" s="90">
        <v>995611.92</v>
      </c>
      <c r="J39" s="90">
        <v>3909326.99</v>
      </c>
      <c r="K39" s="90">
        <v>128792.53</v>
      </c>
      <c r="L39" s="90">
        <v>65261.43</v>
      </c>
      <c r="M39" s="90">
        <v>1112236.48</v>
      </c>
      <c r="N39" s="90">
        <v>1381496.26</v>
      </c>
      <c r="O39" s="90">
        <v>6602757.8300000001</v>
      </c>
      <c r="P39" s="90">
        <v>8536897.0800000001</v>
      </c>
      <c r="Q39" s="90">
        <v>211427.58</v>
      </c>
      <c r="R39" s="90">
        <v>-95.01</v>
      </c>
      <c r="S39" s="90">
        <v>-0.01</v>
      </c>
      <c r="T39" s="90">
        <v>0.06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E40" s="89" t="s">
        <v>72</v>
      </c>
      <c r="F40" s="90">
        <v>38733807.130000003</v>
      </c>
      <c r="G40" s="90">
        <v>3039800.25</v>
      </c>
      <c r="H40" s="90">
        <v>1655044.15</v>
      </c>
      <c r="I40" s="90">
        <v>884056.68</v>
      </c>
      <c r="J40" s="90">
        <v>6291646.5300000003</v>
      </c>
      <c r="K40" s="90">
        <v>298351.07</v>
      </c>
      <c r="L40" s="90">
        <v>43507.62</v>
      </c>
      <c r="M40" s="90">
        <v>2623588.83</v>
      </c>
      <c r="N40" s="90">
        <v>2661210.63</v>
      </c>
      <c r="O40" s="90">
        <v>12473941.439999999</v>
      </c>
      <c r="P40" s="90">
        <v>8276273.9800000004</v>
      </c>
      <c r="Q40" s="90">
        <v>486783.55</v>
      </c>
      <c r="R40" s="90">
        <v>-397.6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5">
      <c r="E41" s="89" t="s">
        <v>81</v>
      </c>
      <c r="F41" s="90">
        <v>103423.02</v>
      </c>
      <c r="G41" s="90">
        <v>5231.83</v>
      </c>
      <c r="H41" s="90">
        <v>2620.7800000000002</v>
      </c>
      <c r="I41" s="90">
        <v>1432.53</v>
      </c>
      <c r="J41" s="90">
        <v>22089.08</v>
      </c>
      <c r="K41" s="90">
        <v>1012.15</v>
      </c>
      <c r="L41" s="90">
        <v>0</v>
      </c>
      <c r="M41" s="90">
        <v>8840.42</v>
      </c>
      <c r="N41" s="90">
        <v>8284.39</v>
      </c>
      <c r="O41" s="90">
        <v>37991.279999999999</v>
      </c>
      <c r="P41" s="90">
        <v>14270.12</v>
      </c>
      <c r="Q41" s="90">
        <v>1651.75</v>
      </c>
      <c r="R41" s="90">
        <v>-1.34</v>
      </c>
      <c r="S41" s="90">
        <v>0</v>
      </c>
      <c r="T41" s="90">
        <v>0.03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s="89" t="s">
        <v>86</v>
      </c>
      <c r="E42" s="89" t="s">
        <v>70</v>
      </c>
      <c r="F42" s="90">
        <v>38837230.149999999</v>
      </c>
      <c r="G42" s="90">
        <v>3045032.08</v>
      </c>
      <c r="H42" s="90">
        <v>1657664.93</v>
      </c>
      <c r="I42" s="90">
        <v>885489.21</v>
      </c>
      <c r="J42" s="90">
        <v>6313735.6100000003</v>
      </c>
      <c r="K42" s="90">
        <v>299363.21999999997</v>
      </c>
      <c r="L42" s="90">
        <v>43507.62</v>
      </c>
      <c r="M42" s="90">
        <v>2632429.25</v>
      </c>
      <c r="N42" s="90">
        <v>2669495.02</v>
      </c>
      <c r="O42" s="90">
        <v>12511932.720000001</v>
      </c>
      <c r="P42" s="90">
        <v>8290544.0999999996</v>
      </c>
      <c r="Q42" s="90">
        <v>488435.3</v>
      </c>
      <c r="R42" s="90">
        <v>-398.94</v>
      </c>
      <c r="S42" s="90">
        <v>0</v>
      </c>
      <c r="T42" s="90">
        <v>0.03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C43" s="89"/>
      <c r="D43" s="89"/>
      <c r="E43" t="s">
        <v>72</v>
      </c>
      <c r="F43" s="90">
        <v>222891664.53999999</v>
      </c>
      <c r="G43" s="90">
        <v>27345006.719999999</v>
      </c>
      <c r="H43" s="90">
        <v>15201201.24</v>
      </c>
      <c r="I43" s="90">
        <v>8089797.8899999997</v>
      </c>
      <c r="J43" s="90">
        <v>28735245.640000001</v>
      </c>
      <c r="K43" s="90">
        <v>729515.15</v>
      </c>
      <c r="L43" s="90">
        <v>9878361.2400000002</v>
      </c>
      <c r="M43" s="90">
        <v>6370953.3399999999</v>
      </c>
      <c r="N43" s="90">
        <v>8839869.5800000001</v>
      </c>
      <c r="O43" s="90">
        <v>41844064.079999998</v>
      </c>
      <c r="P43" s="90">
        <v>74669973.010000005</v>
      </c>
      <c r="Q43" s="90">
        <v>1190722.6200000001</v>
      </c>
      <c r="R43" s="90">
        <v>-3045.97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5">
      <c r="B44" s="89"/>
      <c r="C44" s="89"/>
      <c r="E44" t="s">
        <v>81</v>
      </c>
      <c r="F44" s="90">
        <v>650065.1</v>
      </c>
      <c r="G44" s="90">
        <v>54025.13</v>
      </c>
      <c r="H44" s="90">
        <v>28815.72</v>
      </c>
      <c r="I44" s="90">
        <v>15452.4</v>
      </c>
      <c r="J44" s="90">
        <v>131416.37</v>
      </c>
      <c r="K44" s="90">
        <v>3462.06</v>
      </c>
      <c r="L44" s="90">
        <v>6638.64</v>
      </c>
      <c r="M44" s="90">
        <v>30369.24</v>
      </c>
      <c r="N44" s="90">
        <v>40871.660000000003</v>
      </c>
      <c r="O44" s="90">
        <v>186410.2</v>
      </c>
      <c r="P44" s="90">
        <v>147007.48000000001</v>
      </c>
      <c r="Q44" s="90">
        <v>5632.59</v>
      </c>
      <c r="R44" s="90">
        <v>-36.4</v>
      </c>
      <c r="S44" s="90">
        <v>0.01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5">
      <c r="C45" s="89"/>
      <c r="D45" s="89" t="s">
        <v>87</v>
      </c>
      <c r="E45" t="s">
        <v>70</v>
      </c>
      <c r="F45" s="90">
        <v>223541729.63999999</v>
      </c>
      <c r="G45" s="90">
        <v>27399031.850000001</v>
      </c>
      <c r="H45" s="90">
        <v>15230016.960000001</v>
      </c>
      <c r="I45" s="90">
        <v>8105250.29</v>
      </c>
      <c r="J45" s="90">
        <v>28866662.010000002</v>
      </c>
      <c r="K45" s="90">
        <v>732977.21</v>
      </c>
      <c r="L45" s="90">
        <v>9884999.8800000008</v>
      </c>
      <c r="M45" s="90">
        <v>6401322.5800000001</v>
      </c>
      <c r="N45" s="90">
        <v>8880741.2400000002</v>
      </c>
      <c r="O45" s="90">
        <v>42030474.280000001</v>
      </c>
      <c r="P45" s="90">
        <v>74816980.489999995</v>
      </c>
      <c r="Q45" s="90">
        <v>1196355.21</v>
      </c>
      <c r="R45" s="90">
        <v>-3082.37</v>
      </c>
      <c r="S45" s="90">
        <v>0.01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s="94" customFormat="1" ht="12.75" customHeight="1" x14ac:dyDescent="0.25">
      <c r="C46" s="101" t="s">
        <v>119</v>
      </c>
      <c r="D46" s="101" t="s">
        <v>70</v>
      </c>
      <c r="F46" s="93">
        <v>290244120.77999997</v>
      </c>
      <c r="G46" s="93">
        <v>33575652.270000003</v>
      </c>
      <c r="H46" s="93">
        <v>18677541.399999999</v>
      </c>
      <c r="I46" s="93">
        <v>9986351.4199999999</v>
      </c>
      <c r="J46" s="93">
        <v>39089724.609999999</v>
      </c>
      <c r="K46" s="93">
        <v>1161132.96</v>
      </c>
      <c r="L46" s="93">
        <v>9993768.9299999997</v>
      </c>
      <c r="M46" s="93">
        <v>10145988.310000001</v>
      </c>
      <c r="N46" s="93">
        <v>12931732.52</v>
      </c>
      <c r="O46" s="93">
        <v>61145164.829999998</v>
      </c>
      <c r="P46" s="93">
        <v>91644421.670000002</v>
      </c>
      <c r="Q46" s="93">
        <v>1896218.09</v>
      </c>
      <c r="R46" s="93">
        <v>-3576.32</v>
      </c>
      <c r="S46" s="93">
        <v>0</v>
      </c>
      <c r="T46" s="93">
        <v>0.09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</row>
    <row r="47" spans="1:26" s="226" customFormat="1" ht="12.75" customHeight="1" x14ac:dyDescent="0.25">
      <c r="B47" s="98" t="s">
        <v>112</v>
      </c>
      <c r="C47" s="98" t="s">
        <v>70</v>
      </c>
      <c r="F47" s="100">
        <v>18025191391.389999</v>
      </c>
      <c r="G47" s="100">
        <v>841806157.75</v>
      </c>
      <c r="H47" s="100">
        <v>468918023.38</v>
      </c>
      <c r="I47" s="100">
        <v>249656939.77000001</v>
      </c>
      <c r="J47" s="100">
        <v>4756846479.7700005</v>
      </c>
      <c r="K47" s="100">
        <v>158497997.15000001</v>
      </c>
      <c r="L47" s="100">
        <v>19931693.030000001</v>
      </c>
      <c r="M47" s="100">
        <v>1391735810.6300001</v>
      </c>
      <c r="N47" s="100">
        <v>1315958782.4200001</v>
      </c>
      <c r="O47" s="100">
        <v>6272232886.3199997</v>
      </c>
      <c r="P47" s="100">
        <v>2290889370.8899999</v>
      </c>
      <c r="Q47" s="100">
        <v>258744902.81</v>
      </c>
      <c r="R47" s="100">
        <v>-27801.66</v>
      </c>
      <c r="S47" s="100">
        <v>19.47</v>
      </c>
      <c r="T47" s="100">
        <v>236.56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-106.9</v>
      </c>
    </row>
    <row r="48" spans="1:26" ht="12.6" customHeight="1" x14ac:dyDescent="0.25">
      <c r="A48" t="s">
        <v>78</v>
      </c>
      <c r="B48" t="s">
        <v>70</v>
      </c>
      <c r="E48" s="89"/>
      <c r="F48" s="89">
        <v>18025827438.459999</v>
      </c>
      <c r="G48" s="90">
        <v>841835381.34000003</v>
      </c>
      <c r="H48" s="90">
        <v>468934481.85000002</v>
      </c>
      <c r="I48" s="90">
        <v>249665599.99000001</v>
      </c>
      <c r="J48" s="90">
        <v>4756987905.2399998</v>
      </c>
      <c r="K48" s="90">
        <v>158503822.69</v>
      </c>
      <c r="L48" s="90">
        <v>19931693.030000001</v>
      </c>
      <c r="M48" s="90">
        <v>1391786912</v>
      </c>
      <c r="N48" s="90">
        <v>1316010061.0999999</v>
      </c>
      <c r="O48" s="90">
        <v>6272475634.75</v>
      </c>
      <c r="P48" s="90">
        <v>2290969186.2399998</v>
      </c>
      <c r="Q48" s="90">
        <v>258754407.63999999</v>
      </c>
      <c r="R48" s="90">
        <v>-27796.54</v>
      </c>
      <c r="S48" s="90">
        <v>19.47</v>
      </c>
      <c r="T48" s="90">
        <v>236.56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-106.9</v>
      </c>
    </row>
    <row r="49" spans="2:26" x14ac:dyDescent="0.25">
      <c r="E49" t="s">
        <v>73</v>
      </c>
      <c r="F49" s="90">
        <v>-32099.64</v>
      </c>
      <c r="G49" s="90">
        <v>-1182.8</v>
      </c>
      <c r="H49" s="90">
        <v>-661.02</v>
      </c>
      <c r="I49" s="90">
        <v>-350.52</v>
      </c>
      <c r="J49" s="90">
        <v>-6245.62</v>
      </c>
      <c r="K49" s="90">
        <v>-344.7</v>
      </c>
      <c r="L49" s="90">
        <v>0</v>
      </c>
      <c r="M49" s="90">
        <v>-3023.82</v>
      </c>
      <c r="N49" s="90">
        <v>-2892.68</v>
      </c>
      <c r="O49" s="90">
        <v>-13605.48</v>
      </c>
      <c r="P49" s="90">
        <v>-3230.56</v>
      </c>
      <c r="Q49" s="90">
        <v>-562.44000000000005</v>
      </c>
      <c r="R49" s="90">
        <v>0</v>
      </c>
      <c r="S49" s="90">
        <v>0</v>
      </c>
      <c r="T49" s="90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90">
        <v>0</v>
      </c>
    </row>
    <row r="50" spans="2:26" x14ac:dyDescent="0.25">
      <c r="D50" t="s">
        <v>156</v>
      </c>
      <c r="E50" t="s">
        <v>70</v>
      </c>
      <c r="F50" s="90">
        <v>-32099.64</v>
      </c>
      <c r="G50" s="90">
        <v>-1182.8</v>
      </c>
      <c r="H50" s="90">
        <v>-661.02</v>
      </c>
      <c r="I50" s="90">
        <v>-350.52</v>
      </c>
      <c r="J50" s="90">
        <v>-6245.62</v>
      </c>
      <c r="K50" s="90">
        <v>-344.7</v>
      </c>
      <c r="L50" s="90">
        <v>0</v>
      </c>
      <c r="M50" s="90">
        <v>-3023.82</v>
      </c>
      <c r="N50" s="90">
        <v>-2892.68</v>
      </c>
      <c r="O50" s="90">
        <v>-13605.48</v>
      </c>
      <c r="P50" s="90">
        <v>-3230.56</v>
      </c>
      <c r="Q50" s="90">
        <v>-562.44000000000005</v>
      </c>
      <c r="R50" s="90">
        <v>0</v>
      </c>
      <c r="S50" s="90">
        <v>0</v>
      </c>
      <c r="T50" s="9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90">
        <v>0</v>
      </c>
    </row>
    <row r="51" spans="2:26" s="286" customFormat="1" ht="12.75" customHeight="1" x14ac:dyDescent="0.25">
      <c r="C51" s="286" t="s">
        <v>155</v>
      </c>
      <c r="D51" s="286" t="s">
        <v>70</v>
      </c>
      <c r="E51" s="229"/>
      <c r="F51" s="229">
        <v>-32099.64</v>
      </c>
      <c r="G51" s="230">
        <v>-1182.8</v>
      </c>
      <c r="H51" s="230">
        <v>-661.02</v>
      </c>
      <c r="I51" s="230">
        <v>-350.52</v>
      </c>
      <c r="J51" s="230">
        <v>-6245.62</v>
      </c>
      <c r="K51" s="230">
        <v>-344.7</v>
      </c>
      <c r="L51" s="230">
        <v>0</v>
      </c>
      <c r="M51" s="230">
        <v>-3023.82</v>
      </c>
      <c r="N51" s="230">
        <v>-2892.68</v>
      </c>
      <c r="O51" s="230">
        <v>-13605.48</v>
      </c>
      <c r="P51" s="230">
        <v>-3230.56</v>
      </c>
      <c r="Q51" s="230">
        <v>-562.44000000000005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0</v>
      </c>
    </row>
    <row r="52" spans="2:26" x14ac:dyDescent="0.25">
      <c r="E52" t="s">
        <v>73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90">
        <v>0</v>
      </c>
    </row>
    <row r="53" spans="2:26" x14ac:dyDescent="0.25">
      <c r="D53" t="s">
        <v>82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90">
        <v>0</v>
      </c>
    </row>
    <row r="54" spans="2:26" x14ac:dyDescent="0.25">
      <c r="E54" t="s">
        <v>73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90">
        <v>0</v>
      </c>
    </row>
    <row r="55" spans="2:26" x14ac:dyDescent="0.25">
      <c r="D55" t="s">
        <v>86</v>
      </c>
      <c r="E55" t="s">
        <v>70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90">
        <v>0</v>
      </c>
    </row>
    <row r="56" spans="2:26" x14ac:dyDescent="0.25">
      <c r="E56" t="s">
        <v>73</v>
      </c>
      <c r="F56" s="90">
        <v>44922.57</v>
      </c>
      <c r="G56" s="90">
        <v>2812.56</v>
      </c>
      <c r="H56" s="90">
        <v>1569.13</v>
      </c>
      <c r="I56" s="90">
        <v>833.5</v>
      </c>
      <c r="J56" s="90">
        <v>10514.48</v>
      </c>
      <c r="K56" s="90">
        <v>259.45999999999998</v>
      </c>
      <c r="L56" s="90">
        <v>0</v>
      </c>
      <c r="M56" s="90">
        <v>2275.96</v>
      </c>
      <c r="N56" s="90">
        <v>3235.33</v>
      </c>
      <c r="O56" s="90">
        <v>15317.02</v>
      </c>
      <c r="P56" s="90">
        <v>7681.79</v>
      </c>
      <c r="Q56" s="90">
        <v>423.34</v>
      </c>
      <c r="R56" s="90">
        <v>0</v>
      </c>
      <c r="S56" s="90">
        <v>0</v>
      </c>
      <c r="T56" s="90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90">
        <v>0</v>
      </c>
    </row>
    <row r="57" spans="2:26" x14ac:dyDescent="0.25">
      <c r="D57" t="s">
        <v>87</v>
      </c>
      <c r="E57" t="s">
        <v>70</v>
      </c>
      <c r="F57" s="90">
        <v>44922.57</v>
      </c>
      <c r="G57" s="90">
        <v>2812.56</v>
      </c>
      <c r="H57" s="90">
        <v>1569.13</v>
      </c>
      <c r="I57" s="90">
        <v>833.5</v>
      </c>
      <c r="J57" s="90">
        <v>10514.48</v>
      </c>
      <c r="K57" s="90">
        <v>259.45999999999998</v>
      </c>
      <c r="L57" s="90">
        <v>0</v>
      </c>
      <c r="M57" s="90">
        <v>2275.96</v>
      </c>
      <c r="N57" s="90">
        <v>3235.33</v>
      </c>
      <c r="O57" s="90">
        <v>15317.02</v>
      </c>
      <c r="P57" s="90">
        <v>7681.79</v>
      </c>
      <c r="Q57" s="90">
        <v>423.34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2:26" s="94" customFormat="1" ht="12.75" customHeight="1" x14ac:dyDescent="0.25">
      <c r="C58" s="101" t="s">
        <v>119</v>
      </c>
      <c r="D58" s="101" t="s">
        <v>70</v>
      </c>
      <c r="F58" s="93">
        <v>44922.57</v>
      </c>
      <c r="G58" s="93">
        <v>2812.56</v>
      </c>
      <c r="H58" s="93">
        <v>1569.13</v>
      </c>
      <c r="I58" s="93">
        <v>833.5</v>
      </c>
      <c r="J58" s="93">
        <v>10514.48</v>
      </c>
      <c r="K58" s="93">
        <v>259.45999999999998</v>
      </c>
      <c r="L58" s="93">
        <v>0</v>
      </c>
      <c r="M58" s="93">
        <v>2275.96</v>
      </c>
      <c r="N58" s="93">
        <v>3235.33</v>
      </c>
      <c r="O58" s="93">
        <v>15317.02</v>
      </c>
      <c r="P58" s="93">
        <v>7681.79</v>
      </c>
      <c r="Q58" s="93">
        <v>423.34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</row>
    <row r="59" spans="2:26" s="378" customFormat="1" ht="12.75" customHeight="1" x14ac:dyDescent="0.25">
      <c r="B59" s="378" t="s">
        <v>122</v>
      </c>
      <c r="C59" s="378" t="s">
        <v>70</v>
      </c>
      <c r="E59" s="376"/>
      <c r="F59" s="710">
        <v>12822.93</v>
      </c>
      <c r="G59" s="377">
        <v>1629.76</v>
      </c>
      <c r="H59" s="377">
        <v>908.11</v>
      </c>
      <c r="I59" s="377">
        <v>482.98</v>
      </c>
      <c r="J59" s="377">
        <v>4268.8599999999997</v>
      </c>
      <c r="K59" s="377">
        <v>-85.24</v>
      </c>
      <c r="L59" s="377">
        <v>0</v>
      </c>
      <c r="M59" s="377">
        <v>-747.86</v>
      </c>
      <c r="N59" s="377">
        <v>342.65</v>
      </c>
      <c r="O59" s="377">
        <v>1711.54</v>
      </c>
      <c r="P59" s="377">
        <v>4451.2299999999996</v>
      </c>
      <c r="Q59" s="377">
        <v>-139.1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77">
        <v>0</v>
      </c>
      <c r="X59" s="377">
        <v>0</v>
      </c>
      <c r="Y59" s="377">
        <v>0</v>
      </c>
      <c r="Z59" s="377">
        <v>0</v>
      </c>
    </row>
    <row r="60" spans="2:26" ht="12.75" customHeight="1" x14ac:dyDescent="0.25">
      <c r="E60" s="89" t="s">
        <v>73</v>
      </c>
      <c r="F60" s="384">
        <v>-3253607640.54</v>
      </c>
      <c r="G60" s="90">
        <v>-91345711.129999995</v>
      </c>
      <c r="H60" s="90">
        <v>-50905404.25</v>
      </c>
      <c r="I60" s="90">
        <v>-27078428.510000002</v>
      </c>
      <c r="J60" s="90">
        <v>-964341301.80999994</v>
      </c>
      <c r="K60" s="90">
        <v>-31681532.859999999</v>
      </c>
      <c r="L60" s="90">
        <v>0</v>
      </c>
      <c r="M60" s="90">
        <v>-278071694.94999999</v>
      </c>
      <c r="N60" s="90">
        <v>-261997794.74000001</v>
      </c>
      <c r="O60" s="90">
        <v>-1250263678.55</v>
      </c>
      <c r="P60" s="90">
        <v>-246232158.99000001</v>
      </c>
      <c r="Q60" s="90">
        <v>-51689934.75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</row>
    <row r="61" spans="2:26" ht="12.75" customHeight="1" x14ac:dyDescent="0.25">
      <c r="D61" t="s">
        <v>156</v>
      </c>
      <c r="E61" s="89" t="s">
        <v>70</v>
      </c>
      <c r="F61" s="384">
        <v>-3253607640.54</v>
      </c>
      <c r="G61" s="90">
        <v>-91345711.129999995</v>
      </c>
      <c r="H61" s="90">
        <v>-50905404.25</v>
      </c>
      <c r="I61" s="90">
        <v>-27078428.510000002</v>
      </c>
      <c r="J61" s="90">
        <v>-964341301.80999994</v>
      </c>
      <c r="K61" s="90">
        <v>-31681532.859999999</v>
      </c>
      <c r="L61" s="90">
        <v>0</v>
      </c>
      <c r="M61" s="90">
        <v>-278071694.94999999</v>
      </c>
      <c r="N61" s="90">
        <v>-261997794.74000001</v>
      </c>
      <c r="O61" s="90">
        <v>-1250263678.55</v>
      </c>
      <c r="P61" s="90">
        <v>-246232158.99000001</v>
      </c>
      <c r="Q61" s="90">
        <v>-51689934.75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</row>
    <row r="62" spans="2:26" s="286" customFormat="1" ht="12.75" customHeight="1" x14ac:dyDescent="0.25">
      <c r="C62" s="286" t="s">
        <v>155</v>
      </c>
      <c r="D62" s="286" t="s">
        <v>70</v>
      </c>
      <c r="E62" s="229"/>
      <c r="F62" s="229">
        <v>-3253607640.54</v>
      </c>
      <c r="G62" s="230">
        <v>-91345711.129999995</v>
      </c>
      <c r="H62" s="230">
        <v>-50905404.25</v>
      </c>
      <c r="I62" s="230">
        <v>-27078428.510000002</v>
      </c>
      <c r="J62" s="230">
        <v>-964341301.80999994</v>
      </c>
      <c r="K62" s="230">
        <v>-31681532.859999999</v>
      </c>
      <c r="L62" s="230">
        <v>0</v>
      </c>
      <c r="M62" s="230">
        <v>-278071694.94999999</v>
      </c>
      <c r="N62" s="230">
        <v>-261997794.74000001</v>
      </c>
      <c r="O62" s="230">
        <v>-1250263678.55</v>
      </c>
      <c r="P62" s="230">
        <v>-246232158.99000001</v>
      </c>
      <c r="Q62" s="230">
        <v>-51689934.75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</row>
    <row r="63" spans="2:26" ht="12.75" customHeight="1" x14ac:dyDescent="0.25">
      <c r="D63" s="89"/>
      <c r="E63" s="89" t="s">
        <v>73</v>
      </c>
      <c r="F63" s="90">
        <v>13423599.01</v>
      </c>
      <c r="G63" s="90">
        <v>2490552.75</v>
      </c>
      <c r="H63" s="90">
        <v>1387405.41</v>
      </c>
      <c r="I63" s="90">
        <v>737634.79</v>
      </c>
      <c r="J63" s="90">
        <v>631013.34</v>
      </c>
      <c r="K63" s="90">
        <v>16984.560000000001</v>
      </c>
      <c r="L63" s="90">
        <v>0</v>
      </c>
      <c r="M63" s="90">
        <v>150899.5</v>
      </c>
      <c r="N63" s="90">
        <v>207661.14</v>
      </c>
      <c r="O63" s="90">
        <v>966790.95</v>
      </c>
      <c r="P63" s="90">
        <v>6806944.5599999996</v>
      </c>
      <c r="Q63" s="90">
        <v>27712.01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</row>
    <row r="64" spans="2:26" ht="12.75" customHeight="1" x14ac:dyDescent="0.25">
      <c r="D64" t="s">
        <v>82</v>
      </c>
      <c r="E64" s="89" t="s">
        <v>70</v>
      </c>
      <c r="F64" s="90">
        <v>13423599.01</v>
      </c>
      <c r="G64" s="90">
        <v>2490552.75</v>
      </c>
      <c r="H64" s="90">
        <v>1387405.41</v>
      </c>
      <c r="I64" s="90">
        <v>737634.79</v>
      </c>
      <c r="J64" s="90">
        <v>631013.34</v>
      </c>
      <c r="K64" s="90">
        <v>16984.560000000001</v>
      </c>
      <c r="L64" s="90">
        <v>0</v>
      </c>
      <c r="M64" s="90">
        <v>150899.5</v>
      </c>
      <c r="N64" s="90">
        <v>207661.14</v>
      </c>
      <c r="O64" s="90">
        <v>966790.95</v>
      </c>
      <c r="P64" s="90">
        <v>6806944.5599999996</v>
      </c>
      <c r="Q64" s="90">
        <v>27712.01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</row>
    <row r="65" spans="1:42" ht="12.75" customHeight="1" x14ac:dyDescent="0.25">
      <c r="D65" s="89"/>
      <c r="E65" s="89" t="s">
        <v>73</v>
      </c>
      <c r="F65" s="90">
        <v>-325150.37</v>
      </c>
      <c r="G65" s="90">
        <v>488590.2</v>
      </c>
      <c r="H65" s="90">
        <v>270618.03999999998</v>
      </c>
      <c r="I65" s="90">
        <v>137804.15</v>
      </c>
      <c r="J65" s="90">
        <v>-905950.9</v>
      </c>
      <c r="K65" s="90">
        <v>-31107.48</v>
      </c>
      <c r="L65" s="90">
        <v>0</v>
      </c>
      <c r="M65" s="90">
        <v>-273355.90999999997</v>
      </c>
      <c r="N65" s="90">
        <v>-212055.38</v>
      </c>
      <c r="O65" s="90">
        <v>-1075613.98</v>
      </c>
      <c r="P65" s="90">
        <v>1326676.22</v>
      </c>
      <c r="Q65" s="90">
        <v>-50755.33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</row>
    <row r="66" spans="1:42" ht="12.75" customHeight="1" x14ac:dyDescent="0.25">
      <c r="D66" t="s">
        <v>86</v>
      </c>
      <c r="E66" s="89" t="s">
        <v>70</v>
      </c>
      <c r="F66" s="90">
        <v>-325150.37</v>
      </c>
      <c r="G66" s="90">
        <v>488590.2</v>
      </c>
      <c r="H66" s="90">
        <v>270618.03999999998</v>
      </c>
      <c r="I66" s="90">
        <v>137804.15</v>
      </c>
      <c r="J66" s="90">
        <v>-905950.9</v>
      </c>
      <c r="K66" s="90">
        <v>-31107.48</v>
      </c>
      <c r="L66" s="90">
        <v>0</v>
      </c>
      <c r="M66" s="90">
        <v>-273355.90999999997</v>
      </c>
      <c r="N66" s="90">
        <v>-212055.38</v>
      </c>
      <c r="O66" s="90">
        <v>-1075613.98</v>
      </c>
      <c r="P66" s="90">
        <v>1326676.22</v>
      </c>
      <c r="Q66" s="90">
        <v>-50755.33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</row>
    <row r="67" spans="1:42" ht="12.75" customHeight="1" x14ac:dyDescent="0.25">
      <c r="D67" s="89"/>
      <c r="E67" s="89" t="s">
        <v>73</v>
      </c>
      <c r="F67" s="90">
        <v>50273483.359999999</v>
      </c>
      <c r="G67" s="90">
        <v>8795896.6199999992</v>
      </c>
      <c r="H67" s="90">
        <v>4922970.59</v>
      </c>
      <c r="I67" s="90">
        <v>2633606.2200000002</v>
      </c>
      <c r="J67" s="90">
        <v>2971274.25</v>
      </c>
      <c r="K67" s="90">
        <v>89779.5</v>
      </c>
      <c r="L67" s="90">
        <v>0</v>
      </c>
      <c r="M67" s="90">
        <v>777804.41</v>
      </c>
      <c r="N67" s="90">
        <v>1027778.27</v>
      </c>
      <c r="O67" s="90">
        <v>4888775.6500000004</v>
      </c>
      <c r="P67" s="90">
        <v>24019519.449999999</v>
      </c>
      <c r="Q67" s="90">
        <v>146078.39999999999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</row>
    <row r="68" spans="1:42" ht="12.75" customHeight="1" x14ac:dyDescent="0.25">
      <c r="C68" s="89"/>
      <c r="D68" s="89" t="s">
        <v>87</v>
      </c>
      <c r="E68" t="s">
        <v>70</v>
      </c>
      <c r="F68" s="90">
        <v>50273483.359999999</v>
      </c>
      <c r="G68" s="90">
        <v>8795896.6199999992</v>
      </c>
      <c r="H68" s="90">
        <v>4922970.59</v>
      </c>
      <c r="I68" s="90">
        <v>2633606.2200000002</v>
      </c>
      <c r="J68" s="90">
        <v>2971274.25</v>
      </c>
      <c r="K68" s="90">
        <v>89779.5</v>
      </c>
      <c r="L68" s="90">
        <v>0</v>
      </c>
      <c r="M68" s="90">
        <v>777804.41</v>
      </c>
      <c r="N68" s="90">
        <v>1027778.27</v>
      </c>
      <c r="O68" s="90">
        <v>4888775.6500000004</v>
      </c>
      <c r="P68" s="90">
        <v>24019519.449999999</v>
      </c>
      <c r="Q68" s="90">
        <v>146078.39999999999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</row>
    <row r="69" spans="1:42" s="94" customFormat="1" ht="12.75" customHeight="1" x14ac:dyDescent="0.25">
      <c r="C69" s="101" t="s">
        <v>119</v>
      </c>
      <c r="D69" s="101" t="s">
        <v>70</v>
      </c>
      <c r="F69" s="93">
        <v>63371932</v>
      </c>
      <c r="G69" s="93">
        <v>11775039.57</v>
      </c>
      <c r="H69" s="93">
        <v>6580994.04</v>
      </c>
      <c r="I69" s="93">
        <v>3509045.16</v>
      </c>
      <c r="J69" s="93">
        <v>2696336.69</v>
      </c>
      <c r="K69" s="93">
        <v>75656.58</v>
      </c>
      <c r="L69" s="93">
        <v>0</v>
      </c>
      <c r="M69" s="93">
        <v>655348</v>
      </c>
      <c r="N69" s="93">
        <v>1023384.03</v>
      </c>
      <c r="O69" s="93">
        <v>4779952.62</v>
      </c>
      <c r="P69" s="93">
        <v>32153140.23</v>
      </c>
      <c r="Q69" s="93">
        <v>123035.08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1:42" s="226" customFormat="1" ht="12.75" customHeight="1" x14ac:dyDescent="0.25">
      <c r="B70" s="98" t="s">
        <v>112</v>
      </c>
      <c r="C70" s="98" t="s">
        <v>70</v>
      </c>
      <c r="F70" s="100">
        <v>-3190235708.54</v>
      </c>
      <c r="G70" s="100">
        <v>-79570671.560000002</v>
      </c>
      <c r="H70" s="100">
        <v>-44324410.210000001</v>
      </c>
      <c r="I70" s="100">
        <v>-23569383.350000001</v>
      </c>
      <c r="J70" s="100">
        <v>-961644965.12</v>
      </c>
      <c r="K70" s="100">
        <v>-31605876.280000001</v>
      </c>
      <c r="L70" s="100">
        <v>0</v>
      </c>
      <c r="M70" s="100">
        <v>-277416346.94999999</v>
      </c>
      <c r="N70" s="100">
        <v>-260974410.71000001</v>
      </c>
      <c r="O70" s="100">
        <v>-1245483725.9300001</v>
      </c>
      <c r="P70" s="100">
        <v>-214079018.75999999</v>
      </c>
      <c r="Q70" s="100">
        <v>-51566899.670000002</v>
      </c>
      <c r="R70" s="100">
        <v>0</v>
      </c>
      <c r="S70" s="100">
        <v>0</v>
      </c>
      <c r="T70" s="100">
        <v>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</row>
    <row r="71" spans="1:42" ht="12.75" customHeight="1" x14ac:dyDescent="0.25">
      <c r="A71" s="89" t="s">
        <v>79</v>
      </c>
      <c r="B71" t="s">
        <v>70</v>
      </c>
      <c r="F71" s="90">
        <v>-3190222885.6100001</v>
      </c>
      <c r="G71" s="90">
        <v>-79569041.799999997</v>
      </c>
      <c r="H71" s="90">
        <v>-44323502.100000001</v>
      </c>
      <c r="I71" s="90">
        <v>-23568900.370000001</v>
      </c>
      <c r="J71" s="90">
        <v>-961640696.25999999</v>
      </c>
      <c r="K71" s="90">
        <v>-31605961.52</v>
      </c>
      <c r="L71" s="90">
        <v>0</v>
      </c>
      <c r="M71" s="90">
        <v>-277417094.81</v>
      </c>
      <c r="N71" s="90">
        <v>-260974068.06</v>
      </c>
      <c r="O71" s="90">
        <v>-1245482014.3900001</v>
      </c>
      <c r="P71" s="90">
        <v>-214074567.53</v>
      </c>
      <c r="Q71" s="90">
        <v>-51567038.770000003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1:42" ht="12.75" customHeight="1" x14ac:dyDescent="0.25">
      <c r="A72" s="89" t="s">
        <v>70</v>
      </c>
      <c r="F72" s="90">
        <v>14835602537.780001</v>
      </c>
      <c r="G72" s="90">
        <v>762266217.44000006</v>
      </c>
      <c r="H72" s="90">
        <v>424610927.88</v>
      </c>
      <c r="I72" s="90">
        <v>226096676.97</v>
      </c>
      <c r="J72" s="90">
        <v>3795346839.54</v>
      </c>
      <c r="K72" s="90">
        <v>126897837.29000001</v>
      </c>
      <c r="L72" s="90">
        <v>19931693.030000001</v>
      </c>
      <c r="M72" s="90">
        <v>1114369607.79</v>
      </c>
      <c r="N72" s="90">
        <v>1055035817.79</v>
      </c>
      <c r="O72" s="90">
        <v>5026992920.8100004</v>
      </c>
      <c r="P72" s="90">
        <v>2076894316.73</v>
      </c>
      <c r="Q72" s="90">
        <v>207187329.91999999</v>
      </c>
      <c r="R72" s="90">
        <v>-27796.54</v>
      </c>
      <c r="S72" s="90">
        <v>19.47</v>
      </c>
      <c r="T72">
        <v>236.56</v>
      </c>
      <c r="U72">
        <v>0</v>
      </c>
      <c r="V72">
        <v>0</v>
      </c>
      <c r="W72">
        <v>0</v>
      </c>
      <c r="X72" s="90">
        <v>0</v>
      </c>
      <c r="Y72" s="90">
        <v>0</v>
      </c>
      <c r="Z72">
        <v>-106.9</v>
      </c>
    </row>
    <row r="73" spans="1:42" ht="12.75" customHeight="1" x14ac:dyDescent="0.25">
      <c r="A73" s="89"/>
      <c r="D73" s="143"/>
      <c r="E73" s="13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X73" s="90"/>
      <c r="Y73" s="90"/>
    </row>
    <row r="74" spans="1:42" ht="12.75" customHeight="1" x14ac:dyDescent="0.25">
      <c r="A74" s="89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7" t="s">
        <v>2</v>
      </c>
      <c r="D75" s="774" t="s">
        <v>132</v>
      </c>
      <c r="E75" s="98" t="s">
        <v>70</v>
      </c>
      <c r="F75" s="100">
        <f>F47+F70+F16-L16-L47</f>
        <v>14815021974.749998</v>
      </c>
      <c r="G75" s="100">
        <f>G47+G16</f>
        <v>841806035.64999998</v>
      </c>
      <c r="H75" s="100">
        <f t="shared" ref="H75:AP75" si="0">H47+H16</f>
        <v>468917971.50999999</v>
      </c>
      <c r="I75" s="100">
        <f t="shared" si="0"/>
        <v>249656917.12</v>
      </c>
      <c r="J75" s="100">
        <f t="shared" si="0"/>
        <v>4756846110.3300009</v>
      </c>
      <c r="K75" s="100">
        <f t="shared" si="0"/>
        <v>158497973.27000001</v>
      </c>
      <c r="L75" s="100">
        <f t="shared" si="0"/>
        <v>19931693.030000001</v>
      </c>
      <c r="M75" s="100">
        <f t="shared" si="0"/>
        <v>1391735601.23</v>
      </c>
      <c r="N75" s="100">
        <f t="shared" si="0"/>
        <v>1315958607.1700001</v>
      </c>
      <c r="O75" s="100">
        <f t="shared" si="0"/>
        <v>6272232186.7699995</v>
      </c>
      <c r="P75" s="100">
        <f t="shared" si="0"/>
        <v>2290889068.9099998</v>
      </c>
      <c r="Q75" s="100">
        <f t="shared" si="0"/>
        <v>258744863.86000001</v>
      </c>
      <c r="R75" s="100">
        <f t="shared" si="0"/>
        <v>-27801.66</v>
      </c>
      <c r="S75" s="100">
        <f t="shared" si="0"/>
        <v>19.47</v>
      </c>
      <c r="T75" s="100">
        <f t="shared" si="0"/>
        <v>236.56</v>
      </c>
      <c r="U75" s="100">
        <f t="shared" si="0"/>
        <v>0</v>
      </c>
      <c r="V75" s="100">
        <f t="shared" si="0"/>
        <v>0</v>
      </c>
      <c r="W75" s="100">
        <f t="shared" si="0"/>
        <v>0</v>
      </c>
      <c r="X75" s="100">
        <f t="shared" si="0"/>
        <v>0</v>
      </c>
      <c r="Y75" s="100">
        <f t="shared" si="0"/>
        <v>0</v>
      </c>
      <c r="Z75" s="100">
        <f t="shared" si="0"/>
        <v>-106.9</v>
      </c>
      <c r="AA75" s="100">
        <f t="shared" si="0"/>
        <v>0</v>
      </c>
      <c r="AB75" s="100">
        <f t="shared" si="0"/>
        <v>0</v>
      </c>
      <c r="AC75" s="100">
        <f t="shared" si="0"/>
        <v>0</v>
      </c>
      <c r="AD75" s="100">
        <f t="shared" si="0"/>
        <v>0</v>
      </c>
      <c r="AE75" s="100">
        <f t="shared" si="0"/>
        <v>0</v>
      </c>
      <c r="AF75" s="100">
        <f t="shared" si="0"/>
        <v>0</v>
      </c>
      <c r="AG75" s="100">
        <f t="shared" si="0"/>
        <v>0</v>
      </c>
      <c r="AH75" s="100">
        <f t="shared" si="0"/>
        <v>0</v>
      </c>
      <c r="AI75" s="100">
        <f t="shared" si="0"/>
        <v>0</v>
      </c>
      <c r="AJ75" s="100">
        <f t="shared" si="0"/>
        <v>0</v>
      </c>
      <c r="AK75" s="100">
        <f t="shared" si="0"/>
        <v>0</v>
      </c>
      <c r="AL75" s="100">
        <f t="shared" si="0"/>
        <v>0</v>
      </c>
      <c r="AM75" s="100">
        <f t="shared" si="0"/>
        <v>0</v>
      </c>
      <c r="AN75" s="100">
        <f t="shared" si="0"/>
        <v>0</v>
      </c>
      <c r="AO75" s="100">
        <f t="shared" si="0"/>
        <v>0</v>
      </c>
      <c r="AP75" s="100">
        <f t="shared" si="0"/>
        <v>0</v>
      </c>
    </row>
    <row r="76" spans="1:42" ht="12.75" customHeight="1" x14ac:dyDescent="0.25">
      <c r="C76" s="777"/>
      <c r="D76" s="774"/>
      <c r="E76" s="98" t="s">
        <v>73</v>
      </c>
      <c r="F76" s="100">
        <f>F70</f>
        <v>-3190235708.54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5">
      <c r="C77" s="777"/>
      <c r="D77" s="774" t="s">
        <v>133</v>
      </c>
      <c r="E77" s="233" t="s">
        <v>70</v>
      </c>
      <c r="F77" s="234">
        <f>F59+F32-L32</f>
        <v>648870</v>
      </c>
      <c r="G77" s="234">
        <f>G32</f>
        <v>29223.59</v>
      </c>
      <c r="H77" s="234">
        <f t="shared" ref="H77:AP77" si="1">H32</f>
        <v>16458.47</v>
      </c>
      <c r="I77" s="234">
        <f t="shared" si="1"/>
        <v>8660.2199999999993</v>
      </c>
      <c r="J77" s="234">
        <f t="shared" si="1"/>
        <v>141425.47</v>
      </c>
      <c r="K77" s="234">
        <f t="shared" si="1"/>
        <v>5825.54</v>
      </c>
      <c r="L77" s="234">
        <f t="shared" si="1"/>
        <v>0</v>
      </c>
      <c r="M77" s="234">
        <f t="shared" si="1"/>
        <v>51101.37</v>
      </c>
      <c r="N77" s="234">
        <f t="shared" si="1"/>
        <v>51278.68</v>
      </c>
      <c r="O77" s="234">
        <f t="shared" si="1"/>
        <v>242748.43</v>
      </c>
      <c r="P77" s="234">
        <f t="shared" si="1"/>
        <v>79815.350000000006</v>
      </c>
      <c r="Q77" s="234">
        <f t="shared" si="1"/>
        <v>9504.83</v>
      </c>
      <c r="R77" s="234">
        <f t="shared" si="1"/>
        <v>5.12</v>
      </c>
      <c r="S77" s="234">
        <f t="shared" si="1"/>
        <v>0</v>
      </c>
      <c r="T77" s="234">
        <f t="shared" si="1"/>
        <v>0</v>
      </c>
      <c r="U77" s="234">
        <f t="shared" si="1"/>
        <v>0</v>
      </c>
      <c r="V77" s="234">
        <f t="shared" si="1"/>
        <v>0</v>
      </c>
      <c r="W77" s="234">
        <f t="shared" si="1"/>
        <v>0</v>
      </c>
      <c r="X77" s="234">
        <f t="shared" si="1"/>
        <v>0</v>
      </c>
      <c r="Y77" s="234">
        <f t="shared" si="1"/>
        <v>0</v>
      </c>
      <c r="Z77" s="234">
        <f t="shared" si="1"/>
        <v>0</v>
      </c>
      <c r="AA77" s="234">
        <f t="shared" si="1"/>
        <v>0</v>
      </c>
      <c r="AB77" s="234">
        <f t="shared" si="1"/>
        <v>0</v>
      </c>
      <c r="AC77" s="234">
        <f t="shared" si="1"/>
        <v>0</v>
      </c>
      <c r="AD77" s="234">
        <f t="shared" si="1"/>
        <v>0</v>
      </c>
      <c r="AE77" s="234">
        <f t="shared" si="1"/>
        <v>0</v>
      </c>
      <c r="AF77" s="234">
        <f t="shared" si="1"/>
        <v>0</v>
      </c>
      <c r="AG77" s="234">
        <f t="shared" si="1"/>
        <v>0</v>
      </c>
      <c r="AH77" s="234">
        <f t="shared" si="1"/>
        <v>0</v>
      </c>
      <c r="AI77" s="234">
        <f t="shared" si="1"/>
        <v>0</v>
      </c>
      <c r="AJ77" s="234">
        <f t="shared" si="1"/>
        <v>0</v>
      </c>
      <c r="AK77" s="234">
        <f t="shared" si="1"/>
        <v>0</v>
      </c>
      <c r="AL77" s="234">
        <f t="shared" si="1"/>
        <v>0</v>
      </c>
      <c r="AM77" s="234">
        <f t="shared" si="1"/>
        <v>0</v>
      </c>
      <c r="AN77" s="234">
        <f t="shared" si="1"/>
        <v>0</v>
      </c>
      <c r="AO77" s="234">
        <f t="shared" si="1"/>
        <v>0</v>
      </c>
      <c r="AP77" s="234">
        <f t="shared" si="1"/>
        <v>0</v>
      </c>
    </row>
    <row r="78" spans="1:42" ht="12.75" customHeight="1" x14ac:dyDescent="0.25">
      <c r="C78" s="777"/>
      <c r="D78" s="774"/>
      <c r="E78" s="233" t="s">
        <v>73</v>
      </c>
      <c r="F78" s="234">
        <f>F59</f>
        <v>12822.93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5">
      <c r="A79" s="89"/>
      <c r="C79" s="9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5">
      <c r="C80" s="777" t="s">
        <v>160</v>
      </c>
      <c r="D80" s="774" t="s">
        <v>132</v>
      </c>
      <c r="E80" s="223" t="s">
        <v>70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</row>
    <row r="81" spans="1:42" ht="12.75" customHeight="1" x14ac:dyDescent="0.25">
      <c r="C81" s="777"/>
      <c r="D81" s="774"/>
      <c r="E81" s="223" t="s">
        <v>73</v>
      </c>
      <c r="F81" s="225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spans="1:42" ht="12.75" customHeight="1" x14ac:dyDescent="0.25">
      <c r="C82" s="777"/>
      <c r="D82" s="774" t="s">
        <v>133</v>
      </c>
      <c r="E82" s="227" t="s">
        <v>70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X82" s="228">
        <v>0</v>
      </c>
      <c r="Y82" s="228">
        <v>0</v>
      </c>
      <c r="Z82" s="228">
        <v>0</v>
      </c>
      <c r="AA82" s="228">
        <v>0</v>
      </c>
      <c r="AB82" s="228">
        <v>0</v>
      </c>
      <c r="AC82" s="228">
        <v>0</v>
      </c>
      <c r="AD82" s="228">
        <v>0</v>
      </c>
      <c r="AE82" s="228">
        <v>0</v>
      </c>
      <c r="AF82" s="228">
        <v>0</v>
      </c>
      <c r="AG82" s="228">
        <v>0</v>
      </c>
      <c r="AH82" s="228">
        <v>0</v>
      </c>
      <c r="AI82" s="228">
        <v>0</v>
      </c>
      <c r="AJ82" s="228">
        <v>0</v>
      </c>
      <c r="AK82" s="228">
        <v>0</v>
      </c>
      <c r="AL82" s="228">
        <v>0</v>
      </c>
      <c r="AM82" s="228">
        <v>0</v>
      </c>
      <c r="AN82" s="228">
        <v>0</v>
      </c>
      <c r="AO82" s="228">
        <v>0</v>
      </c>
      <c r="AP82" s="228">
        <v>0</v>
      </c>
    </row>
    <row r="83" spans="1:42" ht="12.75" customHeight="1" x14ac:dyDescent="0.25">
      <c r="C83" s="777"/>
      <c r="D83" s="774"/>
      <c r="E83" s="227" t="s">
        <v>73</v>
      </c>
      <c r="F83" s="228">
        <v>0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42" ht="12.75" customHeight="1" x14ac:dyDescent="0.25">
      <c r="A84" s="89"/>
      <c r="C84" s="9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5">
      <c r="C85" s="777" t="s">
        <v>155</v>
      </c>
      <c r="D85" s="774" t="s">
        <v>132</v>
      </c>
      <c r="E85" s="221" t="s">
        <v>70</v>
      </c>
      <c r="F85" s="222">
        <f>F62+F36+F8-L8-L36</f>
        <v>14471399690.9</v>
      </c>
      <c r="G85" s="222">
        <f>G36+G8</f>
        <v>808230383.38</v>
      </c>
      <c r="H85" s="222">
        <f t="shared" ref="H85:AP85" si="2">H36+H8</f>
        <v>450240430.11000001</v>
      </c>
      <c r="I85" s="222">
        <f t="shared" si="2"/>
        <v>239670565.69999999</v>
      </c>
      <c r="J85" s="222">
        <f t="shared" si="2"/>
        <v>4717756385.7200003</v>
      </c>
      <c r="K85" s="222">
        <f t="shared" si="2"/>
        <v>157336840.31</v>
      </c>
      <c r="L85" s="222">
        <f t="shared" si="2"/>
        <v>9937924.0999999996</v>
      </c>
      <c r="M85" s="222">
        <f t="shared" si="2"/>
        <v>1381589612.9199998</v>
      </c>
      <c r="N85" s="222">
        <f t="shared" si="2"/>
        <v>1303026874.6500001</v>
      </c>
      <c r="O85" s="222">
        <f t="shared" si="2"/>
        <v>6211087021.9399996</v>
      </c>
      <c r="P85" s="222">
        <f t="shared" si="2"/>
        <v>2199244647.2399998</v>
      </c>
      <c r="Q85" s="222">
        <f t="shared" si="2"/>
        <v>256848645.77000001</v>
      </c>
      <c r="R85" s="222">
        <f t="shared" si="2"/>
        <v>-24225.34</v>
      </c>
      <c r="S85" s="222">
        <f t="shared" si="2"/>
        <v>19.47</v>
      </c>
      <c r="T85" s="222">
        <f t="shared" si="2"/>
        <v>236.47</v>
      </c>
      <c r="U85" s="222">
        <f t="shared" si="2"/>
        <v>0</v>
      </c>
      <c r="V85" s="222">
        <f t="shared" si="2"/>
        <v>0</v>
      </c>
      <c r="W85" s="222">
        <f t="shared" si="2"/>
        <v>0</v>
      </c>
      <c r="X85" s="222">
        <f t="shared" si="2"/>
        <v>0</v>
      </c>
      <c r="Y85" s="222">
        <f t="shared" si="2"/>
        <v>0</v>
      </c>
      <c r="Z85" s="222">
        <f t="shared" si="2"/>
        <v>-106.9</v>
      </c>
      <c r="AA85" s="222">
        <f t="shared" si="2"/>
        <v>0</v>
      </c>
      <c r="AB85" s="222">
        <f t="shared" si="2"/>
        <v>0</v>
      </c>
      <c r="AC85" s="222">
        <f t="shared" si="2"/>
        <v>0</v>
      </c>
      <c r="AD85" s="222">
        <f t="shared" si="2"/>
        <v>0</v>
      </c>
      <c r="AE85" s="222">
        <f t="shared" si="2"/>
        <v>0</v>
      </c>
      <c r="AF85" s="222">
        <f t="shared" si="2"/>
        <v>0</v>
      </c>
      <c r="AG85" s="222">
        <f t="shared" si="2"/>
        <v>0</v>
      </c>
      <c r="AH85" s="222">
        <f t="shared" si="2"/>
        <v>0</v>
      </c>
      <c r="AI85" s="222">
        <f t="shared" si="2"/>
        <v>0</v>
      </c>
      <c r="AJ85" s="222">
        <f t="shared" si="2"/>
        <v>0</v>
      </c>
      <c r="AK85" s="222">
        <f t="shared" si="2"/>
        <v>0</v>
      </c>
      <c r="AL85" s="222">
        <f t="shared" si="2"/>
        <v>0</v>
      </c>
      <c r="AM85" s="222">
        <f t="shared" si="2"/>
        <v>0</v>
      </c>
      <c r="AN85" s="222">
        <f t="shared" si="2"/>
        <v>0</v>
      </c>
      <c r="AO85" s="222">
        <f t="shared" si="2"/>
        <v>0</v>
      </c>
      <c r="AP85" s="222">
        <f t="shared" si="2"/>
        <v>0</v>
      </c>
    </row>
    <row r="86" spans="1:42" ht="12.75" customHeight="1" x14ac:dyDescent="0.25">
      <c r="C86" s="777"/>
      <c r="D86" s="774"/>
      <c r="E86" s="221" t="s">
        <v>73</v>
      </c>
      <c r="F86" s="222">
        <f>F62</f>
        <v>-3253607640.54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spans="1:42" ht="12.75" customHeight="1" x14ac:dyDescent="0.25">
      <c r="B87" s="150"/>
      <c r="C87" s="777"/>
      <c r="D87" s="774" t="s">
        <v>133</v>
      </c>
      <c r="E87" s="229" t="s">
        <v>70</v>
      </c>
      <c r="F87" s="230">
        <f>F51+F21-L21</f>
        <v>513960</v>
      </c>
      <c r="G87" s="230">
        <f>G21</f>
        <v>23589.91</v>
      </c>
      <c r="H87" s="230">
        <f t="shared" ref="H87:AP87" si="3">H21</f>
        <v>13315.42</v>
      </c>
      <c r="I87" s="230">
        <f t="shared" si="3"/>
        <v>6990.72</v>
      </c>
      <c r="J87" s="230">
        <f t="shared" si="3"/>
        <v>120363.97</v>
      </c>
      <c r="K87" s="230">
        <f t="shared" si="3"/>
        <v>5305.85</v>
      </c>
      <c r="L87" s="230">
        <f t="shared" si="3"/>
        <v>0</v>
      </c>
      <c r="M87" s="230">
        <f t="shared" si="3"/>
        <v>46542.54</v>
      </c>
      <c r="N87" s="230">
        <f t="shared" si="3"/>
        <v>44798.14</v>
      </c>
      <c r="O87" s="230">
        <f t="shared" si="3"/>
        <v>212067.75</v>
      </c>
      <c r="P87" s="230">
        <f t="shared" si="3"/>
        <v>64428.39</v>
      </c>
      <c r="Q87" s="230">
        <f t="shared" si="3"/>
        <v>8656.8700000000008</v>
      </c>
      <c r="R87" s="230">
        <f t="shared" si="3"/>
        <v>0.08</v>
      </c>
      <c r="S87" s="230">
        <f t="shared" si="3"/>
        <v>0</v>
      </c>
      <c r="T87" s="230">
        <f t="shared" si="3"/>
        <v>0</v>
      </c>
      <c r="U87" s="230">
        <f t="shared" si="3"/>
        <v>0</v>
      </c>
      <c r="V87" s="230">
        <f t="shared" si="3"/>
        <v>0</v>
      </c>
      <c r="W87" s="230">
        <f t="shared" si="3"/>
        <v>0</v>
      </c>
      <c r="X87" s="230">
        <f t="shared" si="3"/>
        <v>0</v>
      </c>
      <c r="Y87" s="230">
        <f t="shared" si="3"/>
        <v>0</v>
      </c>
      <c r="Z87" s="230">
        <f t="shared" si="3"/>
        <v>0</v>
      </c>
      <c r="AA87" s="230">
        <f t="shared" si="3"/>
        <v>0</v>
      </c>
      <c r="AB87" s="230">
        <f t="shared" si="3"/>
        <v>0</v>
      </c>
      <c r="AC87" s="230">
        <f t="shared" si="3"/>
        <v>0</v>
      </c>
      <c r="AD87" s="230">
        <f t="shared" si="3"/>
        <v>0</v>
      </c>
      <c r="AE87" s="230">
        <f t="shared" si="3"/>
        <v>0</v>
      </c>
      <c r="AF87" s="230">
        <f t="shared" si="3"/>
        <v>0</v>
      </c>
      <c r="AG87" s="230">
        <f t="shared" si="3"/>
        <v>0</v>
      </c>
      <c r="AH87" s="230">
        <f t="shared" si="3"/>
        <v>0</v>
      </c>
      <c r="AI87" s="230">
        <f t="shared" si="3"/>
        <v>0</v>
      </c>
      <c r="AJ87" s="230">
        <f t="shared" si="3"/>
        <v>0</v>
      </c>
      <c r="AK87" s="230">
        <f t="shared" si="3"/>
        <v>0</v>
      </c>
      <c r="AL87" s="230">
        <f t="shared" si="3"/>
        <v>0</v>
      </c>
      <c r="AM87" s="230">
        <f t="shared" si="3"/>
        <v>0</v>
      </c>
      <c r="AN87" s="230">
        <f t="shared" si="3"/>
        <v>0</v>
      </c>
      <c r="AO87" s="230">
        <f t="shared" si="3"/>
        <v>0</v>
      </c>
      <c r="AP87" s="230">
        <f t="shared" si="3"/>
        <v>0</v>
      </c>
    </row>
    <row r="88" spans="1:42" ht="12.75" customHeight="1" x14ac:dyDescent="0.25">
      <c r="B88" s="150"/>
      <c r="C88" s="777"/>
      <c r="D88" s="774"/>
      <c r="E88" s="229" t="s">
        <v>73</v>
      </c>
      <c r="F88" s="230">
        <f>F51</f>
        <v>-32099.64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spans="1:42" ht="12.75" customHeight="1" x14ac:dyDescent="0.25">
      <c r="A89" s="89"/>
      <c r="C89" s="9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spans="1:42" ht="12.75" customHeight="1" x14ac:dyDescent="0.25">
      <c r="C90" s="775" t="s">
        <v>326</v>
      </c>
      <c r="D90" s="774" t="s">
        <v>132</v>
      </c>
      <c r="E90" s="373" t="s">
        <v>70</v>
      </c>
      <c r="F90" s="374">
        <v>0</v>
      </c>
      <c r="G90" s="374">
        <v>0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4">
        <v>0</v>
      </c>
      <c r="Q90" s="374">
        <v>0</v>
      </c>
      <c r="R90" s="374">
        <v>0</v>
      </c>
      <c r="S90" s="374">
        <v>0</v>
      </c>
      <c r="T90" s="374">
        <v>0</v>
      </c>
      <c r="U90" s="374">
        <v>0</v>
      </c>
      <c r="V90" s="374">
        <v>0</v>
      </c>
      <c r="W90" s="374">
        <v>0</v>
      </c>
      <c r="X90" s="374">
        <v>0</v>
      </c>
      <c r="Y90" s="374">
        <v>0</v>
      </c>
      <c r="Z90" s="374">
        <v>0</v>
      </c>
      <c r="AA90" s="374">
        <v>0</v>
      </c>
      <c r="AB90" s="374">
        <v>0</v>
      </c>
      <c r="AC90" s="374">
        <v>0</v>
      </c>
      <c r="AD90" s="374">
        <v>0</v>
      </c>
      <c r="AE90" s="374">
        <v>0</v>
      </c>
      <c r="AF90" s="374">
        <v>0</v>
      </c>
      <c r="AG90" s="374">
        <v>0</v>
      </c>
      <c r="AH90" s="374">
        <v>0</v>
      </c>
      <c r="AI90" s="374">
        <v>0</v>
      </c>
      <c r="AJ90" s="374">
        <v>0</v>
      </c>
      <c r="AK90" s="374">
        <v>0</v>
      </c>
      <c r="AL90" s="374">
        <v>0</v>
      </c>
      <c r="AM90" s="374">
        <v>0</v>
      </c>
      <c r="AN90" s="374">
        <v>0</v>
      </c>
      <c r="AO90" s="374">
        <v>0</v>
      </c>
    </row>
    <row r="91" spans="1:42" ht="12.75" customHeight="1" x14ac:dyDescent="0.25">
      <c r="C91" s="775"/>
      <c r="D91" s="774"/>
      <c r="E91" s="373" t="s">
        <v>73</v>
      </c>
      <c r="F91" s="374">
        <v>0</v>
      </c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spans="1:42" ht="12.75" customHeight="1" x14ac:dyDescent="0.25">
      <c r="C92" s="775"/>
      <c r="D92" s="774" t="s">
        <v>133</v>
      </c>
      <c r="E92" s="242" t="s">
        <v>70</v>
      </c>
      <c r="F92" s="243">
        <v>0</v>
      </c>
      <c r="G92" s="243">
        <v>0</v>
      </c>
      <c r="H92" s="243">
        <v>0</v>
      </c>
      <c r="I92" s="243">
        <v>0</v>
      </c>
      <c r="J92" s="243">
        <v>0</v>
      </c>
      <c r="K92" s="243">
        <v>0</v>
      </c>
      <c r="L92" s="243">
        <v>0</v>
      </c>
      <c r="M92" s="243">
        <v>0</v>
      </c>
      <c r="N92" s="243">
        <v>0</v>
      </c>
      <c r="O92" s="243">
        <v>0</v>
      </c>
      <c r="P92" s="243">
        <v>0</v>
      </c>
      <c r="Q92" s="243">
        <v>0</v>
      </c>
      <c r="R92" s="243">
        <v>0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3">
        <v>0</v>
      </c>
      <c r="Z92" s="243">
        <v>0</v>
      </c>
      <c r="AA92" s="243">
        <v>0</v>
      </c>
      <c r="AB92" s="243">
        <v>0</v>
      </c>
      <c r="AC92" s="243">
        <v>0</v>
      </c>
      <c r="AD92" s="243">
        <v>0</v>
      </c>
      <c r="AE92" s="243">
        <v>0</v>
      </c>
      <c r="AF92" s="243">
        <v>0</v>
      </c>
      <c r="AG92" s="243">
        <v>0</v>
      </c>
      <c r="AH92" s="243">
        <v>0</v>
      </c>
      <c r="AI92" s="243">
        <v>0</v>
      </c>
      <c r="AJ92" s="243">
        <v>0</v>
      </c>
      <c r="AK92" s="243">
        <v>0</v>
      </c>
      <c r="AL92" s="243">
        <v>0</v>
      </c>
      <c r="AM92" s="243">
        <v>0</v>
      </c>
      <c r="AN92" s="243">
        <v>0</v>
      </c>
      <c r="AO92" s="243">
        <v>0</v>
      </c>
    </row>
    <row r="93" spans="1:42" ht="12.75" customHeight="1" x14ac:dyDescent="0.25">
      <c r="C93" s="775"/>
      <c r="D93" s="774"/>
      <c r="E93" s="242" t="s">
        <v>73</v>
      </c>
      <c r="F93" s="243">
        <v>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spans="1:42" ht="12.75" customHeight="1" x14ac:dyDescent="0.25">
      <c r="A94" s="89"/>
      <c r="C94" s="9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spans="1:42" ht="12.75" customHeight="1" x14ac:dyDescent="0.25">
      <c r="C95" s="777" t="s">
        <v>119</v>
      </c>
      <c r="D95" s="774" t="s">
        <v>132</v>
      </c>
      <c r="E95" s="101" t="s">
        <v>70</v>
      </c>
      <c r="F95" s="93">
        <f>F69+F46+F15-L15-L46</f>
        <v>343622283.84999996</v>
      </c>
      <c r="G95" s="93">
        <f t="shared" ref="G95:AP95" si="4">G46+G15</f>
        <v>33575652.270000003</v>
      </c>
      <c r="H95" s="93">
        <f t="shared" si="4"/>
        <v>18677541.399999999</v>
      </c>
      <c r="I95" s="93">
        <f t="shared" si="4"/>
        <v>9986351.4199999999</v>
      </c>
      <c r="J95" s="93">
        <f t="shared" si="4"/>
        <v>39089724.609999999</v>
      </c>
      <c r="K95" s="93">
        <f t="shared" si="4"/>
        <v>1161132.96</v>
      </c>
      <c r="L95" s="93">
        <f t="shared" si="4"/>
        <v>9993768.9299999997</v>
      </c>
      <c r="M95" s="93">
        <f t="shared" si="4"/>
        <v>10145988.310000001</v>
      </c>
      <c r="N95" s="93">
        <f t="shared" si="4"/>
        <v>12931732.52</v>
      </c>
      <c r="O95" s="93">
        <f t="shared" si="4"/>
        <v>61145164.829999998</v>
      </c>
      <c r="P95" s="93">
        <f t="shared" si="4"/>
        <v>91644421.670000002</v>
      </c>
      <c r="Q95" s="93">
        <f t="shared" si="4"/>
        <v>1896218.09</v>
      </c>
      <c r="R95" s="93">
        <f t="shared" si="4"/>
        <v>-3576.32</v>
      </c>
      <c r="S95" s="93">
        <f t="shared" si="4"/>
        <v>0</v>
      </c>
      <c r="T95" s="93">
        <f t="shared" si="4"/>
        <v>0.09</v>
      </c>
      <c r="U95" s="93">
        <f t="shared" si="4"/>
        <v>0</v>
      </c>
      <c r="V95" s="93">
        <f t="shared" si="4"/>
        <v>0</v>
      </c>
      <c r="W95" s="93">
        <f t="shared" si="4"/>
        <v>0</v>
      </c>
      <c r="X95" s="93">
        <f t="shared" si="4"/>
        <v>0</v>
      </c>
      <c r="Y95" s="93">
        <f t="shared" si="4"/>
        <v>0</v>
      </c>
      <c r="Z95" s="93">
        <f t="shared" si="4"/>
        <v>0</v>
      </c>
      <c r="AA95" s="93">
        <f t="shared" si="4"/>
        <v>0</v>
      </c>
      <c r="AB95" s="93">
        <f t="shared" si="4"/>
        <v>0</v>
      </c>
      <c r="AC95" s="93">
        <f t="shared" si="4"/>
        <v>0</v>
      </c>
      <c r="AD95" s="93">
        <f t="shared" si="4"/>
        <v>0</v>
      </c>
      <c r="AE95" s="93">
        <f t="shared" si="4"/>
        <v>0</v>
      </c>
      <c r="AF95" s="93">
        <f t="shared" si="4"/>
        <v>0</v>
      </c>
      <c r="AG95" s="93">
        <f t="shared" si="4"/>
        <v>0</v>
      </c>
      <c r="AH95" s="93">
        <f t="shared" si="4"/>
        <v>0</v>
      </c>
      <c r="AI95" s="93">
        <f t="shared" si="4"/>
        <v>0</v>
      </c>
      <c r="AJ95" s="93">
        <f t="shared" si="4"/>
        <v>0</v>
      </c>
      <c r="AK95" s="93">
        <f t="shared" si="4"/>
        <v>0</v>
      </c>
      <c r="AL95" s="93">
        <f t="shared" si="4"/>
        <v>0</v>
      </c>
      <c r="AM95" s="93">
        <f t="shared" si="4"/>
        <v>0</v>
      </c>
      <c r="AN95" s="93">
        <f t="shared" si="4"/>
        <v>0</v>
      </c>
      <c r="AO95" s="93">
        <f t="shared" si="4"/>
        <v>0</v>
      </c>
      <c r="AP95" s="93">
        <f t="shared" si="4"/>
        <v>0</v>
      </c>
    </row>
    <row r="96" spans="1:42" ht="12.75" customHeight="1" x14ac:dyDescent="0.25">
      <c r="C96" s="777"/>
      <c r="D96" s="774"/>
      <c r="E96" s="101" t="s">
        <v>73</v>
      </c>
      <c r="F96" s="93">
        <f>F69</f>
        <v>63371932</v>
      </c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spans="1:42" ht="12.75" customHeight="1" x14ac:dyDescent="0.25">
      <c r="C97" s="777"/>
      <c r="D97" s="774" t="s">
        <v>133</v>
      </c>
      <c r="E97" s="235" t="s">
        <v>70</v>
      </c>
      <c r="F97" s="236">
        <f>F58+F31-L31</f>
        <v>134910</v>
      </c>
      <c r="G97" s="236">
        <f>G31</f>
        <v>5633.68</v>
      </c>
      <c r="H97" s="236">
        <f t="shared" ref="H97:AP97" si="5">H31</f>
        <v>3143.05</v>
      </c>
      <c r="I97" s="236">
        <f t="shared" si="5"/>
        <v>1669.5</v>
      </c>
      <c r="J97" s="236">
        <f t="shared" si="5"/>
        <v>21061.5</v>
      </c>
      <c r="K97" s="236">
        <f t="shared" si="5"/>
        <v>519.69000000000005</v>
      </c>
      <c r="L97" s="236">
        <f t="shared" si="5"/>
        <v>0</v>
      </c>
      <c r="M97" s="236">
        <f t="shared" si="5"/>
        <v>4558.83</v>
      </c>
      <c r="N97" s="236">
        <f t="shared" si="5"/>
        <v>6480.54</v>
      </c>
      <c r="O97" s="236">
        <f t="shared" si="5"/>
        <v>30680.68</v>
      </c>
      <c r="P97" s="236">
        <f t="shared" si="5"/>
        <v>15386.96</v>
      </c>
      <c r="Q97" s="236">
        <f t="shared" si="5"/>
        <v>847.96</v>
      </c>
      <c r="R97" s="236">
        <f t="shared" si="5"/>
        <v>5.04</v>
      </c>
      <c r="S97" s="236">
        <f t="shared" si="5"/>
        <v>0</v>
      </c>
      <c r="T97" s="236">
        <f t="shared" si="5"/>
        <v>0</v>
      </c>
      <c r="U97" s="236">
        <f t="shared" si="5"/>
        <v>0</v>
      </c>
      <c r="V97" s="236">
        <f t="shared" si="5"/>
        <v>0</v>
      </c>
      <c r="W97" s="236">
        <f t="shared" si="5"/>
        <v>0</v>
      </c>
      <c r="X97" s="236">
        <f t="shared" si="5"/>
        <v>0</v>
      </c>
      <c r="Y97" s="236">
        <f t="shared" si="5"/>
        <v>0</v>
      </c>
      <c r="Z97" s="236">
        <f t="shared" si="5"/>
        <v>0</v>
      </c>
      <c r="AA97" s="236">
        <f t="shared" si="5"/>
        <v>0</v>
      </c>
      <c r="AB97" s="236">
        <f t="shared" si="5"/>
        <v>0</v>
      </c>
      <c r="AC97" s="236">
        <f t="shared" si="5"/>
        <v>0</v>
      </c>
      <c r="AD97" s="236">
        <f t="shared" si="5"/>
        <v>0</v>
      </c>
      <c r="AE97" s="236">
        <f t="shared" si="5"/>
        <v>0</v>
      </c>
      <c r="AF97" s="236">
        <f t="shared" si="5"/>
        <v>0</v>
      </c>
      <c r="AG97" s="236">
        <f t="shared" si="5"/>
        <v>0</v>
      </c>
      <c r="AH97" s="236">
        <f t="shared" si="5"/>
        <v>0</v>
      </c>
      <c r="AI97" s="236">
        <f t="shared" si="5"/>
        <v>0</v>
      </c>
      <c r="AJ97" s="236">
        <f t="shared" si="5"/>
        <v>0</v>
      </c>
      <c r="AK97" s="236">
        <f t="shared" si="5"/>
        <v>0</v>
      </c>
      <c r="AL97" s="236">
        <f t="shared" si="5"/>
        <v>0</v>
      </c>
      <c r="AM97" s="236">
        <f t="shared" si="5"/>
        <v>0</v>
      </c>
      <c r="AN97" s="236">
        <f t="shared" si="5"/>
        <v>0</v>
      </c>
      <c r="AO97" s="236">
        <f t="shared" si="5"/>
        <v>0</v>
      </c>
      <c r="AP97" s="236">
        <f t="shared" si="5"/>
        <v>0</v>
      </c>
    </row>
    <row r="98" spans="1:42" ht="12.75" customHeight="1" x14ac:dyDescent="0.25">
      <c r="C98" s="777"/>
      <c r="D98" s="774"/>
      <c r="E98" s="235" t="s">
        <v>73</v>
      </c>
      <c r="F98" s="236">
        <f>F58</f>
        <v>44922.57</v>
      </c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spans="1:42" ht="12.75" customHeight="1" x14ac:dyDescent="0.25">
      <c r="A99" s="89"/>
      <c r="C99" s="9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spans="1:42" ht="12.75" customHeight="1" x14ac:dyDescent="0.25">
      <c r="C100" s="776" t="s">
        <v>161</v>
      </c>
      <c r="D100" s="774" t="s">
        <v>132</v>
      </c>
      <c r="E100" s="231" t="s">
        <v>70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  <c r="AK100" s="232">
        <v>0</v>
      </c>
      <c r="AL100" s="232">
        <v>0</v>
      </c>
      <c r="AM100" s="232">
        <v>0</v>
      </c>
      <c r="AN100" s="232">
        <v>0</v>
      </c>
      <c r="AO100" s="232">
        <v>0</v>
      </c>
      <c r="AP100" s="232">
        <v>0</v>
      </c>
    </row>
    <row r="101" spans="1:42" ht="12.75" customHeight="1" x14ac:dyDescent="0.25">
      <c r="C101" s="776"/>
      <c r="D101" s="774"/>
      <c r="E101" s="231" t="s">
        <v>73</v>
      </c>
      <c r="F101" s="232">
        <v>0</v>
      </c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spans="1:42" ht="12.75" customHeight="1" x14ac:dyDescent="0.25">
      <c r="C102" s="776"/>
      <c r="D102" s="774" t="s">
        <v>133</v>
      </c>
      <c r="E102" s="148" t="s">
        <v>70</v>
      </c>
      <c r="F102" s="149">
        <v>0</v>
      </c>
      <c r="G102" s="149">
        <v>0</v>
      </c>
      <c r="H102" s="149">
        <v>0</v>
      </c>
      <c r="I102" s="149">
        <v>0</v>
      </c>
      <c r="J102" s="149">
        <v>0</v>
      </c>
      <c r="K102" s="149">
        <v>0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0</v>
      </c>
      <c r="S102" s="149">
        <v>0</v>
      </c>
      <c r="T102" s="149">
        <v>0</v>
      </c>
      <c r="U102" s="149">
        <v>0</v>
      </c>
      <c r="V102" s="149">
        <v>0</v>
      </c>
      <c r="W102" s="149">
        <v>0</v>
      </c>
      <c r="X102" s="149">
        <v>0</v>
      </c>
      <c r="Y102" s="149">
        <v>0</v>
      </c>
      <c r="Z102" s="149">
        <v>0</v>
      </c>
      <c r="AA102" s="149">
        <v>0</v>
      </c>
      <c r="AB102" s="149">
        <v>0</v>
      </c>
      <c r="AC102" s="149">
        <v>0</v>
      </c>
      <c r="AD102" s="149">
        <v>0</v>
      </c>
      <c r="AE102" s="149">
        <v>0</v>
      </c>
      <c r="AF102" s="149">
        <v>0</v>
      </c>
      <c r="AG102" s="149">
        <v>0</v>
      </c>
      <c r="AH102" s="149">
        <v>0</v>
      </c>
      <c r="AI102" s="149">
        <v>0</v>
      </c>
      <c r="AJ102" s="149">
        <v>0</v>
      </c>
      <c r="AK102" s="149">
        <v>0</v>
      </c>
      <c r="AL102" s="149">
        <v>0</v>
      </c>
      <c r="AM102" s="149">
        <v>0</v>
      </c>
      <c r="AN102" s="149">
        <v>0</v>
      </c>
      <c r="AO102" s="149">
        <v>0</v>
      </c>
      <c r="AP102" s="149">
        <v>0</v>
      </c>
    </row>
    <row r="103" spans="1:42" ht="12.75" customHeight="1" x14ac:dyDescent="0.25">
      <c r="C103" s="776"/>
      <c r="D103" s="774"/>
      <c r="E103" s="148" t="s">
        <v>73</v>
      </c>
      <c r="F103" s="149">
        <v>0</v>
      </c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42" ht="12.75" customHeight="1" x14ac:dyDescent="0.25">
      <c r="C104" s="388"/>
      <c r="D104" s="220"/>
      <c r="E104" s="89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spans="1:42" ht="12.75" customHeight="1" x14ac:dyDescent="0.25">
      <c r="D105" s="458" t="s">
        <v>186</v>
      </c>
      <c r="E105" s="459" t="s">
        <v>70</v>
      </c>
      <c r="F105" s="460">
        <f t="shared" ref="F105:AP105" si="6">F17</f>
        <v>-2015.07</v>
      </c>
      <c r="G105" s="460">
        <f t="shared" si="6"/>
        <v>-122.1</v>
      </c>
      <c r="H105" s="460">
        <f t="shared" si="6"/>
        <v>-51.87</v>
      </c>
      <c r="I105" s="460">
        <f t="shared" si="6"/>
        <v>-22.65</v>
      </c>
      <c r="J105" s="460">
        <f t="shared" si="6"/>
        <v>-369.44</v>
      </c>
      <c r="K105" s="460">
        <f t="shared" si="6"/>
        <v>-23.88</v>
      </c>
      <c r="L105" s="460">
        <f t="shared" si="6"/>
        <v>0</v>
      </c>
      <c r="M105" s="460">
        <f t="shared" si="6"/>
        <v>-209.4</v>
      </c>
      <c r="N105" s="460">
        <f t="shared" si="6"/>
        <v>-175.25</v>
      </c>
      <c r="O105" s="460">
        <f t="shared" si="6"/>
        <v>-699.55</v>
      </c>
      <c r="P105" s="460">
        <f t="shared" si="6"/>
        <v>-301.98</v>
      </c>
      <c r="Q105" s="460">
        <f t="shared" si="6"/>
        <v>-38.950000000000003</v>
      </c>
      <c r="R105" s="460">
        <f t="shared" si="6"/>
        <v>0</v>
      </c>
      <c r="S105" s="460">
        <f t="shared" si="6"/>
        <v>0</v>
      </c>
      <c r="T105" s="460">
        <f t="shared" si="6"/>
        <v>0</v>
      </c>
      <c r="U105" s="460">
        <f t="shared" si="6"/>
        <v>0</v>
      </c>
      <c r="V105" s="460">
        <f t="shared" si="6"/>
        <v>0</v>
      </c>
      <c r="W105" s="460">
        <f t="shared" si="6"/>
        <v>0</v>
      </c>
      <c r="X105" s="460">
        <f t="shared" si="6"/>
        <v>0</v>
      </c>
      <c r="Y105" s="460">
        <f t="shared" si="6"/>
        <v>0</v>
      </c>
      <c r="Z105" s="460">
        <f t="shared" si="6"/>
        <v>0</v>
      </c>
      <c r="AA105" s="460">
        <f t="shared" si="6"/>
        <v>0</v>
      </c>
      <c r="AB105" s="460">
        <f t="shared" si="6"/>
        <v>0</v>
      </c>
      <c r="AC105" s="460">
        <f t="shared" si="6"/>
        <v>0</v>
      </c>
      <c r="AD105" s="460">
        <f t="shared" si="6"/>
        <v>0</v>
      </c>
      <c r="AE105" s="460">
        <f t="shared" si="6"/>
        <v>0</v>
      </c>
      <c r="AF105" s="460">
        <f t="shared" si="6"/>
        <v>0</v>
      </c>
      <c r="AG105" s="460">
        <f t="shared" si="6"/>
        <v>0</v>
      </c>
      <c r="AH105" s="460">
        <f t="shared" si="6"/>
        <v>0</v>
      </c>
      <c r="AI105" s="460">
        <f t="shared" si="6"/>
        <v>0</v>
      </c>
      <c r="AJ105" s="460">
        <f t="shared" si="6"/>
        <v>0</v>
      </c>
      <c r="AK105" s="460">
        <f t="shared" si="6"/>
        <v>0</v>
      </c>
      <c r="AL105" s="460">
        <f t="shared" si="6"/>
        <v>0</v>
      </c>
      <c r="AM105" s="460">
        <f t="shared" si="6"/>
        <v>0</v>
      </c>
      <c r="AN105" s="460">
        <f t="shared" si="6"/>
        <v>0</v>
      </c>
      <c r="AO105" s="460">
        <f t="shared" si="6"/>
        <v>0</v>
      </c>
      <c r="AP105" s="460">
        <f t="shared" si="6"/>
        <v>0</v>
      </c>
    </row>
    <row r="106" spans="1:42" ht="12.75" customHeight="1" x14ac:dyDescent="0.25">
      <c r="C106" s="388"/>
      <c r="D106" s="220"/>
      <c r="E106" s="89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spans="1:42" s="238" customFormat="1" ht="12.75" customHeight="1" x14ac:dyDescent="0.25">
      <c r="B107" s="239"/>
      <c r="C107" s="239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42" ht="12" customHeight="1" x14ac:dyDescent="0.25">
      <c r="A108" s="89"/>
      <c r="B108" s="97" t="s">
        <v>75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spans="1:42" ht="12.6" customHeight="1" x14ac:dyDescent="0.25">
      <c r="F109" s="89" t="s">
        <v>70</v>
      </c>
      <c r="G109" s="89" t="s">
        <v>64</v>
      </c>
      <c r="H109" s="89" t="s">
        <v>65</v>
      </c>
      <c r="I109" s="218" t="s">
        <v>164</v>
      </c>
      <c r="J109" s="89" t="s">
        <v>69</v>
      </c>
      <c r="K109" s="89" t="s">
        <v>68</v>
      </c>
      <c r="L109" s="89" t="s">
        <v>71</v>
      </c>
      <c r="M109" s="89" t="s">
        <v>66</v>
      </c>
      <c r="N109" s="89" t="s">
        <v>63</v>
      </c>
      <c r="O109" s="89" t="s">
        <v>61</v>
      </c>
      <c r="P109" s="89" t="s">
        <v>62</v>
      </c>
      <c r="Q109" s="89" t="s">
        <v>67</v>
      </c>
      <c r="R109" s="89" t="s">
        <v>77</v>
      </c>
      <c r="S109" s="89" t="s">
        <v>80</v>
      </c>
      <c r="T109" s="89" t="s">
        <v>135</v>
      </c>
      <c r="U109" s="89" t="s">
        <v>173</v>
      </c>
      <c r="V109" s="89" t="s">
        <v>222</v>
      </c>
      <c r="W109" s="89" t="s">
        <v>173</v>
      </c>
      <c r="X109" t="s">
        <v>173</v>
      </c>
      <c r="Y109" s="89" t="s">
        <v>135</v>
      </c>
      <c r="Z109" s="89" t="s">
        <v>167</v>
      </c>
    </row>
    <row r="110" spans="1:42" ht="12.75" customHeight="1" x14ac:dyDescent="0.25">
      <c r="E110" t="s">
        <v>72</v>
      </c>
      <c r="F110" s="384">
        <v>-221284.53</v>
      </c>
      <c r="G110" s="89">
        <v>-19000.060000000001</v>
      </c>
      <c r="H110" s="89">
        <v>-8071.66</v>
      </c>
      <c r="I110" s="664">
        <v>-3524.84</v>
      </c>
      <c r="J110" s="89">
        <v>-43884.29</v>
      </c>
      <c r="K110" s="89">
        <v>-1875.37</v>
      </c>
      <c r="L110" s="89">
        <v>0</v>
      </c>
      <c r="M110" s="89">
        <v>-16450.29</v>
      </c>
      <c r="N110" s="89">
        <v>-20625.78</v>
      </c>
      <c r="O110" s="89">
        <v>-69263.490000000005</v>
      </c>
      <c r="P110" s="89">
        <v>-35528.629999999997</v>
      </c>
      <c r="Q110" s="89">
        <v>-3060.12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>
        <v>0</v>
      </c>
      <c r="Y110" s="89">
        <v>0</v>
      </c>
      <c r="Z110" s="89">
        <v>0</v>
      </c>
    </row>
    <row r="111" spans="1:42" ht="12.75" customHeight="1" x14ac:dyDescent="0.25">
      <c r="D111" t="s">
        <v>156</v>
      </c>
      <c r="E111" t="s">
        <v>70</v>
      </c>
      <c r="F111" s="384">
        <v>-221284.53</v>
      </c>
      <c r="G111" s="89">
        <v>-19000.060000000001</v>
      </c>
      <c r="H111" s="89">
        <v>-8071.66</v>
      </c>
      <c r="I111" s="664">
        <v>-3524.84</v>
      </c>
      <c r="J111" s="89">
        <v>-43884.29</v>
      </c>
      <c r="K111" s="89">
        <v>-1875.37</v>
      </c>
      <c r="L111" s="89">
        <v>0</v>
      </c>
      <c r="M111" s="89">
        <v>-16450.29</v>
      </c>
      <c r="N111" s="89">
        <v>-20625.78</v>
      </c>
      <c r="O111" s="89">
        <v>-69263.490000000005</v>
      </c>
      <c r="P111" s="89">
        <v>-35528.629999999997</v>
      </c>
      <c r="Q111" s="89">
        <v>-3060.12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>
        <v>0</v>
      </c>
      <c r="Y111" s="89">
        <v>0</v>
      </c>
      <c r="Z111" s="89">
        <v>0</v>
      </c>
    </row>
    <row r="112" spans="1:42" s="656" customFormat="1" ht="12.75" customHeight="1" x14ac:dyDescent="0.25">
      <c r="C112" s="656" t="s">
        <v>155</v>
      </c>
      <c r="D112" s="656" t="s">
        <v>70</v>
      </c>
      <c r="F112" s="736">
        <v>-221284.53</v>
      </c>
      <c r="G112" s="657">
        <v>-19000.060000000001</v>
      </c>
      <c r="H112" s="657">
        <v>-8071.66</v>
      </c>
      <c r="I112" s="737">
        <v>-3524.84</v>
      </c>
      <c r="J112" s="657">
        <v>-43884.29</v>
      </c>
      <c r="K112" s="657">
        <v>-1875.37</v>
      </c>
      <c r="L112" s="657">
        <v>0</v>
      </c>
      <c r="M112" s="657">
        <v>-16450.29</v>
      </c>
      <c r="N112" s="657">
        <v>-20625.78</v>
      </c>
      <c r="O112" s="657">
        <v>-69263.490000000005</v>
      </c>
      <c r="P112" s="657">
        <v>-35528.629999999997</v>
      </c>
      <c r="Q112" s="657">
        <v>-3060.12</v>
      </c>
      <c r="R112" s="657">
        <v>0</v>
      </c>
      <c r="S112" s="657">
        <v>0</v>
      </c>
      <c r="T112" s="657">
        <v>0</v>
      </c>
      <c r="U112" s="657">
        <v>0</v>
      </c>
      <c r="V112" s="657">
        <v>0</v>
      </c>
      <c r="W112" s="657">
        <v>0</v>
      </c>
      <c r="X112" s="656">
        <v>0</v>
      </c>
      <c r="Y112" s="657">
        <v>0</v>
      </c>
      <c r="Z112" s="657">
        <v>0</v>
      </c>
    </row>
    <row r="113" spans="1:26" ht="12.75" customHeight="1" x14ac:dyDescent="0.25">
      <c r="E113" s="89" t="s">
        <v>72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5">
      <c r="D114" t="s">
        <v>82</v>
      </c>
      <c r="E114" s="89" t="s">
        <v>70</v>
      </c>
      <c r="F114" s="371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ht="12.75" customHeight="1" x14ac:dyDescent="0.25">
      <c r="E115" s="89" t="s">
        <v>72</v>
      </c>
      <c r="F115" s="371">
        <v>-22430.12</v>
      </c>
      <c r="G115" s="90">
        <v>-1950.96</v>
      </c>
      <c r="H115" s="90">
        <v>-828.84</v>
      </c>
      <c r="I115" s="90">
        <v>-361.97</v>
      </c>
      <c r="J115" s="90">
        <v>-4553.51</v>
      </c>
      <c r="K115" s="90">
        <v>-187.61</v>
      </c>
      <c r="L115" s="90">
        <v>0</v>
      </c>
      <c r="M115" s="90">
        <v>-1645.8</v>
      </c>
      <c r="N115" s="90">
        <v>-2063.04</v>
      </c>
      <c r="O115" s="90">
        <v>-6929.61</v>
      </c>
      <c r="P115" s="90">
        <v>-3602.61</v>
      </c>
      <c r="Q115" s="90">
        <v>-306.17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D116" t="s">
        <v>86</v>
      </c>
      <c r="E116" s="89" t="s">
        <v>70</v>
      </c>
      <c r="F116" s="371">
        <v>-22430.12</v>
      </c>
      <c r="G116" s="90">
        <v>-1950.96</v>
      </c>
      <c r="H116" s="90">
        <v>-828.84</v>
      </c>
      <c r="I116" s="90">
        <v>-361.97</v>
      </c>
      <c r="J116" s="90">
        <v>-4553.51</v>
      </c>
      <c r="K116" s="90">
        <v>-187.61</v>
      </c>
      <c r="L116" s="90">
        <v>0</v>
      </c>
      <c r="M116" s="90">
        <v>-1645.8</v>
      </c>
      <c r="N116" s="90">
        <v>-2063.04</v>
      </c>
      <c r="O116" s="90">
        <v>-6929.61</v>
      </c>
      <c r="P116" s="90">
        <v>-3602.61</v>
      </c>
      <c r="Q116" s="90">
        <v>-306.17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5">
      <c r="E117" s="89" t="s">
        <v>72</v>
      </c>
      <c r="F117" s="371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</row>
    <row r="118" spans="1:26" ht="12.75" customHeight="1" x14ac:dyDescent="0.25">
      <c r="D118" t="s">
        <v>87</v>
      </c>
      <c r="E118" s="89" t="s">
        <v>70</v>
      </c>
      <c r="F118" s="371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</row>
    <row r="119" spans="1:26" s="94" customFormat="1" ht="12.75" customHeight="1" x14ac:dyDescent="0.25">
      <c r="C119" s="94" t="s">
        <v>119</v>
      </c>
      <c r="D119" s="94" t="s">
        <v>70</v>
      </c>
      <c r="E119" s="101"/>
      <c r="F119" s="93">
        <v>-22430.12</v>
      </c>
      <c r="G119" s="93">
        <v>-1950.96</v>
      </c>
      <c r="H119" s="93">
        <v>-828.84</v>
      </c>
      <c r="I119" s="93">
        <v>-361.97</v>
      </c>
      <c r="J119" s="93">
        <v>-4553.51</v>
      </c>
      <c r="K119" s="93">
        <v>-187.61</v>
      </c>
      <c r="L119" s="93">
        <v>0</v>
      </c>
      <c r="M119" s="93">
        <v>-1645.8</v>
      </c>
      <c r="N119" s="93">
        <v>-2063.04</v>
      </c>
      <c r="O119" s="93">
        <v>-6929.61</v>
      </c>
      <c r="P119" s="93">
        <v>-3602.61</v>
      </c>
      <c r="Q119" s="93">
        <v>-306.17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4">
        <v>0</v>
      </c>
      <c r="Y119" s="94">
        <v>0</v>
      </c>
      <c r="Z119" s="94">
        <v>0</v>
      </c>
    </row>
    <row r="120" spans="1:26" ht="12.75" customHeight="1" x14ac:dyDescent="0.25">
      <c r="B120" s="89" t="s">
        <v>112</v>
      </c>
      <c r="C120" s="89" t="s">
        <v>70</v>
      </c>
      <c r="F120" s="90">
        <v>-243714.65</v>
      </c>
      <c r="G120" s="90">
        <v>-20951.02</v>
      </c>
      <c r="H120" s="90">
        <v>-8900.5</v>
      </c>
      <c r="I120" s="90">
        <v>-3886.81</v>
      </c>
      <c r="J120" s="90">
        <v>-48437.8</v>
      </c>
      <c r="K120" s="90">
        <v>-2062.98</v>
      </c>
      <c r="L120" s="90">
        <v>0</v>
      </c>
      <c r="M120" s="90">
        <v>-18096.09</v>
      </c>
      <c r="N120" s="90">
        <v>-22688.82</v>
      </c>
      <c r="O120" s="90">
        <v>-76193.100000000006</v>
      </c>
      <c r="P120" s="90">
        <v>-39131.24</v>
      </c>
      <c r="Q120" s="90">
        <v>-3366.29</v>
      </c>
      <c r="R120" s="90">
        <v>0</v>
      </c>
      <c r="S120" s="9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90">
        <v>0</v>
      </c>
      <c r="Z120">
        <v>0</v>
      </c>
    </row>
    <row r="121" spans="1:26" s="458" customFormat="1" x14ac:dyDescent="0.25">
      <c r="A121" s="458" t="s">
        <v>186</v>
      </c>
      <c r="B121" s="459" t="s">
        <v>70</v>
      </c>
      <c r="C121" s="459"/>
      <c r="F121" s="460">
        <v>-243714.65</v>
      </c>
      <c r="G121" s="460">
        <v>-20951.02</v>
      </c>
      <c r="H121" s="460">
        <v>-8900.5</v>
      </c>
      <c r="I121" s="460">
        <v>-3886.81</v>
      </c>
      <c r="J121" s="460">
        <v>-48437.8</v>
      </c>
      <c r="K121" s="460">
        <v>-2062.98</v>
      </c>
      <c r="L121" s="460">
        <v>0</v>
      </c>
      <c r="M121" s="460">
        <v>-18096.09</v>
      </c>
      <c r="N121" s="460">
        <v>-22688.82</v>
      </c>
      <c r="O121" s="460">
        <v>-76193.100000000006</v>
      </c>
      <c r="P121" s="460">
        <v>-39131.24</v>
      </c>
      <c r="Q121" s="460">
        <v>-3366.29</v>
      </c>
      <c r="R121" s="460">
        <v>0</v>
      </c>
      <c r="S121" s="460">
        <v>0</v>
      </c>
      <c r="T121" s="460">
        <v>0</v>
      </c>
      <c r="U121" s="460">
        <v>0</v>
      </c>
      <c r="V121" s="460">
        <v>0</v>
      </c>
      <c r="W121" s="460">
        <v>0</v>
      </c>
      <c r="X121" s="460">
        <v>0</v>
      </c>
      <c r="Y121" s="460">
        <v>0</v>
      </c>
      <c r="Z121" s="460">
        <v>0</v>
      </c>
    </row>
    <row r="122" spans="1:26" ht="12.75" customHeight="1" x14ac:dyDescent="0.25">
      <c r="E122" s="89" t="s">
        <v>72</v>
      </c>
      <c r="F122" s="371">
        <v>10824948.140000001</v>
      </c>
      <c r="G122" s="90">
        <v>599182.03</v>
      </c>
      <c r="H122" s="90">
        <v>337540.82</v>
      </c>
      <c r="I122" s="90">
        <v>180499.34</v>
      </c>
      <c r="J122" s="90">
        <v>2716624.41</v>
      </c>
      <c r="K122" s="90">
        <v>72704.94</v>
      </c>
      <c r="L122" s="90">
        <v>0</v>
      </c>
      <c r="M122" s="90">
        <v>637761.97</v>
      </c>
      <c r="N122" s="90">
        <v>850902.17</v>
      </c>
      <c r="O122" s="90">
        <v>4118632.15</v>
      </c>
      <c r="P122" s="90">
        <v>1191361.2</v>
      </c>
      <c r="Q122" s="90">
        <v>119849.06</v>
      </c>
      <c r="R122" s="90">
        <v>-109.95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E123" s="89" t="s">
        <v>81</v>
      </c>
      <c r="F123" s="371">
        <v>262991.94</v>
      </c>
      <c r="G123" s="90">
        <v>20187.32</v>
      </c>
      <c r="H123" s="90">
        <v>11399.94</v>
      </c>
      <c r="I123" s="90">
        <v>6057.06</v>
      </c>
      <c r="J123" s="90">
        <v>60641.69</v>
      </c>
      <c r="K123" s="90">
        <v>1509.5</v>
      </c>
      <c r="L123" s="90">
        <v>0</v>
      </c>
      <c r="M123" s="90">
        <v>13242.77</v>
      </c>
      <c r="N123" s="90">
        <v>18648.2</v>
      </c>
      <c r="O123" s="90">
        <v>88493.41</v>
      </c>
      <c r="P123" s="90">
        <v>40335.120000000003</v>
      </c>
      <c r="Q123" s="90">
        <v>2478.59</v>
      </c>
      <c r="R123" s="90">
        <v>-1.7</v>
      </c>
      <c r="S123" s="90">
        <v>0.04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t="s">
        <v>156</v>
      </c>
      <c r="E124" t="s">
        <v>70</v>
      </c>
      <c r="F124" s="384">
        <v>11087940.08</v>
      </c>
      <c r="G124" s="89">
        <v>619369.35</v>
      </c>
      <c r="H124" s="89">
        <v>348940.76</v>
      </c>
      <c r="I124" s="664">
        <v>186556.4</v>
      </c>
      <c r="J124" s="89">
        <v>2777266.1</v>
      </c>
      <c r="K124" s="89">
        <v>74214.44</v>
      </c>
      <c r="L124" s="89">
        <v>0</v>
      </c>
      <c r="M124" s="89">
        <v>651004.74</v>
      </c>
      <c r="N124" s="89">
        <v>869550.37</v>
      </c>
      <c r="O124" s="89">
        <v>4207125.5599999996</v>
      </c>
      <c r="P124" s="89">
        <v>1231696.32</v>
      </c>
      <c r="Q124" s="89">
        <v>122327.65</v>
      </c>
      <c r="R124" s="89">
        <v>-111.65</v>
      </c>
      <c r="S124" s="89">
        <v>0.04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26" s="656" customFormat="1" ht="12.75" customHeight="1" x14ac:dyDescent="0.25">
      <c r="C125" s="656" t="s">
        <v>155</v>
      </c>
      <c r="D125" s="656" t="s">
        <v>70</v>
      </c>
      <c r="F125" s="736">
        <v>11087940.08</v>
      </c>
      <c r="G125" s="657">
        <v>619369.35</v>
      </c>
      <c r="H125" s="657">
        <v>348940.76</v>
      </c>
      <c r="I125" s="737">
        <v>186556.4</v>
      </c>
      <c r="J125" s="657">
        <v>2777266.1</v>
      </c>
      <c r="K125" s="657">
        <v>74214.44</v>
      </c>
      <c r="L125" s="657">
        <v>0</v>
      </c>
      <c r="M125" s="657">
        <v>651004.74</v>
      </c>
      <c r="N125" s="657">
        <v>869550.37</v>
      </c>
      <c r="O125" s="657">
        <v>4207125.5599999996</v>
      </c>
      <c r="P125" s="657">
        <v>1231696.32</v>
      </c>
      <c r="Q125" s="657">
        <v>122327.65</v>
      </c>
      <c r="R125" s="657">
        <v>-111.65</v>
      </c>
      <c r="S125" s="657">
        <v>0.04</v>
      </c>
      <c r="T125" s="657">
        <v>0</v>
      </c>
      <c r="U125" s="657">
        <v>0</v>
      </c>
      <c r="V125" s="657">
        <v>0</v>
      </c>
      <c r="W125" s="657">
        <v>0</v>
      </c>
      <c r="X125" s="656">
        <v>0</v>
      </c>
      <c r="Y125" s="657">
        <v>0</v>
      </c>
      <c r="Z125" s="657">
        <v>0</v>
      </c>
    </row>
    <row r="126" spans="1:26" ht="12.75" customHeight="1" x14ac:dyDescent="0.25">
      <c r="D126" s="89"/>
      <c r="E126" s="89" t="s">
        <v>72</v>
      </c>
      <c r="F126" s="371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5">
      <c r="D127" s="89"/>
      <c r="E127" s="89" t="s">
        <v>81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D128" s="89" t="s">
        <v>115</v>
      </c>
      <c r="E128" s="89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ht="12.75" customHeight="1" x14ac:dyDescent="0.25">
      <c r="D129" s="89"/>
      <c r="E129" s="8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ht="12.75" customHeight="1" x14ac:dyDescent="0.25">
      <c r="D130" s="89"/>
      <c r="E130" s="89" t="s">
        <v>81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ht="12.75" customHeight="1" x14ac:dyDescent="0.25">
      <c r="D131" t="s">
        <v>116</v>
      </c>
      <c r="E131" s="89" t="s">
        <v>70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ht="12.75" customHeight="1" x14ac:dyDescent="0.25">
      <c r="D132" s="89"/>
      <c r="E132" s="89" t="s">
        <v>72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ht="12.75" customHeight="1" x14ac:dyDescent="0.25">
      <c r="E133" s="89" t="s">
        <v>81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ht="12.75" customHeight="1" x14ac:dyDescent="0.25">
      <c r="D134" t="s">
        <v>118</v>
      </c>
      <c r="E134" s="89" t="s">
        <v>70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s="224" customFormat="1" ht="12.75" customHeight="1" x14ac:dyDescent="0.25">
      <c r="C135" s="223" t="s">
        <v>120</v>
      </c>
      <c r="D135" s="223" t="s">
        <v>70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  <c r="K135" s="225">
        <v>0</v>
      </c>
      <c r="L135" s="225">
        <v>0</v>
      </c>
      <c r="M135" s="225">
        <v>0</v>
      </c>
      <c r="N135" s="225">
        <v>0</v>
      </c>
      <c r="O135" s="225">
        <v>0</v>
      </c>
      <c r="P135" s="225">
        <v>0</v>
      </c>
      <c r="Q135" s="225">
        <v>0</v>
      </c>
      <c r="R135" s="225">
        <v>0</v>
      </c>
      <c r="S135" s="225">
        <v>0</v>
      </c>
      <c r="T135" s="224">
        <v>0</v>
      </c>
      <c r="U135" s="224">
        <v>0</v>
      </c>
      <c r="V135" s="224">
        <v>0</v>
      </c>
      <c r="W135" s="224">
        <v>0</v>
      </c>
      <c r="X135" s="224">
        <v>0</v>
      </c>
      <c r="Y135" s="225">
        <v>0</v>
      </c>
      <c r="Z135" s="224">
        <v>0</v>
      </c>
    </row>
    <row r="136" spans="3:26" ht="12.75" customHeight="1" x14ac:dyDescent="0.25">
      <c r="E136" s="89" t="s">
        <v>72</v>
      </c>
      <c r="F136" s="371">
        <v>21770</v>
      </c>
      <c r="G136" s="90">
        <v>1004.16</v>
      </c>
      <c r="H136" s="90">
        <v>566.95000000000005</v>
      </c>
      <c r="I136" s="90">
        <v>297.5</v>
      </c>
      <c r="J136" s="90">
        <v>6117.42</v>
      </c>
      <c r="K136" s="90">
        <v>195.92</v>
      </c>
      <c r="L136" s="90">
        <v>0</v>
      </c>
      <c r="M136" s="90">
        <v>1718.59</v>
      </c>
      <c r="N136" s="90">
        <v>1666.39</v>
      </c>
      <c r="O136" s="90">
        <v>7890.73</v>
      </c>
      <c r="P136" s="90">
        <v>1993.69</v>
      </c>
      <c r="Q136" s="90">
        <v>319.64999999999998</v>
      </c>
      <c r="R136" s="90">
        <v>-1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ht="12.75" customHeight="1" x14ac:dyDescent="0.25">
      <c r="E137" s="89" t="s">
        <v>81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ht="12.75" customHeight="1" x14ac:dyDescent="0.25">
      <c r="D138" t="s">
        <v>82</v>
      </c>
      <c r="E138" s="89" t="s">
        <v>70</v>
      </c>
      <c r="F138" s="371">
        <v>21770</v>
      </c>
      <c r="G138" s="90">
        <v>1004.16</v>
      </c>
      <c r="H138" s="90">
        <v>566.95000000000005</v>
      </c>
      <c r="I138" s="90">
        <v>297.5</v>
      </c>
      <c r="J138" s="90">
        <v>6117.42</v>
      </c>
      <c r="K138" s="90">
        <v>195.92</v>
      </c>
      <c r="L138" s="90">
        <v>0</v>
      </c>
      <c r="M138" s="90">
        <v>1718.59</v>
      </c>
      <c r="N138" s="90">
        <v>1666.39</v>
      </c>
      <c r="O138" s="90">
        <v>7890.73</v>
      </c>
      <c r="P138" s="90">
        <v>1993.69</v>
      </c>
      <c r="Q138" s="90">
        <v>319.64999999999998</v>
      </c>
      <c r="R138" s="90">
        <v>-1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ht="12.75" customHeight="1" x14ac:dyDescent="0.25">
      <c r="E139" s="89" t="s">
        <v>72</v>
      </c>
      <c r="F139" s="371">
        <v>642782.27</v>
      </c>
      <c r="G139" s="90">
        <v>31379.48</v>
      </c>
      <c r="H139" s="90">
        <v>17705.740000000002</v>
      </c>
      <c r="I139" s="90">
        <v>9385.9500000000007</v>
      </c>
      <c r="J139" s="90">
        <v>152267.07999999999</v>
      </c>
      <c r="K139" s="90">
        <v>4852.1499999999996</v>
      </c>
      <c r="L139" s="90">
        <v>0</v>
      </c>
      <c r="M139" s="90">
        <v>42562.720000000001</v>
      </c>
      <c r="N139" s="90">
        <v>54528.92</v>
      </c>
      <c r="O139" s="90">
        <v>260815.06</v>
      </c>
      <c r="P139" s="90">
        <v>61357.46</v>
      </c>
      <c r="Q139" s="90">
        <v>7916.7</v>
      </c>
      <c r="R139" s="90">
        <v>11.01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ht="12.75" customHeight="1" x14ac:dyDescent="0.25">
      <c r="E140" s="89" t="s">
        <v>81</v>
      </c>
      <c r="F140" s="371">
        <v>1590.27</v>
      </c>
      <c r="G140" s="90">
        <v>84.26</v>
      </c>
      <c r="H140" s="90">
        <v>47.65</v>
      </c>
      <c r="I140" s="90">
        <v>25.29</v>
      </c>
      <c r="J140" s="90">
        <v>415.91</v>
      </c>
      <c r="K140" s="90">
        <v>10.199999999999999</v>
      </c>
      <c r="L140" s="90">
        <v>0</v>
      </c>
      <c r="M140" s="90">
        <v>89.36</v>
      </c>
      <c r="N140" s="90">
        <v>128.29</v>
      </c>
      <c r="O140" s="90">
        <v>603.23</v>
      </c>
      <c r="P140" s="90">
        <v>169.46</v>
      </c>
      <c r="Q140" s="90">
        <v>16.61</v>
      </c>
      <c r="R140" s="90">
        <v>0.01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3:26" ht="12.75" customHeight="1" x14ac:dyDescent="0.25">
      <c r="D141" t="s">
        <v>86</v>
      </c>
      <c r="E141" s="89" t="s">
        <v>70</v>
      </c>
      <c r="F141" s="371">
        <v>644372.54</v>
      </c>
      <c r="G141" s="90">
        <v>31463.74</v>
      </c>
      <c r="H141" s="90">
        <v>17753.39</v>
      </c>
      <c r="I141" s="90">
        <v>9411.24</v>
      </c>
      <c r="J141" s="90">
        <v>152682.99</v>
      </c>
      <c r="K141" s="90">
        <v>4862.3500000000004</v>
      </c>
      <c r="L141" s="90">
        <v>0</v>
      </c>
      <c r="M141" s="90">
        <v>42652.08</v>
      </c>
      <c r="N141" s="90">
        <v>54657.21</v>
      </c>
      <c r="O141" s="90">
        <v>261418.29</v>
      </c>
      <c r="P141" s="90">
        <v>61526.92</v>
      </c>
      <c r="Q141" s="90">
        <v>7933.31</v>
      </c>
      <c r="R141" s="90">
        <v>11.02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3:26" ht="12.75" customHeight="1" x14ac:dyDescent="0.25">
      <c r="E142" s="89" t="s">
        <v>72</v>
      </c>
      <c r="F142" s="371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</row>
    <row r="143" spans="3:26" x14ac:dyDescent="0.25">
      <c r="E143" t="s">
        <v>81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90">
        <v>0</v>
      </c>
    </row>
    <row r="144" spans="3:26" ht="12.75" customHeight="1" x14ac:dyDescent="0.25">
      <c r="D144" t="s">
        <v>87</v>
      </c>
      <c r="E144" s="89" t="s">
        <v>70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</row>
    <row r="145" spans="2:26" s="94" customFormat="1" ht="12.75" customHeight="1" x14ac:dyDescent="0.25">
      <c r="C145" s="94" t="s">
        <v>119</v>
      </c>
      <c r="D145" s="94" t="s">
        <v>70</v>
      </c>
      <c r="E145" s="101"/>
      <c r="F145" s="93">
        <v>666142.54</v>
      </c>
      <c r="G145" s="93">
        <v>32467.9</v>
      </c>
      <c r="H145" s="93">
        <v>18320.34</v>
      </c>
      <c r="I145" s="93">
        <v>9708.74</v>
      </c>
      <c r="J145" s="93">
        <v>158800.41</v>
      </c>
      <c r="K145" s="93">
        <v>5058.2700000000004</v>
      </c>
      <c r="L145" s="93">
        <v>0</v>
      </c>
      <c r="M145" s="93">
        <v>44370.67</v>
      </c>
      <c r="N145" s="93">
        <v>56323.6</v>
      </c>
      <c r="O145" s="93">
        <v>269309.02</v>
      </c>
      <c r="P145" s="93">
        <v>63520.61</v>
      </c>
      <c r="Q145" s="93">
        <v>8252.9599999999991</v>
      </c>
      <c r="R145" s="93">
        <v>10.02</v>
      </c>
      <c r="S145" s="93">
        <v>0</v>
      </c>
      <c r="T145" s="93">
        <v>0</v>
      </c>
      <c r="U145" s="93">
        <v>0</v>
      </c>
      <c r="V145" s="93">
        <v>0</v>
      </c>
      <c r="W145" s="93">
        <v>0</v>
      </c>
      <c r="X145" s="94">
        <v>0</v>
      </c>
      <c r="Y145" s="94">
        <v>0</v>
      </c>
      <c r="Z145" s="94">
        <v>0</v>
      </c>
    </row>
    <row r="146" spans="2:26" s="378" customFormat="1" ht="12.75" customHeight="1" x14ac:dyDescent="0.25">
      <c r="B146" s="378" t="s">
        <v>122</v>
      </c>
      <c r="C146" s="378" t="s">
        <v>70</v>
      </c>
      <c r="E146" s="376"/>
      <c r="F146" s="710">
        <v>11754082.619999999</v>
      </c>
      <c r="G146" s="377">
        <v>651837.25</v>
      </c>
      <c r="H146" s="377">
        <v>367261.1</v>
      </c>
      <c r="I146" s="377">
        <v>196265.14</v>
      </c>
      <c r="J146" s="377">
        <v>2936066.51</v>
      </c>
      <c r="K146" s="377">
        <v>79272.710000000006</v>
      </c>
      <c r="L146" s="377">
        <v>0</v>
      </c>
      <c r="M146" s="377">
        <v>695375.41</v>
      </c>
      <c r="N146" s="377">
        <v>925873.97</v>
      </c>
      <c r="O146" s="377">
        <v>4476434.58</v>
      </c>
      <c r="P146" s="377">
        <v>1295216.93</v>
      </c>
      <c r="Q146" s="377">
        <v>130580.61</v>
      </c>
      <c r="R146" s="377">
        <v>-101.63</v>
      </c>
      <c r="S146" s="377">
        <v>0.04</v>
      </c>
      <c r="T146" s="377">
        <v>0</v>
      </c>
      <c r="U146" s="377">
        <v>0</v>
      </c>
      <c r="V146" s="377">
        <v>0</v>
      </c>
      <c r="W146" s="377">
        <v>0</v>
      </c>
      <c r="X146" s="378">
        <v>0</v>
      </c>
      <c r="Y146" s="378">
        <v>0</v>
      </c>
      <c r="Z146" s="378">
        <v>0</v>
      </c>
    </row>
    <row r="147" spans="2:26" ht="12.75" customHeight="1" x14ac:dyDescent="0.25">
      <c r="E147" s="89" t="s">
        <v>72</v>
      </c>
      <c r="F147" s="371">
        <v>13661750351.16</v>
      </c>
      <c r="G147" s="90">
        <v>755832638.63</v>
      </c>
      <c r="H147" s="90">
        <v>419095291.18000001</v>
      </c>
      <c r="I147" s="90">
        <v>222514274.02000001</v>
      </c>
      <c r="J147" s="90">
        <v>3449879902.6599998</v>
      </c>
      <c r="K147" s="90">
        <v>123342297.84999999</v>
      </c>
      <c r="L147" s="90">
        <v>6720393.9500000002</v>
      </c>
      <c r="M147" s="90">
        <v>1081480634.25</v>
      </c>
      <c r="N147" s="90">
        <v>1028957638.3200001</v>
      </c>
      <c r="O147" s="90">
        <v>4892762286.4499998</v>
      </c>
      <c r="P147" s="90">
        <v>1479803087.01</v>
      </c>
      <c r="Q147" s="90">
        <v>201381222.78999999</v>
      </c>
      <c r="R147" s="90">
        <v>-19315.95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5">
      <c r="E148" s="89" t="s">
        <v>81</v>
      </c>
      <c r="F148" s="90">
        <v>43503310.090000004</v>
      </c>
      <c r="G148" s="90">
        <v>5204775.18</v>
      </c>
      <c r="H148" s="90">
        <v>2452189.2599999998</v>
      </c>
      <c r="I148" s="90">
        <v>1088195.3899999999</v>
      </c>
      <c r="J148" s="90">
        <v>7935008.8600000003</v>
      </c>
      <c r="K148" s="90">
        <v>278098.06</v>
      </c>
      <c r="L148" s="90">
        <v>1669.26</v>
      </c>
      <c r="M148" s="90">
        <v>2439581.44</v>
      </c>
      <c r="N148" s="90">
        <v>2815332.62</v>
      </c>
      <c r="O148" s="90">
        <v>10614690.380000001</v>
      </c>
      <c r="P148" s="90">
        <v>10213915.619999999</v>
      </c>
      <c r="Q148" s="90">
        <v>453845.12</v>
      </c>
      <c r="R148" s="90">
        <v>6057.83</v>
      </c>
      <c r="S148" s="90">
        <v>-48.93</v>
      </c>
      <c r="T148" s="90">
        <v>0.4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-0.4</v>
      </c>
    </row>
    <row r="149" spans="2:26" ht="12.75" customHeight="1" x14ac:dyDescent="0.25">
      <c r="D149" t="s">
        <v>156</v>
      </c>
      <c r="E149" s="89" t="s">
        <v>70</v>
      </c>
      <c r="F149" s="90">
        <v>13705253661.25</v>
      </c>
      <c r="G149" s="90">
        <v>761037413.80999994</v>
      </c>
      <c r="H149" s="90">
        <v>421547480.44</v>
      </c>
      <c r="I149" s="90">
        <v>223602469.41</v>
      </c>
      <c r="J149" s="90">
        <v>3457814911.52</v>
      </c>
      <c r="K149" s="90">
        <v>123620395.91</v>
      </c>
      <c r="L149" s="90">
        <v>6722063.21</v>
      </c>
      <c r="M149" s="90">
        <v>1083920215.6900001</v>
      </c>
      <c r="N149" s="90">
        <v>1031772970.9400001</v>
      </c>
      <c r="O149" s="90">
        <v>4903376976.8299999</v>
      </c>
      <c r="P149" s="90">
        <v>1490017002.6300001</v>
      </c>
      <c r="Q149" s="90">
        <v>201835067.91</v>
      </c>
      <c r="R149" s="90">
        <v>-13258.12</v>
      </c>
      <c r="S149" s="90">
        <v>-48.93</v>
      </c>
      <c r="T149" s="90">
        <v>0.4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-0.4</v>
      </c>
    </row>
    <row r="150" spans="2:26" s="656" customFormat="1" ht="12.75" customHeight="1" x14ac:dyDescent="0.25">
      <c r="C150" s="656" t="s">
        <v>155</v>
      </c>
      <c r="D150" s="657" t="s">
        <v>70</v>
      </c>
      <c r="E150" s="657"/>
      <c r="F150" s="658">
        <v>13705253661.25</v>
      </c>
      <c r="G150" s="658">
        <v>761037413.80999994</v>
      </c>
      <c r="H150" s="658">
        <v>421547480.44</v>
      </c>
      <c r="I150" s="658">
        <v>223602469.41</v>
      </c>
      <c r="J150" s="658">
        <v>3457814911.52</v>
      </c>
      <c r="K150" s="658">
        <v>123620395.91</v>
      </c>
      <c r="L150" s="658">
        <v>6722063.21</v>
      </c>
      <c r="M150" s="658">
        <v>1083920215.6900001</v>
      </c>
      <c r="N150" s="658">
        <v>1031772970.9400001</v>
      </c>
      <c r="O150" s="658">
        <v>4903376976.8299999</v>
      </c>
      <c r="P150" s="658">
        <v>1490017002.6300001</v>
      </c>
      <c r="Q150" s="658">
        <v>201835067.91</v>
      </c>
      <c r="R150" s="658">
        <v>-13258.12</v>
      </c>
      <c r="S150" s="658">
        <v>-48.93</v>
      </c>
      <c r="T150" s="658">
        <v>0.4</v>
      </c>
      <c r="U150" s="658">
        <v>0</v>
      </c>
      <c r="V150" s="658">
        <v>0</v>
      </c>
      <c r="W150" s="658">
        <v>0</v>
      </c>
      <c r="X150" s="656">
        <v>0</v>
      </c>
      <c r="Y150" s="656">
        <v>0</v>
      </c>
      <c r="Z150" s="656">
        <v>-0.4</v>
      </c>
    </row>
    <row r="151" spans="2:26" ht="12.75" customHeight="1" x14ac:dyDescent="0.25">
      <c r="D151" s="89"/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ht="12.75" customHeight="1" x14ac:dyDescent="0.25">
      <c r="D152" s="89"/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2:26" ht="12.75" customHeight="1" x14ac:dyDescent="0.25">
      <c r="D153" s="89" t="s">
        <v>115</v>
      </c>
      <c r="E153" s="89" t="s">
        <v>70</v>
      </c>
      <c r="F153" s="371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0</v>
      </c>
    </row>
    <row r="154" spans="2:26" ht="12.75" customHeight="1" x14ac:dyDescent="0.25">
      <c r="D154" s="89"/>
      <c r="E154" s="89" t="s">
        <v>72</v>
      </c>
      <c r="F154" s="371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  <c r="L154" s="90">
        <v>0</v>
      </c>
      <c r="M154" s="90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5">
      <c r="D155" s="89"/>
      <c r="E155" s="89" t="s">
        <v>81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5">
      <c r="D156" t="s">
        <v>116</v>
      </c>
      <c r="E156" s="89" t="s">
        <v>70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5">
      <c r="D157" s="89"/>
      <c r="E157" s="89" t="s">
        <v>72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5">
      <c r="E158" s="89" t="s">
        <v>81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ht="12.75" customHeight="1" x14ac:dyDescent="0.25">
      <c r="D159" t="s">
        <v>118</v>
      </c>
      <c r="E159" s="89" t="s">
        <v>70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2:26" s="224" customFormat="1" ht="12.75" customHeight="1" x14ac:dyDescent="0.25">
      <c r="C160" s="223" t="s">
        <v>120</v>
      </c>
      <c r="D160" s="223" t="s">
        <v>70</v>
      </c>
      <c r="F160" s="225">
        <v>0</v>
      </c>
      <c r="G160" s="225">
        <v>0</v>
      </c>
      <c r="H160" s="225">
        <v>0</v>
      </c>
      <c r="I160" s="225">
        <v>0</v>
      </c>
      <c r="J160" s="225">
        <v>0</v>
      </c>
      <c r="K160" s="225">
        <v>0</v>
      </c>
      <c r="L160" s="225">
        <v>0</v>
      </c>
      <c r="M160" s="225">
        <v>0</v>
      </c>
      <c r="N160" s="225">
        <v>0</v>
      </c>
      <c r="O160" s="225">
        <v>0</v>
      </c>
      <c r="P160" s="225">
        <v>0</v>
      </c>
      <c r="Q160" s="225">
        <v>0</v>
      </c>
      <c r="R160" s="225">
        <v>0</v>
      </c>
      <c r="S160" s="225">
        <v>0</v>
      </c>
      <c r="T160" s="225">
        <v>0</v>
      </c>
      <c r="U160" s="225">
        <v>0</v>
      </c>
      <c r="V160" s="225">
        <v>0</v>
      </c>
      <c r="W160" s="225">
        <v>0</v>
      </c>
      <c r="X160" s="224">
        <v>0</v>
      </c>
      <c r="Y160" s="224">
        <v>0</v>
      </c>
      <c r="Z160" s="224">
        <v>0</v>
      </c>
    </row>
    <row r="161" spans="1:26" ht="12.75" customHeight="1" x14ac:dyDescent="0.25">
      <c r="C161" s="89"/>
      <c r="D161" s="89"/>
      <c r="E161" t="s">
        <v>72</v>
      </c>
      <c r="F161" s="90">
        <v>181427435.33000001</v>
      </c>
      <c r="G161" s="90">
        <v>10584510.26</v>
      </c>
      <c r="H161" s="90">
        <v>5916459.9100000001</v>
      </c>
      <c r="I161" s="90">
        <v>3152733.94</v>
      </c>
      <c r="J161" s="90">
        <v>46302519.359999999</v>
      </c>
      <c r="K161" s="90">
        <v>1141535.98</v>
      </c>
      <c r="L161" s="90">
        <v>0</v>
      </c>
      <c r="M161" s="90">
        <v>10044923.300000001</v>
      </c>
      <c r="N161" s="90">
        <v>14090686.25</v>
      </c>
      <c r="O161" s="90">
        <v>67406988.810000002</v>
      </c>
      <c r="P161" s="90">
        <v>20914641.48</v>
      </c>
      <c r="Q161" s="90">
        <v>1872781.11</v>
      </c>
      <c r="R161" s="90">
        <v>-345.07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5">
      <c r="C162" s="89"/>
      <c r="D162" s="89"/>
      <c r="E162" t="s">
        <v>81</v>
      </c>
      <c r="F162" s="90">
        <v>1706030.45</v>
      </c>
      <c r="G162" s="90">
        <v>137098.35999999999</v>
      </c>
      <c r="H162" s="90">
        <v>75640.070000000007</v>
      </c>
      <c r="I162" s="90">
        <v>40699.370000000003</v>
      </c>
      <c r="J162" s="90">
        <v>376089.2</v>
      </c>
      <c r="K162" s="90">
        <v>9777.2900000000009</v>
      </c>
      <c r="L162" s="90">
        <v>0</v>
      </c>
      <c r="M162" s="90">
        <v>85995.13</v>
      </c>
      <c r="N162" s="90">
        <v>119953.19</v>
      </c>
      <c r="O162" s="90">
        <v>571427.47</v>
      </c>
      <c r="P162" s="90">
        <v>273296.95</v>
      </c>
      <c r="Q162" s="90">
        <v>16055.78</v>
      </c>
      <c r="R162" s="90">
        <v>-2.36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1:26" ht="12.75" customHeight="1" x14ac:dyDescent="0.25">
      <c r="D163" t="s">
        <v>82</v>
      </c>
      <c r="E163" s="89" t="s">
        <v>70</v>
      </c>
      <c r="F163" s="90">
        <v>183133465.78</v>
      </c>
      <c r="G163" s="90">
        <v>10721608.619999999</v>
      </c>
      <c r="H163" s="90">
        <v>5992099.9800000004</v>
      </c>
      <c r="I163" s="90">
        <v>3193433.31</v>
      </c>
      <c r="J163" s="90">
        <v>46678608.560000002</v>
      </c>
      <c r="K163" s="90">
        <v>1151313.27</v>
      </c>
      <c r="L163" s="90">
        <v>0</v>
      </c>
      <c r="M163" s="90">
        <v>10130918.43</v>
      </c>
      <c r="N163" s="90">
        <v>14210639.439999999</v>
      </c>
      <c r="O163" s="90">
        <v>67978416.280000001</v>
      </c>
      <c r="P163" s="90">
        <v>21187938.43</v>
      </c>
      <c r="Q163" s="90">
        <v>1888836.89</v>
      </c>
      <c r="R163" s="90">
        <v>-347.43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1:26" ht="12.75" customHeight="1" x14ac:dyDescent="0.25">
      <c r="E164" s="89" t="s">
        <v>72</v>
      </c>
      <c r="F164" s="90">
        <v>142761958.62</v>
      </c>
      <c r="G164" s="90">
        <v>12211948.939999999</v>
      </c>
      <c r="H164" s="90">
        <v>6104267.8399999999</v>
      </c>
      <c r="I164" s="90">
        <v>3105854.09</v>
      </c>
      <c r="J164" s="90">
        <v>29450189.600000001</v>
      </c>
      <c r="K164" s="90">
        <v>882623.55</v>
      </c>
      <c r="L164" s="90">
        <v>153000</v>
      </c>
      <c r="M164" s="90">
        <v>8402166.1199999992</v>
      </c>
      <c r="N164" s="90">
        <v>10201837.970000001</v>
      </c>
      <c r="O164" s="90">
        <v>46509870.380000003</v>
      </c>
      <c r="P164" s="90">
        <v>24294699.300000001</v>
      </c>
      <c r="Q164" s="90">
        <v>1445692.59</v>
      </c>
      <c r="R164" s="90">
        <v>-191.76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1:26" ht="12.75" customHeight="1" x14ac:dyDescent="0.25">
      <c r="D165" s="89"/>
      <c r="E165" s="89" t="s">
        <v>81</v>
      </c>
      <c r="F165" s="90">
        <v>10391426.359999999</v>
      </c>
      <c r="G165" s="90">
        <v>1454368.35</v>
      </c>
      <c r="H165" s="90">
        <v>688820.37</v>
      </c>
      <c r="I165" s="90">
        <v>324516.98</v>
      </c>
      <c r="J165" s="90">
        <v>1671330.74</v>
      </c>
      <c r="K165" s="90">
        <v>52566.14</v>
      </c>
      <c r="L165" s="90">
        <v>3749.78</v>
      </c>
      <c r="M165" s="90">
        <v>453600.98</v>
      </c>
      <c r="N165" s="90">
        <v>558588.54</v>
      </c>
      <c r="O165" s="90">
        <v>2214574.42</v>
      </c>
      <c r="P165" s="90">
        <v>2883484.82</v>
      </c>
      <c r="Q165" s="90">
        <v>85817.21</v>
      </c>
      <c r="R165" s="90">
        <v>7.31</v>
      </c>
      <c r="S165" s="90">
        <v>0.93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-0.21</v>
      </c>
    </row>
    <row r="166" spans="1:26" ht="12.75" customHeight="1" x14ac:dyDescent="0.25">
      <c r="D166" t="s">
        <v>86</v>
      </c>
      <c r="E166" s="89" t="s">
        <v>70</v>
      </c>
      <c r="F166" s="90">
        <v>153153384.97999999</v>
      </c>
      <c r="G166" s="90">
        <v>13666317.289999999</v>
      </c>
      <c r="H166" s="90">
        <v>6793088.21</v>
      </c>
      <c r="I166" s="90">
        <v>3430371.07</v>
      </c>
      <c r="J166" s="90">
        <v>31121520.34</v>
      </c>
      <c r="K166" s="90">
        <v>935189.69</v>
      </c>
      <c r="L166" s="90">
        <v>156749.78</v>
      </c>
      <c r="M166" s="90">
        <v>8855767.0999999996</v>
      </c>
      <c r="N166" s="90">
        <v>10760426.51</v>
      </c>
      <c r="O166" s="90">
        <v>48724444.799999997</v>
      </c>
      <c r="P166" s="90">
        <v>27178184.120000001</v>
      </c>
      <c r="Q166" s="90">
        <v>1531509.8</v>
      </c>
      <c r="R166" s="90">
        <v>-184.45</v>
      </c>
      <c r="S166" s="90">
        <v>0.93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-0.21</v>
      </c>
    </row>
    <row r="167" spans="1:26" ht="12.75" customHeight="1" x14ac:dyDescent="0.25">
      <c r="E167" s="89" t="s">
        <v>72</v>
      </c>
      <c r="F167" s="90">
        <v>431976797.81999999</v>
      </c>
      <c r="G167" s="90">
        <v>82660193.609999999</v>
      </c>
      <c r="H167" s="90">
        <v>46275318.25</v>
      </c>
      <c r="I167" s="90">
        <v>24557510.260000002</v>
      </c>
      <c r="J167" s="90">
        <v>36957419.270000003</v>
      </c>
      <c r="K167" s="90">
        <v>895809.73</v>
      </c>
      <c r="L167" s="90">
        <v>2914000</v>
      </c>
      <c r="M167" s="90">
        <v>7873505.9100000001</v>
      </c>
      <c r="N167" s="90">
        <v>11116337.92</v>
      </c>
      <c r="O167" s="90">
        <v>53167553.159999996</v>
      </c>
      <c r="P167" s="90">
        <v>164093920.88</v>
      </c>
      <c r="Q167" s="90">
        <v>1465643.88</v>
      </c>
      <c r="R167" s="90">
        <v>-415.05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1:26" ht="12.75" customHeight="1" x14ac:dyDescent="0.25">
      <c r="D168" s="89"/>
      <c r="E168" s="89" t="s">
        <v>81</v>
      </c>
      <c r="F168" s="90">
        <v>23157610.32</v>
      </c>
      <c r="G168" s="90">
        <v>5189724.5199999996</v>
      </c>
      <c r="H168" s="90">
        <v>2863845.82</v>
      </c>
      <c r="I168" s="90">
        <v>1529755.86</v>
      </c>
      <c r="J168" s="90">
        <v>1096539.75</v>
      </c>
      <c r="K168" s="90">
        <v>27121.51</v>
      </c>
      <c r="L168" s="90">
        <v>41522.82</v>
      </c>
      <c r="M168" s="90">
        <v>236988.67</v>
      </c>
      <c r="N168" s="90">
        <v>318251.21000000002</v>
      </c>
      <c r="O168" s="90">
        <v>1500767.57</v>
      </c>
      <c r="P168" s="90">
        <v>10365083.59</v>
      </c>
      <c r="Q168" s="90">
        <v>44268.21</v>
      </c>
      <c r="R168" s="90">
        <v>0.39</v>
      </c>
      <c r="S168" s="90">
        <v>-56259.6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1:26" ht="12.75" customHeight="1" x14ac:dyDescent="0.25">
      <c r="D169" t="s">
        <v>87</v>
      </c>
      <c r="E169" s="89" t="s">
        <v>70</v>
      </c>
      <c r="F169" s="90">
        <v>455134408.13999999</v>
      </c>
      <c r="G169" s="90">
        <v>87849918.129999995</v>
      </c>
      <c r="H169" s="90">
        <v>49139164.07</v>
      </c>
      <c r="I169" s="90">
        <v>26087266.120000001</v>
      </c>
      <c r="J169" s="90">
        <v>38053959.020000003</v>
      </c>
      <c r="K169" s="90">
        <v>922931.24</v>
      </c>
      <c r="L169" s="90">
        <v>2955522.82</v>
      </c>
      <c r="M169" s="90">
        <v>8110494.5800000001</v>
      </c>
      <c r="N169" s="90">
        <v>11434589.130000001</v>
      </c>
      <c r="O169" s="90">
        <v>54668320.729999997</v>
      </c>
      <c r="P169" s="90">
        <v>174459004.47</v>
      </c>
      <c r="Q169" s="90">
        <v>1509912.09</v>
      </c>
      <c r="R169" s="90">
        <v>-414.66</v>
      </c>
      <c r="S169" s="90">
        <v>-56259.6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1:26" s="94" customFormat="1" ht="12.75" customHeight="1" x14ac:dyDescent="0.25">
      <c r="C170" s="94" t="s">
        <v>119</v>
      </c>
      <c r="D170" s="94" t="s">
        <v>70</v>
      </c>
      <c r="E170" s="101"/>
      <c r="F170" s="93">
        <v>791421258.89999998</v>
      </c>
      <c r="G170" s="93">
        <v>112237844.04000001</v>
      </c>
      <c r="H170" s="93">
        <v>61924352.259999998</v>
      </c>
      <c r="I170" s="93">
        <v>32711070.5</v>
      </c>
      <c r="J170" s="93">
        <v>115854087.92</v>
      </c>
      <c r="K170" s="93">
        <v>3009434.2</v>
      </c>
      <c r="L170" s="93">
        <v>3112272.6</v>
      </c>
      <c r="M170" s="93">
        <v>27097180.109999999</v>
      </c>
      <c r="N170" s="93">
        <v>36405655.079999998</v>
      </c>
      <c r="O170" s="93">
        <v>171371181.81</v>
      </c>
      <c r="P170" s="93">
        <v>222825127.02000001</v>
      </c>
      <c r="Q170" s="93">
        <v>4930258.78</v>
      </c>
      <c r="R170" s="93">
        <v>-946.54</v>
      </c>
      <c r="S170" s="93">
        <v>-56258.67</v>
      </c>
      <c r="T170" s="93">
        <v>0</v>
      </c>
      <c r="U170" s="93">
        <v>0</v>
      </c>
      <c r="V170" s="93">
        <v>0</v>
      </c>
      <c r="W170" s="93">
        <v>0</v>
      </c>
      <c r="X170" s="94">
        <v>0</v>
      </c>
      <c r="Y170" s="94">
        <v>0</v>
      </c>
      <c r="Z170" s="94">
        <v>-0.21</v>
      </c>
    </row>
    <row r="171" spans="1:26" s="226" customFormat="1" ht="12.75" customHeight="1" x14ac:dyDescent="0.25">
      <c r="B171" s="98" t="s">
        <v>112</v>
      </c>
      <c r="C171" s="98" t="s">
        <v>70</v>
      </c>
      <c r="F171" s="100">
        <v>14496674920.15</v>
      </c>
      <c r="G171" s="100">
        <v>873275257.85000002</v>
      </c>
      <c r="H171" s="100">
        <v>483471832.69999999</v>
      </c>
      <c r="I171" s="100">
        <v>256313539.91</v>
      </c>
      <c r="J171" s="100">
        <v>3573668999.4400001</v>
      </c>
      <c r="K171" s="100">
        <v>126629830.11</v>
      </c>
      <c r="L171" s="100">
        <v>9834335.8100000005</v>
      </c>
      <c r="M171" s="100">
        <v>1111017395.8</v>
      </c>
      <c r="N171" s="100">
        <v>1068178626.02</v>
      </c>
      <c r="O171" s="100">
        <v>5074748158.6400003</v>
      </c>
      <c r="P171" s="100">
        <v>1712842129.6500001</v>
      </c>
      <c r="Q171" s="100">
        <v>206765326.69</v>
      </c>
      <c r="R171" s="100">
        <v>-14204.66</v>
      </c>
      <c r="S171" s="100">
        <v>-56307.6</v>
      </c>
      <c r="T171" s="100">
        <v>0.4</v>
      </c>
      <c r="U171" s="100">
        <v>0</v>
      </c>
      <c r="V171" s="100">
        <v>0</v>
      </c>
      <c r="W171" s="100">
        <v>0</v>
      </c>
      <c r="X171" s="226">
        <v>0</v>
      </c>
      <c r="Y171" s="226">
        <v>0</v>
      </c>
      <c r="Z171" s="226">
        <v>-0.61</v>
      </c>
    </row>
    <row r="172" spans="1:26" ht="12.75" customHeight="1" x14ac:dyDescent="0.25">
      <c r="A172" t="s">
        <v>78</v>
      </c>
      <c r="B172" s="89" t="s">
        <v>70</v>
      </c>
      <c r="C172" s="89"/>
      <c r="F172" s="90">
        <v>14508429002.77</v>
      </c>
      <c r="G172" s="90">
        <v>873927095.10000002</v>
      </c>
      <c r="H172" s="90">
        <v>483839093.80000001</v>
      </c>
      <c r="I172" s="90">
        <v>256509805.05000001</v>
      </c>
      <c r="J172" s="90">
        <v>3576605065.9499998</v>
      </c>
      <c r="K172" s="90">
        <v>126709102.81999999</v>
      </c>
      <c r="L172" s="90">
        <v>9834335.8100000005</v>
      </c>
      <c r="M172" s="90">
        <v>1111712771.21</v>
      </c>
      <c r="N172" s="90">
        <v>1069104499.99</v>
      </c>
      <c r="O172" s="90">
        <v>5079224593.2200003</v>
      </c>
      <c r="P172" s="90">
        <v>1714137346.5799999</v>
      </c>
      <c r="Q172" s="90">
        <v>206895907.30000001</v>
      </c>
      <c r="R172" s="90">
        <v>-14306.29</v>
      </c>
      <c r="S172" s="90">
        <v>-56307.56</v>
      </c>
      <c r="T172" s="90">
        <v>0.4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-0.61</v>
      </c>
    </row>
    <row r="173" spans="1:26" ht="12.75" customHeight="1" x14ac:dyDescent="0.25">
      <c r="B173" s="89"/>
      <c r="C173" s="89"/>
      <c r="E173" t="s">
        <v>73</v>
      </c>
      <c r="F173" s="90">
        <v>-1847120.08</v>
      </c>
      <c r="G173" s="90">
        <v>-41622.42</v>
      </c>
      <c r="H173" s="90">
        <v>-23430.87</v>
      </c>
      <c r="I173" s="90">
        <v>-12462.7</v>
      </c>
      <c r="J173" s="90">
        <v>-536355.47</v>
      </c>
      <c r="K173" s="90">
        <v>-14426.8</v>
      </c>
      <c r="L173" s="90">
        <v>0</v>
      </c>
      <c r="M173" s="90">
        <v>-126553.75</v>
      </c>
      <c r="N173" s="90">
        <v>-170997.82</v>
      </c>
      <c r="O173" s="90">
        <v>-815702.14</v>
      </c>
      <c r="P173" s="90">
        <v>-82029.149999999994</v>
      </c>
      <c r="Q173" s="90">
        <v>-23538.959999999999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1:26" ht="12.75" customHeight="1" x14ac:dyDescent="0.25">
      <c r="B174" s="89"/>
      <c r="C174" s="89"/>
      <c r="D174" t="s">
        <v>156</v>
      </c>
      <c r="E174" t="s">
        <v>70</v>
      </c>
      <c r="F174" s="90">
        <v>-1847120.08</v>
      </c>
      <c r="G174" s="90">
        <v>-41622.42</v>
      </c>
      <c r="H174" s="90">
        <v>-23430.87</v>
      </c>
      <c r="I174" s="90">
        <v>-12462.7</v>
      </c>
      <c r="J174" s="90">
        <v>-536355.47</v>
      </c>
      <c r="K174" s="90">
        <v>-14426.8</v>
      </c>
      <c r="L174" s="90">
        <v>0</v>
      </c>
      <c r="M174" s="90">
        <v>-126553.75</v>
      </c>
      <c r="N174" s="90">
        <v>-170997.82</v>
      </c>
      <c r="O174" s="90">
        <v>-815702.14</v>
      </c>
      <c r="P174" s="90">
        <v>-82029.149999999994</v>
      </c>
      <c r="Q174" s="90">
        <v>-23538.959999999999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1:26" s="656" customFormat="1" ht="12.75" customHeight="1" x14ac:dyDescent="0.25">
      <c r="C175" s="656" t="s">
        <v>155</v>
      </c>
      <c r="D175" s="657" t="s">
        <v>70</v>
      </c>
      <c r="E175" s="657"/>
      <c r="F175" s="658">
        <v>-1847120.08</v>
      </c>
      <c r="G175" s="658">
        <v>-41622.42</v>
      </c>
      <c r="H175" s="658">
        <v>-23430.87</v>
      </c>
      <c r="I175" s="658">
        <v>-12462.7</v>
      </c>
      <c r="J175" s="658">
        <v>-536355.47</v>
      </c>
      <c r="K175" s="658">
        <v>-14426.8</v>
      </c>
      <c r="L175" s="658">
        <v>0</v>
      </c>
      <c r="M175" s="658">
        <v>-126553.75</v>
      </c>
      <c r="N175" s="658">
        <v>-170997.82</v>
      </c>
      <c r="O175" s="658">
        <v>-815702.14</v>
      </c>
      <c r="P175" s="658">
        <v>-82029.149999999994</v>
      </c>
      <c r="Q175" s="658">
        <v>-23538.959999999999</v>
      </c>
      <c r="R175" s="658">
        <v>0</v>
      </c>
      <c r="S175" s="658">
        <v>0</v>
      </c>
      <c r="T175" s="658">
        <v>0</v>
      </c>
      <c r="U175" s="658">
        <v>0</v>
      </c>
      <c r="V175" s="658">
        <v>0</v>
      </c>
      <c r="W175" s="658">
        <v>0</v>
      </c>
      <c r="X175" s="656">
        <v>0</v>
      </c>
      <c r="Y175" s="656">
        <v>0</v>
      </c>
      <c r="Z175" s="656">
        <v>0</v>
      </c>
    </row>
    <row r="176" spans="1:26" ht="12.75" customHeight="1" x14ac:dyDescent="0.25">
      <c r="E176" s="89" t="s">
        <v>73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90">
        <v>0</v>
      </c>
      <c r="Z176">
        <v>0</v>
      </c>
    </row>
    <row r="177" spans="2:26" ht="12.75" customHeight="1" x14ac:dyDescent="0.25">
      <c r="D177" t="s">
        <v>115</v>
      </c>
      <c r="E177" s="89" t="s">
        <v>70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90">
        <v>0</v>
      </c>
      <c r="Z177">
        <v>0</v>
      </c>
    </row>
    <row r="178" spans="2:26" ht="12.75" customHeight="1" x14ac:dyDescent="0.25">
      <c r="E178" s="89" t="s">
        <v>73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90">
        <v>0</v>
      </c>
      <c r="Z178">
        <v>0</v>
      </c>
    </row>
    <row r="179" spans="2:26" ht="12.75" customHeight="1" x14ac:dyDescent="0.25">
      <c r="D179" s="772">
        <v>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90">
        <v>0</v>
      </c>
      <c r="Z179">
        <v>0</v>
      </c>
    </row>
    <row r="180" spans="2:26" ht="12.75" customHeight="1" x14ac:dyDescent="0.25">
      <c r="E180" s="89" t="s">
        <v>73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90">
        <v>0</v>
      </c>
      <c r="Z180">
        <v>0</v>
      </c>
    </row>
    <row r="181" spans="2:26" ht="12.75" customHeight="1" x14ac:dyDescent="0.25">
      <c r="D181" t="s">
        <v>118</v>
      </c>
      <c r="E181" s="89" t="s">
        <v>70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90">
        <v>0</v>
      </c>
      <c r="Z181">
        <v>0</v>
      </c>
    </row>
    <row r="182" spans="2:26" s="224" customFormat="1" ht="12.75" customHeight="1" x14ac:dyDescent="0.25">
      <c r="C182" s="223" t="s">
        <v>120</v>
      </c>
      <c r="D182" s="223" t="s">
        <v>70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4">
        <v>0</v>
      </c>
      <c r="U182" s="224">
        <v>0</v>
      </c>
      <c r="V182" s="224">
        <v>0</v>
      </c>
      <c r="W182" s="224">
        <v>0</v>
      </c>
      <c r="X182" s="224">
        <v>0</v>
      </c>
      <c r="Y182" s="225">
        <v>0</v>
      </c>
      <c r="Z182" s="224">
        <v>0</v>
      </c>
    </row>
    <row r="183" spans="2:26" ht="12.75" customHeight="1" x14ac:dyDescent="0.25">
      <c r="D183" s="89"/>
      <c r="E183" s="89" t="s">
        <v>73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>
        <v>0</v>
      </c>
      <c r="Y183">
        <v>0</v>
      </c>
      <c r="Z183">
        <v>0</v>
      </c>
    </row>
    <row r="184" spans="2:26" ht="12.75" customHeight="1" x14ac:dyDescent="0.25">
      <c r="D184" s="89" t="s">
        <v>82</v>
      </c>
      <c r="E184" s="89" t="s">
        <v>70</v>
      </c>
      <c r="F184" s="371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>
        <v>0</v>
      </c>
      <c r="Y184">
        <v>0</v>
      </c>
      <c r="Z184">
        <v>0</v>
      </c>
    </row>
    <row r="185" spans="2:26" ht="12.75" customHeight="1" x14ac:dyDescent="0.25">
      <c r="D185" s="89"/>
      <c r="E185" s="89" t="s">
        <v>73</v>
      </c>
      <c r="F185" s="371">
        <v>-201988.54</v>
      </c>
      <c r="G185" s="90">
        <v>-8468.4</v>
      </c>
      <c r="H185" s="90">
        <v>-4779.72</v>
      </c>
      <c r="I185" s="90">
        <v>-2537.71</v>
      </c>
      <c r="J185" s="90">
        <v>-48035.81</v>
      </c>
      <c r="K185" s="90">
        <v>-1399.98</v>
      </c>
      <c r="L185" s="90">
        <v>0</v>
      </c>
      <c r="M185" s="90">
        <v>-12280.41</v>
      </c>
      <c r="N185" s="90">
        <v>-18374.759999999998</v>
      </c>
      <c r="O185" s="90">
        <v>-88315.61</v>
      </c>
      <c r="P185" s="90">
        <v>-15511.98</v>
      </c>
      <c r="Q185" s="90">
        <v>-2284.16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>
        <v>0</v>
      </c>
      <c r="Y185">
        <v>0</v>
      </c>
      <c r="Z185">
        <v>0</v>
      </c>
    </row>
    <row r="186" spans="2:26" ht="12.75" customHeight="1" x14ac:dyDescent="0.25">
      <c r="D186" s="89" t="s">
        <v>86</v>
      </c>
      <c r="E186" s="89" t="s">
        <v>70</v>
      </c>
      <c r="F186" s="371">
        <v>-201988.54</v>
      </c>
      <c r="G186" s="90">
        <v>-8468.4</v>
      </c>
      <c r="H186" s="90">
        <v>-4779.72</v>
      </c>
      <c r="I186" s="90">
        <v>-2537.71</v>
      </c>
      <c r="J186" s="90">
        <v>-48035.81</v>
      </c>
      <c r="K186" s="90">
        <v>-1399.98</v>
      </c>
      <c r="L186" s="90">
        <v>0</v>
      </c>
      <c r="M186" s="90">
        <v>-12280.41</v>
      </c>
      <c r="N186" s="90">
        <v>-18374.759999999998</v>
      </c>
      <c r="O186" s="90">
        <v>-88315.61</v>
      </c>
      <c r="P186" s="90">
        <v>-15511.98</v>
      </c>
      <c r="Q186" s="90">
        <v>-2284.16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>
        <v>0</v>
      </c>
      <c r="Y186">
        <v>0</v>
      </c>
      <c r="Z186">
        <v>0</v>
      </c>
    </row>
    <row r="187" spans="2:26" x14ac:dyDescent="0.25">
      <c r="E187" t="s">
        <v>73</v>
      </c>
      <c r="F187" s="90">
        <v>0</v>
      </c>
      <c r="G187" s="90">
        <v>0</v>
      </c>
      <c r="H187" s="90">
        <v>0</v>
      </c>
      <c r="I187" s="90">
        <v>0</v>
      </c>
      <c r="J187" s="90">
        <v>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0</v>
      </c>
      <c r="S187" s="90">
        <v>0</v>
      </c>
      <c r="T187" s="9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90">
        <v>0</v>
      </c>
    </row>
    <row r="188" spans="2:26" x14ac:dyDescent="0.25">
      <c r="D188" t="s">
        <v>87</v>
      </c>
      <c r="E188" t="s">
        <v>70</v>
      </c>
      <c r="F188" s="90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90">
        <v>0</v>
      </c>
    </row>
    <row r="189" spans="2:26" s="94" customFormat="1" ht="12.75" customHeight="1" x14ac:dyDescent="0.25">
      <c r="C189" s="94" t="s">
        <v>119</v>
      </c>
      <c r="D189" s="94" t="s">
        <v>70</v>
      </c>
      <c r="E189" s="101"/>
      <c r="F189" s="93">
        <v>-201988.54</v>
      </c>
      <c r="G189" s="93">
        <v>-8468.4</v>
      </c>
      <c r="H189" s="93">
        <v>-4779.72</v>
      </c>
      <c r="I189" s="93">
        <v>-2537.71</v>
      </c>
      <c r="J189" s="93">
        <v>-48035.81</v>
      </c>
      <c r="K189" s="93">
        <v>-1399.98</v>
      </c>
      <c r="L189" s="93">
        <v>0</v>
      </c>
      <c r="M189" s="93">
        <v>-12280.41</v>
      </c>
      <c r="N189" s="93">
        <v>-18374.759999999998</v>
      </c>
      <c r="O189" s="93">
        <v>-88315.61</v>
      </c>
      <c r="P189" s="93">
        <v>-15511.98</v>
      </c>
      <c r="Q189" s="93">
        <v>-2284.16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4">
        <v>0</v>
      </c>
      <c r="Y189" s="94">
        <v>0</v>
      </c>
      <c r="Z189" s="94">
        <v>0</v>
      </c>
    </row>
    <row r="190" spans="2:26" s="378" customFormat="1" ht="12.75" customHeight="1" x14ac:dyDescent="0.25">
      <c r="B190" s="378" t="s">
        <v>122</v>
      </c>
      <c r="C190" s="378" t="s">
        <v>70</v>
      </c>
      <c r="E190" s="376"/>
      <c r="F190" s="710">
        <v>-2049108.62</v>
      </c>
      <c r="G190" s="377">
        <v>-50090.82</v>
      </c>
      <c r="H190" s="377">
        <v>-28210.59</v>
      </c>
      <c r="I190" s="377">
        <v>-15000.41</v>
      </c>
      <c r="J190" s="377">
        <v>-584391.28</v>
      </c>
      <c r="K190" s="377">
        <v>-15826.78</v>
      </c>
      <c r="L190" s="377">
        <v>0</v>
      </c>
      <c r="M190" s="377">
        <v>-138834.16</v>
      </c>
      <c r="N190" s="377">
        <v>-189372.58</v>
      </c>
      <c r="O190" s="377">
        <v>-904017.75</v>
      </c>
      <c r="P190" s="377">
        <v>-97541.13</v>
      </c>
      <c r="Q190" s="377">
        <v>-25823.119999999999</v>
      </c>
      <c r="R190" s="377">
        <v>0</v>
      </c>
      <c r="S190" s="377">
        <v>0</v>
      </c>
      <c r="T190" s="377">
        <v>0</v>
      </c>
      <c r="U190" s="377">
        <v>0</v>
      </c>
      <c r="V190" s="377">
        <v>0</v>
      </c>
      <c r="W190" s="377">
        <v>0</v>
      </c>
      <c r="X190" s="378">
        <v>0</v>
      </c>
      <c r="Y190" s="378">
        <v>0</v>
      </c>
      <c r="Z190" s="378">
        <v>0</v>
      </c>
    </row>
    <row r="191" spans="2:26" ht="12.75" customHeight="1" x14ac:dyDescent="0.25">
      <c r="E191" s="89" t="s">
        <v>73</v>
      </c>
      <c r="F191" s="90">
        <v>-3418096950.8499999</v>
      </c>
      <c r="G191" s="90">
        <v>-80551589.049999997</v>
      </c>
      <c r="H191" s="90">
        <v>-44758246.609999999</v>
      </c>
      <c r="I191" s="90">
        <v>-23754776.07</v>
      </c>
      <c r="J191" s="90">
        <v>-998699664.63999999</v>
      </c>
      <c r="K191" s="90">
        <v>-35677156.359999999</v>
      </c>
      <c r="L191" s="90">
        <v>0</v>
      </c>
      <c r="M191" s="90">
        <v>-312988590.06999999</v>
      </c>
      <c r="N191" s="90">
        <v>-297678949.49000001</v>
      </c>
      <c r="O191" s="90">
        <v>-1416154010.96</v>
      </c>
      <c r="P191" s="90">
        <v>-149621658.44</v>
      </c>
      <c r="Q191" s="90">
        <v>-58212309.159999996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>
        <v>0</v>
      </c>
      <c r="Y191">
        <v>0</v>
      </c>
      <c r="Z191">
        <v>0</v>
      </c>
    </row>
    <row r="192" spans="2:26" ht="12.75" customHeight="1" x14ac:dyDescent="0.25">
      <c r="D192" s="89" t="s">
        <v>156</v>
      </c>
      <c r="E192" s="89" t="s">
        <v>70</v>
      </c>
      <c r="F192" s="90">
        <v>-3418096950.8499999</v>
      </c>
      <c r="G192" s="90">
        <v>-80551589.049999997</v>
      </c>
      <c r="H192" s="90">
        <v>-44758246.609999999</v>
      </c>
      <c r="I192" s="90">
        <v>-23754776.07</v>
      </c>
      <c r="J192" s="90">
        <v>-998699664.63999999</v>
      </c>
      <c r="K192" s="90">
        <v>-35677156.359999999</v>
      </c>
      <c r="L192" s="90">
        <v>0</v>
      </c>
      <c r="M192" s="90">
        <v>-312988590.06999999</v>
      </c>
      <c r="N192" s="90">
        <v>-297678949.49000001</v>
      </c>
      <c r="O192" s="90">
        <v>-1416154010.96</v>
      </c>
      <c r="P192" s="90">
        <v>-149621658.44</v>
      </c>
      <c r="Q192" s="90">
        <v>-58212309.159999996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2:26" s="656" customFormat="1" ht="12.75" customHeight="1" x14ac:dyDescent="0.25">
      <c r="C193" s="656" t="s">
        <v>155</v>
      </c>
      <c r="D193" s="657" t="s">
        <v>70</v>
      </c>
      <c r="E193" s="657"/>
      <c r="F193" s="738">
        <v>-3418096950.8499999</v>
      </c>
      <c r="G193" s="658">
        <v>-80551589.049999997</v>
      </c>
      <c r="H193" s="658">
        <v>-44758246.609999999</v>
      </c>
      <c r="I193" s="658">
        <v>-23754776.07</v>
      </c>
      <c r="J193" s="658">
        <v>-998699664.63999999</v>
      </c>
      <c r="K193" s="658">
        <v>-35677156.359999999</v>
      </c>
      <c r="L193" s="658">
        <v>0</v>
      </c>
      <c r="M193" s="658">
        <v>-312988590.06999999</v>
      </c>
      <c r="N193" s="658">
        <v>-297678949.49000001</v>
      </c>
      <c r="O193" s="658">
        <v>-1416154010.96</v>
      </c>
      <c r="P193" s="658">
        <v>-149621658.44</v>
      </c>
      <c r="Q193" s="658">
        <v>-58212309.159999996</v>
      </c>
      <c r="R193" s="658">
        <v>0</v>
      </c>
      <c r="S193" s="658">
        <v>0</v>
      </c>
      <c r="T193" s="658">
        <v>0</v>
      </c>
      <c r="U193" s="658">
        <v>0</v>
      </c>
      <c r="V193" s="658">
        <v>0</v>
      </c>
      <c r="W193" s="658">
        <v>0</v>
      </c>
      <c r="X193" s="656">
        <v>0</v>
      </c>
      <c r="Y193" s="656">
        <v>0</v>
      </c>
      <c r="Z193" s="656">
        <v>0</v>
      </c>
    </row>
    <row r="194" spans="2:26" ht="12.75" customHeight="1" x14ac:dyDescent="0.25">
      <c r="D194" s="89"/>
      <c r="E194" s="89" t="s">
        <v>73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2:26" ht="12.75" customHeight="1" x14ac:dyDescent="0.25">
      <c r="D195" s="89" t="s">
        <v>115</v>
      </c>
      <c r="E195" s="89" t="s">
        <v>70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2:26" ht="12.75" customHeight="1" x14ac:dyDescent="0.25">
      <c r="D196" s="89"/>
      <c r="E196" s="89" t="s">
        <v>73</v>
      </c>
      <c r="F196" s="371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2:26" ht="12.75" customHeight="1" x14ac:dyDescent="0.25">
      <c r="D197" s="89" t="s">
        <v>116</v>
      </c>
      <c r="E197" s="89" t="s">
        <v>70</v>
      </c>
      <c r="F197" s="371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2:26" ht="12.75" customHeight="1" x14ac:dyDescent="0.25">
      <c r="E198" s="89" t="s">
        <v>73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2:26" ht="12.75" customHeight="1" x14ac:dyDescent="0.25">
      <c r="D199" s="89" t="s">
        <v>118</v>
      </c>
      <c r="E199" s="89" t="s">
        <v>70</v>
      </c>
      <c r="F199" s="90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2:26" s="224" customFormat="1" ht="12.75" customHeight="1" x14ac:dyDescent="0.25">
      <c r="C200" s="223" t="s">
        <v>120</v>
      </c>
      <c r="D200" s="223" t="s">
        <v>70</v>
      </c>
      <c r="F200" s="225">
        <v>0</v>
      </c>
      <c r="G200" s="225">
        <v>0</v>
      </c>
      <c r="H200" s="225">
        <v>0</v>
      </c>
      <c r="I200" s="225">
        <v>0</v>
      </c>
      <c r="J200" s="225">
        <v>0</v>
      </c>
      <c r="K200" s="225">
        <v>0</v>
      </c>
      <c r="L200" s="225">
        <v>0</v>
      </c>
      <c r="M200" s="225">
        <v>0</v>
      </c>
      <c r="N200" s="225">
        <v>0</v>
      </c>
      <c r="O200" s="225">
        <v>0</v>
      </c>
      <c r="P200" s="225">
        <v>0</v>
      </c>
      <c r="Q200" s="225">
        <v>0</v>
      </c>
      <c r="R200" s="225">
        <v>0</v>
      </c>
      <c r="S200" s="225">
        <v>0</v>
      </c>
      <c r="T200" s="225">
        <v>0</v>
      </c>
      <c r="U200" s="225">
        <v>0</v>
      </c>
      <c r="V200" s="225">
        <v>0</v>
      </c>
      <c r="W200" s="225">
        <v>0</v>
      </c>
      <c r="X200" s="224">
        <v>0</v>
      </c>
      <c r="Y200" s="224">
        <v>0</v>
      </c>
      <c r="Z200" s="224">
        <v>0</v>
      </c>
    </row>
    <row r="201" spans="2:26" ht="12.75" customHeight="1" x14ac:dyDescent="0.25">
      <c r="E201" s="89" t="s">
        <v>73</v>
      </c>
      <c r="F201" s="90">
        <v>-31088475.780000001</v>
      </c>
      <c r="G201" s="90">
        <v>-571585.5</v>
      </c>
      <c r="H201" s="90">
        <v>-323201.34999999998</v>
      </c>
      <c r="I201" s="90">
        <v>-169745.15</v>
      </c>
      <c r="J201" s="90">
        <v>-9735003.8800000008</v>
      </c>
      <c r="K201" s="90">
        <v>-231454.24</v>
      </c>
      <c r="L201" s="90">
        <v>0</v>
      </c>
      <c r="M201" s="90">
        <v>-2030358.96</v>
      </c>
      <c r="N201" s="90">
        <v>-2877942.98</v>
      </c>
      <c r="O201" s="90">
        <v>-13713070.220000001</v>
      </c>
      <c r="P201" s="90">
        <v>-1058460.3500000001</v>
      </c>
      <c r="Q201" s="90">
        <v>-377653.15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2:26" ht="12.75" customHeight="1" x14ac:dyDescent="0.25">
      <c r="D202" s="89" t="s">
        <v>82</v>
      </c>
      <c r="E202" s="89" t="s">
        <v>70</v>
      </c>
      <c r="F202" s="90">
        <v>-31088475.780000001</v>
      </c>
      <c r="G202" s="90">
        <v>-571585.5</v>
      </c>
      <c r="H202" s="90">
        <v>-323201.34999999998</v>
      </c>
      <c r="I202" s="90">
        <v>-169745.15</v>
      </c>
      <c r="J202" s="90">
        <v>-9735003.8800000008</v>
      </c>
      <c r="K202" s="90">
        <v>-231454.24</v>
      </c>
      <c r="L202" s="90">
        <v>0</v>
      </c>
      <c r="M202" s="90">
        <v>-2030358.96</v>
      </c>
      <c r="N202" s="90">
        <v>-2877942.98</v>
      </c>
      <c r="O202" s="90">
        <v>-13713070.220000001</v>
      </c>
      <c r="P202" s="90">
        <v>-1058460.3500000001</v>
      </c>
      <c r="Q202" s="90">
        <v>-377653.15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2:26" ht="12.75" customHeight="1" x14ac:dyDescent="0.25">
      <c r="E203" s="89" t="s">
        <v>73</v>
      </c>
      <c r="F203" s="90">
        <v>-14182098.83</v>
      </c>
      <c r="G203" s="90">
        <v>1047560.36</v>
      </c>
      <c r="H203" s="90">
        <v>426887.4</v>
      </c>
      <c r="I203" s="90">
        <v>174177.04</v>
      </c>
      <c r="J203" s="90">
        <v>-6027627.3300000001</v>
      </c>
      <c r="K203" s="90">
        <v>-184901.07</v>
      </c>
      <c r="L203" s="90">
        <v>0</v>
      </c>
      <c r="M203" s="90">
        <v>-1611487.73</v>
      </c>
      <c r="N203" s="90">
        <v>-1961629.86</v>
      </c>
      <c r="O203" s="90">
        <v>-8029657.6100000003</v>
      </c>
      <c r="P203" s="90">
        <v>2286263.23</v>
      </c>
      <c r="Q203" s="90">
        <v>-301683.26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2:26" ht="12.75" customHeight="1" x14ac:dyDescent="0.25">
      <c r="D204" s="89" t="s">
        <v>86</v>
      </c>
      <c r="E204" s="89" t="s">
        <v>70</v>
      </c>
      <c r="F204" s="90">
        <v>-14182098.83</v>
      </c>
      <c r="G204" s="90">
        <v>1047560.36</v>
      </c>
      <c r="H204" s="90">
        <v>426887.4</v>
      </c>
      <c r="I204" s="90">
        <v>174177.04</v>
      </c>
      <c r="J204" s="90">
        <v>-6027627.3300000001</v>
      </c>
      <c r="K204" s="90">
        <v>-184901.07</v>
      </c>
      <c r="L204" s="90">
        <v>0</v>
      </c>
      <c r="M204" s="90">
        <v>-1611487.73</v>
      </c>
      <c r="N204" s="90">
        <v>-1961629.86</v>
      </c>
      <c r="O204" s="90">
        <v>-8029657.6100000003</v>
      </c>
      <c r="P204" s="90">
        <v>2286263.23</v>
      </c>
      <c r="Q204" s="90">
        <v>-301683.26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2:26" ht="12.75" customHeight="1" x14ac:dyDescent="0.25">
      <c r="E205" s="89" t="s">
        <v>73</v>
      </c>
      <c r="F205" s="90">
        <v>195871960.86000001</v>
      </c>
      <c r="G205" s="90">
        <v>49845911.240000002</v>
      </c>
      <c r="H205" s="90">
        <v>28086644.109999999</v>
      </c>
      <c r="I205" s="90">
        <v>14936846.68</v>
      </c>
      <c r="J205" s="90">
        <v>1502048.34</v>
      </c>
      <c r="K205" s="90">
        <v>29601.67</v>
      </c>
      <c r="L205" s="90">
        <v>0</v>
      </c>
      <c r="M205" s="90">
        <v>250884.17</v>
      </c>
      <c r="N205" s="90">
        <v>327364.28999999998</v>
      </c>
      <c r="O205" s="90">
        <v>1552212.7</v>
      </c>
      <c r="P205" s="90">
        <v>99292242.280000001</v>
      </c>
      <c r="Q205" s="90">
        <v>48205.38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2:26" ht="12.75" customHeight="1" x14ac:dyDescent="0.25">
      <c r="D206" s="89" t="s">
        <v>87</v>
      </c>
      <c r="E206" s="89" t="s">
        <v>70</v>
      </c>
      <c r="F206" s="90">
        <v>195871960.86000001</v>
      </c>
      <c r="G206" s="90">
        <v>49845911.240000002</v>
      </c>
      <c r="H206" s="90">
        <v>28086644.109999999</v>
      </c>
      <c r="I206" s="90">
        <v>14936846.68</v>
      </c>
      <c r="J206" s="90">
        <v>1502048.34</v>
      </c>
      <c r="K206" s="90">
        <v>29601.67</v>
      </c>
      <c r="L206" s="90">
        <v>0</v>
      </c>
      <c r="M206" s="90">
        <v>250884.17</v>
      </c>
      <c r="N206" s="90">
        <v>327364.28999999998</v>
      </c>
      <c r="O206" s="90">
        <v>1552212.7</v>
      </c>
      <c r="P206" s="90">
        <v>99292242.280000001</v>
      </c>
      <c r="Q206" s="90">
        <v>48205.38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2:26" s="94" customFormat="1" ht="12.75" customHeight="1" x14ac:dyDescent="0.25">
      <c r="C207" s="101" t="s">
        <v>119</v>
      </c>
      <c r="D207" s="101" t="s">
        <v>70</v>
      </c>
      <c r="F207" s="93">
        <v>150601386.25</v>
      </c>
      <c r="G207" s="93">
        <v>50321886.100000001</v>
      </c>
      <c r="H207" s="93">
        <v>28190330.16</v>
      </c>
      <c r="I207" s="93">
        <v>14941278.57</v>
      </c>
      <c r="J207" s="93">
        <v>-14260582.869999999</v>
      </c>
      <c r="K207" s="93">
        <v>-386753.64</v>
      </c>
      <c r="L207" s="93">
        <v>0</v>
      </c>
      <c r="M207" s="93">
        <v>-3390962.52</v>
      </c>
      <c r="N207" s="93">
        <v>-4512208.55</v>
      </c>
      <c r="O207" s="93">
        <v>-20190515.129999999</v>
      </c>
      <c r="P207" s="93">
        <v>100520045.16</v>
      </c>
      <c r="Q207" s="93">
        <v>-631131.03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0</v>
      </c>
      <c r="X207" s="94">
        <v>0</v>
      </c>
      <c r="Y207" s="94">
        <v>0</v>
      </c>
      <c r="Z207" s="94">
        <v>0</v>
      </c>
    </row>
    <row r="208" spans="2:26" s="226" customFormat="1" ht="12.75" customHeight="1" x14ac:dyDescent="0.25">
      <c r="B208" s="98" t="s">
        <v>112</v>
      </c>
      <c r="C208" s="98" t="s">
        <v>70</v>
      </c>
      <c r="F208" s="100">
        <v>-3267495564.5999999</v>
      </c>
      <c r="G208" s="100">
        <v>-30229702.949999999</v>
      </c>
      <c r="H208" s="100">
        <v>-16567916.449999999</v>
      </c>
      <c r="I208" s="100">
        <v>-8813497.5</v>
      </c>
      <c r="J208" s="100">
        <v>-1012960247.51</v>
      </c>
      <c r="K208" s="100">
        <v>-36063910</v>
      </c>
      <c r="L208" s="100">
        <v>0</v>
      </c>
      <c r="M208" s="100">
        <v>-316379552.58999997</v>
      </c>
      <c r="N208" s="100">
        <v>-302191158.04000002</v>
      </c>
      <c r="O208" s="100">
        <v>-1436344526.0899999</v>
      </c>
      <c r="P208" s="100">
        <v>-49101613.280000001</v>
      </c>
      <c r="Q208" s="100">
        <v>-58843440.189999998</v>
      </c>
      <c r="R208" s="100">
        <v>0</v>
      </c>
      <c r="S208" s="100">
        <v>0</v>
      </c>
      <c r="T208" s="100">
        <v>0</v>
      </c>
      <c r="U208" s="100">
        <v>0</v>
      </c>
      <c r="V208" s="100">
        <v>0</v>
      </c>
      <c r="W208" s="100">
        <v>0</v>
      </c>
      <c r="X208" s="226">
        <v>0</v>
      </c>
      <c r="Y208" s="226">
        <v>0</v>
      </c>
      <c r="Z208" s="226">
        <v>0</v>
      </c>
    </row>
    <row r="209" spans="1:26" ht="12.75" customHeight="1" x14ac:dyDescent="0.25">
      <c r="A209" s="89" t="s">
        <v>79</v>
      </c>
      <c r="B209" s="89" t="s">
        <v>70</v>
      </c>
      <c r="F209" s="90">
        <v>-3269544673.2199998</v>
      </c>
      <c r="G209" s="90">
        <v>-30279793.77</v>
      </c>
      <c r="H209" s="90">
        <v>-16596127.039999999</v>
      </c>
      <c r="I209" s="90">
        <v>-8828497.9100000001</v>
      </c>
      <c r="J209" s="90">
        <v>-1013544638.79</v>
      </c>
      <c r="K209" s="90">
        <v>-36079736.780000001</v>
      </c>
      <c r="L209" s="90">
        <v>0</v>
      </c>
      <c r="M209" s="90">
        <v>-316518386.75</v>
      </c>
      <c r="N209" s="90">
        <v>-302380530.62</v>
      </c>
      <c r="O209" s="90">
        <v>-1437248543.8399999</v>
      </c>
      <c r="P209" s="90">
        <v>-49199154.409999996</v>
      </c>
      <c r="Q209" s="90">
        <v>-58869263.310000002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1:26" ht="12.75" customHeight="1" x14ac:dyDescent="0.25">
      <c r="A210" s="89" t="s">
        <v>70</v>
      </c>
      <c r="F210" s="90">
        <v>11238640614.9</v>
      </c>
      <c r="G210" s="90">
        <v>843626350.30999994</v>
      </c>
      <c r="H210" s="90">
        <v>467234066.25999999</v>
      </c>
      <c r="I210" s="90">
        <v>247677420.33000001</v>
      </c>
      <c r="J210" s="90">
        <v>2563011989.3600001</v>
      </c>
      <c r="K210" s="90">
        <v>90627303.060000002</v>
      </c>
      <c r="L210" s="90">
        <v>9834335.8100000005</v>
      </c>
      <c r="M210" s="90">
        <v>795176288.37</v>
      </c>
      <c r="N210" s="90">
        <v>766701280.54999995</v>
      </c>
      <c r="O210" s="90">
        <v>3641899856.2800002</v>
      </c>
      <c r="P210" s="90">
        <v>1664899060.9300001</v>
      </c>
      <c r="Q210" s="90">
        <v>148023277.69999999</v>
      </c>
      <c r="R210" s="90">
        <v>-14306.29</v>
      </c>
      <c r="S210" s="90">
        <v>-56307.56</v>
      </c>
      <c r="T210" s="90">
        <v>0.4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-0.61</v>
      </c>
    </row>
    <row r="211" spans="1:26" ht="12.75" customHeight="1" x14ac:dyDescent="0.25">
      <c r="A211" s="89"/>
      <c r="D211" s="89"/>
      <c r="E211" s="89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26" ht="12.75" customHeight="1" x14ac:dyDescent="0.25">
      <c r="A212" s="89"/>
      <c r="C212" s="89"/>
      <c r="D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26" ht="12.75" hidden="1" customHeight="1" x14ac:dyDescent="0.25">
      <c r="A213" s="89"/>
      <c r="E213" s="89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26" ht="12.75" hidden="1" customHeight="1" x14ac:dyDescent="0.25">
      <c r="A214" s="89"/>
      <c r="D214" s="89"/>
      <c r="E214" s="89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26" ht="12.75" hidden="1" customHeight="1" x14ac:dyDescent="0.25">
      <c r="A215" s="89"/>
      <c r="E215" s="89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26" ht="12.75" hidden="1" customHeight="1" x14ac:dyDescent="0.25">
      <c r="A216" s="89"/>
      <c r="D216" s="89"/>
      <c r="E216" s="89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26" ht="12.75" hidden="1" customHeight="1" x14ac:dyDescent="0.25">
      <c r="A217" s="89"/>
      <c r="E217" s="89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26" ht="12.75" hidden="1" customHeight="1" x14ac:dyDescent="0.25">
      <c r="A218" s="89"/>
      <c r="D218" s="89"/>
      <c r="E218" s="89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26" ht="12.75" hidden="1" customHeight="1" x14ac:dyDescent="0.25">
      <c r="A219" s="89"/>
      <c r="C219" s="89"/>
      <c r="D219" s="89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26" ht="12.75" hidden="1" customHeight="1" x14ac:dyDescent="0.25">
      <c r="A220" s="89"/>
      <c r="B220" s="89"/>
      <c r="C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26" ht="12.75" hidden="1" customHeight="1" x14ac:dyDescent="0.25">
      <c r="A221" s="89"/>
      <c r="B221" s="89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26" ht="12.75" hidden="1" customHeight="1" x14ac:dyDescent="0.25">
      <c r="A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26" ht="12.75" hidden="1" customHeight="1" x14ac:dyDescent="0.25">
      <c r="A223" s="89"/>
      <c r="B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1:26" ht="12.75" hidden="1" customHeight="1" x14ac:dyDescent="0.25">
      <c r="A224" s="89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2.75" hidden="1" customHeight="1" x14ac:dyDescent="0.25">
      <c r="A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19" ht="12.75" hidden="1" customHeight="1" x14ac:dyDescent="0.25">
      <c r="A226" s="89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2.75" hidden="1" customHeight="1" x14ac:dyDescent="0.25">
      <c r="A227" s="89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19" ht="12.75" hidden="1" customHeight="1" x14ac:dyDescent="0.25">
      <c r="A228" s="89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1:19" ht="12.75" hidden="1" customHeight="1" x14ac:dyDescent="0.25">
      <c r="A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1:19" ht="12.75" hidden="1" customHeight="1" x14ac:dyDescent="0.25">
      <c r="A230" s="89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19" ht="12.75" hidden="1" customHeight="1" x14ac:dyDescent="0.25">
      <c r="A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1:19" ht="12.75" hidden="1" customHeight="1" x14ac:dyDescent="0.25">
      <c r="A232" s="89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19" ht="12.75" hidden="1" customHeight="1" x14ac:dyDescent="0.25">
      <c r="A233" s="89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1:19" ht="12.75" hidden="1" customHeight="1" x14ac:dyDescent="0.25">
      <c r="A234" s="89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1:19" ht="12.75" hidden="1" customHeight="1" x14ac:dyDescent="0.25">
      <c r="A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1:19" ht="12.75" hidden="1" customHeight="1" x14ac:dyDescent="0.25">
      <c r="A236" s="89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1:19" ht="12.75" hidden="1" customHeight="1" x14ac:dyDescent="0.25">
      <c r="A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1:19" ht="12.75" hidden="1" customHeight="1" x14ac:dyDescent="0.25">
      <c r="A238" s="89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1:19" ht="12.75" hidden="1" customHeight="1" x14ac:dyDescent="0.25">
      <c r="A239" s="89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1:19" ht="12.75" hidden="1" customHeight="1" x14ac:dyDescent="0.25">
      <c r="A240" s="89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1:42" ht="12.75" hidden="1" customHeight="1" x14ac:dyDescent="0.25">
      <c r="A241" s="89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1:42" ht="12.75" hidden="1" customHeight="1" x14ac:dyDescent="0.25">
      <c r="A242" s="89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1:42" ht="12.75" hidden="1" customHeight="1" x14ac:dyDescent="0.25">
      <c r="A243" s="89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1:42" ht="12.75" hidden="1" customHeight="1" x14ac:dyDescent="0.25">
      <c r="A244" s="89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1:42" ht="12.75" hidden="1" customHeight="1" x14ac:dyDescent="0.25">
      <c r="A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1:42" ht="12.75" hidden="1" customHeight="1" x14ac:dyDescent="0.25">
      <c r="A246" s="89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1:42" ht="12.75" hidden="1" customHeight="1" x14ac:dyDescent="0.25">
      <c r="A247" s="89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1:42" ht="12.75" hidden="1" customHeight="1" x14ac:dyDescent="0.25">
      <c r="A248" s="89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1:42" ht="12.75" hidden="1" customHeight="1" x14ac:dyDescent="0.25">
      <c r="A249" s="89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1:42" ht="12.75" hidden="1" customHeight="1" x14ac:dyDescent="0.25">
      <c r="A250" s="89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1:42" ht="12.75" hidden="1" customHeight="1" x14ac:dyDescent="0.25">
      <c r="A251" s="89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1:42" ht="12.75" customHeight="1" x14ac:dyDescent="0.25">
      <c r="A252" s="89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1:42" ht="12.75" customHeight="1" x14ac:dyDescent="0.25">
      <c r="A253" s="89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1:42" ht="12.75" customHeight="1" x14ac:dyDescent="0.25">
      <c r="C254" s="777" t="s">
        <v>2</v>
      </c>
      <c r="D254" s="774" t="s">
        <v>132</v>
      </c>
      <c r="E254" s="98" t="s">
        <v>70</v>
      </c>
      <c r="F254" s="100">
        <f>F171+F208-L171+F120-L120</f>
        <v>11219101305.09</v>
      </c>
      <c r="G254" s="100">
        <f t="shared" ref="G254:AP254" si="7">G171+G120</f>
        <v>873254306.83000004</v>
      </c>
      <c r="H254" s="100">
        <f t="shared" si="7"/>
        <v>483462932.19999999</v>
      </c>
      <c r="I254" s="100">
        <f t="shared" si="7"/>
        <v>256309653.09999999</v>
      </c>
      <c r="J254" s="100">
        <f t="shared" si="7"/>
        <v>3573620561.6399999</v>
      </c>
      <c r="K254" s="100">
        <f t="shared" si="7"/>
        <v>126627767.13</v>
      </c>
      <c r="L254" s="100">
        <f t="shared" si="7"/>
        <v>9834335.8100000005</v>
      </c>
      <c r="M254" s="100">
        <f t="shared" si="7"/>
        <v>1110999299.71</v>
      </c>
      <c r="N254" s="100">
        <f t="shared" si="7"/>
        <v>1068155937.1999999</v>
      </c>
      <c r="O254" s="100">
        <f t="shared" si="7"/>
        <v>5074671965.54</v>
      </c>
      <c r="P254" s="100">
        <f t="shared" si="7"/>
        <v>1712802998.4100001</v>
      </c>
      <c r="Q254" s="100">
        <f t="shared" si="7"/>
        <v>206761960.40000001</v>
      </c>
      <c r="R254" s="100">
        <f t="shared" si="7"/>
        <v>-14204.66</v>
      </c>
      <c r="S254" s="100">
        <f t="shared" si="7"/>
        <v>-56307.6</v>
      </c>
      <c r="T254" s="100">
        <f t="shared" si="7"/>
        <v>0.4</v>
      </c>
      <c r="U254" s="100">
        <f t="shared" si="7"/>
        <v>0</v>
      </c>
      <c r="V254" s="100">
        <f t="shared" si="7"/>
        <v>0</v>
      </c>
      <c r="W254" s="100">
        <f t="shared" si="7"/>
        <v>0</v>
      </c>
      <c r="X254" s="100">
        <f t="shared" si="7"/>
        <v>0</v>
      </c>
      <c r="Y254" s="100">
        <f t="shared" si="7"/>
        <v>0</v>
      </c>
      <c r="Z254" s="100">
        <f t="shared" si="7"/>
        <v>-0.61</v>
      </c>
      <c r="AA254" s="100">
        <f t="shared" si="7"/>
        <v>0</v>
      </c>
      <c r="AB254" s="100">
        <f t="shared" si="7"/>
        <v>0</v>
      </c>
      <c r="AC254" s="100">
        <f t="shared" si="7"/>
        <v>0</v>
      </c>
      <c r="AD254" s="100">
        <f t="shared" si="7"/>
        <v>0</v>
      </c>
      <c r="AE254" s="100">
        <f t="shared" si="7"/>
        <v>0</v>
      </c>
      <c r="AF254" s="100">
        <f t="shared" si="7"/>
        <v>0</v>
      </c>
      <c r="AG254" s="100">
        <f t="shared" si="7"/>
        <v>0</v>
      </c>
      <c r="AH254" s="100">
        <f t="shared" si="7"/>
        <v>0</v>
      </c>
      <c r="AI254" s="100">
        <f t="shared" si="7"/>
        <v>0</v>
      </c>
      <c r="AJ254" s="100">
        <f t="shared" si="7"/>
        <v>0</v>
      </c>
      <c r="AK254" s="100">
        <f t="shared" si="7"/>
        <v>0</v>
      </c>
      <c r="AL254" s="100">
        <f t="shared" si="7"/>
        <v>0</v>
      </c>
      <c r="AM254" s="100">
        <f t="shared" si="7"/>
        <v>0</v>
      </c>
      <c r="AN254" s="100">
        <f t="shared" si="7"/>
        <v>0</v>
      </c>
      <c r="AO254" s="100">
        <f t="shared" si="7"/>
        <v>0</v>
      </c>
      <c r="AP254" s="100">
        <f t="shared" si="7"/>
        <v>0</v>
      </c>
    </row>
    <row r="255" spans="1:42" ht="12.75" customHeight="1" x14ac:dyDescent="0.25">
      <c r="C255" s="777"/>
      <c r="D255" s="774"/>
      <c r="E255" s="98" t="s">
        <v>73</v>
      </c>
      <c r="F255" s="100">
        <f>F208</f>
        <v>-3267495564.5999999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1:42" ht="12.75" customHeight="1" x14ac:dyDescent="0.25">
      <c r="C256" s="777"/>
      <c r="D256" s="774" t="s">
        <v>133</v>
      </c>
      <c r="E256" s="233" t="s">
        <v>70</v>
      </c>
      <c r="F256" s="234">
        <f>F190+F146-L146</f>
        <v>9704974</v>
      </c>
      <c r="G256" s="234">
        <f t="shared" ref="G256:AP256" si="8">G146</f>
        <v>651837.25</v>
      </c>
      <c r="H256" s="234">
        <f t="shared" si="8"/>
        <v>367261.1</v>
      </c>
      <c r="I256" s="234">
        <f t="shared" si="8"/>
        <v>196265.14</v>
      </c>
      <c r="J256" s="234">
        <f t="shared" si="8"/>
        <v>2936066.51</v>
      </c>
      <c r="K256" s="234">
        <f t="shared" si="8"/>
        <v>79272.710000000006</v>
      </c>
      <c r="L256" s="234">
        <f t="shared" si="8"/>
        <v>0</v>
      </c>
      <c r="M256" s="234">
        <f t="shared" si="8"/>
        <v>695375.41</v>
      </c>
      <c r="N256" s="234">
        <f t="shared" si="8"/>
        <v>925873.97</v>
      </c>
      <c r="O256" s="234">
        <f t="shared" si="8"/>
        <v>4476434.58</v>
      </c>
      <c r="P256" s="234">
        <f t="shared" si="8"/>
        <v>1295216.93</v>
      </c>
      <c r="Q256" s="234">
        <f t="shared" si="8"/>
        <v>130580.61</v>
      </c>
      <c r="R256" s="234">
        <f t="shared" si="8"/>
        <v>-101.63</v>
      </c>
      <c r="S256" s="234">
        <f t="shared" si="8"/>
        <v>0.04</v>
      </c>
      <c r="T256" s="234">
        <f t="shared" si="8"/>
        <v>0</v>
      </c>
      <c r="U256" s="234">
        <f t="shared" si="8"/>
        <v>0</v>
      </c>
      <c r="V256" s="234">
        <f t="shared" si="8"/>
        <v>0</v>
      </c>
      <c r="W256" s="234">
        <f t="shared" si="8"/>
        <v>0</v>
      </c>
      <c r="X256" s="234">
        <f t="shared" si="8"/>
        <v>0</v>
      </c>
      <c r="Y256" s="234">
        <f t="shared" si="8"/>
        <v>0</v>
      </c>
      <c r="Z256" s="234">
        <f t="shared" si="8"/>
        <v>0</v>
      </c>
      <c r="AA256" s="234">
        <f t="shared" si="8"/>
        <v>0</v>
      </c>
      <c r="AB256" s="234">
        <f t="shared" si="8"/>
        <v>0</v>
      </c>
      <c r="AC256" s="234">
        <f t="shared" si="8"/>
        <v>0</v>
      </c>
      <c r="AD256" s="234">
        <f t="shared" si="8"/>
        <v>0</v>
      </c>
      <c r="AE256" s="234">
        <f t="shared" si="8"/>
        <v>0</v>
      </c>
      <c r="AF256" s="234">
        <f t="shared" si="8"/>
        <v>0</v>
      </c>
      <c r="AG256" s="234">
        <f t="shared" si="8"/>
        <v>0</v>
      </c>
      <c r="AH256" s="234">
        <f t="shared" si="8"/>
        <v>0</v>
      </c>
      <c r="AI256" s="234">
        <f t="shared" si="8"/>
        <v>0</v>
      </c>
      <c r="AJ256" s="234">
        <f t="shared" si="8"/>
        <v>0</v>
      </c>
      <c r="AK256" s="234">
        <f t="shared" si="8"/>
        <v>0</v>
      </c>
      <c r="AL256" s="234">
        <f t="shared" si="8"/>
        <v>0</v>
      </c>
      <c r="AM256" s="234">
        <f t="shared" si="8"/>
        <v>0</v>
      </c>
      <c r="AN256" s="234">
        <f t="shared" si="8"/>
        <v>0</v>
      </c>
      <c r="AO256" s="234">
        <f t="shared" si="8"/>
        <v>0</v>
      </c>
      <c r="AP256" s="234">
        <f t="shared" si="8"/>
        <v>0</v>
      </c>
    </row>
    <row r="257" spans="1:42" ht="12.75" customHeight="1" x14ac:dyDescent="0.25">
      <c r="C257" s="777"/>
      <c r="D257" s="774"/>
      <c r="E257" s="233" t="s">
        <v>73</v>
      </c>
      <c r="F257" s="234">
        <f>F190</f>
        <v>-2049108.62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42" ht="12.75" customHeight="1" x14ac:dyDescent="0.25">
      <c r="A258" s="89"/>
      <c r="C258" s="9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42" ht="12.75" customHeight="1" x14ac:dyDescent="0.25">
      <c r="C259" s="777" t="s">
        <v>160</v>
      </c>
      <c r="D259" s="774" t="s">
        <v>132</v>
      </c>
      <c r="E259" s="223" t="s">
        <v>70</v>
      </c>
      <c r="F259" s="225">
        <f>F200+F160-L160</f>
        <v>0</v>
      </c>
      <c r="G259" s="225">
        <f t="shared" ref="G259:AP259" si="9">G160</f>
        <v>0</v>
      </c>
      <c r="H259" s="225">
        <f t="shared" si="9"/>
        <v>0</v>
      </c>
      <c r="I259" s="225">
        <f t="shared" si="9"/>
        <v>0</v>
      </c>
      <c r="J259" s="225">
        <f t="shared" si="9"/>
        <v>0</v>
      </c>
      <c r="K259" s="225">
        <f t="shared" si="9"/>
        <v>0</v>
      </c>
      <c r="L259" s="225">
        <f t="shared" si="9"/>
        <v>0</v>
      </c>
      <c r="M259" s="225">
        <f t="shared" si="9"/>
        <v>0</v>
      </c>
      <c r="N259" s="225">
        <f t="shared" si="9"/>
        <v>0</v>
      </c>
      <c r="O259" s="225">
        <f t="shared" si="9"/>
        <v>0</v>
      </c>
      <c r="P259" s="225">
        <f t="shared" si="9"/>
        <v>0</v>
      </c>
      <c r="Q259" s="225">
        <f t="shared" si="9"/>
        <v>0</v>
      </c>
      <c r="R259" s="225">
        <f t="shared" si="9"/>
        <v>0</v>
      </c>
      <c r="S259" s="225">
        <f t="shared" si="9"/>
        <v>0</v>
      </c>
      <c r="T259" s="225">
        <f t="shared" si="9"/>
        <v>0</v>
      </c>
      <c r="U259" s="225">
        <f t="shared" si="9"/>
        <v>0</v>
      </c>
      <c r="V259" s="225">
        <f t="shared" si="9"/>
        <v>0</v>
      </c>
      <c r="W259" s="225">
        <f t="shared" si="9"/>
        <v>0</v>
      </c>
      <c r="X259" s="225">
        <f t="shared" si="9"/>
        <v>0</v>
      </c>
      <c r="Y259" s="225">
        <f t="shared" si="9"/>
        <v>0</v>
      </c>
      <c r="Z259" s="225">
        <f t="shared" si="9"/>
        <v>0</v>
      </c>
      <c r="AA259" s="225">
        <f t="shared" si="9"/>
        <v>0</v>
      </c>
      <c r="AB259" s="225">
        <f t="shared" si="9"/>
        <v>0</v>
      </c>
      <c r="AC259" s="225">
        <f t="shared" si="9"/>
        <v>0</v>
      </c>
      <c r="AD259" s="225">
        <f t="shared" si="9"/>
        <v>0</v>
      </c>
      <c r="AE259" s="225">
        <f t="shared" si="9"/>
        <v>0</v>
      </c>
      <c r="AF259" s="225">
        <f t="shared" si="9"/>
        <v>0</v>
      </c>
      <c r="AG259" s="225">
        <f t="shared" si="9"/>
        <v>0</v>
      </c>
      <c r="AH259" s="225">
        <f t="shared" si="9"/>
        <v>0</v>
      </c>
      <c r="AI259" s="225">
        <f t="shared" si="9"/>
        <v>0</v>
      </c>
      <c r="AJ259" s="225">
        <f t="shared" si="9"/>
        <v>0</v>
      </c>
      <c r="AK259" s="225">
        <f t="shared" si="9"/>
        <v>0</v>
      </c>
      <c r="AL259" s="225">
        <f t="shared" si="9"/>
        <v>0</v>
      </c>
      <c r="AM259" s="225">
        <f t="shared" si="9"/>
        <v>0</v>
      </c>
      <c r="AN259" s="225">
        <f t="shared" si="9"/>
        <v>0</v>
      </c>
      <c r="AO259" s="225">
        <f t="shared" si="9"/>
        <v>0</v>
      </c>
      <c r="AP259" s="225">
        <f t="shared" si="9"/>
        <v>0</v>
      </c>
    </row>
    <row r="260" spans="1:42" ht="12.75" customHeight="1" x14ac:dyDescent="0.25">
      <c r="C260" s="777"/>
      <c r="D260" s="774"/>
      <c r="E260" s="223" t="s">
        <v>73</v>
      </c>
      <c r="F260" s="225">
        <f>F200</f>
        <v>0</v>
      </c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42" ht="12.75" customHeight="1" x14ac:dyDescent="0.25">
      <c r="C261" s="777"/>
      <c r="D261" s="774" t="s">
        <v>133</v>
      </c>
      <c r="E261" s="227" t="s">
        <v>70</v>
      </c>
      <c r="F261" s="228">
        <f>F182+F135-L135</f>
        <v>0</v>
      </c>
      <c r="G261" s="228">
        <f>G135</f>
        <v>0</v>
      </c>
      <c r="H261" s="228">
        <f t="shared" ref="H261:AP261" si="10">H135</f>
        <v>0</v>
      </c>
      <c r="I261" s="228">
        <f t="shared" si="10"/>
        <v>0</v>
      </c>
      <c r="J261" s="228">
        <f t="shared" si="10"/>
        <v>0</v>
      </c>
      <c r="K261" s="228">
        <f t="shared" si="10"/>
        <v>0</v>
      </c>
      <c r="L261" s="228">
        <f t="shared" si="10"/>
        <v>0</v>
      </c>
      <c r="M261" s="228">
        <f t="shared" si="10"/>
        <v>0</v>
      </c>
      <c r="N261" s="228">
        <f t="shared" si="10"/>
        <v>0</v>
      </c>
      <c r="O261" s="228">
        <f t="shared" si="10"/>
        <v>0</v>
      </c>
      <c r="P261" s="228">
        <f t="shared" si="10"/>
        <v>0</v>
      </c>
      <c r="Q261" s="228">
        <f t="shared" si="10"/>
        <v>0</v>
      </c>
      <c r="R261" s="228">
        <f t="shared" si="10"/>
        <v>0</v>
      </c>
      <c r="S261" s="228">
        <f t="shared" si="10"/>
        <v>0</v>
      </c>
      <c r="T261" s="228">
        <f t="shared" si="10"/>
        <v>0</v>
      </c>
      <c r="U261" s="228">
        <f t="shared" si="10"/>
        <v>0</v>
      </c>
      <c r="V261" s="228">
        <f t="shared" si="10"/>
        <v>0</v>
      </c>
      <c r="W261" s="228">
        <f t="shared" si="10"/>
        <v>0</v>
      </c>
      <c r="X261" s="228">
        <f t="shared" si="10"/>
        <v>0</v>
      </c>
      <c r="Y261" s="228">
        <f t="shared" si="10"/>
        <v>0</v>
      </c>
      <c r="Z261" s="228">
        <f t="shared" si="10"/>
        <v>0</v>
      </c>
      <c r="AA261" s="228">
        <f t="shared" si="10"/>
        <v>0</v>
      </c>
      <c r="AB261" s="228">
        <f t="shared" si="10"/>
        <v>0</v>
      </c>
      <c r="AC261" s="228">
        <f t="shared" si="10"/>
        <v>0</v>
      </c>
      <c r="AD261" s="228">
        <f t="shared" si="10"/>
        <v>0</v>
      </c>
      <c r="AE261" s="228">
        <f t="shared" si="10"/>
        <v>0</v>
      </c>
      <c r="AF261" s="228">
        <f t="shared" si="10"/>
        <v>0</v>
      </c>
      <c r="AG261" s="228">
        <f t="shared" si="10"/>
        <v>0</v>
      </c>
      <c r="AH261" s="228">
        <f t="shared" si="10"/>
        <v>0</v>
      </c>
      <c r="AI261" s="228">
        <f t="shared" si="10"/>
        <v>0</v>
      </c>
      <c r="AJ261" s="228">
        <f t="shared" si="10"/>
        <v>0</v>
      </c>
      <c r="AK261" s="228">
        <f t="shared" si="10"/>
        <v>0</v>
      </c>
      <c r="AL261" s="228">
        <f t="shared" si="10"/>
        <v>0</v>
      </c>
      <c r="AM261" s="228">
        <f t="shared" si="10"/>
        <v>0</v>
      </c>
      <c r="AN261" s="228">
        <f t="shared" si="10"/>
        <v>0</v>
      </c>
      <c r="AO261" s="228">
        <f t="shared" si="10"/>
        <v>0</v>
      </c>
      <c r="AP261" s="228">
        <f t="shared" si="10"/>
        <v>0</v>
      </c>
    </row>
    <row r="262" spans="1:42" ht="12.75" customHeight="1" x14ac:dyDescent="0.25">
      <c r="C262" s="777"/>
      <c r="D262" s="774"/>
      <c r="E262" s="227" t="s">
        <v>73</v>
      </c>
      <c r="F262" s="228">
        <f>F182</f>
        <v>0</v>
      </c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42" ht="12.75" customHeight="1" x14ac:dyDescent="0.25">
      <c r="A263" s="89"/>
      <c r="C263" s="9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42" ht="12.75" customHeight="1" x14ac:dyDescent="0.25">
      <c r="C264" s="777" t="s">
        <v>155</v>
      </c>
      <c r="D264" s="774" t="s">
        <v>132</v>
      </c>
      <c r="E264" s="221" t="s">
        <v>70</v>
      </c>
      <c r="F264" s="222">
        <f>F193+F150+F112--L112-L150</f>
        <v>10280213362.66</v>
      </c>
      <c r="G264" s="222">
        <f t="shared" ref="G264:AA264" si="11">G150+G112</f>
        <v>761018413.75</v>
      </c>
      <c r="H264" s="222">
        <f t="shared" si="11"/>
        <v>421539408.77999997</v>
      </c>
      <c r="I264" s="222">
        <f t="shared" si="11"/>
        <v>223598944.56999999</v>
      </c>
      <c r="J264" s="222">
        <f t="shared" si="11"/>
        <v>3457771027.23</v>
      </c>
      <c r="K264" s="222">
        <f t="shared" si="11"/>
        <v>123618520.53999999</v>
      </c>
      <c r="L264" s="222">
        <f t="shared" si="11"/>
        <v>6722063.21</v>
      </c>
      <c r="M264" s="222">
        <f t="shared" si="11"/>
        <v>1083903765.4000001</v>
      </c>
      <c r="N264" s="222">
        <f t="shared" si="11"/>
        <v>1031752345.1600001</v>
      </c>
      <c r="O264" s="222">
        <f t="shared" si="11"/>
        <v>4903307713.3400002</v>
      </c>
      <c r="P264" s="222">
        <f t="shared" si="11"/>
        <v>1489981474</v>
      </c>
      <c r="Q264" s="222">
        <f t="shared" si="11"/>
        <v>201832007.78999999</v>
      </c>
      <c r="R264" s="222">
        <f t="shared" si="11"/>
        <v>-13258.12</v>
      </c>
      <c r="S264" s="222">
        <f t="shared" si="11"/>
        <v>-48.93</v>
      </c>
      <c r="T264" s="222">
        <f t="shared" si="11"/>
        <v>0.4</v>
      </c>
      <c r="U264" s="222">
        <f t="shared" si="11"/>
        <v>0</v>
      </c>
      <c r="V264" s="222">
        <f t="shared" si="11"/>
        <v>0</v>
      </c>
      <c r="W264" s="222">
        <f t="shared" si="11"/>
        <v>0</v>
      </c>
      <c r="X264" s="222">
        <f t="shared" si="11"/>
        <v>0</v>
      </c>
      <c r="Y264" s="222">
        <f t="shared" si="11"/>
        <v>0</v>
      </c>
      <c r="Z264" s="222">
        <f t="shared" si="11"/>
        <v>-0.4</v>
      </c>
      <c r="AA264" s="222">
        <f t="shared" si="11"/>
        <v>0</v>
      </c>
    </row>
    <row r="265" spans="1:42" ht="12.75" customHeight="1" x14ac:dyDescent="0.25">
      <c r="C265" s="777"/>
      <c r="D265" s="774"/>
      <c r="E265" s="221" t="s">
        <v>73</v>
      </c>
      <c r="F265" s="222">
        <f>F193</f>
        <v>-3418096950.8499999</v>
      </c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42" ht="12.75" customHeight="1" x14ac:dyDescent="0.25">
      <c r="C266" s="777"/>
      <c r="D266" s="774" t="s">
        <v>133</v>
      </c>
      <c r="E266" s="229" t="s">
        <v>70</v>
      </c>
      <c r="F266" s="230">
        <f>F175+F125-L125</f>
        <v>9240820</v>
      </c>
      <c r="G266" s="230">
        <f t="shared" ref="G266:AA266" si="12">G125</f>
        <v>619369.35</v>
      </c>
      <c r="H266" s="230">
        <f t="shared" si="12"/>
        <v>348940.76</v>
      </c>
      <c r="I266" s="230">
        <f t="shared" si="12"/>
        <v>186556.4</v>
      </c>
      <c r="J266" s="230">
        <f t="shared" si="12"/>
        <v>2777266.1</v>
      </c>
      <c r="K266" s="230">
        <f t="shared" si="12"/>
        <v>74214.44</v>
      </c>
      <c r="L266" s="230">
        <f t="shared" si="12"/>
        <v>0</v>
      </c>
      <c r="M266" s="230">
        <f t="shared" si="12"/>
        <v>651004.74</v>
      </c>
      <c r="N266" s="230">
        <f t="shared" si="12"/>
        <v>869550.37</v>
      </c>
      <c r="O266" s="230">
        <f t="shared" si="12"/>
        <v>4207125.5599999996</v>
      </c>
      <c r="P266" s="230">
        <f t="shared" si="12"/>
        <v>1231696.32</v>
      </c>
      <c r="Q266" s="230">
        <f t="shared" si="12"/>
        <v>122327.65</v>
      </c>
      <c r="R266" s="230">
        <f t="shared" si="12"/>
        <v>-111.65</v>
      </c>
      <c r="S266" s="230">
        <f t="shared" si="12"/>
        <v>0.04</v>
      </c>
      <c r="T266" s="230">
        <f t="shared" si="12"/>
        <v>0</v>
      </c>
      <c r="U266" s="230">
        <f t="shared" si="12"/>
        <v>0</v>
      </c>
      <c r="V266" s="230">
        <f t="shared" si="12"/>
        <v>0</v>
      </c>
      <c r="W266" s="230">
        <f t="shared" si="12"/>
        <v>0</v>
      </c>
      <c r="X266" s="230">
        <f t="shared" si="12"/>
        <v>0</v>
      </c>
      <c r="Y266" s="230">
        <f t="shared" si="12"/>
        <v>0</v>
      </c>
      <c r="Z266" s="230">
        <f t="shared" si="12"/>
        <v>0</v>
      </c>
      <c r="AA266" s="230">
        <f t="shared" si="12"/>
        <v>0</v>
      </c>
    </row>
    <row r="267" spans="1:42" ht="12.75" customHeight="1" x14ac:dyDescent="0.25">
      <c r="C267" s="777"/>
      <c r="D267" s="774"/>
      <c r="E267" s="229" t="s">
        <v>73</v>
      </c>
      <c r="F267" s="230">
        <f>F175</f>
        <v>-1847120.08</v>
      </c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42" ht="12.75" customHeight="1" x14ac:dyDescent="0.25">
      <c r="A268" s="89"/>
      <c r="C268" s="9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42" ht="12.75" customHeight="1" x14ac:dyDescent="0.25">
      <c r="C269" s="775" t="s">
        <v>326</v>
      </c>
      <c r="D269" s="774" t="s">
        <v>132</v>
      </c>
      <c r="E269" s="373" t="s">
        <v>70</v>
      </c>
      <c r="F269" s="374">
        <v>0</v>
      </c>
      <c r="G269" s="374">
        <v>0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4">
        <v>0</v>
      </c>
      <c r="Q269" s="374">
        <v>0</v>
      </c>
      <c r="R269" s="374">
        <v>0</v>
      </c>
      <c r="S269" s="374">
        <v>0</v>
      </c>
      <c r="T269" s="374">
        <v>0</v>
      </c>
      <c r="U269" s="374">
        <v>0</v>
      </c>
      <c r="V269" s="374">
        <v>0</v>
      </c>
      <c r="W269" s="374">
        <v>0</v>
      </c>
      <c r="X269" s="374">
        <v>0</v>
      </c>
      <c r="Y269" s="374">
        <v>0</v>
      </c>
      <c r="Z269" s="374">
        <v>0</v>
      </c>
      <c r="AA269" s="374">
        <v>0</v>
      </c>
      <c r="AB269" s="374">
        <v>0</v>
      </c>
      <c r="AC269" s="374">
        <v>0</v>
      </c>
      <c r="AD269" s="374">
        <v>0</v>
      </c>
      <c r="AE269" s="374">
        <v>0</v>
      </c>
      <c r="AF269" s="374">
        <v>0</v>
      </c>
      <c r="AG269" s="374">
        <v>0</v>
      </c>
      <c r="AH269" s="374">
        <v>0</v>
      </c>
      <c r="AI269" s="374">
        <v>0</v>
      </c>
      <c r="AJ269" s="374">
        <v>0</v>
      </c>
      <c r="AK269" s="374">
        <v>0</v>
      </c>
      <c r="AL269" s="374">
        <v>0</v>
      </c>
      <c r="AM269" s="374">
        <v>0</v>
      </c>
      <c r="AN269" s="374">
        <v>0</v>
      </c>
      <c r="AO269" s="374">
        <v>0</v>
      </c>
    </row>
    <row r="270" spans="1:42" ht="12.75" customHeight="1" x14ac:dyDescent="0.25">
      <c r="C270" s="775"/>
      <c r="D270" s="774"/>
      <c r="E270" s="373" t="s">
        <v>73</v>
      </c>
      <c r="F270" s="374">
        <v>0</v>
      </c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42" ht="12.75" customHeight="1" x14ac:dyDescent="0.25">
      <c r="C271" s="775"/>
      <c r="D271" s="774" t="s">
        <v>133</v>
      </c>
      <c r="E271" s="242" t="s">
        <v>70</v>
      </c>
      <c r="F271" s="243">
        <v>0</v>
      </c>
      <c r="G271" s="243">
        <v>0</v>
      </c>
      <c r="H271" s="243">
        <v>0</v>
      </c>
      <c r="I271" s="243">
        <v>0</v>
      </c>
      <c r="J271" s="243">
        <v>0</v>
      </c>
      <c r="K271" s="243">
        <v>0</v>
      </c>
      <c r="L271" s="243">
        <v>0</v>
      </c>
      <c r="M271" s="243">
        <v>0</v>
      </c>
      <c r="N271" s="243">
        <v>0</v>
      </c>
      <c r="O271" s="243">
        <v>0</v>
      </c>
      <c r="P271" s="243">
        <v>0</v>
      </c>
      <c r="Q271" s="243">
        <v>0</v>
      </c>
      <c r="R271" s="243">
        <v>0</v>
      </c>
      <c r="S271" s="243">
        <v>0</v>
      </c>
      <c r="T271" s="243">
        <v>0</v>
      </c>
      <c r="U271" s="243">
        <v>0</v>
      </c>
      <c r="V271" s="243">
        <v>0</v>
      </c>
      <c r="W271" s="243">
        <v>0</v>
      </c>
      <c r="X271" s="243">
        <v>0</v>
      </c>
      <c r="Y271" s="243">
        <v>0</v>
      </c>
      <c r="Z271" s="243">
        <v>0</v>
      </c>
      <c r="AA271" s="243">
        <v>0</v>
      </c>
      <c r="AB271" s="243">
        <v>0</v>
      </c>
      <c r="AC271" s="243">
        <v>0</v>
      </c>
      <c r="AD271" s="243">
        <v>0</v>
      </c>
      <c r="AE271" s="243">
        <v>0</v>
      </c>
      <c r="AF271" s="243">
        <v>0</v>
      </c>
      <c r="AG271" s="243">
        <v>0</v>
      </c>
      <c r="AH271" s="243">
        <v>0</v>
      </c>
      <c r="AI271" s="243">
        <v>0</v>
      </c>
      <c r="AJ271" s="243">
        <v>0</v>
      </c>
      <c r="AK271" s="243">
        <v>0</v>
      </c>
      <c r="AL271" s="243">
        <v>0</v>
      </c>
      <c r="AM271" s="243">
        <v>0</v>
      </c>
      <c r="AN271" s="243">
        <v>0</v>
      </c>
      <c r="AO271" s="243">
        <v>0</v>
      </c>
    </row>
    <row r="272" spans="1:42" ht="12.75" customHeight="1" x14ac:dyDescent="0.25">
      <c r="C272" s="775"/>
      <c r="D272" s="774"/>
      <c r="E272" s="242" t="s">
        <v>73</v>
      </c>
      <c r="F272" s="243">
        <v>0</v>
      </c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42" ht="12.75" customHeight="1" x14ac:dyDescent="0.25">
      <c r="A273" s="89"/>
      <c r="C273" s="9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42" ht="12.75" customHeight="1" x14ac:dyDescent="0.25">
      <c r="C274" s="777" t="s">
        <v>119</v>
      </c>
      <c r="D274" s="774" t="s">
        <v>132</v>
      </c>
      <c r="E274" s="101" t="s">
        <v>70</v>
      </c>
      <c r="F274" s="93">
        <f>F207+F170+F119-L119-L170</f>
        <v>938887942.42999995</v>
      </c>
      <c r="G274" s="93">
        <f t="shared" ref="G274:AP274" si="13">G170+G119</f>
        <v>112235893.08000001</v>
      </c>
      <c r="H274" s="93">
        <f t="shared" si="13"/>
        <v>61923523.419999994</v>
      </c>
      <c r="I274" s="93">
        <f t="shared" si="13"/>
        <v>32710708.530000001</v>
      </c>
      <c r="J274" s="93">
        <f t="shared" si="13"/>
        <v>115849534.41</v>
      </c>
      <c r="K274" s="93">
        <f t="shared" si="13"/>
        <v>3009246.5900000003</v>
      </c>
      <c r="L274" s="93">
        <f t="shared" si="13"/>
        <v>3112272.6</v>
      </c>
      <c r="M274" s="93">
        <f t="shared" si="13"/>
        <v>27095534.309999999</v>
      </c>
      <c r="N274" s="93">
        <f t="shared" si="13"/>
        <v>36403592.039999999</v>
      </c>
      <c r="O274" s="93">
        <f t="shared" si="13"/>
        <v>171364252.19999999</v>
      </c>
      <c r="P274" s="93">
        <f t="shared" si="13"/>
        <v>222821524.41</v>
      </c>
      <c r="Q274" s="93">
        <f t="shared" si="13"/>
        <v>4929952.6100000003</v>
      </c>
      <c r="R274" s="93">
        <f t="shared" si="13"/>
        <v>-946.54</v>
      </c>
      <c r="S274" s="93">
        <f t="shared" si="13"/>
        <v>-56258.67</v>
      </c>
      <c r="T274" s="93">
        <f t="shared" si="13"/>
        <v>0</v>
      </c>
      <c r="U274" s="93">
        <f t="shared" si="13"/>
        <v>0</v>
      </c>
      <c r="V274" s="93">
        <f t="shared" si="13"/>
        <v>0</v>
      </c>
      <c r="W274" s="93">
        <f t="shared" si="13"/>
        <v>0</v>
      </c>
      <c r="X274" s="93">
        <f t="shared" si="13"/>
        <v>0</v>
      </c>
      <c r="Y274" s="93">
        <f t="shared" si="13"/>
        <v>0</v>
      </c>
      <c r="Z274" s="93">
        <f t="shared" si="13"/>
        <v>-0.21</v>
      </c>
      <c r="AA274" s="93">
        <f t="shared" si="13"/>
        <v>0</v>
      </c>
      <c r="AB274" s="93">
        <f t="shared" si="13"/>
        <v>0</v>
      </c>
      <c r="AC274" s="93">
        <f t="shared" si="13"/>
        <v>0</v>
      </c>
      <c r="AD274" s="93">
        <f t="shared" si="13"/>
        <v>0</v>
      </c>
      <c r="AE274" s="93">
        <f t="shared" si="13"/>
        <v>0</v>
      </c>
      <c r="AF274" s="93">
        <f t="shared" si="13"/>
        <v>0</v>
      </c>
      <c r="AG274" s="93">
        <f t="shared" si="13"/>
        <v>0</v>
      </c>
      <c r="AH274" s="93">
        <f t="shared" si="13"/>
        <v>0</v>
      </c>
      <c r="AI274" s="93">
        <f t="shared" si="13"/>
        <v>0</v>
      </c>
      <c r="AJ274" s="93">
        <f t="shared" si="13"/>
        <v>0</v>
      </c>
      <c r="AK274" s="93">
        <f t="shared" si="13"/>
        <v>0</v>
      </c>
      <c r="AL274" s="93">
        <f t="shared" si="13"/>
        <v>0</v>
      </c>
      <c r="AM274" s="93">
        <f t="shared" si="13"/>
        <v>0</v>
      </c>
      <c r="AN274" s="93">
        <f t="shared" si="13"/>
        <v>0</v>
      </c>
      <c r="AO274" s="93">
        <f t="shared" si="13"/>
        <v>0</v>
      </c>
      <c r="AP274" s="93">
        <f t="shared" si="13"/>
        <v>0</v>
      </c>
    </row>
    <row r="275" spans="1:42" ht="12.75" customHeight="1" x14ac:dyDescent="0.25">
      <c r="C275" s="777"/>
      <c r="D275" s="774"/>
      <c r="E275" s="101" t="s">
        <v>73</v>
      </c>
      <c r="F275" s="93">
        <f>F207</f>
        <v>150601386.25</v>
      </c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42" ht="12.75" customHeight="1" x14ac:dyDescent="0.25">
      <c r="C276" s="777"/>
      <c r="D276" s="774" t="s">
        <v>133</v>
      </c>
      <c r="E276" s="235" t="s">
        <v>70</v>
      </c>
      <c r="F276" s="236">
        <f>F189+F145-L145</f>
        <v>464154</v>
      </c>
      <c r="G276" s="236">
        <f t="shared" ref="G276:AP276" si="14">G145</f>
        <v>32467.9</v>
      </c>
      <c r="H276" s="236">
        <f t="shared" si="14"/>
        <v>18320.34</v>
      </c>
      <c r="I276" s="236">
        <f t="shared" si="14"/>
        <v>9708.74</v>
      </c>
      <c r="J276" s="236">
        <f t="shared" si="14"/>
        <v>158800.41</v>
      </c>
      <c r="K276" s="236">
        <f t="shared" si="14"/>
        <v>5058.2700000000004</v>
      </c>
      <c r="L276" s="236">
        <f t="shared" si="14"/>
        <v>0</v>
      </c>
      <c r="M276" s="236">
        <f t="shared" si="14"/>
        <v>44370.67</v>
      </c>
      <c r="N276" s="236">
        <f t="shared" si="14"/>
        <v>56323.6</v>
      </c>
      <c r="O276" s="236">
        <f t="shared" si="14"/>
        <v>269309.02</v>
      </c>
      <c r="P276" s="236">
        <f t="shared" si="14"/>
        <v>63520.61</v>
      </c>
      <c r="Q276" s="236">
        <f t="shared" si="14"/>
        <v>8252.9599999999991</v>
      </c>
      <c r="R276" s="236">
        <f t="shared" si="14"/>
        <v>10.02</v>
      </c>
      <c r="S276" s="236">
        <f t="shared" si="14"/>
        <v>0</v>
      </c>
      <c r="T276" s="236">
        <f t="shared" si="14"/>
        <v>0</v>
      </c>
      <c r="U276" s="236">
        <f t="shared" si="14"/>
        <v>0</v>
      </c>
      <c r="V276" s="236">
        <f t="shared" si="14"/>
        <v>0</v>
      </c>
      <c r="W276" s="236">
        <f t="shared" si="14"/>
        <v>0</v>
      </c>
      <c r="X276" s="236">
        <f t="shared" si="14"/>
        <v>0</v>
      </c>
      <c r="Y276" s="236">
        <f t="shared" si="14"/>
        <v>0</v>
      </c>
      <c r="Z276" s="236">
        <f t="shared" si="14"/>
        <v>0</v>
      </c>
      <c r="AA276" s="236">
        <f t="shared" si="14"/>
        <v>0</v>
      </c>
      <c r="AB276" s="236">
        <f t="shared" si="14"/>
        <v>0</v>
      </c>
      <c r="AC276" s="236">
        <f t="shared" si="14"/>
        <v>0</v>
      </c>
      <c r="AD276" s="236">
        <f t="shared" si="14"/>
        <v>0</v>
      </c>
      <c r="AE276" s="236">
        <f t="shared" si="14"/>
        <v>0</v>
      </c>
      <c r="AF276" s="236">
        <f t="shared" si="14"/>
        <v>0</v>
      </c>
      <c r="AG276" s="236">
        <f t="shared" si="14"/>
        <v>0</v>
      </c>
      <c r="AH276" s="236">
        <f t="shared" si="14"/>
        <v>0</v>
      </c>
      <c r="AI276" s="236">
        <f t="shared" si="14"/>
        <v>0</v>
      </c>
      <c r="AJ276" s="236">
        <f t="shared" si="14"/>
        <v>0</v>
      </c>
      <c r="AK276" s="236">
        <f t="shared" si="14"/>
        <v>0</v>
      </c>
      <c r="AL276" s="236">
        <f t="shared" si="14"/>
        <v>0</v>
      </c>
      <c r="AM276" s="236">
        <f t="shared" si="14"/>
        <v>0</v>
      </c>
      <c r="AN276" s="236">
        <f t="shared" si="14"/>
        <v>0</v>
      </c>
      <c r="AO276" s="236">
        <f t="shared" si="14"/>
        <v>0</v>
      </c>
      <c r="AP276" s="236">
        <f t="shared" si="14"/>
        <v>0</v>
      </c>
    </row>
    <row r="277" spans="1:42" ht="12.75" customHeight="1" x14ac:dyDescent="0.25">
      <c r="C277" s="777"/>
      <c r="D277" s="774"/>
      <c r="E277" s="235" t="s">
        <v>73</v>
      </c>
      <c r="F277" s="236">
        <f>F189</f>
        <v>-201988.54</v>
      </c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42" ht="12.75" customHeight="1" x14ac:dyDescent="0.25">
      <c r="A278" s="89"/>
      <c r="C278" s="9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42" ht="12.75" customHeight="1" x14ac:dyDescent="0.25">
      <c r="C279" s="776" t="s">
        <v>161</v>
      </c>
      <c r="D279" s="774" t="s">
        <v>132</v>
      </c>
      <c r="E279" s="231" t="s">
        <v>70</v>
      </c>
      <c r="F279" s="232">
        <v>0</v>
      </c>
      <c r="G279" s="232">
        <v>0</v>
      </c>
      <c r="H279" s="232">
        <v>0</v>
      </c>
      <c r="I279" s="232">
        <v>0</v>
      </c>
      <c r="J279" s="232">
        <v>0</v>
      </c>
      <c r="K279" s="232">
        <v>0</v>
      </c>
      <c r="L279" s="232">
        <v>0</v>
      </c>
      <c r="M279" s="232">
        <v>0</v>
      </c>
      <c r="N279" s="232">
        <v>0</v>
      </c>
      <c r="O279" s="232">
        <v>0</v>
      </c>
      <c r="P279" s="232">
        <v>0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/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0</v>
      </c>
      <c r="AF279" s="232">
        <v>0</v>
      </c>
      <c r="AG279" s="232">
        <v>0</v>
      </c>
      <c r="AH279" s="232">
        <v>0</v>
      </c>
      <c r="AI279" s="232">
        <v>0</v>
      </c>
      <c r="AJ279" s="232">
        <v>0</v>
      </c>
      <c r="AK279" s="232">
        <v>0</v>
      </c>
      <c r="AL279" s="232">
        <v>0</v>
      </c>
      <c r="AM279" s="232">
        <v>0</v>
      </c>
      <c r="AN279" s="232">
        <v>0</v>
      </c>
      <c r="AO279" s="232">
        <v>0</v>
      </c>
      <c r="AP279" s="232">
        <v>0</v>
      </c>
    </row>
    <row r="280" spans="1:42" ht="12.75" customHeight="1" x14ac:dyDescent="0.25">
      <c r="C280" s="776"/>
      <c r="D280" s="774"/>
      <c r="E280" s="231" t="s">
        <v>73</v>
      </c>
      <c r="F280" s="232">
        <v>0</v>
      </c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42" ht="12.75" customHeight="1" x14ac:dyDescent="0.25">
      <c r="C281" s="776"/>
      <c r="E281" s="148" t="s">
        <v>70</v>
      </c>
      <c r="F281" s="149">
        <v>0</v>
      </c>
      <c r="G281" s="149">
        <v>0</v>
      </c>
      <c r="H281" s="149">
        <v>0</v>
      </c>
      <c r="I281" s="149">
        <v>0</v>
      </c>
      <c r="J281" s="149">
        <v>0</v>
      </c>
      <c r="K281" s="149">
        <v>0</v>
      </c>
      <c r="L281" s="149">
        <v>0</v>
      </c>
      <c r="M281" s="149">
        <v>0</v>
      </c>
      <c r="N281" s="149">
        <v>0</v>
      </c>
      <c r="O281" s="149">
        <v>0</v>
      </c>
      <c r="P281" s="149">
        <v>0</v>
      </c>
      <c r="Q281" s="149">
        <v>0</v>
      </c>
      <c r="R281" s="149">
        <v>0</v>
      </c>
      <c r="S281" s="149">
        <v>0</v>
      </c>
      <c r="T281" s="149">
        <v>0</v>
      </c>
      <c r="U281" s="149">
        <v>0</v>
      </c>
      <c r="V281" s="149">
        <v>0</v>
      </c>
      <c r="W281" s="149">
        <v>0</v>
      </c>
      <c r="X281" s="149">
        <v>0</v>
      </c>
      <c r="Y281" s="149">
        <v>0</v>
      </c>
      <c r="Z281" s="149">
        <v>0</v>
      </c>
      <c r="AA281" s="149">
        <v>0</v>
      </c>
    </row>
    <row r="282" spans="1:42" ht="12.75" customHeight="1" x14ac:dyDescent="0.25">
      <c r="C282" s="776"/>
      <c r="D282" s="220" t="s">
        <v>132</v>
      </c>
      <c r="E282" s="148" t="s">
        <v>73</v>
      </c>
      <c r="F282" s="149">
        <v>0</v>
      </c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spans="1:42" ht="12.75" customHeight="1" x14ac:dyDescent="0.25">
      <c r="C283" s="388"/>
      <c r="D283" s="220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42" ht="12.75" customHeight="1" x14ac:dyDescent="0.25">
      <c r="D284" s="458" t="s">
        <v>186</v>
      </c>
      <c r="E284" s="459" t="s">
        <v>70</v>
      </c>
      <c r="F284" s="460">
        <f t="shared" ref="F284:AA284" si="15">F120</f>
        <v>-243714.65</v>
      </c>
      <c r="G284" s="460">
        <f t="shared" si="15"/>
        <v>-20951.02</v>
      </c>
      <c r="H284" s="460">
        <f t="shared" si="15"/>
        <v>-8900.5</v>
      </c>
      <c r="I284" s="460">
        <f t="shared" si="15"/>
        <v>-3886.81</v>
      </c>
      <c r="J284" s="460">
        <f t="shared" si="15"/>
        <v>-48437.8</v>
      </c>
      <c r="K284" s="460">
        <f t="shared" si="15"/>
        <v>-2062.98</v>
      </c>
      <c r="L284" s="460">
        <f t="shared" si="15"/>
        <v>0</v>
      </c>
      <c r="M284" s="460">
        <f t="shared" si="15"/>
        <v>-18096.09</v>
      </c>
      <c r="N284" s="460">
        <f t="shared" si="15"/>
        <v>-22688.82</v>
      </c>
      <c r="O284" s="460">
        <f t="shared" si="15"/>
        <v>-76193.100000000006</v>
      </c>
      <c r="P284" s="460">
        <f t="shared" si="15"/>
        <v>-39131.24</v>
      </c>
      <c r="Q284" s="460">
        <f t="shared" si="15"/>
        <v>-3366.29</v>
      </c>
      <c r="R284" s="460">
        <f t="shared" si="15"/>
        <v>0</v>
      </c>
      <c r="S284" s="460">
        <f t="shared" si="15"/>
        <v>0</v>
      </c>
      <c r="T284" s="460">
        <f t="shared" si="15"/>
        <v>0</v>
      </c>
      <c r="U284" s="460">
        <f t="shared" si="15"/>
        <v>0</v>
      </c>
      <c r="V284" s="460">
        <f t="shared" si="15"/>
        <v>0</v>
      </c>
      <c r="W284" s="460">
        <f t="shared" si="15"/>
        <v>0</v>
      </c>
      <c r="X284" s="460">
        <f t="shared" si="15"/>
        <v>0</v>
      </c>
      <c r="Y284" s="460">
        <f t="shared" si="15"/>
        <v>0</v>
      </c>
      <c r="Z284" s="460">
        <f t="shared" si="15"/>
        <v>0</v>
      </c>
      <c r="AA284" s="460">
        <f t="shared" si="15"/>
        <v>0</v>
      </c>
    </row>
    <row r="285" spans="1:42" ht="12.75" customHeight="1" x14ac:dyDescent="0.25">
      <c r="C285" s="388"/>
      <c r="D285" s="220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spans="1:42" s="238" customFormat="1" ht="12.75" customHeight="1" x14ac:dyDescent="0.25">
      <c r="D286" s="239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</row>
    <row r="287" spans="1:42" ht="12.75" customHeight="1" x14ac:dyDescent="0.25">
      <c r="A287" s="89"/>
      <c r="B287" s="97" t="s">
        <v>76</v>
      </c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42" ht="12.6" customHeight="1" x14ac:dyDescent="0.25">
      <c r="F288" s="89" t="s">
        <v>70</v>
      </c>
      <c r="G288" s="89" t="s">
        <v>64</v>
      </c>
      <c r="H288" s="89" t="s">
        <v>65</v>
      </c>
      <c r="I288" s="218" t="s">
        <v>164</v>
      </c>
      <c r="J288" s="89" t="s">
        <v>69</v>
      </c>
      <c r="K288" s="89" t="s">
        <v>68</v>
      </c>
      <c r="L288" s="89" t="s">
        <v>71</v>
      </c>
      <c r="M288" s="89" t="s">
        <v>66</v>
      </c>
      <c r="N288" s="89" t="s">
        <v>63</v>
      </c>
      <c r="O288" s="89" t="s">
        <v>61</v>
      </c>
      <c r="P288" s="89" t="s">
        <v>62</v>
      </c>
      <c r="Q288" s="89" t="s">
        <v>67</v>
      </c>
      <c r="R288" s="89" t="s">
        <v>77</v>
      </c>
      <c r="S288" s="89" t="s">
        <v>80</v>
      </c>
      <c r="T288" s="89" t="s">
        <v>135</v>
      </c>
      <c r="U288" s="89" t="s">
        <v>173</v>
      </c>
      <c r="V288" s="89" t="s">
        <v>222</v>
      </c>
      <c r="W288" s="89" t="s">
        <v>173</v>
      </c>
      <c r="X288" t="s">
        <v>173</v>
      </c>
      <c r="Y288" s="89" t="s">
        <v>135</v>
      </c>
      <c r="Z288" t="s">
        <v>167</v>
      </c>
    </row>
    <row r="289" spans="1:26" ht="12.75" customHeight="1" x14ac:dyDescent="0.25">
      <c r="E289" s="89" t="s">
        <v>72</v>
      </c>
      <c r="F289" s="371">
        <v>-558.04999999999995</v>
      </c>
      <c r="G289" s="90">
        <v>-36.43</v>
      </c>
      <c r="H289" s="90">
        <v>-15.48</v>
      </c>
      <c r="I289" s="90">
        <v>-6.76</v>
      </c>
      <c r="J289" s="90">
        <v>-123.14</v>
      </c>
      <c r="K289" s="90">
        <v>-4.99</v>
      </c>
      <c r="L289" s="90">
        <v>0</v>
      </c>
      <c r="M289" s="90">
        <v>-43.78</v>
      </c>
      <c r="N289" s="90">
        <v>-55.99</v>
      </c>
      <c r="O289" s="90">
        <v>-184.32</v>
      </c>
      <c r="P289" s="90">
        <v>-79.02</v>
      </c>
      <c r="Q289" s="90">
        <v>-8.14</v>
      </c>
      <c r="R289" s="90">
        <v>0</v>
      </c>
      <c r="S289" s="90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t="12.75" customHeight="1" x14ac:dyDescent="0.25">
      <c r="D290" t="s">
        <v>156</v>
      </c>
      <c r="E290" s="89" t="s">
        <v>70</v>
      </c>
      <c r="F290" s="371">
        <v>-558.04999999999995</v>
      </c>
      <c r="G290" s="90">
        <v>-36.43</v>
      </c>
      <c r="H290" s="90">
        <v>-15.48</v>
      </c>
      <c r="I290" s="90">
        <v>-6.76</v>
      </c>
      <c r="J290" s="90">
        <v>-123.14</v>
      </c>
      <c r="K290" s="90">
        <v>-4.99</v>
      </c>
      <c r="L290" s="90">
        <v>0</v>
      </c>
      <c r="M290" s="90">
        <v>-43.78</v>
      </c>
      <c r="N290" s="90">
        <v>-55.99</v>
      </c>
      <c r="O290" s="90">
        <v>-184.32</v>
      </c>
      <c r="P290" s="90">
        <v>-79.02</v>
      </c>
      <c r="Q290" s="90">
        <v>-8.14</v>
      </c>
      <c r="R290" s="90">
        <v>0</v>
      </c>
      <c r="S290" s="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s="286" customFormat="1" ht="12.75" customHeight="1" x14ac:dyDescent="0.25">
      <c r="C291" s="286" t="s">
        <v>155</v>
      </c>
      <c r="D291" s="286" t="s">
        <v>70</v>
      </c>
      <c r="E291" s="229"/>
      <c r="F291" s="229">
        <v>-558.04999999999995</v>
      </c>
      <c r="G291" s="230">
        <v>-36.43</v>
      </c>
      <c r="H291" s="230">
        <v>-15.48</v>
      </c>
      <c r="I291" s="230">
        <v>-6.76</v>
      </c>
      <c r="J291" s="230">
        <v>-123.14</v>
      </c>
      <c r="K291" s="230">
        <v>-4.99</v>
      </c>
      <c r="L291" s="230">
        <v>0</v>
      </c>
      <c r="M291" s="230">
        <v>-43.78</v>
      </c>
      <c r="N291" s="230">
        <v>-55.99</v>
      </c>
      <c r="O291" s="230">
        <v>-184.32</v>
      </c>
      <c r="P291" s="230">
        <v>-79.02</v>
      </c>
      <c r="Q291" s="230">
        <v>-8.14</v>
      </c>
      <c r="R291" s="230">
        <v>0</v>
      </c>
      <c r="S291" s="230">
        <v>0</v>
      </c>
      <c r="T291" s="230">
        <v>0</v>
      </c>
      <c r="U291" s="230">
        <v>0</v>
      </c>
      <c r="V291" s="230">
        <v>0</v>
      </c>
      <c r="W291" s="230">
        <v>0</v>
      </c>
      <c r="X291" s="230">
        <v>0</v>
      </c>
      <c r="Y291" s="230">
        <v>0</v>
      </c>
      <c r="Z291" s="230">
        <v>0</v>
      </c>
    </row>
    <row r="292" spans="1:26" ht="12.75" customHeight="1" x14ac:dyDescent="0.25">
      <c r="E292" s="89" t="s">
        <v>72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>
        <v>0</v>
      </c>
      <c r="Y292">
        <v>0</v>
      </c>
      <c r="Z292">
        <v>0</v>
      </c>
    </row>
    <row r="293" spans="1:26" ht="12.75" customHeight="1" x14ac:dyDescent="0.25">
      <c r="D293" t="s">
        <v>82</v>
      </c>
      <c r="E293" s="89" t="s">
        <v>70</v>
      </c>
      <c r="F293" s="371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>
        <v>0</v>
      </c>
      <c r="Y293">
        <v>0</v>
      </c>
      <c r="Z293">
        <v>0</v>
      </c>
    </row>
    <row r="294" spans="1:26" ht="12.75" customHeight="1" x14ac:dyDescent="0.25">
      <c r="E294" s="89" t="s">
        <v>72</v>
      </c>
      <c r="F294" s="371">
        <v>0</v>
      </c>
      <c r="G294" s="90">
        <v>0</v>
      </c>
      <c r="H294" s="90">
        <v>0</v>
      </c>
      <c r="I294" s="90">
        <v>0</v>
      </c>
      <c r="J294" s="90">
        <v>0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>
        <v>0</v>
      </c>
      <c r="Y294">
        <v>0</v>
      </c>
      <c r="Z294">
        <v>0</v>
      </c>
    </row>
    <row r="295" spans="1:26" ht="12.75" customHeight="1" x14ac:dyDescent="0.25">
      <c r="D295" t="s">
        <v>86</v>
      </c>
      <c r="E295" s="89" t="s">
        <v>70</v>
      </c>
      <c r="F295" s="371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>
        <v>0</v>
      </c>
      <c r="Y295">
        <v>0</v>
      </c>
      <c r="Z295">
        <v>0</v>
      </c>
    </row>
    <row r="296" spans="1:26" ht="12.75" customHeight="1" x14ac:dyDescent="0.25">
      <c r="E296" s="89" t="s">
        <v>72</v>
      </c>
      <c r="F296" s="371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</row>
    <row r="297" spans="1:26" ht="12.75" customHeight="1" x14ac:dyDescent="0.25">
      <c r="D297" t="s">
        <v>87</v>
      </c>
      <c r="E297" s="89" t="s">
        <v>70</v>
      </c>
      <c r="F297" s="371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</row>
    <row r="298" spans="1:26" s="94" customFormat="1" ht="12.75" customHeight="1" x14ac:dyDescent="0.25">
      <c r="C298" s="101" t="s">
        <v>119</v>
      </c>
      <c r="D298" s="101" t="s">
        <v>70</v>
      </c>
      <c r="F298" s="93">
        <v>0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</v>
      </c>
      <c r="Q298" s="93">
        <v>0</v>
      </c>
      <c r="R298" s="93">
        <v>0</v>
      </c>
      <c r="S298" s="93">
        <v>0</v>
      </c>
      <c r="T298" s="94">
        <v>0</v>
      </c>
      <c r="U298" s="94">
        <v>0</v>
      </c>
      <c r="V298" s="94">
        <v>0</v>
      </c>
      <c r="W298" s="94">
        <v>0</v>
      </c>
      <c r="X298" s="94">
        <v>0</v>
      </c>
      <c r="Y298" s="94">
        <v>0</v>
      </c>
      <c r="Z298" s="94">
        <v>0</v>
      </c>
    </row>
    <row r="299" spans="1:26" ht="12.75" customHeight="1" x14ac:dyDescent="0.25">
      <c r="B299" t="s">
        <v>112</v>
      </c>
      <c r="C299" t="s">
        <v>70</v>
      </c>
      <c r="E299" s="89"/>
      <c r="F299" s="371">
        <v>-558.04999999999995</v>
      </c>
      <c r="G299" s="90">
        <v>-36.43</v>
      </c>
      <c r="H299" s="90">
        <v>-15.48</v>
      </c>
      <c r="I299" s="90">
        <v>-6.76</v>
      </c>
      <c r="J299" s="90">
        <v>-123.14</v>
      </c>
      <c r="K299" s="90">
        <v>-4.99</v>
      </c>
      <c r="L299" s="90">
        <v>0</v>
      </c>
      <c r="M299" s="90">
        <v>-43.78</v>
      </c>
      <c r="N299" s="90">
        <v>-55.99</v>
      </c>
      <c r="O299" s="90">
        <v>-184.32</v>
      </c>
      <c r="P299" s="90">
        <v>-79.02</v>
      </c>
      <c r="Q299" s="90">
        <v>-8.14</v>
      </c>
      <c r="R299" s="90">
        <v>0</v>
      </c>
      <c r="S299" s="9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s="458" customFormat="1" ht="12.75" customHeight="1" x14ac:dyDescent="0.25">
      <c r="A300" s="458" t="s">
        <v>186</v>
      </c>
      <c r="B300" s="458" t="s">
        <v>70</v>
      </c>
      <c r="F300" s="458">
        <v>-558.04999999999995</v>
      </c>
      <c r="G300" s="458">
        <v>-36.43</v>
      </c>
      <c r="H300" s="458">
        <v>-15.48</v>
      </c>
      <c r="I300" s="458">
        <v>-6.76</v>
      </c>
      <c r="J300" s="458">
        <v>-123.14</v>
      </c>
      <c r="K300" s="458">
        <v>-4.99</v>
      </c>
      <c r="L300" s="458">
        <v>0</v>
      </c>
      <c r="M300" s="458">
        <v>-43.78</v>
      </c>
      <c r="N300" s="458">
        <v>-55.99</v>
      </c>
      <c r="O300" s="458">
        <v>-184.32</v>
      </c>
      <c r="P300" s="458">
        <v>-79.02</v>
      </c>
      <c r="Q300" s="458">
        <v>-8.14</v>
      </c>
      <c r="R300" s="458">
        <v>0</v>
      </c>
      <c r="S300" s="458">
        <v>0</v>
      </c>
      <c r="T300" s="458">
        <v>0</v>
      </c>
      <c r="U300" s="458">
        <v>0</v>
      </c>
      <c r="V300" s="458">
        <v>0</v>
      </c>
      <c r="W300" s="458">
        <v>0</v>
      </c>
      <c r="X300" s="458">
        <v>0</v>
      </c>
      <c r="Y300" s="458">
        <v>0</v>
      </c>
      <c r="Z300" s="458">
        <v>0</v>
      </c>
    </row>
    <row r="301" spans="1:26" x14ac:dyDescent="0.25">
      <c r="E301" t="s">
        <v>72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0</v>
      </c>
      <c r="S301" s="90">
        <v>0</v>
      </c>
      <c r="T301" s="9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90">
        <v>0</v>
      </c>
    </row>
    <row r="302" spans="1:26" x14ac:dyDescent="0.25">
      <c r="E302" t="s">
        <v>81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0</v>
      </c>
      <c r="S302" s="90">
        <v>0</v>
      </c>
      <c r="T302" s="9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90">
        <v>0</v>
      </c>
    </row>
    <row r="303" spans="1:26" x14ac:dyDescent="0.25">
      <c r="D303" t="s">
        <v>156</v>
      </c>
      <c r="E303" t="s">
        <v>70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 s="90">
        <v>0</v>
      </c>
      <c r="S303" s="90">
        <v>0</v>
      </c>
      <c r="T303" s="9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90">
        <v>0</v>
      </c>
    </row>
    <row r="304" spans="1:26" s="286" customFormat="1" x14ac:dyDescent="0.25">
      <c r="C304" s="286" t="s">
        <v>155</v>
      </c>
      <c r="D304" s="286" t="s">
        <v>70</v>
      </c>
      <c r="F304" s="230">
        <v>0</v>
      </c>
      <c r="G304" s="230">
        <v>0</v>
      </c>
      <c r="H304" s="230">
        <v>0</v>
      </c>
      <c r="I304" s="230">
        <v>0</v>
      </c>
      <c r="J304" s="230">
        <v>0</v>
      </c>
      <c r="K304" s="230">
        <v>0</v>
      </c>
      <c r="L304" s="230">
        <v>0</v>
      </c>
      <c r="M304" s="230">
        <v>0</v>
      </c>
      <c r="N304" s="230">
        <v>0</v>
      </c>
      <c r="O304" s="230">
        <v>0</v>
      </c>
      <c r="P304" s="230">
        <v>0</v>
      </c>
      <c r="Q304" s="230">
        <v>0</v>
      </c>
      <c r="R304" s="230">
        <v>0</v>
      </c>
      <c r="S304" s="230">
        <v>0</v>
      </c>
      <c r="T304" s="230">
        <v>0</v>
      </c>
      <c r="U304" s="286">
        <v>0</v>
      </c>
      <c r="V304" s="286">
        <v>0</v>
      </c>
      <c r="W304" s="286">
        <v>0</v>
      </c>
      <c r="X304" s="286">
        <v>0</v>
      </c>
      <c r="Y304" s="286">
        <v>0</v>
      </c>
      <c r="Z304" s="230">
        <v>0</v>
      </c>
    </row>
    <row r="305" spans="2:26" x14ac:dyDescent="0.25">
      <c r="E305" t="s">
        <v>72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370.08</v>
      </c>
      <c r="R305" s="90">
        <v>-1.95</v>
      </c>
      <c r="S305" s="90">
        <v>0</v>
      </c>
      <c r="T305" s="9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90">
        <v>0</v>
      </c>
    </row>
    <row r="306" spans="2:26" x14ac:dyDescent="0.25">
      <c r="E306" t="s">
        <v>81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7.0000000000000007E-2</v>
      </c>
      <c r="R306" s="90">
        <v>0</v>
      </c>
      <c r="S306" s="90">
        <v>0</v>
      </c>
      <c r="T306" s="9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90">
        <v>0</v>
      </c>
    </row>
    <row r="307" spans="2:26" x14ac:dyDescent="0.25">
      <c r="D307" t="s">
        <v>82</v>
      </c>
      <c r="E307" t="s">
        <v>70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370.15</v>
      </c>
      <c r="R307" s="90">
        <v>-1.95</v>
      </c>
      <c r="S307" s="90">
        <v>0</v>
      </c>
      <c r="T307" s="9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90">
        <v>0</v>
      </c>
    </row>
    <row r="308" spans="2:26" x14ac:dyDescent="0.25">
      <c r="E308" t="s">
        <v>72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370.08</v>
      </c>
      <c r="R308" s="90">
        <v>-1.95</v>
      </c>
      <c r="S308" s="90">
        <v>0</v>
      </c>
      <c r="T308" s="9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90">
        <v>0</v>
      </c>
    </row>
    <row r="309" spans="2:26" x14ac:dyDescent="0.25">
      <c r="E309" t="s">
        <v>81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7.0000000000000007E-2</v>
      </c>
      <c r="R309" s="90">
        <v>0</v>
      </c>
      <c r="S309" s="90">
        <v>0</v>
      </c>
      <c r="T309" s="9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90">
        <v>0</v>
      </c>
    </row>
    <row r="310" spans="2:26" x14ac:dyDescent="0.25">
      <c r="D310" t="s">
        <v>86</v>
      </c>
      <c r="E310" t="s">
        <v>70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370.15</v>
      </c>
      <c r="R310" s="90">
        <v>-1.95</v>
      </c>
      <c r="S310" s="90">
        <v>0</v>
      </c>
      <c r="T310" s="9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90">
        <v>0</v>
      </c>
    </row>
    <row r="311" spans="2:26" ht="12.75" customHeight="1" x14ac:dyDescent="0.25">
      <c r="E311" s="89" t="s">
        <v>72</v>
      </c>
      <c r="F311" s="371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</row>
    <row r="312" spans="2:26" x14ac:dyDescent="0.25">
      <c r="E312" t="s">
        <v>81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90">
        <v>0</v>
      </c>
    </row>
    <row r="313" spans="2:26" ht="12.75" customHeight="1" x14ac:dyDescent="0.25">
      <c r="D313" t="s">
        <v>87</v>
      </c>
      <c r="E313" s="89" t="s">
        <v>70</v>
      </c>
      <c r="F313" s="371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</row>
    <row r="314" spans="2:26" s="94" customFormat="1" ht="12.75" customHeight="1" x14ac:dyDescent="0.25">
      <c r="C314" s="101" t="s">
        <v>119</v>
      </c>
      <c r="D314" s="101" t="s">
        <v>70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0</v>
      </c>
      <c r="X314" s="93">
        <v>0</v>
      </c>
      <c r="Y314" s="93">
        <v>0</v>
      </c>
      <c r="Z314" s="93">
        <v>0</v>
      </c>
    </row>
    <row r="315" spans="2:26" s="378" customFormat="1" ht="12.75" customHeight="1" x14ac:dyDescent="0.25">
      <c r="B315" s="378" t="s">
        <v>122</v>
      </c>
      <c r="C315" s="378" t="s">
        <v>70</v>
      </c>
      <c r="E315" s="376"/>
      <c r="F315" s="710">
        <v>0</v>
      </c>
      <c r="G315" s="377">
        <v>0</v>
      </c>
      <c r="H315" s="377">
        <v>0</v>
      </c>
      <c r="I315" s="377">
        <v>0</v>
      </c>
      <c r="J315" s="377">
        <v>0</v>
      </c>
      <c r="K315" s="377">
        <v>0</v>
      </c>
      <c r="L315" s="377">
        <v>0</v>
      </c>
      <c r="M315" s="377">
        <v>0</v>
      </c>
      <c r="N315" s="377">
        <v>0</v>
      </c>
      <c r="O315" s="377">
        <v>0</v>
      </c>
      <c r="P315" s="377">
        <v>0</v>
      </c>
      <c r="Q315" s="377">
        <v>0</v>
      </c>
      <c r="R315" s="377">
        <v>0</v>
      </c>
      <c r="S315" s="377">
        <v>0</v>
      </c>
      <c r="T315" s="378">
        <v>0</v>
      </c>
      <c r="U315" s="378">
        <v>0</v>
      </c>
      <c r="V315" s="378">
        <v>0</v>
      </c>
      <c r="W315" s="378">
        <v>0</v>
      </c>
      <c r="X315" s="378">
        <v>0</v>
      </c>
      <c r="Y315" s="378">
        <v>0</v>
      </c>
      <c r="Z315" s="378">
        <v>0</v>
      </c>
    </row>
    <row r="316" spans="2:26" ht="12.75" customHeight="1" x14ac:dyDescent="0.25">
      <c r="E316" s="89" t="s">
        <v>72</v>
      </c>
      <c r="F316" s="371">
        <v>9719750244.8199997</v>
      </c>
      <c r="G316" s="90">
        <v>518985297.01999998</v>
      </c>
      <c r="H316" s="90">
        <v>289013100.16000003</v>
      </c>
      <c r="I316" s="90">
        <v>153714080.84</v>
      </c>
      <c r="J316" s="90">
        <v>2405209535.5500002</v>
      </c>
      <c r="K316" s="90">
        <v>86280652.689999998</v>
      </c>
      <c r="L316" s="90">
        <v>14487413.710000001</v>
      </c>
      <c r="M316" s="90">
        <v>757500669.33000004</v>
      </c>
      <c r="N316" s="90">
        <v>717156253.16999996</v>
      </c>
      <c r="O316" s="90">
        <v>3407243450.5100002</v>
      </c>
      <c r="P316" s="90">
        <v>1229371624.98</v>
      </c>
      <c r="Q316" s="90">
        <v>140870667.74000001</v>
      </c>
      <c r="R316" s="90">
        <v>-82500.88</v>
      </c>
      <c r="S316" s="90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2:26" ht="12.75" customHeight="1" x14ac:dyDescent="0.25">
      <c r="E317" s="89" t="s">
        <v>81</v>
      </c>
      <c r="F317" s="371">
        <v>6460238.2999999998</v>
      </c>
      <c r="G317" s="90">
        <v>500475.93</v>
      </c>
      <c r="H317" s="90">
        <v>267595.03999999998</v>
      </c>
      <c r="I317" s="90">
        <v>141148.85</v>
      </c>
      <c r="J317" s="90">
        <v>1409060.29</v>
      </c>
      <c r="K317" s="90">
        <v>52892.7</v>
      </c>
      <c r="L317" s="90">
        <v>6692.14</v>
      </c>
      <c r="M317" s="90">
        <v>464137.12</v>
      </c>
      <c r="N317" s="90">
        <v>433080.35</v>
      </c>
      <c r="O317" s="90">
        <v>1921331.41</v>
      </c>
      <c r="P317" s="90">
        <v>1177481.7</v>
      </c>
      <c r="Q317" s="90">
        <v>86340.22</v>
      </c>
      <c r="R317" s="90">
        <v>1.44</v>
      </c>
      <c r="S317" s="90">
        <v>-0.43</v>
      </c>
      <c r="T317">
        <v>1.54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ht="12.75" customHeight="1" x14ac:dyDescent="0.25">
      <c r="D318" t="s">
        <v>156</v>
      </c>
      <c r="E318" s="89" t="s">
        <v>70</v>
      </c>
      <c r="F318" s="90">
        <v>9726210483.1200008</v>
      </c>
      <c r="G318" s="90">
        <v>519485772.94999999</v>
      </c>
      <c r="H318" s="90">
        <v>289280695.19999999</v>
      </c>
      <c r="I318" s="90">
        <v>153855229.69</v>
      </c>
      <c r="J318" s="90">
        <v>2406618595.8400002</v>
      </c>
      <c r="K318" s="90">
        <v>86333545.390000001</v>
      </c>
      <c r="L318" s="90">
        <v>14494105.85</v>
      </c>
      <c r="M318" s="90">
        <v>757964806.45000005</v>
      </c>
      <c r="N318" s="90">
        <v>717589333.51999998</v>
      </c>
      <c r="O318" s="90">
        <v>3409164781.9200001</v>
      </c>
      <c r="P318" s="90">
        <v>1230549106.6800001</v>
      </c>
      <c r="Q318" s="90">
        <v>140957007.96000001</v>
      </c>
      <c r="R318" s="90">
        <v>-82499.44</v>
      </c>
      <c r="S318" s="90">
        <v>-0.43</v>
      </c>
      <c r="T318">
        <v>1.54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s="286" customFormat="1" ht="12.75" customHeight="1" x14ac:dyDescent="0.25">
      <c r="C319" s="286" t="s">
        <v>155</v>
      </c>
      <c r="D319" s="286" t="s">
        <v>70</v>
      </c>
      <c r="E319" s="229"/>
      <c r="F319" s="229">
        <v>9726210483.1200008</v>
      </c>
      <c r="G319" s="230">
        <v>519485772.94999999</v>
      </c>
      <c r="H319" s="230">
        <v>289280695.19999999</v>
      </c>
      <c r="I319" s="230">
        <v>153855229.69</v>
      </c>
      <c r="J319" s="230">
        <v>2406618595.8400002</v>
      </c>
      <c r="K319" s="230">
        <v>86333545.390000001</v>
      </c>
      <c r="L319" s="230">
        <v>14494105.85</v>
      </c>
      <c r="M319" s="230">
        <v>757964806.45000005</v>
      </c>
      <c r="N319" s="230">
        <v>717589333.51999998</v>
      </c>
      <c r="O319" s="230">
        <v>3409164781.9200001</v>
      </c>
      <c r="P319" s="230">
        <v>1230549106.6800001</v>
      </c>
      <c r="Q319" s="230">
        <v>140957007.96000001</v>
      </c>
      <c r="R319" s="230">
        <v>-82499.44</v>
      </c>
      <c r="S319" s="230">
        <v>-0.43</v>
      </c>
      <c r="T319" s="230">
        <v>1.54</v>
      </c>
      <c r="U319" s="230">
        <v>0</v>
      </c>
      <c r="V319" s="230">
        <v>0</v>
      </c>
      <c r="W319" s="230">
        <v>0</v>
      </c>
      <c r="X319" s="230">
        <v>0</v>
      </c>
      <c r="Y319" s="230">
        <v>0</v>
      </c>
      <c r="Z319" s="230">
        <v>0</v>
      </c>
    </row>
    <row r="320" spans="2:26" ht="12.75" customHeight="1" x14ac:dyDescent="0.25">
      <c r="E320" s="89" t="s">
        <v>72</v>
      </c>
      <c r="F320" s="90">
        <v>27893217.32</v>
      </c>
      <c r="G320" s="90">
        <v>2081012.49</v>
      </c>
      <c r="H320" s="90">
        <v>1155536.0900000001</v>
      </c>
      <c r="I320" s="90">
        <v>617410.02</v>
      </c>
      <c r="J320" s="90">
        <v>6000571.4100000001</v>
      </c>
      <c r="K320" s="90">
        <v>162410.15</v>
      </c>
      <c r="L320" s="90">
        <v>120000</v>
      </c>
      <c r="M320" s="90">
        <v>1429718.63</v>
      </c>
      <c r="N320" s="90">
        <v>1933171.8</v>
      </c>
      <c r="O320" s="90">
        <v>9206584.2100000009</v>
      </c>
      <c r="P320" s="90">
        <v>4919256.99</v>
      </c>
      <c r="Q320" s="90">
        <v>267301.82</v>
      </c>
      <c r="R320" s="90">
        <v>243.71</v>
      </c>
      <c r="S320" s="9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t="12.75" customHeight="1" x14ac:dyDescent="0.25">
      <c r="E321" s="89" t="s">
        <v>81</v>
      </c>
      <c r="F321" s="90">
        <v>154599.57999999999</v>
      </c>
      <c r="G321" s="90">
        <v>10824.74</v>
      </c>
      <c r="H321" s="90">
        <v>6004.38</v>
      </c>
      <c r="I321" s="90">
        <v>3208.77</v>
      </c>
      <c r="J321" s="90">
        <v>34776.93</v>
      </c>
      <c r="K321" s="90">
        <v>950.03</v>
      </c>
      <c r="L321" s="90">
        <v>0</v>
      </c>
      <c r="M321" s="90">
        <v>8342.33</v>
      </c>
      <c r="N321" s="90">
        <v>11217.5</v>
      </c>
      <c r="O321" s="90">
        <v>52265.65</v>
      </c>
      <c r="P321" s="90">
        <v>25462.6</v>
      </c>
      <c r="Q321" s="90">
        <v>1550.04</v>
      </c>
      <c r="R321" s="90">
        <v>-3.48</v>
      </c>
      <c r="S321" s="90">
        <v>0.09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t="12.75" customHeight="1" x14ac:dyDescent="0.25">
      <c r="D322" s="89" t="s">
        <v>82</v>
      </c>
      <c r="E322" s="89" t="s">
        <v>70</v>
      </c>
      <c r="F322" s="90">
        <v>28047816.899999999</v>
      </c>
      <c r="G322" s="90">
        <v>2091837.23</v>
      </c>
      <c r="H322" s="90">
        <v>1161540.47</v>
      </c>
      <c r="I322" s="90">
        <v>620618.79</v>
      </c>
      <c r="J322" s="90">
        <v>6035348.3399999999</v>
      </c>
      <c r="K322" s="90">
        <v>163360.18</v>
      </c>
      <c r="L322" s="90">
        <v>120000</v>
      </c>
      <c r="M322" s="90">
        <v>1438060.96</v>
      </c>
      <c r="N322" s="90">
        <v>1944389.3</v>
      </c>
      <c r="O322" s="90">
        <v>9258849.8599999994</v>
      </c>
      <c r="P322" s="90">
        <v>4944719.59</v>
      </c>
      <c r="Q322" s="90">
        <v>268851.86</v>
      </c>
      <c r="R322" s="90">
        <v>240.23</v>
      </c>
      <c r="S322" s="90">
        <v>0.09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t="12.75" customHeight="1" x14ac:dyDescent="0.25">
      <c r="D323" s="89"/>
      <c r="E323" s="89" t="s">
        <v>72</v>
      </c>
      <c r="F323" s="90">
        <v>29974838.109999999</v>
      </c>
      <c r="G323" s="90">
        <v>4371957.34</v>
      </c>
      <c r="H323" s="90">
        <v>2385801.56</v>
      </c>
      <c r="I323" s="90">
        <v>1257846.1000000001</v>
      </c>
      <c r="J323" s="90">
        <v>3214417.44</v>
      </c>
      <c r="K323" s="90">
        <v>135193.76999999999</v>
      </c>
      <c r="L323" s="90">
        <v>535353.18999999994</v>
      </c>
      <c r="M323" s="90">
        <v>1184512.71</v>
      </c>
      <c r="N323" s="90">
        <v>1156651.8899999999</v>
      </c>
      <c r="O323" s="90">
        <v>5194600.59</v>
      </c>
      <c r="P323" s="90">
        <v>10318301.26</v>
      </c>
      <c r="Q323" s="90">
        <v>220225.91</v>
      </c>
      <c r="R323" s="90">
        <v>-23.65</v>
      </c>
      <c r="S323" s="90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t="12.75" customHeight="1" x14ac:dyDescent="0.25">
      <c r="E324" s="89" t="s">
        <v>81</v>
      </c>
      <c r="F324" s="90">
        <v>753903.19</v>
      </c>
      <c r="G324" s="90">
        <v>75688.100000000006</v>
      </c>
      <c r="H324" s="90">
        <v>39256.080000000002</v>
      </c>
      <c r="I324" s="90">
        <v>17189.55</v>
      </c>
      <c r="J324" s="90">
        <v>111623.91</v>
      </c>
      <c r="K324" s="90">
        <v>7618.41</v>
      </c>
      <c r="L324" s="90">
        <v>0</v>
      </c>
      <c r="M324" s="90">
        <v>66787.320000000007</v>
      </c>
      <c r="N324" s="90">
        <v>57030.81</v>
      </c>
      <c r="O324" s="90">
        <v>195601.23</v>
      </c>
      <c r="P324" s="90">
        <v>170673.94</v>
      </c>
      <c r="Q324" s="90">
        <v>12428.53</v>
      </c>
      <c r="R324" s="90">
        <v>13.62</v>
      </c>
      <c r="S324" s="90">
        <v>-8.35</v>
      </c>
      <c r="T324">
        <v>0.04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t="12.75" customHeight="1" x14ac:dyDescent="0.25">
      <c r="D325" s="89" t="s">
        <v>86</v>
      </c>
      <c r="E325" s="89" t="s">
        <v>70</v>
      </c>
      <c r="F325" s="90">
        <v>30728741.300000001</v>
      </c>
      <c r="G325" s="90">
        <v>4447645.4400000004</v>
      </c>
      <c r="H325" s="90">
        <v>2425057.64</v>
      </c>
      <c r="I325" s="90">
        <v>1275035.6499999999</v>
      </c>
      <c r="J325" s="90">
        <v>3326041.35</v>
      </c>
      <c r="K325" s="90">
        <v>142812.18</v>
      </c>
      <c r="L325" s="90">
        <v>535353.18999999994</v>
      </c>
      <c r="M325" s="90">
        <v>1251300.03</v>
      </c>
      <c r="N325" s="90">
        <v>1213682.7</v>
      </c>
      <c r="O325" s="90">
        <v>5390201.8200000003</v>
      </c>
      <c r="P325" s="90">
        <v>10488975.199999999</v>
      </c>
      <c r="Q325" s="90">
        <v>232654.44</v>
      </c>
      <c r="R325" s="90">
        <v>-10.029999999999999</v>
      </c>
      <c r="S325" s="90">
        <v>-8.35</v>
      </c>
      <c r="T325">
        <v>0.04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t="12.75" customHeight="1" x14ac:dyDescent="0.25">
      <c r="E326" s="89" t="s">
        <v>72</v>
      </c>
      <c r="F326" s="90">
        <v>226728731.69999999</v>
      </c>
      <c r="G326" s="90">
        <v>42828311.229999997</v>
      </c>
      <c r="H326" s="90">
        <v>24273629.100000001</v>
      </c>
      <c r="I326" s="90">
        <v>12708424.33</v>
      </c>
      <c r="J326" s="90">
        <v>12928902.76</v>
      </c>
      <c r="K326" s="90">
        <v>341568.52</v>
      </c>
      <c r="L326" s="90">
        <v>4088350.02</v>
      </c>
      <c r="M326" s="90">
        <v>3004870.82</v>
      </c>
      <c r="N326" s="90">
        <v>4237775.21</v>
      </c>
      <c r="O326" s="90">
        <v>20284611.449999999</v>
      </c>
      <c r="P326" s="90">
        <v>101468705.94</v>
      </c>
      <c r="Q326" s="90">
        <v>563016.39</v>
      </c>
      <c r="R326" s="90">
        <v>565.92999999999995</v>
      </c>
      <c r="S326" s="90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t="12.75" customHeight="1" x14ac:dyDescent="0.25">
      <c r="E327" s="89" t="s">
        <v>81</v>
      </c>
      <c r="F327" s="90">
        <v>1206617.6299999999</v>
      </c>
      <c r="G327" s="90">
        <v>195527.8</v>
      </c>
      <c r="H327" s="90">
        <v>126581.95</v>
      </c>
      <c r="I327" s="90">
        <v>58497.16</v>
      </c>
      <c r="J327" s="90">
        <v>112774.52</v>
      </c>
      <c r="K327" s="90">
        <v>2729.26</v>
      </c>
      <c r="L327" s="90">
        <v>67908.600000000006</v>
      </c>
      <c r="M327" s="90">
        <v>23708.58</v>
      </c>
      <c r="N327" s="90">
        <v>33699.53</v>
      </c>
      <c r="O327" s="90">
        <v>157605.82</v>
      </c>
      <c r="P327" s="90">
        <v>464745.83</v>
      </c>
      <c r="Q327" s="90">
        <v>4452.93</v>
      </c>
      <c r="R327" s="90">
        <v>-1.56</v>
      </c>
      <c r="S327" s="90">
        <v>-41612.79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t="12.75" customHeight="1" x14ac:dyDescent="0.25">
      <c r="D328" s="89" t="s">
        <v>87</v>
      </c>
      <c r="E328" s="89" t="s">
        <v>70</v>
      </c>
      <c r="F328" s="90">
        <v>227935349.33000001</v>
      </c>
      <c r="G328" s="90">
        <v>43023839.030000001</v>
      </c>
      <c r="H328" s="90">
        <v>24400211.050000001</v>
      </c>
      <c r="I328" s="90">
        <v>12766921.49</v>
      </c>
      <c r="J328" s="90">
        <v>13041677.279999999</v>
      </c>
      <c r="K328" s="90">
        <v>344297.78</v>
      </c>
      <c r="L328" s="90">
        <v>4156258.62</v>
      </c>
      <c r="M328" s="90">
        <v>3028579.4</v>
      </c>
      <c r="N328" s="90">
        <v>4271474.74</v>
      </c>
      <c r="O328" s="90">
        <v>20442217.27</v>
      </c>
      <c r="P328" s="90">
        <v>101933451.77</v>
      </c>
      <c r="Q328" s="90">
        <v>567469.31999999995</v>
      </c>
      <c r="R328" s="90">
        <v>564.37</v>
      </c>
      <c r="S328" s="90">
        <v>-41612.79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s="94" customFormat="1" ht="12.75" customHeight="1" x14ac:dyDescent="0.25">
      <c r="C329" s="101" t="s">
        <v>119</v>
      </c>
      <c r="D329" s="101" t="s">
        <v>70</v>
      </c>
      <c r="F329" s="93">
        <v>286711907.52999997</v>
      </c>
      <c r="G329" s="93">
        <v>49563321.700000003</v>
      </c>
      <c r="H329" s="93">
        <v>27986809.16</v>
      </c>
      <c r="I329" s="93">
        <v>14662575.93</v>
      </c>
      <c r="J329" s="93">
        <v>22403066.969999999</v>
      </c>
      <c r="K329" s="93">
        <v>650470.14</v>
      </c>
      <c r="L329" s="93">
        <v>4811611.8099999996</v>
      </c>
      <c r="M329" s="93">
        <v>5717940.3899999997</v>
      </c>
      <c r="N329" s="93">
        <v>7429546.7400000002</v>
      </c>
      <c r="O329" s="93">
        <v>35091268.950000003</v>
      </c>
      <c r="P329" s="93">
        <v>117367146.56</v>
      </c>
      <c r="Q329" s="93">
        <v>1068975.6200000001</v>
      </c>
      <c r="R329" s="93">
        <v>794.57</v>
      </c>
      <c r="S329" s="93">
        <v>-41621.050000000003</v>
      </c>
      <c r="T329" s="94">
        <v>0.04</v>
      </c>
      <c r="U329" s="94">
        <v>0</v>
      </c>
      <c r="V329" s="94">
        <v>0</v>
      </c>
      <c r="W329" s="94">
        <v>0</v>
      </c>
      <c r="X329" s="94">
        <v>0</v>
      </c>
      <c r="Y329" s="94">
        <v>0</v>
      </c>
      <c r="Z329" s="94">
        <v>0</v>
      </c>
    </row>
    <row r="330" spans="1:26" s="226" customFormat="1" ht="12.75" customHeight="1" x14ac:dyDescent="0.25">
      <c r="B330" s="98" t="s">
        <v>112</v>
      </c>
      <c r="C330" s="98" t="s">
        <v>70</v>
      </c>
      <c r="F330" s="100">
        <v>10012922390.65</v>
      </c>
      <c r="G330" s="100">
        <v>569049094.64999998</v>
      </c>
      <c r="H330" s="100">
        <v>317267504.36000001</v>
      </c>
      <c r="I330" s="100">
        <v>168517805.62</v>
      </c>
      <c r="J330" s="100">
        <v>2429021662.8099999</v>
      </c>
      <c r="K330" s="100">
        <v>86984015.530000001</v>
      </c>
      <c r="L330" s="100">
        <v>19305717.66</v>
      </c>
      <c r="M330" s="100">
        <v>763682746.84000003</v>
      </c>
      <c r="N330" s="100">
        <v>725018880.25999999</v>
      </c>
      <c r="O330" s="100">
        <v>3444256050.8699999</v>
      </c>
      <c r="P330" s="100">
        <v>1347916253.24</v>
      </c>
      <c r="Q330" s="100">
        <v>142025983.58000001</v>
      </c>
      <c r="R330" s="100">
        <v>-81704.87</v>
      </c>
      <c r="S330" s="100">
        <v>-41621.480000000003</v>
      </c>
      <c r="T330" s="226">
        <v>1.58</v>
      </c>
      <c r="U330" s="226">
        <v>0</v>
      </c>
      <c r="V330" s="226">
        <v>0</v>
      </c>
      <c r="W330" s="226">
        <v>0</v>
      </c>
      <c r="X330" s="226">
        <v>0</v>
      </c>
      <c r="Y330" s="226">
        <v>0</v>
      </c>
      <c r="Z330" s="226">
        <v>0</v>
      </c>
    </row>
    <row r="331" spans="1:26" ht="12.75" customHeight="1" x14ac:dyDescent="0.25">
      <c r="A331" s="89" t="s">
        <v>78</v>
      </c>
      <c r="B331" s="89" t="s">
        <v>70</v>
      </c>
      <c r="F331" s="90">
        <v>10012922390.65</v>
      </c>
      <c r="G331" s="90">
        <v>569049094.64999998</v>
      </c>
      <c r="H331" s="90">
        <v>317267504.36000001</v>
      </c>
      <c r="I331" s="90">
        <v>168517805.62</v>
      </c>
      <c r="J331" s="90">
        <v>2429021662.8099999</v>
      </c>
      <c r="K331" s="90">
        <v>86984015.530000001</v>
      </c>
      <c r="L331" s="90">
        <v>19305717.66</v>
      </c>
      <c r="M331" s="90">
        <v>763682746.84000003</v>
      </c>
      <c r="N331" s="90">
        <v>725018880.25999999</v>
      </c>
      <c r="O331" s="90">
        <v>3444256050.8699999</v>
      </c>
      <c r="P331" s="90">
        <v>1347916253.24</v>
      </c>
      <c r="Q331" s="90">
        <v>142025983.58000001</v>
      </c>
      <c r="R331" s="90">
        <v>-81704.87</v>
      </c>
      <c r="S331" s="90">
        <v>-41621.480000000003</v>
      </c>
      <c r="T331">
        <v>1.58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E332" t="s">
        <v>73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0</v>
      </c>
      <c r="S332" s="90">
        <v>0</v>
      </c>
      <c r="T332" s="9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90">
        <v>0</v>
      </c>
    </row>
    <row r="333" spans="1:26" x14ac:dyDescent="0.25">
      <c r="D333" t="s">
        <v>156</v>
      </c>
      <c r="E333" t="s">
        <v>70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0</v>
      </c>
      <c r="S333" s="90">
        <v>0</v>
      </c>
      <c r="T333" s="9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90">
        <v>0</v>
      </c>
    </row>
    <row r="334" spans="1:26" s="286" customFormat="1" ht="12.75" customHeight="1" x14ac:dyDescent="0.25">
      <c r="C334" s="286" t="s">
        <v>155</v>
      </c>
      <c r="D334" s="286" t="s">
        <v>70</v>
      </c>
      <c r="E334" s="229"/>
      <c r="F334" s="229">
        <v>0</v>
      </c>
      <c r="G334" s="230">
        <v>0</v>
      </c>
      <c r="H334" s="230">
        <v>0</v>
      </c>
      <c r="I334" s="230">
        <v>0</v>
      </c>
      <c r="J334" s="230">
        <v>0</v>
      </c>
      <c r="K334" s="230">
        <v>0</v>
      </c>
      <c r="L334" s="230">
        <v>0</v>
      </c>
      <c r="M334" s="230">
        <v>0</v>
      </c>
      <c r="N334" s="230">
        <v>0</v>
      </c>
      <c r="O334" s="230">
        <v>0</v>
      </c>
      <c r="P334" s="230">
        <v>0</v>
      </c>
      <c r="Q334" s="230">
        <v>0</v>
      </c>
      <c r="R334" s="230">
        <v>0</v>
      </c>
      <c r="S334" s="230">
        <v>0</v>
      </c>
      <c r="T334" s="230">
        <v>0</v>
      </c>
      <c r="U334" s="230">
        <v>0</v>
      </c>
      <c r="V334" s="230">
        <v>0</v>
      </c>
      <c r="W334" s="230">
        <v>0</v>
      </c>
      <c r="X334" s="230">
        <v>0</v>
      </c>
      <c r="Y334" s="230">
        <v>0</v>
      </c>
      <c r="Z334" s="230">
        <v>0</v>
      </c>
    </row>
    <row r="335" spans="1:26" x14ac:dyDescent="0.25">
      <c r="E335" t="s">
        <v>73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90">
        <v>0</v>
      </c>
    </row>
    <row r="336" spans="1:26" x14ac:dyDescent="0.25">
      <c r="D336" t="s">
        <v>82</v>
      </c>
      <c r="E336" t="s">
        <v>70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90">
        <v>0</v>
      </c>
    </row>
    <row r="337" spans="2:26" x14ac:dyDescent="0.25">
      <c r="E337" t="s">
        <v>73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90">
        <v>0</v>
      </c>
    </row>
    <row r="338" spans="2:26" x14ac:dyDescent="0.25">
      <c r="D338" t="s">
        <v>86</v>
      </c>
      <c r="E338" t="s">
        <v>70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90">
        <v>0</v>
      </c>
    </row>
    <row r="339" spans="2:26" x14ac:dyDescent="0.25">
      <c r="E339" t="s">
        <v>73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90">
        <v>0</v>
      </c>
    </row>
    <row r="340" spans="2:26" x14ac:dyDescent="0.25">
      <c r="D340" t="s">
        <v>87</v>
      </c>
      <c r="E340" t="s">
        <v>70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90">
        <v>0</v>
      </c>
    </row>
    <row r="341" spans="2:26" s="94" customFormat="1" ht="12.75" customHeight="1" x14ac:dyDescent="0.25">
      <c r="C341" s="101" t="s">
        <v>119</v>
      </c>
      <c r="D341" s="101" t="s">
        <v>70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0</v>
      </c>
      <c r="X341" s="93">
        <v>0</v>
      </c>
      <c r="Y341" s="93">
        <v>0</v>
      </c>
      <c r="Z341" s="93">
        <v>0</v>
      </c>
    </row>
    <row r="342" spans="2:26" s="378" customFormat="1" ht="12.6" customHeight="1" x14ac:dyDescent="0.25">
      <c r="B342" s="378" t="s">
        <v>122</v>
      </c>
      <c r="C342" s="378" t="s">
        <v>70</v>
      </c>
      <c r="E342" s="376"/>
      <c r="F342" s="710">
        <v>0</v>
      </c>
      <c r="G342" s="377">
        <v>0</v>
      </c>
      <c r="H342" s="377">
        <v>0</v>
      </c>
      <c r="I342" s="377">
        <v>0</v>
      </c>
      <c r="J342" s="377">
        <v>0</v>
      </c>
      <c r="K342" s="377">
        <v>0</v>
      </c>
      <c r="L342" s="377">
        <v>0</v>
      </c>
      <c r="M342" s="377">
        <v>0</v>
      </c>
      <c r="N342" s="377">
        <v>0</v>
      </c>
      <c r="O342" s="377">
        <v>0</v>
      </c>
      <c r="P342" s="377">
        <v>0</v>
      </c>
      <c r="Q342" s="377">
        <v>0</v>
      </c>
      <c r="R342" s="377">
        <v>0</v>
      </c>
      <c r="S342" s="377">
        <v>0</v>
      </c>
      <c r="T342" s="378">
        <v>0</v>
      </c>
      <c r="U342" s="378">
        <v>0</v>
      </c>
      <c r="V342" s="378">
        <v>0</v>
      </c>
      <c r="W342" s="378">
        <v>0</v>
      </c>
      <c r="X342" s="378">
        <v>0</v>
      </c>
      <c r="Y342" s="378">
        <v>0</v>
      </c>
      <c r="Z342" s="378">
        <v>0</v>
      </c>
    </row>
    <row r="343" spans="2:26" ht="12.6" customHeight="1" x14ac:dyDescent="0.25">
      <c r="E343" s="89" t="s">
        <v>73</v>
      </c>
      <c r="F343" s="371">
        <v>-1327632993.0699999</v>
      </c>
      <c r="G343" s="90">
        <v>-8564985.7699999996</v>
      </c>
      <c r="H343" s="90">
        <v>-4774987.63</v>
      </c>
      <c r="I343" s="90">
        <v>-2523218.8199999998</v>
      </c>
      <c r="J343" s="90">
        <v>-408268306.70999998</v>
      </c>
      <c r="K343" s="90">
        <v>-14887976.699999999</v>
      </c>
      <c r="L343" s="90">
        <v>0</v>
      </c>
      <c r="M343" s="90">
        <v>-130597681.34</v>
      </c>
      <c r="N343" s="90">
        <v>-124131146.83</v>
      </c>
      <c r="O343" s="90">
        <v>-589163703.41999996</v>
      </c>
      <c r="P343" s="90">
        <v>-20430834.859999999</v>
      </c>
      <c r="Q343" s="90">
        <v>-24290150.989999998</v>
      </c>
      <c r="R343" s="90">
        <v>0</v>
      </c>
      <c r="S343" s="9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ht="12.75" customHeight="1" x14ac:dyDescent="0.25">
      <c r="D344" t="s">
        <v>156</v>
      </c>
      <c r="E344" s="89" t="s">
        <v>70</v>
      </c>
      <c r="F344" s="371">
        <v>-1327632993.0699999</v>
      </c>
      <c r="G344" s="90">
        <v>-8564985.7699999996</v>
      </c>
      <c r="H344" s="90">
        <v>-4774987.63</v>
      </c>
      <c r="I344" s="90">
        <v>-2523218.8199999998</v>
      </c>
      <c r="J344" s="90">
        <v>-408268306.70999998</v>
      </c>
      <c r="K344" s="90">
        <v>-14887976.699999999</v>
      </c>
      <c r="L344" s="90">
        <v>0</v>
      </c>
      <c r="M344" s="90">
        <v>-130597681.34</v>
      </c>
      <c r="N344" s="90">
        <v>-124131146.83</v>
      </c>
      <c r="O344" s="90">
        <v>-589163703.41999996</v>
      </c>
      <c r="P344" s="90">
        <v>-20430834.859999999</v>
      </c>
      <c r="Q344" s="90">
        <v>-24290150.989999998</v>
      </c>
      <c r="R344" s="90">
        <v>0</v>
      </c>
      <c r="S344" s="9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s="286" customFormat="1" ht="12.75" customHeight="1" x14ac:dyDescent="0.25">
      <c r="C345" s="286" t="s">
        <v>155</v>
      </c>
      <c r="D345" s="286" t="s">
        <v>70</v>
      </c>
      <c r="E345" s="229"/>
      <c r="F345" s="229">
        <v>-1327632993.0699999</v>
      </c>
      <c r="G345" s="230">
        <v>-8564985.7699999996</v>
      </c>
      <c r="H345" s="230">
        <v>-4774987.63</v>
      </c>
      <c r="I345" s="230">
        <v>-2523218.8199999998</v>
      </c>
      <c r="J345" s="230">
        <v>-408268306.70999998</v>
      </c>
      <c r="K345" s="230">
        <v>-14887976.699999999</v>
      </c>
      <c r="L345" s="230">
        <v>0</v>
      </c>
      <c r="M345" s="230">
        <v>-130597681.34</v>
      </c>
      <c r="N345" s="230">
        <v>-124131146.83</v>
      </c>
      <c r="O345" s="230">
        <v>-589163703.41999996</v>
      </c>
      <c r="P345" s="230">
        <v>-20430834.859999999</v>
      </c>
      <c r="Q345" s="230">
        <v>-24290150.989999998</v>
      </c>
      <c r="R345" s="230">
        <v>0</v>
      </c>
      <c r="S345" s="230">
        <v>0</v>
      </c>
      <c r="T345" s="230">
        <v>0</v>
      </c>
      <c r="U345" s="230">
        <v>0</v>
      </c>
      <c r="V345" s="230">
        <v>0</v>
      </c>
      <c r="W345" s="230">
        <v>0</v>
      </c>
      <c r="X345" s="230">
        <v>0</v>
      </c>
      <c r="Y345" s="230">
        <v>0</v>
      </c>
      <c r="Z345" s="230">
        <v>0</v>
      </c>
    </row>
    <row r="346" spans="2:26" ht="12.75" customHeight="1" x14ac:dyDescent="0.25">
      <c r="D346" s="89"/>
      <c r="E346" s="89" t="s">
        <v>73</v>
      </c>
      <c r="F346" s="90">
        <v>2828333.1</v>
      </c>
      <c r="G346" s="90">
        <v>743180.49</v>
      </c>
      <c r="H346" s="90">
        <v>414441.74</v>
      </c>
      <c r="I346" s="90">
        <v>221023.81</v>
      </c>
      <c r="J346" s="90">
        <v>-139031.15</v>
      </c>
      <c r="K346" s="90">
        <v>-2208.44</v>
      </c>
      <c r="L346" s="90">
        <v>0</v>
      </c>
      <c r="M346" s="90">
        <v>-20313.72</v>
      </c>
      <c r="N346" s="90">
        <v>-24977.48</v>
      </c>
      <c r="O346" s="90">
        <v>-121230.75</v>
      </c>
      <c r="P346" s="90">
        <v>1761052.74</v>
      </c>
      <c r="Q346" s="90">
        <v>-3604.14</v>
      </c>
      <c r="R346" s="90">
        <v>0</v>
      </c>
      <c r="S346" s="9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ht="12.75" customHeight="1" x14ac:dyDescent="0.25">
      <c r="D347" t="s">
        <v>82</v>
      </c>
      <c r="E347" s="89" t="s">
        <v>70</v>
      </c>
      <c r="F347" s="90">
        <v>2828333.1</v>
      </c>
      <c r="G347" s="90">
        <v>743180.49</v>
      </c>
      <c r="H347" s="90">
        <v>414441.74</v>
      </c>
      <c r="I347" s="90">
        <v>221023.81</v>
      </c>
      <c r="J347" s="90">
        <v>-139031.15</v>
      </c>
      <c r="K347" s="90">
        <v>-2208.44</v>
      </c>
      <c r="L347" s="90">
        <v>0</v>
      </c>
      <c r="M347" s="90">
        <v>-20313.72</v>
      </c>
      <c r="N347" s="90">
        <v>-24977.48</v>
      </c>
      <c r="O347" s="90">
        <v>-121230.75</v>
      </c>
      <c r="P347" s="90">
        <v>1761052.74</v>
      </c>
      <c r="Q347" s="90">
        <v>-3604.14</v>
      </c>
      <c r="R347" s="90">
        <v>0</v>
      </c>
      <c r="S347" s="9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ht="12.75" customHeight="1" x14ac:dyDescent="0.25">
      <c r="D348" s="89"/>
      <c r="E348" s="89" t="s">
        <v>73</v>
      </c>
      <c r="F348" s="90">
        <v>10204619.699999999</v>
      </c>
      <c r="G348" s="90">
        <v>2328991.14</v>
      </c>
      <c r="H348" s="90">
        <v>1287297.82</v>
      </c>
      <c r="I348" s="90">
        <v>679570.49</v>
      </c>
      <c r="J348" s="90">
        <v>102278.14</v>
      </c>
      <c r="K348" s="90">
        <v>4415.71</v>
      </c>
      <c r="L348" s="90">
        <v>0</v>
      </c>
      <c r="M348" s="90">
        <v>39056.980000000003</v>
      </c>
      <c r="N348" s="90">
        <v>58210.36</v>
      </c>
      <c r="O348" s="90">
        <v>188950.98</v>
      </c>
      <c r="P348" s="90">
        <v>5508643.75</v>
      </c>
      <c r="Q348" s="90">
        <v>7204.33</v>
      </c>
      <c r="R348" s="90">
        <v>0</v>
      </c>
      <c r="S348" s="9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2:26" ht="12.75" customHeight="1" x14ac:dyDescent="0.25">
      <c r="D349" t="s">
        <v>86</v>
      </c>
      <c r="E349" s="89" t="s">
        <v>70</v>
      </c>
      <c r="F349" s="90">
        <v>10204619.699999999</v>
      </c>
      <c r="G349" s="90">
        <v>2328991.14</v>
      </c>
      <c r="H349" s="90">
        <v>1287297.82</v>
      </c>
      <c r="I349" s="90">
        <v>679570.49</v>
      </c>
      <c r="J349" s="90">
        <v>102278.14</v>
      </c>
      <c r="K349" s="90">
        <v>4415.71</v>
      </c>
      <c r="L349" s="90">
        <v>0</v>
      </c>
      <c r="M349" s="90">
        <v>39056.980000000003</v>
      </c>
      <c r="N349" s="90">
        <v>58210.36</v>
      </c>
      <c r="O349" s="90">
        <v>188950.98</v>
      </c>
      <c r="P349" s="90">
        <v>5508643.75</v>
      </c>
      <c r="Q349" s="90">
        <v>7204.33</v>
      </c>
      <c r="R349" s="90">
        <v>0</v>
      </c>
      <c r="S349" s="9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ht="12.75" customHeight="1" x14ac:dyDescent="0.25">
      <c r="D350" s="89"/>
      <c r="E350" s="89" t="s">
        <v>73</v>
      </c>
      <c r="F350" s="90">
        <v>132456085.67</v>
      </c>
      <c r="G350" s="90">
        <v>30585428.239999998</v>
      </c>
      <c r="H350" s="90">
        <v>17048992.600000001</v>
      </c>
      <c r="I350" s="90">
        <v>9062837.0399999991</v>
      </c>
      <c r="J350" s="90">
        <v>1058444.68</v>
      </c>
      <c r="K350" s="90">
        <v>25732.85</v>
      </c>
      <c r="L350" s="90">
        <v>0</v>
      </c>
      <c r="M350" s="90">
        <v>227727.21</v>
      </c>
      <c r="N350" s="90">
        <v>319819.03999999998</v>
      </c>
      <c r="O350" s="90">
        <v>1520655.55</v>
      </c>
      <c r="P350" s="90">
        <v>72564464.719999999</v>
      </c>
      <c r="Q350" s="90">
        <v>41983.74</v>
      </c>
      <c r="R350" s="90">
        <v>0</v>
      </c>
      <c r="S350" s="9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ht="12.75" customHeight="1" x14ac:dyDescent="0.25">
      <c r="C351" s="89"/>
      <c r="D351" s="89" t="s">
        <v>87</v>
      </c>
      <c r="E351" t="s">
        <v>70</v>
      </c>
      <c r="F351" s="90">
        <v>132456085.67</v>
      </c>
      <c r="G351" s="90">
        <v>30585428.239999998</v>
      </c>
      <c r="H351" s="90">
        <v>17048992.600000001</v>
      </c>
      <c r="I351" s="90">
        <v>9062837.0399999991</v>
      </c>
      <c r="J351" s="90">
        <v>1058444.68</v>
      </c>
      <c r="K351" s="90">
        <v>25732.85</v>
      </c>
      <c r="L351" s="90">
        <v>0</v>
      </c>
      <c r="M351" s="90">
        <v>227727.21</v>
      </c>
      <c r="N351" s="90">
        <v>319819.03999999998</v>
      </c>
      <c r="O351" s="90">
        <v>1520655.55</v>
      </c>
      <c r="P351" s="90">
        <v>72564464.719999999</v>
      </c>
      <c r="Q351" s="90">
        <v>41983.74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s="94" customFormat="1" ht="12.75" customHeight="1" x14ac:dyDescent="0.25">
      <c r="C352" s="101" t="s">
        <v>119</v>
      </c>
      <c r="D352" s="101" t="s">
        <v>70</v>
      </c>
      <c r="F352" s="93">
        <v>145489038.47</v>
      </c>
      <c r="G352" s="93">
        <v>33657599.869999997</v>
      </c>
      <c r="H352" s="93">
        <v>18750732.16</v>
      </c>
      <c r="I352" s="93">
        <v>9963431.3399999999</v>
      </c>
      <c r="J352" s="93">
        <v>1021691.67</v>
      </c>
      <c r="K352" s="93">
        <v>27940.12</v>
      </c>
      <c r="L352" s="93">
        <v>0</v>
      </c>
      <c r="M352" s="93">
        <v>246470.47</v>
      </c>
      <c r="N352" s="93">
        <v>353051.92</v>
      </c>
      <c r="O352" s="93">
        <v>1588375.78</v>
      </c>
      <c r="P352" s="93">
        <v>79834161.209999993</v>
      </c>
      <c r="Q352" s="93">
        <v>45583.93</v>
      </c>
      <c r="R352" s="93">
        <v>0</v>
      </c>
      <c r="S352" s="93">
        <v>0</v>
      </c>
      <c r="T352" s="94">
        <v>0</v>
      </c>
      <c r="U352" s="94">
        <v>0</v>
      </c>
      <c r="V352" s="94">
        <v>0</v>
      </c>
      <c r="W352" s="94">
        <v>0</v>
      </c>
      <c r="X352" s="94">
        <v>0</v>
      </c>
      <c r="Y352" s="94">
        <v>0</v>
      </c>
      <c r="Z352" s="94">
        <v>0</v>
      </c>
    </row>
    <row r="353" spans="1:26" s="226" customFormat="1" ht="12.75" customHeight="1" x14ac:dyDescent="0.25">
      <c r="A353" s="98"/>
      <c r="B353" s="98" t="s">
        <v>112</v>
      </c>
      <c r="C353" s="226" t="s">
        <v>70</v>
      </c>
      <c r="F353" s="100">
        <v>-1182143954.5999999</v>
      </c>
      <c r="G353" s="100">
        <v>25092614.100000001</v>
      </c>
      <c r="H353" s="100">
        <v>13975744.529999999</v>
      </c>
      <c r="I353" s="100">
        <v>7440212.5199999996</v>
      </c>
      <c r="J353" s="100">
        <v>-407246615.04000002</v>
      </c>
      <c r="K353" s="100">
        <v>-14860036.58</v>
      </c>
      <c r="L353" s="100">
        <v>0</v>
      </c>
      <c r="M353" s="100">
        <v>-130351210.87</v>
      </c>
      <c r="N353" s="100">
        <v>-123778094.91</v>
      </c>
      <c r="O353" s="100">
        <v>-587575327.63999999</v>
      </c>
      <c r="P353" s="100">
        <v>59403326.350000001</v>
      </c>
      <c r="Q353" s="100">
        <v>-24244567.059999999</v>
      </c>
      <c r="R353" s="100">
        <v>0</v>
      </c>
      <c r="S353" s="100">
        <v>0</v>
      </c>
      <c r="T353" s="226">
        <v>0</v>
      </c>
      <c r="U353" s="226">
        <v>0</v>
      </c>
      <c r="V353" s="226">
        <v>0</v>
      </c>
      <c r="W353" s="226">
        <v>0</v>
      </c>
      <c r="X353" s="226">
        <v>0</v>
      </c>
      <c r="Y353" s="226">
        <v>0</v>
      </c>
      <c r="Z353" s="226">
        <v>0</v>
      </c>
    </row>
    <row r="354" spans="1:26" ht="12.75" customHeight="1" x14ac:dyDescent="0.25">
      <c r="A354" s="89" t="s">
        <v>79</v>
      </c>
      <c r="B354" t="s">
        <v>70</v>
      </c>
      <c r="F354" s="90">
        <v>-1182143954.5999999</v>
      </c>
      <c r="G354" s="90">
        <v>25092614.100000001</v>
      </c>
      <c r="H354" s="90">
        <v>13975744.529999999</v>
      </c>
      <c r="I354" s="90">
        <v>7440212.5199999996</v>
      </c>
      <c r="J354" s="90">
        <v>-407246615.04000002</v>
      </c>
      <c r="K354" s="90">
        <v>-14860036.58</v>
      </c>
      <c r="L354" s="90">
        <v>0</v>
      </c>
      <c r="M354" s="90">
        <v>-130351210.87</v>
      </c>
      <c r="N354" s="90">
        <v>-123778094.91</v>
      </c>
      <c r="O354" s="90">
        <v>-587575327.63999999</v>
      </c>
      <c r="P354" s="90">
        <v>59403326.350000001</v>
      </c>
      <c r="Q354" s="90">
        <v>-24244567.059999999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ht="12.75" customHeight="1" x14ac:dyDescent="0.25">
      <c r="A355" t="s">
        <v>70</v>
      </c>
      <c r="E355" s="89"/>
      <c r="F355" s="90">
        <v>8830777878</v>
      </c>
      <c r="G355" s="90">
        <v>594141672.32000005</v>
      </c>
      <c r="H355" s="90">
        <v>331243233.41000003</v>
      </c>
      <c r="I355" s="90">
        <v>175958011.38</v>
      </c>
      <c r="J355" s="90">
        <v>2021774924.6300001</v>
      </c>
      <c r="K355" s="90">
        <v>72123973.959999993</v>
      </c>
      <c r="L355" s="90">
        <v>19305717.66</v>
      </c>
      <c r="M355" s="90">
        <v>633331492.19000006</v>
      </c>
      <c r="N355" s="90">
        <v>601240729.36000001</v>
      </c>
      <c r="O355" s="90">
        <v>2856680538.9099998</v>
      </c>
      <c r="P355" s="90">
        <v>1407319500.5699999</v>
      </c>
      <c r="Q355" s="90">
        <v>117781408.38</v>
      </c>
      <c r="R355" s="90">
        <v>-81704.87</v>
      </c>
      <c r="S355" s="90">
        <v>-41621.480000000003</v>
      </c>
      <c r="T355" s="150">
        <v>1.58</v>
      </c>
      <c r="U355" s="150">
        <v>0</v>
      </c>
      <c r="V355" s="150">
        <v>0</v>
      </c>
      <c r="W355" s="150">
        <v>0</v>
      </c>
      <c r="X355">
        <v>0</v>
      </c>
      <c r="Y355">
        <v>0</v>
      </c>
      <c r="Z355">
        <v>0</v>
      </c>
    </row>
    <row r="356" spans="1:26" ht="12.75" hidden="1" customHeight="1" x14ac:dyDescent="0.25">
      <c r="A356" s="89"/>
      <c r="B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spans="1:26" ht="12.75" hidden="1" customHeight="1" x14ac:dyDescent="0.25">
      <c r="E357" s="89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26" ht="12.75" hidden="1" customHeight="1" x14ac:dyDescent="0.25">
      <c r="D358" s="89"/>
      <c r="E358" s="89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26" ht="12.75" hidden="1" customHeight="1" x14ac:dyDescent="0.25">
      <c r="D359" s="89"/>
      <c r="E359" s="89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26" ht="12.75" hidden="1" customHeight="1" x14ac:dyDescent="0.25">
      <c r="E360" s="89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26" ht="12.75" hidden="1" customHeight="1" x14ac:dyDescent="0.25">
      <c r="D361" s="89"/>
      <c r="E361" s="89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spans="1:26" ht="12.75" hidden="1" customHeight="1" x14ac:dyDescent="0.25">
      <c r="E362" s="89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26" ht="12.75" hidden="1" customHeight="1" x14ac:dyDescent="0.25">
      <c r="D363" s="89"/>
      <c r="E363" s="89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26" ht="12.75" hidden="1" customHeight="1" x14ac:dyDescent="0.25">
      <c r="E364" s="89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26" ht="12.75" hidden="1" customHeight="1" x14ac:dyDescent="0.25">
      <c r="D365" s="89"/>
      <c r="E365" s="89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26" ht="12.75" hidden="1" customHeight="1" x14ac:dyDescent="0.25">
      <c r="C366" s="89"/>
      <c r="D366" s="89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spans="1:26" ht="12.75" hidden="1" customHeight="1" x14ac:dyDescent="0.25">
      <c r="E367" s="89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26" ht="12.75" hidden="1" customHeight="1" x14ac:dyDescent="0.25">
      <c r="D368" s="89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spans="1:23" ht="12.75" hidden="1" customHeight="1" x14ac:dyDescent="0.25">
      <c r="E369" s="89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23" ht="12.75" hidden="1" customHeight="1" x14ac:dyDescent="0.25">
      <c r="D370" s="89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spans="1:23" ht="12.75" hidden="1" customHeight="1" x14ac:dyDescent="0.25">
      <c r="C371" s="89"/>
      <c r="D371" s="89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spans="1:23" ht="12.75" hidden="1" customHeight="1" x14ac:dyDescent="0.25">
      <c r="B372" s="89"/>
      <c r="C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23" ht="12.75" hidden="1" customHeight="1" x14ac:dyDescent="0.25">
      <c r="A373" s="89"/>
      <c r="B373" s="89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23" ht="12.75" hidden="1" customHeight="1" x14ac:dyDescent="0.25">
      <c r="A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spans="1:23" ht="12.75" hidden="1" customHeight="1" x14ac:dyDescent="0.25">
      <c r="A375" s="89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spans="1:23" ht="12.75" hidden="1" customHeight="1" x14ac:dyDescent="0.25">
      <c r="A376" s="89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spans="1:23" ht="12.75" hidden="1" customHeight="1" x14ac:dyDescent="0.25">
      <c r="A377" s="89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spans="1:23" ht="12.75" hidden="1" customHeight="1" x14ac:dyDescent="0.25">
      <c r="A378" s="89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spans="1:23" ht="12.75" hidden="1" customHeight="1" x14ac:dyDescent="0.25">
      <c r="A379" s="89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150"/>
      <c r="U379" s="150"/>
      <c r="V379" s="150"/>
      <c r="W379" s="150"/>
    </row>
    <row r="380" spans="1:23" ht="12.75" hidden="1" customHeight="1" x14ac:dyDescent="0.25">
      <c r="A380" s="89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150"/>
      <c r="U380" s="150"/>
      <c r="V380" s="150"/>
      <c r="W380" s="150"/>
    </row>
    <row r="381" spans="1:23" ht="12.75" hidden="1" customHeight="1" x14ac:dyDescent="0.25">
      <c r="A381" s="89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150"/>
      <c r="U381" s="150"/>
      <c r="V381" s="150"/>
      <c r="W381" s="150"/>
    </row>
    <row r="382" spans="1:23" ht="12.75" hidden="1" customHeight="1" x14ac:dyDescent="0.25">
      <c r="A382" s="89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150"/>
      <c r="U382" s="150"/>
      <c r="V382" s="150"/>
      <c r="W382" s="150"/>
    </row>
    <row r="383" spans="1:23" ht="12.75" hidden="1" customHeight="1" x14ac:dyDescent="0.25">
      <c r="A383" s="89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150"/>
      <c r="U383" s="150"/>
      <c r="V383" s="150"/>
      <c r="W383" s="150"/>
    </row>
    <row r="384" spans="1:23" ht="12.75" hidden="1" customHeight="1" x14ac:dyDescent="0.25">
      <c r="A384" s="89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150"/>
      <c r="U384" s="150"/>
      <c r="V384" s="150"/>
      <c r="W384" s="150"/>
    </row>
    <row r="385" spans="1:23" ht="12.75" hidden="1" customHeight="1" x14ac:dyDescent="0.25">
      <c r="A385" s="89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150"/>
      <c r="U385" s="150"/>
      <c r="V385" s="150"/>
      <c r="W385" s="150"/>
    </row>
    <row r="386" spans="1:23" ht="12.75" hidden="1" customHeight="1" x14ac:dyDescent="0.25">
      <c r="A386" s="89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150"/>
      <c r="U386" s="150"/>
      <c r="V386" s="150"/>
      <c r="W386" s="150"/>
    </row>
    <row r="387" spans="1:23" ht="12.75" hidden="1" customHeight="1" x14ac:dyDescent="0.25">
      <c r="A387" s="89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150"/>
      <c r="U387" s="150"/>
      <c r="V387" s="150"/>
      <c r="W387" s="150"/>
    </row>
    <row r="388" spans="1:23" ht="12.75" hidden="1" customHeight="1" x14ac:dyDescent="0.25">
      <c r="A388" s="89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150"/>
      <c r="U388" s="150"/>
      <c r="V388" s="150"/>
      <c r="W388" s="150"/>
    </row>
    <row r="389" spans="1:23" ht="12.75" hidden="1" customHeight="1" x14ac:dyDescent="0.25">
      <c r="A389" s="89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150"/>
      <c r="U389" s="150"/>
      <c r="V389" s="150"/>
      <c r="W389" s="150"/>
    </row>
    <row r="390" spans="1:23" ht="12.75" hidden="1" customHeight="1" x14ac:dyDescent="0.25">
      <c r="A390" s="89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150"/>
      <c r="U390" s="150"/>
      <c r="V390" s="150"/>
      <c r="W390" s="150"/>
    </row>
    <row r="391" spans="1:23" ht="12.75" hidden="1" customHeight="1" x14ac:dyDescent="0.25">
      <c r="A391" s="89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150"/>
      <c r="U391" s="150"/>
      <c r="V391" s="150"/>
      <c r="W391" s="150"/>
    </row>
    <row r="392" spans="1:23" ht="12.75" hidden="1" customHeight="1" x14ac:dyDescent="0.25">
      <c r="A392" s="89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150"/>
      <c r="U392" s="150"/>
      <c r="V392" s="150"/>
      <c r="W392" s="150"/>
    </row>
    <row r="393" spans="1:23" ht="12.75" hidden="1" customHeight="1" x14ac:dyDescent="0.25">
      <c r="A393" s="89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150"/>
      <c r="U393" s="150"/>
      <c r="V393" s="150"/>
      <c r="W393" s="150"/>
    </row>
    <row r="394" spans="1:23" ht="12.75" hidden="1" customHeight="1" x14ac:dyDescent="0.25">
      <c r="A394" s="89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150"/>
      <c r="U394" s="150"/>
      <c r="V394" s="150"/>
      <c r="W394" s="150"/>
    </row>
    <row r="395" spans="1:23" ht="12.75" hidden="1" customHeight="1" x14ac:dyDescent="0.25">
      <c r="A395" s="89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150"/>
      <c r="U395" s="150"/>
      <c r="V395" s="150"/>
      <c r="W395" s="150"/>
    </row>
    <row r="396" spans="1:23" ht="12.75" hidden="1" customHeight="1" x14ac:dyDescent="0.25">
      <c r="A396" s="89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150"/>
      <c r="U396" s="150"/>
      <c r="V396" s="150"/>
      <c r="W396" s="150"/>
    </row>
    <row r="397" spans="1:23" ht="12.75" hidden="1" customHeight="1" x14ac:dyDescent="0.25">
      <c r="A397" s="89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150"/>
      <c r="U397" s="150"/>
      <c r="V397" s="150"/>
      <c r="W397" s="150"/>
    </row>
    <row r="398" spans="1:23" ht="12.75" hidden="1" customHeight="1" x14ac:dyDescent="0.25">
      <c r="A398" s="89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150"/>
      <c r="U398" s="150"/>
      <c r="V398" s="150"/>
      <c r="W398" s="150"/>
    </row>
    <row r="399" spans="1:23" ht="12.75" hidden="1" customHeight="1" x14ac:dyDescent="0.25">
      <c r="A399" s="89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150"/>
      <c r="U399" s="150"/>
      <c r="V399" s="150"/>
      <c r="W399" s="150"/>
    </row>
    <row r="400" spans="1:23" ht="12.75" hidden="1" customHeight="1" x14ac:dyDescent="0.25">
      <c r="A400" s="89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150"/>
      <c r="U400" s="150"/>
      <c r="V400" s="150"/>
      <c r="W400" s="150"/>
    </row>
    <row r="401" spans="1:41" ht="12.75" hidden="1" customHeight="1" x14ac:dyDescent="0.25">
      <c r="A401" s="89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150"/>
      <c r="U401" s="150"/>
      <c r="V401" s="150"/>
      <c r="W401" s="150"/>
    </row>
    <row r="402" spans="1:41" ht="12.75" hidden="1" customHeight="1" x14ac:dyDescent="0.25">
      <c r="A402" s="89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150"/>
      <c r="U402" s="150"/>
      <c r="V402" s="150"/>
      <c r="W402" s="150"/>
    </row>
    <row r="403" spans="1:41" ht="12.75" hidden="1" customHeight="1" x14ac:dyDescent="0.25">
      <c r="A403" s="89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150"/>
      <c r="U403" s="150"/>
      <c r="V403" s="150"/>
      <c r="W403" s="150"/>
    </row>
    <row r="404" spans="1:41" ht="12.75" hidden="1" customHeight="1" x14ac:dyDescent="0.25">
      <c r="A404" s="89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150"/>
      <c r="U404" s="150"/>
      <c r="V404" s="150"/>
      <c r="W404" s="150"/>
    </row>
    <row r="405" spans="1:41" ht="12.75" hidden="1" customHeight="1" x14ac:dyDescent="0.25">
      <c r="A405" s="89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150"/>
      <c r="U405" s="150"/>
      <c r="V405" s="150"/>
      <c r="W405" s="150"/>
    </row>
    <row r="406" spans="1:41" ht="12.75" hidden="1" customHeight="1" x14ac:dyDescent="0.25">
      <c r="A406" s="89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150"/>
      <c r="U406" s="150"/>
      <c r="V406" s="150"/>
      <c r="W406" s="150"/>
    </row>
    <row r="407" spans="1:41" ht="12.75" hidden="1" customHeight="1" x14ac:dyDescent="0.25">
      <c r="A407" s="89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150"/>
      <c r="U407" s="150"/>
      <c r="V407" s="150"/>
      <c r="W407" s="150"/>
    </row>
    <row r="408" spans="1:41" ht="12.75" hidden="1" customHeight="1" x14ac:dyDescent="0.25">
      <c r="A408" s="89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150"/>
      <c r="U408" s="150"/>
      <c r="V408" s="150"/>
      <c r="W408" s="150"/>
    </row>
    <row r="409" spans="1:41" ht="12.75" hidden="1" customHeight="1" x14ac:dyDescent="0.25">
      <c r="A409" s="89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150"/>
      <c r="U409" s="150"/>
      <c r="V409" s="150"/>
      <c r="W409" s="150"/>
    </row>
    <row r="410" spans="1:41" ht="12.75" hidden="1" customHeight="1" x14ac:dyDescent="0.25">
      <c r="A410" s="89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150"/>
      <c r="U410" s="150"/>
      <c r="V410" s="150"/>
      <c r="W410" s="150"/>
    </row>
    <row r="411" spans="1:41" ht="12.75" hidden="1" customHeight="1" x14ac:dyDescent="0.25">
      <c r="A411" s="89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150"/>
      <c r="U411" s="150"/>
      <c r="V411" s="150"/>
      <c r="W411" s="150"/>
    </row>
    <row r="412" spans="1:41" ht="12.75" hidden="1" customHeight="1" x14ac:dyDescent="0.25">
      <c r="A412" s="89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150"/>
      <c r="U412" s="150"/>
      <c r="V412" s="150"/>
      <c r="W412" s="150"/>
    </row>
    <row r="413" spans="1:41" ht="12.75" customHeight="1" x14ac:dyDescent="0.25">
      <c r="A413" s="89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150"/>
      <c r="U413" s="150"/>
      <c r="V413" s="150"/>
      <c r="W413" s="150"/>
    </row>
    <row r="414" spans="1:41" ht="12.75" customHeight="1" x14ac:dyDescent="0.25">
      <c r="A414" s="89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150"/>
      <c r="U414" s="150"/>
      <c r="V414" s="150"/>
      <c r="W414" s="150"/>
    </row>
    <row r="415" spans="1:41" ht="12.75" customHeight="1" x14ac:dyDescent="0.25">
      <c r="C415" s="777" t="s">
        <v>2</v>
      </c>
      <c r="D415" s="774" t="s">
        <v>132</v>
      </c>
      <c r="E415" s="98" t="s">
        <v>70</v>
      </c>
      <c r="F415" s="100">
        <f>F330+F353+F299-L299-L330</f>
        <v>8811472160.3400002</v>
      </c>
      <c r="G415" s="100">
        <f t="shared" ref="G415:AO415" si="16">G330+G299</f>
        <v>569049058.22000003</v>
      </c>
      <c r="H415" s="100">
        <f t="shared" si="16"/>
        <v>317267488.88</v>
      </c>
      <c r="I415" s="100">
        <f t="shared" si="16"/>
        <v>168517798.86000001</v>
      </c>
      <c r="J415" s="100">
        <f t="shared" si="16"/>
        <v>2429021539.6700001</v>
      </c>
      <c r="K415" s="100">
        <f t="shared" si="16"/>
        <v>86984010.540000007</v>
      </c>
      <c r="L415" s="100">
        <f t="shared" si="16"/>
        <v>19305717.66</v>
      </c>
      <c r="M415" s="100">
        <f t="shared" si="16"/>
        <v>763682703.06000006</v>
      </c>
      <c r="N415" s="100">
        <f t="shared" si="16"/>
        <v>725018824.26999998</v>
      </c>
      <c r="O415" s="100">
        <f t="shared" si="16"/>
        <v>3444255866.5499997</v>
      </c>
      <c r="P415" s="100">
        <f t="shared" si="16"/>
        <v>1347916174.22</v>
      </c>
      <c r="Q415" s="100">
        <f t="shared" si="16"/>
        <v>142025975.44000003</v>
      </c>
      <c r="R415" s="100">
        <f t="shared" si="16"/>
        <v>-81704.87</v>
      </c>
      <c r="S415" s="100">
        <f t="shared" si="16"/>
        <v>-41621.480000000003</v>
      </c>
      <c r="T415" s="100">
        <f t="shared" si="16"/>
        <v>1.58</v>
      </c>
      <c r="U415" s="100">
        <f t="shared" si="16"/>
        <v>0</v>
      </c>
      <c r="V415" s="100">
        <f t="shared" si="16"/>
        <v>0</v>
      </c>
      <c r="W415" s="100">
        <f t="shared" si="16"/>
        <v>0</v>
      </c>
      <c r="X415" s="100">
        <f t="shared" si="16"/>
        <v>0</v>
      </c>
      <c r="Y415" s="100">
        <f t="shared" si="16"/>
        <v>0</v>
      </c>
      <c r="Z415" s="100">
        <f t="shared" si="16"/>
        <v>0</v>
      </c>
      <c r="AA415" s="100">
        <f t="shared" si="16"/>
        <v>0</v>
      </c>
      <c r="AB415" s="100">
        <f t="shared" si="16"/>
        <v>0</v>
      </c>
      <c r="AC415" s="100">
        <f t="shared" si="16"/>
        <v>0</v>
      </c>
      <c r="AD415" s="100">
        <f t="shared" si="16"/>
        <v>0</v>
      </c>
      <c r="AE415" s="100">
        <f t="shared" si="16"/>
        <v>0</v>
      </c>
      <c r="AF415" s="100">
        <f t="shared" si="16"/>
        <v>0</v>
      </c>
      <c r="AG415" s="100">
        <f t="shared" si="16"/>
        <v>0</v>
      </c>
      <c r="AH415" s="100">
        <f t="shared" si="16"/>
        <v>0</v>
      </c>
      <c r="AI415" s="100">
        <f t="shared" si="16"/>
        <v>0</v>
      </c>
      <c r="AJ415" s="100">
        <f t="shared" si="16"/>
        <v>0</v>
      </c>
      <c r="AK415" s="100">
        <f t="shared" si="16"/>
        <v>0</v>
      </c>
      <c r="AL415" s="100">
        <f t="shared" si="16"/>
        <v>0</v>
      </c>
      <c r="AM415" s="100">
        <f t="shared" si="16"/>
        <v>0</v>
      </c>
      <c r="AN415" s="100">
        <f t="shared" si="16"/>
        <v>0</v>
      </c>
      <c r="AO415" s="100">
        <f t="shared" si="16"/>
        <v>0</v>
      </c>
    </row>
    <row r="416" spans="1:41" ht="12.75" customHeight="1" x14ac:dyDescent="0.25">
      <c r="C416" s="777"/>
      <c r="D416" s="774"/>
      <c r="E416" s="98" t="s">
        <v>73</v>
      </c>
      <c r="F416" s="100">
        <f>F353</f>
        <v>-1182143954.5999999</v>
      </c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spans="1:41" ht="12.75" customHeight="1" x14ac:dyDescent="0.25">
      <c r="A417" s="90"/>
      <c r="C417" s="777"/>
      <c r="D417" s="774" t="s">
        <v>133</v>
      </c>
      <c r="E417" s="233" t="s">
        <v>70</v>
      </c>
      <c r="F417" s="234">
        <f>F342+F315-L315</f>
        <v>0</v>
      </c>
      <c r="G417" s="234">
        <f>G315</f>
        <v>0</v>
      </c>
      <c r="H417" s="234">
        <f t="shared" ref="H417:AO417" si="17">H315</f>
        <v>0</v>
      </c>
      <c r="I417" s="234">
        <f t="shared" si="17"/>
        <v>0</v>
      </c>
      <c r="J417" s="234">
        <f t="shared" si="17"/>
        <v>0</v>
      </c>
      <c r="K417" s="234">
        <f t="shared" si="17"/>
        <v>0</v>
      </c>
      <c r="L417" s="234">
        <f t="shared" si="17"/>
        <v>0</v>
      </c>
      <c r="M417" s="234">
        <f t="shared" si="17"/>
        <v>0</v>
      </c>
      <c r="N417" s="234">
        <f t="shared" si="17"/>
        <v>0</v>
      </c>
      <c r="O417" s="234">
        <f t="shared" si="17"/>
        <v>0</v>
      </c>
      <c r="P417" s="234">
        <f t="shared" si="17"/>
        <v>0</v>
      </c>
      <c r="Q417" s="234">
        <f t="shared" si="17"/>
        <v>0</v>
      </c>
      <c r="R417" s="234">
        <f t="shared" si="17"/>
        <v>0</v>
      </c>
      <c r="S417" s="234">
        <f t="shared" si="17"/>
        <v>0</v>
      </c>
      <c r="T417" s="234">
        <f t="shared" si="17"/>
        <v>0</v>
      </c>
      <c r="U417" s="234">
        <f t="shared" si="17"/>
        <v>0</v>
      </c>
      <c r="V417" s="234">
        <f t="shared" si="17"/>
        <v>0</v>
      </c>
      <c r="W417" s="234">
        <f t="shared" si="17"/>
        <v>0</v>
      </c>
      <c r="X417" s="234">
        <f t="shared" si="17"/>
        <v>0</v>
      </c>
      <c r="Y417" s="234">
        <f t="shared" si="17"/>
        <v>0</v>
      </c>
      <c r="Z417" s="234">
        <f t="shared" si="17"/>
        <v>0</v>
      </c>
      <c r="AA417" s="234">
        <f t="shared" si="17"/>
        <v>0</v>
      </c>
      <c r="AB417" s="234">
        <f t="shared" si="17"/>
        <v>0</v>
      </c>
      <c r="AC417" s="234">
        <f t="shared" si="17"/>
        <v>0</v>
      </c>
      <c r="AD417" s="234">
        <f t="shared" si="17"/>
        <v>0</v>
      </c>
      <c r="AE417" s="234">
        <f t="shared" si="17"/>
        <v>0</v>
      </c>
      <c r="AF417" s="234">
        <f t="shared" si="17"/>
        <v>0</v>
      </c>
      <c r="AG417" s="234">
        <f t="shared" si="17"/>
        <v>0</v>
      </c>
      <c r="AH417" s="234">
        <f t="shared" si="17"/>
        <v>0</v>
      </c>
      <c r="AI417" s="234">
        <f t="shared" si="17"/>
        <v>0</v>
      </c>
      <c r="AJ417" s="234">
        <f t="shared" si="17"/>
        <v>0</v>
      </c>
      <c r="AK417" s="234">
        <f t="shared" si="17"/>
        <v>0</v>
      </c>
      <c r="AL417" s="234">
        <f t="shared" si="17"/>
        <v>0</v>
      </c>
      <c r="AM417" s="234">
        <f t="shared" si="17"/>
        <v>0</v>
      </c>
      <c r="AN417" s="234">
        <f t="shared" si="17"/>
        <v>0</v>
      </c>
      <c r="AO417" s="234">
        <f t="shared" si="17"/>
        <v>0</v>
      </c>
    </row>
    <row r="418" spans="1:41" ht="12.75" customHeight="1" x14ac:dyDescent="0.25">
      <c r="C418" s="777"/>
      <c r="D418" s="774"/>
      <c r="E418" s="233" t="s">
        <v>73</v>
      </c>
      <c r="F418" s="234">
        <f>F342</f>
        <v>0</v>
      </c>
      <c r="G418" s="371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41" ht="12.75" customHeight="1" x14ac:dyDescent="0.25">
      <c r="A419" s="89"/>
      <c r="C419" s="9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spans="1:41" ht="12.75" customHeight="1" x14ac:dyDescent="0.25">
      <c r="C420" s="777" t="s">
        <v>160</v>
      </c>
      <c r="D420" s="774" t="s">
        <v>132</v>
      </c>
      <c r="E420" s="223" t="s">
        <v>70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  <c r="K420" s="225">
        <v>0</v>
      </c>
      <c r="L420" s="225">
        <v>0</v>
      </c>
      <c r="M420" s="225">
        <v>0</v>
      </c>
      <c r="N420" s="225">
        <v>0</v>
      </c>
      <c r="O420" s="225">
        <v>0</v>
      </c>
      <c r="P420" s="225">
        <v>0</v>
      </c>
      <c r="Q420" s="225">
        <v>0</v>
      </c>
      <c r="R420" s="225">
        <v>0</v>
      </c>
      <c r="S420" s="225">
        <v>0</v>
      </c>
      <c r="T420" s="225">
        <v>0</v>
      </c>
      <c r="U420" s="225"/>
      <c r="V420" s="225"/>
      <c r="W420" s="225"/>
      <c r="X420" s="225">
        <v>0</v>
      </c>
      <c r="Y420" s="225">
        <v>0</v>
      </c>
      <c r="Z420" s="225">
        <v>0</v>
      </c>
      <c r="AA420" s="225">
        <v>0</v>
      </c>
      <c r="AB420" s="225">
        <v>0</v>
      </c>
      <c r="AC420" s="225">
        <v>0</v>
      </c>
      <c r="AD420" s="225">
        <v>0</v>
      </c>
      <c r="AE420" s="225">
        <v>0</v>
      </c>
      <c r="AF420" s="225">
        <v>0</v>
      </c>
      <c r="AG420" s="225">
        <v>0</v>
      </c>
      <c r="AH420" s="225">
        <v>0</v>
      </c>
      <c r="AI420" s="225">
        <v>0</v>
      </c>
      <c r="AJ420" s="225">
        <v>0</v>
      </c>
      <c r="AK420" s="225">
        <v>0</v>
      </c>
      <c r="AL420" s="225">
        <v>0</v>
      </c>
      <c r="AM420" s="225">
        <v>0</v>
      </c>
      <c r="AN420" s="225">
        <v>0</v>
      </c>
      <c r="AO420" s="225">
        <v>0</v>
      </c>
    </row>
    <row r="421" spans="1:41" ht="12.75" customHeight="1" x14ac:dyDescent="0.25">
      <c r="C421" s="777"/>
      <c r="D421" s="774"/>
      <c r="E421" s="223" t="s">
        <v>73</v>
      </c>
      <c r="F421" s="225">
        <v>0</v>
      </c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41" ht="12.75" customHeight="1" x14ac:dyDescent="0.25">
      <c r="C422" s="777"/>
      <c r="D422" s="774" t="s">
        <v>133</v>
      </c>
      <c r="E422" s="227" t="s">
        <v>70</v>
      </c>
      <c r="F422" s="228">
        <v>0</v>
      </c>
      <c r="G422" s="228">
        <v>0</v>
      </c>
      <c r="H422" s="228">
        <v>0</v>
      </c>
      <c r="I422" s="228">
        <v>0</v>
      </c>
      <c r="J422" s="228">
        <v>0</v>
      </c>
      <c r="K422" s="228">
        <v>0</v>
      </c>
      <c r="L422" s="228">
        <v>0</v>
      </c>
      <c r="M422" s="228">
        <v>0</v>
      </c>
      <c r="N422" s="228">
        <v>0</v>
      </c>
      <c r="O422" s="228">
        <v>0</v>
      </c>
      <c r="P422" s="228">
        <v>0</v>
      </c>
      <c r="Q422" s="228">
        <v>0</v>
      </c>
      <c r="R422" s="228">
        <v>0</v>
      </c>
      <c r="S422" s="228">
        <v>0</v>
      </c>
      <c r="T422" s="228">
        <v>0</v>
      </c>
      <c r="U422" s="228"/>
      <c r="V422" s="228"/>
      <c r="W422" s="228"/>
      <c r="X422" s="228">
        <v>0</v>
      </c>
      <c r="Y422" s="228">
        <v>0</v>
      </c>
      <c r="Z422" s="228">
        <v>0</v>
      </c>
      <c r="AA422" s="228">
        <v>0</v>
      </c>
      <c r="AB422" s="228">
        <v>0</v>
      </c>
      <c r="AC422" s="228">
        <v>0</v>
      </c>
      <c r="AD422" s="228">
        <v>0</v>
      </c>
      <c r="AE422" s="228">
        <v>0</v>
      </c>
      <c r="AF422" s="228">
        <v>0</v>
      </c>
      <c r="AG422" s="228">
        <v>0</v>
      </c>
      <c r="AH422" s="228">
        <v>0</v>
      </c>
      <c r="AI422" s="228">
        <v>0</v>
      </c>
      <c r="AJ422" s="228">
        <v>0</v>
      </c>
      <c r="AK422" s="228">
        <v>0</v>
      </c>
      <c r="AL422" s="228">
        <v>0</v>
      </c>
      <c r="AM422" s="228">
        <v>0</v>
      </c>
      <c r="AN422" s="228">
        <v>0</v>
      </c>
      <c r="AO422" s="228">
        <v>0</v>
      </c>
    </row>
    <row r="423" spans="1:41" ht="12.75" customHeight="1" x14ac:dyDescent="0.25">
      <c r="C423" s="777"/>
      <c r="D423" s="774"/>
      <c r="E423" s="227" t="s">
        <v>73</v>
      </c>
      <c r="F423" s="228">
        <v>0</v>
      </c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41" ht="12.75" customHeight="1" x14ac:dyDescent="0.25">
      <c r="A424" s="89"/>
      <c r="C424" s="9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41" ht="12.75" customHeight="1" x14ac:dyDescent="0.25">
      <c r="C425" s="777" t="s">
        <v>155</v>
      </c>
      <c r="D425" s="774" t="s">
        <v>132</v>
      </c>
      <c r="E425" s="221" t="s">
        <v>70</v>
      </c>
      <c r="F425" s="222">
        <f>F345+F319+F291-L291-L319</f>
        <v>8384082826.1500006</v>
      </c>
      <c r="G425" s="222">
        <f t="shared" ref="G425:AO425" si="18">G319+G291</f>
        <v>519485736.51999998</v>
      </c>
      <c r="H425" s="222">
        <f t="shared" si="18"/>
        <v>289280679.71999997</v>
      </c>
      <c r="I425" s="222">
        <f t="shared" si="18"/>
        <v>153855222.93000001</v>
      </c>
      <c r="J425" s="222">
        <f t="shared" si="18"/>
        <v>2406618472.7000003</v>
      </c>
      <c r="K425" s="222">
        <f t="shared" si="18"/>
        <v>86333540.400000006</v>
      </c>
      <c r="L425" s="222">
        <f t="shared" si="18"/>
        <v>14494105.85</v>
      </c>
      <c r="M425" s="222">
        <f t="shared" si="18"/>
        <v>757964762.67000008</v>
      </c>
      <c r="N425" s="222">
        <f t="shared" si="18"/>
        <v>717589277.52999997</v>
      </c>
      <c r="O425" s="222">
        <f t="shared" si="18"/>
        <v>3409164597.5999999</v>
      </c>
      <c r="P425" s="222">
        <f t="shared" si="18"/>
        <v>1230549027.6600001</v>
      </c>
      <c r="Q425" s="222">
        <f t="shared" si="18"/>
        <v>140956999.82000002</v>
      </c>
      <c r="R425" s="222">
        <f t="shared" si="18"/>
        <v>-82499.44</v>
      </c>
      <c r="S425" s="222">
        <f t="shared" si="18"/>
        <v>-0.43</v>
      </c>
      <c r="T425" s="222">
        <f t="shared" si="18"/>
        <v>1.54</v>
      </c>
      <c r="U425" s="222">
        <f t="shared" si="18"/>
        <v>0</v>
      </c>
      <c r="V425" s="222">
        <f t="shared" si="18"/>
        <v>0</v>
      </c>
      <c r="W425" s="222">
        <f t="shared" si="18"/>
        <v>0</v>
      </c>
      <c r="X425" s="222">
        <f t="shared" si="18"/>
        <v>0</v>
      </c>
      <c r="Y425" s="222">
        <f t="shared" si="18"/>
        <v>0</v>
      </c>
      <c r="Z425" s="222">
        <f t="shared" si="18"/>
        <v>0</v>
      </c>
      <c r="AA425" s="222">
        <f t="shared" si="18"/>
        <v>0</v>
      </c>
      <c r="AB425" s="222">
        <f t="shared" si="18"/>
        <v>0</v>
      </c>
      <c r="AC425" s="222">
        <f t="shared" si="18"/>
        <v>0</v>
      </c>
      <c r="AD425" s="222">
        <f t="shared" si="18"/>
        <v>0</v>
      </c>
      <c r="AE425" s="222">
        <f t="shared" si="18"/>
        <v>0</v>
      </c>
      <c r="AF425" s="222">
        <f t="shared" si="18"/>
        <v>0</v>
      </c>
      <c r="AG425" s="222">
        <f t="shared" si="18"/>
        <v>0</v>
      </c>
      <c r="AH425" s="222">
        <f t="shared" si="18"/>
        <v>0</v>
      </c>
      <c r="AI425" s="222">
        <f t="shared" si="18"/>
        <v>0</v>
      </c>
      <c r="AJ425" s="222">
        <f t="shared" si="18"/>
        <v>0</v>
      </c>
      <c r="AK425" s="222">
        <f t="shared" si="18"/>
        <v>0</v>
      </c>
      <c r="AL425" s="222">
        <f t="shared" si="18"/>
        <v>0</v>
      </c>
      <c r="AM425" s="222">
        <f t="shared" si="18"/>
        <v>0</v>
      </c>
      <c r="AN425" s="222">
        <f t="shared" si="18"/>
        <v>0</v>
      </c>
      <c r="AO425" s="222">
        <f t="shared" si="18"/>
        <v>0</v>
      </c>
    </row>
    <row r="426" spans="1:41" ht="12.75" customHeight="1" x14ac:dyDescent="0.25">
      <c r="C426" s="777"/>
      <c r="D426" s="774"/>
      <c r="E426" s="221" t="s">
        <v>73</v>
      </c>
      <c r="F426" s="222">
        <f>F345</f>
        <v>-1327632993.0699999</v>
      </c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41" ht="12.75" customHeight="1" x14ac:dyDescent="0.25">
      <c r="C427" s="777"/>
      <c r="D427" s="774" t="s">
        <v>133</v>
      </c>
      <c r="E427" s="229" t="s">
        <v>70</v>
      </c>
      <c r="F427" s="230">
        <f>F334+F304-L304</f>
        <v>0</v>
      </c>
      <c r="G427" s="230">
        <f>G304</f>
        <v>0</v>
      </c>
      <c r="H427" s="230">
        <f t="shared" ref="H427:AO427" si="19">H304</f>
        <v>0</v>
      </c>
      <c r="I427" s="230">
        <f t="shared" si="19"/>
        <v>0</v>
      </c>
      <c r="J427" s="230">
        <f t="shared" si="19"/>
        <v>0</v>
      </c>
      <c r="K427" s="230">
        <f t="shared" si="19"/>
        <v>0</v>
      </c>
      <c r="L427" s="230">
        <f t="shared" si="19"/>
        <v>0</v>
      </c>
      <c r="M427" s="230">
        <f t="shared" si="19"/>
        <v>0</v>
      </c>
      <c r="N427" s="230">
        <f t="shared" si="19"/>
        <v>0</v>
      </c>
      <c r="O427" s="230">
        <f t="shared" si="19"/>
        <v>0</v>
      </c>
      <c r="P427" s="230">
        <f t="shared" si="19"/>
        <v>0</v>
      </c>
      <c r="Q427" s="230">
        <f t="shared" si="19"/>
        <v>0</v>
      </c>
      <c r="R427" s="230">
        <f t="shared" si="19"/>
        <v>0</v>
      </c>
      <c r="S427" s="230">
        <f t="shared" si="19"/>
        <v>0</v>
      </c>
      <c r="T427" s="230">
        <f t="shared" si="19"/>
        <v>0</v>
      </c>
      <c r="U427" s="230">
        <f t="shared" si="19"/>
        <v>0</v>
      </c>
      <c r="V427" s="230">
        <f t="shared" si="19"/>
        <v>0</v>
      </c>
      <c r="W427" s="230">
        <f t="shared" si="19"/>
        <v>0</v>
      </c>
      <c r="X427" s="230">
        <f t="shared" si="19"/>
        <v>0</v>
      </c>
      <c r="Y427" s="230">
        <f t="shared" si="19"/>
        <v>0</v>
      </c>
      <c r="Z427" s="230">
        <f t="shared" si="19"/>
        <v>0</v>
      </c>
      <c r="AA427" s="230">
        <f t="shared" si="19"/>
        <v>0</v>
      </c>
      <c r="AB427" s="230">
        <f t="shared" si="19"/>
        <v>0</v>
      </c>
      <c r="AC427" s="230">
        <f t="shared" si="19"/>
        <v>0</v>
      </c>
      <c r="AD427" s="230">
        <f t="shared" si="19"/>
        <v>0</v>
      </c>
      <c r="AE427" s="230">
        <f t="shared" si="19"/>
        <v>0</v>
      </c>
      <c r="AF427" s="230">
        <f t="shared" si="19"/>
        <v>0</v>
      </c>
      <c r="AG427" s="230">
        <f t="shared" si="19"/>
        <v>0</v>
      </c>
      <c r="AH427" s="230">
        <f t="shared" si="19"/>
        <v>0</v>
      </c>
      <c r="AI427" s="230">
        <f t="shared" si="19"/>
        <v>0</v>
      </c>
      <c r="AJ427" s="230">
        <f t="shared" si="19"/>
        <v>0</v>
      </c>
      <c r="AK427" s="230">
        <f t="shared" si="19"/>
        <v>0</v>
      </c>
      <c r="AL427" s="230">
        <f t="shared" si="19"/>
        <v>0</v>
      </c>
      <c r="AM427" s="230">
        <f t="shared" si="19"/>
        <v>0</v>
      </c>
      <c r="AN427" s="230">
        <f t="shared" si="19"/>
        <v>0</v>
      </c>
      <c r="AO427" s="230">
        <f t="shared" si="19"/>
        <v>0</v>
      </c>
    </row>
    <row r="428" spans="1:41" ht="12.75" customHeight="1" x14ac:dyDescent="0.25">
      <c r="C428" s="777"/>
      <c r="D428" s="774"/>
      <c r="E428" s="229" t="s">
        <v>73</v>
      </c>
      <c r="F428" s="230">
        <f>F334</f>
        <v>0</v>
      </c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41" ht="12.75" customHeight="1" x14ac:dyDescent="0.25">
      <c r="A429" s="89"/>
      <c r="C429" s="9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41" ht="12.75" customHeight="1" x14ac:dyDescent="0.25">
      <c r="C430" s="775" t="s">
        <v>326</v>
      </c>
      <c r="D430" s="774" t="s">
        <v>132</v>
      </c>
      <c r="E430" s="373" t="s">
        <v>70</v>
      </c>
      <c r="F430" s="374">
        <v>0</v>
      </c>
      <c r="G430" s="374">
        <v>0</v>
      </c>
      <c r="H430" s="374">
        <v>0</v>
      </c>
      <c r="I430" s="374">
        <v>0</v>
      </c>
      <c r="J430" s="374">
        <v>0</v>
      </c>
      <c r="K430" s="374">
        <v>0</v>
      </c>
      <c r="L430" s="374">
        <v>0</v>
      </c>
      <c r="M430" s="374">
        <v>0</v>
      </c>
      <c r="N430" s="374">
        <v>0</v>
      </c>
      <c r="O430" s="374">
        <v>0</v>
      </c>
      <c r="P430" s="374">
        <v>0</v>
      </c>
      <c r="Q430" s="374">
        <v>0</v>
      </c>
      <c r="R430" s="374">
        <v>0</v>
      </c>
      <c r="S430" s="374">
        <v>0</v>
      </c>
      <c r="T430" s="374">
        <v>0</v>
      </c>
      <c r="U430" s="374">
        <v>0</v>
      </c>
      <c r="V430" s="374">
        <v>0</v>
      </c>
      <c r="W430" s="374">
        <v>0</v>
      </c>
      <c r="X430" s="374">
        <v>0</v>
      </c>
      <c r="Y430" s="374">
        <v>0</v>
      </c>
      <c r="Z430" s="374">
        <v>0</v>
      </c>
      <c r="AA430" s="374">
        <v>0</v>
      </c>
      <c r="AB430" s="374">
        <v>0</v>
      </c>
      <c r="AC430" s="374">
        <v>0</v>
      </c>
      <c r="AD430" s="374">
        <v>0</v>
      </c>
      <c r="AE430" s="374">
        <v>0</v>
      </c>
      <c r="AF430" s="374">
        <v>0</v>
      </c>
      <c r="AG430" s="374">
        <v>0</v>
      </c>
      <c r="AH430" s="374">
        <v>0</v>
      </c>
      <c r="AI430" s="374">
        <v>0</v>
      </c>
      <c r="AJ430" s="374">
        <v>0</v>
      </c>
      <c r="AK430" s="374">
        <v>0</v>
      </c>
      <c r="AL430" s="374">
        <v>0</v>
      </c>
      <c r="AM430" s="374">
        <v>0</v>
      </c>
      <c r="AN430" s="374">
        <v>0</v>
      </c>
      <c r="AO430" s="374">
        <v>0</v>
      </c>
    </row>
    <row r="431" spans="1:41" ht="12.75" customHeight="1" x14ac:dyDescent="0.25">
      <c r="C431" s="775"/>
      <c r="D431" s="774"/>
      <c r="E431" s="373" t="s">
        <v>73</v>
      </c>
      <c r="F431" s="374">
        <v>0</v>
      </c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41" ht="12.75" customHeight="1" x14ac:dyDescent="0.25">
      <c r="C432" s="775"/>
      <c r="D432" s="774" t="s">
        <v>133</v>
      </c>
      <c r="E432" s="242" t="s">
        <v>70</v>
      </c>
      <c r="F432" s="243">
        <v>0</v>
      </c>
      <c r="G432" s="243">
        <v>0</v>
      </c>
      <c r="H432" s="243">
        <v>0</v>
      </c>
      <c r="I432" s="243">
        <v>0</v>
      </c>
      <c r="J432" s="243">
        <v>0</v>
      </c>
      <c r="K432" s="243">
        <v>0</v>
      </c>
      <c r="L432" s="243">
        <v>0</v>
      </c>
      <c r="M432" s="243">
        <v>0</v>
      </c>
      <c r="N432" s="243">
        <v>0</v>
      </c>
      <c r="O432" s="243">
        <v>0</v>
      </c>
      <c r="P432" s="243">
        <v>0</v>
      </c>
      <c r="Q432" s="243">
        <v>0</v>
      </c>
      <c r="R432" s="243">
        <v>0</v>
      </c>
      <c r="S432" s="243">
        <v>0</v>
      </c>
      <c r="T432" s="243">
        <v>0</v>
      </c>
      <c r="U432" s="243">
        <v>0</v>
      </c>
      <c r="V432" s="243">
        <v>0</v>
      </c>
      <c r="W432" s="243">
        <v>0</v>
      </c>
      <c r="X432" s="243">
        <v>0</v>
      </c>
      <c r="Y432" s="243">
        <v>0</v>
      </c>
      <c r="Z432" s="243">
        <v>0</v>
      </c>
      <c r="AA432" s="243">
        <v>0</v>
      </c>
      <c r="AB432" s="243">
        <v>0</v>
      </c>
      <c r="AC432" s="243">
        <v>0</v>
      </c>
      <c r="AD432" s="243">
        <v>0</v>
      </c>
      <c r="AE432" s="243">
        <v>0</v>
      </c>
      <c r="AF432" s="243">
        <v>0</v>
      </c>
      <c r="AG432" s="243">
        <v>0</v>
      </c>
      <c r="AH432" s="243">
        <v>0</v>
      </c>
      <c r="AI432" s="243">
        <v>0</v>
      </c>
      <c r="AJ432" s="243">
        <v>0</v>
      </c>
      <c r="AK432" s="243">
        <v>0</v>
      </c>
      <c r="AL432" s="243">
        <v>0</v>
      </c>
      <c r="AM432" s="243">
        <v>0</v>
      </c>
      <c r="AN432" s="243">
        <v>0</v>
      </c>
      <c r="AO432" s="243">
        <v>0</v>
      </c>
    </row>
    <row r="433" spans="1:41" ht="12.75" customHeight="1" x14ac:dyDescent="0.25">
      <c r="C433" s="775"/>
      <c r="D433" s="774"/>
      <c r="E433" s="242" t="s">
        <v>73</v>
      </c>
      <c r="F433" s="243">
        <v>0</v>
      </c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41" ht="12.75" customHeight="1" x14ac:dyDescent="0.25">
      <c r="A434" s="89"/>
      <c r="C434" s="9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customHeight="1" x14ac:dyDescent="0.25">
      <c r="C435" s="777" t="s">
        <v>119</v>
      </c>
      <c r="D435" s="774" t="s">
        <v>132</v>
      </c>
      <c r="E435" s="101" t="s">
        <v>70</v>
      </c>
      <c r="F435" s="93">
        <f>F352+F329+F298-L298-L329</f>
        <v>427389334.19</v>
      </c>
      <c r="G435" s="93">
        <f t="shared" ref="G435:AO435" si="20">G329+G298</f>
        <v>49563321.700000003</v>
      </c>
      <c r="H435" s="93">
        <f t="shared" si="20"/>
        <v>27986809.16</v>
      </c>
      <c r="I435" s="93">
        <f t="shared" si="20"/>
        <v>14662575.93</v>
      </c>
      <c r="J435" s="93">
        <f t="shared" si="20"/>
        <v>22403066.969999999</v>
      </c>
      <c r="K435" s="93">
        <f t="shared" si="20"/>
        <v>650470.14</v>
      </c>
      <c r="L435" s="93">
        <f t="shared" si="20"/>
        <v>4811611.8099999996</v>
      </c>
      <c r="M435" s="93">
        <f t="shared" si="20"/>
        <v>5717940.3899999997</v>
      </c>
      <c r="N435" s="93">
        <f t="shared" si="20"/>
        <v>7429546.7400000002</v>
      </c>
      <c r="O435" s="93">
        <f t="shared" si="20"/>
        <v>35091268.950000003</v>
      </c>
      <c r="P435" s="93">
        <f t="shared" si="20"/>
        <v>117367146.56</v>
      </c>
      <c r="Q435" s="93">
        <f t="shared" si="20"/>
        <v>1068975.6200000001</v>
      </c>
      <c r="R435" s="93">
        <f t="shared" si="20"/>
        <v>794.57</v>
      </c>
      <c r="S435" s="93">
        <f t="shared" si="20"/>
        <v>-41621.050000000003</v>
      </c>
      <c r="T435" s="93">
        <f t="shared" si="20"/>
        <v>0.04</v>
      </c>
      <c r="U435" s="93">
        <f t="shared" si="20"/>
        <v>0</v>
      </c>
      <c r="V435" s="93">
        <f t="shared" si="20"/>
        <v>0</v>
      </c>
      <c r="W435" s="93">
        <f t="shared" si="20"/>
        <v>0</v>
      </c>
      <c r="X435" s="93">
        <f t="shared" si="20"/>
        <v>0</v>
      </c>
      <c r="Y435" s="93">
        <f t="shared" si="20"/>
        <v>0</v>
      </c>
      <c r="Z435" s="93">
        <f t="shared" si="20"/>
        <v>0</v>
      </c>
      <c r="AA435" s="93">
        <f t="shared" si="20"/>
        <v>0</v>
      </c>
      <c r="AB435" s="93">
        <f t="shared" si="20"/>
        <v>0</v>
      </c>
      <c r="AC435" s="93">
        <f t="shared" si="20"/>
        <v>0</v>
      </c>
      <c r="AD435" s="93">
        <f t="shared" si="20"/>
        <v>0</v>
      </c>
      <c r="AE435" s="93">
        <f t="shared" si="20"/>
        <v>0</v>
      </c>
      <c r="AF435" s="93">
        <f t="shared" si="20"/>
        <v>0</v>
      </c>
      <c r="AG435" s="93">
        <f t="shared" si="20"/>
        <v>0</v>
      </c>
      <c r="AH435" s="93">
        <f t="shared" si="20"/>
        <v>0</v>
      </c>
      <c r="AI435" s="93">
        <f t="shared" si="20"/>
        <v>0</v>
      </c>
      <c r="AJ435" s="93">
        <f t="shared" si="20"/>
        <v>0</v>
      </c>
      <c r="AK435" s="93">
        <f t="shared" si="20"/>
        <v>0</v>
      </c>
      <c r="AL435" s="93">
        <f t="shared" si="20"/>
        <v>0</v>
      </c>
      <c r="AM435" s="93">
        <f t="shared" si="20"/>
        <v>0</v>
      </c>
      <c r="AN435" s="93">
        <f t="shared" si="20"/>
        <v>0</v>
      </c>
      <c r="AO435" s="93">
        <f t="shared" si="20"/>
        <v>0</v>
      </c>
    </row>
    <row r="436" spans="1:41" ht="12.75" customHeight="1" x14ac:dyDescent="0.25">
      <c r="C436" s="777"/>
      <c r="D436" s="774"/>
      <c r="E436" s="101" t="s">
        <v>73</v>
      </c>
      <c r="F436" s="93">
        <f>F352</f>
        <v>145489038.47</v>
      </c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5">
      <c r="C437" s="777"/>
      <c r="D437" s="774" t="s">
        <v>133</v>
      </c>
      <c r="E437" s="235" t="s">
        <v>70</v>
      </c>
      <c r="F437" s="236">
        <f>F341+F314-L314</f>
        <v>0</v>
      </c>
      <c r="G437" s="236">
        <f>G314</f>
        <v>0</v>
      </c>
      <c r="H437" s="236">
        <f t="shared" ref="H437:AO437" si="21">H314</f>
        <v>0</v>
      </c>
      <c r="I437" s="236">
        <f t="shared" si="21"/>
        <v>0</v>
      </c>
      <c r="J437" s="236">
        <f t="shared" si="21"/>
        <v>0</v>
      </c>
      <c r="K437" s="236">
        <f t="shared" si="21"/>
        <v>0</v>
      </c>
      <c r="L437" s="236">
        <f t="shared" si="21"/>
        <v>0</v>
      </c>
      <c r="M437" s="236">
        <f t="shared" si="21"/>
        <v>0</v>
      </c>
      <c r="N437" s="236">
        <f t="shared" si="21"/>
        <v>0</v>
      </c>
      <c r="O437" s="236">
        <f t="shared" si="21"/>
        <v>0</v>
      </c>
      <c r="P437" s="236">
        <f t="shared" si="21"/>
        <v>0</v>
      </c>
      <c r="Q437" s="236">
        <f t="shared" si="21"/>
        <v>0</v>
      </c>
      <c r="R437" s="236">
        <f t="shared" si="21"/>
        <v>0</v>
      </c>
      <c r="S437" s="236">
        <f t="shared" si="21"/>
        <v>0</v>
      </c>
      <c r="T437" s="236">
        <f t="shared" si="21"/>
        <v>0</v>
      </c>
      <c r="U437" s="236">
        <f t="shared" si="21"/>
        <v>0</v>
      </c>
      <c r="V437" s="236">
        <f t="shared" si="21"/>
        <v>0</v>
      </c>
      <c r="W437" s="236">
        <f t="shared" si="21"/>
        <v>0</v>
      </c>
      <c r="X437" s="236">
        <f t="shared" si="21"/>
        <v>0</v>
      </c>
      <c r="Y437" s="236">
        <f t="shared" si="21"/>
        <v>0</v>
      </c>
      <c r="Z437" s="236">
        <f t="shared" si="21"/>
        <v>0</v>
      </c>
      <c r="AA437" s="236">
        <f t="shared" si="21"/>
        <v>0</v>
      </c>
      <c r="AB437" s="236">
        <f t="shared" si="21"/>
        <v>0</v>
      </c>
      <c r="AC437" s="236">
        <f t="shared" si="21"/>
        <v>0</v>
      </c>
      <c r="AD437" s="236">
        <f t="shared" si="21"/>
        <v>0</v>
      </c>
      <c r="AE437" s="236">
        <f t="shared" si="21"/>
        <v>0</v>
      </c>
      <c r="AF437" s="236">
        <f t="shared" si="21"/>
        <v>0</v>
      </c>
      <c r="AG437" s="236">
        <f t="shared" si="21"/>
        <v>0</v>
      </c>
      <c r="AH437" s="236">
        <f t="shared" si="21"/>
        <v>0</v>
      </c>
      <c r="AI437" s="236">
        <f t="shared" si="21"/>
        <v>0</v>
      </c>
      <c r="AJ437" s="236">
        <f t="shared" si="21"/>
        <v>0</v>
      </c>
      <c r="AK437" s="236">
        <f t="shared" si="21"/>
        <v>0</v>
      </c>
      <c r="AL437" s="236">
        <f t="shared" si="21"/>
        <v>0</v>
      </c>
      <c r="AM437" s="236">
        <f t="shared" si="21"/>
        <v>0</v>
      </c>
      <c r="AN437" s="236">
        <f t="shared" si="21"/>
        <v>0</v>
      </c>
      <c r="AO437" s="236">
        <f t="shared" si="21"/>
        <v>0</v>
      </c>
    </row>
    <row r="438" spans="1:41" ht="12.75" customHeight="1" x14ac:dyDescent="0.25">
      <c r="C438" s="777"/>
      <c r="D438" s="774"/>
      <c r="E438" s="235" t="s">
        <v>73</v>
      </c>
      <c r="F438" s="236">
        <f>F341</f>
        <v>0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41" ht="12.75" customHeight="1" x14ac:dyDescent="0.25">
      <c r="A439" s="89"/>
      <c r="C439" s="9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41" ht="12.75" customHeight="1" x14ac:dyDescent="0.25">
      <c r="C440" s="776" t="s">
        <v>161</v>
      </c>
      <c r="D440" s="774" t="s">
        <v>132</v>
      </c>
      <c r="E440" s="231" t="s">
        <v>70</v>
      </c>
      <c r="F440" s="232">
        <v>0</v>
      </c>
      <c r="G440" s="232">
        <v>0</v>
      </c>
      <c r="H440" s="232">
        <v>0</v>
      </c>
      <c r="I440" s="232">
        <v>0</v>
      </c>
      <c r="J440" s="232">
        <v>0</v>
      </c>
      <c r="K440" s="232">
        <v>0</v>
      </c>
      <c r="L440" s="232">
        <v>0</v>
      </c>
      <c r="M440" s="232">
        <v>0</v>
      </c>
      <c r="N440" s="232">
        <v>0</v>
      </c>
      <c r="O440" s="232">
        <v>0</v>
      </c>
      <c r="P440" s="232">
        <v>0</v>
      </c>
      <c r="Q440" s="232">
        <v>0</v>
      </c>
      <c r="R440" s="232">
        <v>0</v>
      </c>
      <c r="S440" s="232">
        <v>0</v>
      </c>
      <c r="T440" s="232">
        <v>0</v>
      </c>
      <c r="U440" s="232"/>
      <c r="V440" s="232"/>
      <c r="W440" s="232"/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0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  <c r="AK440" s="232">
        <v>0</v>
      </c>
      <c r="AL440" s="232">
        <v>0</v>
      </c>
      <c r="AM440" s="232">
        <v>0</v>
      </c>
      <c r="AN440" s="232">
        <v>0</v>
      </c>
      <c r="AO440" s="232">
        <v>0</v>
      </c>
    </row>
    <row r="441" spans="1:41" ht="12.75" customHeight="1" x14ac:dyDescent="0.25">
      <c r="C441" s="776"/>
      <c r="D441" s="774"/>
      <c r="E441" s="231" t="s">
        <v>73</v>
      </c>
      <c r="F441" s="232">
        <v>0</v>
      </c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5">
      <c r="C442" s="776"/>
      <c r="D442" s="774" t="s">
        <v>133</v>
      </c>
      <c r="E442" s="148" t="s">
        <v>70</v>
      </c>
      <c r="F442" s="149">
        <v>0</v>
      </c>
      <c r="G442" s="149">
        <v>0</v>
      </c>
      <c r="H442" s="149">
        <v>0</v>
      </c>
      <c r="I442" s="149">
        <v>0</v>
      </c>
      <c r="J442" s="149">
        <v>0</v>
      </c>
      <c r="K442" s="149">
        <v>0</v>
      </c>
      <c r="L442" s="149">
        <v>0</v>
      </c>
      <c r="M442" s="149">
        <v>0</v>
      </c>
      <c r="N442" s="149">
        <v>0</v>
      </c>
      <c r="O442" s="149">
        <v>0</v>
      </c>
      <c r="P442" s="149">
        <v>0</v>
      </c>
      <c r="Q442" s="149">
        <v>0</v>
      </c>
      <c r="R442" s="149">
        <v>0</v>
      </c>
      <c r="S442" s="149">
        <v>0</v>
      </c>
      <c r="T442" s="149">
        <v>0</v>
      </c>
      <c r="U442" s="149"/>
      <c r="V442" s="149"/>
      <c r="W442" s="149"/>
      <c r="X442" s="149">
        <v>0</v>
      </c>
      <c r="Y442" s="149">
        <v>0</v>
      </c>
      <c r="Z442" s="149">
        <v>0</v>
      </c>
      <c r="AA442" s="149">
        <v>0</v>
      </c>
      <c r="AB442" s="149">
        <v>0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49">
        <v>0</v>
      </c>
      <c r="AI442" s="149">
        <v>0</v>
      </c>
      <c r="AJ442" s="149">
        <v>0</v>
      </c>
      <c r="AK442" s="149">
        <v>0</v>
      </c>
      <c r="AL442" s="149">
        <v>0</v>
      </c>
      <c r="AM442" s="149">
        <v>0</v>
      </c>
      <c r="AN442" s="149">
        <v>0</v>
      </c>
      <c r="AO442" s="149">
        <v>0</v>
      </c>
    </row>
    <row r="443" spans="1:41" ht="12.75" customHeight="1" x14ac:dyDescent="0.25">
      <c r="C443" s="776"/>
      <c r="D443" s="774"/>
      <c r="E443" s="148" t="s">
        <v>73</v>
      </c>
      <c r="F443" s="149">
        <v>0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41" ht="12.75" customHeight="1" x14ac:dyDescent="0.25">
      <c r="C444" s="388"/>
      <c r="D444" s="220"/>
      <c r="E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41" ht="12.75" customHeight="1" x14ac:dyDescent="0.25">
      <c r="D445" s="458" t="s">
        <v>186</v>
      </c>
      <c r="E445" s="459" t="s">
        <v>70</v>
      </c>
      <c r="F445" s="460">
        <f t="shared" ref="F445:Z445" si="22">F299</f>
        <v>-558.04999999999995</v>
      </c>
      <c r="G445" s="460">
        <f t="shared" si="22"/>
        <v>-36.43</v>
      </c>
      <c r="H445" s="460">
        <f t="shared" si="22"/>
        <v>-15.48</v>
      </c>
      <c r="I445" s="460">
        <f t="shared" si="22"/>
        <v>-6.76</v>
      </c>
      <c r="J445" s="460">
        <f t="shared" si="22"/>
        <v>-123.14</v>
      </c>
      <c r="K445" s="460">
        <f t="shared" si="22"/>
        <v>-4.99</v>
      </c>
      <c r="L445" s="460">
        <f t="shared" si="22"/>
        <v>0</v>
      </c>
      <c r="M445" s="460">
        <f t="shared" si="22"/>
        <v>-43.78</v>
      </c>
      <c r="N445" s="460">
        <f t="shared" si="22"/>
        <v>-55.99</v>
      </c>
      <c r="O445" s="460">
        <f t="shared" si="22"/>
        <v>-184.32</v>
      </c>
      <c r="P445" s="460">
        <f t="shared" si="22"/>
        <v>-79.02</v>
      </c>
      <c r="Q445" s="460">
        <f t="shared" si="22"/>
        <v>-8.14</v>
      </c>
      <c r="R445" s="460">
        <f t="shared" si="22"/>
        <v>0</v>
      </c>
      <c r="S445" s="460">
        <f t="shared" si="22"/>
        <v>0</v>
      </c>
      <c r="T445" s="460">
        <f t="shared" si="22"/>
        <v>0</v>
      </c>
      <c r="U445" s="460">
        <f t="shared" si="22"/>
        <v>0</v>
      </c>
      <c r="V445" s="460">
        <f t="shared" si="22"/>
        <v>0</v>
      </c>
      <c r="W445" s="460">
        <f t="shared" si="22"/>
        <v>0</v>
      </c>
      <c r="X445" s="460">
        <f t="shared" si="22"/>
        <v>0</v>
      </c>
      <c r="Y445" s="460">
        <f t="shared" si="22"/>
        <v>0</v>
      </c>
      <c r="Z445" s="460">
        <f t="shared" si="22"/>
        <v>0</v>
      </c>
    </row>
    <row r="446" spans="1:41" ht="12.75" customHeight="1" x14ac:dyDescent="0.25">
      <c r="C446" s="388"/>
      <c r="D446" s="220"/>
      <c r="E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41" s="238" customFormat="1" ht="12.75" customHeight="1" x14ac:dyDescent="0.25">
      <c r="D447" s="239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</row>
    <row r="448" spans="1:41" ht="12.75" customHeight="1" x14ac:dyDescent="0.25">
      <c r="A448" s="89"/>
      <c r="B448" s="97" t="s">
        <v>88</v>
      </c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</row>
    <row r="449" spans="1:26" ht="12.75" customHeight="1" x14ac:dyDescent="0.25">
      <c r="A449" s="142"/>
      <c r="F449" s="89" t="s">
        <v>70</v>
      </c>
      <c r="G449" s="89" t="s">
        <v>64</v>
      </c>
      <c r="H449" s="89" t="s">
        <v>65</v>
      </c>
      <c r="I449" s="218" t="s">
        <v>164</v>
      </c>
      <c r="J449" s="89" t="s">
        <v>69</v>
      </c>
      <c r="K449" s="89" t="s">
        <v>68</v>
      </c>
      <c r="L449" s="89" t="s">
        <v>71</v>
      </c>
      <c r="M449" s="89" t="s">
        <v>66</v>
      </c>
      <c r="N449" s="89" t="s">
        <v>63</v>
      </c>
      <c r="O449" s="89" t="s">
        <v>61</v>
      </c>
      <c r="P449" s="89" t="s">
        <v>62</v>
      </c>
      <c r="Q449" s="89" t="s">
        <v>67</v>
      </c>
      <c r="R449" s="89" t="s">
        <v>77</v>
      </c>
      <c r="S449" s="89" t="s">
        <v>80</v>
      </c>
      <c r="T449" t="s">
        <v>135</v>
      </c>
      <c r="U449" t="s">
        <v>173</v>
      </c>
      <c r="V449" t="s">
        <v>222</v>
      </c>
      <c r="W449" t="s">
        <v>173</v>
      </c>
      <c r="X449" t="s">
        <v>173</v>
      </c>
      <c r="Y449" s="89" t="s">
        <v>135</v>
      </c>
      <c r="Z449" t="s">
        <v>167</v>
      </c>
    </row>
    <row r="450" spans="1:26" ht="12.75" customHeight="1" x14ac:dyDescent="0.25">
      <c r="E450" s="89" t="s">
        <v>72</v>
      </c>
      <c r="F450" s="371">
        <v>-10060.290000000001</v>
      </c>
      <c r="G450" s="90">
        <v>-815.13</v>
      </c>
      <c r="H450" s="90">
        <v>-346.29</v>
      </c>
      <c r="I450" s="90">
        <v>-151.22999999999999</v>
      </c>
      <c r="J450" s="90">
        <v>-1859.88</v>
      </c>
      <c r="K450" s="90">
        <v>-75.75</v>
      </c>
      <c r="L450" s="90">
        <v>0</v>
      </c>
      <c r="M450" s="90">
        <v>-664.38</v>
      </c>
      <c r="N450" s="90">
        <v>-844.83</v>
      </c>
      <c r="O450" s="90">
        <v>-3102.12</v>
      </c>
      <c r="P450" s="90">
        <v>-2077.08</v>
      </c>
      <c r="Q450" s="90">
        <v>-123.6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ht="12.75" customHeight="1" x14ac:dyDescent="0.25">
      <c r="D451" t="s">
        <v>156</v>
      </c>
      <c r="E451" s="89" t="s">
        <v>70</v>
      </c>
      <c r="F451" s="371">
        <v>-10060.290000000001</v>
      </c>
      <c r="G451" s="90">
        <v>-815.13</v>
      </c>
      <c r="H451" s="90">
        <v>-346.29</v>
      </c>
      <c r="I451" s="90">
        <v>-151.22999999999999</v>
      </c>
      <c r="J451" s="90">
        <v>-1859.88</v>
      </c>
      <c r="K451" s="90">
        <v>-75.75</v>
      </c>
      <c r="L451" s="90">
        <v>0</v>
      </c>
      <c r="M451" s="90">
        <v>-664.38</v>
      </c>
      <c r="N451" s="90">
        <v>-844.83</v>
      </c>
      <c r="O451" s="90">
        <v>-3102.12</v>
      </c>
      <c r="P451" s="90">
        <v>-2077.08</v>
      </c>
      <c r="Q451" s="90">
        <v>-123.6</v>
      </c>
      <c r="R451" s="90">
        <v>0</v>
      </c>
      <c r="S451" s="90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90">
        <v>0</v>
      </c>
      <c r="Z451">
        <v>0</v>
      </c>
    </row>
    <row r="452" spans="1:26" s="656" customFormat="1" ht="12.75" customHeight="1" x14ac:dyDescent="0.25">
      <c r="C452" s="656" t="s">
        <v>155</v>
      </c>
      <c r="D452" s="657" t="s">
        <v>70</v>
      </c>
      <c r="E452" s="657"/>
      <c r="F452" s="658">
        <v>-10060.290000000001</v>
      </c>
      <c r="G452" s="658">
        <v>-815.13</v>
      </c>
      <c r="H452" s="658">
        <v>-346.29</v>
      </c>
      <c r="I452" s="658">
        <v>-151.22999999999999</v>
      </c>
      <c r="J452" s="658">
        <v>-1859.88</v>
      </c>
      <c r="K452" s="658">
        <v>-75.75</v>
      </c>
      <c r="L452" s="658">
        <v>0</v>
      </c>
      <c r="M452" s="658">
        <v>-664.38</v>
      </c>
      <c r="N452" s="658">
        <v>-844.83</v>
      </c>
      <c r="O452" s="658">
        <v>-3102.12</v>
      </c>
      <c r="P452" s="658">
        <v>-2077.08</v>
      </c>
      <c r="Q452" s="658">
        <v>-123.6</v>
      </c>
      <c r="R452" s="658">
        <v>0</v>
      </c>
      <c r="S452" s="658">
        <v>0</v>
      </c>
      <c r="T452" s="656">
        <v>0</v>
      </c>
      <c r="U452" s="656">
        <v>0</v>
      </c>
      <c r="V452" s="656">
        <v>0</v>
      </c>
      <c r="W452" s="656">
        <v>0</v>
      </c>
      <c r="X452" s="656">
        <v>0</v>
      </c>
      <c r="Y452" s="658">
        <v>0</v>
      </c>
      <c r="Z452" s="656">
        <v>0</v>
      </c>
    </row>
    <row r="453" spans="1:26" ht="12.75" customHeight="1" x14ac:dyDescent="0.25">
      <c r="E453" s="89" t="s">
        <v>72</v>
      </c>
      <c r="F453" s="90">
        <v>0</v>
      </c>
      <c r="G453" s="90">
        <v>0</v>
      </c>
      <c r="H453" s="90">
        <v>0</v>
      </c>
      <c r="I453" s="90">
        <v>0</v>
      </c>
      <c r="J453" s="90">
        <v>0</v>
      </c>
      <c r="K453" s="90">
        <v>0</v>
      </c>
      <c r="L453" s="90">
        <v>0</v>
      </c>
      <c r="M453" s="90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0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>
        <v>0</v>
      </c>
      <c r="Y453">
        <v>0</v>
      </c>
      <c r="Z453">
        <v>0</v>
      </c>
    </row>
    <row r="454" spans="1:26" ht="12.75" customHeight="1" x14ac:dyDescent="0.25">
      <c r="D454" t="s">
        <v>82</v>
      </c>
      <c r="E454" s="89" t="s">
        <v>70</v>
      </c>
      <c r="F454" s="371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>
        <v>0</v>
      </c>
      <c r="Y454">
        <v>0</v>
      </c>
      <c r="Z454">
        <v>0</v>
      </c>
    </row>
    <row r="455" spans="1:26" ht="12.75" customHeight="1" x14ac:dyDescent="0.25">
      <c r="E455" s="89" t="s">
        <v>72</v>
      </c>
      <c r="F455" s="371">
        <v>-20120.650000000001</v>
      </c>
      <c r="G455" s="90">
        <v>-1630.32</v>
      </c>
      <c r="H455" s="90">
        <v>-692.62</v>
      </c>
      <c r="I455" s="90">
        <v>-302.45999999999998</v>
      </c>
      <c r="J455" s="90">
        <v>-3719.74</v>
      </c>
      <c r="K455" s="90">
        <v>-151.47</v>
      </c>
      <c r="L455" s="90">
        <v>0</v>
      </c>
      <c r="M455" s="90">
        <v>-1328.8</v>
      </c>
      <c r="N455" s="90">
        <v>-1689.69</v>
      </c>
      <c r="O455" s="90">
        <v>-6204.18</v>
      </c>
      <c r="P455" s="90">
        <v>-4154.22</v>
      </c>
      <c r="Q455" s="90">
        <v>-247.15</v>
      </c>
      <c r="R455" s="90">
        <v>0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>
        <v>0</v>
      </c>
      <c r="Y455">
        <v>0</v>
      </c>
      <c r="Z455">
        <v>0</v>
      </c>
    </row>
    <row r="456" spans="1:26" ht="12.75" customHeight="1" x14ac:dyDescent="0.25">
      <c r="D456" t="s">
        <v>86</v>
      </c>
      <c r="E456" s="89" t="s">
        <v>70</v>
      </c>
      <c r="F456" s="371">
        <v>-20120.650000000001</v>
      </c>
      <c r="G456" s="90">
        <v>-1630.32</v>
      </c>
      <c r="H456" s="90">
        <v>-692.62</v>
      </c>
      <c r="I456" s="90">
        <v>-302.45999999999998</v>
      </c>
      <c r="J456" s="90">
        <v>-3719.74</v>
      </c>
      <c r="K456" s="90">
        <v>-151.47</v>
      </c>
      <c r="L456" s="90">
        <v>0</v>
      </c>
      <c r="M456" s="90">
        <v>-1328.8</v>
      </c>
      <c r="N456" s="90">
        <v>-1689.69</v>
      </c>
      <c r="O456" s="90">
        <v>-6204.18</v>
      </c>
      <c r="P456" s="90">
        <v>-4154.22</v>
      </c>
      <c r="Q456" s="90">
        <v>-247.15</v>
      </c>
      <c r="R456" s="90">
        <v>0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>
        <v>0</v>
      </c>
      <c r="Y456">
        <v>0</v>
      </c>
      <c r="Z456">
        <v>0</v>
      </c>
    </row>
    <row r="457" spans="1:26" ht="12.75" customHeight="1" x14ac:dyDescent="0.25">
      <c r="E457" s="89" t="s">
        <v>72</v>
      </c>
      <c r="F457" s="371">
        <v>0</v>
      </c>
      <c r="G457" s="90">
        <v>0</v>
      </c>
      <c r="H457" s="90">
        <v>0</v>
      </c>
      <c r="I457" s="90">
        <v>0</v>
      </c>
      <c r="J457" s="90">
        <v>0</v>
      </c>
      <c r="K457" s="90">
        <v>0</v>
      </c>
      <c r="L457" s="90">
        <v>0</v>
      </c>
      <c r="M457" s="90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0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</row>
    <row r="458" spans="1:26" ht="12.75" customHeight="1" x14ac:dyDescent="0.25">
      <c r="D458" t="s">
        <v>87</v>
      </c>
      <c r="E458" s="89" t="s">
        <v>70</v>
      </c>
      <c r="F458" s="371">
        <v>0</v>
      </c>
      <c r="G458" s="90">
        <v>0</v>
      </c>
      <c r="H458" s="90">
        <v>0</v>
      </c>
      <c r="I458" s="90">
        <v>0</v>
      </c>
      <c r="J458" s="90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</row>
    <row r="459" spans="1:26" s="94" customFormat="1" ht="12.75" customHeight="1" x14ac:dyDescent="0.25">
      <c r="C459" s="101" t="s">
        <v>119</v>
      </c>
      <c r="D459" s="101" t="s">
        <v>70</v>
      </c>
      <c r="F459" s="93">
        <v>-20120.650000000001</v>
      </c>
      <c r="G459" s="93">
        <v>-1630.32</v>
      </c>
      <c r="H459" s="93">
        <v>-692.62</v>
      </c>
      <c r="I459" s="93">
        <v>-302.45999999999998</v>
      </c>
      <c r="J459" s="93">
        <v>-3719.74</v>
      </c>
      <c r="K459" s="93">
        <v>-151.47</v>
      </c>
      <c r="L459" s="93">
        <v>0</v>
      </c>
      <c r="M459" s="93">
        <v>-1328.8</v>
      </c>
      <c r="N459" s="93">
        <v>-1689.69</v>
      </c>
      <c r="O459" s="93">
        <v>-6204.18</v>
      </c>
      <c r="P459" s="93">
        <v>-4154.22</v>
      </c>
      <c r="Q459" s="93">
        <v>-247.15</v>
      </c>
      <c r="R459" s="93">
        <v>0</v>
      </c>
      <c r="S459" s="93">
        <v>0</v>
      </c>
      <c r="T459" s="94">
        <v>0</v>
      </c>
      <c r="U459" s="94">
        <v>0</v>
      </c>
      <c r="V459" s="94">
        <v>0</v>
      </c>
      <c r="W459" s="94">
        <v>0</v>
      </c>
      <c r="X459" s="94">
        <v>0</v>
      </c>
      <c r="Y459" s="93">
        <v>0</v>
      </c>
      <c r="Z459" s="94">
        <v>0</v>
      </c>
    </row>
    <row r="460" spans="1:26" ht="12.75" customHeight="1" x14ac:dyDescent="0.25">
      <c r="B460" t="s">
        <v>112</v>
      </c>
      <c r="C460" t="s">
        <v>70</v>
      </c>
      <c r="E460" s="89"/>
      <c r="F460" s="371">
        <v>-30180.94</v>
      </c>
      <c r="G460" s="90">
        <v>-2445.4499999999998</v>
      </c>
      <c r="H460" s="90">
        <v>-1038.9100000000001</v>
      </c>
      <c r="I460" s="90">
        <v>-453.69</v>
      </c>
      <c r="J460" s="90">
        <v>-5579.62</v>
      </c>
      <c r="K460" s="90">
        <v>-227.22</v>
      </c>
      <c r="L460" s="90">
        <v>0</v>
      </c>
      <c r="M460" s="90">
        <v>-1993.18</v>
      </c>
      <c r="N460" s="90">
        <v>-2534.52</v>
      </c>
      <c r="O460" s="90">
        <v>-9306.2999999999993</v>
      </c>
      <c r="P460" s="90">
        <v>-6231.3</v>
      </c>
      <c r="Q460" s="90">
        <v>-370.75</v>
      </c>
      <c r="R460" s="90">
        <v>0</v>
      </c>
      <c r="S460" s="9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90">
        <v>0</v>
      </c>
      <c r="Z460">
        <v>0</v>
      </c>
    </row>
    <row r="461" spans="1:26" s="458" customFormat="1" x14ac:dyDescent="0.25">
      <c r="A461" s="458" t="s">
        <v>186</v>
      </c>
      <c r="B461" s="459" t="s">
        <v>70</v>
      </c>
      <c r="C461" s="459"/>
      <c r="F461" s="460">
        <v>-30180.94</v>
      </c>
      <c r="G461" s="460">
        <v>-2445.4499999999998</v>
      </c>
      <c r="H461" s="460">
        <v>-1038.9100000000001</v>
      </c>
      <c r="I461" s="460">
        <v>-453.69</v>
      </c>
      <c r="J461" s="460">
        <v>-5579.62</v>
      </c>
      <c r="K461" s="460">
        <v>-227.22</v>
      </c>
      <c r="L461" s="460">
        <v>0</v>
      </c>
      <c r="M461" s="460">
        <v>-1993.18</v>
      </c>
      <c r="N461" s="460">
        <v>-2534.52</v>
      </c>
      <c r="O461" s="460">
        <v>-9306.2999999999993</v>
      </c>
      <c r="P461" s="460">
        <v>-6231.3</v>
      </c>
      <c r="Q461" s="460">
        <v>-370.75</v>
      </c>
      <c r="R461" s="460">
        <v>0</v>
      </c>
      <c r="S461" s="460">
        <v>0</v>
      </c>
      <c r="T461" s="460">
        <v>0</v>
      </c>
      <c r="U461" s="460">
        <v>0</v>
      </c>
      <c r="V461" s="460">
        <v>0</v>
      </c>
      <c r="W461" s="460">
        <v>0</v>
      </c>
      <c r="X461" s="460">
        <v>0</v>
      </c>
      <c r="Y461" s="460">
        <v>0</v>
      </c>
      <c r="Z461" s="460">
        <v>0</v>
      </c>
    </row>
    <row r="462" spans="1:26" ht="12.75" customHeight="1" x14ac:dyDescent="0.25">
      <c r="E462" s="89" t="s">
        <v>72</v>
      </c>
      <c r="F462" s="90">
        <v>21516420.77</v>
      </c>
      <c r="G462" s="90">
        <v>1187856.8999999999</v>
      </c>
      <c r="H462" s="90">
        <v>672668.72</v>
      </c>
      <c r="I462" s="90">
        <v>361871.85</v>
      </c>
      <c r="J462" s="90">
        <v>4876831.8099999996</v>
      </c>
      <c r="K462" s="90">
        <v>142932.10999999999</v>
      </c>
      <c r="L462" s="90">
        <v>0</v>
      </c>
      <c r="M462" s="90">
        <v>1245557.08</v>
      </c>
      <c r="N462" s="90">
        <v>1552579.42</v>
      </c>
      <c r="O462" s="90">
        <v>8062220.2000000002</v>
      </c>
      <c r="P462" s="90">
        <v>3179277.73</v>
      </c>
      <c r="Q462" s="90">
        <v>234628.28</v>
      </c>
      <c r="R462" s="90">
        <v>-3.33</v>
      </c>
      <c r="S462" s="90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90">
        <v>0</v>
      </c>
      <c r="Z462">
        <v>0</v>
      </c>
    </row>
    <row r="463" spans="1:26" ht="12.75" customHeight="1" x14ac:dyDescent="0.25">
      <c r="E463" s="89" t="s">
        <v>81</v>
      </c>
      <c r="F463" s="90">
        <v>441546.2</v>
      </c>
      <c r="G463" s="90">
        <v>39387.96</v>
      </c>
      <c r="H463" s="90">
        <v>18717.47</v>
      </c>
      <c r="I463" s="90">
        <v>7974.72</v>
      </c>
      <c r="J463" s="90">
        <v>82320.37</v>
      </c>
      <c r="K463" s="90">
        <v>3080.74</v>
      </c>
      <c r="L463" s="90">
        <v>0</v>
      </c>
      <c r="M463" s="90">
        <v>27025.34</v>
      </c>
      <c r="N463" s="90">
        <v>34166.400000000001</v>
      </c>
      <c r="O463" s="90">
        <v>122337.49</v>
      </c>
      <c r="P463" s="90">
        <v>101507.62</v>
      </c>
      <c r="Q463" s="90">
        <v>5028.05</v>
      </c>
      <c r="R463" s="90">
        <v>0.04</v>
      </c>
      <c r="S463" s="90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90">
        <v>0</v>
      </c>
      <c r="Z463">
        <v>0</v>
      </c>
    </row>
    <row r="464" spans="1:26" ht="12.75" customHeight="1" x14ac:dyDescent="0.25">
      <c r="D464" t="s">
        <v>156</v>
      </c>
      <c r="E464" s="89" t="s">
        <v>70</v>
      </c>
      <c r="F464" s="90">
        <v>21957966.969999999</v>
      </c>
      <c r="G464" s="90">
        <v>1227244.8600000001</v>
      </c>
      <c r="H464" s="90">
        <v>691386.19</v>
      </c>
      <c r="I464" s="90">
        <v>369846.57</v>
      </c>
      <c r="J464" s="90">
        <v>4959152.18</v>
      </c>
      <c r="K464" s="90">
        <v>146012.85</v>
      </c>
      <c r="L464" s="90">
        <v>0</v>
      </c>
      <c r="M464" s="90">
        <v>1272582.42</v>
      </c>
      <c r="N464" s="90">
        <v>1586745.82</v>
      </c>
      <c r="O464" s="90">
        <v>8184557.6900000004</v>
      </c>
      <c r="P464" s="90">
        <v>3280785.35</v>
      </c>
      <c r="Q464" s="90">
        <v>239656.33</v>
      </c>
      <c r="R464" s="90">
        <v>-3.29</v>
      </c>
      <c r="S464" s="90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90">
        <v>0</v>
      </c>
      <c r="Z464">
        <v>0</v>
      </c>
    </row>
    <row r="465" spans="3:26" s="656" customFormat="1" ht="12.75" customHeight="1" x14ac:dyDescent="0.25">
      <c r="C465" s="656" t="s">
        <v>155</v>
      </c>
      <c r="D465" s="657" t="s">
        <v>70</v>
      </c>
      <c r="E465" s="657"/>
      <c r="F465" s="658">
        <v>21957966.969999999</v>
      </c>
      <c r="G465" s="658">
        <v>1227244.8600000001</v>
      </c>
      <c r="H465" s="658">
        <v>691386.19</v>
      </c>
      <c r="I465" s="658">
        <v>369846.57</v>
      </c>
      <c r="J465" s="658">
        <v>4959152.18</v>
      </c>
      <c r="K465" s="658">
        <v>146012.85</v>
      </c>
      <c r="L465" s="658">
        <v>0</v>
      </c>
      <c r="M465" s="658">
        <v>1272582.42</v>
      </c>
      <c r="N465" s="658">
        <v>1586745.82</v>
      </c>
      <c r="O465" s="658">
        <v>8184557.6900000004</v>
      </c>
      <c r="P465" s="658">
        <v>3280785.35</v>
      </c>
      <c r="Q465" s="658">
        <v>239656.33</v>
      </c>
      <c r="R465" s="658">
        <v>-3.29</v>
      </c>
      <c r="S465" s="658">
        <v>0</v>
      </c>
      <c r="T465" s="656">
        <v>0</v>
      </c>
      <c r="U465" s="656">
        <v>0</v>
      </c>
      <c r="V465" s="656">
        <v>0</v>
      </c>
      <c r="W465" s="656">
        <v>0</v>
      </c>
      <c r="X465" s="656">
        <v>0</v>
      </c>
      <c r="Y465" s="658">
        <v>0</v>
      </c>
      <c r="Z465" s="656">
        <v>0</v>
      </c>
    </row>
    <row r="466" spans="3:26" ht="12.75" customHeight="1" x14ac:dyDescent="0.25">
      <c r="D466" s="89"/>
      <c r="E466" s="89" t="s">
        <v>72</v>
      </c>
      <c r="F466" s="371">
        <v>269250.42</v>
      </c>
      <c r="G466" s="90">
        <v>11640.67</v>
      </c>
      <c r="H466" s="90">
        <v>6539.65</v>
      </c>
      <c r="I466" s="90">
        <v>3462.31</v>
      </c>
      <c r="J466" s="90">
        <v>34147.99</v>
      </c>
      <c r="K466" s="90">
        <v>2728.6</v>
      </c>
      <c r="L466" s="90">
        <v>0</v>
      </c>
      <c r="M466" s="90">
        <v>23935.17</v>
      </c>
      <c r="N466" s="90">
        <v>24673.09</v>
      </c>
      <c r="O466" s="90">
        <v>126745.31</v>
      </c>
      <c r="P466" s="90">
        <v>30932.12</v>
      </c>
      <c r="Q466" s="90">
        <v>4451.93</v>
      </c>
      <c r="R466" s="90">
        <v>-6.42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>
        <v>0</v>
      </c>
      <c r="Y466">
        <v>0</v>
      </c>
      <c r="Z466">
        <v>0</v>
      </c>
    </row>
    <row r="467" spans="3:26" ht="12.75" customHeight="1" x14ac:dyDescent="0.25">
      <c r="D467" s="89"/>
      <c r="E467" s="89" t="s">
        <v>81</v>
      </c>
      <c r="F467" s="371">
        <v>2364.25</v>
      </c>
      <c r="G467" s="90">
        <v>134.94</v>
      </c>
      <c r="H467" s="90">
        <v>75.89</v>
      </c>
      <c r="I467" s="90">
        <v>40.21</v>
      </c>
      <c r="J467" s="90">
        <v>655.11</v>
      </c>
      <c r="K467" s="90">
        <v>17.62</v>
      </c>
      <c r="L467" s="90">
        <v>0</v>
      </c>
      <c r="M467" s="90">
        <v>154.5</v>
      </c>
      <c r="N467" s="90">
        <v>202.63</v>
      </c>
      <c r="O467" s="90">
        <v>695.36</v>
      </c>
      <c r="P467" s="90">
        <v>359.29</v>
      </c>
      <c r="Q467" s="90">
        <v>28.76</v>
      </c>
      <c r="R467" s="90">
        <v>-0.06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>
        <v>0</v>
      </c>
      <c r="Y467">
        <v>0</v>
      </c>
      <c r="Z467">
        <v>0</v>
      </c>
    </row>
    <row r="468" spans="3:26" ht="12.75" customHeight="1" x14ac:dyDescent="0.25">
      <c r="D468" s="89" t="s">
        <v>115</v>
      </c>
      <c r="E468" s="89" t="s">
        <v>70</v>
      </c>
      <c r="F468" s="371">
        <v>271614.67</v>
      </c>
      <c r="G468" s="90">
        <v>11775.61</v>
      </c>
      <c r="H468" s="90">
        <v>6615.54</v>
      </c>
      <c r="I468" s="90">
        <v>3502.52</v>
      </c>
      <c r="J468" s="90">
        <v>34803.1</v>
      </c>
      <c r="K468" s="90">
        <v>2746.22</v>
      </c>
      <c r="L468" s="90">
        <v>0</v>
      </c>
      <c r="M468" s="90">
        <v>24089.67</v>
      </c>
      <c r="N468" s="90">
        <v>24875.72</v>
      </c>
      <c r="O468" s="90">
        <v>127440.67</v>
      </c>
      <c r="P468" s="90">
        <v>31291.41</v>
      </c>
      <c r="Q468" s="90">
        <v>4480.6899999999996</v>
      </c>
      <c r="R468" s="90">
        <v>-6.48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>
        <v>0</v>
      </c>
      <c r="Y468">
        <v>0</v>
      </c>
      <c r="Z468">
        <v>0</v>
      </c>
    </row>
    <row r="469" spans="3:26" ht="12.75" customHeight="1" x14ac:dyDescent="0.25">
      <c r="D469" s="89"/>
      <c r="E469" s="89" t="s">
        <v>72</v>
      </c>
      <c r="F469" s="371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>
        <v>0</v>
      </c>
      <c r="Y469">
        <v>0</v>
      </c>
      <c r="Z469">
        <v>0</v>
      </c>
    </row>
    <row r="470" spans="3:26" ht="12.75" customHeight="1" x14ac:dyDescent="0.25">
      <c r="D470" s="89"/>
      <c r="E470" s="89" t="s">
        <v>81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0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>
        <v>0</v>
      </c>
      <c r="Y470">
        <v>0</v>
      </c>
      <c r="Z470">
        <v>0</v>
      </c>
    </row>
    <row r="471" spans="3:26" ht="12.75" customHeight="1" x14ac:dyDescent="0.25">
      <c r="D471" t="s">
        <v>116</v>
      </c>
      <c r="E471" s="89" t="s">
        <v>70</v>
      </c>
      <c r="F471" s="90">
        <v>0</v>
      </c>
      <c r="G471" s="90">
        <v>0</v>
      </c>
      <c r="H471" s="90">
        <v>0</v>
      </c>
      <c r="I471" s="90">
        <v>0</v>
      </c>
      <c r="J471" s="90">
        <v>0</v>
      </c>
      <c r="K471" s="90">
        <v>0</v>
      </c>
      <c r="L471" s="90">
        <v>0</v>
      </c>
      <c r="M471" s="90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0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>
        <v>0</v>
      </c>
      <c r="Y471">
        <v>0</v>
      </c>
      <c r="Z471">
        <v>0</v>
      </c>
    </row>
    <row r="472" spans="3:26" ht="12.75" customHeight="1" x14ac:dyDescent="0.25">
      <c r="D472" s="89"/>
      <c r="E472" s="89" t="s">
        <v>72</v>
      </c>
      <c r="F472" s="90">
        <v>84970</v>
      </c>
      <c r="G472" s="90">
        <v>2339.92</v>
      </c>
      <c r="H472" s="90">
        <v>1244.8399999999999</v>
      </c>
      <c r="I472" s="90">
        <v>1230.9000000000001</v>
      </c>
      <c r="J472" s="90">
        <v>18888.68</v>
      </c>
      <c r="K472" s="90">
        <v>959</v>
      </c>
      <c r="L472" s="90">
        <v>0</v>
      </c>
      <c r="M472" s="90">
        <v>3672.68</v>
      </c>
      <c r="N472" s="90">
        <v>6952.02</v>
      </c>
      <c r="O472" s="90">
        <v>42280.75</v>
      </c>
      <c r="P472" s="90">
        <v>5836.55</v>
      </c>
      <c r="Q472" s="90">
        <v>1564.66</v>
      </c>
      <c r="R472" s="90">
        <v>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>
        <v>0</v>
      </c>
      <c r="Y472">
        <v>0</v>
      </c>
      <c r="Z472">
        <v>0</v>
      </c>
    </row>
    <row r="473" spans="3:26" ht="12.75" customHeight="1" x14ac:dyDescent="0.25">
      <c r="E473" s="89" t="s">
        <v>81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0">
        <v>0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>
        <v>0</v>
      </c>
      <c r="Y473">
        <v>0</v>
      </c>
      <c r="Z473">
        <v>0</v>
      </c>
    </row>
    <row r="474" spans="3:26" ht="12.75" customHeight="1" x14ac:dyDescent="0.25">
      <c r="D474" t="s">
        <v>118</v>
      </c>
      <c r="E474" s="89" t="s">
        <v>70</v>
      </c>
      <c r="F474" s="90">
        <v>84970</v>
      </c>
      <c r="G474" s="90">
        <v>2339.92</v>
      </c>
      <c r="H474" s="90">
        <v>1244.8399999999999</v>
      </c>
      <c r="I474" s="90">
        <v>1230.9000000000001</v>
      </c>
      <c r="J474" s="90">
        <v>18888.68</v>
      </c>
      <c r="K474" s="90">
        <v>959</v>
      </c>
      <c r="L474" s="90">
        <v>0</v>
      </c>
      <c r="M474" s="90">
        <v>3672.68</v>
      </c>
      <c r="N474" s="90">
        <v>6952.02</v>
      </c>
      <c r="O474" s="90">
        <v>42280.75</v>
      </c>
      <c r="P474" s="90">
        <v>5836.55</v>
      </c>
      <c r="Q474" s="90">
        <v>1564.66</v>
      </c>
      <c r="R474" s="90">
        <v>0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>
        <v>0</v>
      </c>
      <c r="Y474">
        <v>0</v>
      </c>
      <c r="Z474">
        <v>0</v>
      </c>
    </row>
    <row r="475" spans="3:26" s="224" customFormat="1" ht="12.75" customHeight="1" x14ac:dyDescent="0.25">
      <c r="C475" s="223" t="s">
        <v>120</v>
      </c>
      <c r="D475" s="223" t="s">
        <v>70</v>
      </c>
      <c r="F475" s="225">
        <v>356584.67</v>
      </c>
      <c r="G475" s="225">
        <v>14115.53</v>
      </c>
      <c r="H475" s="225">
        <v>7860.38</v>
      </c>
      <c r="I475" s="225">
        <v>4733.42</v>
      </c>
      <c r="J475" s="225">
        <v>53691.78</v>
      </c>
      <c r="K475" s="225">
        <v>3705.22</v>
      </c>
      <c r="L475" s="225">
        <v>0</v>
      </c>
      <c r="M475" s="225">
        <v>27762.35</v>
      </c>
      <c r="N475" s="225">
        <v>31827.74</v>
      </c>
      <c r="O475" s="225">
        <v>169721.42</v>
      </c>
      <c r="P475" s="225">
        <v>37127.96</v>
      </c>
      <c r="Q475" s="225">
        <v>6045.35</v>
      </c>
      <c r="R475" s="225">
        <v>-6.48</v>
      </c>
      <c r="S475" s="225">
        <v>0</v>
      </c>
      <c r="T475" s="224">
        <v>0</v>
      </c>
      <c r="U475" s="224">
        <v>0</v>
      </c>
      <c r="V475" s="224">
        <v>0</v>
      </c>
      <c r="W475" s="224">
        <v>0</v>
      </c>
      <c r="X475" s="224">
        <v>0</v>
      </c>
      <c r="Y475" s="225">
        <v>0</v>
      </c>
      <c r="Z475" s="224">
        <v>0</v>
      </c>
    </row>
    <row r="476" spans="3:26" ht="12.75" customHeight="1" x14ac:dyDescent="0.25">
      <c r="E476" s="89" t="s">
        <v>72</v>
      </c>
      <c r="F476" s="371">
        <v>463014.86</v>
      </c>
      <c r="G476" s="90">
        <v>25280.16</v>
      </c>
      <c r="H476" s="90">
        <v>14101.02</v>
      </c>
      <c r="I476" s="90">
        <v>7491.65</v>
      </c>
      <c r="J476" s="90">
        <v>106488.08</v>
      </c>
      <c r="K476" s="90">
        <v>3860.16</v>
      </c>
      <c r="L476" s="90">
        <v>0</v>
      </c>
      <c r="M476" s="90">
        <v>33861.06</v>
      </c>
      <c r="N476" s="90">
        <v>32145.55</v>
      </c>
      <c r="O476" s="90">
        <v>166557.78</v>
      </c>
      <c r="P476" s="90">
        <v>66934.600000000006</v>
      </c>
      <c r="Q476" s="90">
        <v>6298.09</v>
      </c>
      <c r="R476" s="90">
        <v>-3.29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>
        <v>0</v>
      </c>
      <c r="Y476">
        <v>0</v>
      </c>
      <c r="Z476">
        <v>0</v>
      </c>
    </row>
    <row r="477" spans="3:26" ht="12.75" customHeight="1" x14ac:dyDescent="0.25">
      <c r="E477" s="89" t="s">
        <v>81</v>
      </c>
      <c r="F477" s="371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 s="90">
        <v>0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>
        <v>0</v>
      </c>
      <c r="Y477">
        <v>0</v>
      </c>
      <c r="Z477">
        <v>0</v>
      </c>
    </row>
    <row r="478" spans="3:26" ht="12.75" customHeight="1" x14ac:dyDescent="0.25">
      <c r="D478" t="s">
        <v>82</v>
      </c>
      <c r="E478" s="89" t="s">
        <v>70</v>
      </c>
      <c r="F478" s="371">
        <v>463014.86</v>
      </c>
      <c r="G478" s="90">
        <v>25280.16</v>
      </c>
      <c r="H478" s="90">
        <v>14101.02</v>
      </c>
      <c r="I478" s="90">
        <v>7491.65</v>
      </c>
      <c r="J478" s="90">
        <v>106488.08</v>
      </c>
      <c r="K478" s="90">
        <v>3860.16</v>
      </c>
      <c r="L478" s="90">
        <v>0</v>
      </c>
      <c r="M478" s="90">
        <v>33861.06</v>
      </c>
      <c r="N478" s="90">
        <v>32145.55</v>
      </c>
      <c r="O478" s="90">
        <v>166557.78</v>
      </c>
      <c r="P478" s="90">
        <v>66934.600000000006</v>
      </c>
      <c r="Q478" s="90">
        <v>6298.09</v>
      </c>
      <c r="R478" s="90">
        <v>-3.29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>
        <v>0</v>
      </c>
      <c r="Y478">
        <v>0</v>
      </c>
      <c r="Z478">
        <v>0</v>
      </c>
    </row>
    <row r="479" spans="3:26" ht="12.75" customHeight="1" x14ac:dyDescent="0.25">
      <c r="E479" s="89" t="s">
        <v>72</v>
      </c>
      <c r="F479" s="371">
        <v>246993.84</v>
      </c>
      <c r="G479" s="90">
        <v>11800.76</v>
      </c>
      <c r="H479" s="90">
        <v>6274.55</v>
      </c>
      <c r="I479" s="90">
        <v>3485.2</v>
      </c>
      <c r="J479" s="90">
        <v>60372.89</v>
      </c>
      <c r="K479" s="90">
        <v>1884.56</v>
      </c>
      <c r="L479" s="90">
        <v>0</v>
      </c>
      <c r="M479" s="90">
        <v>16531.349999999999</v>
      </c>
      <c r="N479" s="90">
        <v>18311.72</v>
      </c>
      <c r="O479" s="90">
        <v>93908.52</v>
      </c>
      <c r="P479" s="90">
        <v>31345.47</v>
      </c>
      <c r="Q479" s="90">
        <v>3074.81</v>
      </c>
      <c r="R479" s="90">
        <v>4.01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>
        <v>0</v>
      </c>
      <c r="Y479">
        <v>0</v>
      </c>
      <c r="Z479">
        <v>0</v>
      </c>
    </row>
    <row r="480" spans="3:26" ht="12.75" customHeight="1" x14ac:dyDescent="0.25">
      <c r="E480" s="89" t="s">
        <v>81</v>
      </c>
      <c r="F480" s="371">
        <v>182</v>
      </c>
      <c r="G480" s="90">
        <v>10.86</v>
      </c>
      <c r="H480" s="90">
        <v>6.08</v>
      </c>
      <c r="I480" s="90">
        <v>3.22</v>
      </c>
      <c r="J480" s="90">
        <v>42.07</v>
      </c>
      <c r="K480" s="90">
        <v>1.43</v>
      </c>
      <c r="L480" s="90">
        <v>0</v>
      </c>
      <c r="M480" s="90">
        <v>12.51</v>
      </c>
      <c r="N480" s="90">
        <v>12.16</v>
      </c>
      <c r="O480" s="90">
        <v>62.61</v>
      </c>
      <c r="P480" s="90">
        <v>28.74</v>
      </c>
      <c r="Q480" s="90">
        <v>2.3199999999999998</v>
      </c>
      <c r="R480" s="90">
        <v>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>
        <v>0</v>
      </c>
      <c r="Y480">
        <v>0</v>
      </c>
      <c r="Z480">
        <v>0</v>
      </c>
    </row>
    <row r="481" spans="2:26" ht="12.75" customHeight="1" x14ac:dyDescent="0.25">
      <c r="D481" t="s">
        <v>86</v>
      </c>
      <c r="E481" s="89" t="s">
        <v>70</v>
      </c>
      <c r="F481" s="371">
        <v>247175.84</v>
      </c>
      <c r="G481" s="90">
        <v>11811.62</v>
      </c>
      <c r="H481" s="90">
        <v>6280.63</v>
      </c>
      <c r="I481" s="90">
        <v>3488.42</v>
      </c>
      <c r="J481" s="90">
        <v>60414.96</v>
      </c>
      <c r="K481" s="90">
        <v>1885.99</v>
      </c>
      <c r="L481" s="90">
        <v>0</v>
      </c>
      <c r="M481" s="90">
        <v>16543.86</v>
      </c>
      <c r="N481" s="90">
        <v>18323.88</v>
      </c>
      <c r="O481" s="90">
        <v>93971.13</v>
      </c>
      <c r="P481" s="90">
        <v>31374.21</v>
      </c>
      <c r="Q481" s="90">
        <v>3077.13</v>
      </c>
      <c r="R481" s="90">
        <v>4.01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>
        <v>0</v>
      </c>
      <c r="Y481">
        <v>0</v>
      </c>
      <c r="Z481">
        <v>0</v>
      </c>
    </row>
    <row r="482" spans="2:26" ht="12.75" customHeight="1" x14ac:dyDescent="0.25">
      <c r="E482" s="89" t="s">
        <v>72</v>
      </c>
      <c r="F482" s="371">
        <v>6840</v>
      </c>
      <c r="G482" s="90">
        <v>305.47000000000003</v>
      </c>
      <c r="H482" s="90">
        <v>170.21</v>
      </c>
      <c r="I482" s="90">
        <v>90.52</v>
      </c>
      <c r="J482" s="90">
        <v>1618.16</v>
      </c>
      <c r="K482" s="90">
        <v>61.86</v>
      </c>
      <c r="L482" s="90">
        <v>0</v>
      </c>
      <c r="M482" s="90">
        <v>542.61</v>
      </c>
      <c r="N482" s="90">
        <v>505.61</v>
      </c>
      <c r="O482" s="90">
        <v>2635.85</v>
      </c>
      <c r="P482" s="90">
        <v>808.79</v>
      </c>
      <c r="Q482" s="90">
        <v>100.92</v>
      </c>
      <c r="R482" s="90">
        <v>0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</row>
    <row r="483" spans="2:26" x14ac:dyDescent="0.25">
      <c r="E483" t="s">
        <v>81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  <c r="S483" s="90">
        <v>0</v>
      </c>
      <c r="T483" s="90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s="90">
        <v>0</v>
      </c>
    </row>
    <row r="484" spans="2:26" ht="12.75" customHeight="1" x14ac:dyDescent="0.25">
      <c r="D484" t="s">
        <v>87</v>
      </c>
      <c r="E484" s="89" t="s">
        <v>70</v>
      </c>
      <c r="F484" s="371">
        <v>6840</v>
      </c>
      <c r="G484" s="90">
        <v>305.47000000000003</v>
      </c>
      <c r="H484" s="90">
        <v>170.21</v>
      </c>
      <c r="I484" s="90">
        <v>90.52</v>
      </c>
      <c r="J484" s="90">
        <v>1618.16</v>
      </c>
      <c r="K484" s="90">
        <v>61.86</v>
      </c>
      <c r="L484" s="90">
        <v>0</v>
      </c>
      <c r="M484" s="90">
        <v>542.61</v>
      </c>
      <c r="N484" s="90">
        <v>505.61</v>
      </c>
      <c r="O484" s="90">
        <v>2635.85</v>
      </c>
      <c r="P484" s="90">
        <v>808.79</v>
      </c>
      <c r="Q484" s="90">
        <v>100.92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</row>
    <row r="485" spans="2:26" s="94" customFormat="1" ht="12.75" customHeight="1" x14ac:dyDescent="0.25">
      <c r="C485" s="94" t="s">
        <v>119</v>
      </c>
      <c r="D485" s="94" t="s">
        <v>70</v>
      </c>
      <c r="E485" s="101"/>
      <c r="F485" s="93">
        <v>717030.7</v>
      </c>
      <c r="G485" s="93">
        <v>37397.25</v>
      </c>
      <c r="H485" s="93">
        <v>20551.86</v>
      </c>
      <c r="I485" s="93">
        <v>11070.59</v>
      </c>
      <c r="J485" s="93">
        <v>168521.2</v>
      </c>
      <c r="K485" s="93">
        <v>5808.01</v>
      </c>
      <c r="L485" s="93">
        <v>0</v>
      </c>
      <c r="M485" s="93">
        <v>50947.53</v>
      </c>
      <c r="N485" s="93">
        <v>50975.040000000001</v>
      </c>
      <c r="O485" s="93">
        <v>263164.76</v>
      </c>
      <c r="P485" s="93">
        <v>99117.6</v>
      </c>
      <c r="Q485" s="93">
        <v>9476.14</v>
      </c>
      <c r="R485" s="93">
        <v>0.72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4">
        <v>0</v>
      </c>
      <c r="Y485" s="94">
        <v>0</v>
      </c>
      <c r="Z485" s="94">
        <v>0</v>
      </c>
    </row>
    <row r="486" spans="2:26" s="378" customFormat="1" ht="12.75" customHeight="1" x14ac:dyDescent="0.25">
      <c r="B486" s="378" t="s">
        <v>122</v>
      </c>
      <c r="C486" s="378" t="s">
        <v>70</v>
      </c>
      <c r="E486" s="376"/>
      <c r="F486" s="377">
        <v>23031582.34</v>
      </c>
      <c r="G486" s="377">
        <v>1278757.6399999999</v>
      </c>
      <c r="H486" s="377">
        <v>719798.43</v>
      </c>
      <c r="I486" s="377">
        <v>385650.58</v>
      </c>
      <c r="J486" s="377">
        <v>5181365.16</v>
      </c>
      <c r="K486" s="377">
        <v>155526.07999999999</v>
      </c>
      <c r="L486" s="377">
        <v>0</v>
      </c>
      <c r="M486" s="377">
        <v>1351292.3</v>
      </c>
      <c r="N486" s="377">
        <v>1669548.6</v>
      </c>
      <c r="O486" s="377">
        <v>8617443.8699999992</v>
      </c>
      <c r="P486" s="377">
        <v>3417030.91</v>
      </c>
      <c r="Q486" s="377">
        <v>255177.82</v>
      </c>
      <c r="R486" s="377">
        <v>-9.0500000000000007</v>
      </c>
      <c r="S486" s="377">
        <v>0</v>
      </c>
      <c r="T486" s="378">
        <v>0</v>
      </c>
      <c r="U486" s="378">
        <v>0</v>
      </c>
      <c r="V486" s="378">
        <v>0</v>
      </c>
      <c r="W486" s="378">
        <v>0</v>
      </c>
      <c r="X486" s="378">
        <v>0</v>
      </c>
      <c r="Y486" s="377">
        <v>0</v>
      </c>
      <c r="Z486" s="378">
        <v>0</v>
      </c>
    </row>
    <row r="487" spans="2:26" ht="12.75" customHeight="1" x14ac:dyDescent="0.25">
      <c r="E487" s="89" t="s">
        <v>72</v>
      </c>
      <c r="F487" s="90">
        <v>10316487786.870001</v>
      </c>
      <c r="G487" s="90">
        <v>551410765.36000001</v>
      </c>
      <c r="H487" s="90">
        <v>306071016.31999999</v>
      </c>
      <c r="I487" s="90">
        <v>162886184.72999999</v>
      </c>
      <c r="J487" s="90">
        <v>2329299417.8800001</v>
      </c>
      <c r="K487" s="90">
        <v>87707938.069999993</v>
      </c>
      <c r="L487" s="90">
        <v>7966940.6799999997</v>
      </c>
      <c r="M487" s="90">
        <v>768910877</v>
      </c>
      <c r="N487" s="90">
        <v>728042856.77999997</v>
      </c>
      <c r="O487" s="90">
        <v>3771216101</v>
      </c>
      <c r="P487" s="90">
        <v>1459609708.27</v>
      </c>
      <c r="Q487" s="90">
        <v>143334380.06</v>
      </c>
      <c r="R487" s="90">
        <v>31600.720000000001</v>
      </c>
      <c r="S487" s="90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90">
        <v>0</v>
      </c>
      <c r="Z487">
        <v>0</v>
      </c>
    </row>
    <row r="488" spans="2:26" ht="12.75" customHeight="1" x14ac:dyDescent="0.25">
      <c r="E488" s="89" t="s">
        <v>81</v>
      </c>
      <c r="F488" s="371">
        <v>14880353.09</v>
      </c>
      <c r="G488" s="90">
        <v>1291438.8600000001</v>
      </c>
      <c r="H488" s="90">
        <v>568599.13</v>
      </c>
      <c r="I488" s="90">
        <v>235313.36</v>
      </c>
      <c r="J488" s="90">
        <v>3045375.22</v>
      </c>
      <c r="K488" s="90">
        <v>110392.5</v>
      </c>
      <c r="L488" s="90">
        <v>5432.15</v>
      </c>
      <c r="M488" s="90">
        <v>965801.91</v>
      </c>
      <c r="N488" s="90">
        <v>1108998.81</v>
      </c>
      <c r="O488" s="90">
        <v>3895953.74</v>
      </c>
      <c r="P488" s="90">
        <v>3472640.95</v>
      </c>
      <c r="Q488" s="90">
        <v>180195.77</v>
      </c>
      <c r="R488" s="90">
        <v>21.46</v>
      </c>
      <c r="S488" s="90">
        <v>10.26</v>
      </c>
      <c r="T488">
        <v>178.97</v>
      </c>
      <c r="U488">
        <v>0</v>
      </c>
      <c r="V488">
        <v>0</v>
      </c>
      <c r="W488">
        <v>0</v>
      </c>
      <c r="X488">
        <v>0</v>
      </c>
      <c r="Y488" s="90">
        <v>0</v>
      </c>
      <c r="Z488">
        <v>0</v>
      </c>
    </row>
    <row r="489" spans="2:26" ht="12.75" customHeight="1" x14ac:dyDescent="0.25">
      <c r="D489" t="s">
        <v>156</v>
      </c>
      <c r="E489" s="89" t="s">
        <v>70</v>
      </c>
      <c r="F489" s="90">
        <v>10331368139.959999</v>
      </c>
      <c r="G489" s="90">
        <v>552702204.22000003</v>
      </c>
      <c r="H489" s="90">
        <v>306639615.44999999</v>
      </c>
      <c r="I489" s="90">
        <v>163121498.09</v>
      </c>
      <c r="J489" s="90">
        <v>2332344793.0999999</v>
      </c>
      <c r="K489" s="90">
        <v>87818330.569999993</v>
      </c>
      <c r="L489" s="90">
        <v>7972372.8300000001</v>
      </c>
      <c r="M489" s="90">
        <v>769876678.90999997</v>
      </c>
      <c r="N489" s="90">
        <v>729151855.59000003</v>
      </c>
      <c r="O489" s="90">
        <v>3775112054.7399998</v>
      </c>
      <c r="P489" s="90">
        <v>1463082349.22</v>
      </c>
      <c r="Q489" s="90">
        <v>143514575.83000001</v>
      </c>
      <c r="R489" s="90">
        <v>31622.18</v>
      </c>
      <c r="S489" s="90">
        <v>10.26</v>
      </c>
      <c r="T489">
        <v>178.97</v>
      </c>
      <c r="U489">
        <v>0</v>
      </c>
      <c r="V489">
        <v>0</v>
      </c>
      <c r="W489">
        <v>0</v>
      </c>
      <c r="X489">
        <v>0</v>
      </c>
      <c r="Y489" s="90">
        <v>0</v>
      </c>
      <c r="Z489">
        <v>0</v>
      </c>
    </row>
    <row r="490" spans="2:26" s="656" customFormat="1" ht="12.75" customHeight="1" x14ac:dyDescent="0.25">
      <c r="C490" s="656" t="s">
        <v>155</v>
      </c>
      <c r="D490" s="657" t="s">
        <v>70</v>
      </c>
      <c r="E490" s="657"/>
      <c r="F490" s="658">
        <v>10331368139.959999</v>
      </c>
      <c r="G490" s="658">
        <v>552702204.22000003</v>
      </c>
      <c r="H490" s="658">
        <v>306639615.44999999</v>
      </c>
      <c r="I490" s="658">
        <v>163121498.09</v>
      </c>
      <c r="J490" s="658">
        <v>2332344793.0999999</v>
      </c>
      <c r="K490" s="658">
        <v>87818330.569999993</v>
      </c>
      <c r="L490" s="658">
        <v>7972372.8300000001</v>
      </c>
      <c r="M490" s="658">
        <v>769876678.90999997</v>
      </c>
      <c r="N490" s="658">
        <v>729151855.59000003</v>
      </c>
      <c r="O490" s="658">
        <v>3775112054.7399998</v>
      </c>
      <c r="P490" s="658">
        <v>1463082349.22</v>
      </c>
      <c r="Q490" s="658">
        <v>143514575.83000001</v>
      </c>
      <c r="R490" s="658">
        <v>31622.18</v>
      </c>
      <c r="S490" s="658">
        <v>10.26</v>
      </c>
      <c r="T490" s="656">
        <v>178.97</v>
      </c>
      <c r="U490" s="656">
        <v>0</v>
      </c>
      <c r="V490" s="656">
        <v>0</v>
      </c>
      <c r="W490" s="656">
        <v>0</v>
      </c>
      <c r="X490" s="656">
        <v>0</v>
      </c>
      <c r="Y490" s="658">
        <v>0</v>
      </c>
      <c r="Z490" s="656">
        <v>0</v>
      </c>
    </row>
    <row r="491" spans="2:26" ht="12.75" customHeight="1" x14ac:dyDescent="0.25">
      <c r="D491" s="89"/>
      <c r="E491" s="89" t="s">
        <v>72</v>
      </c>
      <c r="F491" s="371">
        <v>0</v>
      </c>
      <c r="G491" s="90">
        <v>0</v>
      </c>
      <c r="H491" s="90">
        <v>0</v>
      </c>
      <c r="I491" s="90">
        <v>0</v>
      </c>
      <c r="J491" s="90">
        <v>0</v>
      </c>
      <c r="K491" s="90">
        <v>0</v>
      </c>
      <c r="L491" s="90">
        <v>0</v>
      </c>
      <c r="M491" s="90">
        <v>0</v>
      </c>
      <c r="N491" s="90">
        <v>0</v>
      </c>
      <c r="O491" s="90">
        <v>0</v>
      </c>
      <c r="P491" s="90">
        <v>0</v>
      </c>
      <c r="Q491" s="90">
        <v>0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90">
        <v>0</v>
      </c>
      <c r="Z491">
        <v>0</v>
      </c>
    </row>
    <row r="492" spans="2:26" ht="12.75" customHeight="1" x14ac:dyDescent="0.25">
      <c r="D492" s="89"/>
      <c r="E492" s="89" t="s">
        <v>81</v>
      </c>
      <c r="F492" s="371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  <c r="N492" s="90">
        <v>0</v>
      </c>
      <c r="O492" s="90">
        <v>0</v>
      </c>
      <c r="P492" s="90">
        <v>0</v>
      </c>
      <c r="Q492" s="90">
        <v>0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90">
        <v>0</v>
      </c>
      <c r="Z492">
        <v>0</v>
      </c>
    </row>
    <row r="493" spans="2:26" ht="12.75" customHeight="1" x14ac:dyDescent="0.25">
      <c r="D493" s="89" t="s">
        <v>115</v>
      </c>
      <c r="E493" s="89" t="s">
        <v>70</v>
      </c>
      <c r="F493" s="371">
        <v>0</v>
      </c>
      <c r="G493" s="90">
        <v>0</v>
      </c>
      <c r="H493" s="90">
        <v>0</v>
      </c>
      <c r="I493" s="90">
        <v>0</v>
      </c>
      <c r="J493" s="90">
        <v>0</v>
      </c>
      <c r="K493" s="90">
        <v>0</v>
      </c>
      <c r="L493" s="90">
        <v>0</v>
      </c>
      <c r="M493" s="90">
        <v>0</v>
      </c>
      <c r="N493" s="90">
        <v>0</v>
      </c>
      <c r="O493" s="90">
        <v>0</v>
      </c>
      <c r="P493" s="90">
        <v>0</v>
      </c>
      <c r="Q493" s="90">
        <v>0</v>
      </c>
      <c r="R493" s="90">
        <v>0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90">
        <v>0</v>
      </c>
      <c r="Z493">
        <v>0</v>
      </c>
    </row>
    <row r="494" spans="2:26" ht="12.75" customHeight="1" x14ac:dyDescent="0.25">
      <c r="C494" s="89"/>
      <c r="D494" s="89"/>
      <c r="E494" t="s">
        <v>72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0</v>
      </c>
      <c r="P494" s="90">
        <v>0</v>
      </c>
      <c r="Q494" s="90">
        <v>0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90">
        <v>0</v>
      </c>
      <c r="Z494">
        <v>0</v>
      </c>
    </row>
    <row r="495" spans="2:26" ht="12.75" customHeight="1" x14ac:dyDescent="0.25">
      <c r="E495" s="89" t="s">
        <v>81</v>
      </c>
      <c r="F495" s="90">
        <v>0</v>
      </c>
      <c r="G495" s="90">
        <v>0</v>
      </c>
      <c r="H495" s="90">
        <v>0</v>
      </c>
      <c r="I495" s="90">
        <v>0</v>
      </c>
      <c r="J495" s="90">
        <v>0</v>
      </c>
      <c r="K495" s="90">
        <v>0</v>
      </c>
      <c r="L495" s="90">
        <v>0</v>
      </c>
      <c r="M495" s="90">
        <v>0</v>
      </c>
      <c r="N495" s="90">
        <v>0</v>
      </c>
      <c r="O495" s="90">
        <v>0</v>
      </c>
      <c r="P495" s="90">
        <v>0</v>
      </c>
      <c r="Q495" s="90">
        <v>0</v>
      </c>
      <c r="R495" s="90">
        <v>0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90">
        <v>0</v>
      </c>
      <c r="Z495">
        <v>0</v>
      </c>
    </row>
    <row r="496" spans="2:26" ht="12.75" customHeight="1" x14ac:dyDescent="0.25">
      <c r="D496" s="773">
        <v>2</v>
      </c>
      <c r="E496" s="89" t="s">
        <v>70</v>
      </c>
      <c r="F496" s="90">
        <v>0</v>
      </c>
      <c r="G496" s="90">
        <v>0</v>
      </c>
      <c r="H496" s="90">
        <v>0</v>
      </c>
      <c r="I496" s="90">
        <v>0</v>
      </c>
      <c r="J496" s="90">
        <v>0</v>
      </c>
      <c r="K496" s="90">
        <v>0</v>
      </c>
      <c r="L496" s="90">
        <v>0</v>
      </c>
      <c r="M496" s="90">
        <v>0</v>
      </c>
      <c r="N496" s="90">
        <v>0</v>
      </c>
      <c r="O496" s="90">
        <v>0</v>
      </c>
      <c r="P496" s="90">
        <v>0</v>
      </c>
      <c r="Q496" s="90">
        <v>0</v>
      </c>
      <c r="R496" s="90">
        <v>0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90">
        <v>0</v>
      </c>
      <c r="Z496">
        <v>0</v>
      </c>
    </row>
    <row r="497" spans="1:26" ht="12.75" customHeight="1" x14ac:dyDescent="0.25">
      <c r="C497" s="89"/>
      <c r="D497" s="89"/>
      <c r="E497" t="s">
        <v>72</v>
      </c>
      <c r="F497" s="90">
        <v>0</v>
      </c>
      <c r="G497" s="90">
        <v>0</v>
      </c>
      <c r="H497" s="90">
        <v>0</v>
      </c>
      <c r="I497" s="90">
        <v>0</v>
      </c>
      <c r="J497" s="90">
        <v>0</v>
      </c>
      <c r="K497" s="90">
        <v>0</v>
      </c>
      <c r="L497" s="90">
        <v>0</v>
      </c>
      <c r="M497" s="90">
        <v>0</v>
      </c>
      <c r="N497" s="90">
        <v>0</v>
      </c>
      <c r="O497" s="90">
        <v>0</v>
      </c>
      <c r="P497" s="90">
        <v>0</v>
      </c>
      <c r="Q497" s="90">
        <v>0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90">
        <v>0</v>
      </c>
      <c r="Z497">
        <v>0</v>
      </c>
    </row>
    <row r="498" spans="1:26" ht="12.75" customHeight="1" x14ac:dyDescent="0.25">
      <c r="E498" s="89" t="s">
        <v>81</v>
      </c>
      <c r="F498" s="90">
        <v>0</v>
      </c>
      <c r="G498" s="90">
        <v>0</v>
      </c>
      <c r="H498" s="90">
        <v>0</v>
      </c>
      <c r="I498" s="90">
        <v>0</v>
      </c>
      <c r="J498" s="90">
        <v>0</v>
      </c>
      <c r="K498" s="90">
        <v>0</v>
      </c>
      <c r="L498" s="90">
        <v>0</v>
      </c>
      <c r="M498" s="90">
        <v>0</v>
      </c>
      <c r="N498" s="90">
        <v>0</v>
      </c>
      <c r="O498" s="90">
        <v>0</v>
      </c>
      <c r="P498" s="90">
        <v>0</v>
      </c>
      <c r="Q498" s="90">
        <v>0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90">
        <v>0</v>
      </c>
      <c r="Z498">
        <v>0</v>
      </c>
    </row>
    <row r="499" spans="1:26" ht="12.75" customHeight="1" x14ac:dyDescent="0.25">
      <c r="D499" t="s">
        <v>118</v>
      </c>
      <c r="E499" s="89" t="s">
        <v>70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  <c r="N499" s="90">
        <v>0</v>
      </c>
      <c r="O499" s="90">
        <v>0</v>
      </c>
      <c r="P499" s="90">
        <v>0</v>
      </c>
      <c r="Q499" s="90">
        <v>0</v>
      </c>
      <c r="R499" s="90">
        <v>0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90">
        <v>0</v>
      </c>
      <c r="Z499">
        <v>0</v>
      </c>
    </row>
    <row r="500" spans="1:26" s="224" customFormat="1" ht="12.75" customHeight="1" x14ac:dyDescent="0.25">
      <c r="C500" s="223" t="s">
        <v>120</v>
      </c>
      <c r="D500" s="223" t="s">
        <v>70</v>
      </c>
      <c r="F500" s="225">
        <v>0</v>
      </c>
      <c r="G500" s="225">
        <v>0</v>
      </c>
      <c r="H500" s="225">
        <v>0</v>
      </c>
      <c r="I500" s="225">
        <v>0</v>
      </c>
      <c r="J500" s="225">
        <v>0</v>
      </c>
      <c r="K500" s="225">
        <v>0</v>
      </c>
      <c r="L500" s="225">
        <v>0</v>
      </c>
      <c r="M500" s="225">
        <v>0</v>
      </c>
      <c r="N500" s="225">
        <v>0</v>
      </c>
      <c r="O500" s="225">
        <v>0</v>
      </c>
      <c r="P500" s="225">
        <v>0</v>
      </c>
      <c r="Q500" s="225">
        <v>0</v>
      </c>
      <c r="R500" s="225">
        <v>0</v>
      </c>
      <c r="S500" s="225">
        <v>0</v>
      </c>
      <c r="T500" s="224">
        <v>0</v>
      </c>
      <c r="U500" s="224">
        <v>0</v>
      </c>
      <c r="V500" s="224">
        <v>0</v>
      </c>
      <c r="W500" s="224">
        <v>0</v>
      </c>
      <c r="X500" s="224">
        <v>0</v>
      </c>
      <c r="Y500" s="225">
        <v>0</v>
      </c>
      <c r="Z500" s="224">
        <v>0</v>
      </c>
    </row>
    <row r="501" spans="1:26" ht="12.75" customHeight="1" x14ac:dyDescent="0.25">
      <c r="E501" s="89" t="s">
        <v>72</v>
      </c>
      <c r="F501" s="90">
        <v>81379741.219999999</v>
      </c>
      <c r="G501" s="90">
        <v>4722303.37</v>
      </c>
      <c r="H501" s="90">
        <v>2646611.7000000002</v>
      </c>
      <c r="I501" s="90">
        <v>1407817.53</v>
      </c>
      <c r="J501" s="90">
        <v>18853588.34</v>
      </c>
      <c r="K501" s="90">
        <v>467107.75</v>
      </c>
      <c r="L501" s="90">
        <v>0</v>
      </c>
      <c r="M501" s="90">
        <v>4106797.95</v>
      </c>
      <c r="N501" s="90">
        <v>5801684.7000000002</v>
      </c>
      <c r="O501" s="90">
        <v>30089094.289999999</v>
      </c>
      <c r="P501" s="90">
        <v>12512820.199999999</v>
      </c>
      <c r="Q501" s="90">
        <v>771613.08</v>
      </c>
      <c r="R501" s="90">
        <v>302.31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90">
        <v>0</v>
      </c>
      <c r="Z501">
        <v>0</v>
      </c>
    </row>
    <row r="502" spans="1:26" ht="12.75" customHeight="1" x14ac:dyDescent="0.25">
      <c r="D502" s="89"/>
      <c r="E502" s="89" t="s">
        <v>81</v>
      </c>
      <c r="F502" s="90">
        <v>237061.36</v>
      </c>
      <c r="G502" s="90">
        <v>14686.74</v>
      </c>
      <c r="H502" s="90">
        <v>8302.6200000000008</v>
      </c>
      <c r="I502" s="90">
        <v>4392.62</v>
      </c>
      <c r="J502" s="90">
        <v>59679.69</v>
      </c>
      <c r="K502" s="90">
        <v>1483.67</v>
      </c>
      <c r="L502" s="90">
        <v>0</v>
      </c>
      <c r="M502" s="90">
        <v>13041.16</v>
      </c>
      <c r="N502" s="90">
        <v>18748.86</v>
      </c>
      <c r="O502" s="90">
        <v>75101.78</v>
      </c>
      <c r="P502" s="90">
        <v>39197.67</v>
      </c>
      <c r="Q502" s="90">
        <v>2426.36</v>
      </c>
      <c r="R502" s="90">
        <v>0.19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90">
        <v>0</v>
      </c>
      <c r="Z502">
        <v>0</v>
      </c>
    </row>
    <row r="503" spans="1:26" ht="12.75" customHeight="1" x14ac:dyDescent="0.25">
      <c r="D503" t="s">
        <v>82</v>
      </c>
      <c r="E503" s="89" t="s">
        <v>70</v>
      </c>
      <c r="F503" s="90">
        <v>81616802.579999998</v>
      </c>
      <c r="G503" s="90">
        <v>4736990.1100000003</v>
      </c>
      <c r="H503" s="90">
        <v>2654914.3199999998</v>
      </c>
      <c r="I503" s="90">
        <v>1412210.15</v>
      </c>
      <c r="J503" s="90">
        <v>18913268.030000001</v>
      </c>
      <c r="K503" s="90">
        <v>468591.42</v>
      </c>
      <c r="L503" s="90">
        <v>0</v>
      </c>
      <c r="M503" s="90">
        <v>4119839.11</v>
      </c>
      <c r="N503" s="90">
        <v>5820433.5599999996</v>
      </c>
      <c r="O503" s="90">
        <v>30164196.07</v>
      </c>
      <c r="P503" s="90">
        <v>12552017.869999999</v>
      </c>
      <c r="Q503" s="90">
        <v>774039.44</v>
      </c>
      <c r="R503" s="90">
        <v>302.5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90">
        <v>0</v>
      </c>
      <c r="Z503">
        <v>0</v>
      </c>
    </row>
    <row r="504" spans="1:26" ht="12.75" customHeight="1" x14ac:dyDescent="0.25">
      <c r="E504" s="89" t="s">
        <v>72</v>
      </c>
      <c r="F504" s="90">
        <v>123815339.8</v>
      </c>
      <c r="G504" s="90">
        <v>13083650.439999999</v>
      </c>
      <c r="H504" s="90">
        <v>6977296.5199999996</v>
      </c>
      <c r="I504" s="90">
        <v>3555256.33</v>
      </c>
      <c r="J504" s="90">
        <v>18058334.600000001</v>
      </c>
      <c r="K504" s="90">
        <v>677891.2</v>
      </c>
      <c r="L504" s="90">
        <v>143000</v>
      </c>
      <c r="M504" s="90">
        <v>5823200.0599999996</v>
      </c>
      <c r="N504" s="90">
        <v>6623739.1399999997</v>
      </c>
      <c r="O504" s="90">
        <v>33350465.379999999</v>
      </c>
      <c r="P504" s="90">
        <v>34405951.420000002</v>
      </c>
      <c r="Q504" s="90">
        <v>1116521.45</v>
      </c>
      <c r="R504" s="90">
        <v>33.26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90">
        <v>0</v>
      </c>
      <c r="Z504">
        <v>0</v>
      </c>
    </row>
    <row r="505" spans="1:26" ht="12.75" customHeight="1" x14ac:dyDescent="0.25">
      <c r="D505" s="89"/>
      <c r="E505" s="89" t="s">
        <v>81</v>
      </c>
      <c r="F505" s="90">
        <v>11888953.220000001</v>
      </c>
      <c r="G505" s="90">
        <v>1382334.62</v>
      </c>
      <c r="H505" s="90">
        <v>599210.31999999995</v>
      </c>
      <c r="I505" s="90">
        <v>234416.44</v>
      </c>
      <c r="J505" s="90">
        <v>1808866.08</v>
      </c>
      <c r="K505" s="90">
        <v>73046.039999999994</v>
      </c>
      <c r="L505" s="90">
        <v>3054.63</v>
      </c>
      <c r="M505" s="90">
        <v>638850.88</v>
      </c>
      <c r="N505" s="90">
        <v>745059.17</v>
      </c>
      <c r="O505" s="90">
        <v>2600585.61</v>
      </c>
      <c r="P505" s="90">
        <v>3684297.02</v>
      </c>
      <c r="Q505" s="90">
        <v>119221.63</v>
      </c>
      <c r="R505" s="90">
        <v>10.58</v>
      </c>
      <c r="S505" s="90">
        <v>-0.04</v>
      </c>
      <c r="T505">
        <v>0.24</v>
      </c>
      <c r="U505">
        <v>0</v>
      </c>
      <c r="V505">
        <v>0</v>
      </c>
      <c r="W505">
        <v>0</v>
      </c>
      <c r="X505">
        <v>0</v>
      </c>
      <c r="Y505" s="90">
        <v>0</v>
      </c>
      <c r="Z505">
        <v>0</v>
      </c>
    </row>
    <row r="506" spans="1:26" ht="12.75" customHeight="1" x14ac:dyDescent="0.25">
      <c r="C506" s="89"/>
      <c r="D506" s="89" t="s">
        <v>86</v>
      </c>
      <c r="E506" t="s">
        <v>70</v>
      </c>
      <c r="F506" s="90">
        <v>135704293.02000001</v>
      </c>
      <c r="G506" s="90">
        <v>14465985.060000001</v>
      </c>
      <c r="H506" s="90">
        <v>7576506.8399999999</v>
      </c>
      <c r="I506" s="90">
        <v>3789672.77</v>
      </c>
      <c r="J506" s="90">
        <v>19867200.68</v>
      </c>
      <c r="K506" s="90">
        <v>750937.24</v>
      </c>
      <c r="L506" s="90">
        <v>146054.63</v>
      </c>
      <c r="M506" s="90">
        <v>6462050.9400000004</v>
      </c>
      <c r="N506" s="90">
        <v>7368798.3099999996</v>
      </c>
      <c r="O506" s="90">
        <v>35951050.990000002</v>
      </c>
      <c r="P506" s="90">
        <v>38090248.439999998</v>
      </c>
      <c r="Q506" s="90">
        <v>1235743.08</v>
      </c>
      <c r="R506" s="90">
        <v>43.84</v>
      </c>
      <c r="S506" s="90">
        <v>-0.04</v>
      </c>
      <c r="T506">
        <v>0.24</v>
      </c>
      <c r="U506">
        <v>0</v>
      </c>
      <c r="V506">
        <v>0</v>
      </c>
      <c r="W506">
        <v>0</v>
      </c>
      <c r="X506">
        <v>0</v>
      </c>
      <c r="Y506" s="90">
        <v>0</v>
      </c>
      <c r="Z506">
        <v>0</v>
      </c>
    </row>
    <row r="507" spans="1:26" ht="12.75" customHeight="1" x14ac:dyDescent="0.25">
      <c r="B507" s="89"/>
      <c r="C507" s="89"/>
      <c r="E507" t="s">
        <v>72</v>
      </c>
      <c r="F507" s="90">
        <v>225325086.63999999</v>
      </c>
      <c r="G507" s="90">
        <v>32280074.969999999</v>
      </c>
      <c r="H507" s="90">
        <v>18033624.829999998</v>
      </c>
      <c r="I507" s="90">
        <v>10242953.199999999</v>
      </c>
      <c r="J507" s="90">
        <v>24927907.390000001</v>
      </c>
      <c r="K507" s="90">
        <v>611466.27</v>
      </c>
      <c r="L507" s="90">
        <v>523000</v>
      </c>
      <c r="M507" s="90">
        <v>5328219.47</v>
      </c>
      <c r="N507" s="90">
        <v>7544034.5700000003</v>
      </c>
      <c r="O507" s="90">
        <v>39147230.219999999</v>
      </c>
      <c r="P507" s="90">
        <v>85688215.909999996</v>
      </c>
      <c r="Q507" s="90">
        <v>998385.79</v>
      </c>
      <c r="R507" s="90">
        <v>-25.98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90">
        <v>0</v>
      </c>
      <c r="Z507">
        <v>0</v>
      </c>
    </row>
    <row r="508" spans="1:26" ht="12.75" customHeight="1" x14ac:dyDescent="0.25">
      <c r="A508" s="89"/>
      <c r="B508" s="89"/>
      <c r="E508" t="s">
        <v>81</v>
      </c>
      <c r="F508" s="90">
        <v>2618329.0099999998</v>
      </c>
      <c r="G508" s="90">
        <v>487188.88</v>
      </c>
      <c r="H508" s="90">
        <v>271849.21000000002</v>
      </c>
      <c r="I508" s="90">
        <v>157080.72</v>
      </c>
      <c r="J508" s="90">
        <v>137850.53</v>
      </c>
      <c r="K508" s="90">
        <v>3387.41</v>
      </c>
      <c r="L508" s="90">
        <v>1708.12</v>
      </c>
      <c r="M508" s="90">
        <v>29672.42</v>
      </c>
      <c r="N508" s="90">
        <v>41675.72</v>
      </c>
      <c r="O508" s="90">
        <v>181009.44</v>
      </c>
      <c r="P508" s="90">
        <v>1301375.06</v>
      </c>
      <c r="Q508" s="90">
        <v>5531.69</v>
      </c>
      <c r="R508" s="90">
        <v>-0.19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90">
        <v>0</v>
      </c>
      <c r="Z508">
        <v>0</v>
      </c>
    </row>
    <row r="509" spans="1:26" ht="12.75" customHeight="1" x14ac:dyDescent="0.25">
      <c r="A509" s="89"/>
      <c r="B509" s="89"/>
      <c r="D509" t="s">
        <v>87</v>
      </c>
      <c r="E509" t="s">
        <v>70</v>
      </c>
      <c r="F509" s="371">
        <v>227943415.65000001</v>
      </c>
      <c r="G509" s="90">
        <v>32767263.850000001</v>
      </c>
      <c r="H509" s="90">
        <v>18305474.039999999</v>
      </c>
      <c r="I509" s="90">
        <v>10400033.92</v>
      </c>
      <c r="J509" s="90">
        <v>25065757.920000002</v>
      </c>
      <c r="K509" s="90">
        <v>614853.68000000005</v>
      </c>
      <c r="L509" s="90">
        <v>524708.12</v>
      </c>
      <c r="M509" s="90">
        <v>5357891.8899999997</v>
      </c>
      <c r="N509" s="90">
        <v>7585710.29</v>
      </c>
      <c r="O509" s="90">
        <v>39328239.659999996</v>
      </c>
      <c r="P509" s="90">
        <v>86989590.969999999</v>
      </c>
      <c r="Q509" s="90">
        <v>1003917.48</v>
      </c>
      <c r="R509" s="90">
        <v>-26.17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90">
        <v>0</v>
      </c>
      <c r="Z509">
        <v>0</v>
      </c>
    </row>
    <row r="510" spans="1:26" s="94" customFormat="1" ht="12.75" customHeight="1" x14ac:dyDescent="0.25">
      <c r="C510" s="101" t="s">
        <v>119</v>
      </c>
      <c r="D510" s="101" t="s">
        <v>70</v>
      </c>
      <c r="F510" s="93">
        <v>445264511.25</v>
      </c>
      <c r="G510" s="93">
        <v>51970239.020000003</v>
      </c>
      <c r="H510" s="93">
        <v>28536895.199999999</v>
      </c>
      <c r="I510" s="93">
        <v>15601916.84</v>
      </c>
      <c r="J510" s="93">
        <v>63846226.630000003</v>
      </c>
      <c r="K510" s="93">
        <v>1834382.34</v>
      </c>
      <c r="L510" s="93">
        <v>670762.75</v>
      </c>
      <c r="M510" s="93">
        <v>15939781.939999999</v>
      </c>
      <c r="N510" s="93">
        <v>20774942.16</v>
      </c>
      <c r="O510" s="93">
        <v>105443486.72</v>
      </c>
      <c r="P510" s="93">
        <v>137631857.28</v>
      </c>
      <c r="Q510" s="93">
        <v>3013700</v>
      </c>
      <c r="R510" s="93">
        <v>320.17</v>
      </c>
      <c r="S510" s="93">
        <v>-0.04</v>
      </c>
      <c r="T510" s="94">
        <v>0.24</v>
      </c>
      <c r="U510" s="94">
        <v>0</v>
      </c>
      <c r="V510" s="94">
        <v>0</v>
      </c>
      <c r="W510" s="94">
        <v>0</v>
      </c>
      <c r="X510" s="94">
        <v>0</v>
      </c>
      <c r="Y510" s="93">
        <v>0</v>
      </c>
      <c r="Z510" s="94">
        <v>0</v>
      </c>
    </row>
    <row r="511" spans="1:26" s="226" customFormat="1" ht="12.75" customHeight="1" x14ac:dyDescent="0.25">
      <c r="B511" s="98" t="s">
        <v>112</v>
      </c>
      <c r="C511" s="98" t="s">
        <v>70</v>
      </c>
      <c r="F511" s="100">
        <v>10776632651.209999</v>
      </c>
      <c r="G511" s="100">
        <v>604672443.24000001</v>
      </c>
      <c r="H511" s="100">
        <v>335176510.64999998</v>
      </c>
      <c r="I511" s="100">
        <v>178723414.93000001</v>
      </c>
      <c r="J511" s="100">
        <v>2396191019.73</v>
      </c>
      <c r="K511" s="100">
        <v>89652712.909999996</v>
      </c>
      <c r="L511" s="100">
        <v>8643135.5800000001</v>
      </c>
      <c r="M511" s="100">
        <v>785816460.85000002</v>
      </c>
      <c r="N511" s="100">
        <v>749926797.75</v>
      </c>
      <c r="O511" s="100">
        <v>3880555541.46</v>
      </c>
      <c r="P511" s="100">
        <v>1600714206.5</v>
      </c>
      <c r="Q511" s="100">
        <v>146528275.83000001</v>
      </c>
      <c r="R511" s="100">
        <v>31942.35</v>
      </c>
      <c r="S511" s="100">
        <v>10.220000000000001</v>
      </c>
      <c r="T511" s="226">
        <v>179.21</v>
      </c>
      <c r="U511" s="226">
        <v>0</v>
      </c>
      <c r="V511" s="226">
        <v>0</v>
      </c>
      <c r="W511" s="226">
        <v>0</v>
      </c>
      <c r="X511" s="226">
        <v>0</v>
      </c>
      <c r="Y511" s="100">
        <v>0</v>
      </c>
      <c r="Z511" s="226">
        <v>0</v>
      </c>
    </row>
    <row r="512" spans="1:26" ht="12" customHeight="1" x14ac:dyDescent="0.25">
      <c r="A512" s="89" t="s">
        <v>78</v>
      </c>
      <c r="B512" s="89" t="s">
        <v>70</v>
      </c>
      <c r="F512" s="371">
        <v>10799664233.549999</v>
      </c>
      <c r="G512" s="90">
        <v>605951200.88</v>
      </c>
      <c r="H512" s="90">
        <v>335896309.07999998</v>
      </c>
      <c r="I512" s="90">
        <v>179109065.50999999</v>
      </c>
      <c r="J512" s="90">
        <v>2401372384.8899999</v>
      </c>
      <c r="K512" s="90">
        <v>89808238.989999995</v>
      </c>
      <c r="L512" s="90">
        <v>8643135.5800000001</v>
      </c>
      <c r="M512" s="90">
        <v>787167753.14999998</v>
      </c>
      <c r="N512" s="90">
        <v>751596346.35000002</v>
      </c>
      <c r="O512" s="90">
        <v>3889172985.3299999</v>
      </c>
      <c r="P512" s="90">
        <v>1604131237.4100001</v>
      </c>
      <c r="Q512" s="90">
        <v>146783453.65000001</v>
      </c>
      <c r="R512" s="90">
        <v>31933.3</v>
      </c>
      <c r="S512" s="90">
        <v>10.220000000000001</v>
      </c>
      <c r="T512">
        <v>179.21</v>
      </c>
      <c r="U512">
        <v>0</v>
      </c>
      <c r="V512">
        <v>0</v>
      </c>
      <c r="W512">
        <v>0</v>
      </c>
      <c r="X512">
        <v>0</v>
      </c>
      <c r="Y512" s="90">
        <v>0</v>
      </c>
      <c r="Z512">
        <v>0</v>
      </c>
    </row>
    <row r="513" spans="2:26" ht="12.75" customHeight="1" x14ac:dyDescent="0.25">
      <c r="B513" s="89"/>
      <c r="C513" s="89"/>
      <c r="E513" t="s">
        <v>73</v>
      </c>
      <c r="F513" s="90">
        <v>-1560876.97</v>
      </c>
      <c r="G513" s="90">
        <v>53550.42</v>
      </c>
      <c r="H513" s="90">
        <v>32933.96</v>
      </c>
      <c r="I513" s="90">
        <v>16175.09</v>
      </c>
      <c r="J513" s="90">
        <v>-562935.19999999995</v>
      </c>
      <c r="K513" s="90">
        <v>-14226.03</v>
      </c>
      <c r="L513" s="90">
        <v>0</v>
      </c>
      <c r="M513" s="90">
        <v>-124687.29</v>
      </c>
      <c r="N513" s="90">
        <v>-176501.79</v>
      </c>
      <c r="O513" s="90">
        <v>-906716.15</v>
      </c>
      <c r="P513" s="90">
        <v>144859.4</v>
      </c>
      <c r="Q513" s="90">
        <v>-23329.38</v>
      </c>
      <c r="R513" s="90">
        <v>0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>
        <v>0</v>
      </c>
      <c r="Y513">
        <v>0</v>
      </c>
      <c r="Z513">
        <v>0</v>
      </c>
    </row>
    <row r="514" spans="2:26" ht="12.75" customHeight="1" x14ac:dyDescent="0.25">
      <c r="B514" s="89"/>
      <c r="C514" s="89"/>
      <c r="D514" t="s">
        <v>156</v>
      </c>
      <c r="E514" t="s">
        <v>70</v>
      </c>
      <c r="F514" s="90">
        <v>-1560876.97</v>
      </c>
      <c r="G514" s="90">
        <v>53550.42</v>
      </c>
      <c r="H514" s="90">
        <v>32933.96</v>
      </c>
      <c r="I514" s="90">
        <v>16175.09</v>
      </c>
      <c r="J514" s="90">
        <v>-562935.19999999995</v>
      </c>
      <c r="K514" s="90">
        <v>-14226.03</v>
      </c>
      <c r="L514" s="90">
        <v>0</v>
      </c>
      <c r="M514" s="90">
        <v>-124687.29</v>
      </c>
      <c r="N514" s="90">
        <v>-176501.79</v>
      </c>
      <c r="O514" s="90">
        <v>-906716.15</v>
      </c>
      <c r="P514" s="90">
        <v>144859.4</v>
      </c>
      <c r="Q514" s="90">
        <v>-23329.38</v>
      </c>
      <c r="R514" s="90">
        <v>0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>
        <v>0</v>
      </c>
      <c r="Y514">
        <v>0</v>
      </c>
      <c r="Z514">
        <v>0</v>
      </c>
    </row>
    <row r="515" spans="2:26" s="656" customFormat="1" ht="12.75" customHeight="1" x14ac:dyDescent="0.25">
      <c r="C515" s="656" t="s">
        <v>155</v>
      </c>
      <c r="D515" s="657" t="s">
        <v>70</v>
      </c>
      <c r="E515" s="657"/>
      <c r="F515" s="658">
        <v>-1560876.97</v>
      </c>
      <c r="G515" s="658">
        <v>53550.42</v>
      </c>
      <c r="H515" s="658">
        <v>32933.96</v>
      </c>
      <c r="I515" s="658">
        <v>16175.09</v>
      </c>
      <c r="J515" s="658">
        <v>-562935.19999999995</v>
      </c>
      <c r="K515" s="658">
        <v>-14226.03</v>
      </c>
      <c r="L515" s="658">
        <v>0</v>
      </c>
      <c r="M515" s="658">
        <v>-124687.29</v>
      </c>
      <c r="N515" s="658">
        <v>-176501.79</v>
      </c>
      <c r="O515" s="658">
        <v>-906716.15</v>
      </c>
      <c r="P515" s="658">
        <v>144859.4</v>
      </c>
      <c r="Q515" s="658">
        <v>-23329.38</v>
      </c>
      <c r="R515" s="658">
        <v>0</v>
      </c>
      <c r="S515" s="658">
        <v>0</v>
      </c>
      <c r="T515" s="658">
        <v>0</v>
      </c>
      <c r="U515" s="658">
        <v>0</v>
      </c>
      <c r="V515" s="658">
        <v>0</v>
      </c>
      <c r="W515" s="658">
        <v>0</v>
      </c>
      <c r="X515" s="656">
        <v>0</v>
      </c>
      <c r="Y515" s="656">
        <v>0</v>
      </c>
      <c r="Z515" s="656">
        <v>0</v>
      </c>
    </row>
    <row r="516" spans="2:26" ht="12.75" customHeight="1" x14ac:dyDescent="0.25">
      <c r="E516" s="89" t="s">
        <v>73</v>
      </c>
      <c r="F516" s="90">
        <v>-47234.67</v>
      </c>
      <c r="G516" s="90">
        <v>-1088.25</v>
      </c>
      <c r="H516" s="90">
        <v>-614.85</v>
      </c>
      <c r="I516" s="90">
        <v>-324.42</v>
      </c>
      <c r="J516" s="90">
        <v>-8085.25</v>
      </c>
      <c r="K516" s="90">
        <v>-505.96</v>
      </c>
      <c r="L516" s="90">
        <v>0</v>
      </c>
      <c r="M516" s="90">
        <v>-4438.2299999999996</v>
      </c>
      <c r="N516" s="90">
        <v>-4643.5200000000004</v>
      </c>
      <c r="O516" s="90">
        <v>-23810.720000000001</v>
      </c>
      <c r="P516" s="90">
        <v>-2897.96</v>
      </c>
      <c r="Q516" s="90">
        <v>-825.51</v>
      </c>
      <c r="R516" s="90">
        <v>0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90">
        <v>0</v>
      </c>
      <c r="Z516">
        <v>0</v>
      </c>
    </row>
    <row r="517" spans="2:26" ht="12.75" customHeight="1" x14ac:dyDescent="0.25">
      <c r="D517" t="s">
        <v>115</v>
      </c>
      <c r="E517" s="89" t="s">
        <v>70</v>
      </c>
      <c r="F517" s="371">
        <v>-47234.67</v>
      </c>
      <c r="G517" s="90">
        <v>-1088.25</v>
      </c>
      <c r="H517" s="90">
        <v>-614.85</v>
      </c>
      <c r="I517" s="90">
        <v>-324.42</v>
      </c>
      <c r="J517" s="90">
        <v>-8085.25</v>
      </c>
      <c r="K517" s="90">
        <v>-505.96</v>
      </c>
      <c r="L517" s="90">
        <v>0</v>
      </c>
      <c r="M517" s="90">
        <v>-4438.2299999999996</v>
      </c>
      <c r="N517" s="90">
        <v>-4643.5200000000004</v>
      </c>
      <c r="O517" s="90">
        <v>-23810.720000000001</v>
      </c>
      <c r="P517" s="90">
        <v>-2897.96</v>
      </c>
      <c r="Q517" s="90">
        <v>-825.51</v>
      </c>
      <c r="R517" s="90">
        <v>0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90">
        <v>0</v>
      </c>
      <c r="Z517">
        <v>0</v>
      </c>
    </row>
    <row r="518" spans="2:26" ht="12.75" customHeight="1" x14ac:dyDescent="0.25">
      <c r="E518" s="89" t="s">
        <v>73</v>
      </c>
      <c r="F518" s="371">
        <v>0</v>
      </c>
      <c r="G518" s="90">
        <v>0</v>
      </c>
      <c r="H518" s="90">
        <v>0</v>
      </c>
      <c r="I518" s="90">
        <v>0</v>
      </c>
      <c r="J518" s="90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0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90">
        <v>0</v>
      </c>
      <c r="Z518">
        <v>0</v>
      </c>
    </row>
    <row r="519" spans="2:26" ht="12.75" customHeight="1" x14ac:dyDescent="0.25">
      <c r="D519" s="772">
        <v>2</v>
      </c>
      <c r="E519" s="89" t="s">
        <v>70</v>
      </c>
      <c r="F519" s="371">
        <v>0</v>
      </c>
      <c r="G519" s="90">
        <v>0</v>
      </c>
      <c r="H519" s="90">
        <v>0</v>
      </c>
      <c r="I519" s="90">
        <v>0</v>
      </c>
      <c r="J519" s="90">
        <v>0</v>
      </c>
      <c r="K519" s="90">
        <v>0</v>
      </c>
      <c r="L519" s="90">
        <v>0</v>
      </c>
      <c r="M519" s="90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0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90">
        <v>0</v>
      </c>
      <c r="Z519">
        <v>0</v>
      </c>
    </row>
    <row r="520" spans="2:26" ht="12.75" customHeight="1" x14ac:dyDescent="0.25">
      <c r="E520" s="89" t="s">
        <v>73</v>
      </c>
      <c r="F520" s="371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90">
        <v>0</v>
      </c>
      <c r="Z520">
        <v>0</v>
      </c>
    </row>
    <row r="521" spans="2:26" ht="12.75" customHeight="1" x14ac:dyDescent="0.25">
      <c r="D521" t="s">
        <v>118</v>
      </c>
      <c r="E521" s="89" t="s">
        <v>70</v>
      </c>
      <c r="F521" s="371">
        <v>0</v>
      </c>
      <c r="G521" s="90">
        <v>0</v>
      </c>
      <c r="H521" s="90">
        <v>0</v>
      </c>
      <c r="I521" s="90">
        <v>0</v>
      </c>
      <c r="J521" s="90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0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90">
        <v>0</v>
      </c>
      <c r="Z521">
        <v>0</v>
      </c>
    </row>
    <row r="522" spans="2:26" s="224" customFormat="1" ht="12.75" customHeight="1" x14ac:dyDescent="0.25">
      <c r="C522" s="223" t="s">
        <v>120</v>
      </c>
      <c r="D522" s="223" t="s">
        <v>70</v>
      </c>
      <c r="F522" s="225">
        <v>-47234.67</v>
      </c>
      <c r="G522" s="225">
        <v>-1088.25</v>
      </c>
      <c r="H522" s="225">
        <v>-614.85</v>
      </c>
      <c r="I522" s="225">
        <v>-324.42</v>
      </c>
      <c r="J522" s="225">
        <v>-8085.25</v>
      </c>
      <c r="K522" s="225">
        <v>-505.96</v>
      </c>
      <c r="L522" s="225">
        <v>0</v>
      </c>
      <c r="M522" s="225">
        <v>-4438.2299999999996</v>
      </c>
      <c r="N522" s="225">
        <v>-4643.5200000000004</v>
      </c>
      <c r="O522" s="225">
        <v>-23810.720000000001</v>
      </c>
      <c r="P522" s="225">
        <v>-2897.96</v>
      </c>
      <c r="Q522" s="225">
        <v>-825.51</v>
      </c>
      <c r="R522" s="225">
        <v>0</v>
      </c>
      <c r="S522" s="225">
        <v>0</v>
      </c>
      <c r="T522" s="224">
        <v>0</v>
      </c>
      <c r="U522" s="224">
        <v>0</v>
      </c>
      <c r="V522" s="224">
        <v>0</v>
      </c>
      <c r="W522" s="224">
        <v>0</v>
      </c>
      <c r="X522" s="224">
        <v>0</v>
      </c>
      <c r="Y522" s="225">
        <v>0</v>
      </c>
      <c r="Z522" s="224">
        <v>0</v>
      </c>
    </row>
    <row r="523" spans="2:26" ht="12.75" customHeight="1" x14ac:dyDescent="0.25">
      <c r="D523" s="89"/>
      <c r="E523" s="89" t="s">
        <v>73</v>
      </c>
      <c r="F523" s="371">
        <v>37555.14</v>
      </c>
      <c r="G523" s="90">
        <v>4039.08</v>
      </c>
      <c r="H523" s="90">
        <v>2258.1</v>
      </c>
      <c r="I523" s="90">
        <v>1196.98</v>
      </c>
      <c r="J523" s="90">
        <v>6201.71</v>
      </c>
      <c r="K523" s="90">
        <v>205</v>
      </c>
      <c r="L523" s="90">
        <v>0</v>
      </c>
      <c r="M523" s="90">
        <v>1798.22</v>
      </c>
      <c r="N523" s="90">
        <v>1765.23</v>
      </c>
      <c r="O523" s="90">
        <v>9062.01</v>
      </c>
      <c r="P523" s="90">
        <v>10694.35</v>
      </c>
      <c r="Q523" s="90">
        <v>334.46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2:26" ht="12.75" customHeight="1" x14ac:dyDescent="0.25">
      <c r="D524" s="89" t="s">
        <v>82</v>
      </c>
      <c r="E524" s="89" t="s">
        <v>70</v>
      </c>
      <c r="F524" s="371">
        <v>37555.14</v>
      </c>
      <c r="G524" s="90">
        <v>4039.08</v>
      </c>
      <c r="H524" s="90">
        <v>2258.1</v>
      </c>
      <c r="I524" s="90">
        <v>1196.98</v>
      </c>
      <c r="J524" s="90">
        <v>6201.71</v>
      </c>
      <c r="K524" s="90">
        <v>205</v>
      </c>
      <c r="L524" s="90">
        <v>0</v>
      </c>
      <c r="M524" s="90">
        <v>1798.22</v>
      </c>
      <c r="N524" s="90">
        <v>1765.23</v>
      </c>
      <c r="O524" s="90">
        <v>9062.01</v>
      </c>
      <c r="P524" s="90">
        <v>10694.35</v>
      </c>
      <c r="Q524" s="90">
        <v>334.46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2:26" ht="12.75" customHeight="1" x14ac:dyDescent="0.25">
      <c r="D525" s="89"/>
      <c r="E525" s="89" t="s">
        <v>73</v>
      </c>
      <c r="F525" s="371">
        <v>96151.16</v>
      </c>
      <c r="G525" s="90">
        <v>6725.46</v>
      </c>
      <c r="H525" s="90">
        <v>3475.84</v>
      </c>
      <c r="I525" s="90">
        <v>1916.48</v>
      </c>
      <c r="J525" s="90">
        <v>21986.42</v>
      </c>
      <c r="K525" s="90">
        <v>512.83000000000004</v>
      </c>
      <c r="L525" s="90">
        <v>0</v>
      </c>
      <c r="M525" s="90">
        <v>4498.28</v>
      </c>
      <c r="N525" s="90">
        <v>6333.74</v>
      </c>
      <c r="O525" s="90">
        <v>31922.75</v>
      </c>
      <c r="P525" s="90">
        <v>17942.669999999998</v>
      </c>
      <c r="Q525" s="90">
        <v>836.69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2:26" ht="12.75" customHeight="1" x14ac:dyDescent="0.25">
      <c r="D526" s="89" t="s">
        <v>86</v>
      </c>
      <c r="E526" s="89" t="s">
        <v>70</v>
      </c>
      <c r="F526" s="371">
        <v>96151.16</v>
      </c>
      <c r="G526" s="90">
        <v>6725.46</v>
      </c>
      <c r="H526" s="90">
        <v>3475.84</v>
      </c>
      <c r="I526" s="90">
        <v>1916.48</v>
      </c>
      <c r="J526" s="90">
        <v>21986.42</v>
      </c>
      <c r="K526" s="90">
        <v>512.83000000000004</v>
      </c>
      <c r="L526" s="90">
        <v>0</v>
      </c>
      <c r="M526" s="90">
        <v>4498.28</v>
      </c>
      <c r="N526" s="90">
        <v>6333.74</v>
      </c>
      <c r="O526" s="90">
        <v>31922.75</v>
      </c>
      <c r="P526" s="90">
        <v>17942.669999999998</v>
      </c>
      <c r="Q526" s="90">
        <v>836.69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2:26" x14ac:dyDescent="0.25">
      <c r="E527" t="s">
        <v>73</v>
      </c>
      <c r="F527" s="90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90">
        <v>0</v>
      </c>
    </row>
    <row r="528" spans="2:26" x14ac:dyDescent="0.25">
      <c r="D528" t="s">
        <v>87</v>
      </c>
      <c r="E528" t="s">
        <v>70</v>
      </c>
      <c r="F528" s="90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90">
        <v>0</v>
      </c>
    </row>
    <row r="529" spans="2:26" s="94" customFormat="1" ht="12.75" customHeight="1" x14ac:dyDescent="0.25">
      <c r="C529" s="94" t="s">
        <v>119</v>
      </c>
      <c r="D529" s="94" t="s">
        <v>70</v>
      </c>
      <c r="E529" s="101"/>
      <c r="F529" s="93">
        <v>133706.29999999999</v>
      </c>
      <c r="G529" s="93">
        <v>10764.54</v>
      </c>
      <c r="H529" s="93">
        <v>5733.94</v>
      </c>
      <c r="I529" s="93">
        <v>3113.46</v>
      </c>
      <c r="J529" s="93">
        <v>28188.13</v>
      </c>
      <c r="K529" s="93">
        <v>717.83</v>
      </c>
      <c r="L529" s="93">
        <v>0</v>
      </c>
      <c r="M529" s="93">
        <v>6296.5</v>
      </c>
      <c r="N529" s="93">
        <v>8098.97</v>
      </c>
      <c r="O529" s="93">
        <v>40984.76</v>
      </c>
      <c r="P529" s="93">
        <v>28637.02</v>
      </c>
      <c r="Q529" s="93">
        <v>1171.1500000000001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0</v>
      </c>
      <c r="X529" s="94">
        <v>0</v>
      </c>
      <c r="Y529" s="94">
        <v>0</v>
      </c>
      <c r="Z529" s="94">
        <v>0</v>
      </c>
    </row>
    <row r="530" spans="2:26" s="378" customFormat="1" ht="12.75" customHeight="1" x14ac:dyDescent="0.25">
      <c r="B530" s="378" t="s">
        <v>122</v>
      </c>
      <c r="C530" s="378" t="s">
        <v>70</v>
      </c>
      <c r="E530" s="376"/>
      <c r="F530" s="377">
        <v>-1474405.34</v>
      </c>
      <c r="G530" s="377">
        <v>63226.71</v>
      </c>
      <c r="H530" s="377">
        <v>38053.050000000003</v>
      </c>
      <c r="I530" s="377">
        <v>18964.13</v>
      </c>
      <c r="J530" s="377">
        <v>-542832.31999999995</v>
      </c>
      <c r="K530" s="377">
        <v>-14014.16</v>
      </c>
      <c r="L530" s="377">
        <v>0</v>
      </c>
      <c r="M530" s="377">
        <v>-122829.02</v>
      </c>
      <c r="N530" s="377">
        <v>-173046.34</v>
      </c>
      <c r="O530" s="377">
        <v>-889542.11</v>
      </c>
      <c r="P530" s="377">
        <v>170598.46</v>
      </c>
      <c r="Q530" s="377">
        <v>-22983.74</v>
      </c>
      <c r="R530" s="377">
        <v>0</v>
      </c>
      <c r="S530" s="377">
        <v>0</v>
      </c>
      <c r="T530" s="378">
        <v>0</v>
      </c>
      <c r="U530" s="378">
        <v>0</v>
      </c>
      <c r="V530" s="378">
        <v>0</v>
      </c>
      <c r="W530" s="378">
        <v>0</v>
      </c>
      <c r="X530" s="378">
        <v>0</v>
      </c>
      <c r="Y530" s="377">
        <v>0</v>
      </c>
      <c r="Z530" s="378">
        <v>0</v>
      </c>
    </row>
    <row r="531" spans="2:26" ht="12.75" customHeight="1" x14ac:dyDescent="0.25">
      <c r="E531" s="89" t="s">
        <v>73</v>
      </c>
      <c r="F531" s="90">
        <v>-440994165.67000002</v>
      </c>
      <c r="G531" s="90">
        <v>45083745.57</v>
      </c>
      <c r="H531" s="90">
        <v>24726150.07</v>
      </c>
      <c r="I531" s="90">
        <v>13138151.800000001</v>
      </c>
      <c r="J531" s="90">
        <v>-190606036.38</v>
      </c>
      <c r="K531" s="90">
        <v>-7297920.0800000001</v>
      </c>
      <c r="L531" s="90">
        <v>0</v>
      </c>
      <c r="M531" s="90">
        <v>-64042151.810000002</v>
      </c>
      <c r="N531" s="90">
        <v>-59277978.759999998</v>
      </c>
      <c r="O531" s="90">
        <v>-310255229.80000001</v>
      </c>
      <c r="P531" s="90">
        <v>119446638.11</v>
      </c>
      <c r="Q531" s="90">
        <v>-11909534.390000001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90">
        <v>0</v>
      </c>
      <c r="Z531">
        <v>0</v>
      </c>
    </row>
    <row r="532" spans="2:26" ht="12.75" customHeight="1" x14ac:dyDescent="0.25">
      <c r="D532" s="89" t="s">
        <v>156</v>
      </c>
      <c r="E532" s="89" t="s">
        <v>70</v>
      </c>
      <c r="F532" s="90">
        <v>-440994165.67000002</v>
      </c>
      <c r="G532" s="90">
        <v>45083745.57</v>
      </c>
      <c r="H532" s="90">
        <v>24726150.07</v>
      </c>
      <c r="I532" s="90">
        <v>13138151.800000001</v>
      </c>
      <c r="J532" s="90">
        <v>-190606036.38</v>
      </c>
      <c r="K532" s="90">
        <v>-7297920.0800000001</v>
      </c>
      <c r="L532" s="90">
        <v>0</v>
      </c>
      <c r="M532" s="90">
        <v>-64042151.810000002</v>
      </c>
      <c r="N532" s="90">
        <v>-59277978.759999998</v>
      </c>
      <c r="O532" s="90">
        <v>-310255229.80000001</v>
      </c>
      <c r="P532" s="90">
        <v>119446638.11</v>
      </c>
      <c r="Q532" s="90">
        <v>-11909534.390000001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90">
        <v>0</v>
      </c>
      <c r="Z532">
        <v>0</v>
      </c>
    </row>
    <row r="533" spans="2:26" s="656" customFormat="1" ht="12.75" customHeight="1" x14ac:dyDescent="0.25">
      <c r="C533" s="656" t="s">
        <v>155</v>
      </c>
      <c r="D533" s="657" t="s">
        <v>70</v>
      </c>
      <c r="E533" s="657"/>
      <c r="F533" s="738">
        <v>-440994165.67000002</v>
      </c>
      <c r="G533" s="658">
        <v>45083745.57</v>
      </c>
      <c r="H533" s="658">
        <v>24726150.07</v>
      </c>
      <c r="I533" s="658">
        <v>13138151.800000001</v>
      </c>
      <c r="J533" s="658">
        <v>-190606036.38</v>
      </c>
      <c r="K533" s="658">
        <v>-7297920.0800000001</v>
      </c>
      <c r="L533" s="658">
        <v>0</v>
      </c>
      <c r="M533" s="658">
        <v>-64042151.810000002</v>
      </c>
      <c r="N533" s="658">
        <v>-59277978.759999998</v>
      </c>
      <c r="O533" s="658">
        <v>-310255229.80000001</v>
      </c>
      <c r="P533" s="658">
        <v>119446638.11</v>
      </c>
      <c r="Q533" s="658">
        <v>-11909534.390000001</v>
      </c>
      <c r="R533" s="658">
        <v>0</v>
      </c>
      <c r="S533" s="658">
        <v>0</v>
      </c>
      <c r="T533" s="656">
        <v>0</v>
      </c>
      <c r="U533" s="656">
        <v>0</v>
      </c>
      <c r="V533" s="656">
        <v>0</v>
      </c>
      <c r="W533" s="656">
        <v>0</v>
      </c>
      <c r="X533" s="656">
        <v>0</v>
      </c>
      <c r="Y533" s="658">
        <v>0</v>
      </c>
      <c r="Z533" s="656">
        <v>0</v>
      </c>
    </row>
    <row r="534" spans="2:26" ht="12.75" customHeight="1" x14ac:dyDescent="0.25">
      <c r="D534" s="89"/>
      <c r="E534" s="89" t="s">
        <v>73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90">
        <v>0</v>
      </c>
      <c r="Z534">
        <v>0</v>
      </c>
    </row>
    <row r="535" spans="2:26" ht="12.6" customHeight="1" x14ac:dyDescent="0.25">
      <c r="D535" s="89" t="s">
        <v>115</v>
      </c>
      <c r="E535" s="89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90">
        <v>0</v>
      </c>
      <c r="Z535">
        <v>0</v>
      </c>
    </row>
    <row r="536" spans="2:26" ht="12.75" customHeight="1" x14ac:dyDescent="0.25">
      <c r="E536" s="89" t="s">
        <v>73</v>
      </c>
      <c r="F536" s="90">
        <v>0</v>
      </c>
      <c r="G536" s="90">
        <v>0</v>
      </c>
      <c r="H536" s="90">
        <v>0</v>
      </c>
      <c r="I536" s="90">
        <v>0</v>
      </c>
      <c r="J536" s="90">
        <v>0</v>
      </c>
      <c r="K536" s="90">
        <v>0</v>
      </c>
      <c r="L536" s="90">
        <v>0</v>
      </c>
      <c r="M536" s="90">
        <v>0</v>
      </c>
      <c r="N536" s="90">
        <v>0</v>
      </c>
      <c r="O536" s="90">
        <v>0</v>
      </c>
      <c r="P536" s="90">
        <v>0</v>
      </c>
      <c r="Q536" s="90">
        <v>0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90">
        <v>0</v>
      </c>
      <c r="Z536">
        <v>0</v>
      </c>
    </row>
    <row r="537" spans="2:26" ht="12.75" customHeight="1" x14ac:dyDescent="0.25">
      <c r="D537" s="773">
        <v>2</v>
      </c>
      <c r="E537" s="89" t="s">
        <v>70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90">
        <v>0</v>
      </c>
      <c r="Z537">
        <v>0</v>
      </c>
    </row>
    <row r="538" spans="2:26" ht="12.75" customHeight="1" x14ac:dyDescent="0.25">
      <c r="E538" s="89" t="s">
        <v>73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90">
        <v>0</v>
      </c>
      <c r="Z538">
        <v>0</v>
      </c>
    </row>
    <row r="539" spans="2:26" ht="12.75" customHeight="1" x14ac:dyDescent="0.25">
      <c r="D539" s="89" t="s">
        <v>118</v>
      </c>
      <c r="E539" s="89" t="s">
        <v>70</v>
      </c>
      <c r="F539" s="90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90">
        <v>0</v>
      </c>
      <c r="Z539">
        <v>0</v>
      </c>
    </row>
    <row r="540" spans="2:26" s="224" customFormat="1" ht="12.75" customHeight="1" x14ac:dyDescent="0.25">
      <c r="C540" s="223" t="s">
        <v>120</v>
      </c>
      <c r="D540" s="223" t="s">
        <v>70</v>
      </c>
      <c r="F540" s="225">
        <v>0</v>
      </c>
      <c r="G540" s="225">
        <v>0</v>
      </c>
      <c r="H540" s="225">
        <v>0</v>
      </c>
      <c r="I540" s="225">
        <v>0</v>
      </c>
      <c r="J540" s="225">
        <v>0</v>
      </c>
      <c r="K540" s="225">
        <v>0</v>
      </c>
      <c r="L540" s="225">
        <v>0</v>
      </c>
      <c r="M540" s="225">
        <v>0</v>
      </c>
      <c r="N540" s="225">
        <v>0</v>
      </c>
      <c r="O540" s="225">
        <v>0</v>
      </c>
      <c r="P540" s="225">
        <v>0</v>
      </c>
      <c r="Q540" s="225">
        <v>0</v>
      </c>
      <c r="R540" s="225">
        <v>0</v>
      </c>
      <c r="S540" s="225">
        <v>0</v>
      </c>
      <c r="T540" s="224">
        <v>0</v>
      </c>
      <c r="U540" s="224">
        <v>0</v>
      </c>
      <c r="V540" s="224">
        <v>0</v>
      </c>
      <c r="W540" s="224">
        <v>0</v>
      </c>
      <c r="X540" s="224">
        <v>0</v>
      </c>
      <c r="Y540" s="225">
        <v>0</v>
      </c>
      <c r="Z540" s="224">
        <v>0</v>
      </c>
    </row>
    <row r="541" spans="2:26" ht="12.75" customHeight="1" x14ac:dyDescent="0.25">
      <c r="E541" s="89" t="s">
        <v>73</v>
      </c>
      <c r="F541" s="90">
        <v>621387.42000000004</v>
      </c>
      <c r="G541" s="90">
        <v>852609.88</v>
      </c>
      <c r="H541" s="90">
        <v>474811.81</v>
      </c>
      <c r="I541" s="90">
        <v>246061.62</v>
      </c>
      <c r="J541" s="90">
        <v>-1032983.4</v>
      </c>
      <c r="K541" s="90">
        <v>-23653.599999999999</v>
      </c>
      <c r="L541" s="90">
        <v>0</v>
      </c>
      <c r="M541" s="90">
        <v>-207515.15</v>
      </c>
      <c r="N541" s="90">
        <v>-305567</v>
      </c>
      <c r="O541" s="90">
        <v>-1602885.5</v>
      </c>
      <c r="P541" s="90">
        <v>2259043.41</v>
      </c>
      <c r="Q541" s="90">
        <v>-38534.65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90">
        <v>0</v>
      </c>
      <c r="Z541">
        <v>0</v>
      </c>
    </row>
    <row r="542" spans="2:26" ht="12.75" customHeight="1" x14ac:dyDescent="0.25">
      <c r="D542" s="89" t="s">
        <v>82</v>
      </c>
      <c r="E542" s="89" t="s">
        <v>70</v>
      </c>
      <c r="F542" s="90">
        <v>621387.42000000004</v>
      </c>
      <c r="G542" s="90">
        <v>852609.88</v>
      </c>
      <c r="H542" s="90">
        <v>474811.81</v>
      </c>
      <c r="I542" s="90">
        <v>246061.62</v>
      </c>
      <c r="J542" s="90">
        <v>-1032983.4</v>
      </c>
      <c r="K542" s="90">
        <v>-23653.599999999999</v>
      </c>
      <c r="L542" s="90">
        <v>0</v>
      </c>
      <c r="M542" s="90">
        <v>-207515.15</v>
      </c>
      <c r="N542" s="90">
        <v>-305567</v>
      </c>
      <c r="O542" s="90">
        <v>-1602885.5</v>
      </c>
      <c r="P542" s="90">
        <v>2259043.41</v>
      </c>
      <c r="Q542" s="90">
        <v>-38534.65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90">
        <v>0</v>
      </c>
      <c r="Z542">
        <v>0</v>
      </c>
    </row>
    <row r="543" spans="2:26" ht="12.75" customHeight="1" x14ac:dyDescent="0.25">
      <c r="E543" s="89" t="s">
        <v>73</v>
      </c>
      <c r="F543" s="90">
        <v>33034294.629999999</v>
      </c>
      <c r="G543" s="90">
        <v>7469715.1500000004</v>
      </c>
      <c r="H543" s="90">
        <v>4000414.05</v>
      </c>
      <c r="I543" s="90">
        <v>2027029.51</v>
      </c>
      <c r="J543" s="90">
        <v>-213628.61</v>
      </c>
      <c r="K543" s="90">
        <v>-892.04</v>
      </c>
      <c r="L543" s="90">
        <v>0</v>
      </c>
      <c r="M543" s="90">
        <v>-8871.7099999999991</v>
      </c>
      <c r="N543" s="90">
        <v>16891.87</v>
      </c>
      <c r="O543" s="90">
        <v>-15808.99</v>
      </c>
      <c r="P543" s="90">
        <v>19760866.23</v>
      </c>
      <c r="Q543" s="90">
        <v>-1420.83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90">
        <v>0</v>
      </c>
      <c r="Z543">
        <v>0</v>
      </c>
    </row>
    <row r="544" spans="2:26" ht="12.75" customHeight="1" x14ac:dyDescent="0.25">
      <c r="D544" s="89" t="s">
        <v>86</v>
      </c>
      <c r="E544" s="89" t="s">
        <v>70</v>
      </c>
      <c r="F544" s="90">
        <v>33034294.629999999</v>
      </c>
      <c r="G544" s="90">
        <v>7469715.1500000004</v>
      </c>
      <c r="H544" s="90">
        <v>4000414.05</v>
      </c>
      <c r="I544" s="90">
        <v>2027029.51</v>
      </c>
      <c r="J544" s="90">
        <v>-213628.61</v>
      </c>
      <c r="K544" s="90">
        <v>-892.04</v>
      </c>
      <c r="L544" s="90">
        <v>0</v>
      </c>
      <c r="M544" s="90">
        <v>-8871.7099999999991</v>
      </c>
      <c r="N544" s="90">
        <v>16891.87</v>
      </c>
      <c r="O544" s="90">
        <v>-15808.99</v>
      </c>
      <c r="P544" s="90">
        <v>19760866.23</v>
      </c>
      <c r="Q544" s="90">
        <v>-1420.83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ht="12.75" customHeight="1" x14ac:dyDescent="0.25">
      <c r="E545" s="89" t="s">
        <v>73</v>
      </c>
      <c r="F545" s="90">
        <v>113346962.34999999</v>
      </c>
      <c r="G545" s="90">
        <v>23417221.890000001</v>
      </c>
      <c r="H545" s="90">
        <v>13112318.439999999</v>
      </c>
      <c r="I545" s="90">
        <v>6940407.5099999998</v>
      </c>
      <c r="J545" s="90">
        <v>2390566.06</v>
      </c>
      <c r="K545" s="90">
        <v>61583.13</v>
      </c>
      <c r="L545" s="90">
        <v>0</v>
      </c>
      <c r="M545" s="90">
        <v>539287.80000000005</v>
      </c>
      <c r="N545" s="90">
        <v>727371.22</v>
      </c>
      <c r="O545" s="90">
        <v>3723280.44</v>
      </c>
      <c r="P545" s="90">
        <v>62334424.079999998</v>
      </c>
      <c r="Q545" s="90">
        <v>100501.78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90">
        <v>0</v>
      </c>
      <c r="Z545">
        <v>0</v>
      </c>
    </row>
    <row r="546" spans="1:26" ht="12.75" customHeight="1" x14ac:dyDescent="0.25">
      <c r="D546" s="89" t="s">
        <v>87</v>
      </c>
      <c r="E546" s="89" t="s">
        <v>70</v>
      </c>
      <c r="F546" s="90">
        <v>113346962.34999999</v>
      </c>
      <c r="G546" s="90">
        <v>23417221.890000001</v>
      </c>
      <c r="H546" s="90">
        <v>13112318.439999999</v>
      </c>
      <c r="I546" s="90">
        <v>6940407.5099999998</v>
      </c>
      <c r="J546" s="90">
        <v>2390566.06</v>
      </c>
      <c r="K546" s="90">
        <v>61583.13</v>
      </c>
      <c r="L546" s="90">
        <v>0</v>
      </c>
      <c r="M546" s="90">
        <v>539287.80000000005</v>
      </c>
      <c r="N546" s="90">
        <v>727371.22</v>
      </c>
      <c r="O546" s="90">
        <v>3723280.44</v>
      </c>
      <c r="P546" s="90">
        <v>62334424.079999998</v>
      </c>
      <c r="Q546" s="90">
        <v>100501.78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s="94" customFormat="1" ht="12.75" customHeight="1" x14ac:dyDescent="0.25">
      <c r="C547" s="101" t="s">
        <v>119</v>
      </c>
      <c r="D547" s="101" t="s">
        <v>70</v>
      </c>
      <c r="F547" s="93">
        <v>147002644.40000001</v>
      </c>
      <c r="G547" s="93">
        <v>31739546.920000002</v>
      </c>
      <c r="H547" s="93">
        <v>17587544.300000001</v>
      </c>
      <c r="I547" s="93">
        <v>9213498.6400000006</v>
      </c>
      <c r="J547" s="93">
        <v>1143954.05</v>
      </c>
      <c r="K547" s="93">
        <v>37037.49</v>
      </c>
      <c r="L547" s="93">
        <v>0</v>
      </c>
      <c r="M547" s="93">
        <v>322900.94</v>
      </c>
      <c r="N547" s="93">
        <v>438696.09</v>
      </c>
      <c r="O547" s="93">
        <v>2104585.9500000002</v>
      </c>
      <c r="P547" s="93">
        <v>84354333.719999999</v>
      </c>
      <c r="Q547" s="93">
        <v>60546.3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3">
        <v>0</v>
      </c>
      <c r="Z547" s="94">
        <v>0</v>
      </c>
    </row>
    <row r="548" spans="1:26" s="226" customFormat="1" ht="12.75" customHeight="1" x14ac:dyDescent="0.25">
      <c r="B548" s="98" t="s">
        <v>112</v>
      </c>
      <c r="C548" s="98" t="s">
        <v>70</v>
      </c>
      <c r="F548" s="100">
        <v>-293991521.26999998</v>
      </c>
      <c r="G548" s="100">
        <v>76823292.489999995</v>
      </c>
      <c r="H548" s="100">
        <v>42313694.369999997</v>
      </c>
      <c r="I548" s="100">
        <v>22351650.440000001</v>
      </c>
      <c r="J548" s="100">
        <v>-189462082.33000001</v>
      </c>
      <c r="K548" s="100">
        <v>-7260882.5899999999</v>
      </c>
      <c r="L548" s="100">
        <v>0</v>
      </c>
      <c r="M548" s="100">
        <v>-63719250.869999997</v>
      </c>
      <c r="N548" s="100">
        <v>-58839282.670000002</v>
      </c>
      <c r="O548" s="100">
        <v>-308150643.85000002</v>
      </c>
      <c r="P548" s="100">
        <v>203800971.83000001</v>
      </c>
      <c r="Q548" s="100">
        <v>-11848988.09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100">
        <v>0</v>
      </c>
      <c r="Z548" s="226">
        <v>0</v>
      </c>
    </row>
    <row r="549" spans="1:26" ht="12.75" customHeight="1" x14ac:dyDescent="0.25">
      <c r="A549" s="89" t="s">
        <v>79</v>
      </c>
      <c r="B549" s="89" t="s">
        <v>70</v>
      </c>
      <c r="F549" s="90">
        <v>-295465926.61000001</v>
      </c>
      <c r="G549" s="90">
        <v>76886519.200000003</v>
      </c>
      <c r="H549" s="90">
        <v>42351747.420000002</v>
      </c>
      <c r="I549" s="90">
        <v>22370614.57</v>
      </c>
      <c r="J549" s="90">
        <v>-190004914.65000001</v>
      </c>
      <c r="K549" s="90">
        <v>-7274896.75</v>
      </c>
      <c r="L549" s="90">
        <v>0</v>
      </c>
      <c r="M549" s="90">
        <v>-63842079.890000001</v>
      </c>
      <c r="N549" s="90">
        <v>-59012329.009999998</v>
      </c>
      <c r="O549" s="90">
        <v>-309040185.95999998</v>
      </c>
      <c r="P549" s="90">
        <v>203971570.28999999</v>
      </c>
      <c r="Q549" s="90">
        <v>-11871971.83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90">
        <v>0</v>
      </c>
      <c r="Z549">
        <v>0</v>
      </c>
    </row>
    <row r="550" spans="1:26" ht="12.75" customHeight="1" x14ac:dyDescent="0.25">
      <c r="A550" s="89" t="s">
        <v>70</v>
      </c>
      <c r="F550" s="90">
        <v>10504168126</v>
      </c>
      <c r="G550" s="90">
        <v>682835274.63</v>
      </c>
      <c r="H550" s="90">
        <v>378247017.58999997</v>
      </c>
      <c r="I550" s="90">
        <v>201479226.38999999</v>
      </c>
      <c r="J550" s="90">
        <v>2211361890.6199999</v>
      </c>
      <c r="K550" s="90">
        <v>82533115.019999996</v>
      </c>
      <c r="L550" s="90">
        <v>8643135.5800000001</v>
      </c>
      <c r="M550" s="90">
        <v>723323680.08000004</v>
      </c>
      <c r="N550" s="90">
        <v>692581482.82000005</v>
      </c>
      <c r="O550" s="90">
        <v>3580123493.0700002</v>
      </c>
      <c r="P550" s="90">
        <v>1808096576.4000001</v>
      </c>
      <c r="Q550" s="90">
        <v>134911111.06999999</v>
      </c>
      <c r="R550" s="90">
        <v>31933.3</v>
      </c>
      <c r="S550" s="90">
        <v>10.220000000000001</v>
      </c>
      <c r="T550">
        <v>179.21</v>
      </c>
      <c r="U550">
        <v>0</v>
      </c>
      <c r="V550">
        <v>0</v>
      </c>
      <c r="W550">
        <v>0</v>
      </c>
      <c r="X550">
        <v>0</v>
      </c>
      <c r="Y550" s="90">
        <v>0</v>
      </c>
      <c r="Z550">
        <v>0</v>
      </c>
    </row>
    <row r="551" spans="1:26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6" ht="12.75" hidden="1" customHeight="1" x14ac:dyDescent="0.25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26" ht="12.75" hidden="1" customHeight="1" x14ac:dyDescent="0.25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26" ht="12.75" hidden="1" customHeight="1" x14ac:dyDescent="0.25">
      <c r="A554" s="89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26" ht="12.75" hidden="1" customHeight="1" x14ac:dyDescent="0.25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26" ht="12.75" hidden="1" customHeight="1" x14ac:dyDescent="0.25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26" ht="12.75" hidden="1" customHeight="1" x14ac:dyDescent="0.25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26" ht="12.75" hidden="1" customHeight="1" x14ac:dyDescent="0.25">
      <c r="A558" s="89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26" ht="12.75" hidden="1" customHeight="1" x14ac:dyDescent="0.25">
      <c r="A559" s="89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26" ht="12.75" hidden="1" customHeight="1" x14ac:dyDescent="0.25">
      <c r="A560" s="89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hidden="1" customHeight="1" x14ac:dyDescent="0.25">
      <c r="A561" s="89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hidden="1" customHeight="1" x14ac:dyDescent="0.25">
      <c r="A562" s="89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hidden="1" customHeight="1" x14ac:dyDescent="0.25">
      <c r="A563" s="89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hidden="1" customHeight="1" x14ac:dyDescent="0.25">
      <c r="A564" s="89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hidden="1" customHeight="1" x14ac:dyDescent="0.25">
      <c r="A565" s="89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hidden="1" customHeight="1" x14ac:dyDescent="0.25">
      <c r="A566" s="89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5">
      <c r="A567" s="89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5">
      <c r="C568" s="777" t="s">
        <v>2</v>
      </c>
      <c r="D568" s="774" t="s">
        <v>132</v>
      </c>
      <c r="E568" s="98" t="s">
        <v>70</v>
      </c>
      <c r="F568" s="100">
        <f>F511+F548+F460-L460-L511</f>
        <v>10473967813.419998</v>
      </c>
      <c r="G568" s="100">
        <f>G511+G460</f>
        <v>604669997.78999996</v>
      </c>
      <c r="H568" s="100">
        <f t="shared" ref="H568:AO568" si="23">H511+H460</f>
        <v>335175471.73999995</v>
      </c>
      <c r="I568" s="100">
        <f t="shared" si="23"/>
        <v>178722961.24000001</v>
      </c>
      <c r="J568" s="100">
        <f t="shared" si="23"/>
        <v>2396185440.1100001</v>
      </c>
      <c r="K568" s="100">
        <f t="shared" si="23"/>
        <v>89652485.689999998</v>
      </c>
      <c r="L568" s="100">
        <f t="shared" si="23"/>
        <v>8643135.5800000001</v>
      </c>
      <c r="M568" s="100">
        <f t="shared" si="23"/>
        <v>785814467.67000008</v>
      </c>
      <c r="N568" s="100">
        <f t="shared" si="23"/>
        <v>749924263.23000002</v>
      </c>
      <c r="O568" s="100">
        <f t="shared" si="23"/>
        <v>3880546235.1599998</v>
      </c>
      <c r="P568" s="100">
        <f t="shared" si="23"/>
        <v>1600707975.2</v>
      </c>
      <c r="Q568" s="100">
        <f t="shared" si="23"/>
        <v>146527905.08000001</v>
      </c>
      <c r="R568" s="100">
        <f t="shared" si="23"/>
        <v>31942.35</v>
      </c>
      <c r="S568" s="100">
        <f t="shared" si="23"/>
        <v>10.220000000000001</v>
      </c>
      <c r="T568" s="100">
        <f t="shared" si="23"/>
        <v>179.21</v>
      </c>
      <c r="U568" s="100">
        <f t="shared" si="23"/>
        <v>0</v>
      </c>
      <c r="V568" s="100">
        <f t="shared" si="23"/>
        <v>0</v>
      </c>
      <c r="W568" s="100">
        <f t="shared" si="23"/>
        <v>0</v>
      </c>
      <c r="X568" s="100">
        <f t="shared" si="23"/>
        <v>0</v>
      </c>
      <c r="Y568" s="100">
        <f t="shared" si="23"/>
        <v>0</v>
      </c>
      <c r="Z568" s="100">
        <f t="shared" si="23"/>
        <v>0</v>
      </c>
      <c r="AA568" s="100">
        <f t="shared" si="23"/>
        <v>0</v>
      </c>
      <c r="AB568" s="100">
        <f t="shared" si="23"/>
        <v>0</v>
      </c>
      <c r="AC568" s="100">
        <f t="shared" si="23"/>
        <v>0</v>
      </c>
      <c r="AD568" s="100">
        <f t="shared" si="23"/>
        <v>0</v>
      </c>
      <c r="AE568" s="100">
        <f t="shared" si="23"/>
        <v>0</v>
      </c>
      <c r="AF568" s="100">
        <f t="shared" si="23"/>
        <v>0</v>
      </c>
      <c r="AG568" s="100">
        <f t="shared" si="23"/>
        <v>0</v>
      </c>
      <c r="AH568" s="100">
        <f t="shared" si="23"/>
        <v>0</v>
      </c>
      <c r="AI568" s="100">
        <f t="shared" si="23"/>
        <v>0</v>
      </c>
      <c r="AJ568" s="100">
        <f t="shared" si="23"/>
        <v>0</v>
      </c>
      <c r="AK568" s="100">
        <f t="shared" si="23"/>
        <v>0</v>
      </c>
      <c r="AL568" s="100">
        <f t="shared" si="23"/>
        <v>0</v>
      </c>
      <c r="AM568" s="100">
        <f t="shared" si="23"/>
        <v>0</v>
      </c>
      <c r="AN568" s="100">
        <f t="shared" si="23"/>
        <v>0</v>
      </c>
      <c r="AO568" s="100">
        <f t="shared" si="23"/>
        <v>0</v>
      </c>
    </row>
    <row r="569" spans="1:41" ht="12.75" customHeight="1" x14ac:dyDescent="0.25">
      <c r="C569" s="777"/>
      <c r="D569" s="774"/>
      <c r="E569" s="98" t="s">
        <v>73</v>
      </c>
      <c r="F569" s="100">
        <f>F548</f>
        <v>-293991521.26999998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5">
      <c r="C570" s="777"/>
      <c r="D570" s="774" t="s">
        <v>133</v>
      </c>
      <c r="E570" s="233" t="s">
        <v>70</v>
      </c>
      <c r="F570" s="234">
        <f>F530+F486-L486</f>
        <v>21557177</v>
      </c>
      <c r="G570" s="234">
        <f t="shared" ref="G570:AA570" si="24">G486</f>
        <v>1278757.6399999999</v>
      </c>
      <c r="H570" s="234">
        <f t="shared" si="24"/>
        <v>719798.43</v>
      </c>
      <c r="I570" s="234">
        <f t="shared" si="24"/>
        <v>385650.58</v>
      </c>
      <c r="J570" s="234">
        <f t="shared" si="24"/>
        <v>5181365.16</v>
      </c>
      <c r="K570" s="234">
        <f t="shared" si="24"/>
        <v>155526.07999999999</v>
      </c>
      <c r="L570" s="234">
        <f t="shared" si="24"/>
        <v>0</v>
      </c>
      <c r="M570" s="234">
        <f t="shared" si="24"/>
        <v>1351292.3</v>
      </c>
      <c r="N570" s="234">
        <f t="shared" si="24"/>
        <v>1669548.6</v>
      </c>
      <c r="O570" s="234">
        <f t="shared" si="24"/>
        <v>8617443.8699999992</v>
      </c>
      <c r="P570" s="234">
        <f t="shared" si="24"/>
        <v>3417030.91</v>
      </c>
      <c r="Q570" s="234">
        <f t="shared" si="24"/>
        <v>255177.82</v>
      </c>
      <c r="R570" s="234">
        <f t="shared" si="24"/>
        <v>-9.0500000000000007</v>
      </c>
      <c r="S570" s="234">
        <f t="shared" si="24"/>
        <v>0</v>
      </c>
      <c r="T570" s="234">
        <f t="shared" si="24"/>
        <v>0</v>
      </c>
      <c r="U570" s="234">
        <f t="shared" si="24"/>
        <v>0</v>
      </c>
      <c r="V570" s="234">
        <f t="shared" si="24"/>
        <v>0</v>
      </c>
      <c r="W570" s="234">
        <f t="shared" si="24"/>
        <v>0</v>
      </c>
      <c r="X570" s="234">
        <f t="shared" si="24"/>
        <v>0</v>
      </c>
      <c r="Y570" s="234">
        <f t="shared" si="24"/>
        <v>0</v>
      </c>
      <c r="Z570" s="234">
        <f t="shared" si="24"/>
        <v>0</v>
      </c>
      <c r="AA570" s="234">
        <f t="shared" si="24"/>
        <v>0</v>
      </c>
    </row>
    <row r="571" spans="1:41" ht="12.75" customHeight="1" x14ac:dyDescent="0.25">
      <c r="C571" s="777"/>
      <c r="D571" s="774"/>
      <c r="E571" s="233" t="s">
        <v>73</v>
      </c>
      <c r="F571" s="234">
        <f>F530</f>
        <v>-1474405.34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5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5">
      <c r="C573" s="777" t="s">
        <v>160</v>
      </c>
      <c r="D573" s="774" t="s">
        <v>132</v>
      </c>
      <c r="E573" s="223" t="s">
        <v>70</v>
      </c>
      <c r="F573" s="225">
        <f>F540+F500-L500</f>
        <v>0</v>
      </c>
      <c r="G573" s="225">
        <f t="shared" ref="G573:AO573" si="25">G500</f>
        <v>0</v>
      </c>
      <c r="H573" s="225">
        <f t="shared" si="25"/>
        <v>0</v>
      </c>
      <c r="I573" s="225">
        <f t="shared" si="25"/>
        <v>0</v>
      </c>
      <c r="J573" s="225">
        <f t="shared" si="25"/>
        <v>0</v>
      </c>
      <c r="K573" s="225">
        <f t="shared" si="25"/>
        <v>0</v>
      </c>
      <c r="L573" s="225">
        <f t="shared" si="25"/>
        <v>0</v>
      </c>
      <c r="M573" s="225">
        <f t="shared" si="25"/>
        <v>0</v>
      </c>
      <c r="N573" s="225">
        <f t="shared" si="25"/>
        <v>0</v>
      </c>
      <c r="O573" s="225">
        <f t="shared" si="25"/>
        <v>0</v>
      </c>
      <c r="P573" s="225">
        <f t="shared" si="25"/>
        <v>0</v>
      </c>
      <c r="Q573" s="225">
        <f t="shared" si="25"/>
        <v>0</v>
      </c>
      <c r="R573" s="225">
        <f t="shared" si="25"/>
        <v>0</v>
      </c>
      <c r="S573" s="225">
        <f t="shared" si="25"/>
        <v>0</v>
      </c>
      <c r="T573" s="225">
        <f t="shared" si="25"/>
        <v>0</v>
      </c>
      <c r="U573" s="225">
        <f t="shared" si="25"/>
        <v>0</v>
      </c>
      <c r="V573" s="225">
        <f t="shared" si="25"/>
        <v>0</v>
      </c>
      <c r="W573" s="225">
        <f t="shared" si="25"/>
        <v>0</v>
      </c>
      <c r="X573" s="225">
        <f t="shared" si="25"/>
        <v>0</v>
      </c>
      <c r="Y573" s="225">
        <f t="shared" si="25"/>
        <v>0</v>
      </c>
      <c r="Z573" s="225">
        <f t="shared" si="25"/>
        <v>0</v>
      </c>
      <c r="AA573" s="225">
        <f t="shared" si="25"/>
        <v>0</v>
      </c>
      <c r="AB573" s="225">
        <f t="shared" si="25"/>
        <v>0</v>
      </c>
      <c r="AC573" s="225">
        <f t="shared" si="25"/>
        <v>0</v>
      </c>
      <c r="AD573" s="225">
        <f t="shared" si="25"/>
        <v>0</v>
      </c>
      <c r="AE573" s="225">
        <f t="shared" si="25"/>
        <v>0</v>
      </c>
      <c r="AF573" s="225">
        <f t="shared" si="25"/>
        <v>0</v>
      </c>
      <c r="AG573" s="225">
        <f t="shared" si="25"/>
        <v>0</v>
      </c>
      <c r="AH573" s="225">
        <f t="shared" si="25"/>
        <v>0</v>
      </c>
      <c r="AI573" s="225">
        <f t="shared" si="25"/>
        <v>0</v>
      </c>
      <c r="AJ573" s="225">
        <f t="shared" si="25"/>
        <v>0</v>
      </c>
      <c r="AK573" s="225">
        <f t="shared" si="25"/>
        <v>0</v>
      </c>
      <c r="AL573" s="225">
        <f t="shared" si="25"/>
        <v>0</v>
      </c>
      <c r="AM573" s="225">
        <f t="shared" si="25"/>
        <v>0</v>
      </c>
      <c r="AN573" s="225">
        <f t="shared" si="25"/>
        <v>0</v>
      </c>
      <c r="AO573" s="225">
        <f t="shared" si="25"/>
        <v>0</v>
      </c>
    </row>
    <row r="574" spans="1:41" ht="12.75" customHeight="1" x14ac:dyDescent="0.25">
      <c r="C574" s="777"/>
      <c r="D574" s="774"/>
      <c r="E574" s="223" t="s">
        <v>73</v>
      </c>
      <c r="F574" s="225">
        <f>F540</f>
        <v>0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5">
      <c r="C575" s="777"/>
      <c r="D575" s="774" t="s">
        <v>133</v>
      </c>
      <c r="E575" s="227" t="s">
        <v>70</v>
      </c>
      <c r="F575" s="228">
        <f>F522+F475-L475</f>
        <v>309350</v>
      </c>
      <c r="G575" s="228">
        <f t="shared" ref="G575:Z575" si="26">G475</f>
        <v>14115.53</v>
      </c>
      <c r="H575" s="228">
        <f t="shared" si="26"/>
        <v>7860.38</v>
      </c>
      <c r="I575" s="228">
        <f t="shared" si="26"/>
        <v>4733.42</v>
      </c>
      <c r="J575" s="228">
        <f t="shared" si="26"/>
        <v>53691.78</v>
      </c>
      <c r="K575" s="228">
        <f t="shared" si="26"/>
        <v>3705.22</v>
      </c>
      <c r="L575" s="228">
        <f t="shared" si="26"/>
        <v>0</v>
      </c>
      <c r="M575" s="228">
        <f t="shared" si="26"/>
        <v>27762.35</v>
      </c>
      <c r="N575" s="228">
        <f t="shared" si="26"/>
        <v>31827.74</v>
      </c>
      <c r="O575" s="228">
        <f t="shared" si="26"/>
        <v>169721.42</v>
      </c>
      <c r="P575" s="228">
        <f t="shared" si="26"/>
        <v>37127.96</v>
      </c>
      <c r="Q575" s="228">
        <f t="shared" si="26"/>
        <v>6045.35</v>
      </c>
      <c r="R575" s="228">
        <f t="shared" si="26"/>
        <v>-6.48</v>
      </c>
      <c r="S575" s="228">
        <f t="shared" si="26"/>
        <v>0</v>
      </c>
      <c r="T575" s="228">
        <f t="shared" si="26"/>
        <v>0</v>
      </c>
      <c r="U575" s="228">
        <f t="shared" si="26"/>
        <v>0</v>
      </c>
      <c r="V575" s="228">
        <f t="shared" si="26"/>
        <v>0</v>
      </c>
      <c r="W575" s="228">
        <f t="shared" si="26"/>
        <v>0</v>
      </c>
      <c r="X575" s="228">
        <f t="shared" si="26"/>
        <v>0</v>
      </c>
      <c r="Y575" s="228">
        <f t="shared" si="26"/>
        <v>0</v>
      </c>
      <c r="Z575" s="228">
        <f t="shared" si="26"/>
        <v>0</v>
      </c>
    </row>
    <row r="576" spans="1:41" ht="12.75" customHeight="1" x14ac:dyDescent="0.25">
      <c r="C576" s="777"/>
      <c r="D576" s="774"/>
      <c r="E576" s="227" t="s">
        <v>73</v>
      </c>
      <c r="F576" s="228">
        <f>F522</f>
        <v>-47234.67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5">
      <c r="A577" s="89"/>
      <c r="C577" s="9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1:41" ht="12.75" customHeight="1" x14ac:dyDescent="0.25">
      <c r="C578" s="777" t="s">
        <v>155</v>
      </c>
      <c r="D578" s="774" t="s">
        <v>132</v>
      </c>
      <c r="E578" s="221" t="s">
        <v>70</v>
      </c>
      <c r="F578" s="222">
        <f>F533+F490+F452-L452-L490</f>
        <v>9882391541.1699982</v>
      </c>
      <c r="G578" s="222">
        <f t="shared" ref="G578:Z578" si="27">G490+G452</f>
        <v>552701389.09000003</v>
      </c>
      <c r="H578" s="222">
        <f t="shared" si="27"/>
        <v>306639269.15999997</v>
      </c>
      <c r="I578" s="222">
        <f t="shared" si="27"/>
        <v>163121346.86000001</v>
      </c>
      <c r="J578" s="222">
        <f t="shared" si="27"/>
        <v>2332342933.2199998</v>
      </c>
      <c r="K578" s="222">
        <f t="shared" si="27"/>
        <v>87818254.819999993</v>
      </c>
      <c r="L578" s="222">
        <f t="shared" si="27"/>
        <v>7972372.8300000001</v>
      </c>
      <c r="M578" s="222">
        <f t="shared" si="27"/>
        <v>769876014.52999997</v>
      </c>
      <c r="N578" s="222">
        <f t="shared" si="27"/>
        <v>729151010.75999999</v>
      </c>
      <c r="O578" s="222">
        <f t="shared" si="27"/>
        <v>3775108952.6199999</v>
      </c>
      <c r="P578" s="222">
        <f t="shared" si="27"/>
        <v>1463080272.1400001</v>
      </c>
      <c r="Q578" s="222">
        <f t="shared" si="27"/>
        <v>143514452.23000002</v>
      </c>
      <c r="R578" s="222">
        <f t="shared" si="27"/>
        <v>31622.18</v>
      </c>
      <c r="S578" s="222">
        <f t="shared" si="27"/>
        <v>10.26</v>
      </c>
      <c r="T578" s="222">
        <f t="shared" si="27"/>
        <v>178.97</v>
      </c>
      <c r="U578" s="222">
        <f t="shared" si="27"/>
        <v>0</v>
      </c>
      <c r="V578" s="222">
        <f t="shared" si="27"/>
        <v>0</v>
      </c>
      <c r="W578" s="222">
        <f t="shared" si="27"/>
        <v>0</v>
      </c>
      <c r="X578" s="222">
        <f t="shared" si="27"/>
        <v>0</v>
      </c>
      <c r="Y578" s="222">
        <f t="shared" si="27"/>
        <v>0</v>
      </c>
      <c r="Z578" s="222">
        <f t="shared" si="27"/>
        <v>0</v>
      </c>
    </row>
    <row r="579" spans="1:41" ht="12.75" customHeight="1" x14ac:dyDescent="0.25">
      <c r="C579" s="777"/>
      <c r="D579" s="774"/>
      <c r="E579" s="221" t="s">
        <v>73</v>
      </c>
      <c r="F579" s="222">
        <f>F533</f>
        <v>-440994165.67000002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5">
      <c r="C580" s="777"/>
      <c r="D580" s="774" t="s">
        <v>133</v>
      </c>
      <c r="E580" s="229" t="s">
        <v>70</v>
      </c>
      <c r="F580" s="230">
        <f>F515+F465-L465</f>
        <v>20397090</v>
      </c>
      <c r="G580" s="230">
        <f t="shared" ref="G580:Z580" si="28">G465</f>
        <v>1227244.8600000001</v>
      </c>
      <c r="H580" s="230">
        <f t="shared" si="28"/>
        <v>691386.19</v>
      </c>
      <c r="I580" s="230">
        <f t="shared" si="28"/>
        <v>369846.57</v>
      </c>
      <c r="J580" s="230">
        <f t="shared" si="28"/>
        <v>4959152.18</v>
      </c>
      <c r="K580" s="230">
        <f t="shared" si="28"/>
        <v>146012.85</v>
      </c>
      <c r="L580" s="230">
        <f t="shared" si="28"/>
        <v>0</v>
      </c>
      <c r="M580" s="230">
        <f t="shared" si="28"/>
        <v>1272582.42</v>
      </c>
      <c r="N580" s="230">
        <f t="shared" si="28"/>
        <v>1586745.82</v>
      </c>
      <c r="O580" s="230">
        <f t="shared" si="28"/>
        <v>8184557.6900000004</v>
      </c>
      <c r="P580" s="230">
        <f t="shared" si="28"/>
        <v>3280785.35</v>
      </c>
      <c r="Q580" s="230">
        <f t="shared" si="28"/>
        <v>239656.33</v>
      </c>
      <c r="R580" s="230">
        <f t="shared" si="28"/>
        <v>-3.29</v>
      </c>
      <c r="S580" s="230">
        <f t="shared" si="28"/>
        <v>0</v>
      </c>
      <c r="T580" s="230">
        <f t="shared" si="28"/>
        <v>0</v>
      </c>
      <c r="U580" s="230">
        <f t="shared" si="28"/>
        <v>0</v>
      </c>
      <c r="V580" s="230">
        <f t="shared" si="28"/>
        <v>0</v>
      </c>
      <c r="W580" s="230">
        <f t="shared" si="28"/>
        <v>0</v>
      </c>
      <c r="X580" s="230">
        <f t="shared" si="28"/>
        <v>0</v>
      </c>
      <c r="Y580" s="230">
        <f t="shared" si="28"/>
        <v>0</v>
      </c>
      <c r="Z580" s="230">
        <f t="shared" si="28"/>
        <v>0</v>
      </c>
    </row>
    <row r="581" spans="1:41" ht="12.75" customHeight="1" x14ac:dyDescent="0.25">
      <c r="C581" s="777"/>
      <c r="D581" s="774"/>
      <c r="E581" s="229" t="s">
        <v>73</v>
      </c>
      <c r="F581" s="230">
        <f>F515</f>
        <v>-1560876.97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25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5">
      <c r="C583" s="775" t="s">
        <v>326</v>
      </c>
      <c r="D583" s="774" t="s">
        <v>132</v>
      </c>
      <c r="E583" s="373" t="s">
        <v>70</v>
      </c>
      <c r="F583" s="374">
        <v>0</v>
      </c>
      <c r="G583" s="374">
        <v>0</v>
      </c>
      <c r="H583" s="374">
        <v>0</v>
      </c>
      <c r="I583" s="374">
        <v>0</v>
      </c>
      <c r="J583" s="374">
        <v>0</v>
      </c>
      <c r="K583" s="374">
        <v>0</v>
      </c>
      <c r="L583" s="374">
        <v>0</v>
      </c>
      <c r="M583" s="374">
        <v>0</v>
      </c>
      <c r="N583" s="374">
        <v>0</v>
      </c>
      <c r="O583" s="374">
        <v>0</v>
      </c>
      <c r="P583" s="374">
        <v>0</v>
      </c>
      <c r="Q583" s="374">
        <v>0</v>
      </c>
      <c r="R583" s="374">
        <v>0</v>
      </c>
      <c r="S583" s="374">
        <v>0</v>
      </c>
      <c r="T583" s="374">
        <v>0</v>
      </c>
      <c r="U583" s="374">
        <v>0</v>
      </c>
      <c r="V583" s="374">
        <v>0</v>
      </c>
      <c r="W583" s="374">
        <v>0</v>
      </c>
      <c r="X583" s="374">
        <v>0</v>
      </c>
      <c r="Y583" s="374">
        <v>0</v>
      </c>
      <c r="Z583" s="374">
        <v>0</v>
      </c>
      <c r="AA583" s="374">
        <v>0</v>
      </c>
      <c r="AB583" s="374">
        <v>0</v>
      </c>
      <c r="AC583" s="374">
        <v>0</v>
      </c>
      <c r="AD583" s="374">
        <v>0</v>
      </c>
      <c r="AE583" s="374">
        <v>0</v>
      </c>
      <c r="AF583" s="374">
        <v>0</v>
      </c>
      <c r="AG583" s="374">
        <v>0</v>
      </c>
      <c r="AH583" s="374">
        <v>0</v>
      </c>
      <c r="AI583" s="374">
        <v>0</v>
      </c>
      <c r="AJ583" s="374">
        <v>0</v>
      </c>
      <c r="AK583" s="374">
        <v>0</v>
      </c>
      <c r="AL583" s="374">
        <v>0</v>
      </c>
      <c r="AM583" s="374">
        <v>0</v>
      </c>
      <c r="AN583" s="374">
        <v>0</v>
      </c>
      <c r="AO583" s="374">
        <v>0</v>
      </c>
    </row>
    <row r="584" spans="1:41" ht="12.75" customHeight="1" x14ac:dyDescent="0.25">
      <c r="C584" s="775"/>
      <c r="D584" s="774"/>
      <c r="E584" s="373" t="s">
        <v>73</v>
      </c>
      <c r="F584" s="374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5">
      <c r="C585" s="775"/>
      <c r="D585" s="774" t="s">
        <v>133</v>
      </c>
      <c r="E585" s="242" t="s">
        <v>70</v>
      </c>
      <c r="F585" s="243">
        <v>0</v>
      </c>
      <c r="G585" s="243">
        <v>0</v>
      </c>
      <c r="H585" s="243">
        <v>0</v>
      </c>
      <c r="I585" s="243">
        <v>0</v>
      </c>
      <c r="J585" s="243">
        <v>0</v>
      </c>
      <c r="K585" s="243">
        <v>0</v>
      </c>
      <c r="L585" s="243">
        <v>0</v>
      </c>
      <c r="M585" s="243">
        <v>0</v>
      </c>
      <c r="N585" s="243">
        <v>0</v>
      </c>
      <c r="O585" s="243">
        <v>0</v>
      </c>
      <c r="P585" s="243">
        <v>0</v>
      </c>
      <c r="Q585" s="243">
        <v>0</v>
      </c>
      <c r="R585" s="243">
        <v>0</v>
      </c>
      <c r="S585" s="243">
        <v>0</v>
      </c>
      <c r="T585" s="243">
        <v>0</v>
      </c>
      <c r="U585" s="243">
        <v>0</v>
      </c>
      <c r="V585" s="243">
        <v>0</v>
      </c>
      <c r="W585" s="243">
        <v>0</v>
      </c>
      <c r="X585" s="243">
        <v>0</v>
      </c>
      <c r="Y585" s="243">
        <v>0</v>
      </c>
      <c r="Z585" s="243">
        <v>0</v>
      </c>
      <c r="AA585" s="243">
        <v>0</v>
      </c>
      <c r="AB585" s="243">
        <v>0</v>
      </c>
      <c r="AC585" s="243">
        <v>0</v>
      </c>
      <c r="AD585" s="243">
        <v>0</v>
      </c>
      <c r="AE585" s="243">
        <v>0</v>
      </c>
      <c r="AF585" s="243">
        <v>0</v>
      </c>
      <c r="AG585" s="243">
        <v>0</v>
      </c>
      <c r="AH585" s="243">
        <v>0</v>
      </c>
      <c r="AI585" s="243">
        <v>0</v>
      </c>
      <c r="AJ585" s="243">
        <v>0</v>
      </c>
      <c r="AK585" s="243">
        <v>0</v>
      </c>
      <c r="AL585" s="243">
        <v>0</v>
      </c>
      <c r="AM585" s="243">
        <v>0</v>
      </c>
      <c r="AN585" s="243">
        <v>0</v>
      </c>
      <c r="AO585" s="243">
        <v>0</v>
      </c>
    </row>
    <row r="586" spans="1:41" ht="12.75" customHeight="1" x14ac:dyDescent="0.25">
      <c r="C586" s="775"/>
      <c r="D586" s="774"/>
      <c r="E586" s="242" t="s">
        <v>73</v>
      </c>
      <c r="F586" s="243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5">
      <c r="A587" s="89"/>
      <c r="C587" s="9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spans="1:41" ht="12.75" customHeight="1" x14ac:dyDescent="0.25">
      <c r="C588" s="777" t="s">
        <v>119</v>
      </c>
      <c r="D588" s="774" t="s">
        <v>132</v>
      </c>
      <c r="E588" s="101" t="s">
        <v>70</v>
      </c>
      <c r="F588" s="93">
        <f>F547+F510+F459-L459-L510</f>
        <v>591576272.25</v>
      </c>
      <c r="G588" s="93">
        <f t="shared" ref="G588:AO588" si="29">G510+G459</f>
        <v>51968608.700000003</v>
      </c>
      <c r="H588" s="93">
        <f t="shared" si="29"/>
        <v>28536202.579999998</v>
      </c>
      <c r="I588" s="93">
        <f t="shared" si="29"/>
        <v>15601614.379999999</v>
      </c>
      <c r="J588" s="93">
        <f t="shared" si="29"/>
        <v>63842506.890000001</v>
      </c>
      <c r="K588" s="93">
        <f t="shared" si="29"/>
        <v>1834230.87</v>
      </c>
      <c r="L588" s="93">
        <f t="shared" si="29"/>
        <v>670762.75</v>
      </c>
      <c r="M588" s="93">
        <f t="shared" si="29"/>
        <v>15938453.139999999</v>
      </c>
      <c r="N588" s="93">
        <f t="shared" si="29"/>
        <v>20773252.469999999</v>
      </c>
      <c r="O588" s="93">
        <f t="shared" si="29"/>
        <v>105437282.53999999</v>
      </c>
      <c r="P588" s="93">
        <f t="shared" si="29"/>
        <v>137627703.06</v>
      </c>
      <c r="Q588" s="93">
        <f t="shared" si="29"/>
        <v>3013452.85</v>
      </c>
      <c r="R588" s="93">
        <f t="shared" si="29"/>
        <v>320.17</v>
      </c>
      <c r="S588" s="93">
        <f t="shared" si="29"/>
        <v>-0.04</v>
      </c>
      <c r="T588" s="93">
        <f t="shared" si="29"/>
        <v>0.24</v>
      </c>
      <c r="U588" s="93">
        <f t="shared" si="29"/>
        <v>0</v>
      </c>
      <c r="V588" s="93">
        <f t="shared" si="29"/>
        <v>0</v>
      </c>
      <c r="W588" s="93">
        <f t="shared" si="29"/>
        <v>0</v>
      </c>
      <c r="X588" s="93">
        <f t="shared" si="29"/>
        <v>0</v>
      </c>
      <c r="Y588" s="93">
        <f t="shared" si="29"/>
        <v>0</v>
      </c>
      <c r="Z588" s="93">
        <f t="shared" si="29"/>
        <v>0</v>
      </c>
      <c r="AA588" s="93">
        <f t="shared" si="29"/>
        <v>0</v>
      </c>
      <c r="AB588" s="93">
        <f t="shared" si="29"/>
        <v>0</v>
      </c>
      <c r="AC588" s="93">
        <f t="shared" si="29"/>
        <v>0</v>
      </c>
      <c r="AD588" s="93">
        <f t="shared" si="29"/>
        <v>0</v>
      </c>
      <c r="AE588" s="93">
        <f t="shared" si="29"/>
        <v>0</v>
      </c>
      <c r="AF588" s="93">
        <f t="shared" si="29"/>
        <v>0</v>
      </c>
      <c r="AG588" s="93">
        <f t="shared" si="29"/>
        <v>0</v>
      </c>
      <c r="AH588" s="93">
        <f t="shared" si="29"/>
        <v>0</v>
      </c>
      <c r="AI588" s="93">
        <f t="shared" si="29"/>
        <v>0</v>
      </c>
      <c r="AJ588" s="93">
        <f t="shared" si="29"/>
        <v>0</v>
      </c>
      <c r="AK588" s="93">
        <f t="shared" si="29"/>
        <v>0</v>
      </c>
      <c r="AL588" s="93">
        <f t="shared" si="29"/>
        <v>0</v>
      </c>
      <c r="AM588" s="93">
        <f t="shared" si="29"/>
        <v>0</v>
      </c>
      <c r="AN588" s="93">
        <f t="shared" si="29"/>
        <v>0</v>
      </c>
      <c r="AO588" s="93">
        <f t="shared" si="29"/>
        <v>0</v>
      </c>
    </row>
    <row r="589" spans="1:41" ht="12.75" customHeight="1" x14ac:dyDescent="0.25">
      <c r="C589" s="777"/>
      <c r="D589" s="774"/>
      <c r="E589" s="101" t="s">
        <v>73</v>
      </c>
      <c r="F589" s="93">
        <f>F547</f>
        <v>147002644.40000001</v>
      </c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spans="1:41" ht="12.75" customHeight="1" x14ac:dyDescent="0.25">
      <c r="C590" s="777"/>
      <c r="D590" s="774" t="s">
        <v>133</v>
      </c>
      <c r="E590" s="235" t="s">
        <v>70</v>
      </c>
      <c r="F590" s="236">
        <f>F529+F485-L485</f>
        <v>850737</v>
      </c>
      <c r="G590" s="236">
        <f t="shared" ref="G590:Z590" si="30">G485</f>
        <v>37397.25</v>
      </c>
      <c r="H590" s="236">
        <f t="shared" si="30"/>
        <v>20551.86</v>
      </c>
      <c r="I590" s="236">
        <f t="shared" si="30"/>
        <v>11070.59</v>
      </c>
      <c r="J590" s="236">
        <f t="shared" si="30"/>
        <v>168521.2</v>
      </c>
      <c r="K590" s="236">
        <f t="shared" si="30"/>
        <v>5808.01</v>
      </c>
      <c r="L590" s="236">
        <f t="shared" si="30"/>
        <v>0</v>
      </c>
      <c r="M590" s="236">
        <f t="shared" si="30"/>
        <v>50947.53</v>
      </c>
      <c r="N590" s="236">
        <f t="shared" si="30"/>
        <v>50975.040000000001</v>
      </c>
      <c r="O590" s="236">
        <f t="shared" si="30"/>
        <v>263164.76</v>
      </c>
      <c r="P590" s="236">
        <f t="shared" si="30"/>
        <v>99117.6</v>
      </c>
      <c r="Q590" s="236">
        <f t="shared" si="30"/>
        <v>9476.14</v>
      </c>
      <c r="R590" s="236">
        <f t="shared" si="30"/>
        <v>0.72</v>
      </c>
      <c r="S590" s="236">
        <f t="shared" si="30"/>
        <v>0</v>
      </c>
      <c r="T590" s="236">
        <f t="shared" si="30"/>
        <v>0</v>
      </c>
      <c r="U590" s="236">
        <f t="shared" si="30"/>
        <v>0</v>
      </c>
      <c r="V590" s="236">
        <f t="shared" si="30"/>
        <v>0</v>
      </c>
      <c r="W590" s="236">
        <f t="shared" si="30"/>
        <v>0</v>
      </c>
      <c r="X590" s="236">
        <f t="shared" si="30"/>
        <v>0</v>
      </c>
      <c r="Y590" s="236">
        <f t="shared" si="30"/>
        <v>0</v>
      </c>
      <c r="Z590" s="236">
        <f t="shared" si="30"/>
        <v>0</v>
      </c>
    </row>
    <row r="591" spans="1:41" ht="12.75" customHeight="1" x14ac:dyDescent="0.25">
      <c r="C591" s="777"/>
      <c r="D591" s="774"/>
      <c r="E591" s="235" t="s">
        <v>73</v>
      </c>
      <c r="F591" s="236">
        <f>F529</f>
        <v>133706.29999999999</v>
      </c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</row>
    <row r="592" spans="1:41" ht="12.75" customHeight="1" x14ac:dyDescent="0.25">
      <c r="A592" s="89"/>
      <c r="C592" s="9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spans="1:41" ht="12.75" customHeight="1" x14ac:dyDescent="0.25">
      <c r="C593" s="776" t="s">
        <v>161</v>
      </c>
      <c r="D593" s="774" t="s">
        <v>132</v>
      </c>
      <c r="E593" s="231" t="s">
        <v>70</v>
      </c>
      <c r="F593" s="232">
        <v>0</v>
      </c>
      <c r="G593" s="232">
        <v>0</v>
      </c>
      <c r="H593" s="232">
        <v>0</v>
      </c>
      <c r="I593" s="232">
        <v>0</v>
      </c>
      <c r="J593" s="232">
        <v>0</v>
      </c>
      <c r="K593" s="232">
        <v>0</v>
      </c>
      <c r="L593" s="232">
        <v>0</v>
      </c>
      <c r="M593" s="232">
        <v>0</v>
      </c>
      <c r="N593" s="232">
        <v>0</v>
      </c>
      <c r="O593" s="232">
        <v>0</v>
      </c>
      <c r="P593" s="232">
        <v>0</v>
      </c>
      <c r="Q593" s="232">
        <v>0</v>
      </c>
      <c r="R593" s="232">
        <v>0</v>
      </c>
      <c r="S593" s="232">
        <v>0</v>
      </c>
      <c r="T593" s="232">
        <v>0</v>
      </c>
      <c r="U593" s="232">
        <v>0</v>
      </c>
      <c r="V593" s="232">
        <v>0</v>
      </c>
      <c r="W593" s="232">
        <v>0</v>
      </c>
      <c r="X593" s="232">
        <v>0</v>
      </c>
      <c r="Y593" s="232">
        <v>0</v>
      </c>
      <c r="Z593" s="232">
        <v>0</v>
      </c>
      <c r="AA593" s="232">
        <v>0</v>
      </c>
      <c r="AB593" s="232">
        <v>0</v>
      </c>
      <c r="AC593" s="232">
        <v>0</v>
      </c>
      <c r="AD593" s="232">
        <v>0</v>
      </c>
      <c r="AE593" s="232">
        <v>0</v>
      </c>
      <c r="AF593" s="232">
        <v>0</v>
      </c>
      <c r="AG593" s="232">
        <v>0</v>
      </c>
      <c r="AH593" s="232">
        <v>0</v>
      </c>
      <c r="AI593" s="232">
        <v>0</v>
      </c>
      <c r="AJ593" s="232">
        <v>0</v>
      </c>
      <c r="AK593" s="232">
        <v>0</v>
      </c>
      <c r="AL593" s="232">
        <v>0</v>
      </c>
      <c r="AM593" s="232">
        <v>0</v>
      </c>
      <c r="AN593" s="232">
        <v>0</v>
      </c>
      <c r="AO593" s="232">
        <v>0</v>
      </c>
    </row>
    <row r="594" spans="1:41" ht="12.75" customHeight="1" x14ac:dyDescent="0.25">
      <c r="C594" s="776"/>
      <c r="D594" s="774"/>
      <c r="E594" s="231" t="s">
        <v>73</v>
      </c>
      <c r="F594" s="232">
        <v>0</v>
      </c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spans="1:41" ht="12.75" customHeight="1" x14ac:dyDescent="0.25">
      <c r="C595" s="776"/>
      <c r="E595" s="148" t="s">
        <v>70</v>
      </c>
      <c r="F595" s="149">
        <v>0</v>
      </c>
      <c r="G595" s="149">
        <v>0</v>
      </c>
      <c r="H595" s="149">
        <v>0</v>
      </c>
      <c r="I595" s="149">
        <v>0</v>
      </c>
      <c r="J595" s="149">
        <v>0</v>
      </c>
      <c r="K595" s="149">
        <v>0</v>
      </c>
      <c r="L595" s="149">
        <v>0</v>
      </c>
      <c r="M595" s="149">
        <v>0</v>
      </c>
      <c r="N595" s="149">
        <v>0</v>
      </c>
      <c r="O595" s="149">
        <v>0</v>
      </c>
      <c r="P595" s="149">
        <v>0</v>
      </c>
      <c r="Q595" s="149">
        <v>0</v>
      </c>
      <c r="R595" s="149">
        <v>0</v>
      </c>
      <c r="S595" s="149">
        <v>0</v>
      </c>
      <c r="T595" s="149">
        <v>0</v>
      </c>
      <c r="U595" s="149">
        <v>0</v>
      </c>
      <c r="V595" s="149">
        <v>0</v>
      </c>
      <c r="W595" s="149">
        <v>0</v>
      </c>
      <c r="X595" s="149">
        <v>0</v>
      </c>
      <c r="Y595" s="149">
        <v>0</v>
      </c>
      <c r="Z595" s="149">
        <v>0</v>
      </c>
    </row>
    <row r="596" spans="1:41" ht="12.75" customHeight="1" x14ac:dyDescent="0.25">
      <c r="C596" s="776"/>
      <c r="D596" s="220" t="s">
        <v>132</v>
      </c>
      <c r="E596" s="148" t="s">
        <v>73</v>
      </c>
      <c r="F596" s="149">
        <v>0</v>
      </c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</row>
    <row r="597" spans="1:41" ht="12.75" customHeight="1" x14ac:dyDescent="0.25">
      <c r="C597" s="388"/>
      <c r="D597" s="220"/>
      <c r="E597" s="89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</row>
    <row r="598" spans="1:41" ht="12.75" customHeight="1" x14ac:dyDescent="0.25">
      <c r="D598" s="458" t="s">
        <v>186</v>
      </c>
      <c r="E598" s="459" t="s">
        <v>70</v>
      </c>
      <c r="F598" s="460">
        <f>F460</f>
        <v>-30180.94</v>
      </c>
      <c r="G598" s="460">
        <f t="shared" ref="G598:Z598" si="31">G460</f>
        <v>-2445.4499999999998</v>
      </c>
      <c r="H598" s="460">
        <f t="shared" si="31"/>
        <v>-1038.9100000000001</v>
      </c>
      <c r="I598" s="460">
        <f t="shared" si="31"/>
        <v>-453.69</v>
      </c>
      <c r="J598" s="460">
        <f t="shared" si="31"/>
        <v>-5579.62</v>
      </c>
      <c r="K598" s="460">
        <f t="shared" si="31"/>
        <v>-227.22</v>
      </c>
      <c r="L598" s="460">
        <f t="shared" si="31"/>
        <v>0</v>
      </c>
      <c r="M598" s="460">
        <f t="shared" si="31"/>
        <v>-1993.18</v>
      </c>
      <c r="N598" s="460">
        <f t="shared" si="31"/>
        <v>-2534.52</v>
      </c>
      <c r="O598" s="460">
        <f t="shared" si="31"/>
        <v>-9306.2999999999993</v>
      </c>
      <c r="P598" s="460">
        <f t="shared" si="31"/>
        <v>-6231.3</v>
      </c>
      <c r="Q598" s="460">
        <f t="shared" si="31"/>
        <v>-370.75</v>
      </c>
      <c r="R598" s="460">
        <f t="shared" si="31"/>
        <v>0</v>
      </c>
      <c r="S598" s="460">
        <f t="shared" si="31"/>
        <v>0</v>
      </c>
      <c r="T598" s="460">
        <f t="shared" si="31"/>
        <v>0</v>
      </c>
      <c r="U598" s="460">
        <f t="shared" si="31"/>
        <v>0</v>
      </c>
      <c r="V598" s="460">
        <f t="shared" si="31"/>
        <v>0</v>
      </c>
      <c r="W598" s="460">
        <f t="shared" si="31"/>
        <v>0</v>
      </c>
      <c r="X598" s="460">
        <f t="shared" si="31"/>
        <v>0</v>
      </c>
      <c r="Y598" s="460">
        <f t="shared" si="31"/>
        <v>0</v>
      </c>
      <c r="Z598" s="460">
        <f t="shared" si="31"/>
        <v>0</v>
      </c>
    </row>
    <row r="599" spans="1:41" ht="12.75" customHeight="1" x14ac:dyDescent="0.25">
      <c r="C599" s="388"/>
      <c r="D599" s="220"/>
      <c r="E599" s="89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</row>
    <row r="600" spans="1:41" s="238" customFormat="1" ht="12.75" customHeight="1" x14ac:dyDescent="0.25">
      <c r="D600" s="239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</row>
    <row r="601" spans="1:41" ht="12.6" customHeight="1" x14ac:dyDescent="0.25">
      <c r="A601" s="89"/>
      <c r="B601" s="97" t="s">
        <v>93</v>
      </c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</row>
    <row r="602" spans="1:41" ht="12.75" customHeight="1" x14ac:dyDescent="0.25">
      <c r="F602" s="89" t="s">
        <v>70</v>
      </c>
      <c r="G602" s="89" t="s">
        <v>64</v>
      </c>
      <c r="H602" s="89" t="s">
        <v>65</v>
      </c>
      <c r="I602" s="218" t="s">
        <v>164</v>
      </c>
      <c r="J602" s="89" t="s">
        <v>69</v>
      </c>
      <c r="K602" s="89" t="s">
        <v>68</v>
      </c>
      <c r="L602" s="89" t="s">
        <v>71</v>
      </c>
      <c r="M602" s="89" t="s">
        <v>66</v>
      </c>
      <c r="N602" s="89" t="s">
        <v>63</v>
      </c>
      <c r="O602" s="89" t="s">
        <v>61</v>
      </c>
      <c r="P602" s="89" t="s">
        <v>62</v>
      </c>
      <c r="Q602" s="89" t="s">
        <v>67</v>
      </c>
      <c r="R602" s="89" t="s">
        <v>77</v>
      </c>
      <c r="S602" s="89" t="s">
        <v>80</v>
      </c>
      <c r="T602" s="89" t="s">
        <v>135</v>
      </c>
      <c r="U602" s="89" t="s">
        <v>173</v>
      </c>
      <c r="V602" s="89" t="s">
        <v>222</v>
      </c>
      <c r="W602" s="89" t="s">
        <v>173</v>
      </c>
      <c r="X602" t="s">
        <v>173</v>
      </c>
      <c r="Y602" s="89" t="s">
        <v>135</v>
      </c>
      <c r="Z602" t="s">
        <v>167</v>
      </c>
    </row>
    <row r="603" spans="1:41" x14ac:dyDescent="0.25">
      <c r="E603" t="s">
        <v>72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90">
        <v>0</v>
      </c>
    </row>
    <row r="604" spans="1:41" x14ac:dyDescent="0.25">
      <c r="D604" t="s">
        <v>156</v>
      </c>
      <c r="E604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90">
        <v>0</v>
      </c>
    </row>
    <row r="605" spans="1:41" s="286" customFormat="1" x14ac:dyDescent="0.25">
      <c r="C605" s="286" t="s">
        <v>155</v>
      </c>
      <c r="D605" s="286" t="s">
        <v>70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30">
        <v>0</v>
      </c>
      <c r="N605" s="230">
        <v>0</v>
      </c>
      <c r="O605" s="230">
        <v>0</v>
      </c>
      <c r="P605" s="230">
        <v>0</v>
      </c>
      <c r="Q605" s="230">
        <v>0</v>
      </c>
      <c r="R605" s="230">
        <v>0</v>
      </c>
      <c r="S605" s="230">
        <v>0</v>
      </c>
      <c r="T605" s="230">
        <v>0</v>
      </c>
      <c r="U605" s="286">
        <v>0</v>
      </c>
      <c r="V605" s="286">
        <v>0</v>
      </c>
      <c r="W605" s="286">
        <v>0</v>
      </c>
      <c r="X605" s="286">
        <v>0</v>
      </c>
      <c r="Y605" s="286">
        <v>0</v>
      </c>
      <c r="Z605" s="230">
        <v>0</v>
      </c>
    </row>
    <row r="606" spans="1:41" ht="12.75" customHeight="1" x14ac:dyDescent="0.25">
      <c r="E606" s="89" t="s">
        <v>72</v>
      </c>
      <c r="F606" s="371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</row>
    <row r="607" spans="1:41" ht="12.75" customHeight="1" x14ac:dyDescent="0.25">
      <c r="D607" t="s">
        <v>82</v>
      </c>
      <c r="E607" s="89" t="s">
        <v>70</v>
      </c>
      <c r="F607" s="371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</row>
    <row r="608" spans="1:41" ht="12.75" customHeight="1" x14ac:dyDescent="0.25">
      <c r="E608" s="89" t="s">
        <v>72</v>
      </c>
      <c r="F608" s="371">
        <v>0</v>
      </c>
      <c r="G608" s="90">
        <v>0</v>
      </c>
      <c r="H608" s="90">
        <v>0</v>
      </c>
      <c r="I608" s="90">
        <v>0</v>
      </c>
      <c r="J608" s="90">
        <v>0</v>
      </c>
      <c r="K608" s="90">
        <v>0</v>
      </c>
      <c r="L608" s="90">
        <v>0</v>
      </c>
      <c r="M608" s="90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0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</row>
    <row r="609" spans="1:26" ht="12.75" customHeight="1" x14ac:dyDescent="0.25">
      <c r="D609" t="s">
        <v>86</v>
      </c>
      <c r="E609" s="89" t="s">
        <v>70</v>
      </c>
      <c r="F609" s="371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</row>
    <row r="610" spans="1:26" ht="12.75" customHeight="1" x14ac:dyDescent="0.25">
      <c r="E610" s="89" t="s">
        <v>72</v>
      </c>
      <c r="F610" s="371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</row>
    <row r="611" spans="1:26" ht="12.75" customHeight="1" x14ac:dyDescent="0.25">
      <c r="D611" t="s">
        <v>87</v>
      </c>
      <c r="E611" s="89" t="s">
        <v>70</v>
      </c>
      <c r="F611" s="371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</row>
    <row r="612" spans="1:26" s="94" customFormat="1" ht="12.75" customHeight="1" x14ac:dyDescent="0.25">
      <c r="C612" s="101" t="s">
        <v>119</v>
      </c>
      <c r="D612" s="101" t="s">
        <v>70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0</v>
      </c>
      <c r="X612" s="93">
        <v>0</v>
      </c>
      <c r="Y612" s="93">
        <v>0</v>
      </c>
      <c r="Z612" s="93">
        <v>0</v>
      </c>
    </row>
    <row r="613" spans="1:26" ht="12.75" customHeight="1" x14ac:dyDescent="0.25">
      <c r="B613" t="s">
        <v>112</v>
      </c>
      <c r="C613" t="s">
        <v>70</v>
      </c>
      <c r="E613" s="89"/>
      <c r="F613" s="371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</row>
    <row r="614" spans="1:26" s="458" customFormat="1" ht="12.75" customHeight="1" x14ac:dyDescent="0.25">
      <c r="A614" s="458" t="s">
        <v>186</v>
      </c>
      <c r="B614" s="458" t="s">
        <v>70</v>
      </c>
      <c r="F614" s="458">
        <v>0</v>
      </c>
      <c r="G614" s="458">
        <v>0</v>
      </c>
      <c r="H614" s="458">
        <v>0</v>
      </c>
      <c r="I614" s="458">
        <v>0</v>
      </c>
      <c r="J614" s="458">
        <v>0</v>
      </c>
      <c r="K614" s="458">
        <v>0</v>
      </c>
      <c r="L614" s="458">
        <v>0</v>
      </c>
      <c r="M614" s="458">
        <v>0</v>
      </c>
      <c r="N614" s="458">
        <v>0</v>
      </c>
      <c r="O614" s="458">
        <v>0</v>
      </c>
      <c r="P614" s="458">
        <v>0</v>
      </c>
      <c r="Q614" s="458">
        <v>0</v>
      </c>
      <c r="R614" s="458">
        <v>0</v>
      </c>
      <c r="S614" s="458">
        <v>0</v>
      </c>
      <c r="T614" s="458">
        <v>0</v>
      </c>
      <c r="U614" s="458">
        <v>0</v>
      </c>
      <c r="V614" s="458">
        <v>0</v>
      </c>
      <c r="W614" s="458">
        <v>0</v>
      </c>
      <c r="X614" s="458">
        <v>0</v>
      </c>
      <c r="Y614" s="458">
        <v>0</v>
      </c>
      <c r="Z614" s="458">
        <v>0</v>
      </c>
    </row>
    <row r="615" spans="1:26" x14ac:dyDescent="0.25"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 s="90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90">
        <v>0</v>
      </c>
    </row>
    <row r="616" spans="1:26" x14ac:dyDescent="0.25"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 s="90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s="90">
        <v>0</v>
      </c>
    </row>
    <row r="617" spans="1:26" x14ac:dyDescent="0.25">
      <c r="D617" t="s">
        <v>156</v>
      </c>
      <c r="E617" t="s">
        <v>70</v>
      </c>
      <c r="F617" s="90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 s="90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s="90">
        <v>0</v>
      </c>
    </row>
    <row r="618" spans="1:26" s="286" customFormat="1" x14ac:dyDescent="0.25">
      <c r="C618" s="286" t="s">
        <v>155</v>
      </c>
      <c r="D618" s="286" t="s">
        <v>70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30">
        <v>0</v>
      </c>
      <c r="N618" s="230">
        <v>0</v>
      </c>
      <c r="O618" s="230">
        <v>0</v>
      </c>
      <c r="P618" s="230">
        <v>0</v>
      </c>
      <c r="Q618" s="230">
        <v>0</v>
      </c>
      <c r="R618" s="230">
        <v>0</v>
      </c>
      <c r="S618" s="230">
        <v>0</v>
      </c>
      <c r="T618" s="230">
        <v>0</v>
      </c>
      <c r="U618" s="286">
        <v>0</v>
      </c>
      <c r="V618" s="286">
        <v>0</v>
      </c>
      <c r="W618" s="286">
        <v>0</v>
      </c>
      <c r="X618" s="286">
        <v>0</v>
      </c>
      <c r="Y618" s="286">
        <v>0</v>
      </c>
      <c r="Z618" s="230">
        <v>0</v>
      </c>
    </row>
    <row r="619" spans="1:26" x14ac:dyDescent="0.25">
      <c r="E619" t="s">
        <v>72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  <c r="P619" s="90">
        <v>0</v>
      </c>
      <c r="Q619" s="90">
        <v>370.08</v>
      </c>
      <c r="R619" s="90">
        <v>-1.95</v>
      </c>
      <c r="S619" s="90">
        <v>0</v>
      </c>
      <c r="T619" s="90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90">
        <v>0</v>
      </c>
    </row>
    <row r="620" spans="1:26" x14ac:dyDescent="0.25">
      <c r="E620" t="s">
        <v>81</v>
      </c>
      <c r="F620" s="90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7.0000000000000007E-2</v>
      </c>
      <c r="R620" s="90">
        <v>0</v>
      </c>
      <c r="S620" s="90">
        <v>0</v>
      </c>
      <c r="T620" s="9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90">
        <v>0</v>
      </c>
    </row>
    <row r="621" spans="1:26" x14ac:dyDescent="0.25">
      <c r="D621" t="s">
        <v>82</v>
      </c>
      <c r="E621" t="s">
        <v>70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370.15</v>
      </c>
      <c r="R621" s="90">
        <v>-1.95</v>
      </c>
      <c r="S621" s="90">
        <v>0</v>
      </c>
      <c r="T621" s="90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90">
        <v>0</v>
      </c>
    </row>
    <row r="622" spans="1:26" x14ac:dyDescent="0.25">
      <c r="E622" t="s">
        <v>72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370.08</v>
      </c>
      <c r="R622" s="90">
        <v>-1.95</v>
      </c>
      <c r="S622" s="90">
        <v>0</v>
      </c>
      <c r="T622" s="90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90">
        <v>0</v>
      </c>
    </row>
    <row r="623" spans="1:26" x14ac:dyDescent="0.25">
      <c r="E623" t="s">
        <v>81</v>
      </c>
      <c r="F623" s="90">
        <v>0</v>
      </c>
      <c r="G623" s="90">
        <v>0</v>
      </c>
      <c r="H623" s="90">
        <v>0</v>
      </c>
      <c r="I623" s="90">
        <v>0</v>
      </c>
      <c r="J623" s="90">
        <v>0</v>
      </c>
      <c r="K623" s="90">
        <v>0</v>
      </c>
      <c r="L623" s="90">
        <v>0</v>
      </c>
      <c r="M623" s="90">
        <v>0</v>
      </c>
      <c r="N623" s="90">
        <v>0</v>
      </c>
      <c r="O623" s="90">
        <v>0</v>
      </c>
      <c r="P623" s="90">
        <v>0</v>
      </c>
      <c r="Q623" s="90">
        <v>7.0000000000000007E-2</v>
      </c>
      <c r="R623" s="90">
        <v>0</v>
      </c>
      <c r="S623" s="90">
        <v>0</v>
      </c>
      <c r="T623" s="90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90">
        <v>0</v>
      </c>
    </row>
    <row r="624" spans="1:26" x14ac:dyDescent="0.25">
      <c r="D624" t="s">
        <v>86</v>
      </c>
      <c r="E624" t="s">
        <v>70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370.15</v>
      </c>
      <c r="R624" s="90">
        <v>-1.95</v>
      </c>
      <c r="S624" s="90">
        <v>0</v>
      </c>
      <c r="T624" s="90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90">
        <v>0</v>
      </c>
    </row>
    <row r="625" spans="1:26" ht="12.75" customHeight="1" x14ac:dyDescent="0.25">
      <c r="E625" s="89" t="s">
        <v>72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</row>
    <row r="626" spans="1:26" x14ac:dyDescent="0.25">
      <c r="E626" t="s">
        <v>81</v>
      </c>
      <c r="F626" s="90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 s="90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90">
        <v>0</v>
      </c>
    </row>
    <row r="627" spans="1:26" ht="12.75" customHeight="1" x14ac:dyDescent="0.25">
      <c r="D627" t="s">
        <v>87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</row>
    <row r="628" spans="1:26" s="94" customFormat="1" ht="12.75" customHeight="1" x14ac:dyDescent="0.25">
      <c r="C628" s="101" t="s">
        <v>119</v>
      </c>
      <c r="D628" s="101" t="s">
        <v>70</v>
      </c>
      <c r="F628" s="93">
        <v>0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93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  <c r="W628" s="93">
        <v>0</v>
      </c>
      <c r="X628" s="93">
        <v>0</v>
      </c>
      <c r="Y628" s="93">
        <v>0</v>
      </c>
      <c r="Z628" s="93">
        <v>0</v>
      </c>
    </row>
    <row r="629" spans="1:26" s="378" customFormat="1" ht="12.75" customHeight="1" x14ac:dyDescent="0.25">
      <c r="B629" s="378" t="s">
        <v>122</v>
      </c>
      <c r="C629" s="378" t="s">
        <v>70</v>
      </c>
      <c r="E629" s="376"/>
      <c r="F629" s="710">
        <v>0</v>
      </c>
      <c r="G629" s="377">
        <v>0</v>
      </c>
      <c r="H629" s="377">
        <v>0</v>
      </c>
      <c r="I629" s="377">
        <v>0</v>
      </c>
      <c r="J629" s="377">
        <v>0</v>
      </c>
      <c r="K629" s="377">
        <v>0</v>
      </c>
      <c r="L629" s="377">
        <v>0</v>
      </c>
      <c r="M629" s="377">
        <v>0</v>
      </c>
      <c r="N629" s="377">
        <v>0</v>
      </c>
      <c r="O629" s="377">
        <v>0</v>
      </c>
      <c r="P629" s="377">
        <v>0</v>
      </c>
      <c r="Q629" s="377">
        <v>0</v>
      </c>
      <c r="R629" s="377">
        <v>0</v>
      </c>
      <c r="S629" s="377">
        <v>0</v>
      </c>
      <c r="T629" s="377">
        <v>0</v>
      </c>
      <c r="U629" s="377">
        <v>0</v>
      </c>
      <c r="V629" s="377">
        <v>0</v>
      </c>
      <c r="W629" s="377">
        <v>0</v>
      </c>
      <c r="X629" s="377">
        <v>0</v>
      </c>
      <c r="Y629" s="377">
        <v>0</v>
      </c>
      <c r="Z629" s="377">
        <v>0</v>
      </c>
    </row>
    <row r="630" spans="1:26" ht="12.75" customHeight="1" x14ac:dyDescent="0.25">
      <c r="C630" s="89"/>
      <c r="D630" s="89"/>
      <c r="E630" t="s">
        <v>72</v>
      </c>
      <c r="F630" s="371">
        <v>7406462788.3599997</v>
      </c>
      <c r="G630" s="90">
        <v>382434611.91000003</v>
      </c>
      <c r="H630" s="90">
        <v>213001567.09</v>
      </c>
      <c r="I630" s="90">
        <v>113293730.20999999</v>
      </c>
      <c r="J630" s="90">
        <v>1811930655.26</v>
      </c>
      <c r="K630" s="90">
        <v>60228423.32</v>
      </c>
      <c r="L630" s="90">
        <v>10471100</v>
      </c>
      <c r="M630" s="90">
        <v>528408998.81999999</v>
      </c>
      <c r="N630" s="90">
        <v>496404846.01999998</v>
      </c>
      <c r="O630" s="90">
        <v>2553943335.3000002</v>
      </c>
      <c r="P630" s="90">
        <v>1138056820.8699999</v>
      </c>
      <c r="Q630" s="90">
        <v>98277123.379999995</v>
      </c>
      <c r="R630" s="90">
        <v>11576.18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ht="12.75" customHeight="1" x14ac:dyDescent="0.25">
      <c r="C631" s="89"/>
      <c r="D631" s="89"/>
      <c r="E631" t="s">
        <v>81</v>
      </c>
      <c r="F631" s="90">
        <v>7748156.5300000003</v>
      </c>
      <c r="G631" s="90">
        <v>791632.88</v>
      </c>
      <c r="H631" s="90">
        <v>397564.53</v>
      </c>
      <c r="I631" s="90">
        <v>193425.46</v>
      </c>
      <c r="J631" s="90">
        <v>1228265.81</v>
      </c>
      <c r="K631" s="90">
        <v>52113.98</v>
      </c>
      <c r="L631" s="90">
        <v>596.87</v>
      </c>
      <c r="M631" s="90">
        <v>456961.78</v>
      </c>
      <c r="N631" s="90">
        <v>383739.51</v>
      </c>
      <c r="O631" s="90">
        <v>1862264.3</v>
      </c>
      <c r="P631" s="90">
        <v>2296530.8199999998</v>
      </c>
      <c r="Q631" s="90">
        <v>85033.38</v>
      </c>
      <c r="R631" s="90">
        <v>22.39</v>
      </c>
      <c r="S631" s="90">
        <v>0</v>
      </c>
      <c r="T631">
        <v>4.82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ht="12.75" customHeight="1" x14ac:dyDescent="0.25">
      <c r="D632" t="s">
        <v>156</v>
      </c>
      <c r="E632" s="89" t="s">
        <v>70</v>
      </c>
      <c r="F632" s="90">
        <v>7414210944.8900003</v>
      </c>
      <c r="G632" s="90">
        <v>383226244.79000002</v>
      </c>
      <c r="H632" s="90">
        <v>213399131.62</v>
      </c>
      <c r="I632" s="90">
        <v>113487155.67</v>
      </c>
      <c r="J632" s="90">
        <v>1813158921.0699999</v>
      </c>
      <c r="K632" s="90">
        <v>60280537.299999997</v>
      </c>
      <c r="L632" s="90">
        <v>10471696.869999999</v>
      </c>
      <c r="M632" s="90">
        <v>528865960.60000002</v>
      </c>
      <c r="N632" s="90">
        <v>496788585.52999997</v>
      </c>
      <c r="O632" s="90">
        <v>2555805599.5999999</v>
      </c>
      <c r="P632" s="90">
        <v>1140353351.6900001</v>
      </c>
      <c r="Q632" s="90">
        <v>98362156.760000005</v>
      </c>
      <c r="R632" s="90">
        <v>11598.57</v>
      </c>
      <c r="S632" s="90">
        <v>0</v>
      </c>
      <c r="T632">
        <v>4.82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s="656" customFormat="1" ht="12.75" customHeight="1" x14ac:dyDescent="0.25">
      <c r="A633" s="657"/>
      <c r="B633" s="657"/>
      <c r="C633" s="656" t="s">
        <v>155</v>
      </c>
      <c r="D633" s="656" t="s">
        <v>70</v>
      </c>
      <c r="F633" s="658">
        <v>7414210944.8900003</v>
      </c>
      <c r="G633" s="658">
        <v>383226244.79000002</v>
      </c>
      <c r="H633" s="658">
        <v>213399131.62</v>
      </c>
      <c r="I633" s="658">
        <v>113487155.67</v>
      </c>
      <c r="J633" s="658">
        <v>1813158921.0699999</v>
      </c>
      <c r="K633" s="658">
        <v>60280537.299999997</v>
      </c>
      <c r="L633" s="658">
        <v>10471696.869999999</v>
      </c>
      <c r="M633" s="658">
        <v>528865960.60000002</v>
      </c>
      <c r="N633" s="658">
        <v>496788585.52999997</v>
      </c>
      <c r="O633" s="658">
        <v>2555805599.5999999</v>
      </c>
      <c r="P633" s="658">
        <v>1140353351.6900001</v>
      </c>
      <c r="Q633" s="658">
        <v>98362156.760000005</v>
      </c>
      <c r="R633" s="658">
        <v>11598.57</v>
      </c>
      <c r="S633" s="658">
        <v>0</v>
      </c>
      <c r="T633" s="656">
        <v>4.82</v>
      </c>
      <c r="U633" s="656">
        <v>0</v>
      </c>
      <c r="V633" s="656">
        <v>0</v>
      </c>
      <c r="W633" s="656">
        <v>0</v>
      </c>
      <c r="X633" s="656">
        <v>0</v>
      </c>
      <c r="Y633" s="656">
        <v>0</v>
      </c>
      <c r="Z633" s="656">
        <v>0</v>
      </c>
    </row>
    <row r="634" spans="1:26" ht="12.75" customHeight="1" x14ac:dyDescent="0.25">
      <c r="E634" s="89" t="s">
        <v>72</v>
      </c>
      <c r="F634" s="90">
        <v>160092177.13999999</v>
      </c>
      <c r="G634" s="90">
        <v>8661080.0999999996</v>
      </c>
      <c r="H634" s="90">
        <v>4833415.13</v>
      </c>
      <c r="I634" s="90">
        <v>2582595.52</v>
      </c>
      <c r="J634" s="90">
        <v>38399519.399999999</v>
      </c>
      <c r="K634" s="90">
        <v>1268377.67</v>
      </c>
      <c r="L634" s="90">
        <v>0</v>
      </c>
      <c r="M634" s="90">
        <v>11140054.550000001</v>
      </c>
      <c r="N634" s="90">
        <v>10558954.77</v>
      </c>
      <c r="O634" s="90">
        <v>54651229.020000003</v>
      </c>
      <c r="P634" s="90">
        <v>25928014.940000001</v>
      </c>
      <c r="Q634" s="90">
        <v>2069142.02</v>
      </c>
      <c r="R634" s="90">
        <v>-205.98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t="12.75" customHeight="1" x14ac:dyDescent="0.25">
      <c r="E635" s="89" t="s">
        <v>81</v>
      </c>
      <c r="F635" s="371">
        <v>94709.83</v>
      </c>
      <c r="G635" s="90">
        <v>5210.34</v>
      </c>
      <c r="H635" s="90">
        <v>2882.65</v>
      </c>
      <c r="I635" s="90">
        <v>1569</v>
      </c>
      <c r="J635" s="90">
        <v>20323.64</v>
      </c>
      <c r="K635" s="90">
        <v>720.72</v>
      </c>
      <c r="L635" s="90">
        <v>0</v>
      </c>
      <c r="M635" s="90">
        <v>6347.52</v>
      </c>
      <c r="N635" s="90">
        <v>6686</v>
      </c>
      <c r="O635" s="90">
        <v>34170.61</v>
      </c>
      <c r="P635" s="90">
        <v>15601.5</v>
      </c>
      <c r="Q635" s="90">
        <v>1198.3399999999999</v>
      </c>
      <c r="R635" s="90">
        <v>-0.48</v>
      </c>
      <c r="S635" s="90">
        <v>-0.01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t="12.75" customHeight="1" x14ac:dyDescent="0.25">
      <c r="D636" t="s">
        <v>156</v>
      </c>
      <c r="E636" s="89" t="s">
        <v>70</v>
      </c>
      <c r="F636" s="371">
        <v>160186886.97</v>
      </c>
      <c r="G636" s="90">
        <v>8666290.4399999995</v>
      </c>
      <c r="H636" s="90">
        <v>4836297.78</v>
      </c>
      <c r="I636" s="90">
        <v>2584164.52</v>
      </c>
      <c r="J636" s="90">
        <v>38419843.039999999</v>
      </c>
      <c r="K636" s="90">
        <v>1269098.3899999999</v>
      </c>
      <c r="L636" s="90">
        <v>0</v>
      </c>
      <c r="M636" s="90">
        <v>11146402.07</v>
      </c>
      <c r="N636" s="90">
        <v>10565640.77</v>
      </c>
      <c r="O636" s="90">
        <v>54685399.630000003</v>
      </c>
      <c r="P636" s="90">
        <v>25943616.440000001</v>
      </c>
      <c r="Q636" s="90">
        <v>2070340.36</v>
      </c>
      <c r="R636" s="90">
        <v>-206.46</v>
      </c>
      <c r="S636" s="90">
        <v>-0.01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s="739" customFormat="1" ht="12.75" customHeight="1" x14ac:dyDescent="0.25">
      <c r="C637" s="739" t="s">
        <v>326</v>
      </c>
      <c r="D637" s="739" t="s">
        <v>70</v>
      </c>
      <c r="E637" s="231"/>
      <c r="F637" s="740">
        <v>160186886.97</v>
      </c>
      <c r="G637" s="232">
        <v>8666290.4399999995</v>
      </c>
      <c r="H637" s="232">
        <v>4836297.78</v>
      </c>
      <c r="I637" s="232">
        <v>2584164.52</v>
      </c>
      <c r="J637" s="232">
        <v>38419843.039999999</v>
      </c>
      <c r="K637" s="232">
        <v>1269098.3899999999</v>
      </c>
      <c r="L637" s="232">
        <v>0</v>
      </c>
      <c r="M637" s="232">
        <v>11146402.07</v>
      </c>
      <c r="N637" s="232">
        <v>10565640.77</v>
      </c>
      <c r="O637" s="232">
        <v>54685399.630000003</v>
      </c>
      <c r="P637" s="232">
        <v>25943616.440000001</v>
      </c>
      <c r="Q637" s="232">
        <v>2070340.36</v>
      </c>
      <c r="R637" s="232">
        <v>-206.46</v>
      </c>
      <c r="S637" s="232">
        <v>-0.01</v>
      </c>
      <c r="T637" s="739">
        <v>0</v>
      </c>
      <c r="U637" s="739">
        <v>0</v>
      </c>
      <c r="V637" s="739">
        <v>0</v>
      </c>
      <c r="W637" s="739">
        <v>0</v>
      </c>
      <c r="X637" s="739">
        <v>0</v>
      </c>
      <c r="Y637" s="739">
        <v>0</v>
      </c>
      <c r="Z637" s="739">
        <v>0</v>
      </c>
    </row>
    <row r="638" spans="1:26" ht="12.75" customHeight="1" x14ac:dyDescent="0.25">
      <c r="E638" s="89" t="s">
        <v>72</v>
      </c>
      <c r="F638" s="371">
        <v>18917966.41</v>
      </c>
      <c r="G638" s="90">
        <v>988150.54</v>
      </c>
      <c r="H638" s="90">
        <v>548361.93999999994</v>
      </c>
      <c r="I638" s="90">
        <v>294164.36</v>
      </c>
      <c r="J638" s="90">
        <v>3136320.25</v>
      </c>
      <c r="K638" s="90">
        <v>134782.32999999999</v>
      </c>
      <c r="L638" s="90">
        <v>0</v>
      </c>
      <c r="M638" s="90">
        <v>1191960.92</v>
      </c>
      <c r="N638" s="90">
        <v>1455905.71</v>
      </c>
      <c r="O638" s="90">
        <v>7986093.2999999998</v>
      </c>
      <c r="P638" s="90">
        <v>2960122.74</v>
      </c>
      <c r="Q638" s="90">
        <v>222255.94</v>
      </c>
      <c r="R638" s="90">
        <v>-151.62</v>
      </c>
      <c r="S638" s="90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ht="12.75" customHeight="1" x14ac:dyDescent="0.25">
      <c r="E639" s="89" t="s">
        <v>81</v>
      </c>
      <c r="F639" s="90">
        <v>126929.22</v>
      </c>
      <c r="G639" s="90">
        <v>7200.68</v>
      </c>
      <c r="H639" s="90">
        <v>3836.23</v>
      </c>
      <c r="I639" s="90">
        <v>2053.48</v>
      </c>
      <c r="J639" s="90">
        <v>21877.84</v>
      </c>
      <c r="K639" s="90">
        <v>960.57</v>
      </c>
      <c r="L639" s="90">
        <v>0</v>
      </c>
      <c r="M639" s="90">
        <v>8419.7900000000009</v>
      </c>
      <c r="N639" s="90">
        <v>9443.19</v>
      </c>
      <c r="O639" s="90">
        <v>50077.47</v>
      </c>
      <c r="P639" s="90">
        <v>21452.68</v>
      </c>
      <c r="Q639" s="90">
        <v>1607.37</v>
      </c>
      <c r="R639" s="90">
        <v>-0.12</v>
      </c>
      <c r="S639" s="90">
        <v>-0.02</v>
      </c>
      <c r="T639">
        <v>0.06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ht="12.75" customHeight="1" x14ac:dyDescent="0.25">
      <c r="D640" s="89" t="s">
        <v>82</v>
      </c>
      <c r="E640" s="89" t="s">
        <v>70</v>
      </c>
      <c r="F640" s="90">
        <v>19044895.629999999</v>
      </c>
      <c r="G640" s="90">
        <v>995351.22</v>
      </c>
      <c r="H640" s="90">
        <v>552198.17000000004</v>
      </c>
      <c r="I640" s="90">
        <v>296217.84000000003</v>
      </c>
      <c r="J640" s="90">
        <v>3158198.09</v>
      </c>
      <c r="K640" s="90">
        <v>135742.9</v>
      </c>
      <c r="L640" s="90">
        <v>0</v>
      </c>
      <c r="M640" s="90">
        <v>1200380.71</v>
      </c>
      <c r="N640" s="90">
        <v>1465348.9</v>
      </c>
      <c r="O640" s="90">
        <v>8036170.7699999996</v>
      </c>
      <c r="P640" s="90">
        <v>2981575.42</v>
      </c>
      <c r="Q640" s="90">
        <v>223863.31</v>
      </c>
      <c r="R640" s="90">
        <v>-151.74</v>
      </c>
      <c r="S640" s="90">
        <v>-0.02</v>
      </c>
      <c r="T640">
        <v>0.06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ht="12.75" customHeight="1" x14ac:dyDescent="0.25">
      <c r="C641" s="89"/>
      <c r="D641" s="89"/>
      <c r="E641" t="s">
        <v>72</v>
      </c>
      <c r="F641" s="90">
        <v>16231726.5</v>
      </c>
      <c r="G641" s="90">
        <v>898028.7</v>
      </c>
      <c r="H641" s="90">
        <v>469286.58</v>
      </c>
      <c r="I641" s="90">
        <v>261201.9</v>
      </c>
      <c r="J641" s="90">
        <v>1931111.49</v>
      </c>
      <c r="K641" s="90">
        <v>149676.92000000001</v>
      </c>
      <c r="L641" s="90">
        <v>0</v>
      </c>
      <c r="M641" s="90">
        <v>1372648.24</v>
      </c>
      <c r="N641" s="90">
        <v>1260202.22</v>
      </c>
      <c r="O641" s="90">
        <v>6967779.8399999999</v>
      </c>
      <c r="P641" s="90">
        <v>2678122.7400000002</v>
      </c>
      <c r="Q641" s="90">
        <v>243826.32</v>
      </c>
      <c r="R641" s="90">
        <v>-158.44999999999999</v>
      </c>
      <c r="S641" s="90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ht="12.75" customHeight="1" x14ac:dyDescent="0.25">
      <c r="B642" s="89"/>
      <c r="C642" s="89"/>
      <c r="E642" t="s">
        <v>81</v>
      </c>
      <c r="F642" s="90">
        <v>585509.71</v>
      </c>
      <c r="G642" s="90">
        <v>37135.1</v>
      </c>
      <c r="H642" s="90">
        <v>18090.990000000002</v>
      </c>
      <c r="I642" s="90">
        <v>9334.49</v>
      </c>
      <c r="J642" s="90">
        <v>118479.91</v>
      </c>
      <c r="K642" s="90">
        <v>5190.29</v>
      </c>
      <c r="L642" s="90">
        <v>0</v>
      </c>
      <c r="M642" s="90">
        <v>46884.97</v>
      </c>
      <c r="N642" s="90">
        <v>41453.949999999997</v>
      </c>
      <c r="O642" s="90">
        <v>190269.04</v>
      </c>
      <c r="P642" s="90">
        <v>110198.84</v>
      </c>
      <c r="Q642" s="90">
        <v>8468.4599999999991</v>
      </c>
      <c r="R642" s="90">
        <v>3.64</v>
      </c>
      <c r="S642" s="90">
        <v>0</v>
      </c>
      <c r="T642">
        <v>0.03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ht="12.75" customHeight="1" x14ac:dyDescent="0.25">
      <c r="A643" s="89"/>
      <c r="B643" s="89"/>
      <c r="D643" t="s">
        <v>86</v>
      </c>
      <c r="E643" t="s">
        <v>70</v>
      </c>
      <c r="F643" s="90">
        <v>16817236.210000001</v>
      </c>
      <c r="G643" s="90">
        <v>935163.8</v>
      </c>
      <c r="H643" s="90">
        <v>487377.57</v>
      </c>
      <c r="I643" s="90">
        <v>270536.39</v>
      </c>
      <c r="J643" s="90">
        <v>2049591.4</v>
      </c>
      <c r="K643" s="90">
        <v>154867.21</v>
      </c>
      <c r="L643" s="90">
        <v>0</v>
      </c>
      <c r="M643" s="90">
        <v>1419533.21</v>
      </c>
      <c r="N643" s="90">
        <v>1301656.17</v>
      </c>
      <c r="O643" s="90">
        <v>7158048.8799999999</v>
      </c>
      <c r="P643" s="90">
        <v>2788321.58</v>
      </c>
      <c r="Q643" s="90">
        <v>252294.78</v>
      </c>
      <c r="R643" s="90">
        <v>-154.81</v>
      </c>
      <c r="S643" s="90">
        <v>0</v>
      </c>
      <c r="T643">
        <v>0.03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ht="12.75" customHeight="1" x14ac:dyDescent="0.25">
      <c r="E644" s="89" t="s">
        <v>72</v>
      </c>
      <c r="F644" s="90">
        <v>95111405.430000007</v>
      </c>
      <c r="G644" s="90">
        <v>13716794.960000001</v>
      </c>
      <c r="H644" s="90">
        <v>7538723.0999999996</v>
      </c>
      <c r="I644" s="90">
        <v>4037358.33</v>
      </c>
      <c r="J644" s="90">
        <v>7300355.7599999998</v>
      </c>
      <c r="K644" s="90">
        <v>227689.37</v>
      </c>
      <c r="L644" s="90">
        <v>1725000</v>
      </c>
      <c r="M644" s="90">
        <v>2006777.02</v>
      </c>
      <c r="N644" s="90">
        <v>2777643.4</v>
      </c>
      <c r="O644" s="90">
        <v>14591870.9</v>
      </c>
      <c r="P644" s="90">
        <v>40814334.899999999</v>
      </c>
      <c r="Q644" s="90">
        <v>375261.73</v>
      </c>
      <c r="R644" s="90">
        <v>-404.04</v>
      </c>
      <c r="S644" s="90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t="12.75" customHeight="1" x14ac:dyDescent="0.25">
      <c r="A645" s="89"/>
      <c r="B645" s="89"/>
      <c r="E645" t="s">
        <v>81</v>
      </c>
      <c r="F645" s="90">
        <v>3638579.87</v>
      </c>
      <c r="G645" s="90">
        <v>605626.59</v>
      </c>
      <c r="H645" s="90">
        <v>304312.49</v>
      </c>
      <c r="I645" s="90">
        <v>165596.28</v>
      </c>
      <c r="J645" s="90">
        <v>180985.28</v>
      </c>
      <c r="K645" s="90">
        <v>5191.66</v>
      </c>
      <c r="L645" s="90">
        <v>183241.19</v>
      </c>
      <c r="M645" s="90">
        <v>45282.16</v>
      </c>
      <c r="N645" s="90">
        <v>59930.97</v>
      </c>
      <c r="O645" s="90">
        <v>283354.87</v>
      </c>
      <c r="P645" s="90">
        <v>1796526.34</v>
      </c>
      <c r="Q645" s="90">
        <v>8534.06</v>
      </c>
      <c r="R645" s="90">
        <v>-2</v>
      </c>
      <c r="S645" s="90">
        <v>-0.02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t="12.75" customHeight="1" x14ac:dyDescent="0.25">
      <c r="D646" t="s">
        <v>87</v>
      </c>
      <c r="E646" s="89" t="s">
        <v>70</v>
      </c>
      <c r="F646" s="90">
        <v>98749985.299999997</v>
      </c>
      <c r="G646" s="90">
        <v>14322421.550000001</v>
      </c>
      <c r="H646" s="90">
        <v>7843035.5899999999</v>
      </c>
      <c r="I646" s="90">
        <v>4202954.6100000003</v>
      </c>
      <c r="J646" s="90">
        <v>7481341.04</v>
      </c>
      <c r="K646" s="90">
        <v>232881.03</v>
      </c>
      <c r="L646" s="90">
        <v>1908241.19</v>
      </c>
      <c r="M646" s="90">
        <v>2052059.18</v>
      </c>
      <c r="N646" s="90">
        <v>2837574.37</v>
      </c>
      <c r="O646" s="90">
        <v>14875225.77</v>
      </c>
      <c r="P646" s="90">
        <v>42610861.240000002</v>
      </c>
      <c r="Q646" s="90">
        <v>383795.79</v>
      </c>
      <c r="R646" s="90">
        <v>-406.04</v>
      </c>
      <c r="S646" s="90">
        <v>-0.02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s="94" customFormat="1" ht="12.75" customHeight="1" x14ac:dyDescent="0.25">
      <c r="A647" s="101"/>
      <c r="B647" s="101"/>
      <c r="C647" s="94" t="s">
        <v>119</v>
      </c>
      <c r="D647" s="94" t="s">
        <v>70</v>
      </c>
      <c r="F647" s="93">
        <v>134612117.13999999</v>
      </c>
      <c r="G647" s="93">
        <v>16252936.57</v>
      </c>
      <c r="H647" s="93">
        <v>8882611.3300000001</v>
      </c>
      <c r="I647" s="93">
        <v>4769708.84</v>
      </c>
      <c r="J647" s="93">
        <v>12689130.529999999</v>
      </c>
      <c r="K647" s="93">
        <v>523491.14</v>
      </c>
      <c r="L647" s="93">
        <v>1908241.19</v>
      </c>
      <c r="M647" s="93">
        <v>4671973.0999999996</v>
      </c>
      <c r="N647" s="93">
        <v>5604579.4400000004</v>
      </c>
      <c r="O647" s="93">
        <v>30069445.420000002</v>
      </c>
      <c r="P647" s="93">
        <v>48380758.240000002</v>
      </c>
      <c r="Q647" s="93">
        <v>859953.88</v>
      </c>
      <c r="R647" s="93">
        <v>-712.59</v>
      </c>
      <c r="S647" s="93">
        <v>-0.04</v>
      </c>
      <c r="T647" s="94">
        <v>0.09</v>
      </c>
      <c r="U647" s="94">
        <v>0</v>
      </c>
      <c r="V647" s="94">
        <v>0</v>
      </c>
      <c r="W647" s="94">
        <v>0</v>
      </c>
      <c r="X647" s="94">
        <v>0</v>
      </c>
      <c r="Y647" s="94">
        <v>0</v>
      </c>
      <c r="Z647" s="94">
        <v>0</v>
      </c>
    </row>
    <row r="648" spans="1:26" s="226" customFormat="1" ht="12.75" customHeight="1" x14ac:dyDescent="0.25">
      <c r="B648" s="226" t="s">
        <v>112</v>
      </c>
      <c r="C648" s="226" t="s">
        <v>70</v>
      </c>
      <c r="E648" s="98"/>
      <c r="F648" s="100">
        <v>7709009949</v>
      </c>
      <c r="G648" s="100">
        <v>408145471.80000001</v>
      </c>
      <c r="H648" s="100">
        <v>227118040.72999999</v>
      </c>
      <c r="I648" s="100">
        <v>120841029.03</v>
      </c>
      <c r="J648" s="100">
        <v>1864267894.6400001</v>
      </c>
      <c r="K648" s="100">
        <v>62073126.829999998</v>
      </c>
      <c r="L648" s="100">
        <v>12379938.060000001</v>
      </c>
      <c r="M648" s="100">
        <v>544684335.76999998</v>
      </c>
      <c r="N648" s="100">
        <v>512958805.74000001</v>
      </c>
      <c r="O648" s="100">
        <v>2640560444.6500001</v>
      </c>
      <c r="P648" s="100">
        <v>1214677726.3699999</v>
      </c>
      <c r="Q648" s="100">
        <v>101292451</v>
      </c>
      <c r="R648" s="100">
        <v>10679.52</v>
      </c>
      <c r="S648" s="100">
        <v>-0.05</v>
      </c>
      <c r="T648" s="226">
        <v>4.91</v>
      </c>
      <c r="U648" s="226">
        <v>0</v>
      </c>
      <c r="V648" s="226">
        <v>0</v>
      </c>
      <c r="W648" s="226">
        <v>0</v>
      </c>
      <c r="X648" s="226">
        <v>0</v>
      </c>
      <c r="Y648" s="226">
        <v>0</v>
      </c>
      <c r="Z648" s="226">
        <v>0</v>
      </c>
    </row>
    <row r="649" spans="1:26" ht="13.5" customHeight="1" x14ac:dyDescent="0.25">
      <c r="A649" t="s">
        <v>78</v>
      </c>
      <c r="B649" t="s">
        <v>70</v>
      </c>
      <c r="E649" s="89"/>
      <c r="F649" s="90">
        <v>7709009949</v>
      </c>
      <c r="G649" s="90">
        <v>408145471.80000001</v>
      </c>
      <c r="H649" s="90">
        <v>227118040.72999999</v>
      </c>
      <c r="I649" s="90">
        <v>120841029.03</v>
      </c>
      <c r="J649" s="90">
        <v>1864267894.6400001</v>
      </c>
      <c r="K649" s="90">
        <v>62073126.829999998</v>
      </c>
      <c r="L649" s="90">
        <v>12379938.060000001</v>
      </c>
      <c r="M649" s="90">
        <v>544684335.76999998</v>
      </c>
      <c r="N649" s="90">
        <v>512958805.74000001</v>
      </c>
      <c r="O649" s="90">
        <v>2640560444.6500001</v>
      </c>
      <c r="P649" s="90">
        <v>1214677726.3699999</v>
      </c>
      <c r="Q649" s="90">
        <v>101292451</v>
      </c>
      <c r="R649" s="90">
        <v>10679.52</v>
      </c>
      <c r="S649" s="90">
        <v>-0.05</v>
      </c>
      <c r="T649">
        <v>4.91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25">
      <c r="E650" t="s">
        <v>73</v>
      </c>
      <c r="F650" s="90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90">
        <v>0</v>
      </c>
    </row>
    <row r="651" spans="1:26" x14ac:dyDescent="0.25">
      <c r="D651" t="s">
        <v>156</v>
      </c>
      <c r="E651" t="s">
        <v>70</v>
      </c>
      <c r="F651" s="90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90">
        <v>0</v>
      </c>
    </row>
    <row r="652" spans="1:26" s="286" customFormat="1" ht="12.75" customHeight="1" x14ac:dyDescent="0.25">
      <c r="C652" s="286" t="s">
        <v>155</v>
      </c>
      <c r="D652" s="286" t="s">
        <v>70</v>
      </c>
      <c r="E652" s="229"/>
      <c r="F652" s="229">
        <v>0</v>
      </c>
      <c r="G652" s="23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30">
        <v>0</v>
      </c>
      <c r="N652" s="230">
        <v>0</v>
      </c>
      <c r="O652" s="230">
        <v>0</v>
      </c>
      <c r="P652" s="230">
        <v>0</v>
      </c>
      <c r="Q652" s="230">
        <v>0</v>
      </c>
      <c r="R652" s="230">
        <v>0</v>
      </c>
      <c r="S652" s="230">
        <v>0</v>
      </c>
      <c r="T652" s="230">
        <v>0</v>
      </c>
      <c r="U652" s="230">
        <v>0</v>
      </c>
      <c r="V652" s="230">
        <v>0</v>
      </c>
      <c r="W652" s="230">
        <v>0</v>
      </c>
      <c r="X652" s="230">
        <v>0</v>
      </c>
      <c r="Y652" s="230">
        <v>0</v>
      </c>
      <c r="Z652" s="230">
        <v>0</v>
      </c>
    </row>
    <row r="653" spans="1:26" x14ac:dyDescent="0.25">
      <c r="E653" t="s">
        <v>73</v>
      </c>
      <c r="F653" s="90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90">
        <v>0</v>
      </c>
    </row>
    <row r="654" spans="1:26" x14ac:dyDescent="0.25">
      <c r="D654" t="s">
        <v>82</v>
      </c>
      <c r="E654" t="s">
        <v>70</v>
      </c>
      <c r="F654" s="90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90">
        <v>0</v>
      </c>
    </row>
    <row r="655" spans="1:26" x14ac:dyDescent="0.25">
      <c r="E655" t="s">
        <v>73</v>
      </c>
      <c r="F655" s="90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90">
        <v>0</v>
      </c>
    </row>
    <row r="656" spans="1:26" x14ac:dyDescent="0.25">
      <c r="D656" t="s">
        <v>86</v>
      </c>
      <c r="E656" t="s">
        <v>70</v>
      </c>
      <c r="F656" s="90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90">
        <v>0</v>
      </c>
    </row>
    <row r="657" spans="1:26" x14ac:dyDescent="0.25">
      <c r="E657" t="s">
        <v>73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90">
        <v>0</v>
      </c>
    </row>
    <row r="658" spans="1:26" x14ac:dyDescent="0.25">
      <c r="D658" t="s">
        <v>87</v>
      </c>
      <c r="E658" t="s">
        <v>70</v>
      </c>
      <c r="F658" s="90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90">
        <v>0</v>
      </c>
    </row>
    <row r="659" spans="1:26" s="94" customFormat="1" ht="12.75" customHeight="1" x14ac:dyDescent="0.25">
      <c r="C659" s="101" t="s">
        <v>119</v>
      </c>
      <c r="D659" s="101" t="s">
        <v>70</v>
      </c>
      <c r="F659" s="93">
        <v>0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3">
        <v>0</v>
      </c>
      <c r="M659" s="93">
        <v>0</v>
      </c>
      <c r="N659" s="93">
        <v>0</v>
      </c>
      <c r="O659" s="93">
        <v>0</v>
      </c>
      <c r="P659" s="93">
        <v>0</v>
      </c>
      <c r="Q659" s="93">
        <v>0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0</v>
      </c>
      <c r="X659" s="93">
        <v>0</v>
      </c>
      <c r="Y659" s="93">
        <v>0</v>
      </c>
      <c r="Z659" s="93">
        <v>0</v>
      </c>
    </row>
    <row r="660" spans="1:26" s="378" customFormat="1" ht="12.75" customHeight="1" x14ac:dyDescent="0.25">
      <c r="B660" s="378" t="s">
        <v>122</v>
      </c>
      <c r="C660" s="378" t="s">
        <v>70</v>
      </c>
      <c r="E660" s="376"/>
      <c r="F660" s="710">
        <v>0</v>
      </c>
      <c r="G660" s="377">
        <v>0</v>
      </c>
      <c r="H660" s="377">
        <v>0</v>
      </c>
      <c r="I660" s="377">
        <v>0</v>
      </c>
      <c r="J660" s="377">
        <v>0</v>
      </c>
      <c r="K660" s="377">
        <v>0</v>
      </c>
      <c r="L660" s="377">
        <v>0</v>
      </c>
      <c r="M660" s="377">
        <v>0</v>
      </c>
      <c r="N660" s="377">
        <v>0</v>
      </c>
      <c r="O660" s="377">
        <v>0</v>
      </c>
      <c r="P660" s="377">
        <v>0</v>
      </c>
      <c r="Q660" s="377">
        <v>0</v>
      </c>
      <c r="R660" s="377">
        <v>0</v>
      </c>
      <c r="S660" s="377">
        <v>0</v>
      </c>
      <c r="T660" s="377">
        <v>0</v>
      </c>
      <c r="U660" s="377">
        <v>0</v>
      </c>
      <c r="V660" s="377">
        <v>0</v>
      </c>
      <c r="W660" s="377">
        <v>0</v>
      </c>
      <c r="X660" s="377">
        <v>0</v>
      </c>
      <c r="Y660" s="377">
        <v>0</v>
      </c>
      <c r="Z660" s="377">
        <v>0</v>
      </c>
    </row>
    <row r="661" spans="1:26" ht="12.75" customHeight="1" x14ac:dyDescent="0.25">
      <c r="E661" s="89" t="s">
        <v>73</v>
      </c>
      <c r="F661" s="371">
        <v>-170561819.88999999</v>
      </c>
      <c r="G661" s="90">
        <v>10753191.92</v>
      </c>
      <c r="H661" s="90">
        <v>5971219.0800000001</v>
      </c>
      <c r="I661" s="90">
        <v>3173606.36</v>
      </c>
      <c r="J661" s="90">
        <v>-72995240.969999999</v>
      </c>
      <c r="K661" s="90">
        <v>-2462189.9</v>
      </c>
      <c r="L661" s="90">
        <v>0</v>
      </c>
      <c r="M661" s="90">
        <v>-21620596.43</v>
      </c>
      <c r="N661" s="90">
        <v>-20865967.760000002</v>
      </c>
      <c r="O661" s="90">
        <v>-100905954.38</v>
      </c>
      <c r="P661" s="90">
        <v>32409631.539999999</v>
      </c>
      <c r="Q661" s="90">
        <v>-4019519.35</v>
      </c>
      <c r="R661" s="90">
        <v>0</v>
      </c>
      <c r="S661" s="90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ht="12.75" customHeight="1" x14ac:dyDescent="0.25">
      <c r="D662" t="s">
        <v>156</v>
      </c>
      <c r="E662" s="89" t="s">
        <v>70</v>
      </c>
      <c r="F662" s="371">
        <v>-170561819.88999999</v>
      </c>
      <c r="G662" s="90">
        <v>10753191.92</v>
      </c>
      <c r="H662" s="90">
        <v>5971219.0800000001</v>
      </c>
      <c r="I662" s="90">
        <v>3173606.36</v>
      </c>
      <c r="J662" s="90">
        <v>-72995240.969999999</v>
      </c>
      <c r="K662" s="90">
        <v>-2462189.9</v>
      </c>
      <c r="L662" s="90">
        <v>0</v>
      </c>
      <c r="M662" s="90">
        <v>-21620596.43</v>
      </c>
      <c r="N662" s="90">
        <v>-20865967.760000002</v>
      </c>
      <c r="O662" s="90">
        <v>-100905954.38</v>
      </c>
      <c r="P662" s="90">
        <v>32409631.539999999</v>
      </c>
      <c r="Q662" s="90">
        <v>-4019519.35</v>
      </c>
      <c r="R662" s="90">
        <v>0</v>
      </c>
      <c r="S662" s="90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s="656" customFormat="1" ht="12.75" customHeight="1" x14ac:dyDescent="0.25">
      <c r="A663" s="657"/>
      <c r="B663" s="657"/>
      <c r="C663" s="656" t="s">
        <v>155</v>
      </c>
      <c r="D663" s="656" t="s">
        <v>70</v>
      </c>
      <c r="F663" s="658">
        <v>-170561819.88999999</v>
      </c>
      <c r="G663" s="658">
        <v>10753191.92</v>
      </c>
      <c r="H663" s="658">
        <v>5971219.0800000001</v>
      </c>
      <c r="I663" s="658">
        <v>3173606.36</v>
      </c>
      <c r="J663" s="658">
        <v>-72995240.969999999</v>
      </c>
      <c r="K663" s="658">
        <v>-2462189.9</v>
      </c>
      <c r="L663" s="658">
        <v>0</v>
      </c>
      <c r="M663" s="658">
        <v>-21620596.43</v>
      </c>
      <c r="N663" s="658">
        <v>-20865967.760000002</v>
      </c>
      <c r="O663" s="658">
        <v>-100905954.38</v>
      </c>
      <c r="P663" s="658">
        <v>32409631.539999999</v>
      </c>
      <c r="Q663" s="658">
        <v>-4019519.35</v>
      </c>
      <c r="R663" s="658">
        <v>0</v>
      </c>
      <c r="S663" s="658">
        <v>0</v>
      </c>
      <c r="T663" s="656">
        <v>0</v>
      </c>
      <c r="U663" s="656">
        <v>0</v>
      </c>
      <c r="V663" s="656">
        <v>0</v>
      </c>
      <c r="W663" s="656">
        <v>0</v>
      </c>
      <c r="X663" s="656">
        <v>0</v>
      </c>
      <c r="Y663" s="656">
        <v>0</v>
      </c>
      <c r="Z663" s="656">
        <v>0</v>
      </c>
    </row>
    <row r="664" spans="1:26" ht="12.75" customHeight="1" x14ac:dyDescent="0.25">
      <c r="E664" s="89" t="s">
        <v>73</v>
      </c>
      <c r="F664" s="371">
        <v>-20676306.969999999</v>
      </c>
      <c r="G664" s="90">
        <v>-1030955.54</v>
      </c>
      <c r="H664" s="90">
        <v>-574040.59</v>
      </c>
      <c r="I664" s="90">
        <v>-305319.3</v>
      </c>
      <c r="J664" s="90">
        <v>-5151792.0999999996</v>
      </c>
      <c r="K664" s="90">
        <v>-169399.72</v>
      </c>
      <c r="L664" s="90">
        <v>0</v>
      </c>
      <c r="M664" s="90">
        <v>-1485911.9</v>
      </c>
      <c r="N664" s="90">
        <v>-1420513.45</v>
      </c>
      <c r="O664" s="90">
        <v>-7189457.9400000004</v>
      </c>
      <c r="P664" s="90">
        <v>-3072537.16</v>
      </c>
      <c r="Q664" s="90">
        <v>-276379.27</v>
      </c>
      <c r="R664" s="90">
        <v>0</v>
      </c>
      <c r="S664" s="90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t="12.75" customHeight="1" x14ac:dyDescent="0.25">
      <c r="D665" t="s">
        <v>156</v>
      </c>
      <c r="E665" s="89" t="s">
        <v>70</v>
      </c>
      <c r="F665" s="371">
        <v>-20676306.969999999</v>
      </c>
      <c r="G665" s="90">
        <v>-1030955.54</v>
      </c>
      <c r="H665" s="90">
        <v>-574040.59</v>
      </c>
      <c r="I665" s="90">
        <v>-305319.3</v>
      </c>
      <c r="J665" s="90">
        <v>-5151792.0999999996</v>
      </c>
      <c r="K665" s="90">
        <v>-169399.72</v>
      </c>
      <c r="L665" s="90">
        <v>0</v>
      </c>
      <c r="M665" s="90">
        <v>-1485911.9</v>
      </c>
      <c r="N665" s="90">
        <v>-1420513.45</v>
      </c>
      <c r="O665" s="90">
        <v>-7189457.9400000004</v>
      </c>
      <c r="P665" s="90">
        <v>-3072537.16</v>
      </c>
      <c r="Q665" s="90">
        <v>-276379.27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s="739" customFormat="1" ht="12.75" customHeight="1" x14ac:dyDescent="0.25">
      <c r="C666" s="739" t="s">
        <v>326</v>
      </c>
      <c r="D666" s="739" t="s">
        <v>70</v>
      </c>
      <c r="E666" s="231"/>
      <c r="F666" s="740">
        <v>-20676306.969999999</v>
      </c>
      <c r="G666" s="232">
        <v>-1030955.54</v>
      </c>
      <c r="H666" s="232">
        <v>-574040.59</v>
      </c>
      <c r="I666" s="232">
        <v>-305319.3</v>
      </c>
      <c r="J666" s="232">
        <v>-5151792.0999999996</v>
      </c>
      <c r="K666" s="232">
        <v>-169399.72</v>
      </c>
      <c r="L666" s="232">
        <v>0</v>
      </c>
      <c r="M666" s="232">
        <v>-1485911.9</v>
      </c>
      <c r="N666" s="232">
        <v>-1420513.45</v>
      </c>
      <c r="O666" s="232">
        <v>-7189457.9400000004</v>
      </c>
      <c r="P666" s="232">
        <v>-3072537.16</v>
      </c>
      <c r="Q666" s="232">
        <v>-276379.27</v>
      </c>
      <c r="R666" s="232">
        <v>0</v>
      </c>
      <c r="S666" s="232">
        <v>0</v>
      </c>
      <c r="T666" s="739">
        <v>0</v>
      </c>
      <c r="U666" s="739">
        <v>0</v>
      </c>
      <c r="V666" s="739">
        <v>0</v>
      </c>
      <c r="W666" s="739">
        <v>0</v>
      </c>
      <c r="X666" s="739">
        <v>0</v>
      </c>
      <c r="Y666" s="739">
        <v>0</v>
      </c>
      <c r="Z666" s="739">
        <v>0</v>
      </c>
    </row>
    <row r="667" spans="1:26" ht="12.75" customHeight="1" x14ac:dyDescent="0.25">
      <c r="E667" s="89" t="s">
        <v>73</v>
      </c>
      <c r="F667" s="371">
        <v>191228.37</v>
      </c>
      <c r="G667" s="90">
        <v>133039.57</v>
      </c>
      <c r="H667" s="90">
        <v>75310.73</v>
      </c>
      <c r="I667" s="90">
        <v>39747.31</v>
      </c>
      <c r="J667" s="90">
        <v>-39777.11</v>
      </c>
      <c r="K667" s="90">
        <v>-4210.01</v>
      </c>
      <c r="L667" s="90">
        <v>0</v>
      </c>
      <c r="M667" s="90">
        <v>-36921.14</v>
      </c>
      <c r="N667" s="90">
        <v>-53891.47</v>
      </c>
      <c r="O667" s="90">
        <v>-311814.94</v>
      </c>
      <c r="P667" s="90">
        <v>396614.53</v>
      </c>
      <c r="Q667" s="90">
        <v>-6869.1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t="12.75" customHeight="1" x14ac:dyDescent="0.25">
      <c r="D668" s="89" t="s">
        <v>82</v>
      </c>
      <c r="E668" s="89" t="s">
        <v>70</v>
      </c>
      <c r="F668" s="90">
        <v>191228.37</v>
      </c>
      <c r="G668" s="90">
        <v>133039.57</v>
      </c>
      <c r="H668" s="90">
        <v>75310.73</v>
      </c>
      <c r="I668" s="90">
        <v>39747.31</v>
      </c>
      <c r="J668" s="90">
        <v>-39777.11</v>
      </c>
      <c r="K668" s="90">
        <v>-4210.01</v>
      </c>
      <c r="L668" s="90">
        <v>0</v>
      </c>
      <c r="M668" s="90">
        <v>-36921.14</v>
      </c>
      <c r="N668" s="90">
        <v>-53891.47</v>
      </c>
      <c r="O668" s="90">
        <v>-311814.94</v>
      </c>
      <c r="P668" s="90">
        <v>396614.53</v>
      </c>
      <c r="Q668" s="90">
        <v>-6869.1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t="12.75" customHeight="1" x14ac:dyDescent="0.25">
      <c r="E669" s="89" t="s">
        <v>73</v>
      </c>
      <c r="F669" s="90">
        <v>2399773.79</v>
      </c>
      <c r="G669" s="90">
        <v>316955.67</v>
      </c>
      <c r="H669" s="90">
        <v>175303.8</v>
      </c>
      <c r="I669" s="90">
        <v>93368.94</v>
      </c>
      <c r="J669" s="90">
        <v>185831.99</v>
      </c>
      <c r="K669" s="90">
        <v>9144.51</v>
      </c>
      <c r="L669" s="90">
        <v>0</v>
      </c>
      <c r="M669" s="90">
        <v>84275.12</v>
      </c>
      <c r="N669" s="90">
        <v>94151.17</v>
      </c>
      <c r="O669" s="90">
        <v>470643.7</v>
      </c>
      <c r="P669" s="90">
        <v>955178.9</v>
      </c>
      <c r="Q669" s="90">
        <v>14919.99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t="12.75" customHeight="1" x14ac:dyDescent="0.25">
      <c r="D670" s="89" t="s">
        <v>86</v>
      </c>
      <c r="E670" s="89" t="s">
        <v>70</v>
      </c>
      <c r="F670" s="90">
        <v>2399773.79</v>
      </c>
      <c r="G670" s="90">
        <v>316955.67</v>
      </c>
      <c r="H670" s="90">
        <v>175303.8</v>
      </c>
      <c r="I670" s="90">
        <v>93368.94</v>
      </c>
      <c r="J670" s="90">
        <v>185831.99</v>
      </c>
      <c r="K670" s="90">
        <v>9144.51</v>
      </c>
      <c r="L670" s="90">
        <v>0</v>
      </c>
      <c r="M670" s="90">
        <v>84275.12</v>
      </c>
      <c r="N670" s="90">
        <v>94151.17</v>
      </c>
      <c r="O670" s="90">
        <v>470643.7</v>
      </c>
      <c r="P670" s="90">
        <v>955178.9</v>
      </c>
      <c r="Q670" s="90">
        <v>14919.99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t="12.75" customHeight="1" x14ac:dyDescent="0.25">
      <c r="E671" s="89" t="s">
        <v>73</v>
      </c>
      <c r="F671" s="90">
        <v>36270393.700000003</v>
      </c>
      <c r="G671" s="90">
        <v>7294256.5499999998</v>
      </c>
      <c r="H671" s="90">
        <v>4030099.58</v>
      </c>
      <c r="I671" s="90">
        <v>2148240.9700000002</v>
      </c>
      <c r="J671" s="90">
        <v>592932.37</v>
      </c>
      <c r="K671" s="90">
        <v>5598.69</v>
      </c>
      <c r="L671" s="90">
        <v>0</v>
      </c>
      <c r="M671" s="90">
        <v>50827.4</v>
      </c>
      <c r="N671" s="90">
        <v>53449.52</v>
      </c>
      <c r="O671" s="90">
        <v>301085.34999999998</v>
      </c>
      <c r="P671" s="90">
        <v>21784768.379999999</v>
      </c>
      <c r="Q671" s="90">
        <v>9134.89</v>
      </c>
      <c r="R671" s="90">
        <v>0</v>
      </c>
      <c r="S671" s="90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t="12.75" customHeight="1" x14ac:dyDescent="0.25">
      <c r="D672" s="89" t="s">
        <v>87</v>
      </c>
      <c r="E672" s="89" t="s">
        <v>70</v>
      </c>
      <c r="F672" s="90">
        <v>36270393.700000003</v>
      </c>
      <c r="G672" s="90">
        <v>7294256.5499999998</v>
      </c>
      <c r="H672" s="90">
        <v>4030099.58</v>
      </c>
      <c r="I672" s="90">
        <v>2148240.9700000002</v>
      </c>
      <c r="J672" s="90">
        <v>592932.37</v>
      </c>
      <c r="K672" s="90">
        <v>5598.69</v>
      </c>
      <c r="L672" s="90">
        <v>0</v>
      </c>
      <c r="M672" s="90">
        <v>50827.4</v>
      </c>
      <c r="N672" s="90">
        <v>53449.52</v>
      </c>
      <c r="O672" s="90">
        <v>301085.34999999998</v>
      </c>
      <c r="P672" s="90">
        <v>21784768.379999999</v>
      </c>
      <c r="Q672" s="90">
        <v>9134.89</v>
      </c>
      <c r="R672" s="90">
        <v>0</v>
      </c>
      <c r="S672" s="90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41" s="94" customFormat="1" ht="12.75" customHeight="1" x14ac:dyDescent="0.25">
      <c r="C673" s="94" t="s">
        <v>119</v>
      </c>
      <c r="D673" s="94" t="s">
        <v>70</v>
      </c>
      <c r="E673" s="101"/>
      <c r="F673" s="93">
        <v>38861395.859999999</v>
      </c>
      <c r="G673" s="93">
        <v>7744251.79</v>
      </c>
      <c r="H673" s="93">
        <v>4280714.1100000003</v>
      </c>
      <c r="I673" s="93">
        <v>2281357.2200000002</v>
      </c>
      <c r="J673" s="93">
        <v>738987.25</v>
      </c>
      <c r="K673" s="93">
        <v>10533.19</v>
      </c>
      <c r="L673" s="93">
        <v>0</v>
      </c>
      <c r="M673" s="93">
        <v>98181.38</v>
      </c>
      <c r="N673" s="93">
        <v>93709.22</v>
      </c>
      <c r="O673" s="93">
        <v>459914.11</v>
      </c>
      <c r="P673" s="93">
        <v>23136561.809999999</v>
      </c>
      <c r="Q673" s="93">
        <v>17185.78</v>
      </c>
      <c r="R673" s="93">
        <v>0</v>
      </c>
      <c r="S673" s="93">
        <v>0</v>
      </c>
      <c r="T673" s="94">
        <v>0</v>
      </c>
      <c r="U673" s="94">
        <v>0</v>
      </c>
      <c r="V673" s="94">
        <v>0</v>
      </c>
      <c r="W673" s="94">
        <v>0</v>
      </c>
      <c r="X673" s="94">
        <v>0</v>
      </c>
      <c r="Y673" s="94">
        <v>0</v>
      </c>
      <c r="Z673" s="94">
        <v>0</v>
      </c>
    </row>
    <row r="674" spans="1:41" s="226" customFormat="1" ht="12.75" customHeight="1" x14ac:dyDescent="0.25">
      <c r="B674" s="98" t="s">
        <v>112</v>
      </c>
      <c r="C674" s="98" t="s">
        <v>70</v>
      </c>
      <c r="F674" s="100">
        <v>-152376731</v>
      </c>
      <c r="G674" s="100">
        <v>17466488.170000002</v>
      </c>
      <c r="H674" s="100">
        <v>9677892.5999999996</v>
      </c>
      <c r="I674" s="100">
        <v>5149644.28</v>
      </c>
      <c r="J674" s="100">
        <v>-77408045.819999993</v>
      </c>
      <c r="K674" s="100">
        <v>-2621056.4300000002</v>
      </c>
      <c r="L674" s="100">
        <v>0</v>
      </c>
      <c r="M674" s="100">
        <v>-23008326.949999999</v>
      </c>
      <c r="N674" s="100">
        <v>-22192771.989999998</v>
      </c>
      <c r="O674" s="100">
        <v>-107635498.20999999</v>
      </c>
      <c r="P674" s="100">
        <v>52473656.189999998</v>
      </c>
      <c r="Q674" s="100">
        <v>-4278712.84</v>
      </c>
      <c r="R674" s="100">
        <v>0</v>
      </c>
      <c r="S674" s="100">
        <v>0</v>
      </c>
      <c r="T674" s="226">
        <v>0</v>
      </c>
      <c r="U674" s="226">
        <v>0</v>
      </c>
      <c r="V674" s="226">
        <v>0</v>
      </c>
      <c r="W674" s="226">
        <v>0</v>
      </c>
      <c r="X674" s="226">
        <v>0</v>
      </c>
      <c r="Y674" s="226">
        <v>0</v>
      </c>
      <c r="Z674" s="226">
        <v>0</v>
      </c>
    </row>
    <row r="675" spans="1:41" ht="12.75" customHeight="1" x14ac:dyDescent="0.25">
      <c r="A675" s="89" t="s">
        <v>79</v>
      </c>
      <c r="B675" s="89" t="s">
        <v>70</v>
      </c>
      <c r="F675" s="90">
        <v>-152376731</v>
      </c>
      <c r="G675" s="90">
        <v>17466488.170000002</v>
      </c>
      <c r="H675" s="90">
        <v>9677892.5999999996</v>
      </c>
      <c r="I675" s="90">
        <v>5149644.28</v>
      </c>
      <c r="J675" s="90">
        <v>-77408045.819999993</v>
      </c>
      <c r="K675" s="90">
        <v>-2621056.4300000002</v>
      </c>
      <c r="L675" s="90">
        <v>0</v>
      </c>
      <c r="M675" s="90">
        <v>-23008326.949999999</v>
      </c>
      <c r="N675" s="90">
        <v>-22192771.989999998</v>
      </c>
      <c r="O675" s="90">
        <v>-107635498.20999999</v>
      </c>
      <c r="P675" s="90">
        <v>52473656.189999998</v>
      </c>
      <c r="Q675" s="90">
        <v>-4278712.84</v>
      </c>
      <c r="R675" s="90">
        <v>0</v>
      </c>
      <c r="S675" s="90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41" ht="12.75" customHeight="1" x14ac:dyDescent="0.25">
      <c r="A676" s="89" t="s">
        <v>70</v>
      </c>
      <c r="F676" s="90">
        <v>7556633218</v>
      </c>
      <c r="G676" s="90">
        <v>425611959.97000003</v>
      </c>
      <c r="H676" s="90">
        <v>236795933.33000001</v>
      </c>
      <c r="I676" s="90">
        <v>125990673.31</v>
      </c>
      <c r="J676" s="90">
        <v>1786859848.8199999</v>
      </c>
      <c r="K676" s="90">
        <v>59452070.399999999</v>
      </c>
      <c r="L676" s="90">
        <v>12379938.060000001</v>
      </c>
      <c r="M676" s="90">
        <v>521676008.81999999</v>
      </c>
      <c r="N676" s="90">
        <v>490766033.75</v>
      </c>
      <c r="O676" s="90">
        <v>2532924946.4400001</v>
      </c>
      <c r="P676" s="90">
        <v>1267151382.5599999</v>
      </c>
      <c r="Q676" s="90">
        <v>97013738.159999996</v>
      </c>
      <c r="R676" s="90">
        <v>10679.52</v>
      </c>
      <c r="S676" s="90">
        <v>-0.05</v>
      </c>
      <c r="T676">
        <v>4.91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41" ht="12.75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150"/>
    </row>
    <row r="678" spans="1:41" ht="12.75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41" ht="12.75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41" ht="12.75" customHeight="1" x14ac:dyDescent="0.25">
      <c r="C680" s="777" t="s">
        <v>2</v>
      </c>
      <c r="D680" s="774" t="s">
        <v>132</v>
      </c>
      <c r="E680" s="98" t="s">
        <v>70</v>
      </c>
      <c r="F680" s="100">
        <f>F674+F648+F613-L613-L648</f>
        <v>7544253279.9399996</v>
      </c>
      <c r="G680" s="100">
        <f t="shared" ref="G680:AO680" si="32">G648+G613</f>
        <v>408145471.80000001</v>
      </c>
      <c r="H680" s="100">
        <f t="shared" si="32"/>
        <v>227118040.72999999</v>
      </c>
      <c r="I680" s="100">
        <f t="shared" si="32"/>
        <v>120841029.03</v>
      </c>
      <c r="J680" s="100">
        <f t="shared" si="32"/>
        <v>1864267894.6400001</v>
      </c>
      <c r="K680" s="100">
        <f t="shared" si="32"/>
        <v>62073126.829999998</v>
      </c>
      <c r="L680" s="100">
        <f t="shared" si="32"/>
        <v>12379938.060000001</v>
      </c>
      <c r="M680" s="100">
        <f t="shared" si="32"/>
        <v>544684335.76999998</v>
      </c>
      <c r="N680" s="100">
        <f t="shared" si="32"/>
        <v>512958805.74000001</v>
      </c>
      <c r="O680" s="100">
        <f t="shared" si="32"/>
        <v>2640560444.6500001</v>
      </c>
      <c r="P680" s="100">
        <f t="shared" si="32"/>
        <v>1214677726.3699999</v>
      </c>
      <c r="Q680" s="100">
        <f t="shared" si="32"/>
        <v>101292451</v>
      </c>
      <c r="R680" s="100">
        <f t="shared" si="32"/>
        <v>10679.52</v>
      </c>
      <c r="S680" s="100">
        <f t="shared" si="32"/>
        <v>-0.05</v>
      </c>
      <c r="T680" s="100">
        <f t="shared" si="32"/>
        <v>4.91</v>
      </c>
      <c r="U680" s="100">
        <f t="shared" si="32"/>
        <v>0</v>
      </c>
      <c r="V680" s="100">
        <f t="shared" si="32"/>
        <v>0</v>
      </c>
      <c r="W680" s="100">
        <f t="shared" si="32"/>
        <v>0</v>
      </c>
      <c r="X680" s="100">
        <f t="shared" si="32"/>
        <v>0</v>
      </c>
      <c r="Y680" s="100">
        <f t="shared" si="32"/>
        <v>0</v>
      </c>
      <c r="Z680" s="100">
        <f t="shared" si="32"/>
        <v>0</v>
      </c>
      <c r="AA680" s="100">
        <f t="shared" si="32"/>
        <v>0</v>
      </c>
      <c r="AB680" s="100">
        <f t="shared" si="32"/>
        <v>0</v>
      </c>
      <c r="AC680" s="100">
        <f t="shared" si="32"/>
        <v>0</v>
      </c>
      <c r="AD680" s="100">
        <f t="shared" si="32"/>
        <v>0</v>
      </c>
      <c r="AE680" s="100">
        <f t="shared" si="32"/>
        <v>0</v>
      </c>
      <c r="AF680" s="100">
        <f t="shared" si="32"/>
        <v>0</v>
      </c>
      <c r="AG680" s="100">
        <f t="shared" si="32"/>
        <v>0</v>
      </c>
      <c r="AH680" s="100">
        <f t="shared" si="32"/>
        <v>0</v>
      </c>
      <c r="AI680" s="100">
        <f t="shared" si="32"/>
        <v>0</v>
      </c>
      <c r="AJ680" s="100">
        <f t="shared" si="32"/>
        <v>0</v>
      </c>
      <c r="AK680" s="100">
        <f t="shared" si="32"/>
        <v>0</v>
      </c>
      <c r="AL680" s="100">
        <f t="shared" si="32"/>
        <v>0</v>
      </c>
      <c r="AM680" s="100">
        <f t="shared" si="32"/>
        <v>0</v>
      </c>
      <c r="AN680" s="100">
        <f t="shared" si="32"/>
        <v>0</v>
      </c>
      <c r="AO680" s="100">
        <f t="shared" si="32"/>
        <v>0</v>
      </c>
    </row>
    <row r="681" spans="1:41" ht="12.75" customHeight="1" x14ac:dyDescent="0.25">
      <c r="C681" s="777"/>
      <c r="D681" s="774"/>
      <c r="E681" s="98" t="s">
        <v>73</v>
      </c>
      <c r="F681" s="100">
        <f>F674</f>
        <v>-152376731</v>
      </c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41" ht="12.75" customHeight="1" x14ac:dyDescent="0.25">
      <c r="C682" s="777"/>
      <c r="D682" s="774" t="s">
        <v>133</v>
      </c>
      <c r="E682" s="233" t="s">
        <v>70</v>
      </c>
      <c r="F682" s="234">
        <f>F660+F629-L629</f>
        <v>0</v>
      </c>
      <c r="G682" s="234">
        <f>G629</f>
        <v>0</v>
      </c>
      <c r="H682" s="234">
        <f t="shared" ref="H682:AO682" si="33">H629</f>
        <v>0</v>
      </c>
      <c r="I682" s="234">
        <f t="shared" si="33"/>
        <v>0</v>
      </c>
      <c r="J682" s="234">
        <f t="shared" si="33"/>
        <v>0</v>
      </c>
      <c r="K682" s="234">
        <f t="shared" si="33"/>
        <v>0</v>
      </c>
      <c r="L682" s="234">
        <f t="shared" si="33"/>
        <v>0</v>
      </c>
      <c r="M682" s="234">
        <f t="shared" si="33"/>
        <v>0</v>
      </c>
      <c r="N682" s="234">
        <f t="shared" si="33"/>
        <v>0</v>
      </c>
      <c r="O682" s="234">
        <f t="shared" si="33"/>
        <v>0</v>
      </c>
      <c r="P682" s="234">
        <f t="shared" si="33"/>
        <v>0</v>
      </c>
      <c r="Q682" s="234">
        <f t="shared" si="33"/>
        <v>0</v>
      </c>
      <c r="R682" s="234">
        <f t="shared" si="33"/>
        <v>0</v>
      </c>
      <c r="S682" s="234">
        <f t="shared" si="33"/>
        <v>0</v>
      </c>
      <c r="T682" s="234">
        <f t="shared" si="33"/>
        <v>0</v>
      </c>
      <c r="U682" s="234">
        <f t="shared" si="33"/>
        <v>0</v>
      </c>
      <c r="V682" s="234">
        <f t="shared" si="33"/>
        <v>0</v>
      </c>
      <c r="W682" s="234">
        <f t="shared" si="33"/>
        <v>0</v>
      </c>
      <c r="X682" s="234">
        <f t="shared" si="33"/>
        <v>0</v>
      </c>
      <c r="Y682" s="234">
        <f t="shared" si="33"/>
        <v>0</v>
      </c>
      <c r="Z682" s="234">
        <f t="shared" si="33"/>
        <v>0</v>
      </c>
      <c r="AA682" s="234">
        <f t="shared" si="33"/>
        <v>0</v>
      </c>
      <c r="AB682" s="234">
        <f t="shared" si="33"/>
        <v>0</v>
      </c>
      <c r="AC682" s="234">
        <f t="shared" si="33"/>
        <v>0</v>
      </c>
      <c r="AD682" s="234">
        <f t="shared" si="33"/>
        <v>0</v>
      </c>
      <c r="AE682" s="234">
        <f t="shared" si="33"/>
        <v>0</v>
      </c>
      <c r="AF682" s="234">
        <f t="shared" si="33"/>
        <v>0</v>
      </c>
      <c r="AG682" s="234">
        <f t="shared" si="33"/>
        <v>0</v>
      </c>
      <c r="AH682" s="234">
        <f t="shared" si="33"/>
        <v>0</v>
      </c>
      <c r="AI682" s="234">
        <f t="shared" si="33"/>
        <v>0</v>
      </c>
      <c r="AJ682" s="234">
        <f t="shared" si="33"/>
        <v>0</v>
      </c>
      <c r="AK682" s="234">
        <f t="shared" si="33"/>
        <v>0</v>
      </c>
      <c r="AL682" s="234">
        <f t="shared" si="33"/>
        <v>0</v>
      </c>
      <c r="AM682" s="234">
        <f t="shared" si="33"/>
        <v>0</v>
      </c>
      <c r="AN682" s="234">
        <f t="shared" si="33"/>
        <v>0</v>
      </c>
      <c r="AO682" s="234">
        <f t="shared" si="33"/>
        <v>0</v>
      </c>
    </row>
    <row r="683" spans="1:41" ht="12.75" customHeight="1" x14ac:dyDescent="0.25">
      <c r="C683" s="777"/>
      <c r="D683" s="774"/>
      <c r="E683" s="233" t="s">
        <v>73</v>
      </c>
      <c r="F683" s="234">
        <f>F660</f>
        <v>0</v>
      </c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</row>
    <row r="684" spans="1:41" ht="12.75" customHeight="1" x14ac:dyDescent="0.25">
      <c r="A684" s="89"/>
      <c r="C684" s="9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41" ht="12.75" customHeight="1" x14ac:dyDescent="0.25">
      <c r="C685" s="777" t="s">
        <v>160</v>
      </c>
      <c r="D685" s="774" t="s">
        <v>132</v>
      </c>
      <c r="E685" s="223" t="s">
        <v>70</v>
      </c>
      <c r="F685" s="225">
        <v>0</v>
      </c>
      <c r="G685" s="225">
        <v>0</v>
      </c>
      <c r="H685" s="225">
        <v>0</v>
      </c>
      <c r="I685" s="225">
        <v>0</v>
      </c>
      <c r="J685" s="225">
        <v>0</v>
      </c>
      <c r="K685" s="225">
        <v>0</v>
      </c>
      <c r="L685" s="225">
        <v>0</v>
      </c>
      <c r="M685" s="225">
        <v>0</v>
      </c>
      <c r="N685" s="225">
        <v>0</v>
      </c>
      <c r="O685" s="225">
        <v>0</v>
      </c>
      <c r="P685" s="225">
        <v>0</v>
      </c>
      <c r="Q685" s="225">
        <v>0</v>
      </c>
      <c r="R685" s="225">
        <v>0</v>
      </c>
      <c r="S685" s="225">
        <v>0</v>
      </c>
      <c r="T685" s="225">
        <v>0</v>
      </c>
      <c r="U685" s="225"/>
      <c r="V685" s="225"/>
      <c r="W685" s="225"/>
      <c r="X685" s="225">
        <v>0</v>
      </c>
      <c r="Y685" s="225">
        <v>0</v>
      </c>
      <c r="Z685" s="225">
        <v>0</v>
      </c>
      <c r="AA685" s="225">
        <v>0</v>
      </c>
      <c r="AB685" s="225">
        <v>0</v>
      </c>
      <c r="AC685" s="225">
        <v>0</v>
      </c>
      <c r="AD685" s="225">
        <v>0</v>
      </c>
      <c r="AE685" s="225">
        <v>0</v>
      </c>
      <c r="AF685" s="225">
        <v>0</v>
      </c>
      <c r="AG685" s="225">
        <v>0</v>
      </c>
      <c r="AH685" s="225">
        <v>0</v>
      </c>
      <c r="AI685" s="225">
        <v>0</v>
      </c>
      <c r="AJ685" s="225">
        <v>0</v>
      </c>
      <c r="AK685" s="225">
        <v>0</v>
      </c>
      <c r="AL685" s="225">
        <v>0</v>
      </c>
      <c r="AM685" s="225">
        <v>0</v>
      </c>
      <c r="AN685" s="225">
        <v>0</v>
      </c>
      <c r="AO685" s="225">
        <v>0</v>
      </c>
    </row>
    <row r="686" spans="1:41" ht="12.75" customHeight="1" x14ac:dyDescent="0.25">
      <c r="C686" s="777"/>
      <c r="D686" s="774"/>
      <c r="E686" s="223" t="s">
        <v>73</v>
      </c>
      <c r="F686" s="225">
        <v>0</v>
      </c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41" ht="12.75" customHeight="1" x14ac:dyDescent="0.25">
      <c r="C687" s="777"/>
      <c r="D687" s="774" t="s">
        <v>133</v>
      </c>
      <c r="E687" s="227" t="s">
        <v>70</v>
      </c>
      <c r="F687" s="228">
        <v>0</v>
      </c>
      <c r="G687" s="228">
        <v>0</v>
      </c>
      <c r="H687" s="228">
        <v>0</v>
      </c>
      <c r="I687" s="228">
        <v>0</v>
      </c>
      <c r="J687" s="228">
        <v>0</v>
      </c>
      <c r="K687" s="228">
        <v>0</v>
      </c>
      <c r="L687" s="228">
        <v>0</v>
      </c>
      <c r="M687" s="228">
        <v>0</v>
      </c>
      <c r="N687" s="228">
        <v>0</v>
      </c>
      <c r="O687" s="228">
        <v>0</v>
      </c>
      <c r="P687" s="228">
        <v>0</v>
      </c>
      <c r="Q687" s="228">
        <v>0</v>
      </c>
      <c r="R687" s="228">
        <v>0</v>
      </c>
      <c r="S687" s="228">
        <v>0</v>
      </c>
      <c r="T687" s="228">
        <v>0</v>
      </c>
      <c r="U687" s="228"/>
      <c r="V687" s="228"/>
      <c r="W687" s="228"/>
      <c r="X687" s="228">
        <v>0</v>
      </c>
      <c r="Y687" s="228">
        <v>0</v>
      </c>
      <c r="Z687" s="228">
        <v>0</v>
      </c>
      <c r="AA687" s="228">
        <v>0</v>
      </c>
      <c r="AB687" s="228">
        <v>0</v>
      </c>
      <c r="AC687" s="228">
        <v>0</v>
      </c>
      <c r="AD687" s="228">
        <v>0</v>
      </c>
      <c r="AE687" s="228">
        <v>0</v>
      </c>
      <c r="AF687" s="228">
        <v>0</v>
      </c>
      <c r="AG687" s="228">
        <v>0</v>
      </c>
      <c r="AH687" s="228">
        <v>0</v>
      </c>
      <c r="AI687" s="228">
        <v>0</v>
      </c>
      <c r="AJ687" s="228">
        <v>0</v>
      </c>
      <c r="AK687" s="228">
        <v>0</v>
      </c>
      <c r="AL687" s="228">
        <v>0</v>
      </c>
      <c r="AM687" s="228">
        <v>0</v>
      </c>
      <c r="AN687" s="228">
        <v>0</v>
      </c>
      <c r="AO687" s="228">
        <v>0</v>
      </c>
    </row>
    <row r="688" spans="1:41" ht="12.75" customHeight="1" x14ac:dyDescent="0.25">
      <c r="C688" s="777"/>
      <c r="D688" s="774"/>
      <c r="E688" s="227" t="s">
        <v>73</v>
      </c>
      <c r="F688" s="228">
        <v>0</v>
      </c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</row>
    <row r="689" spans="1:41" ht="12.75" customHeight="1" x14ac:dyDescent="0.25">
      <c r="A689" s="89"/>
      <c r="C689" s="9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customHeight="1" x14ac:dyDescent="0.25">
      <c r="C690" s="777" t="s">
        <v>155</v>
      </c>
      <c r="D690" s="774" t="s">
        <v>132</v>
      </c>
      <c r="E690" s="221" t="s">
        <v>70</v>
      </c>
      <c r="F690" s="222">
        <f>F663+F633-L633</f>
        <v>7233177428.1300001</v>
      </c>
      <c r="G690" s="222">
        <f>G633</f>
        <v>383226244.79000002</v>
      </c>
      <c r="H690" s="222">
        <f t="shared" ref="H690:AO690" si="34">H633</f>
        <v>213399131.62</v>
      </c>
      <c r="I690" s="222">
        <f t="shared" si="34"/>
        <v>113487155.67</v>
      </c>
      <c r="J690" s="222">
        <f t="shared" si="34"/>
        <v>1813158921.0699999</v>
      </c>
      <c r="K690" s="222">
        <f t="shared" si="34"/>
        <v>60280537.299999997</v>
      </c>
      <c r="L690" s="222">
        <f t="shared" si="34"/>
        <v>10471696.869999999</v>
      </c>
      <c r="M690" s="222">
        <f t="shared" si="34"/>
        <v>528865960.60000002</v>
      </c>
      <c r="N690" s="222">
        <f t="shared" si="34"/>
        <v>496788585.52999997</v>
      </c>
      <c r="O690" s="222">
        <f t="shared" si="34"/>
        <v>2555805599.5999999</v>
      </c>
      <c r="P690" s="222">
        <f t="shared" si="34"/>
        <v>1140353351.6900001</v>
      </c>
      <c r="Q690" s="222">
        <f t="shared" si="34"/>
        <v>98362156.760000005</v>
      </c>
      <c r="R690" s="222">
        <f t="shared" si="34"/>
        <v>11598.57</v>
      </c>
      <c r="S690" s="222">
        <f t="shared" si="34"/>
        <v>0</v>
      </c>
      <c r="T690" s="222">
        <f t="shared" si="34"/>
        <v>4.82</v>
      </c>
      <c r="U690" s="222">
        <f t="shared" si="34"/>
        <v>0</v>
      </c>
      <c r="V690" s="222">
        <f t="shared" si="34"/>
        <v>0</v>
      </c>
      <c r="W690" s="222">
        <f t="shared" si="34"/>
        <v>0</v>
      </c>
      <c r="X690" s="222">
        <f t="shared" si="34"/>
        <v>0</v>
      </c>
      <c r="Y690" s="222">
        <f t="shared" si="34"/>
        <v>0</v>
      </c>
      <c r="Z690" s="222">
        <f t="shared" si="34"/>
        <v>0</v>
      </c>
      <c r="AA690" s="222">
        <f t="shared" si="34"/>
        <v>0</v>
      </c>
      <c r="AB690" s="222">
        <f t="shared" si="34"/>
        <v>0</v>
      </c>
      <c r="AC690" s="222">
        <f t="shared" si="34"/>
        <v>0</v>
      </c>
      <c r="AD690" s="222">
        <f t="shared" si="34"/>
        <v>0</v>
      </c>
      <c r="AE690" s="222">
        <f t="shared" si="34"/>
        <v>0</v>
      </c>
      <c r="AF690" s="222">
        <f t="shared" si="34"/>
        <v>0</v>
      </c>
      <c r="AG690" s="222">
        <f t="shared" si="34"/>
        <v>0</v>
      </c>
      <c r="AH690" s="222">
        <f t="shared" si="34"/>
        <v>0</v>
      </c>
      <c r="AI690" s="222">
        <f t="shared" si="34"/>
        <v>0</v>
      </c>
      <c r="AJ690" s="222">
        <f t="shared" si="34"/>
        <v>0</v>
      </c>
      <c r="AK690" s="222">
        <f t="shared" si="34"/>
        <v>0</v>
      </c>
      <c r="AL690" s="222">
        <f t="shared" si="34"/>
        <v>0</v>
      </c>
      <c r="AM690" s="222">
        <f t="shared" si="34"/>
        <v>0</v>
      </c>
      <c r="AN690" s="222">
        <f t="shared" si="34"/>
        <v>0</v>
      </c>
      <c r="AO690" s="222">
        <f t="shared" si="34"/>
        <v>0</v>
      </c>
    </row>
    <row r="691" spans="1:41" ht="12.75" customHeight="1" x14ac:dyDescent="0.25">
      <c r="C691" s="777"/>
      <c r="D691" s="774"/>
      <c r="E691" s="221" t="s">
        <v>73</v>
      </c>
      <c r="F691" s="222">
        <f>F663</f>
        <v>-170561819.88999999</v>
      </c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7"/>
      <c r="D692" s="774" t="s">
        <v>133</v>
      </c>
      <c r="E692" s="242" t="s">
        <v>70</v>
      </c>
      <c r="F692" s="243">
        <f>F652+F618-L618</f>
        <v>0</v>
      </c>
      <c r="G692" s="243">
        <f>G618</f>
        <v>0</v>
      </c>
      <c r="H692" s="243">
        <f t="shared" ref="H692:AO692" si="35">H618</f>
        <v>0</v>
      </c>
      <c r="I692" s="243">
        <f t="shared" si="35"/>
        <v>0</v>
      </c>
      <c r="J692" s="243">
        <f t="shared" si="35"/>
        <v>0</v>
      </c>
      <c r="K692" s="243">
        <f t="shared" si="35"/>
        <v>0</v>
      </c>
      <c r="L692" s="243">
        <f t="shared" si="35"/>
        <v>0</v>
      </c>
      <c r="M692" s="243">
        <f t="shared" si="35"/>
        <v>0</v>
      </c>
      <c r="N692" s="243">
        <f t="shared" si="35"/>
        <v>0</v>
      </c>
      <c r="O692" s="243">
        <f t="shared" si="35"/>
        <v>0</v>
      </c>
      <c r="P692" s="243">
        <f t="shared" si="35"/>
        <v>0</v>
      </c>
      <c r="Q692" s="243">
        <f t="shared" si="35"/>
        <v>0</v>
      </c>
      <c r="R692" s="243">
        <f t="shared" si="35"/>
        <v>0</v>
      </c>
      <c r="S692" s="243">
        <f t="shared" si="35"/>
        <v>0</v>
      </c>
      <c r="T692" s="243">
        <f t="shared" si="35"/>
        <v>0</v>
      </c>
      <c r="U692" s="243">
        <f t="shared" si="35"/>
        <v>0</v>
      </c>
      <c r="V692" s="243">
        <f t="shared" si="35"/>
        <v>0</v>
      </c>
      <c r="W692" s="243">
        <f t="shared" si="35"/>
        <v>0</v>
      </c>
      <c r="X692" s="243">
        <f t="shared" si="35"/>
        <v>0</v>
      </c>
      <c r="Y692" s="243">
        <f t="shared" si="35"/>
        <v>0</v>
      </c>
      <c r="Z692" s="243">
        <f t="shared" si="35"/>
        <v>0</v>
      </c>
      <c r="AA692" s="243">
        <f t="shared" si="35"/>
        <v>0</v>
      </c>
      <c r="AB692" s="243">
        <f t="shared" si="35"/>
        <v>0</v>
      </c>
      <c r="AC692" s="243">
        <f t="shared" si="35"/>
        <v>0</v>
      </c>
      <c r="AD692" s="243">
        <f t="shared" si="35"/>
        <v>0</v>
      </c>
      <c r="AE692" s="243">
        <f t="shared" si="35"/>
        <v>0</v>
      </c>
      <c r="AF692" s="243">
        <f t="shared" si="35"/>
        <v>0</v>
      </c>
      <c r="AG692" s="243">
        <f t="shared" si="35"/>
        <v>0</v>
      </c>
      <c r="AH692" s="243">
        <f t="shared" si="35"/>
        <v>0</v>
      </c>
      <c r="AI692" s="243">
        <f t="shared" si="35"/>
        <v>0</v>
      </c>
      <c r="AJ692" s="243">
        <f t="shared" si="35"/>
        <v>0</v>
      </c>
      <c r="AK692" s="243">
        <f t="shared" si="35"/>
        <v>0</v>
      </c>
      <c r="AL692" s="243">
        <f t="shared" si="35"/>
        <v>0</v>
      </c>
      <c r="AM692" s="243">
        <f t="shared" si="35"/>
        <v>0</v>
      </c>
      <c r="AN692" s="243">
        <f t="shared" si="35"/>
        <v>0</v>
      </c>
      <c r="AO692" s="243">
        <f t="shared" si="35"/>
        <v>0</v>
      </c>
    </row>
    <row r="693" spans="1:41" ht="12.75" customHeight="1" x14ac:dyDescent="0.25">
      <c r="C693" s="777"/>
      <c r="D693" s="774"/>
      <c r="E693" s="242" t="s">
        <v>73</v>
      </c>
      <c r="F693" s="243">
        <f>F652</f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</row>
    <row r="694" spans="1:41" ht="12.75" customHeight="1" x14ac:dyDescent="0.25">
      <c r="A694" s="89"/>
      <c r="C694" s="9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spans="1:41" ht="12.75" customHeight="1" x14ac:dyDescent="0.25">
      <c r="C695" s="775" t="s">
        <v>326</v>
      </c>
      <c r="D695" s="774" t="s">
        <v>132</v>
      </c>
      <c r="E695" s="373" t="s">
        <v>70</v>
      </c>
      <c r="F695" s="374">
        <f>F666+F637-L637</f>
        <v>139510580</v>
      </c>
      <c r="G695" s="374">
        <f>G637</f>
        <v>8666290.4399999995</v>
      </c>
      <c r="H695" s="374">
        <f t="shared" ref="H695:AO695" si="36">H637</f>
        <v>4836297.78</v>
      </c>
      <c r="I695" s="374">
        <f t="shared" si="36"/>
        <v>2584164.52</v>
      </c>
      <c r="J695" s="374">
        <f t="shared" si="36"/>
        <v>38419843.039999999</v>
      </c>
      <c r="K695" s="374">
        <f t="shared" si="36"/>
        <v>1269098.3899999999</v>
      </c>
      <c r="L695" s="374">
        <f>L637</f>
        <v>0</v>
      </c>
      <c r="M695" s="374">
        <f t="shared" si="36"/>
        <v>11146402.07</v>
      </c>
      <c r="N695" s="374">
        <f t="shared" si="36"/>
        <v>10565640.77</v>
      </c>
      <c r="O695" s="374">
        <f t="shared" si="36"/>
        <v>54685399.630000003</v>
      </c>
      <c r="P695" s="374">
        <f t="shared" si="36"/>
        <v>25943616.440000001</v>
      </c>
      <c r="Q695" s="374">
        <f t="shared" si="36"/>
        <v>2070340.36</v>
      </c>
      <c r="R695" s="374">
        <f t="shared" si="36"/>
        <v>-206.46</v>
      </c>
      <c r="S695" s="374">
        <f t="shared" si="36"/>
        <v>-0.01</v>
      </c>
      <c r="T695" s="374">
        <f t="shared" si="36"/>
        <v>0</v>
      </c>
      <c r="U695" s="374">
        <f t="shared" si="36"/>
        <v>0</v>
      </c>
      <c r="V695" s="374">
        <f t="shared" si="36"/>
        <v>0</v>
      </c>
      <c r="W695" s="374">
        <f t="shared" si="36"/>
        <v>0</v>
      </c>
      <c r="X695" s="374">
        <f t="shared" si="36"/>
        <v>0</v>
      </c>
      <c r="Y695" s="374">
        <f t="shared" si="36"/>
        <v>0</v>
      </c>
      <c r="Z695" s="374">
        <f t="shared" si="36"/>
        <v>0</v>
      </c>
      <c r="AA695" s="374">
        <f t="shared" si="36"/>
        <v>0</v>
      </c>
      <c r="AB695" s="374">
        <f t="shared" si="36"/>
        <v>0</v>
      </c>
      <c r="AC695" s="374">
        <f t="shared" si="36"/>
        <v>0</v>
      </c>
      <c r="AD695" s="374">
        <f t="shared" si="36"/>
        <v>0</v>
      </c>
      <c r="AE695" s="374">
        <f t="shared" si="36"/>
        <v>0</v>
      </c>
      <c r="AF695" s="374">
        <f t="shared" si="36"/>
        <v>0</v>
      </c>
      <c r="AG695" s="374">
        <f t="shared" si="36"/>
        <v>0</v>
      </c>
      <c r="AH695" s="374">
        <f t="shared" si="36"/>
        <v>0</v>
      </c>
      <c r="AI695" s="374">
        <f t="shared" si="36"/>
        <v>0</v>
      </c>
      <c r="AJ695" s="374">
        <f t="shared" si="36"/>
        <v>0</v>
      </c>
      <c r="AK695" s="374">
        <f t="shared" si="36"/>
        <v>0</v>
      </c>
      <c r="AL695" s="374">
        <f t="shared" si="36"/>
        <v>0</v>
      </c>
      <c r="AM695" s="374">
        <f t="shared" si="36"/>
        <v>0</v>
      </c>
      <c r="AN695" s="374">
        <f t="shared" si="36"/>
        <v>0</v>
      </c>
      <c r="AO695" s="374">
        <f t="shared" si="36"/>
        <v>0</v>
      </c>
    </row>
    <row r="696" spans="1:41" ht="12.75" customHeight="1" x14ac:dyDescent="0.25">
      <c r="C696" s="775"/>
      <c r="D696" s="774"/>
      <c r="E696" s="373" t="s">
        <v>73</v>
      </c>
      <c r="F696" s="374">
        <f>F666</f>
        <v>-20676306.969999999</v>
      </c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5"/>
      <c r="D697" s="774" t="s">
        <v>133</v>
      </c>
      <c r="E697" s="242" t="s">
        <v>70</v>
      </c>
      <c r="F697" s="243">
        <v>0</v>
      </c>
      <c r="G697" s="243">
        <v>0</v>
      </c>
      <c r="H697" s="243">
        <v>0</v>
      </c>
      <c r="I697" s="243">
        <v>0</v>
      </c>
      <c r="J697" s="243">
        <v>0</v>
      </c>
      <c r="K697" s="243">
        <v>0</v>
      </c>
      <c r="L697" s="243">
        <v>0</v>
      </c>
      <c r="M697" s="243">
        <v>0</v>
      </c>
      <c r="N697" s="243">
        <v>0</v>
      </c>
      <c r="O697" s="243">
        <v>0</v>
      </c>
      <c r="P697" s="243">
        <v>0</v>
      </c>
      <c r="Q697" s="243">
        <v>0</v>
      </c>
      <c r="R697" s="243">
        <v>0</v>
      </c>
      <c r="S697" s="243">
        <v>0</v>
      </c>
      <c r="T697" s="243">
        <v>0</v>
      </c>
      <c r="U697" s="243">
        <v>0</v>
      </c>
      <c r="V697" s="243">
        <v>0</v>
      </c>
      <c r="W697" s="243">
        <v>0</v>
      </c>
      <c r="X697" s="243">
        <v>0</v>
      </c>
      <c r="Y697" s="243">
        <v>0</v>
      </c>
      <c r="Z697" s="243">
        <v>0</v>
      </c>
      <c r="AA697" s="243">
        <v>0</v>
      </c>
      <c r="AB697" s="243">
        <v>0</v>
      </c>
      <c r="AC697" s="243">
        <v>0</v>
      </c>
      <c r="AD697" s="243">
        <v>0</v>
      </c>
      <c r="AE697" s="243">
        <v>0</v>
      </c>
      <c r="AF697" s="243">
        <v>0</v>
      </c>
      <c r="AG697" s="243">
        <v>0</v>
      </c>
      <c r="AH697" s="243">
        <v>0</v>
      </c>
      <c r="AI697" s="243">
        <v>0</v>
      </c>
      <c r="AJ697" s="243">
        <v>0</v>
      </c>
      <c r="AK697" s="243">
        <v>0</v>
      </c>
      <c r="AL697" s="243">
        <v>0</v>
      </c>
      <c r="AM697" s="243">
        <v>0</v>
      </c>
      <c r="AN697" s="243">
        <v>0</v>
      </c>
      <c r="AO697" s="243">
        <v>0</v>
      </c>
    </row>
    <row r="698" spans="1:41" ht="12.75" customHeight="1" x14ac:dyDescent="0.25">
      <c r="C698" s="775"/>
      <c r="D698" s="774"/>
      <c r="E698" s="242" t="s">
        <v>73</v>
      </c>
      <c r="F698" s="243"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</row>
    <row r="699" spans="1:41" ht="12.75" customHeight="1" x14ac:dyDescent="0.25">
      <c r="C699" s="719"/>
      <c r="D699" s="220"/>
      <c r="E699" s="89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</row>
    <row r="700" spans="1:41" ht="12.75" customHeight="1" x14ac:dyDescent="0.25">
      <c r="C700" s="777" t="s">
        <v>119</v>
      </c>
      <c r="D700" s="774" t="s">
        <v>132</v>
      </c>
      <c r="E700" s="101" t="s">
        <v>70</v>
      </c>
      <c r="F700" s="93">
        <f>F647+F673+F612-L612-L647</f>
        <v>171565271.81</v>
      </c>
      <c r="G700" s="93">
        <f t="shared" ref="G700:AO700" si="37">G647+G612</f>
        <v>16252936.57</v>
      </c>
      <c r="H700" s="93">
        <f t="shared" si="37"/>
        <v>8882611.3300000001</v>
      </c>
      <c r="I700" s="93">
        <f t="shared" si="37"/>
        <v>4769708.84</v>
      </c>
      <c r="J700" s="93">
        <f t="shared" si="37"/>
        <v>12689130.529999999</v>
      </c>
      <c r="K700" s="93">
        <f t="shared" si="37"/>
        <v>523491.14</v>
      </c>
      <c r="L700" s="93">
        <f t="shared" si="37"/>
        <v>1908241.19</v>
      </c>
      <c r="M700" s="93">
        <f t="shared" si="37"/>
        <v>4671973.0999999996</v>
      </c>
      <c r="N700" s="93">
        <f t="shared" si="37"/>
        <v>5604579.4400000004</v>
      </c>
      <c r="O700" s="93">
        <f t="shared" si="37"/>
        <v>30069445.420000002</v>
      </c>
      <c r="P700" s="93">
        <f t="shared" si="37"/>
        <v>48380758.240000002</v>
      </c>
      <c r="Q700" s="93">
        <f t="shared" si="37"/>
        <v>859953.88</v>
      </c>
      <c r="R700" s="93">
        <f t="shared" si="37"/>
        <v>-712.59</v>
      </c>
      <c r="S700" s="93">
        <f t="shared" si="37"/>
        <v>-0.04</v>
      </c>
      <c r="T700" s="93">
        <f t="shared" si="37"/>
        <v>0.09</v>
      </c>
      <c r="U700" s="93">
        <f t="shared" si="37"/>
        <v>0</v>
      </c>
      <c r="V700" s="93">
        <f t="shared" si="37"/>
        <v>0</v>
      </c>
      <c r="W700" s="93">
        <f t="shared" si="37"/>
        <v>0</v>
      </c>
      <c r="X700" s="93">
        <f t="shared" si="37"/>
        <v>0</v>
      </c>
      <c r="Y700" s="93">
        <f t="shared" si="37"/>
        <v>0</v>
      </c>
      <c r="Z700" s="93">
        <f t="shared" si="37"/>
        <v>0</v>
      </c>
      <c r="AA700" s="93">
        <f t="shared" si="37"/>
        <v>0</v>
      </c>
      <c r="AB700" s="93">
        <f t="shared" si="37"/>
        <v>0</v>
      </c>
      <c r="AC700" s="93">
        <f t="shared" si="37"/>
        <v>0</v>
      </c>
      <c r="AD700" s="93">
        <f t="shared" si="37"/>
        <v>0</v>
      </c>
      <c r="AE700" s="93">
        <f t="shared" si="37"/>
        <v>0</v>
      </c>
      <c r="AF700" s="93">
        <f t="shared" si="37"/>
        <v>0</v>
      </c>
      <c r="AG700" s="93">
        <f t="shared" si="37"/>
        <v>0</v>
      </c>
      <c r="AH700" s="93">
        <f t="shared" si="37"/>
        <v>0</v>
      </c>
      <c r="AI700" s="93">
        <f t="shared" si="37"/>
        <v>0</v>
      </c>
      <c r="AJ700" s="93">
        <f t="shared" si="37"/>
        <v>0</v>
      </c>
      <c r="AK700" s="93">
        <f t="shared" si="37"/>
        <v>0</v>
      </c>
      <c r="AL700" s="93">
        <f t="shared" si="37"/>
        <v>0</v>
      </c>
      <c r="AM700" s="93">
        <f t="shared" si="37"/>
        <v>0</v>
      </c>
      <c r="AN700" s="93">
        <f t="shared" si="37"/>
        <v>0</v>
      </c>
      <c r="AO700" s="93">
        <f t="shared" si="37"/>
        <v>0</v>
      </c>
    </row>
    <row r="701" spans="1:41" ht="12.75" customHeight="1" x14ac:dyDescent="0.25">
      <c r="C701" s="777"/>
      <c r="D701" s="774"/>
      <c r="E701" s="101" t="s">
        <v>73</v>
      </c>
      <c r="F701" s="93">
        <f>F673</f>
        <v>38861395.859999999</v>
      </c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7"/>
      <c r="D702" s="774" t="s">
        <v>133</v>
      </c>
      <c r="E702" s="235" t="s">
        <v>70</v>
      </c>
      <c r="F702" s="236">
        <f>F659+F628-L628</f>
        <v>0</v>
      </c>
      <c r="G702" s="236">
        <f>G628</f>
        <v>0</v>
      </c>
      <c r="H702" s="236">
        <f t="shared" ref="H702:AO702" si="38">H628</f>
        <v>0</v>
      </c>
      <c r="I702" s="236">
        <f t="shared" si="38"/>
        <v>0</v>
      </c>
      <c r="J702" s="236">
        <f t="shared" si="38"/>
        <v>0</v>
      </c>
      <c r="K702" s="236">
        <f t="shared" si="38"/>
        <v>0</v>
      </c>
      <c r="L702" s="236">
        <f t="shared" si="38"/>
        <v>0</v>
      </c>
      <c r="M702" s="236">
        <f t="shared" si="38"/>
        <v>0</v>
      </c>
      <c r="N702" s="236">
        <f t="shared" si="38"/>
        <v>0</v>
      </c>
      <c r="O702" s="236">
        <f t="shared" si="38"/>
        <v>0</v>
      </c>
      <c r="P702" s="236">
        <f t="shared" si="38"/>
        <v>0</v>
      </c>
      <c r="Q702" s="236">
        <f t="shared" si="38"/>
        <v>0</v>
      </c>
      <c r="R702" s="236">
        <f t="shared" si="38"/>
        <v>0</v>
      </c>
      <c r="S702" s="236">
        <f t="shared" si="38"/>
        <v>0</v>
      </c>
      <c r="T702" s="236">
        <f t="shared" si="38"/>
        <v>0</v>
      </c>
      <c r="U702" s="236">
        <f t="shared" si="38"/>
        <v>0</v>
      </c>
      <c r="V702" s="236">
        <f t="shared" si="38"/>
        <v>0</v>
      </c>
      <c r="W702" s="236">
        <f t="shared" si="38"/>
        <v>0</v>
      </c>
      <c r="X702" s="236">
        <f t="shared" si="38"/>
        <v>0</v>
      </c>
      <c r="Y702" s="236">
        <f t="shared" si="38"/>
        <v>0</v>
      </c>
      <c r="Z702" s="236">
        <f t="shared" si="38"/>
        <v>0</v>
      </c>
      <c r="AA702" s="236">
        <f t="shared" si="38"/>
        <v>0</v>
      </c>
      <c r="AB702" s="236">
        <f t="shared" si="38"/>
        <v>0</v>
      </c>
      <c r="AC702" s="236">
        <f t="shared" si="38"/>
        <v>0</v>
      </c>
      <c r="AD702" s="236">
        <f t="shared" si="38"/>
        <v>0</v>
      </c>
      <c r="AE702" s="236">
        <f t="shared" si="38"/>
        <v>0</v>
      </c>
      <c r="AF702" s="236">
        <f t="shared" si="38"/>
        <v>0</v>
      </c>
      <c r="AG702" s="236">
        <f t="shared" si="38"/>
        <v>0</v>
      </c>
      <c r="AH702" s="236">
        <f t="shared" si="38"/>
        <v>0</v>
      </c>
      <c r="AI702" s="236">
        <f t="shared" si="38"/>
        <v>0</v>
      </c>
      <c r="AJ702" s="236">
        <f t="shared" si="38"/>
        <v>0</v>
      </c>
      <c r="AK702" s="236">
        <f t="shared" si="38"/>
        <v>0</v>
      </c>
      <c r="AL702" s="236">
        <f t="shared" si="38"/>
        <v>0</v>
      </c>
      <c r="AM702" s="236">
        <f t="shared" si="38"/>
        <v>0</v>
      </c>
      <c r="AN702" s="236">
        <f t="shared" si="38"/>
        <v>0</v>
      </c>
      <c r="AO702" s="236">
        <f t="shared" si="38"/>
        <v>0</v>
      </c>
    </row>
    <row r="703" spans="1:41" ht="12.75" customHeight="1" x14ac:dyDescent="0.25">
      <c r="C703" s="777"/>
      <c r="D703" s="774"/>
      <c r="E703" s="235" t="s">
        <v>73</v>
      </c>
      <c r="F703" s="236">
        <f>F659</f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</row>
    <row r="704" spans="1:41" ht="12.75" customHeight="1" x14ac:dyDescent="0.25">
      <c r="A704" s="89"/>
      <c r="C704" s="9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spans="3:41" ht="12.75" customHeight="1" x14ac:dyDescent="0.25">
      <c r="C705" s="776" t="s">
        <v>161</v>
      </c>
      <c r="D705" s="774" t="s">
        <v>132</v>
      </c>
      <c r="E705" s="231" t="s">
        <v>70</v>
      </c>
      <c r="F705" s="232">
        <v>0</v>
      </c>
      <c r="G705" s="232">
        <v>0</v>
      </c>
      <c r="H705" s="232">
        <v>0</v>
      </c>
      <c r="I705" s="232">
        <v>0</v>
      </c>
      <c r="J705" s="232">
        <v>0</v>
      </c>
      <c r="K705" s="232">
        <v>0</v>
      </c>
      <c r="L705" s="232">
        <v>0</v>
      </c>
      <c r="M705" s="232">
        <v>0</v>
      </c>
      <c r="N705" s="232">
        <v>0</v>
      </c>
      <c r="O705" s="232">
        <v>0</v>
      </c>
      <c r="P705" s="232">
        <v>0</v>
      </c>
      <c r="Q705" s="232">
        <v>0</v>
      </c>
      <c r="R705" s="232">
        <v>0</v>
      </c>
      <c r="S705" s="232">
        <v>0</v>
      </c>
      <c r="T705" s="232">
        <v>0</v>
      </c>
      <c r="U705" s="232"/>
      <c r="V705" s="232"/>
      <c r="W705" s="232"/>
      <c r="X705" s="232">
        <v>0</v>
      </c>
      <c r="Y705" s="232">
        <v>0</v>
      </c>
      <c r="Z705" s="232">
        <v>0</v>
      </c>
      <c r="AA705" s="232">
        <v>0</v>
      </c>
      <c r="AB705" s="232">
        <v>0</v>
      </c>
      <c r="AC705" s="232">
        <v>0</v>
      </c>
      <c r="AD705" s="232">
        <v>0</v>
      </c>
      <c r="AE705" s="232">
        <v>0</v>
      </c>
      <c r="AF705" s="232">
        <v>0</v>
      </c>
      <c r="AG705" s="232">
        <v>0</v>
      </c>
      <c r="AH705" s="232">
        <v>0</v>
      </c>
      <c r="AI705" s="232">
        <v>0</v>
      </c>
      <c r="AJ705" s="232">
        <v>0</v>
      </c>
      <c r="AK705" s="232">
        <v>0</v>
      </c>
      <c r="AL705" s="232">
        <v>0</v>
      </c>
      <c r="AM705" s="232">
        <v>0</v>
      </c>
      <c r="AN705" s="232">
        <v>0</v>
      </c>
      <c r="AO705" s="232">
        <v>0</v>
      </c>
    </row>
    <row r="706" spans="3:41" ht="12.75" customHeight="1" x14ac:dyDescent="0.25">
      <c r="C706" s="776"/>
      <c r="D706" s="774"/>
      <c r="E706" s="231" t="s">
        <v>73</v>
      </c>
      <c r="F706" s="232">
        <v>0</v>
      </c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3:41" ht="12.75" customHeight="1" x14ac:dyDescent="0.25">
      <c r="C707" s="776"/>
      <c r="E707" s="148" t="s">
        <v>70</v>
      </c>
      <c r="F707" s="149">
        <v>0</v>
      </c>
      <c r="G707" s="149">
        <v>0</v>
      </c>
      <c r="H707" s="149">
        <v>0</v>
      </c>
      <c r="I707" s="149">
        <v>0</v>
      </c>
      <c r="J707" s="149">
        <v>0</v>
      </c>
      <c r="K707" s="149">
        <v>0</v>
      </c>
      <c r="L707" s="149">
        <v>0</v>
      </c>
      <c r="M707" s="149">
        <v>0</v>
      </c>
      <c r="N707" s="149">
        <v>0</v>
      </c>
      <c r="O707" s="149">
        <v>0</v>
      </c>
      <c r="P707" s="149">
        <v>0</v>
      </c>
      <c r="Q707" s="149">
        <v>0</v>
      </c>
      <c r="R707" s="149">
        <v>0</v>
      </c>
      <c r="S707" s="149">
        <v>0</v>
      </c>
      <c r="T707" s="149">
        <v>0</v>
      </c>
      <c r="U707" s="149"/>
      <c r="V707" s="149"/>
      <c r="W707" s="149"/>
      <c r="X707" s="149">
        <v>0</v>
      </c>
      <c r="Y707" s="149">
        <v>0</v>
      </c>
      <c r="Z707" s="149">
        <v>0</v>
      </c>
      <c r="AA707" s="149">
        <v>0</v>
      </c>
    </row>
    <row r="708" spans="3:41" ht="12.75" customHeight="1" x14ac:dyDescent="0.25">
      <c r="C708" s="776"/>
      <c r="D708" s="220" t="s">
        <v>132</v>
      </c>
      <c r="E708" s="148" t="s">
        <v>73</v>
      </c>
      <c r="F708" s="149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</row>
    <row r="709" spans="3:41" ht="12.75" customHeight="1" x14ac:dyDescent="0.25">
      <c r="C709" s="388"/>
      <c r="D709" s="220"/>
      <c r="E709" s="89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</row>
    <row r="710" spans="3:41" ht="12.75" customHeight="1" x14ac:dyDescent="0.25">
      <c r="D710" s="458" t="s">
        <v>186</v>
      </c>
      <c r="E710" s="459" t="s">
        <v>70</v>
      </c>
      <c r="F710" s="460">
        <f>F614</f>
        <v>0</v>
      </c>
      <c r="G710" s="460">
        <f t="shared" ref="G710:AA710" si="39">G614</f>
        <v>0</v>
      </c>
      <c r="H710" s="460">
        <f t="shared" si="39"/>
        <v>0</v>
      </c>
      <c r="I710" s="460">
        <f t="shared" si="39"/>
        <v>0</v>
      </c>
      <c r="J710" s="460">
        <f t="shared" si="39"/>
        <v>0</v>
      </c>
      <c r="K710" s="460">
        <f t="shared" si="39"/>
        <v>0</v>
      </c>
      <c r="L710" s="460">
        <f t="shared" si="39"/>
        <v>0</v>
      </c>
      <c r="M710" s="460">
        <f t="shared" si="39"/>
        <v>0</v>
      </c>
      <c r="N710" s="460">
        <f t="shared" si="39"/>
        <v>0</v>
      </c>
      <c r="O710" s="460">
        <f t="shared" si="39"/>
        <v>0</v>
      </c>
      <c r="P710" s="460">
        <f t="shared" si="39"/>
        <v>0</v>
      </c>
      <c r="Q710" s="460">
        <f t="shared" si="39"/>
        <v>0</v>
      </c>
      <c r="R710" s="460">
        <f t="shared" si="39"/>
        <v>0</v>
      </c>
      <c r="S710" s="460">
        <f t="shared" si="39"/>
        <v>0</v>
      </c>
      <c r="T710" s="460">
        <f t="shared" si="39"/>
        <v>0</v>
      </c>
      <c r="U710" s="460">
        <f t="shared" si="39"/>
        <v>0</v>
      </c>
      <c r="V710" s="460">
        <f t="shared" si="39"/>
        <v>0</v>
      </c>
      <c r="W710" s="460">
        <f t="shared" si="39"/>
        <v>0</v>
      </c>
      <c r="X710" s="460">
        <f t="shared" si="39"/>
        <v>0</v>
      </c>
      <c r="Y710" s="460">
        <f t="shared" si="39"/>
        <v>0</v>
      </c>
      <c r="Z710" s="460">
        <f t="shared" si="39"/>
        <v>0</v>
      </c>
      <c r="AA710" s="460">
        <f t="shared" si="39"/>
        <v>0</v>
      </c>
    </row>
    <row r="711" spans="3:41" ht="12.75" customHeight="1" x14ac:dyDescent="0.25">
      <c r="C711" s="388"/>
      <c r="D711" s="220"/>
      <c r="E711" s="89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</row>
    <row r="712" spans="3:41" s="238" customFormat="1" ht="12.75" customHeight="1" x14ac:dyDescent="0.25">
      <c r="D712" s="239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</row>
  </sheetData>
  <mergeCells count="87">
    <mergeCell ref="D697:D698"/>
    <mergeCell ref="C593:C596"/>
    <mergeCell ref="C573:C576"/>
    <mergeCell ref="D573:D574"/>
    <mergeCell ref="D575:D576"/>
    <mergeCell ref="C578:C581"/>
    <mergeCell ref="D578:D579"/>
    <mergeCell ref="D580:D581"/>
    <mergeCell ref="C588:C591"/>
    <mergeCell ref="D588:D589"/>
    <mergeCell ref="D590:D591"/>
    <mergeCell ref="D593:D594"/>
    <mergeCell ref="C583:C586"/>
    <mergeCell ref="D583:D584"/>
    <mergeCell ref="D585:D586"/>
    <mergeCell ref="C568:C571"/>
    <mergeCell ref="D568:D569"/>
    <mergeCell ref="D570:D571"/>
    <mergeCell ref="C420:C423"/>
    <mergeCell ref="D420:D421"/>
    <mergeCell ref="D422:D423"/>
    <mergeCell ref="C425:C428"/>
    <mergeCell ref="D425:D426"/>
    <mergeCell ref="D427:D428"/>
    <mergeCell ref="C435:C438"/>
    <mergeCell ref="D435:D436"/>
    <mergeCell ref="D437:D438"/>
    <mergeCell ref="C440:C443"/>
    <mergeCell ref="D440:D441"/>
    <mergeCell ref="D442:D443"/>
    <mergeCell ref="C430:C433"/>
    <mergeCell ref="D97:D98"/>
    <mergeCell ref="C80:C83"/>
    <mergeCell ref="C85:C88"/>
    <mergeCell ref="D261:D262"/>
    <mergeCell ref="C75:C78"/>
    <mergeCell ref="D75:D76"/>
    <mergeCell ref="D77:D78"/>
    <mergeCell ref="C95:C98"/>
    <mergeCell ref="D80:D81"/>
    <mergeCell ref="D82:D83"/>
    <mergeCell ref="D85:D86"/>
    <mergeCell ref="D87:D88"/>
    <mergeCell ref="D95:D96"/>
    <mergeCell ref="C90:C93"/>
    <mergeCell ref="D90:D91"/>
    <mergeCell ref="D92:D93"/>
    <mergeCell ref="D266:D267"/>
    <mergeCell ref="D276:D277"/>
    <mergeCell ref="C100:C103"/>
    <mergeCell ref="D100:D101"/>
    <mergeCell ref="D102:D103"/>
    <mergeCell ref="C254:C257"/>
    <mergeCell ref="D254:D255"/>
    <mergeCell ref="D256:D257"/>
    <mergeCell ref="C259:C262"/>
    <mergeCell ref="D259:D260"/>
    <mergeCell ref="D264:D265"/>
    <mergeCell ref="C264:C267"/>
    <mergeCell ref="C274:C277"/>
    <mergeCell ref="D274:D275"/>
    <mergeCell ref="C705:C708"/>
    <mergeCell ref="C680:C683"/>
    <mergeCell ref="D680:D681"/>
    <mergeCell ref="D682:D683"/>
    <mergeCell ref="C685:C688"/>
    <mergeCell ref="D685:D686"/>
    <mergeCell ref="D687:D688"/>
    <mergeCell ref="C690:C693"/>
    <mergeCell ref="D690:D691"/>
    <mergeCell ref="D692:D693"/>
    <mergeCell ref="C700:C703"/>
    <mergeCell ref="D700:D701"/>
    <mergeCell ref="D702:D703"/>
    <mergeCell ref="D705:D706"/>
    <mergeCell ref="C695:C698"/>
    <mergeCell ref="D695:D696"/>
    <mergeCell ref="D430:D431"/>
    <mergeCell ref="D432:D433"/>
    <mergeCell ref="C269:C272"/>
    <mergeCell ref="D269:D270"/>
    <mergeCell ref="D271:D272"/>
    <mergeCell ref="C279:C282"/>
    <mergeCell ref="D279:D280"/>
    <mergeCell ref="C415:C418"/>
    <mergeCell ref="D415:D416"/>
    <mergeCell ref="D417:D418"/>
  </mergeCells>
  <pageMargins left="0.7" right="0.7" top="0.75" bottom="0.75" header="0.3" footer="0.3"/>
  <pageSetup orientation="portrait" r:id="rId1"/>
  <ignoredErrors>
    <ignoredError sqref="D153 D156 D159 D177 D181 D493 D499 D535 D5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85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33203125" bestFit="1" customWidth="1"/>
    <col min="3" max="3" width="18.88671875" customWidth="1"/>
    <col min="4" max="4" width="23.109375" bestFit="1" customWidth="1"/>
    <col min="5" max="5" width="15.109375" bestFit="1" customWidth="1"/>
    <col min="6" max="6" width="15.332031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33203125" bestFit="1" customWidth="1"/>
    <col min="17" max="17" width="11.5546875" customWidth="1"/>
    <col min="18" max="18" width="13.5546875" bestFit="1" customWidth="1"/>
  </cols>
  <sheetData>
    <row r="1" spans="2:18" x14ac:dyDescent="0.25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8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8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8" s="739" customFormat="1" ht="12.75" customHeight="1" x14ac:dyDescent="0.25">
      <c r="B6" s="739" t="s">
        <v>85</v>
      </c>
      <c r="C6" s="739" t="s">
        <v>70</v>
      </c>
      <c r="D6" s="231"/>
      <c r="E6" s="740">
        <v>0</v>
      </c>
      <c r="F6" s="232">
        <v>0</v>
      </c>
      <c r="G6" s="232">
        <v>0</v>
      </c>
      <c r="H6" s="232">
        <v>0</v>
      </c>
      <c r="I6" s="232">
        <v>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v>0</v>
      </c>
      <c r="R6" s="739">
        <v>0</v>
      </c>
    </row>
    <row r="7" spans="2:18" ht="12.75" customHeight="1" x14ac:dyDescent="0.25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8" ht="12.75" customHeight="1" x14ac:dyDescent="0.25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ht="12.75" customHeight="1" x14ac:dyDescent="0.25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s="286" customFormat="1" ht="12.75" customHeight="1" x14ac:dyDescent="0.25">
      <c r="B10" s="286" t="s">
        <v>155</v>
      </c>
      <c r="C10" s="286" t="s">
        <v>70</v>
      </c>
      <c r="E10" s="286">
        <v>28281218.77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8" ht="12.75" customHeight="1" x14ac:dyDescent="0.25">
      <c r="B11" s="142"/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8" ht="12.75" customHeight="1" x14ac:dyDescent="0.25">
      <c r="B12" s="142"/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8" ht="12.75" customHeight="1" x14ac:dyDescent="0.25">
      <c r="B13" s="142"/>
      <c r="C13" t="s">
        <v>82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8" ht="12.75" customHeight="1" x14ac:dyDescent="0.25">
      <c r="B14" s="142"/>
      <c r="D14" t="s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2:18" ht="12.75" customHeight="1" x14ac:dyDescent="0.25">
      <c r="B15" s="142"/>
      <c r="D15" t="s">
        <v>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8" ht="12.75" customHeight="1" x14ac:dyDescent="0.25">
      <c r="B16" s="142"/>
      <c r="C16" t="s">
        <v>86</v>
      </c>
      <c r="D16" t="s">
        <v>70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5">
      <c r="B17" s="142"/>
      <c r="D17" t="s">
        <v>72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5">
      <c r="B18" s="142"/>
      <c r="D18" t="s">
        <v>81</v>
      </c>
      <c r="E18" s="14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5">
      <c r="B19" s="142"/>
      <c r="C19" s="89" t="s">
        <v>87</v>
      </c>
      <c r="D19" s="89" t="s">
        <v>70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>
        <v>0</v>
      </c>
    </row>
    <row r="20" spans="1:18" s="94" customFormat="1" ht="12.75" customHeight="1" x14ac:dyDescent="0.25">
      <c r="B20" s="101" t="s">
        <v>119</v>
      </c>
      <c r="C20" s="101" t="s">
        <v>70</v>
      </c>
      <c r="E20" s="93">
        <v>2995523.65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4">
        <v>0</v>
      </c>
    </row>
    <row r="21" spans="1:18" s="226" customFormat="1" ht="12.75" customHeight="1" x14ac:dyDescent="0.25">
      <c r="A21" s="98" t="s">
        <v>78</v>
      </c>
      <c r="B21" s="98" t="s">
        <v>70</v>
      </c>
      <c r="E21" s="100">
        <v>31276742.420000002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0</v>
      </c>
      <c r="Q21" s="100">
        <v>0</v>
      </c>
      <c r="R21" s="226">
        <v>0</v>
      </c>
    </row>
    <row r="22" spans="1:18" ht="12.75" customHeight="1" x14ac:dyDescent="0.25">
      <c r="D22" s="89" t="s">
        <v>73</v>
      </c>
      <c r="E22" s="371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>
        <v>0</v>
      </c>
    </row>
    <row r="23" spans="1:18" ht="12.75" customHeight="1" x14ac:dyDescent="0.25">
      <c r="C23" s="89" t="s">
        <v>156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286" customFormat="1" ht="12.75" customHeight="1" x14ac:dyDescent="0.25">
      <c r="B24" s="286" t="s">
        <v>155</v>
      </c>
      <c r="C24" s="286" t="s">
        <v>70</v>
      </c>
      <c r="E24" s="286">
        <v>-1549869.38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</row>
    <row r="25" spans="1:18" ht="12.75" customHeight="1" x14ac:dyDescent="0.25">
      <c r="D25" s="89" t="s">
        <v>73</v>
      </c>
      <c r="E25" s="371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>
        <v>0</v>
      </c>
    </row>
    <row r="26" spans="1:18" ht="12.75" customHeight="1" x14ac:dyDescent="0.25">
      <c r="C26" s="89" t="s">
        <v>82</v>
      </c>
      <c r="D26" s="89" t="s">
        <v>70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D27" s="89" t="s">
        <v>73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ht="12.75" customHeight="1" x14ac:dyDescent="0.25">
      <c r="C28" s="89" t="s">
        <v>86</v>
      </c>
      <c r="D28" s="89" t="s">
        <v>70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>
        <v>0</v>
      </c>
    </row>
    <row r="29" spans="1:18" ht="12.75" customHeight="1" x14ac:dyDescent="0.25">
      <c r="D29" s="89" t="s">
        <v>73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5">
      <c r="C30" s="89" t="s">
        <v>87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94" customFormat="1" ht="12.75" customHeight="1" x14ac:dyDescent="0.25">
      <c r="B31" s="101" t="s">
        <v>119</v>
      </c>
      <c r="C31" s="101" t="s">
        <v>70</v>
      </c>
      <c r="E31" s="93">
        <v>861197.98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4">
        <v>0</v>
      </c>
    </row>
    <row r="32" spans="1:18" s="226" customFormat="1" ht="12.75" customHeight="1" x14ac:dyDescent="0.25">
      <c r="A32" s="98" t="s">
        <v>79</v>
      </c>
      <c r="B32" s="98" t="s">
        <v>70</v>
      </c>
      <c r="E32" s="100">
        <v>-688671.4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226">
        <v>0</v>
      </c>
    </row>
    <row r="33" spans="1:19" ht="12.75" customHeight="1" x14ac:dyDescent="0.25">
      <c r="A33" s="89" t="s">
        <v>70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144">
        <v>0</v>
      </c>
    </row>
    <row r="34" spans="1:19" ht="12.75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hidden="1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hidden="1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hidden="1" customHeight="1" x14ac:dyDescent="0.25">
      <c r="A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 spans="1:19" ht="12.75" hidden="1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customHeight="1" x14ac:dyDescent="0.25">
      <c r="B47" s="777" t="s">
        <v>2</v>
      </c>
      <c r="C47" s="774" t="s">
        <v>132</v>
      </c>
      <c r="D47" s="98" t="s">
        <v>70</v>
      </c>
      <c r="E47" s="100">
        <f>E21+E32-K21</f>
        <v>30588071.020000003</v>
      </c>
      <c r="F47" s="100">
        <f>F21</f>
        <v>0</v>
      </c>
      <c r="G47" s="100">
        <f t="shared" ref="G47:S47" si="0">G21</f>
        <v>0</v>
      </c>
      <c r="H47" s="100">
        <f t="shared" si="0"/>
        <v>0</v>
      </c>
      <c r="I47" s="100">
        <f t="shared" si="0"/>
        <v>0</v>
      </c>
      <c r="J47" s="100">
        <f t="shared" si="0"/>
        <v>0</v>
      </c>
      <c r="K47" s="100">
        <f t="shared" si="0"/>
        <v>0</v>
      </c>
      <c r="L47" s="100">
        <f t="shared" si="0"/>
        <v>0</v>
      </c>
      <c r="M47" s="100">
        <f t="shared" si="0"/>
        <v>0</v>
      </c>
      <c r="N47" s="100">
        <f t="shared" si="0"/>
        <v>0</v>
      </c>
      <c r="O47" s="100">
        <f t="shared" si="0"/>
        <v>0</v>
      </c>
      <c r="P47" s="100">
        <f t="shared" si="0"/>
        <v>0</v>
      </c>
      <c r="Q47" s="100">
        <f t="shared" si="0"/>
        <v>0</v>
      </c>
      <c r="R47" s="100">
        <f t="shared" si="0"/>
        <v>0</v>
      </c>
      <c r="S47" s="100">
        <f t="shared" si="0"/>
        <v>0</v>
      </c>
    </row>
    <row r="48" spans="1:19" ht="12.75" customHeight="1" x14ac:dyDescent="0.25">
      <c r="B48" s="777"/>
      <c r="C48" s="774"/>
      <c r="D48" s="98" t="s">
        <v>73</v>
      </c>
      <c r="E48" s="100">
        <f>E32</f>
        <v>-688671.4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A49" s="89"/>
      <c r="B49" s="97"/>
      <c r="E49" s="37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5">
      <c r="B50" s="777" t="s">
        <v>160</v>
      </c>
      <c r="C50" s="774" t="s">
        <v>132</v>
      </c>
      <c r="D50" s="223" t="s">
        <v>70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</row>
    <row r="51" spans="1:19" ht="12.75" customHeight="1" x14ac:dyDescent="0.25">
      <c r="B51" s="777"/>
      <c r="C51" s="774"/>
      <c r="D51" s="223" t="s">
        <v>73</v>
      </c>
      <c r="E51" s="225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5">
      <c r="B53" s="777" t="s">
        <v>155</v>
      </c>
      <c r="C53" s="774" t="s">
        <v>132</v>
      </c>
      <c r="D53" s="221" t="s">
        <v>70</v>
      </c>
      <c r="E53" s="222">
        <f>E24+E10+E6-K6-K10</f>
        <v>26731349.390000001</v>
      </c>
      <c r="F53" s="222">
        <f>F10+F6</f>
        <v>0</v>
      </c>
      <c r="G53" s="222">
        <f t="shared" ref="G53:S53" si="1">G10+G6</f>
        <v>0</v>
      </c>
      <c r="H53" s="222">
        <f t="shared" si="1"/>
        <v>0</v>
      </c>
      <c r="I53" s="222">
        <f t="shared" si="1"/>
        <v>0</v>
      </c>
      <c r="J53" s="222">
        <f t="shared" si="1"/>
        <v>0</v>
      </c>
      <c r="K53" s="222">
        <f t="shared" si="1"/>
        <v>0</v>
      </c>
      <c r="L53" s="222">
        <f t="shared" si="1"/>
        <v>0</v>
      </c>
      <c r="M53" s="222">
        <f t="shared" si="1"/>
        <v>0</v>
      </c>
      <c r="N53" s="222">
        <f t="shared" si="1"/>
        <v>0</v>
      </c>
      <c r="O53" s="222">
        <f t="shared" si="1"/>
        <v>0</v>
      </c>
      <c r="P53" s="222">
        <f t="shared" si="1"/>
        <v>0</v>
      </c>
      <c r="Q53" s="222">
        <f t="shared" si="1"/>
        <v>0</v>
      </c>
      <c r="R53" s="222">
        <f t="shared" si="1"/>
        <v>0</v>
      </c>
      <c r="S53" s="222">
        <f t="shared" si="1"/>
        <v>0</v>
      </c>
    </row>
    <row r="54" spans="1:19" ht="12.75" customHeight="1" x14ac:dyDescent="0.25">
      <c r="B54" s="777"/>
      <c r="C54" s="774"/>
      <c r="D54" s="221" t="s">
        <v>73</v>
      </c>
      <c r="E54" s="222">
        <f>E24</f>
        <v>-1549869.38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5">
      <c r="B56" s="775" t="s">
        <v>326</v>
      </c>
      <c r="C56" s="774" t="s">
        <v>132</v>
      </c>
      <c r="D56" s="373" t="s">
        <v>70</v>
      </c>
      <c r="E56" s="374">
        <v>0</v>
      </c>
      <c r="F56" s="374">
        <v>0</v>
      </c>
      <c r="G56" s="374">
        <v>0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4">
        <v>0</v>
      </c>
      <c r="Q56" s="374">
        <v>0</v>
      </c>
      <c r="R56" s="374">
        <v>0</v>
      </c>
    </row>
    <row r="57" spans="1:19" ht="12.75" customHeight="1" x14ac:dyDescent="0.25">
      <c r="B57" s="775"/>
      <c r="C57" s="774"/>
      <c r="D57" s="373" t="s">
        <v>73</v>
      </c>
      <c r="E57" s="374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ht="12.75" customHeight="1" x14ac:dyDescent="0.25">
      <c r="A58" s="89"/>
      <c r="B58" s="97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B59" s="777" t="s">
        <v>119</v>
      </c>
      <c r="C59" s="774" t="s">
        <v>132</v>
      </c>
      <c r="D59" s="101" t="s">
        <v>70</v>
      </c>
      <c r="E59" s="93">
        <f>E20+E31-K20</f>
        <v>3856721.63</v>
      </c>
      <c r="F59" s="93">
        <f>F20</f>
        <v>0</v>
      </c>
      <c r="G59" s="93">
        <f t="shared" ref="G59:S59" si="2">G20</f>
        <v>0</v>
      </c>
      <c r="H59" s="93">
        <f t="shared" si="2"/>
        <v>0</v>
      </c>
      <c r="I59" s="93">
        <f t="shared" si="2"/>
        <v>0</v>
      </c>
      <c r="J59" s="93">
        <f t="shared" si="2"/>
        <v>0</v>
      </c>
      <c r="K59" s="93">
        <f t="shared" si="2"/>
        <v>0</v>
      </c>
      <c r="L59" s="93">
        <f t="shared" si="2"/>
        <v>0</v>
      </c>
      <c r="M59" s="93">
        <f t="shared" si="2"/>
        <v>0</v>
      </c>
      <c r="N59" s="93">
        <f t="shared" si="2"/>
        <v>0</v>
      </c>
      <c r="O59" s="93">
        <f t="shared" si="2"/>
        <v>0</v>
      </c>
      <c r="P59" s="93">
        <f t="shared" si="2"/>
        <v>0</v>
      </c>
      <c r="Q59" s="93">
        <f t="shared" si="2"/>
        <v>0</v>
      </c>
      <c r="R59" s="93">
        <f t="shared" si="2"/>
        <v>0</v>
      </c>
      <c r="S59" s="93">
        <f t="shared" si="2"/>
        <v>0</v>
      </c>
    </row>
    <row r="60" spans="1:19" ht="12.75" customHeight="1" x14ac:dyDescent="0.25">
      <c r="B60" s="777"/>
      <c r="C60" s="774"/>
      <c r="D60" s="101" t="s">
        <v>73</v>
      </c>
      <c r="E60" s="93">
        <f>E31</f>
        <v>861197.98</v>
      </c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19" ht="12.75" customHeight="1" x14ac:dyDescent="0.25">
      <c r="A61" s="89"/>
      <c r="B61" s="97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B62" s="776" t="s">
        <v>161</v>
      </c>
      <c r="C62" s="774" t="s">
        <v>132</v>
      </c>
      <c r="D62" s="231" t="s">
        <v>70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</row>
    <row r="63" spans="1:19" ht="12.75" customHeight="1" x14ac:dyDescent="0.25">
      <c r="B63" s="776"/>
      <c r="C63" s="774"/>
      <c r="D63" s="231" t="s">
        <v>73</v>
      </c>
      <c r="E63" s="232">
        <v>0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19" s="238" customFormat="1" x14ac:dyDescent="0.25"/>
    <row r="65" spans="2:18" x14ac:dyDescent="0.25">
      <c r="B65" s="97" t="s">
        <v>75</v>
      </c>
    </row>
    <row r="66" spans="2:18" ht="12.75" customHeight="1" x14ac:dyDescent="0.25">
      <c r="E66" s="89" t="s">
        <v>70</v>
      </c>
      <c r="F66" s="89" t="s">
        <v>64</v>
      </c>
      <c r="G66" s="89" t="s">
        <v>65</v>
      </c>
      <c r="H66" s="219" t="s">
        <v>164</v>
      </c>
      <c r="I66" s="89" t="s">
        <v>69</v>
      </c>
      <c r="J66" s="89" t="s">
        <v>68</v>
      </c>
      <c r="K66" s="89" t="s">
        <v>83</v>
      </c>
      <c r="L66" s="89" t="s">
        <v>66</v>
      </c>
      <c r="M66" s="89" t="s">
        <v>63</v>
      </c>
      <c r="N66" s="89" t="s">
        <v>61</v>
      </c>
      <c r="O66" s="89" t="s">
        <v>62</v>
      </c>
      <c r="P66" s="89" t="s">
        <v>67</v>
      </c>
      <c r="Q66" s="89" t="s">
        <v>84</v>
      </c>
      <c r="R66" s="384" t="s">
        <v>225</v>
      </c>
    </row>
    <row r="67" spans="2:18" ht="12.75" customHeight="1" x14ac:dyDescent="0.25">
      <c r="D67" s="89" t="s">
        <v>72</v>
      </c>
      <c r="E67" s="371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>
        <v>0</v>
      </c>
    </row>
    <row r="68" spans="2:18" ht="12.75" customHeight="1" x14ac:dyDescent="0.25"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 ht="12.75" customHeight="1" x14ac:dyDescent="0.25">
      <c r="C69" t="s">
        <v>332</v>
      </c>
      <c r="D69" s="89" t="s">
        <v>70</v>
      </c>
      <c r="E69" s="371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>
        <v>0</v>
      </c>
    </row>
    <row r="70" spans="2:18" s="739" customFormat="1" ht="12.75" customHeight="1" x14ac:dyDescent="0.25">
      <c r="B70" s="739" t="s">
        <v>85</v>
      </c>
      <c r="C70" s="739" t="s">
        <v>70</v>
      </c>
      <c r="D70" s="231"/>
      <c r="E70" s="740">
        <v>149137.87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739">
        <v>0</v>
      </c>
    </row>
    <row r="71" spans="2:18" ht="12.75" customHeight="1" x14ac:dyDescent="0.25">
      <c r="B71" s="142"/>
      <c r="D71" s="89" t="s">
        <v>72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>
        <v>0</v>
      </c>
    </row>
    <row r="72" spans="2:18" ht="12.75" customHeight="1" x14ac:dyDescent="0.25">
      <c r="B72" s="142"/>
      <c r="D72" s="89" t="s">
        <v>81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>
        <v>0</v>
      </c>
    </row>
    <row r="73" spans="2:18" ht="12.75" customHeight="1" x14ac:dyDescent="0.25">
      <c r="B73" s="142"/>
      <c r="C73" t="s">
        <v>156</v>
      </c>
      <c r="D73" s="89" t="s">
        <v>70</v>
      </c>
      <c r="E73" s="371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>
        <v>0</v>
      </c>
    </row>
    <row r="74" spans="2:18" s="286" customFormat="1" ht="12.75" customHeight="1" x14ac:dyDescent="0.25">
      <c r="B74" s="751" t="s">
        <v>155</v>
      </c>
      <c r="C74" s="286" t="s">
        <v>70</v>
      </c>
      <c r="D74" s="229"/>
      <c r="E74" s="752">
        <v>58544042.329999998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70736.95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86">
        <v>0</v>
      </c>
    </row>
    <row r="75" spans="2:18" ht="12.6" customHeight="1" x14ac:dyDescent="0.25">
      <c r="B75" s="142"/>
      <c r="D75" s="89" t="s">
        <v>72</v>
      </c>
      <c r="E75" s="371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>
        <v>0</v>
      </c>
    </row>
    <row r="76" spans="2:18" ht="12.75" customHeight="1" x14ac:dyDescent="0.25">
      <c r="B76" s="142"/>
      <c r="D76" s="89" t="s">
        <v>81</v>
      </c>
      <c r="E76" s="371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>
        <v>0</v>
      </c>
    </row>
    <row r="77" spans="2:18" ht="12.75" customHeight="1" x14ac:dyDescent="0.25">
      <c r="B77" s="142"/>
      <c r="C77" t="s">
        <v>115</v>
      </c>
      <c r="D77" s="89" t="s">
        <v>70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2:18" ht="12.75" customHeight="1" x14ac:dyDescent="0.25">
      <c r="B78" s="142"/>
      <c r="C78" s="89"/>
      <c r="D78" s="89" t="s">
        <v>72</v>
      </c>
      <c r="E78" s="371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>
        <v>0</v>
      </c>
    </row>
    <row r="79" spans="2:18" ht="12.75" customHeight="1" x14ac:dyDescent="0.25">
      <c r="B79" s="142"/>
      <c r="D79" s="89" t="s">
        <v>81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2:18" ht="12.75" customHeight="1" x14ac:dyDescent="0.25">
      <c r="B80" s="142"/>
      <c r="C80" s="89" t="s">
        <v>116</v>
      </c>
      <c r="D80" s="89" t="s">
        <v>70</v>
      </c>
      <c r="E80" s="371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>
        <v>0</v>
      </c>
    </row>
    <row r="81" spans="2:18" ht="12.75" customHeight="1" x14ac:dyDescent="0.25">
      <c r="B81" s="142"/>
      <c r="C81" s="89"/>
      <c r="D81" s="89" t="s">
        <v>72</v>
      </c>
      <c r="E81" s="371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2:18" ht="12.75" customHeight="1" x14ac:dyDescent="0.25">
      <c r="B82" s="142"/>
      <c r="C82" s="89"/>
      <c r="D82" s="89" t="s">
        <v>81</v>
      </c>
      <c r="E82" s="371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2:18" ht="12.75" customHeight="1" x14ac:dyDescent="0.25">
      <c r="B83" s="142"/>
      <c r="C83" s="773">
        <v>3</v>
      </c>
      <c r="D83" s="89" t="s">
        <v>70</v>
      </c>
      <c r="E83" s="371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>
        <v>0</v>
      </c>
    </row>
    <row r="84" spans="2:18" ht="12.75" customHeight="1" x14ac:dyDescent="0.25">
      <c r="B84" s="142"/>
      <c r="C84" s="89"/>
      <c r="D84" s="89" t="s">
        <v>72</v>
      </c>
      <c r="E84" s="371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>
        <v>0</v>
      </c>
    </row>
    <row r="85" spans="2:18" ht="12.75" customHeight="1" x14ac:dyDescent="0.25">
      <c r="B85" s="142"/>
      <c r="C85" s="89"/>
      <c r="D85" s="89" t="s">
        <v>81</v>
      </c>
      <c r="E85" s="371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>
        <v>0</v>
      </c>
    </row>
    <row r="86" spans="2:18" ht="12.75" customHeight="1" x14ac:dyDescent="0.25">
      <c r="B86" s="142"/>
      <c r="C86" s="89" t="s">
        <v>118</v>
      </c>
      <c r="D86" s="89" t="s">
        <v>70</v>
      </c>
      <c r="E86" s="371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>
        <v>0</v>
      </c>
    </row>
    <row r="87" spans="2:18" ht="12.75" customHeight="1" x14ac:dyDescent="0.25">
      <c r="B87" s="142"/>
      <c r="C87" s="89"/>
      <c r="D87" s="89" t="s">
        <v>72</v>
      </c>
      <c r="E87" s="371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>
        <v>0</v>
      </c>
    </row>
    <row r="88" spans="2:18" ht="12.75" customHeight="1" x14ac:dyDescent="0.25">
      <c r="B88" s="142"/>
      <c r="C88" s="89"/>
      <c r="D88" s="89" t="s">
        <v>81</v>
      </c>
      <c r="E88" s="371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>
        <v>0</v>
      </c>
    </row>
    <row r="89" spans="2:18" ht="12.75" customHeight="1" x14ac:dyDescent="0.25">
      <c r="B89" s="142"/>
      <c r="C89" s="773">
        <v>9</v>
      </c>
      <c r="D89" s="89" t="s">
        <v>70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s="224" customFormat="1" ht="12.75" customHeight="1" x14ac:dyDescent="0.25">
      <c r="B90" s="224" t="s">
        <v>120</v>
      </c>
      <c r="C90" s="224" t="s">
        <v>70</v>
      </c>
      <c r="E90" s="224">
        <v>16015076.93</v>
      </c>
      <c r="F90" s="224">
        <v>0</v>
      </c>
      <c r="G90" s="224">
        <v>0</v>
      </c>
      <c r="H90" s="224">
        <v>0</v>
      </c>
      <c r="I90" s="224">
        <v>0</v>
      </c>
      <c r="J90" s="224">
        <v>0</v>
      </c>
      <c r="K90" s="224">
        <v>0</v>
      </c>
      <c r="L90" s="224">
        <v>0</v>
      </c>
      <c r="M90" s="224">
        <v>0</v>
      </c>
      <c r="N90" s="224">
        <v>0</v>
      </c>
      <c r="O90" s="224">
        <v>0</v>
      </c>
      <c r="P90" s="224">
        <v>0</v>
      </c>
      <c r="Q90" s="224">
        <v>0</v>
      </c>
      <c r="R90" s="224">
        <v>0</v>
      </c>
    </row>
    <row r="91" spans="2:18" ht="12.75" customHeight="1" x14ac:dyDescent="0.25">
      <c r="D91" t="s">
        <v>72</v>
      </c>
      <c r="E91" s="142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2:18" ht="12.75" customHeight="1" x14ac:dyDescent="0.25">
      <c r="D92" t="s">
        <v>81</v>
      </c>
      <c r="E92" s="14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2:18" ht="12.75" customHeight="1" x14ac:dyDescent="0.25">
      <c r="C93" t="s">
        <v>82</v>
      </c>
      <c r="D93" t="s">
        <v>70</v>
      </c>
      <c r="E93" s="142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2:18" ht="12.75" customHeight="1" x14ac:dyDescent="0.25">
      <c r="D94" t="s">
        <v>72</v>
      </c>
      <c r="E94" s="142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2:18" ht="12.75" customHeight="1" x14ac:dyDescent="0.25">
      <c r="D95" t="s">
        <v>81</v>
      </c>
      <c r="E95" s="142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2:18" ht="12.75" customHeight="1" x14ac:dyDescent="0.25">
      <c r="C96" t="s">
        <v>86</v>
      </c>
      <c r="D96" t="s">
        <v>70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ht="12.75" customHeight="1" x14ac:dyDescent="0.25">
      <c r="D97" t="s">
        <v>72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ht="12.75" customHeight="1" x14ac:dyDescent="0.25">
      <c r="D98" t="s">
        <v>81</v>
      </c>
      <c r="E98" s="142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ht="12.75" customHeight="1" x14ac:dyDescent="0.25">
      <c r="C99" s="89" t="s">
        <v>87</v>
      </c>
      <c r="D99" s="89" t="s">
        <v>70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1:18" s="94" customFormat="1" ht="12.75" customHeight="1" x14ac:dyDescent="0.25">
      <c r="B100" s="94" t="s">
        <v>119</v>
      </c>
      <c r="C100" s="101" t="s">
        <v>70</v>
      </c>
      <c r="D100" s="101"/>
      <c r="E100" s="93">
        <v>41702163.539999999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>
        <v>0</v>
      </c>
      <c r="Q100" s="93">
        <v>0</v>
      </c>
      <c r="R100" s="94">
        <v>0</v>
      </c>
    </row>
    <row r="101" spans="1:18" s="226" customFormat="1" ht="12.75" customHeight="1" x14ac:dyDescent="0.25">
      <c r="A101" s="98" t="s">
        <v>78</v>
      </c>
      <c r="B101" s="98" t="s">
        <v>70</v>
      </c>
      <c r="E101" s="100">
        <v>116410420.67</v>
      </c>
      <c r="F101" s="100">
        <v>0</v>
      </c>
      <c r="G101" s="100">
        <v>0</v>
      </c>
      <c r="H101" s="100">
        <v>0</v>
      </c>
      <c r="I101" s="100">
        <v>0</v>
      </c>
      <c r="J101" s="100">
        <v>0</v>
      </c>
      <c r="K101" s="100">
        <v>70736.95</v>
      </c>
      <c r="L101" s="100">
        <v>0</v>
      </c>
      <c r="M101" s="100">
        <v>0</v>
      </c>
      <c r="N101" s="100">
        <v>0</v>
      </c>
      <c r="O101" s="100">
        <v>0</v>
      </c>
      <c r="P101" s="100">
        <v>0</v>
      </c>
      <c r="Q101" s="100">
        <v>0</v>
      </c>
      <c r="R101" s="226">
        <v>0</v>
      </c>
    </row>
    <row r="102" spans="1:18" ht="12.75" customHeight="1" x14ac:dyDescent="0.25">
      <c r="C102" s="89"/>
      <c r="D102" s="89" t="s">
        <v>73</v>
      </c>
      <c r="E102" s="90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1:18" ht="12.75" customHeight="1" x14ac:dyDescent="0.25">
      <c r="C103" s="89" t="s">
        <v>156</v>
      </c>
      <c r="D103" s="89" t="s">
        <v>70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1:18" s="286" customFormat="1" ht="12.75" customHeight="1" x14ac:dyDescent="0.25">
      <c r="B104" s="286" t="s">
        <v>155</v>
      </c>
      <c r="C104" s="229" t="s">
        <v>70</v>
      </c>
      <c r="D104" s="229"/>
      <c r="E104" s="752">
        <v>-19130403.640000001</v>
      </c>
      <c r="F104" s="230">
        <v>0</v>
      </c>
      <c r="G104" s="230">
        <v>0</v>
      </c>
      <c r="H104" s="230">
        <v>0</v>
      </c>
      <c r="I104" s="230">
        <v>0</v>
      </c>
      <c r="J104" s="230">
        <v>0</v>
      </c>
      <c r="K104" s="230">
        <v>0</v>
      </c>
      <c r="L104" s="230">
        <v>0</v>
      </c>
      <c r="M104" s="230">
        <v>0</v>
      </c>
      <c r="N104" s="230">
        <v>0</v>
      </c>
      <c r="O104" s="230">
        <v>0</v>
      </c>
      <c r="P104" s="230">
        <v>0</v>
      </c>
      <c r="Q104" s="230">
        <v>0</v>
      </c>
      <c r="R104" s="286">
        <v>0</v>
      </c>
    </row>
    <row r="105" spans="1:18" ht="12.75" customHeight="1" x14ac:dyDescent="0.25">
      <c r="C105" s="89"/>
      <c r="D105" s="89" t="s">
        <v>73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1:18" ht="12.75" customHeight="1" x14ac:dyDescent="0.25">
      <c r="C106" s="89" t="s">
        <v>115</v>
      </c>
      <c r="D106" s="89" t="s">
        <v>70</v>
      </c>
      <c r="E106" s="90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>
        <v>0</v>
      </c>
    </row>
    <row r="107" spans="1:18" ht="12.75" customHeight="1" x14ac:dyDescent="0.25">
      <c r="C107" s="89"/>
      <c r="D107" s="89" t="s">
        <v>73</v>
      </c>
      <c r="E107" s="371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>
        <v>0</v>
      </c>
    </row>
    <row r="108" spans="1:18" ht="12.75" customHeight="1" x14ac:dyDescent="0.25">
      <c r="C108" s="89" t="s">
        <v>116</v>
      </c>
      <c r="D108" s="89" t="s">
        <v>70</v>
      </c>
      <c r="E108" s="90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>
        <v>0</v>
      </c>
    </row>
    <row r="109" spans="1:18" ht="12.75" customHeight="1" x14ac:dyDescent="0.25">
      <c r="C109" s="89"/>
      <c r="D109" s="89" t="s">
        <v>73</v>
      </c>
      <c r="E109" s="371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>
        <v>0</v>
      </c>
    </row>
    <row r="110" spans="1:18" ht="12.75" customHeight="1" x14ac:dyDescent="0.25">
      <c r="C110" s="773">
        <v>3</v>
      </c>
      <c r="D110" s="89" t="s">
        <v>70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>
        <v>0</v>
      </c>
    </row>
    <row r="111" spans="1:18" ht="12.75" customHeight="1" x14ac:dyDescent="0.25">
      <c r="C111" s="89"/>
      <c r="D111" s="89" t="s">
        <v>73</v>
      </c>
      <c r="E111" s="371">
        <v>0</v>
      </c>
      <c r="F111" s="90">
        <v>0</v>
      </c>
      <c r="G111" s="90">
        <v>0</v>
      </c>
      <c r="H111" s="90">
        <v>0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0">
        <v>0</v>
      </c>
      <c r="O111" s="90">
        <v>0</v>
      </c>
      <c r="P111" s="90">
        <v>0</v>
      </c>
      <c r="Q111" s="90">
        <v>0</v>
      </c>
      <c r="R111">
        <v>0</v>
      </c>
    </row>
    <row r="112" spans="1:18" ht="12.75" customHeight="1" x14ac:dyDescent="0.25">
      <c r="C112" s="89" t="s">
        <v>118</v>
      </c>
      <c r="D112" s="89" t="s">
        <v>70</v>
      </c>
      <c r="E112" s="371">
        <v>0</v>
      </c>
      <c r="F112" s="90">
        <v>0</v>
      </c>
      <c r="G112" s="90">
        <v>0</v>
      </c>
      <c r="H112" s="90">
        <v>0</v>
      </c>
      <c r="I112" s="90">
        <v>0</v>
      </c>
      <c r="J112" s="90">
        <v>0</v>
      </c>
      <c r="K112" s="90">
        <v>0</v>
      </c>
      <c r="L112" s="90">
        <v>0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>
        <v>0</v>
      </c>
    </row>
    <row r="113" spans="1:19" ht="12.75" customHeight="1" x14ac:dyDescent="0.25">
      <c r="C113" s="89"/>
      <c r="D113" s="89" t="s">
        <v>73</v>
      </c>
      <c r="E113" s="371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>
        <v>0</v>
      </c>
    </row>
    <row r="114" spans="1:19" ht="12.75" customHeight="1" x14ac:dyDescent="0.25">
      <c r="C114" s="773">
        <v>9</v>
      </c>
      <c r="D114" s="89" t="s">
        <v>70</v>
      </c>
      <c r="E114" s="371">
        <v>0</v>
      </c>
      <c r="F114" s="90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>
        <v>0</v>
      </c>
    </row>
    <row r="115" spans="1:19" s="224" customFormat="1" ht="12.75" customHeight="1" x14ac:dyDescent="0.25">
      <c r="B115" s="223" t="s">
        <v>120</v>
      </c>
      <c r="C115" s="223" t="s">
        <v>70</v>
      </c>
      <c r="E115" s="225">
        <v>-4383219.66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  <c r="K115" s="225">
        <v>0</v>
      </c>
      <c r="L115" s="225">
        <v>0</v>
      </c>
      <c r="M115" s="225">
        <v>0</v>
      </c>
      <c r="N115" s="225">
        <v>0</v>
      </c>
      <c r="O115" s="225">
        <v>0</v>
      </c>
      <c r="P115" s="225">
        <v>0</v>
      </c>
      <c r="Q115" s="225">
        <v>0</v>
      </c>
      <c r="R115" s="224">
        <v>0</v>
      </c>
    </row>
    <row r="116" spans="1:19" ht="12.75" customHeight="1" x14ac:dyDescent="0.25">
      <c r="D116" s="89" t="s">
        <v>73</v>
      </c>
      <c r="E116" s="371">
        <v>0</v>
      </c>
      <c r="F116" s="90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>
        <v>0</v>
      </c>
    </row>
    <row r="117" spans="1:19" ht="12.75" customHeight="1" x14ac:dyDescent="0.25">
      <c r="C117" t="s">
        <v>82</v>
      </c>
      <c r="D117" s="89" t="s">
        <v>70</v>
      </c>
      <c r="E117" s="371">
        <v>0</v>
      </c>
      <c r="F117" s="90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>
        <v>0</v>
      </c>
    </row>
    <row r="118" spans="1:19" ht="12.75" customHeight="1" x14ac:dyDescent="0.25">
      <c r="D118" s="89" t="s">
        <v>73</v>
      </c>
      <c r="E118" s="371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9" ht="12.75" customHeight="1" x14ac:dyDescent="0.25">
      <c r="C119" t="s">
        <v>86</v>
      </c>
      <c r="D119" s="89" t="s">
        <v>70</v>
      </c>
      <c r="E119" s="371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9" ht="12.75" customHeight="1" x14ac:dyDescent="0.25">
      <c r="D120" s="89" t="s">
        <v>73</v>
      </c>
      <c r="E120" s="371">
        <v>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>
        <v>0</v>
      </c>
    </row>
    <row r="121" spans="1:19" ht="12.75" customHeight="1" x14ac:dyDescent="0.25">
      <c r="C121" t="s">
        <v>87</v>
      </c>
      <c r="D121" s="89" t="s">
        <v>70</v>
      </c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  <c r="R121">
        <v>0</v>
      </c>
    </row>
    <row r="122" spans="1:19" s="94" customFormat="1" ht="12.75" customHeight="1" x14ac:dyDescent="0.25">
      <c r="B122" s="101" t="s">
        <v>119</v>
      </c>
      <c r="C122" s="101" t="s">
        <v>70</v>
      </c>
      <c r="E122" s="93">
        <v>2827527.77</v>
      </c>
      <c r="F122" s="93">
        <v>0</v>
      </c>
      <c r="G122" s="93">
        <v>0</v>
      </c>
      <c r="H122" s="93">
        <v>0</v>
      </c>
      <c r="I122" s="93">
        <v>0</v>
      </c>
      <c r="J122" s="93">
        <v>0</v>
      </c>
      <c r="K122" s="93">
        <v>0</v>
      </c>
      <c r="L122" s="93">
        <v>0</v>
      </c>
      <c r="M122" s="93">
        <v>0</v>
      </c>
      <c r="N122" s="93">
        <v>0</v>
      </c>
      <c r="O122" s="93">
        <v>0</v>
      </c>
      <c r="P122" s="93">
        <v>0</v>
      </c>
      <c r="Q122" s="93">
        <v>0</v>
      </c>
      <c r="R122" s="94">
        <v>0</v>
      </c>
    </row>
    <row r="123" spans="1:19" s="226" customFormat="1" ht="12.75" customHeight="1" x14ac:dyDescent="0.25">
      <c r="A123" s="98" t="s">
        <v>79</v>
      </c>
      <c r="B123" s="98" t="s">
        <v>70</v>
      </c>
      <c r="E123" s="100">
        <v>-20704709.399999999</v>
      </c>
      <c r="F123" s="100">
        <v>0</v>
      </c>
      <c r="G123" s="100">
        <v>0</v>
      </c>
      <c r="H123" s="100">
        <v>0</v>
      </c>
      <c r="I123" s="100">
        <v>0</v>
      </c>
      <c r="J123" s="100">
        <v>0</v>
      </c>
      <c r="K123" s="100">
        <v>0</v>
      </c>
      <c r="L123" s="100">
        <v>0</v>
      </c>
      <c r="M123" s="100">
        <v>0</v>
      </c>
      <c r="N123" s="100">
        <v>0</v>
      </c>
      <c r="O123" s="100">
        <v>0</v>
      </c>
      <c r="P123" s="100">
        <v>0</v>
      </c>
      <c r="Q123" s="100">
        <v>0</v>
      </c>
      <c r="R123" s="226">
        <v>0</v>
      </c>
    </row>
    <row r="124" spans="1:19" ht="12.75" customHeight="1" x14ac:dyDescent="0.25">
      <c r="A124" s="89" t="s">
        <v>70</v>
      </c>
      <c r="E124" s="90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  <c r="R124">
        <v>0</v>
      </c>
    </row>
    <row r="125" spans="1:19" ht="12.75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5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5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5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hidden="1" customHeight="1" x14ac:dyDescent="0.25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hidden="1" customHeight="1" x14ac:dyDescent="0.25">
      <c r="A144" s="89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 spans="1:19" ht="12.75" hidden="1" customHeight="1" x14ac:dyDescent="0.25">
      <c r="A145" s="89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 spans="1:19" ht="12.75" hidden="1" customHeight="1" x14ac:dyDescent="0.25">
      <c r="A146" s="89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 spans="1:19" ht="12.75" hidden="1" customHeight="1" x14ac:dyDescent="0.25">
      <c r="A147" s="89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 spans="1:19" ht="12.75" hidden="1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customHeight="1" x14ac:dyDescent="0.25">
      <c r="B155" s="777" t="s">
        <v>2</v>
      </c>
      <c r="C155" s="774" t="s">
        <v>132</v>
      </c>
      <c r="D155" s="98" t="s">
        <v>70</v>
      </c>
      <c r="E155" s="100">
        <f>E101+E123-K101</f>
        <v>95634974.320000008</v>
      </c>
      <c r="F155" s="100">
        <f t="shared" ref="F155:R155" si="3">F101</f>
        <v>0</v>
      </c>
      <c r="G155" s="100">
        <f t="shared" si="3"/>
        <v>0</v>
      </c>
      <c r="H155" s="100">
        <f t="shared" si="3"/>
        <v>0</v>
      </c>
      <c r="I155" s="100">
        <f t="shared" si="3"/>
        <v>0</v>
      </c>
      <c r="J155" s="100">
        <f t="shared" si="3"/>
        <v>0</v>
      </c>
      <c r="K155" s="100">
        <f t="shared" si="3"/>
        <v>70736.95</v>
      </c>
      <c r="L155" s="100">
        <f t="shared" si="3"/>
        <v>0</v>
      </c>
      <c r="M155" s="100">
        <f t="shared" si="3"/>
        <v>0</v>
      </c>
      <c r="N155" s="100">
        <f t="shared" si="3"/>
        <v>0</v>
      </c>
      <c r="O155" s="100">
        <f t="shared" si="3"/>
        <v>0</v>
      </c>
      <c r="P155" s="100">
        <f t="shared" si="3"/>
        <v>0</v>
      </c>
      <c r="Q155" s="100">
        <f t="shared" si="3"/>
        <v>0</v>
      </c>
      <c r="R155" s="100">
        <f t="shared" si="3"/>
        <v>0</v>
      </c>
    </row>
    <row r="156" spans="1:19" ht="12.75" customHeight="1" x14ac:dyDescent="0.25">
      <c r="B156" s="777"/>
      <c r="C156" s="774"/>
      <c r="D156" s="98" t="s">
        <v>73</v>
      </c>
      <c r="E156" s="100">
        <f>E123</f>
        <v>-20704709.399999999</v>
      </c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</row>
    <row r="157" spans="1:19" ht="12.75" customHeight="1" x14ac:dyDescent="0.25">
      <c r="A157" s="89"/>
      <c r="B157" s="97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9" ht="12.75" customHeight="1" x14ac:dyDescent="0.25">
      <c r="B158" s="777" t="s">
        <v>160</v>
      </c>
      <c r="C158" s="774" t="s">
        <v>132</v>
      </c>
      <c r="D158" s="223" t="s">
        <v>70</v>
      </c>
      <c r="E158" s="225">
        <f>E115+E90+E70-K70-K90</f>
        <v>11780995.139999999</v>
      </c>
      <c r="F158" s="225">
        <f>F90+F70</f>
        <v>0</v>
      </c>
      <c r="G158" s="225">
        <f t="shared" ref="G158:R158" si="4">G90+G70</f>
        <v>0</v>
      </c>
      <c r="H158" s="225">
        <f t="shared" si="4"/>
        <v>0</v>
      </c>
      <c r="I158" s="225">
        <f t="shared" si="4"/>
        <v>0</v>
      </c>
      <c r="J158" s="225">
        <f t="shared" si="4"/>
        <v>0</v>
      </c>
      <c r="K158" s="225">
        <f t="shared" si="4"/>
        <v>0</v>
      </c>
      <c r="L158" s="225">
        <f t="shared" si="4"/>
        <v>0</v>
      </c>
      <c r="M158" s="225">
        <f t="shared" si="4"/>
        <v>0</v>
      </c>
      <c r="N158" s="225">
        <f t="shared" si="4"/>
        <v>0</v>
      </c>
      <c r="O158" s="225">
        <f t="shared" si="4"/>
        <v>0</v>
      </c>
      <c r="P158" s="225">
        <f t="shared" si="4"/>
        <v>0</v>
      </c>
      <c r="Q158" s="225">
        <f t="shared" si="4"/>
        <v>0</v>
      </c>
      <c r="R158" s="225">
        <f t="shared" si="4"/>
        <v>0</v>
      </c>
    </row>
    <row r="159" spans="1:19" ht="12.75" customHeight="1" x14ac:dyDescent="0.25">
      <c r="B159" s="777"/>
      <c r="C159" s="774"/>
      <c r="D159" s="223" t="s">
        <v>73</v>
      </c>
      <c r="E159" s="225">
        <f>E115</f>
        <v>-4383219.66</v>
      </c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</row>
    <row r="160" spans="1:19" ht="12.6" customHeight="1" x14ac:dyDescent="0.25">
      <c r="A160" s="89"/>
      <c r="B160" s="97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1:18" ht="12.75" customHeight="1" x14ac:dyDescent="0.25">
      <c r="B161" s="777" t="s">
        <v>155</v>
      </c>
      <c r="C161" s="774" t="s">
        <v>132</v>
      </c>
      <c r="D161" s="221" t="s">
        <v>70</v>
      </c>
      <c r="E161" s="222">
        <f>E104+E74-K74</f>
        <v>39342901.739999995</v>
      </c>
      <c r="F161" s="222">
        <f t="shared" ref="F161:R161" si="5">F74</f>
        <v>0</v>
      </c>
      <c r="G161" s="222">
        <f t="shared" si="5"/>
        <v>0</v>
      </c>
      <c r="H161" s="222">
        <f t="shared" si="5"/>
        <v>0</v>
      </c>
      <c r="I161" s="222">
        <f t="shared" si="5"/>
        <v>0</v>
      </c>
      <c r="J161" s="222">
        <f t="shared" si="5"/>
        <v>0</v>
      </c>
      <c r="K161" s="222">
        <f t="shared" si="5"/>
        <v>70736.95</v>
      </c>
      <c r="L161" s="222">
        <f t="shared" si="5"/>
        <v>0</v>
      </c>
      <c r="M161" s="222">
        <f t="shared" si="5"/>
        <v>0</v>
      </c>
      <c r="N161" s="222">
        <f t="shared" si="5"/>
        <v>0</v>
      </c>
      <c r="O161" s="222">
        <f t="shared" si="5"/>
        <v>0</v>
      </c>
      <c r="P161" s="222">
        <f t="shared" si="5"/>
        <v>0</v>
      </c>
      <c r="Q161" s="222">
        <f t="shared" si="5"/>
        <v>0</v>
      </c>
      <c r="R161" s="222">
        <f t="shared" si="5"/>
        <v>0</v>
      </c>
    </row>
    <row r="162" spans="1:18" ht="12.75" customHeight="1" x14ac:dyDescent="0.25">
      <c r="B162" s="777"/>
      <c r="C162" s="774"/>
      <c r="D162" s="221" t="s">
        <v>73</v>
      </c>
      <c r="E162" s="222">
        <f>E104</f>
        <v>-19130403.640000001</v>
      </c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</row>
    <row r="163" spans="1:18" ht="12.75" customHeight="1" x14ac:dyDescent="0.25">
      <c r="A163" s="89"/>
      <c r="B163" s="97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</row>
    <row r="164" spans="1:18" ht="12.75" customHeight="1" x14ac:dyDescent="0.25">
      <c r="B164" s="775" t="s">
        <v>326</v>
      </c>
      <c r="C164" s="774" t="s">
        <v>132</v>
      </c>
      <c r="D164" s="373" t="s">
        <v>70</v>
      </c>
      <c r="E164" s="374">
        <v>0</v>
      </c>
      <c r="F164" s="374">
        <v>0</v>
      </c>
      <c r="G164" s="374">
        <v>0</v>
      </c>
      <c r="H164" s="374">
        <v>0</v>
      </c>
      <c r="I164" s="374">
        <v>0</v>
      </c>
      <c r="J164" s="374">
        <v>0</v>
      </c>
      <c r="K164" s="374">
        <v>0</v>
      </c>
      <c r="L164" s="374">
        <v>0</v>
      </c>
      <c r="M164" s="374">
        <v>0</v>
      </c>
      <c r="N164" s="374">
        <v>0</v>
      </c>
      <c r="O164" s="374">
        <v>0</v>
      </c>
      <c r="P164" s="374">
        <v>0</v>
      </c>
      <c r="Q164" s="374">
        <v>0</v>
      </c>
      <c r="R164" s="374">
        <v>0</v>
      </c>
    </row>
    <row r="165" spans="1:18" ht="12.75" customHeight="1" x14ac:dyDescent="0.25">
      <c r="B165" s="775"/>
      <c r="C165" s="774"/>
      <c r="D165" s="373" t="s">
        <v>73</v>
      </c>
      <c r="E165" s="374">
        <v>0</v>
      </c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</row>
    <row r="166" spans="1:18" ht="12.75" customHeight="1" x14ac:dyDescent="0.25">
      <c r="A166" s="89"/>
      <c r="B166" s="97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</row>
    <row r="167" spans="1:18" ht="12.75" customHeight="1" x14ac:dyDescent="0.25">
      <c r="B167" s="777" t="s">
        <v>119</v>
      </c>
      <c r="C167" s="774" t="s">
        <v>132</v>
      </c>
      <c r="D167" s="101" t="s">
        <v>70</v>
      </c>
      <c r="E167" s="93">
        <f>E100+E122-K100</f>
        <v>44529691.310000002</v>
      </c>
      <c r="F167" s="93">
        <f t="shared" ref="F167:R167" si="6">F100</f>
        <v>0</v>
      </c>
      <c r="G167" s="93">
        <f t="shared" si="6"/>
        <v>0</v>
      </c>
      <c r="H167" s="93">
        <f t="shared" si="6"/>
        <v>0</v>
      </c>
      <c r="I167" s="93">
        <f t="shared" si="6"/>
        <v>0</v>
      </c>
      <c r="J167" s="93">
        <f t="shared" si="6"/>
        <v>0</v>
      </c>
      <c r="K167" s="93">
        <f t="shared" si="6"/>
        <v>0</v>
      </c>
      <c r="L167" s="93">
        <f t="shared" si="6"/>
        <v>0</v>
      </c>
      <c r="M167" s="93">
        <f t="shared" si="6"/>
        <v>0</v>
      </c>
      <c r="N167" s="93">
        <f t="shared" si="6"/>
        <v>0</v>
      </c>
      <c r="O167" s="93">
        <f t="shared" si="6"/>
        <v>0</v>
      </c>
      <c r="P167" s="93">
        <f t="shared" si="6"/>
        <v>0</v>
      </c>
      <c r="Q167" s="93">
        <f t="shared" si="6"/>
        <v>0</v>
      </c>
      <c r="R167" s="93">
        <f t="shared" si="6"/>
        <v>0</v>
      </c>
    </row>
    <row r="168" spans="1:18" ht="12.75" customHeight="1" x14ac:dyDescent="0.25">
      <c r="B168" s="777"/>
      <c r="C168" s="774"/>
      <c r="D168" s="101" t="s">
        <v>73</v>
      </c>
      <c r="E168" s="93">
        <f>E122</f>
        <v>2827527.77</v>
      </c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</row>
    <row r="169" spans="1:18" ht="12.75" customHeight="1" x14ac:dyDescent="0.25">
      <c r="A169" s="89"/>
      <c r="B169" s="97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1:18" ht="12.75" customHeight="1" x14ac:dyDescent="0.25">
      <c r="B170" s="776" t="s">
        <v>161</v>
      </c>
      <c r="C170" s="774" t="s">
        <v>132</v>
      </c>
      <c r="D170" s="231" t="s">
        <v>70</v>
      </c>
      <c r="E170" s="232">
        <v>0</v>
      </c>
      <c r="F170" s="232">
        <v>0</v>
      </c>
      <c r="G170" s="232">
        <v>0</v>
      </c>
      <c r="H170" s="232">
        <v>0</v>
      </c>
      <c r="I170" s="232">
        <v>0</v>
      </c>
      <c r="J170" s="232">
        <v>0</v>
      </c>
      <c r="K170" s="232">
        <v>0</v>
      </c>
      <c r="L170" s="232">
        <v>0</v>
      </c>
      <c r="M170" s="232">
        <v>0</v>
      </c>
      <c r="N170" s="232">
        <v>0</v>
      </c>
      <c r="O170" s="232">
        <v>0</v>
      </c>
      <c r="P170" s="232">
        <v>0</v>
      </c>
      <c r="Q170" s="232">
        <v>0</v>
      </c>
      <c r="R170" s="232">
        <v>0</v>
      </c>
    </row>
    <row r="171" spans="1:18" ht="12.75" customHeight="1" x14ac:dyDescent="0.25">
      <c r="B171" s="776"/>
      <c r="C171" s="774"/>
      <c r="D171" s="231" t="s">
        <v>73</v>
      </c>
      <c r="E171" s="232">
        <v>0</v>
      </c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</row>
    <row r="172" spans="1:18" s="238" customFormat="1" x14ac:dyDescent="0.25"/>
    <row r="173" spans="1:18" x14ac:dyDescent="0.25">
      <c r="B173" s="97" t="s">
        <v>76</v>
      </c>
    </row>
    <row r="174" spans="1:18" ht="12.6" customHeight="1" x14ac:dyDescent="0.25">
      <c r="E174" s="89" t="s">
        <v>70</v>
      </c>
      <c r="F174" s="89" t="s">
        <v>64</v>
      </c>
      <c r="G174" s="89" t="s">
        <v>65</v>
      </c>
      <c r="H174" s="219" t="s">
        <v>164</v>
      </c>
      <c r="I174" s="89" t="s">
        <v>69</v>
      </c>
      <c r="J174" s="89" t="s">
        <v>68</v>
      </c>
      <c r="K174" s="89" t="s">
        <v>83</v>
      </c>
      <c r="L174" s="89" t="s">
        <v>66</v>
      </c>
      <c r="M174" s="89" t="s">
        <v>63</v>
      </c>
      <c r="N174" s="89" t="s">
        <v>61</v>
      </c>
      <c r="O174" s="89" t="s">
        <v>62</v>
      </c>
      <c r="P174" s="89" t="s">
        <v>67</v>
      </c>
      <c r="Q174" s="89" t="s">
        <v>84</v>
      </c>
      <c r="R174" s="384" t="s">
        <v>225</v>
      </c>
    </row>
    <row r="175" spans="1:18" ht="12.75" customHeight="1" x14ac:dyDescent="0.25">
      <c r="D175" s="89" t="s">
        <v>72</v>
      </c>
      <c r="E175" s="371">
        <v>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>
        <v>0</v>
      </c>
    </row>
    <row r="176" spans="1:18" ht="12.75" customHeight="1" x14ac:dyDescent="0.25">
      <c r="D176" t="s">
        <v>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2.75" customHeight="1" x14ac:dyDescent="0.25">
      <c r="C177" t="s">
        <v>332</v>
      </c>
      <c r="D177" s="89" t="s">
        <v>70</v>
      </c>
      <c r="E177" s="371">
        <v>0</v>
      </c>
      <c r="F177" s="90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>
        <v>0</v>
      </c>
    </row>
    <row r="178" spans="1:18" s="739" customFormat="1" ht="12.75" customHeight="1" x14ac:dyDescent="0.25">
      <c r="B178" s="739" t="s">
        <v>85</v>
      </c>
      <c r="C178" s="739" t="s">
        <v>70</v>
      </c>
      <c r="D178" s="231"/>
      <c r="E178" s="740">
        <v>0</v>
      </c>
      <c r="F178" s="232">
        <v>0</v>
      </c>
      <c r="G178" s="232">
        <v>0</v>
      </c>
      <c r="H178" s="232">
        <v>0</v>
      </c>
      <c r="I178" s="232">
        <v>0</v>
      </c>
      <c r="J178" s="232">
        <v>0</v>
      </c>
      <c r="K178" s="232">
        <v>0</v>
      </c>
      <c r="L178" s="232">
        <v>0</v>
      </c>
      <c r="M178" s="232">
        <v>0</v>
      </c>
      <c r="N178" s="232">
        <v>0</v>
      </c>
      <c r="O178" s="232">
        <v>0</v>
      </c>
      <c r="P178" s="232">
        <v>0</v>
      </c>
      <c r="Q178" s="232">
        <v>0</v>
      </c>
      <c r="R178" s="739">
        <v>0</v>
      </c>
    </row>
    <row r="179" spans="1:18" ht="12.6" customHeight="1" x14ac:dyDescent="0.25">
      <c r="D179" t="s">
        <v>72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2.75" customHeight="1" x14ac:dyDescent="0.25">
      <c r="D180" t="s">
        <v>81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ht="12.75" customHeight="1" x14ac:dyDescent="0.25">
      <c r="C181" t="s">
        <v>156</v>
      </c>
      <c r="D181" s="89" t="s">
        <v>70</v>
      </c>
      <c r="E181" s="371">
        <v>0</v>
      </c>
      <c r="F181" s="90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>
        <v>0</v>
      </c>
    </row>
    <row r="182" spans="1:18" s="656" customFormat="1" ht="12.75" customHeight="1" x14ac:dyDescent="0.25">
      <c r="B182" s="656" t="s">
        <v>155</v>
      </c>
      <c r="C182" s="656" t="s">
        <v>70</v>
      </c>
      <c r="E182" s="741">
        <v>16818069.859999999</v>
      </c>
      <c r="F182" s="656">
        <v>0</v>
      </c>
      <c r="G182" s="656">
        <v>0</v>
      </c>
      <c r="H182" s="656">
        <v>0</v>
      </c>
      <c r="I182" s="656">
        <v>0</v>
      </c>
      <c r="J182" s="656">
        <v>0</v>
      </c>
      <c r="K182" s="656">
        <v>16082.29</v>
      </c>
      <c r="L182" s="656">
        <v>0</v>
      </c>
      <c r="M182" s="656">
        <v>0</v>
      </c>
      <c r="N182" s="656">
        <v>0</v>
      </c>
      <c r="O182" s="656">
        <v>0</v>
      </c>
      <c r="P182" s="656">
        <v>0</v>
      </c>
      <c r="Q182" s="656">
        <v>0</v>
      </c>
      <c r="R182" s="656">
        <v>0</v>
      </c>
    </row>
    <row r="183" spans="1:18" ht="12.75" customHeight="1" x14ac:dyDescent="0.25">
      <c r="D183" t="s">
        <v>72</v>
      </c>
      <c r="E183" s="142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ht="12.75" customHeight="1" x14ac:dyDescent="0.25">
      <c r="D184" t="s">
        <v>81</v>
      </c>
      <c r="E184" s="142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ht="12.75" customHeight="1" x14ac:dyDescent="0.25">
      <c r="C185" t="s">
        <v>82</v>
      </c>
      <c r="D185" t="s">
        <v>70</v>
      </c>
      <c r="E185" s="142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ht="12.75" customHeight="1" x14ac:dyDescent="0.25">
      <c r="D186" t="s">
        <v>72</v>
      </c>
      <c r="E186" s="142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ht="12.75" customHeight="1" x14ac:dyDescent="0.25">
      <c r="D187" t="s">
        <v>81</v>
      </c>
      <c r="E187" s="142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2.75" customHeight="1" x14ac:dyDescent="0.25">
      <c r="C188" t="s">
        <v>86</v>
      </c>
      <c r="D188" t="s">
        <v>70</v>
      </c>
      <c r="E188" s="142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2.75" customHeight="1" x14ac:dyDescent="0.25">
      <c r="D189" t="s">
        <v>72</v>
      </c>
      <c r="E189" s="142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2.75" customHeight="1" x14ac:dyDescent="0.25">
      <c r="D190" t="s">
        <v>81</v>
      </c>
      <c r="E190" s="142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ht="12.75" customHeight="1" x14ac:dyDescent="0.25">
      <c r="A191" s="89"/>
      <c r="B191" s="89"/>
      <c r="C191" t="s">
        <v>87</v>
      </c>
      <c r="D191" t="s">
        <v>70</v>
      </c>
      <c r="E191" s="90">
        <v>0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>
        <v>0</v>
      </c>
    </row>
    <row r="192" spans="1:18" s="94" customFormat="1" ht="12.75" customHeight="1" x14ac:dyDescent="0.25">
      <c r="A192" s="101"/>
      <c r="B192" s="101" t="s">
        <v>119</v>
      </c>
      <c r="C192" s="94" t="s">
        <v>70</v>
      </c>
      <c r="E192" s="93">
        <v>1639770.22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4">
        <v>0</v>
      </c>
    </row>
    <row r="193" spans="1:18" s="226" customFormat="1" ht="12.75" customHeight="1" x14ac:dyDescent="0.25">
      <c r="A193" s="226" t="s">
        <v>78</v>
      </c>
      <c r="B193" s="226" t="s">
        <v>70</v>
      </c>
      <c r="D193" s="98"/>
      <c r="E193" s="100">
        <v>18457840.079999998</v>
      </c>
      <c r="F193" s="100">
        <v>0</v>
      </c>
      <c r="G193" s="100">
        <v>0</v>
      </c>
      <c r="H193" s="100">
        <v>0</v>
      </c>
      <c r="I193" s="100">
        <v>0</v>
      </c>
      <c r="J193" s="100">
        <v>0</v>
      </c>
      <c r="K193" s="100">
        <v>16082.29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0</v>
      </c>
      <c r="R193" s="226">
        <v>0</v>
      </c>
    </row>
    <row r="194" spans="1:18" ht="12.75" customHeight="1" x14ac:dyDescent="0.25">
      <c r="C194" s="89"/>
      <c r="D194" s="89" t="s">
        <v>73</v>
      </c>
      <c r="E194" s="371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>
        <v>0</v>
      </c>
    </row>
    <row r="195" spans="1:18" ht="12.75" customHeight="1" x14ac:dyDescent="0.25">
      <c r="C195" s="89" t="s">
        <v>156</v>
      </c>
      <c r="D195" s="89" t="s">
        <v>70</v>
      </c>
      <c r="E195" s="371">
        <v>0</v>
      </c>
      <c r="F195" s="90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>
        <v>0</v>
      </c>
    </row>
    <row r="196" spans="1:18" s="237" customFormat="1" ht="12.75" customHeight="1" x14ac:dyDescent="0.25">
      <c r="B196" s="237" t="s">
        <v>155</v>
      </c>
      <c r="C196" s="221" t="s">
        <v>70</v>
      </c>
      <c r="D196" s="221"/>
      <c r="E196" s="566">
        <v>-4432926.82</v>
      </c>
      <c r="F196" s="222">
        <v>0</v>
      </c>
      <c r="G196" s="222">
        <v>0</v>
      </c>
      <c r="H196" s="222">
        <v>0</v>
      </c>
      <c r="I196" s="222">
        <v>0</v>
      </c>
      <c r="J196" s="222">
        <v>0</v>
      </c>
      <c r="K196" s="222">
        <v>0</v>
      </c>
      <c r="L196" s="222">
        <v>0</v>
      </c>
      <c r="M196" s="222">
        <v>0</v>
      </c>
      <c r="N196" s="222">
        <v>0</v>
      </c>
      <c r="O196" s="222">
        <v>0</v>
      </c>
      <c r="P196" s="222">
        <v>0</v>
      </c>
      <c r="Q196" s="222">
        <v>0</v>
      </c>
      <c r="R196" s="237">
        <v>0</v>
      </c>
    </row>
    <row r="197" spans="1:18" ht="12.75" customHeight="1" x14ac:dyDescent="0.25">
      <c r="C197" s="89"/>
      <c r="D197" s="89" t="s">
        <v>73</v>
      </c>
      <c r="E197" s="371">
        <v>0</v>
      </c>
      <c r="F197" s="90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>
        <v>0</v>
      </c>
    </row>
    <row r="198" spans="1:18" ht="12.75" customHeight="1" x14ac:dyDescent="0.25">
      <c r="C198" t="s">
        <v>82</v>
      </c>
      <c r="D198" t="s">
        <v>70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ht="12.75" customHeight="1" x14ac:dyDescent="0.25">
      <c r="D199" t="s">
        <v>73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ht="12.75" customHeight="1" x14ac:dyDescent="0.25">
      <c r="C200" t="s">
        <v>86</v>
      </c>
      <c r="D200" t="s">
        <v>70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ht="12.75" customHeight="1" x14ac:dyDescent="0.25">
      <c r="D201" s="89" t="s">
        <v>73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>
        <v>0</v>
      </c>
    </row>
    <row r="202" spans="1:18" ht="12.75" customHeight="1" x14ac:dyDescent="0.25">
      <c r="C202" t="s">
        <v>87</v>
      </c>
      <c r="D202" s="89" t="s">
        <v>70</v>
      </c>
      <c r="E202" s="90">
        <v>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>
        <v>0</v>
      </c>
    </row>
    <row r="203" spans="1:18" s="94" customFormat="1" ht="12.75" customHeight="1" x14ac:dyDescent="0.25">
      <c r="B203" s="101" t="s">
        <v>119</v>
      </c>
      <c r="C203" s="101" t="s">
        <v>70</v>
      </c>
      <c r="E203" s="93">
        <v>565581.06000000006</v>
      </c>
      <c r="F203" s="93">
        <v>0</v>
      </c>
      <c r="G203" s="93">
        <v>0</v>
      </c>
      <c r="H203" s="93">
        <v>0</v>
      </c>
      <c r="I203" s="93">
        <v>0</v>
      </c>
      <c r="J203" s="93">
        <v>0</v>
      </c>
      <c r="K203" s="93">
        <v>0</v>
      </c>
      <c r="L203" s="93">
        <v>0</v>
      </c>
      <c r="M203" s="93">
        <v>0</v>
      </c>
      <c r="N203" s="93">
        <v>0</v>
      </c>
      <c r="O203" s="93">
        <v>0</v>
      </c>
      <c r="P203" s="93">
        <v>0</v>
      </c>
      <c r="Q203" s="93">
        <v>0</v>
      </c>
      <c r="R203" s="94">
        <v>0</v>
      </c>
    </row>
    <row r="204" spans="1:18" s="226" customFormat="1" ht="12.75" customHeight="1" x14ac:dyDescent="0.25">
      <c r="A204" s="98" t="s">
        <v>79</v>
      </c>
      <c r="B204" s="98" t="s">
        <v>70</v>
      </c>
      <c r="E204" s="100">
        <v>-3867345.76</v>
      </c>
      <c r="F204" s="100">
        <v>0</v>
      </c>
      <c r="G204" s="100">
        <v>0</v>
      </c>
      <c r="H204" s="100">
        <v>0</v>
      </c>
      <c r="I204" s="100">
        <v>0</v>
      </c>
      <c r="J204" s="100">
        <v>0</v>
      </c>
      <c r="K204" s="100">
        <v>0</v>
      </c>
      <c r="L204" s="100">
        <v>0</v>
      </c>
      <c r="M204" s="100">
        <v>0</v>
      </c>
      <c r="N204" s="100">
        <v>0</v>
      </c>
      <c r="O204" s="100">
        <v>0</v>
      </c>
      <c r="P204" s="100">
        <v>0</v>
      </c>
      <c r="Q204" s="100">
        <v>0</v>
      </c>
      <c r="R204" s="226">
        <v>0</v>
      </c>
    </row>
    <row r="205" spans="1:18" ht="12.75" customHeight="1" x14ac:dyDescent="0.25">
      <c r="A205" s="89" t="s">
        <v>70</v>
      </c>
      <c r="E205" s="90">
        <v>0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>
        <v>0</v>
      </c>
    </row>
    <row r="206" spans="1:18" ht="12.75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8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8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7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7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7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7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7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7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7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7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7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7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7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7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7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7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7" ht="12.75" hidden="1" customHeight="1" x14ac:dyDescent="0.25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7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8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8" ht="12.75" hidden="1" customHeight="1" x14ac:dyDescent="0.25">
      <c r="A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</row>
    <row r="227" spans="1:18" ht="12.75" hidden="1" customHeight="1" x14ac:dyDescent="0.25">
      <c r="A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18" ht="12.75" hidden="1" customHeight="1" x14ac:dyDescent="0.25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</row>
    <row r="229" spans="1:18" ht="12.75" hidden="1" customHeight="1" x14ac:dyDescent="0.25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8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8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8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customHeight="1" x14ac:dyDescent="0.25">
      <c r="C237" s="89"/>
      <c r="D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1:18" ht="12.75" hidden="1" customHeight="1" x14ac:dyDescent="0.25">
      <c r="D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</row>
    <row r="239" spans="1:18" ht="12.75" hidden="1" customHeight="1" x14ac:dyDescent="0.25">
      <c r="C239" s="89"/>
      <c r="D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</row>
    <row r="240" spans="1:18" ht="12.75" hidden="1" customHeight="1" x14ac:dyDescent="0.25">
      <c r="D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</row>
    <row r="241" spans="1:18" ht="12.75" hidden="1" customHeight="1" x14ac:dyDescent="0.25">
      <c r="C241" s="89"/>
      <c r="D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1:18" ht="12.75" hidden="1" customHeight="1" x14ac:dyDescent="0.25">
      <c r="B242" s="89"/>
      <c r="C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</row>
    <row r="243" spans="1:18" ht="12.75" hidden="1" customHeight="1" x14ac:dyDescent="0.25">
      <c r="A243" s="89"/>
      <c r="B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</row>
    <row r="244" spans="1:18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</row>
    <row r="245" spans="1:18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8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8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8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8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8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8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8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8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8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8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8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7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7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7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7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7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7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7" ht="12.75" hidden="1" customHeight="1" x14ac:dyDescent="0.25">
      <c r="A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</row>
    <row r="264" spans="1:17" ht="12.75" hidden="1" customHeight="1" x14ac:dyDescent="0.25">
      <c r="A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</row>
    <row r="265" spans="1:17" ht="12.75" hidden="1" customHeight="1" x14ac:dyDescent="0.25">
      <c r="A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</row>
    <row r="266" spans="1:17" ht="12.75" hidden="1" customHeight="1" x14ac:dyDescent="0.25">
      <c r="A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</row>
    <row r="267" spans="1:17" ht="12.75" hidden="1" customHeight="1" x14ac:dyDescent="0.25">
      <c r="A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</row>
    <row r="268" spans="1:17" ht="12.75" hidden="1" customHeight="1" x14ac:dyDescent="0.25">
      <c r="A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</row>
    <row r="269" spans="1:17" ht="12.75" hidden="1" customHeight="1" x14ac:dyDescent="0.25">
      <c r="A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</row>
    <row r="270" spans="1:17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</row>
    <row r="271" spans="1:17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7" ht="12.75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8" ht="12.75" customHeight="1" x14ac:dyDescent="0.25">
      <c r="B273" s="777" t="s">
        <v>2</v>
      </c>
      <c r="C273" s="774" t="s">
        <v>132</v>
      </c>
      <c r="D273" s="98" t="s">
        <v>70</v>
      </c>
      <c r="E273" s="100">
        <f>E193+E204-K193</f>
        <v>14574412.029999999</v>
      </c>
      <c r="F273" s="100">
        <f>F193</f>
        <v>0</v>
      </c>
      <c r="G273" s="100">
        <f t="shared" ref="G273:R273" si="7">G193</f>
        <v>0</v>
      </c>
      <c r="H273" s="100">
        <f t="shared" si="7"/>
        <v>0</v>
      </c>
      <c r="I273" s="100">
        <f t="shared" si="7"/>
        <v>0</v>
      </c>
      <c r="J273" s="100">
        <f t="shared" si="7"/>
        <v>0</v>
      </c>
      <c r="K273" s="100">
        <f t="shared" si="7"/>
        <v>16082.29</v>
      </c>
      <c r="L273" s="100">
        <f t="shared" si="7"/>
        <v>0</v>
      </c>
      <c r="M273" s="100">
        <f t="shared" si="7"/>
        <v>0</v>
      </c>
      <c r="N273" s="100">
        <f t="shared" si="7"/>
        <v>0</v>
      </c>
      <c r="O273" s="100">
        <f t="shared" si="7"/>
        <v>0</v>
      </c>
      <c r="P273" s="100">
        <f t="shared" si="7"/>
        <v>0</v>
      </c>
      <c r="Q273" s="100">
        <f t="shared" si="7"/>
        <v>0</v>
      </c>
      <c r="R273" s="100">
        <f t="shared" si="7"/>
        <v>0</v>
      </c>
    </row>
    <row r="274" spans="1:18" ht="12.75" customHeight="1" x14ac:dyDescent="0.25">
      <c r="B274" s="777"/>
      <c r="C274" s="774"/>
      <c r="D274" s="98" t="s">
        <v>73</v>
      </c>
      <c r="E274" s="100">
        <f>E204</f>
        <v>-3867345.76</v>
      </c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</row>
    <row r="275" spans="1:18" ht="12.75" customHeight="1" x14ac:dyDescent="0.25">
      <c r="A275" s="89"/>
      <c r="B275" s="97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ht="12.75" customHeight="1" x14ac:dyDescent="0.25">
      <c r="B276" s="777" t="s">
        <v>160</v>
      </c>
      <c r="C276" s="774" t="s">
        <v>132</v>
      </c>
      <c r="D276" s="223" t="s">
        <v>70</v>
      </c>
      <c r="E276" s="225">
        <v>0</v>
      </c>
      <c r="F276" s="225">
        <v>0</v>
      </c>
      <c r="G276" s="225">
        <v>0</v>
      </c>
      <c r="H276" s="225">
        <v>0</v>
      </c>
      <c r="I276" s="225">
        <v>0</v>
      </c>
      <c r="J276" s="225">
        <v>0</v>
      </c>
      <c r="K276" s="225">
        <v>0</v>
      </c>
      <c r="L276" s="225">
        <v>0</v>
      </c>
      <c r="M276" s="225">
        <v>0</v>
      </c>
      <c r="N276" s="225">
        <v>0</v>
      </c>
      <c r="O276" s="225">
        <v>0</v>
      </c>
      <c r="P276" s="225">
        <v>0</v>
      </c>
      <c r="Q276" s="225">
        <v>0</v>
      </c>
      <c r="R276" s="225">
        <v>0</v>
      </c>
    </row>
    <row r="277" spans="1:18" ht="12.75" customHeight="1" x14ac:dyDescent="0.25">
      <c r="B277" s="777"/>
      <c r="C277" s="774"/>
      <c r="D277" s="223" t="s">
        <v>73</v>
      </c>
      <c r="E277" s="225">
        <v>0</v>
      </c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18" ht="12.75" customHeight="1" x14ac:dyDescent="0.25">
      <c r="A278" s="89"/>
      <c r="B278" s="97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spans="1:18" ht="12.75" customHeight="1" x14ac:dyDescent="0.25">
      <c r="B279" s="777" t="s">
        <v>155</v>
      </c>
      <c r="C279" s="774" t="s">
        <v>132</v>
      </c>
      <c r="D279" s="221" t="s">
        <v>70</v>
      </c>
      <c r="E279" s="222">
        <f>E196+E182+E178-K182-K178</f>
        <v>12369060.75</v>
      </c>
      <c r="F279" s="222">
        <f>F178+F182</f>
        <v>0</v>
      </c>
      <c r="G279" s="222">
        <f t="shared" ref="G279:R279" si="8">G178+G182</f>
        <v>0</v>
      </c>
      <c r="H279" s="222">
        <f t="shared" si="8"/>
        <v>0</v>
      </c>
      <c r="I279" s="222">
        <f t="shared" si="8"/>
        <v>0</v>
      </c>
      <c r="J279" s="222">
        <f t="shared" si="8"/>
        <v>0</v>
      </c>
      <c r="K279" s="222">
        <f t="shared" si="8"/>
        <v>16082.29</v>
      </c>
      <c r="L279" s="222">
        <f t="shared" si="8"/>
        <v>0</v>
      </c>
      <c r="M279" s="222">
        <f t="shared" si="8"/>
        <v>0</v>
      </c>
      <c r="N279" s="222">
        <f t="shared" si="8"/>
        <v>0</v>
      </c>
      <c r="O279" s="222">
        <f t="shared" si="8"/>
        <v>0</v>
      </c>
      <c r="P279" s="222">
        <f t="shared" si="8"/>
        <v>0</v>
      </c>
      <c r="Q279" s="222">
        <f t="shared" si="8"/>
        <v>0</v>
      </c>
      <c r="R279" s="222">
        <f t="shared" si="8"/>
        <v>0</v>
      </c>
    </row>
    <row r="280" spans="1:18" ht="12.75" customHeight="1" x14ac:dyDescent="0.25">
      <c r="B280" s="777"/>
      <c r="C280" s="774"/>
      <c r="D280" s="221" t="s">
        <v>73</v>
      </c>
      <c r="E280" s="222">
        <f>E196</f>
        <v>-4432926.82</v>
      </c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</row>
    <row r="281" spans="1:18" ht="12.75" customHeight="1" x14ac:dyDescent="0.25">
      <c r="B281" s="719"/>
      <c r="C281" s="220"/>
      <c r="D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</row>
    <row r="282" spans="1:18" ht="12.75" customHeight="1" x14ac:dyDescent="0.25">
      <c r="B282" s="775" t="s">
        <v>326</v>
      </c>
      <c r="C282" s="774" t="s">
        <v>132</v>
      </c>
      <c r="D282" s="373" t="s">
        <v>70</v>
      </c>
      <c r="E282" s="374">
        <v>0</v>
      </c>
      <c r="F282" s="374">
        <v>0</v>
      </c>
      <c r="G282" s="374">
        <v>0</v>
      </c>
      <c r="H282" s="374">
        <v>0</v>
      </c>
      <c r="I282" s="374">
        <v>0</v>
      </c>
      <c r="J282" s="374">
        <v>0</v>
      </c>
      <c r="K282" s="374">
        <v>0</v>
      </c>
      <c r="L282" s="374">
        <v>0</v>
      </c>
      <c r="M282" s="374">
        <v>0</v>
      </c>
      <c r="N282" s="374">
        <v>0</v>
      </c>
      <c r="O282" s="374">
        <v>0</v>
      </c>
      <c r="P282" s="374">
        <v>0</v>
      </c>
      <c r="Q282" s="374">
        <v>0</v>
      </c>
      <c r="R282" s="374">
        <v>0</v>
      </c>
    </row>
    <row r="283" spans="1:18" ht="12.75" customHeight="1" x14ac:dyDescent="0.25">
      <c r="B283" s="775"/>
      <c r="C283" s="774"/>
      <c r="D283" s="373" t="s">
        <v>73</v>
      </c>
      <c r="E283" s="374">
        <v>0</v>
      </c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18" ht="12.75" customHeight="1" x14ac:dyDescent="0.25">
      <c r="B284" s="719"/>
      <c r="C284" s="220"/>
      <c r="D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</row>
    <row r="285" spans="1:18" ht="12.75" customHeight="1" x14ac:dyDescent="0.25">
      <c r="B285" s="777" t="s">
        <v>119</v>
      </c>
      <c r="C285" s="774" t="s">
        <v>132</v>
      </c>
      <c r="D285" s="101" t="s">
        <v>70</v>
      </c>
      <c r="E285" s="93">
        <f>E192+E203-K192</f>
        <v>2205351.2800000003</v>
      </c>
      <c r="F285" s="93">
        <f>F192</f>
        <v>0</v>
      </c>
      <c r="G285" s="93">
        <f t="shared" ref="G285:R285" si="9">G192</f>
        <v>0</v>
      </c>
      <c r="H285" s="93">
        <f t="shared" si="9"/>
        <v>0</v>
      </c>
      <c r="I285" s="93">
        <f t="shared" si="9"/>
        <v>0</v>
      </c>
      <c r="J285" s="93">
        <f t="shared" si="9"/>
        <v>0</v>
      </c>
      <c r="K285" s="93">
        <f t="shared" si="9"/>
        <v>0</v>
      </c>
      <c r="L285" s="93">
        <f t="shared" si="9"/>
        <v>0</v>
      </c>
      <c r="M285" s="93">
        <f t="shared" si="9"/>
        <v>0</v>
      </c>
      <c r="N285" s="93">
        <f t="shared" si="9"/>
        <v>0</v>
      </c>
      <c r="O285" s="93">
        <f t="shared" si="9"/>
        <v>0</v>
      </c>
      <c r="P285" s="93">
        <f t="shared" si="9"/>
        <v>0</v>
      </c>
      <c r="Q285" s="93">
        <f t="shared" si="9"/>
        <v>0</v>
      </c>
      <c r="R285" s="93">
        <f t="shared" si="9"/>
        <v>0</v>
      </c>
    </row>
    <row r="286" spans="1:18" ht="12.75" customHeight="1" x14ac:dyDescent="0.25">
      <c r="B286" s="777"/>
      <c r="C286" s="774"/>
      <c r="D286" s="101" t="s">
        <v>73</v>
      </c>
      <c r="E286" s="93">
        <f>E203</f>
        <v>565581.06000000006</v>
      </c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</row>
    <row r="287" spans="1:18" ht="12.75" customHeight="1" x14ac:dyDescent="0.25">
      <c r="A287" s="89"/>
      <c r="B287" s="97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</row>
    <row r="288" spans="1:18" ht="12.75" customHeight="1" x14ac:dyDescent="0.25">
      <c r="B288" s="776" t="s">
        <v>161</v>
      </c>
      <c r="C288" s="774" t="s">
        <v>132</v>
      </c>
      <c r="D288" s="231" t="s">
        <v>70</v>
      </c>
      <c r="E288" s="232">
        <v>0</v>
      </c>
      <c r="F288" s="232">
        <v>0</v>
      </c>
      <c r="G288" s="232">
        <v>0</v>
      </c>
      <c r="H288" s="232">
        <v>0</v>
      </c>
      <c r="I288" s="232">
        <v>0</v>
      </c>
      <c r="J288" s="232">
        <v>0</v>
      </c>
      <c r="K288" s="232">
        <v>0</v>
      </c>
      <c r="L288" s="232">
        <v>0</v>
      </c>
      <c r="M288" s="232">
        <v>0</v>
      </c>
      <c r="N288" s="232">
        <v>0</v>
      </c>
      <c r="O288" s="232">
        <v>0</v>
      </c>
      <c r="P288" s="232">
        <v>0</v>
      </c>
      <c r="Q288" s="232">
        <v>0</v>
      </c>
      <c r="R288" s="232">
        <v>0</v>
      </c>
    </row>
    <row r="289" spans="2:18" ht="12.75" customHeight="1" x14ac:dyDescent="0.25">
      <c r="B289" s="776"/>
      <c r="C289" s="774"/>
      <c r="D289" s="231" t="s">
        <v>73</v>
      </c>
      <c r="E289" s="232">
        <v>0</v>
      </c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</row>
    <row r="290" spans="2:18" s="238" customFormat="1" x14ac:dyDescent="0.25"/>
    <row r="291" spans="2:18" ht="15" customHeight="1" x14ac:dyDescent="0.25">
      <c r="B291" s="97" t="s">
        <v>88</v>
      </c>
    </row>
    <row r="292" spans="2:18" ht="11.55" customHeight="1" x14ac:dyDescent="0.25">
      <c r="E292" s="89" t="s">
        <v>70</v>
      </c>
      <c r="F292" s="89" t="s">
        <v>64</v>
      </c>
      <c r="G292" s="89" t="s">
        <v>65</v>
      </c>
      <c r="H292" s="219" t="s">
        <v>164</v>
      </c>
      <c r="I292" s="89" t="s">
        <v>69</v>
      </c>
      <c r="J292" s="89" t="s">
        <v>68</v>
      </c>
      <c r="K292" s="89" t="s">
        <v>83</v>
      </c>
      <c r="L292" s="89" t="s">
        <v>66</v>
      </c>
      <c r="M292" s="89" t="s">
        <v>63</v>
      </c>
      <c r="N292" s="89" t="s">
        <v>61</v>
      </c>
      <c r="O292" s="89" t="s">
        <v>62</v>
      </c>
      <c r="P292" s="89" t="s">
        <v>67</v>
      </c>
      <c r="Q292" s="89" t="s">
        <v>84</v>
      </c>
      <c r="R292" s="384" t="s">
        <v>225</v>
      </c>
    </row>
    <row r="293" spans="2:18" ht="11.55" customHeight="1" x14ac:dyDescent="0.25">
      <c r="D293" t="s">
        <v>72</v>
      </c>
      <c r="E293" s="89">
        <v>0</v>
      </c>
      <c r="F293" s="89">
        <v>0</v>
      </c>
      <c r="G293" s="89">
        <v>0</v>
      </c>
      <c r="H293" s="384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 s="384">
        <v>0</v>
      </c>
    </row>
    <row r="294" spans="2:18" ht="12.75" customHeight="1" x14ac:dyDescent="0.25">
      <c r="D294" t="s">
        <v>81</v>
      </c>
      <c r="E294" s="384">
        <v>0</v>
      </c>
      <c r="F294" s="89">
        <v>0</v>
      </c>
      <c r="G294" s="89">
        <v>0</v>
      </c>
      <c r="H294" s="384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 s="384">
        <v>0</v>
      </c>
    </row>
    <row r="295" spans="2:18" ht="11.55" customHeight="1" x14ac:dyDescent="0.25">
      <c r="C295" t="s">
        <v>332</v>
      </c>
      <c r="D295" t="s">
        <v>70</v>
      </c>
      <c r="E295" s="384">
        <v>0</v>
      </c>
      <c r="F295" s="89">
        <v>0</v>
      </c>
      <c r="G295" s="89">
        <v>0</v>
      </c>
      <c r="H295" s="384">
        <v>0</v>
      </c>
      <c r="I295" s="89">
        <v>0</v>
      </c>
      <c r="J295" s="89">
        <v>0</v>
      </c>
      <c r="K295" s="89">
        <v>0</v>
      </c>
      <c r="L295" s="89">
        <v>0</v>
      </c>
      <c r="M295" s="89">
        <v>0</v>
      </c>
      <c r="N295" s="89">
        <v>0</v>
      </c>
      <c r="O295" s="89">
        <v>0</v>
      </c>
      <c r="P295" s="89">
        <v>0</v>
      </c>
      <c r="Q295" s="89">
        <v>0</v>
      </c>
      <c r="R295" s="384">
        <v>0</v>
      </c>
    </row>
    <row r="296" spans="2:18" s="739" customFormat="1" ht="11.55" customHeight="1" x14ac:dyDescent="0.25">
      <c r="B296" s="739" t="s">
        <v>85</v>
      </c>
      <c r="C296" s="739" t="s">
        <v>70</v>
      </c>
      <c r="E296" s="769">
        <v>0</v>
      </c>
      <c r="F296" s="231">
        <v>0</v>
      </c>
      <c r="G296" s="231">
        <v>0</v>
      </c>
      <c r="H296" s="769">
        <v>0</v>
      </c>
      <c r="I296" s="231">
        <v>0</v>
      </c>
      <c r="J296" s="231">
        <v>0</v>
      </c>
      <c r="K296" s="231">
        <v>0</v>
      </c>
      <c r="L296" s="231">
        <v>0</v>
      </c>
      <c r="M296" s="231">
        <v>0</v>
      </c>
      <c r="N296" s="231">
        <v>0</v>
      </c>
      <c r="O296" s="231">
        <v>0</v>
      </c>
      <c r="P296" s="231">
        <v>0</v>
      </c>
      <c r="Q296" s="231">
        <v>0</v>
      </c>
      <c r="R296" s="769">
        <v>0</v>
      </c>
    </row>
    <row r="297" spans="2:18" ht="11.55" customHeight="1" x14ac:dyDescent="0.25">
      <c r="D297" t="s">
        <v>72</v>
      </c>
      <c r="E297" s="384">
        <v>0</v>
      </c>
      <c r="F297" s="89">
        <v>0</v>
      </c>
      <c r="G297" s="89">
        <v>0</v>
      </c>
      <c r="H297" s="384">
        <v>0</v>
      </c>
      <c r="I297" s="89">
        <v>0</v>
      </c>
      <c r="J297" s="89">
        <v>0</v>
      </c>
      <c r="K297" s="89">
        <v>0</v>
      </c>
      <c r="L297" s="89">
        <v>0</v>
      </c>
      <c r="M297" s="89">
        <v>0</v>
      </c>
      <c r="N297" s="89">
        <v>0</v>
      </c>
      <c r="O297" s="89">
        <v>0</v>
      </c>
      <c r="P297" s="89">
        <v>0</v>
      </c>
      <c r="Q297" s="89">
        <v>0</v>
      </c>
      <c r="R297" s="384">
        <v>0</v>
      </c>
    </row>
    <row r="298" spans="2:18" ht="12.75" customHeight="1" x14ac:dyDescent="0.25">
      <c r="D298" t="s">
        <v>81</v>
      </c>
      <c r="E298" s="384">
        <v>0</v>
      </c>
      <c r="F298" s="89">
        <v>0</v>
      </c>
      <c r="G298" s="89">
        <v>0</v>
      </c>
      <c r="H298" s="384">
        <v>0</v>
      </c>
      <c r="I298" s="89">
        <v>0</v>
      </c>
      <c r="J298" s="89">
        <v>0</v>
      </c>
      <c r="K298" s="89">
        <v>0</v>
      </c>
      <c r="L298" s="89">
        <v>0</v>
      </c>
      <c r="M298" s="89">
        <v>0</v>
      </c>
      <c r="N298" s="89">
        <v>0</v>
      </c>
      <c r="O298" s="89">
        <v>0</v>
      </c>
      <c r="P298" s="89">
        <v>0</v>
      </c>
      <c r="Q298" s="89">
        <v>0</v>
      </c>
      <c r="R298" s="384">
        <v>0</v>
      </c>
    </row>
    <row r="299" spans="2:18" ht="12.75" customHeight="1" x14ac:dyDescent="0.25">
      <c r="C299" t="s">
        <v>156</v>
      </c>
      <c r="D299" t="s">
        <v>70</v>
      </c>
      <c r="E299" s="384">
        <v>0</v>
      </c>
      <c r="F299" s="89">
        <v>0</v>
      </c>
      <c r="G299" s="89">
        <v>0</v>
      </c>
      <c r="H299" s="384">
        <v>0</v>
      </c>
      <c r="I299" s="89">
        <v>0</v>
      </c>
      <c r="J299" s="89">
        <v>0</v>
      </c>
      <c r="K299" s="89">
        <v>0</v>
      </c>
      <c r="L299" s="89">
        <v>0</v>
      </c>
      <c r="M299" s="89">
        <v>0</v>
      </c>
      <c r="N299" s="89">
        <v>0</v>
      </c>
      <c r="O299" s="89">
        <v>0</v>
      </c>
      <c r="P299" s="89">
        <v>0</v>
      </c>
      <c r="Q299" s="89">
        <v>0</v>
      </c>
      <c r="R299">
        <v>0</v>
      </c>
    </row>
    <row r="300" spans="2:18" s="286" customFormat="1" ht="12.75" customHeight="1" x14ac:dyDescent="0.25">
      <c r="B300" s="286" t="s">
        <v>155</v>
      </c>
      <c r="C300" s="286" t="s">
        <v>70</v>
      </c>
      <c r="E300" s="753">
        <v>23658250.32</v>
      </c>
      <c r="F300" s="229">
        <v>0</v>
      </c>
      <c r="G300" s="229">
        <v>0</v>
      </c>
      <c r="H300" s="753">
        <v>0</v>
      </c>
      <c r="I300" s="229">
        <v>0</v>
      </c>
      <c r="J300" s="229">
        <v>0</v>
      </c>
      <c r="K300" s="229">
        <v>0</v>
      </c>
      <c r="L300" s="229">
        <v>0</v>
      </c>
      <c r="M300" s="229">
        <v>0</v>
      </c>
      <c r="N300" s="229">
        <v>0</v>
      </c>
      <c r="O300" s="229">
        <v>0</v>
      </c>
      <c r="P300" s="229">
        <v>0</v>
      </c>
      <c r="Q300" s="229">
        <v>0</v>
      </c>
      <c r="R300" s="286">
        <v>0</v>
      </c>
    </row>
    <row r="301" spans="2:18" ht="12.75" customHeight="1" x14ac:dyDescent="0.25">
      <c r="D301" t="s">
        <v>72</v>
      </c>
      <c r="E301" s="384">
        <v>0</v>
      </c>
      <c r="F301" s="89">
        <v>0</v>
      </c>
      <c r="G301" s="89">
        <v>0</v>
      </c>
      <c r="H301" s="384">
        <v>0</v>
      </c>
      <c r="I301" s="89">
        <v>0</v>
      </c>
      <c r="J301" s="89">
        <v>0</v>
      </c>
      <c r="K301" s="89">
        <v>0</v>
      </c>
      <c r="L301" s="89">
        <v>0</v>
      </c>
      <c r="M301" s="89">
        <v>0</v>
      </c>
      <c r="N301" s="89">
        <v>0</v>
      </c>
      <c r="O301" s="89">
        <v>0</v>
      </c>
      <c r="P301" s="89">
        <v>0</v>
      </c>
      <c r="Q301" s="89">
        <v>0</v>
      </c>
      <c r="R301">
        <v>0</v>
      </c>
    </row>
    <row r="302" spans="2:18" ht="12.75" customHeight="1" x14ac:dyDescent="0.25">
      <c r="D302" t="s">
        <v>81</v>
      </c>
      <c r="E302" s="384">
        <v>0</v>
      </c>
      <c r="F302" s="89">
        <v>0</v>
      </c>
      <c r="G302" s="89">
        <v>0</v>
      </c>
      <c r="H302" s="384">
        <v>0</v>
      </c>
      <c r="I302" s="89">
        <v>0</v>
      </c>
      <c r="J302" s="89">
        <v>0</v>
      </c>
      <c r="K302" s="89">
        <v>0</v>
      </c>
      <c r="L302" s="89">
        <v>0</v>
      </c>
      <c r="M302" s="89">
        <v>0</v>
      </c>
      <c r="N302" s="89">
        <v>0</v>
      </c>
      <c r="O302" s="89">
        <v>0</v>
      </c>
      <c r="P302" s="89">
        <v>0</v>
      </c>
      <c r="Q302" s="89">
        <v>0</v>
      </c>
      <c r="R302">
        <v>0</v>
      </c>
    </row>
    <row r="303" spans="2:18" ht="12.75" customHeight="1" x14ac:dyDescent="0.25">
      <c r="C303" t="s">
        <v>115</v>
      </c>
      <c r="D303" t="s">
        <v>70</v>
      </c>
      <c r="E303" s="384">
        <v>0</v>
      </c>
      <c r="F303" s="89">
        <v>0</v>
      </c>
      <c r="G303" s="89">
        <v>0</v>
      </c>
      <c r="H303" s="384">
        <v>0</v>
      </c>
      <c r="I303" s="89">
        <v>0</v>
      </c>
      <c r="J303" s="89">
        <v>0</v>
      </c>
      <c r="K303" s="89">
        <v>0</v>
      </c>
      <c r="L303" s="89">
        <v>0</v>
      </c>
      <c r="M303" s="89">
        <v>0</v>
      </c>
      <c r="N303" s="89">
        <v>0</v>
      </c>
      <c r="O303" s="89">
        <v>0</v>
      </c>
      <c r="P303" s="89">
        <v>0</v>
      </c>
      <c r="Q303" s="89">
        <v>0</v>
      </c>
      <c r="R303">
        <v>0</v>
      </c>
    </row>
    <row r="304" spans="2:18" ht="12.75" customHeight="1" x14ac:dyDescent="0.25">
      <c r="D304" t="s">
        <v>72</v>
      </c>
      <c r="E304" s="384">
        <v>0</v>
      </c>
      <c r="F304" s="89">
        <v>0</v>
      </c>
      <c r="G304" s="89">
        <v>0</v>
      </c>
      <c r="H304" s="384">
        <v>0</v>
      </c>
      <c r="I304" s="89">
        <v>0</v>
      </c>
      <c r="J304" s="89">
        <v>0</v>
      </c>
      <c r="K304" s="89">
        <v>0</v>
      </c>
      <c r="L304" s="89">
        <v>0</v>
      </c>
      <c r="M304" s="89">
        <v>0</v>
      </c>
      <c r="N304" s="89">
        <v>0</v>
      </c>
      <c r="O304" s="89">
        <v>0</v>
      </c>
      <c r="P304" s="89">
        <v>0</v>
      </c>
      <c r="Q304" s="89">
        <v>0</v>
      </c>
      <c r="R304">
        <v>0</v>
      </c>
    </row>
    <row r="305" spans="2:18" ht="12.75" customHeight="1" x14ac:dyDescent="0.25">
      <c r="D305" t="s">
        <v>81</v>
      </c>
      <c r="E305" s="384">
        <v>0</v>
      </c>
      <c r="F305" s="89">
        <v>0</v>
      </c>
      <c r="G305" s="89">
        <v>0</v>
      </c>
      <c r="H305" s="384">
        <v>0</v>
      </c>
      <c r="I305" s="89">
        <v>0</v>
      </c>
      <c r="J305" s="89">
        <v>0</v>
      </c>
      <c r="K305" s="89">
        <v>0</v>
      </c>
      <c r="L305" s="89">
        <v>0</v>
      </c>
      <c r="M305" s="89">
        <v>0</v>
      </c>
      <c r="N305" s="89">
        <v>0</v>
      </c>
      <c r="O305" s="89">
        <v>0</v>
      </c>
      <c r="P305" s="89">
        <v>0</v>
      </c>
      <c r="Q305" s="89">
        <v>0</v>
      </c>
      <c r="R305">
        <v>0</v>
      </c>
    </row>
    <row r="306" spans="2:18" ht="12.75" customHeight="1" x14ac:dyDescent="0.25">
      <c r="C306" t="s">
        <v>116</v>
      </c>
      <c r="D306" t="s">
        <v>70</v>
      </c>
      <c r="E306" s="384">
        <v>0</v>
      </c>
      <c r="F306" s="89">
        <v>0</v>
      </c>
      <c r="G306" s="89">
        <v>0</v>
      </c>
      <c r="H306" s="384">
        <v>0</v>
      </c>
      <c r="I306" s="89">
        <v>0</v>
      </c>
      <c r="J306" s="89">
        <v>0</v>
      </c>
      <c r="K306" s="89">
        <v>0</v>
      </c>
      <c r="L306" s="89">
        <v>0</v>
      </c>
      <c r="M306" s="89">
        <v>0</v>
      </c>
      <c r="N306" s="89">
        <v>0</v>
      </c>
      <c r="O306" s="89">
        <v>0</v>
      </c>
      <c r="P306" s="89">
        <v>0</v>
      </c>
      <c r="Q306" s="89">
        <v>0</v>
      </c>
      <c r="R306">
        <v>0</v>
      </c>
    </row>
    <row r="307" spans="2:18" ht="12.75" customHeight="1" x14ac:dyDescent="0.25">
      <c r="D307" t="s">
        <v>72</v>
      </c>
      <c r="E307" s="384">
        <v>0</v>
      </c>
      <c r="F307" s="89">
        <v>0</v>
      </c>
      <c r="G307" s="89">
        <v>0</v>
      </c>
      <c r="H307" s="384">
        <v>0</v>
      </c>
      <c r="I307" s="89">
        <v>0</v>
      </c>
      <c r="J307" s="89">
        <v>0</v>
      </c>
      <c r="K307" s="89">
        <v>0</v>
      </c>
      <c r="L307" s="89">
        <v>0</v>
      </c>
      <c r="M307" s="89">
        <v>0</v>
      </c>
      <c r="N307" s="89">
        <v>0</v>
      </c>
      <c r="O307" s="89">
        <v>0</v>
      </c>
      <c r="P307" s="89">
        <v>0</v>
      </c>
      <c r="Q307" s="89">
        <v>0</v>
      </c>
      <c r="R307">
        <v>0</v>
      </c>
    </row>
    <row r="308" spans="2:18" ht="12.75" customHeight="1" x14ac:dyDescent="0.25">
      <c r="D308" t="s">
        <v>81</v>
      </c>
      <c r="E308" s="384">
        <v>0</v>
      </c>
      <c r="F308" s="89">
        <v>0</v>
      </c>
      <c r="G308" s="89">
        <v>0</v>
      </c>
      <c r="H308" s="384">
        <v>0</v>
      </c>
      <c r="I308" s="89">
        <v>0</v>
      </c>
      <c r="J308" s="89">
        <v>0</v>
      </c>
      <c r="K308" s="89">
        <v>0</v>
      </c>
      <c r="L308" s="89">
        <v>0</v>
      </c>
      <c r="M308" s="89">
        <v>0</v>
      </c>
      <c r="N308" s="89">
        <v>0</v>
      </c>
      <c r="O308" s="89">
        <v>0</v>
      </c>
      <c r="P308" s="89">
        <v>0</v>
      </c>
      <c r="Q308" s="89">
        <v>0</v>
      </c>
      <c r="R308">
        <v>0</v>
      </c>
    </row>
    <row r="309" spans="2:18" ht="12.75" customHeight="1" x14ac:dyDescent="0.25">
      <c r="C309" s="772">
        <v>3</v>
      </c>
      <c r="D309" t="s">
        <v>70</v>
      </c>
      <c r="E309" s="384">
        <v>0</v>
      </c>
      <c r="F309" s="89">
        <v>0</v>
      </c>
      <c r="G309" s="89">
        <v>0</v>
      </c>
      <c r="H309" s="384">
        <v>0</v>
      </c>
      <c r="I309" s="89">
        <v>0</v>
      </c>
      <c r="J309" s="89">
        <v>0</v>
      </c>
      <c r="K309" s="89">
        <v>0</v>
      </c>
      <c r="L309" s="89">
        <v>0</v>
      </c>
      <c r="M309" s="89">
        <v>0</v>
      </c>
      <c r="N309" s="89">
        <v>0</v>
      </c>
      <c r="O309" s="89">
        <v>0</v>
      </c>
      <c r="P309" s="89">
        <v>0</v>
      </c>
      <c r="Q309" s="89">
        <v>0</v>
      </c>
      <c r="R309">
        <v>0</v>
      </c>
    </row>
    <row r="310" spans="2:18" ht="12.75" customHeight="1" x14ac:dyDescent="0.25">
      <c r="B310" s="89"/>
      <c r="C310" s="89"/>
      <c r="D310" t="s">
        <v>72</v>
      </c>
      <c r="E310" s="371">
        <v>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0</v>
      </c>
      <c r="R310">
        <v>0</v>
      </c>
    </row>
    <row r="311" spans="2:18" ht="12.75" customHeight="1" x14ac:dyDescent="0.25">
      <c r="B311" s="89"/>
      <c r="C311" s="89"/>
      <c r="D311" t="s">
        <v>81</v>
      </c>
      <c r="E311" s="371">
        <v>0</v>
      </c>
      <c r="F311" s="90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>
        <v>0</v>
      </c>
    </row>
    <row r="312" spans="2:18" ht="12.75" customHeight="1" x14ac:dyDescent="0.25">
      <c r="B312" s="89"/>
      <c r="C312" s="89" t="s">
        <v>118</v>
      </c>
      <c r="D312" t="s">
        <v>70</v>
      </c>
      <c r="E312" s="371">
        <v>0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>
        <v>0</v>
      </c>
    </row>
    <row r="313" spans="2:18" ht="12.75" customHeight="1" x14ac:dyDescent="0.25">
      <c r="B313" s="89"/>
      <c r="C313" s="89"/>
      <c r="D313" t="s">
        <v>72</v>
      </c>
      <c r="E313" s="371">
        <v>0</v>
      </c>
      <c r="F313" s="90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>
        <v>0</v>
      </c>
    </row>
    <row r="314" spans="2:18" ht="12.75" customHeight="1" x14ac:dyDescent="0.25">
      <c r="B314" s="89"/>
      <c r="C314" s="89"/>
      <c r="D314" t="s">
        <v>81</v>
      </c>
      <c r="E314" s="371">
        <v>0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0</v>
      </c>
      <c r="Q314" s="90">
        <v>0</v>
      </c>
      <c r="R314">
        <v>0</v>
      </c>
    </row>
    <row r="315" spans="2:18" ht="12.75" customHeight="1" x14ac:dyDescent="0.25">
      <c r="B315" s="89"/>
      <c r="C315" s="773">
        <v>9</v>
      </c>
      <c r="D315" t="s">
        <v>70</v>
      </c>
      <c r="E315" s="371">
        <v>0</v>
      </c>
      <c r="F315" s="90">
        <v>0</v>
      </c>
      <c r="G315" s="90">
        <v>0</v>
      </c>
      <c r="H315" s="90">
        <v>0</v>
      </c>
      <c r="I315" s="90">
        <v>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0</v>
      </c>
      <c r="Q315" s="90">
        <v>0</v>
      </c>
      <c r="R315">
        <v>0</v>
      </c>
    </row>
    <row r="316" spans="2:18" s="224" customFormat="1" ht="12.75" customHeight="1" x14ac:dyDescent="0.25">
      <c r="B316" s="224" t="s">
        <v>120</v>
      </c>
      <c r="C316" s="223" t="s">
        <v>70</v>
      </c>
      <c r="D316" s="223"/>
      <c r="E316" s="225">
        <v>2047537.6</v>
      </c>
      <c r="F316" s="225">
        <v>0</v>
      </c>
      <c r="G316" s="225">
        <v>0</v>
      </c>
      <c r="H316" s="225">
        <v>0</v>
      </c>
      <c r="I316" s="225">
        <v>0</v>
      </c>
      <c r="J316" s="225">
        <v>0</v>
      </c>
      <c r="K316" s="225">
        <v>0</v>
      </c>
      <c r="L316" s="225">
        <v>0</v>
      </c>
      <c r="M316" s="225">
        <v>0</v>
      </c>
      <c r="N316" s="225">
        <v>0</v>
      </c>
      <c r="O316" s="225">
        <v>0</v>
      </c>
      <c r="P316" s="225">
        <v>0</v>
      </c>
      <c r="Q316" s="225">
        <v>0</v>
      </c>
      <c r="R316" s="224">
        <v>0</v>
      </c>
    </row>
    <row r="317" spans="2:18" ht="12.75" customHeight="1" x14ac:dyDescent="0.25">
      <c r="C317" s="89"/>
      <c r="D317" s="89" t="s">
        <v>72</v>
      </c>
      <c r="E317" s="371">
        <v>0</v>
      </c>
      <c r="F317" s="90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>
        <v>0</v>
      </c>
    </row>
    <row r="318" spans="2:18" ht="12.75" customHeight="1" x14ac:dyDescent="0.25">
      <c r="C318" s="89"/>
      <c r="D318" s="89" t="s">
        <v>81</v>
      </c>
      <c r="E318" s="371">
        <v>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>
        <v>0</v>
      </c>
    </row>
    <row r="319" spans="2:18" ht="12.75" customHeight="1" x14ac:dyDescent="0.25">
      <c r="C319" s="89" t="s">
        <v>82</v>
      </c>
      <c r="D319" s="89" t="s">
        <v>70</v>
      </c>
      <c r="E319" s="371">
        <v>0</v>
      </c>
      <c r="F319" s="90">
        <v>0</v>
      </c>
      <c r="G319" s="90">
        <v>0</v>
      </c>
      <c r="H319" s="90">
        <v>0</v>
      </c>
      <c r="I319" s="90">
        <v>0</v>
      </c>
      <c r="J319" s="90">
        <v>0</v>
      </c>
      <c r="K319" s="90">
        <v>0</v>
      </c>
      <c r="L319" s="90">
        <v>0</v>
      </c>
      <c r="M319" s="90">
        <v>0</v>
      </c>
      <c r="N319" s="90">
        <v>0</v>
      </c>
      <c r="O319" s="90">
        <v>0</v>
      </c>
      <c r="P319" s="90">
        <v>0</v>
      </c>
      <c r="Q319" s="90">
        <v>0</v>
      </c>
      <c r="R319">
        <v>0</v>
      </c>
    </row>
    <row r="320" spans="2:18" ht="12.75" customHeight="1" x14ac:dyDescent="0.25">
      <c r="C320" s="89"/>
      <c r="D320" s="89" t="s">
        <v>72</v>
      </c>
      <c r="E320" s="371">
        <v>0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>
        <v>0</v>
      </c>
    </row>
    <row r="321" spans="1:18" ht="12.75" customHeight="1" x14ac:dyDescent="0.25">
      <c r="C321" s="89"/>
      <c r="D321" s="89" t="s">
        <v>81</v>
      </c>
      <c r="E321" s="371">
        <v>0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>
        <v>0</v>
      </c>
    </row>
    <row r="322" spans="1:18" ht="12.75" customHeight="1" x14ac:dyDescent="0.25">
      <c r="C322" s="89" t="s">
        <v>86</v>
      </c>
      <c r="D322" s="89" t="s">
        <v>70</v>
      </c>
      <c r="E322" s="371">
        <v>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>
        <v>0</v>
      </c>
    </row>
    <row r="323" spans="1:18" ht="12.75" customHeight="1" x14ac:dyDescent="0.25">
      <c r="C323" s="89"/>
      <c r="D323" s="89" t="s">
        <v>72</v>
      </c>
      <c r="E323" s="371">
        <v>0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>
        <v>0</v>
      </c>
    </row>
    <row r="324" spans="1:18" ht="12.75" customHeight="1" x14ac:dyDescent="0.25">
      <c r="C324" s="89"/>
      <c r="D324" s="89" t="s">
        <v>81</v>
      </c>
      <c r="E324" s="371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>
        <v>0</v>
      </c>
    </row>
    <row r="325" spans="1:18" ht="12.75" customHeight="1" x14ac:dyDescent="0.25">
      <c r="A325" s="89"/>
      <c r="B325" s="89"/>
      <c r="C325" t="s">
        <v>87</v>
      </c>
      <c r="D325" t="s">
        <v>70</v>
      </c>
      <c r="E325" s="90">
        <v>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>
        <v>0</v>
      </c>
    </row>
    <row r="326" spans="1:18" s="94" customFormat="1" ht="12.75" customHeight="1" x14ac:dyDescent="0.25">
      <c r="B326" s="101" t="s">
        <v>119</v>
      </c>
      <c r="C326" s="101" t="s">
        <v>70</v>
      </c>
      <c r="E326" s="93">
        <v>3117968.95</v>
      </c>
      <c r="F326" s="93">
        <v>0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4">
        <v>0</v>
      </c>
    </row>
    <row r="327" spans="1:18" s="226" customFormat="1" ht="12.75" customHeight="1" x14ac:dyDescent="0.25">
      <c r="A327" s="98" t="s">
        <v>78</v>
      </c>
      <c r="B327" s="98" t="s">
        <v>70</v>
      </c>
      <c r="E327" s="100">
        <v>28823756.870000001</v>
      </c>
      <c r="F327" s="100">
        <v>0</v>
      </c>
      <c r="G327" s="100">
        <v>0</v>
      </c>
      <c r="H327" s="100">
        <v>0</v>
      </c>
      <c r="I327" s="100">
        <v>0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100">
        <v>0</v>
      </c>
      <c r="R327" s="226">
        <v>0</v>
      </c>
    </row>
    <row r="328" spans="1:18" ht="12.75" customHeight="1" x14ac:dyDescent="0.25">
      <c r="B328" s="89"/>
      <c r="C328" s="89"/>
      <c r="D328" t="s">
        <v>73</v>
      </c>
      <c r="E328" s="371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1:18" ht="12.75" customHeight="1" x14ac:dyDescent="0.25">
      <c r="B329" s="89"/>
      <c r="C329" s="89" t="s">
        <v>156</v>
      </c>
      <c r="D329" t="s">
        <v>70</v>
      </c>
      <c r="E329" s="371">
        <v>0</v>
      </c>
      <c r="F329" s="90">
        <v>0</v>
      </c>
      <c r="G329" s="90">
        <v>0</v>
      </c>
      <c r="H329" s="90">
        <v>0</v>
      </c>
      <c r="I329" s="90">
        <v>0</v>
      </c>
      <c r="J329" s="90">
        <v>0</v>
      </c>
      <c r="K329" s="90">
        <v>0</v>
      </c>
      <c r="L329" s="90">
        <v>0</v>
      </c>
      <c r="M329" s="90">
        <v>0</v>
      </c>
      <c r="N329" s="90">
        <v>0</v>
      </c>
      <c r="O329" s="90">
        <v>0</v>
      </c>
      <c r="P329" s="90">
        <v>0</v>
      </c>
      <c r="Q329" s="90">
        <v>0</v>
      </c>
      <c r="R329">
        <v>0</v>
      </c>
    </row>
    <row r="330" spans="1:18" s="286" customFormat="1" ht="12.75" customHeight="1" x14ac:dyDescent="0.25">
      <c r="B330" s="229" t="s">
        <v>155</v>
      </c>
      <c r="C330" s="229" t="s">
        <v>70</v>
      </c>
      <c r="E330" s="752">
        <v>84110.96</v>
      </c>
      <c r="F330" s="230">
        <v>0</v>
      </c>
      <c r="G330" s="230">
        <v>0</v>
      </c>
      <c r="H330" s="230">
        <v>0</v>
      </c>
      <c r="I330" s="230">
        <v>0</v>
      </c>
      <c r="J330" s="230">
        <v>0</v>
      </c>
      <c r="K330" s="230">
        <v>0</v>
      </c>
      <c r="L330" s="230">
        <v>0</v>
      </c>
      <c r="M330" s="230">
        <v>0</v>
      </c>
      <c r="N330" s="230">
        <v>0</v>
      </c>
      <c r="O330" s="230">
        <v>0</v>
      </c>
      <c r="P330" s="230">
        <v>0</v>
      </c>
      <c r="Q330" s="230">
        <v>0</v>
      </c>
      <c r="R330" s="286">
        <v>0</v>
      </c>
    </row>
    <row r="331" spans="1:18" ht="12.75" customHeight="1" x14ac:dyDescent="0.25">
      <c r="B331" s="89"/>
      <c r="C331" s="89"/>
      <c r="D331" t="s">
        <v>73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1:18" ht="12.75" customHeight="1" x14ac:dyDescent="0.25">
      <c r="B332" s="89"/>
      <c r="C332" s="89" t="s">
        <v>115</v>
      </c>
      <c r="D332" t="s">
        <v>70</v>
      </c>
      <c r="E332" s="371">
        <v>0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>
        <v>0</v>
      </c>
    </row>
    <row r="333" spans="1:18" ht="12.75" customHeight="1" x14ac:dyDescent="0.25">
      <c r="B333" s="89"/>
      <c r="C333" s="89"/>
      <c r="D333" t="s">
        <v>73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1:18" ht="12.75" customHeight="1" x14ac:dyDescent="0.25">
      <c r="B334" s="89"/>
      <c r="C334" s="89" t="s">
        <v>116</v>
      </c>
      <c r="D334" t="s">
        <v>70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1:18" ht="12.75" customHeight="1" x14ac:dyDescent="0.25">
      <c r="B335" s="89"/>
      <c r="C335" s="89"/>
      <c r="D335" t="s">
        <v>73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1:18" ht="12.75" customHeight="1" x14ac:dyDescent="0.25">
      <c r="B336" s="89"/>
      <c r="C336" s="773">
        <v>3</v>
      </c>
      <c r="D336" t="s">
        <v>70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1:18" ht="12.75" customHeight="1" x14ac:dyDescent="0.25">
      <c r="B337" s="89"/>
      <c r="C337" s="89"/>
      <c r="D337" t="s">
        <v>73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1:18" ht="12.75" customHeight="1" x14ac:dyDescent="0.25">
      <c r="B338" s="89"/>
      <c r="C338" s="89" t="s">
        <v>118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1:18" ht="12.75" customHeight="1" x14ac:dyDescent="0.25">
      <c r="B339" s="89"/>
      <c r="C339" s="89"/>
      <c r="D339" t="s">
        <v>73</v>
      </c>
      <c r="E339" s="371">
        <v>0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>
        <v>0</v>
      </c>
    </row>
    <row r="340" spans="1:18" ht="12.75" customHeight="1" x14ac:dyDescent="0.25">
      <c r="B340" s="89"/>
      <c r="C340" s="773">
        <v>9</v>
      </c>
      <c r="D340" t="s">
        <v>70</v>
      </c>
      <c r="E340" s="371">
        <v>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>
        <v>0</v>
      </c>
    </row>
    <row r="341" spans="1:18" s="224" customFormat="1" ht="12.75" customHeight="1" x14ac:dyDescent="0.25">
      <c r="B341" s="224" t="s">
        <v>120</v>
      </c>
      <c r="C341" s="224" t="s">
        <v>70</v>
      </c>
      <c r="D341" s="223"/>
      <c r="E341" s="225">
        <v>41645.74</v>
      </c>
      <c r="F341" s="225">
        <v>0</v>
      </c>
      <c r="G341" s="225">
        <v>0</v>
      </c>
      <c r="H341" s="225">
        <v>0</v>
      </c>
      <c r="I341" s="225">
        <v>0</v>
      </c>
      <c r="J341" s="225">
        <v>0</v>
      </c>
      <c r="K341" s="225">
        <v>0</v>
      </c>
      <c r="L341" s="225">
        <v>0</v>
      </c>
      <c r="M341" s="225">
        <v>0</v>
      </c>
      <c r="N341" s="225">
        <v>0</v>
      </c>
      <c r="O341" s="225">
        <v>0</v>
      </c>
      <c r="P341" s="225">
        <v>0</v>
      </c>
      <c r="Q341" s="225">
        <v>0</v>
      </c>
      <c r="R341" s="224">
        <v>0</v>
      </c>
    </row>
    <row r="342" spans="1:18" ht="12.75" customHeight="1" x14ac:dyDescent="0.25">
      <c r="D342" s="89" t="s">
        <v>73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1:18" ht="12.75" customHeight="1" x14ac:dyDescent="0.25">
      <c r="C343" t="s">
        <v>82</v>
      </c>
      <c r="D343" s="89" t="s">
        <v>70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1:18" ht="12.75" customHeight="1" x14ac:dyDescent="0.25">
      <c r="D344" s="89" t="s">
        <v>73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1:18" ht="12.75" customHeight="1" x14ac:dyDescent="0.25">
      <c r="C345" t="s">
        <v>86</v>
      </c>
      <c r="D345" s="89" t="s">
        <v>70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1:18" ht="12.75" customHeight="1" x14ac:dyDescent="0.25">
      <c r="C346" s="89"/>
      <c r="D346" s="89" t="s">
        <v>73</v>
      </c>
      <c r="E346" s="90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1:18" ht="12.75" customHeight="1" x14ac:dyDescent="0.25">
      <c r="B347" s="89"/>
      <c r="C347" s="89" t="s">
        <v>87</v>
      </c>
      <c r="D347" t="s">
        <v>70</v>
      </c>
      <c r="E347" s="90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1:18" s="94" customFormat="1" ht="12.75" customHeight="1" x14ac:dyDescent="0.25">
      <c r="B348" s="101" t="s">
        <v>119</v>
      </c>
      <c r="C348" s="101" t="s">
        <v>70</v>
      </c>
      <c r="E348" s="93">
        <v>256843.5</v>
      </c>
      <c r="F348" s="93">
        <v>0</v>
      </c>
      <c r="G348" s="93">
        <v>0</v>
      </c>
      <c r="H348" s="93">
        <v>0</v>
      </c>
      <c r="I348" s="93">
        <v>0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4">
        <v>0</v>
      </c>
    </row>
    <row r="349" spans="1:18" s="226" customFormat="1" ht="12.75" customHeight="1" x14ac:dyDescent="0.25">
      <c r="A349" s="98" t="s">
        <v>79</v>
      </c>
      <c r="B349" s="98" t="s">
        <v>70</v>
      </c>
      <c r="E349" s="100">
        <v>382600.2</v>
      </c>
      <c r="F349" s="100">
        <v>0</v>
      </c>
      <c r="G349" s="100">
        <v>0</v>
      </c>
      <c r="H349" s="100">
        <v>0</v>
      </c>
      <c r="I349" s="100">
        <v>0</v>
      </c>
      <c r="J349" s="100">
        <v>0</v>
      </c>
      <c r="K349" s="100">
        <v>0</v>
      </c>
      <c r="L349" s="100">
        <v>0</v>
      </c>
      <c r="M349" s="100">
        <v>0</v>
      </c>
      <c r="N349" s="100">
        <v>0</v>
      </c>
      <c r="O349" s="100">
        <v>0</v>
      </c>
      <c r="P349" s="100">
        <v>0</v>
      </c>
      <c r="Q349" s="100">
        <v>0</v>
      </c>
      <c r="R349" s="226">
        <v>0</v>
      </c>
    </row>
    <row r="350" spans="1:18" ht="12.75" customHeight="1" x14ac:dyDescent="0.25">
      <c r="A350" s="89" t="s">
        <v>70</v>
      </c>
      <c r="E350" s="90">
        <v>0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>
        <v>0</v>
      </c>
    </row>
    <row r="351" spans="1:18" ht="12.75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1:18" ht="12.75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3:17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3:17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3:17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3:17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3:17" ht="12.75" hidden="1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3:17" ht="12.75" hidden="1" customHeight="1" x14ac:dyDescent="0.25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3:17" ht="12.75" hidden="1" customHeight="1" x14ac:dyDescent="0.25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3:17" ht="12.75" hidden="1" customHeight="1" x14ac:dyDescent="0.25">
      <c r="C360" s="89"/>
      <c r="D360" s="89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</row>
    <row r="361" spans="3:17" ht="12.75" hidden="1" customHeight="1" x14ac:dyDescent="0.25">
      <c r="C361" s="89"/>
      <c r="D361" s="89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</row>
    <row r="362" spans="3:17" ht="12.75" hidden="1" customHeight="1" x14ac:dyDescent="0.25">
      <c r="C362" s="89"/>
      <c r="D362" s="89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</row>
    <row r="363" spans="3:17" ht="12.75" hidden="1" customHeight="1" x14ac:dyDescent="0.25">
      <c r="C363" s="89"/>
      <c r="D363" s="89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</row>
    <row r="364" spans="3:17" ht="12.75" hidden="1" customHeight="1" x14ac:dyDescent="0.25">
      <c r="C364" s="89"/>
      <c r="D364" s="89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</row>
    <row r="365" spans="3:17" ht="12.75" hidden="1" customHeight="1" x14ac:dyDescent="0.25">
      <c r="C365" s="89"/>
      <c r="D365" s="89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</row>
    <row r="366" spans="3:17" ht="12.75" hidden="1" customHeight="1" x14ac:dyDescent="0.25">
      <c r="C366" s="89"/>
      <c r="D366" s="89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</row>
    <row r="367" spans="3:17" ht="12.75" hidden="1" customHeight="1" x14ac:dyDescent="0.25">
      <c r="C367" s="89"/>
      <c r="D367" s="89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</row>
    <row r="368" spans="3:17" ht="12.75" hidden="1" customHeight="1" x14ac:dyDescent="0.25">
      <c r="C368" s="89"/>
      <c r="D368" s="89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</row>
    <row r="369" spans="2:18" ht="12.75" hidden="1" customHeight="1" x14ac:dyDescent="0.25">
      <c r="C369" s="89"/>
      <c r="D369" s="89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</row>
    <row r="370" spans="2:18" ht="12.75" hidden="1" customHeight="1" x14ac:dyDescent="0.25">
      <c r="C370" s="89"/>
      <c r="D370" s="89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</row>
    <row r="371" spans="2:18" ht="12.75" hidden="1" customHeight="1" x14ac:dyDescent="0.25">
      <c r="C371" s="89"/>
      <c r="D371" s="89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</row>
    <row r="372" spans="2:18" ht="12.75" hidden="1" customHeight="1" x14ac:dyDescent="0.25">
      <c r="C372" s="89"/>
      <c r="D372" s="89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</row>
    <row r="373" spans="2:18" ht="12.75" hidden="1" customHeight="1" x14ac:dyDescent="0.25">
      <c r="C373" s="89"/>
      <c r="D373" s="89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</row>
    <row r="374" spans="2:18" ht="12.75" hidden="1" customHeight="1" x14ac:dyDescent="0.25">
      <c r="C374" s="89"/>
      <c r="D374" s="89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</row>
    <row r="375" spans="2:18" ht="12.75" hidden="1" customHeight="1" x14ac:dyDescent="0.25">
      <c r="C375" s="89"/>
      <c r="D375" s="89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</row>
    <row r="376" spans="2:18" ht="12.75" hidden="1" customHeight="1" x14ac:dyDescent="0.25">
      <c r="C376" s="89"/>
      <c r="D376" s="89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</row>
    <row r="377" spans="2:18" ht="12.75" hidden="1" customHeight="1" x14ac:dyDescent="0.25">
      <c r="C377" s="89"/>
      <c r="D377" s="89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</row>
    <row r="378" spans="2:18" ht="12.75" hidden="1" customHeight="1" x14ac:dyDescent="0.25">
      <c r="C378" s="89"/>
      <c r="D378" s="89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</row>
    <row r="379" spans="2:18" ht="12.75" hidden="1" customHeight="1" x14ac:dyDescent="0.25">
      <c r="C379" s="89"/>
      <c r="D379" s="89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</row>
    <row r="380" spans="2:18" ht="12.75" hidden="1" customHeight="1" x14ac:dyDescent="0.25">
      <c r="C380" s="89"/>
      <c r="D380" s="89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</row>
    <row r="381" spans="2:18" ht="12.75" hidden="1" customHeight="1" x14ac:dyDescent="0.25">
      <c r="C381" s="89"/>
      <c r="D381" s="89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</row>
    <row r="382" spans="2:18" ht="12.75" hidden="1" customHeight="1" x14ac:dyDescent="0.25">
      <c r="C382" s="89"/>
      <c r="D382" s="89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</row>
    <row r="383" spans="2:18" ht="12.75" customHeight="1" x14ac:dyDescent="0.25">
      <c r="C383" s="89"/>
      <c r="D383" s="89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</row>
    <row r="384" spans="2:18" ht="12.75" customHeight="1" x14ac:dyDescent="0.25">
      <c r="B384" s="777" t="s">
        <v>2</v>
      </c>
      <c r="C384" s="774" t="s">
        <v>132</v>
      </c>
      <c r="D384" s="98" t="s">
        <v>70</v>
      </c>
      <c r="E384" s="100">
        <f>E327+E349-K327</f>
        <v>29206357.07</v>
      </c>
      <c r="F384" s="100">
        <f t="shared" ref="F384:R384" si="10">F327</f>
        <v>0</v>
      </c>
      <c r="G384" s="100">
        <f t="shared" si="10"/>
        <v>0</v>
      </c>
      <c r="H384" s="100">
        <f t="shared" si="10"/>
        <v>0</v>
      </c>
      <c r="I384" s="100">
        <f t="shared" si="10"/>
        <v>0</v>
      </c>
      <c r="J384" s="100">
        <f t="shared" si="10"/>
        <v>0</v>
      </c>
      <c r="K384" s="100">
        <f t="shared" si="10"/>
        <v>0</v>
      </c>
      <c r="L384" s="100">
        <f t="shared" si="10"/>
        <v>0</v>
      </c>
      <c r="M384" s="100">
        <f t="shared" si="10"/>
        <v>0</v>
      </c>
      <c r="N384" s="100">
        <f t="shared" si="10"/>
        <v>0</v>
      </c>
      <c r="O384" s="100">
        <f t="shared" si="10"/>
        <v>0</v>
      </c>
      <c r="P384" s="100">
        <f t="shared" si="10"/>
        <v>0</v>
      </c>
      <c r="Q384" s="100">
        <f t="shared" si="10"/>
        <v>0</v>
      </c>
      <c r="R384" s="100">
        <f t="shared" si="10"/>
        <v>0</v>
      </c>
    </row>
    <row r="385" spans="1:18" ht="12.75" customHeight="1" x14ac:dyDescent="0.25">
      <c r="B385" s="777"/>
      <c r="C385" s="774"/>
      <c r="D385" s="98" t="s">
        <v>73</v>
      </c>
      <c r="E385" s="100">
        <f>E349</f>
        <v>382600.2</v>
      </c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</row>
    <row r="386" spans="1:18" ht="12.75" customHeight="1" x14ac:dyDescent="0.25">
      <c r="A386" s="89"/>
      <c r="B386" s="97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</row>
    <row r="387" spans="1:18" ht="12.75" customHeight="1" x14ac:dyDescent="0.25">
      <c r="B387" s="777" t="s">
        <v>160</v>
      </c>
      <c r="C387" s="774" t="s">
        <v>132</v>
      </c>
      <c r="D387" s="223" t="s">
        <v>70</v>
      </c>
      <c r="E387" s="225">
        <f>E341+E316+E296-K296-K316</f>
        <v>2089183.34</v>
      </c>
      <c r="F387" s="225">
        <f t="shared" ref="F387:R387" si="11">F316+F296</f>
        <v>0</v>
      </c>
      <c r="G387" s="225">
        <f t="shared" si="11"/>
        <v>0</v>
      </c>
      <c r="H387" s="225">
        <f t="shared" si="11"/>
        <v>0</v>
      </c>
      <c r="I387" s="225">
        <f t="shared" si="11"/>
        <v>0</v>
      </c>
      <c r="J387" s="225">
        <f t="shared" si="11"/>
        <v>0</v>
      </c>
      <c r="K387" s="225">
        <f t="shared" si="11"/>
        <v>0</v>
      </c>
      <c r="L387" s="225">
        <f t="shared" si="11"/>
        <v>0</v>
      </c>
      <c r="M387" s="225">
        <f t="shared" si="11"/>
        <v>0</v>
      </c>
      <c r="N387" s="225">
        <f t="shared" si="11"/>
        <v>0</v>
      </c>
      <c r="O387" s="225">
        <f t="shared" si="11"/>
        <v>0</v>
      </c>
      <c r="P387" s="225">
        <f t="shared" si="11"/>
        <v>0</v>
      </c>
      <c r="Q387" s="225">
        <f t="shared" si="11"/>
        <v>0</v>
      </c>
      <c r="R387" s="225">
        <f t="shared" si="11"/>
        <v>0</v>
      </c>
    </row>
    <row r="388" spans="1:18" ht="12.75" customHeight="1" x14ac:dyDescent="0.25">
      <c r="B388" s="777"/>
      <c r="C388" s="774"/>
      <c r="D388" s="223" t="s">
        <v>73</v>
      </c>
      <c r="E388" s="225">
        <f>E341</f>
        <v>41645.74</v>
      </c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</row>
    <row r="389" spans="1:18" ht="12.75" customHeight="1" x14ac:dyDescent="0.25">
      <c r="A389" s="89"/>
      <c r="B389" s="97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</row>
    <row r="390" spans="1:18" ht="12.75" customHeight="1" x14ac:dyDescent="0.25">
      <c r="B390" s="777" t="s">
        <v>155</v>
      </c>
      <c r="C390" s="774" t="s">
        <v>132</v>
      </c>
      <c r="D390" s="221" t="s">
        <v>70</v>
      </c>
      <c r="E390" s="222">
        <f>E330+E300-K300</f>
        <v>23742361.280000001</v>
      </c>
      <c r="F390" s="222">
        <f t="shared" ref="F390:R390" si="12">F300</f>
        <v>0</v>
      </c>
      <c r="G390" s="222">
        <f t="shared" si="12"/>
        <v>0</v>
      </c>
      <c r="H390" s="222">
        <f t="shared" si="12"/>
        <v>0</v>
      </c>
      <c r="I390" s="222">
        <f t="shared" si="12"/>
        <v>0</v>
      </c>
      <c r="J390" s="222">
        <f t="shared" si="12"/>
        <v>0</v>
      </c>
      <c r="K390" s="222">
        <f t="shared" si="12"/>
        <v>0</v>
      </c>
      <c r="L390" s="222">
        <f t="shared" si="12"/>
        <v>0</v>
      </c>
      <c r="M390" s="222">
        <f t="shared" si="12"/>
        <v>0</v>
      </c>
      <c r="N390" s="222">
        <f t="shared" si="12"/>
        <v>0</v>
      </c>
      <c r="O390" s="222">
        <f t="shared" si="12"/>
        <v>0</v>
      </c>
      <c r="P390" s="222">
        <f t="shared" si="12"/>
        <v>0</v>
      </c>
      <c r="Q390" s="222">
        <f t="shared" si="12"/>
        <v>0</v>
      </c>
      <c r="R390" s="222">
        <f t="shared" si="12"/>
        <v>0</v>
      </c>
    </row>
    <row r="391" spans="1:18" ht="12.75" customHeight="1" x14ac:dyDescent="0.25">
      <c r="B391" s="777"/>
      <c r="C391" s="774"/>
      <c r="D391" s="221" t="s">
        <v>73</v>
      </c>
      <c r="E391" s="222">
        <f>E330</f>
        <v>84110.96</v>
      </c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</row>
    <row r="392" spans="1:18" ht="12.75" customHeight="1" x14ac:dyDescent="0.25">
      <c r="A392" s="89"/>
      <c r="B392" s="97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</row>
    <row r="393" spans="1:18" ht="12.75" customHeight="1" x14ac:dyDescent="0.25">
      <c r="B393" s="775" t="s">
        <v>326</v>
      </c>
      <c r="C393" s="774" t="s">
        <v>132</v>
      </c>
      <c r="D393" s="373" t="s">
        <v>70</v>
      </c>
      <c r="E393" s="374">
        <v>0</v>
      </c>
      <c r="F393" s="374">
        <v>0</v>
      </c>
      <c r="G393" s="374">
        <v>0</v>
      </c>
      <c r="H393" s="374">
        <v>0</v>
      </c>
      <c r="I393" s="374">
        <v>0</v>
      </c>
      <c r="J393" s="374">
        <v>0</v>
      </c>
      <c r="K393" s="374">
        <v>0</v>
      </c>
      <c r="L393" s="374">
        <v>0</v>
      </c>
      <c r="M393" s="374">
        <v>0</v>
      </c>
      <c r="N393" s="374">
        <v>0</v>
      </c>
      <c r="O393" s="374">
        <v>0</v>
      </c>
      <c r="P393" s="374">
        <v>0</v>
      </c>
      <c r="Q393" s="374">
        <v>0</v>
      </c>
      <c r="R393" s="374">
        <v>0</v>
      </c>
    </row>
    <row r="394" spans="1:18" ht="12.75" customHeight="1" x14ac:dyDescent="0.25">
      <c r="B394" s="775"/>
      <c r="C394" s="774"/>
      <c r="D394" s="373" t="s">
        <v>73</v>
      </c>
      <c r="E394" s="374">
        <v>0</v>
      </c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</row>
    <row r="395" spans="1:18" ht="12.75" customHeight="1" x14ac:dyDescent="0.25">
      <c r="A395" s="89"/>
      <c r="B395" s="97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</row>
    <row r="396" spans="1:18" ht="12.75" customHeight="1" x14ac:dyDescent="0.25">
      <c r="A396" s="142" t="s">
        <v>226</v>
      </c>
      <c r="B396" s="777" t="s">
        <v>119</v>
      </c>
      <c r="C396" s="774" t="s">
        <v>132</v>
      </c>
      <c r="D396" s="101" t="s">
        <v>70</v>
      </c>
      <c r="E396" s="93">
        <f>E326+E348-K326</f>
        <v>3374812.45</v>
      </c>
      <c r="F396" s="93">
        <f t="shared" ref="F396:R396" si="13">F326</f>
        <v>0</v>
      </c>
      <c r="G396" s="93">
        <f t="shared" si="13"/>
        <v>0</v>
      </c>
      <c r="H396" s="93">
        <f t="shared" si="13"/>
        <v>0</v>
      </c>
      <c r="I396" s="93">
        <f t="shared" si="13"/>
        <v>0</v>
      </c>
      <c r="J396" s="93">
        <f t="shared" si="13"/>
        <v>0</v>
      </c>
      <c r="K396" s="93">
        <f t="shared" si="13"/>
        <v>0</v>
      </c>
      <c r="L396" s="93">
        <f t="shared" si="13"/>
        <v>0</v>
      </c>
      <c r="M396" s="93">
        <f t="shared" si="13"/>
        <v>0</v>
      </c>
      <c r="N396" s="93">
        <f t="shared" si="13"/>
        <v>0</v>
      </c>
      <c r="O396" s="93">
        <f t="shared" si="13"/>
        <v>0</v>
      </c>
      <c r="P396" s="93">
        <f t="shared" si="13"/>
        <v>0</v>
      </c>
      <c r="Q396" s="93">
        <f t="shared" si="13"/>
        <v>0</v>
      </c>
      <c r="R396" s="93">
        <f t="shared" si="13"/>
        <v>0</v>
      </c>
    </row>
    <row r="397" spans="1:18" ht="12.75" customHeight="1" x14ac:dyDescent="0.25">
      <c r="B397" s="777"/>
      <c r="C397" s="774"/>
      <c r="D397" s="101" t="s">
        <v>73</v>
      </c>
      <c r="E397" s="93">
        <f>E348</f>
        <v>256843.5</v>
      </c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</row>
    <row r="398" spans="1:18" ht="12.75" customHeight="1" x14ac:dyDescent="0.25">
      <c r="A398" s="89"/>
      <c r="B398" s="97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</row>
    <row r="399" spans="1:18" ht="12.75" customHeight="1" x14ac:dyDescent="0.25">
      <c r="B399" s="776" t="s">
        <v>161</v>
      </c>
      <c r="C399" s="774" t="s">
        <v>132</v>
      </c>
      <c r="D399" s="231" t="s">
        <v>70</v>
      </c>
      <c r="E399" s="232">
        <v>0</v>
      </c>
      <c r="F399" s="232">
        <v>0</v>
      </c>
      <c r="G399" s="232">
        <v>0</v>
      </c>
      <c r="H399" s="232">
        <v>0</v>
      </c>
      <c r="I399" s="232">
        <v>0</v>
      </c>
      <c r="J399" s="232">
        <v>0</v>
      </c>
      <c r="K399" s="232">
        <v>0</v>
      </c>
      <c r="L399" s="232">
        <v>0</v>
      </c>
      <c r="M399" s="232">
        <v>0</v>
      </c>
      <c r="N399" s="232">
        <v>0</v>
      </c>
      <c r="O399" s="232">
        <v>0</v>
      </c>
      <c r="P399" s="232">
        <v>0</v>
      </c>
      <c r="Q399" s="232">
        <v>0</v>
      </c>
      <c r="R399" s="232">
        <v>0</v>
      </c>
    </row>
    <row r="400" spans="1:18" ht="12.75" customHeight="1" x14ac:dyDescent="0.25">
      <c r="B400" s="776"/>
      <c r="C400" s="774"/>
      <c r="D400" s="231" t="s">
        <v>73</v>
      </c>
      <c r="E400" s="232">
        <v>0</v>
      </c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</row>
    <row r="401" spans="2:19" s="238" customFormat="1" x14ac:dyDescent="0.25"/>
    <row r="402" spans="2:19" x14ac:dyDescent="0.25">
      <c r="B402" s="97" t="s">
        <v>93</v>
      </c>
    </row>
    <row r="403" spans="2:19" x14ac:dyDescent="0.25">
      <c r="E403" s="89" t="s">
        <v>70</v>
      </c>
      <c r="F403" s="89" t="s">
        <v>64</v>
      </c>
      <c r="G403" s="89" t="s">
        <v>65</v>
      </c>
      <c r="H403" s="219" t="s">
        <v>164</v>
      </c>
      <c r="I403" s="89" t="s">
        <v>69</v>
      </c>
      <c r="J403" s="89" t="s">
        <v>68</v>
      </c>
      <c r="K403" s="89" t="s">
        <v>83</v>
      </c>
      <c r="L403" s="89" t="s">
        <v>66</v>
      </c>
      <c r="M403" s="89" t="s">
        <v>63</v>
      </c>
      <c r="N403" s="89" t="s">
        <v>61</v>
      </c>
      <c r="O403" s="89" t="s">
        <v>62</v>
      </c>
      <c r="P403" s="89" t="s">
        <v>67</v>
      </c>
      <c r="Q403" s="89" t="s">
        <v>84</v>
      </c>
      <c r="R403" s="384" t="s">
        <v>225</v>
      </c>
    </row>
    <row r="404" spans="2:19" ht="11.55" customHeight="1" x14ac:dyDescent="0.25">
      <c r="D404" t="s">
        <v>72</v>
      </c>
      <c r="E404" s="89">
        <v>0</v>
      </c>
      <c r="F404" s="89">
        <v>0</v>
      </c>
      <c r="G404" s="89">
        <v>0</v>
      </c>
      <c r="H404" s="384">
        <v>0</v>
      </c>
      <c r="I404" s="89">
        <v>0</v>
      </c>
      <c r="J404" s="89">
        <v>0</v>
      </c>
      <c r="K404" s="89">
        <v>0</v>
      </c>
      <c r="L404" s="89">
        <v>0</v>
      </c>
      <c r="M404" s="89">
        <v>0</v>
      </c>
      <c r="N404" s="89">
        <v>0</v>
      </c>
      <c r="O404" s="89">
        <v>0</v>
      </c>
      <c r="P404" s="89">
        <v>0</v>
      </c>
      <c r="Q404" s="89">
        <v>0</v>
      </c>
      <c r="R404" s="384">
        <v>0</v>
      </c>
    </row>
    <row r="405" spans="2:19" ht="12.75" customHeight="1" x14ac:dyDescent="0.25">
      <c r="D405" t="s">
        <v>81</v>
      </c>
      <c r="E405" s="384">
        <v>0</v>
      </c>
      <c r="F405" s="89">
        <v>0</v>
      </c>
      <c r="G405" s="89">
        <v>0</v>
      </c>
      <c r="H405" s="384">
        <v>0</v>
      </c>
      <c r="I405" s="89">
        <v>0</v>
      </c>
      <c r="J405" s="89">
        <v>0</v>
      </c>
      <c r="K405" s="89">
        <v>0</v>
      </c>
      <c r="L405" s="89">
        <v>0</v>
      </c>
      <c r="M405" s="89">
        <v>0</v>
      </c>
      <c r="N405" s="89">
        <v>0</v>
      </c>
      <c r="O405" s="89">
        <v>0</v>
      </c>
      <c r="P405" s="89">
        <v>0</v>
      </c>
      <c r="Q405" s="89">
        <v>0</v>
      </c>
      <c r="R405" s="384">
        <v>0</v>
      </c>
    </row>
    <row r="406" spans="2:19" ht="11.55" customHeight="1" x14ac:dyDescent="0.25">
      <c r="C406" t="s">
        <v>332</v>
      </c>
      <c r="D406" t="s">
        <v>70</v>
      </c>
      <c r="E406" s="384">
        <v>0</v>
      </c>
      <c r="F406" s="89">
        <v>0</v>
      </c>
      <c r="G406" s="89">
        <v>0</v>
      </c>
      <c r="H406" s="384">
        <v>0</v>
      </c>
      <c r="I406" s="89">
        <v>0</v>
      </c>
      <c r="J406" s="89">
        <v>0</v>
      </c>
      <c r="K406" s="89">
        <v>0</v>
      </c>
      <c r="L406" s="89">
        <v>0</v>
      </c>
      <c r="M406" s="89">
        <v>0</v>
      </c>
      <c r="N406" s="89">
        <v>0</v>
      </c>
      <c r="O406" s="89">
        <v>0</v>
      </c>
      <c r="P406" s="89">
        <v>0</v>
      </c>
      <c r="Q406" s="89">
        <v>0</v>
      </c>
      <c r="R406" s="384">
        <v>0</v>
      </c>
    </row>
    <row r="407" spans="2:19" s="739" customFormat="1" ht="11.55" customHeight="1" x14ac:dyDescent="0.25">
      <c r="B407" s="739" t="s">
        <v>85</v>
      </c>
      <c r="C407" s="739" t="s">
        <v>70</v>
      </c>
      <c r="E407" s="769">
        <v>0</v>
      </c>
      <c r="F407" s="231">
        <v>0</v>
      </c>
      <c r="G407" s="231">
        <v>0</v>
      </c>
      <c r="H407" s="769">
        <v>0</v>
      </c>
      <c r="I407" s="231">
        <v>0</v>
      </c>
      <c r="J407" s="231">
        <v>0</v>
      </c>
      <c r="K407" s="231">
        <v>0</v>
      </c>
      <c r="L407" s="231">
        <v>0</v>
      </c>
      <c r="M407" s="231">
        <v>0</v>
      </c>
      <c r="N407" s="231">
        <v>0</v>
      </c>
      <c r="O407" s="231">
        <v>0</v>
      </c>
      <c r="P407" s="231">
        <v>0</v>
      </c>
      <c r="Q407" s="231">
        <v>0</v>
      </c>
      <c r="R407" s="769">
        <v>0</v>
      </c>
    </row>
    <row r="408" spans="2:19" ht="12.75" customHeight="1" x14ac:dyDescent="0.25">
      <c r="D408" s="89" t="s">
        <v>72</v>
      </c>
      <c r="E408" s="90">
        <v>0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>
        <v>0</v>
      </c>
    </row>
    <row r="409" spans="2:19" ht="12.75" customHeight="1" x14ac:dyDescent="0.25">
      <c r="D409" s="89" t="s">
        <v>81</v>
      </c>
      <c r="E409" s="90">
        <v>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>
        <v>0</v>
      </c>
    </row>
    <row r="410" spans="2:19" ht="12.75" customHeight="1" x14ac:dyDescent="0.25">
      <c r="B410" s="89"/>
      <c r="C410" s="89" t="s">
        <v>156</v>
      </c>
      <c r="D410" t="s">
        <v>70</v>
      </c>
      <c r="E410" s="90">
        <v>0</v>
      </c>
      <c r="F410" s="90">
        <v>0</v>
      </c>
      <c r="G410" s="90">
        <v>0</v>
      </c>
      <c r="H410" s="90">
        <v>0</v>
      </c>
      <c r="I410" s="90">
        <v>0</v>
      </c>
      <c r="J410" s="90">
        <v>0</v>
      </c>
      <c r="K410" s="90">
        <v>0</v>
      </c>
      <c r="L410" s="90">
        <v>0</v>
      </c>
      <c r="M410" s="90">
        <v>0</v>
      </c>
      <c r="N410" s="90">
        <v>0</v>
      </c>
      <c r="O410" s="90">
        <v>0</v>
      </c>
      <c r="P410" s="90">
        <v>0</v>
      </c>
      <c r="Q410" s="90">
        <v>0</v>
      </c>
      <c r="R410">
        <v>0</v>
      </c>
    </row>
    <row r="411" spans="2:19" s="237" customFormat="1" ht="12.75" customHeight="1" x14ac:dyDescent="0.25">
      <c r="B411" s="221" t="s">
        <v>155</v>
      </c>
      <c r="C411" s="221" t="s">
        <v>70</v>
      </c>
      <c r="E411" s="222">
        <v>9143888.5600000005</v>
      </c>
      <c r="F411" s="222">
        <v>0</v>
      </c>
      <c r="G411" s="222">
        <v>0</v>
      </c>
      <c r="H411" s="222">
        <v>0</v>
      </c>
      <c r="I411" s="222">
        <v>0</v>
      </c>
      <c r="J411" s="222">
        <v>0</v>
      </c>
      <c r="K411" s="222">
        <v>0</v>
      </c>
      <c r="L411" s="222">
        <v>0</v>
      </c>
      <c r="M411" s="222">
        <v>0</v>
      </c>
      <c r="N411" s="222">
        <v>0</v>
      </c>
      <c r="O411" s="222">
        <v>0</v>
      </c>
      <c r="P411" s="222">
        <v>0</v>
      </c>
      <c r="Q411" s="222">
        <v>0</v>
      </c>
      <c r="R411" s="237">
        <v>0</v>
      </c>
    </row>
    <row r="412" spans="2:19" ht="12.75" customHeight="1" x14ac:dyDescent="0.25">
      <c r="D412" t="s">
        <v>72</v>
      </c>
      <c r="E412" s="14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2:19" ht="12.75" customHeight="1" x14ac:dyDescent="0.25">
      <c r="D413" t="s">
        <v>81</v>
      </c>
      <c r="E413" s="142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2:19" ht="12.75" customHeight="1" x14ac:dyDescent="0.25">
      <c r="C414" t="s">
        <v>156</v>
      </c>
      <c r="D414" t="s">
        <v>70</v>
      </c>
      <c r="E414" s="142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2:19" s="739" customFormat="1" ht="12.75" customHeight="1" x14ac:dyDescent="0.25">
      <c r="B415" s="739" t="s">
        <v>326</v>
      </c>
      <c r="C415" s="739" t="s">
        <v>70</v>
      </c>
      <c r="E415" s="231">
        <v>0</v>
      </c>
      <c r="F415" s="740">
        <v>0</v>
      </c>
      <c r="G415" s="232">
        <v>0</v>
      </c>
      <c r="H415" s="232">
        <v>0</v>
      </c>
      <c r="I415" s="232">
        <v>0</v>
      </c>
      <c r="J415" s="232">
        <v>0</v>
      </c>
      <c r="K415" s="232">
        <v>0</v>
      </c>
      <c r="L415" s="232">
        <v>0</v>
      </c>
      <c r="M415" s="232">
        <v>0</v>
      </c>
      <c r="N415" s="232">
        <v>0</v>
      </c>
      <c r="O415" s="232">
        <v>0</v>
      </c>
      <c r="P415" s="232">
        <v>0</v>
      </c>
      <c r="Q415" s="232">
        <v>0</v>
      </c>
      <c r="R415" s="232">
        <v>0</v>
      </c>
      <c r="S415" s="232"/>
    </row>
    <row r="416" spans="2:19" ht="12.75" customHeight="1" x14ac:dyDescent="0.25">
      <c r="D416" t="s">
        <v>72</v>
      </c>
      <c r="E416" s="142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9" ht="12.75" customHeight="1" x14ac:dyDescent="0.25">
      <c r="D417" t="s">
        <v>81</v>
      </c>
      <c r="E417" s="142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9" ht="12.75" customHeight="1" x14ac:dyDescent="0.25">
      <c r="C418" t="s">
        <v>82</v>
      </c>
      <c r="D418" t="s">
        <v>70</v>
      </c>
      <c r="E418" s="142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9" ht="12.75" customHeight="1" x14ac:dyDescent="0.25">
      <c r="D419" t="s">
        <v>72</v>
      </c>
      <c r="E419" s="142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9" ht="12.75" customHeight="1" x14ac:dyDescent="0.25">
      <c r="D420" t="s">
        <v>81</v>
      </c>
      <c r="E420" s="142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9" ht="12.75" customHeight="1" x14ac:dyDescent="0.25">
      <c r="C421" t="s">
        <v>86</v>
      </c>
      <c r="D421" t="s">
        <v>70</v>
      </c>
      <c r="E421" s="142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9" ht="12.75" customHeight="1" x14ac:dyDescent="0.25">
      <c r="D422" t="s">
        <v>72</v>
      </c>
      <c r="E422" s="14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9" ht="12.75" customHeight="1" x14ac:dyDescent="0.25">
      <c r="B423" s="142"/>
      <c r="D423" t="s">
        <v>81</v>
      </c>
      <c r="E423" s="142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9" ht="12.75" customHeight="1" x14ac:dyDescent="0.25">
      <c r="B424" s="142"/>
      <c r="C424" t="s">
        <v>87</v>
      </c>
      <c r="D424" t="s">
        <v>70</v>
      </c>
      <c r="E424" s="142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9" s="94" customFormat="1" ht="12.75" customHeight="1" x14ac:dyDescent="0.25">
      <c r="B425" s="101" t="s">
        <v>119</v>
      </c>
      <c r="C425" s="101" t="s">
        <v>70</v>
      </c>
      <c r="E425" s="93">
        <v>1268977.57</v>
      </c>
      <c r="F425" s="93">
        <v>0</v>
      </c>
      <c r="G425" s="93">
        <v>0</v>
      </c>
      <c r="H425" s="93">
        <v>0</v>
      </c>
      <c r="I425" s="93">
        <v>0</v>
      </c>
      <c r="J425" s="93">
        <v>0</v>
      </c>
      <c r="K425" s="93">
        <v>0</v>
      </c>
      <c r="L425" s="93">
        <v>0</v>
      </c>
      <c r="M425" s="93">
        <v>0</v>
      </c>
      <c r="N425" s="93">
        <v>0</v>
      </c>
      <c r="O425" s="93">
        <v>0</v>
      </c>
      <c r="P425" s="93">
        <v>0</v>
      </c>
      <c r="Q425" s="93">
        <v>0</v>
      </c>
      <c r="R425" s="94">
        <v>0</v>
      </c>
    </row>
    <row r="426" spans="1:19" s="226" customFormat="1" ht="12.75" customHeight="1" x14ac:dyDescent="0.25">
      <c r="A426" s="98" t="s">
        <v>78</v>
      </c>
      <c r="B426" s="98" t="s">
        <v>70</v>
      </c>
      <c r="E426" s="100">
        <v>10412866.130000001</v>
      </c>
      <c r="F426" s="100">
        <v>0</v>
      </c>
      <c r="G426" s="100">
        <v>0</v>
      </c>
      <c r="H426" s="100">
        <v>0</v>
      </c>
      <c r="I426" s="100">
        <v>0</v>
      </c>
      <c r="J426" s="100">
        <v>0</v>
      </c>
      <c r="K426" s="100">
        <v>0</v>
      </c>
      <c r="L426" s="100">
        <v>0</v>
      </c>
      <c r="M426" s="100">
        <v>0</v>
      </c>
      <c r="N426" s="100">
        <v>0</v>
      </c>
      <c r="O426" s="100">
        <v>0</v>
      </c>
      <c r="P426" s="100">
        <v>0</v>
      </c>
      <c r="Q426" s="100">
        <v>0</v>
      </c>
      <c r="R426" s="226">
        <v>0</v>
      </c>
    </row>
    <row r="427" spans="1:19" ht="12.75" customHeight="1" x14ac:dyDescent="0.25">
      <c r="C427" s="89"/>
      <c r="D427" s="89" t="s">
        <v>73</v>
      </c>
      <c r="E427" s="90">
        <v>0</v>
      </c>
      <c r="F427" s="90">
        <v>0</v>
      </c>
      <c r="G427" s="90">
        <v>0</v>
      </c>
      <c r="H427" s="90">
        <v>0</v>
      </c>
      <c r="I427" s="90">
        <v>0</v>
      </c>
      <c r="J427" s="90">
        <v>0</v>
      </c>
      <c r="K427" s="90">
        <v>0</v>
      </c>
      <c r="L427" s="90">
        <v>0</v>
      </c>
      <c r="M427" s="90">
        <v>0</v>
      </c>
      <c r="N427" s="90">
        <v>0</v>
      </c>
      <c r="O427" s="90">
        <v>0</v>
      </c>
      <c r="P427" s="90">
        <v>0</v>
      </c>
      <c r="Q427" s="90">
        <v>0</v>
      </c>
      <c r="R427">
        <v>0</v>
      </c>
    </row>
    <row r="428" spans="1:19" ht="12.75" customHeight="1" x14ac:dyDescent="0.25">
      <c r="B428" s="89"/>
      <c r="C428" s="89" t="s">
        <v>156</v>
      </c>
      <c r="D428" t="s">
        <v>70</v>
      </c>
      <c r="E428" s="90">
        <v>0</v>
      </c>
      <c r="F428" s="90">
        <v>0</v>
      </c>
      <c r="G428" s="90">
        <v>0</v>
      </c>
      <c r="H428" s="90">
        <v>0</v>
      </c>
      <c r="I428" s="90">
        <v>0</v>
      </c>
      <c r="J428" s="90">
        <v>0</v>
      </c>
      <c r="K428" s="90">
        <v>0</v>
      </c>
      <c r="L428" s="90">
        <v>0</v>
      </c>
      <c r="M428" s="90">
        <v>0</v>
      </c>
      <c r="N428" s="90">
        <v>0</v>
      </c>
      <c r="O428" s="90">
        <v>0</v>
      </c>
      <c r="P428" s="90">
        <v>0</v>
      </c>
      <c r="Q428" s="90">
        <v>0</v>
      </c>
      <c r="R428">
        <v>0</v>
      </c>
    </row>
    <row r="429" spans="1:19" s="237" customFormat="1" ht="12.75" customHeight="1" x14ac:dyDescent="0.25">
      <c r="B429" s="221" t="s">
        <v>155</v>
      </c>
      <c r="C429" s="221" t="s">
        <v>70</v>
      </c>
      <c r="E429" s="222">
        <v>48766.77</v>
      </c>
      <c r="F429" s="222">
        <v>0</v>
      </c>
      <c r="G429" s="222">
        <v>0</v>
      </c>
      <c r="H429" s="222">
        <v>0</v>
      </c>
      <c r="I429" s="222">
        <v>0</v>
      </c>
      <c r="J429" s="222">
        <v>0</v>
      </c>
      <c r="K429" s="222">
        <v>0</v>
      </c>
      <c r="L429" s="222">
        <v>0</v>
      </c>
      <c r="M429" s="222">
        <v>0</v>
      </c>
      <c r="N429" s="222">
        <v>0</v>
      </c>
      <c r="O429" s="222">
        <v>0</v>
      </c>
      <c r="P429" s="222">
        <v>0</v>
      </c>
      <c r="Q429" s="222">
        <v>0</v>
      </c>
      <c r="R429" s="237">
        <v>0</v>
      </c>
    </row>
    <row r="430" spans="1:19" ht="12.75" customHeight="1" x14ac:dyDescent="0.25">
      <c r="B430" s="142"/>
      <c r="C430" s="89"/>
      <c r="D430" s="89" t="s">
        <v>73</v>
      </c>
      <c r="E430" s="371">
        <v>0</v>
      </c>
      <c r="F430" s="90">
        <v>0</v>
      </c>
      <c r="G430" s="90">
        <v>0</v>
      </c>
      <c r="H430" s="90">
        <v>0</v>
      </c>
      <c r="I430" s="90">
        <v>0</v>
      </c>
      <c r="J430" s="90">
        <v>0</v>
      </c>
      <c r="K430" s="90">
        <v>0</v>
      </c>
      <c r="L430" s="90">
        <v>0</v>
      </c>
      <c r="M430" s="90">
        <v>0</v>
      </c>
      <c r="N430" s="90">
        <v>0</v>
      </c>
      <c r="O430" s="90">
        <v>0</v>
      </c>
      <c r="P430" s="90">
        <v>0</v>
      </c>
      <c r="Q430" s="90">
        <v>0</v>
      </c>
      <c r="R430">
        <v>0</v>
      </c>
    </row>
    <row r="431" spans="1:19" ht="12.75" customHeight="1" x14ac:dyDescent="0.25">
      <c r="B431" s="142"/>
      <c r="C431" s="89" t="s">
        <v>156</v>
      </c>
      <c r="D431" s="89" t="s">
        <v>70</v>
      </c>
      <c r="E431" s="371">
        <v>0</v>
      </c>
      <c r="F431" s="90">
        <v>0</v>
      </c>
      <c r="G431" s="90">
        <v>0</v>
      </c>
      <c r="H431" s="90">
        <v>0</v>
      </c>
      <c r="I431" s="90">
        <v>0</v>
      </c>
      <c r="J431" s="90">
        <v>0</v>
      </c>
      <c r="K431" s="90">
        <v>0</v>
      </c>
      <c r="L431" s="90">
        <v>0</v>
      </c>
      <c r="M431" s="90">
        <v>0</v>
      </c>
      <c r="N431" s="90">
        <v>0</v>
      </c>
      <c r="O431" s="90">
        <v>0</v>
      </c>
      <c r="P431" s="90">
        <v>0</v>
      </c>
      <c r="Q431" s="90">
        <v>0</v>
      </c>
      <c r="R431">
        <v>0</v>
      </c>
    </row>
    <row r="432" spans="1:19" s="739" customFormat="1" ht="12.75" customHeight="1" x14ac:dyDescent="0.25">
      <c r="B432" s="739" t="s">
        <v>326</v>
      </c>
      <c r="C432" s="739" t="s">
        <v>70</v>
      </c>
      <c r="E432" s="231">
        <v>0</v>
      </c>
      <c r="F432" s="740">
        <v>0</v>
      </c>
      <c r="G432" s="232">
        <v>0</v>
      </c>
      <c r="H432" s="232">
        <v>0</v>
      </c>
      <c r="I432" s="232">
        <v>0</v>
      </c>
      <c r="J432" s="232">
        <v>0</v>
      </c>
      <c r="K432" s="232">
        <v>0</v>
      </c>
      <c r="L432" s="232">
        <v>0</v>
      </c>
      <c r="M432" s="232">
        <v>0</v>
      </c>
      <c r="N432" s="232">
        <v>0</v>
      </c>
      <c r="O432" s="232">
        <v>0</v>
      </c>
      <c r="P432" s="232">
        <v>0</v>
      </c>
      <c r="Q432" s="232">
        <v>0</v>
      </c>
      <c r="R432" s="232">
        <v>0</v>
      </c>
      <c r="S432" s="232"/>
    </row>
    <row r="433" spans="1:18" ht="12.75" customHeight="1" x14ac:dyDescent="0.25">
      <c r="B433" s="142"/>
      <c r="C433" s="89"/>
      <c r="D433" s="89" t="s">
        <v>73</v>
      </c>
      <c r="E433" s="371">
        <v>0</v>
      </c>
      <c r="F433" s="90">
        <v>0</v>
      </c>
      <c r="G433" s="90">
        <v>0</v>
      </c>
      <c r="H433" s="90">
        <v>0</v>
      </c>
      <c r="I433" s="90">
        <v>0</v>
      </c>
      <c r="J433" s="90">
        <v>0</v>
      </c>
      <c r="K433" s="90">
        <v>0</v>
      </c>
      <c r="L433" s="90">
        <v>0</v>
      </c>
      <c r="M433" s="90">
        <v>0</v>
      </c>
      <c r="N433" s="90">
        <v>0</v>
      </c>
      <c r="O433" s="90">
        <v>0</v>
      </c>
      <c r="P433" s="90">
        <v>0</v>
      </c>
      <c r="Q433" s="90">
        <v>0</v>
      </c>
      <c r="R433">
        <v>0</v>
      </c>
    </row>
    <row r="434" spans="1:18" ht="12.75" customHeight="1" x14ac:dyDescent="0.25">
      <c r="B434" s="142"/>
      <c r="C434" s="89" t="s">
        <v>82</v>
      </c>
      <c r="D434" s="89" t="s">
        <v>70</v>
      </c>
      <c r="E434" s="371">
        <v>0</v>
      </c>
      <c r="F434" s="90">
        <v>0</v>
      </c>
      <c r="G434" s="90">
        <v>0</v>
      </c>
      <c r="H434" s="90">
        <v>0</v>
      </c>
      <c r="I434" s="90">
        <v>0</v>
      </c>
      <c r="J434" s="90">
        <v>0</v>
      </c>
      <c r="K434" s="90">
        <v>0</v>
      </c>
      <c r="L434" s="90">
        <v>0</v>
      </c>
      <c r="M434" s="90">
        <v>0</v>
      </c>
      <c r="N434" s="90">
        <v>0</v>
      </c>
      <c r="O434" s="90">
        <v>0</v>
      </c>
      <c r="P434" s="90">
        <v>0</v>
      </c>
      <c r="Q434" s="90">
        <v>0</v>
      </c>
      <c r="R434">
        <v>0</v>
      </c>
    </row>
    <row r="435" spans="1:18" ht="12.75" customHeight="1" x14ac:dyDescent="0.25">
      <c r="B435" s="142"/>
      <c r="C435" s="89"/>
      <c r="D435" s="89" t="s">
        <v>73</v>
      </c>
      <c r="E435" s="371">
        <v>0</v>
      </c>
      <c r="F435" s="90">
        <v>0</v>
      </c>
      <c r="G435" s="90">
        <v>0</v>
      </c>
      <c r="H435" s="90">
        <v>0</v>
      </c>
      <c r="I435" s="90">
        <v>0</v>
      </c>
      <c r="J435" s="90">
        <v>0</v>
      </c>
      <c r="K435" s="90">
        <v>0</v>
      </c>
      <c r="L435" s="90">
        <v>0</v>
      </c>
      <c r="M435" s="90">
        <v>0</v>
      </c>
      <c r="N435" s="90">
        <v>0</v>
      </c>
      <c r="O435" s="90">
        <v>0</v>
      </c>
      <c r="P435" s="90">
        <v>0</v>
      </c>
      <c r="Q435" s="90">
        <v>0</v>
      </c>
      <c r="R435">
        <v>0</v>
      </c>
    </row>
    <row r="436" spans="1:18" ht="12.75" customHeight="1" x14ac:dyDescent="0.25">
      <c r="B436" s="142"/>
      <c r="C436" s="89" t="s">
        <v>86</v>
      </c>
      <c r="D436" s="89" t="s">
        <v>70</v>
      </c>
      <c r="E436" s="371">
        <v>0</v>
      </c>
      <c r="F436" s="90">
        <v>0</v>
      </c>
      <c r="G436" s="90">
        <v>0</v>
      </c>
      <c r="H436" s="90">
        <v>0</v>
      </c>
      <c r="I436" s="90">
        <v>0</v>
      </c>
      <c r="J436" s="90">
        <v>0</v>
      </c>
      <c r="K436" s="90">
        <v>0</v>
      </c>
      <c r="L436" s="90">
        <v>0</v>
      </c>
      <c r="M436" s="90">
        <v>0</v>
      </c>
      <c r="N436" s="90">
        <v>0</v>
      </c>
      <c r="O436" s="90">
        <v>0</v>
      </c>
      <c r="P436" s="90">
        <v>0</v>
      </c>
      <c r="Q436" s="90">
        <v>0</v>
      </c>
      <c r="R436">
        <v>0</v>
      </c>
    </row>
    <row r="437" spans="1:18" ht="12.75" customHeight="1" x14ac:dyDescent="0.25">
      <c r="B437" s="142"/>
      <c r="C437" s="89"/>
      <c r="D437" s="89" t="s">
        <v>73</v>
      </c>
      <c r="E437" s="371">
        <v>0</v>
      </c>
      <c r="F437" s="90">
        <v>0</v>
      </c>
      <c r="G437" s="90">
        <v>0</v>
      </c>
      <c r="H437" s="90">
        <v>0</v>
      </c>
      <c r="I437" s="90">
        <v>0</v>
      </c>
      <c r="J437" s="90">
        <v>0</v>
      </c>
      <c r="K437" s="90">
        <v>0</v>
      </c>
      <c r="L437" s="90">
        <v>0</v>
      </c>
      <c r="M437" s="90">
        <v>0</v>
      </c>
      <c r="N437" s="90">
        <v>0</v>
      </c>
      <c r="O437" s="90">
        <v>0</v>
      </c>
      <c r="P437" s="90">
        <v>0</v>
      </c>
      <c r="Q437" s="90">
        <v>0</v>
      </c>
      <c r="R437">
        <v>0</v>
      </c>
    </row>
    <row r="438" spans="1:18" ht="12.75" customHeight="1" x14ac:dyDescent="0.25">
      <c r="B438" s="142"/>
      <c r="C438" s="89" t="s">
        <v>87</v>
      </c>
      <c r="D438" s="89" t="s">
        <v>70</v>
      </c>
      <c r="E438" s="371">
        <v>0</v>
      </c>
      <c r="F438" s="90">
        <v>0</v>
      </c>
      <c r="G438" s="90">
        <v>0</v>
      </c>
      <c r="H438" s="90">
        <v>0</v>
      </c>
      <c r="I438" s="90">
        <v>0</v>
      </c>
      <c r="J438" s="90">
        <v>0</v>
      </c>
      <c r="K438" s="90">
        <v>0</v>
      </c>
      <c r="L438" s="90">
        <v>0</v>
      </c>
      <c r="M438" s="90">
        <v>0</v>
      </c>
      <c r="N438" s="90">
        <v>0</v>
      </c>
      <c r="O438" s="90">
        <v>0</v>
      </c>
      <c r="P438" s="90">
        <v>0</v>
      </c>
      <c r="Q438" s="90">
        <v>0</v>
      </c>
      <c r="R438">
        <v>0</v>
      </c>
    </row>
    <row r="439" spans="1:18" s="94" customFormat="1" ht="12.75" customHeight="1" x14ac:dyDescent="0.25">
      <c r="B439" s="101" t="s">
        <v>119</v>
      </c>
      <c r="C439" s="101" t="s">
        <v>70</v>
      </c>
      <c r="E439" s="93">
        <v>-82090.850000000006</v>
      </c>
      <c r="F439" s="93">
        <v>0</v>
      </c>
      <c r="G439" s="93">
        <v>0</v>
      </c>
      <c r="H439" s="93">
        <v>0</v>
      </c>
      <c r="I439" s="93">
        <v>0</v>
      </c>
      <c r="J439" s="93">
        <v>0</v>
      </c>
      <c r="K439" s="93">
        <v>0</v>
      </c>
      <c r="L439" s="93">
        <v>0</v>
      </c>
      <c r="M439" s="93">
        <v>0</v>
      </c>
      <c r="N439" s="93">
        <v>0</v>
      </c>
      <c r="O439" s="93">
        <v>0</v>
      </c>
      <c r="P439" s="93">
        <v>0</v>
      </c>
      <c r="Q439" s="93">
        <v>0</v>
      </c>
      <c r="R439" s="94">
        <v>0</v>
      </c>
    </row>
    <row r="440" spans="1:18" s="226" customFormat="1" ht="12.75" customHeight="1" x14ac:dyDescent="0.25">
      <c r="A440" s="98" t="s">
        <v>79</v>
      </c>
      <c r="B440" s="98" t="s">
        <v>70</v>
      </c>
      <c r="E440" s="100">
        <v>-33324.080000000002</v>
      </c>
      <c r="F440" s="100">
        <v>0</v>
      </c>
      <c r="G440" s="100">
        <v>0</v>
      </c>
      <c r="H440" s="100">
        <v>0</v>
      </c>
      <c r="I440" s="100">
        <v>0</v>
      </c>
      <c r="J440" s="100">
        <v>0</v>
      </c>
      <c r="K440" s="100">
        <v>0</v>
      </c>
      <c r="L440" s="100">
        <v>0</v>
      </c>
      <c r="M440" s="100">
        <v>0</v>
      </c>
      <c r="N440" s="100">
        <v>0</v>
      </c>
      <c r="O440" s="100">
        <v>0</v>
      </c>
      <c r="P440" s="100">
        <v>0</v>
      </c>
      <c r="Q440" s="100">
        <v>0</v>
      </c>
      <c r="R440" s="226">
        <v>0</v>
      </c>
    </row>
    <row r="441" spans="1:18" ht="12.75" customHeight="1" x14ac:dyDescent="0.25">
      <c r="A441" s="89" t="s">
        <v>70</v>
      </c>
      <c r="E441" s="90">
        <v>0</v>
      </c>
      <c r="F441" s="90">
        <v>0</v>
      </c>
      <c r="G441" s="90">
        <v>0</v>
      </c>
      <c r="H441" s="90">
        <v>0</v>
      </c>
      <c r="I441" s="90">
        <v>0</v>
      </c>
      <c r="J441" s="90">
        <v>0</v>
      </c>
      <c r="K441" s="90">
        <v>0</v>
      </c>
      <c r="L441" s="90">
        <v>0</v>
      </c>
      <c r="M441" s="90">
        <v>0</v>
      </c>
      <c r="N441" s="90">
        <v>0</v>
      </c>
      <c r="O441" s="90">
        <v>0</v>
      </c>
      <c r="P441" s="90">
        <v>0</v>
      </c>
      <c r="Q441" s="90">
        <v>0</v>
      </c>
      <c r="R441" s="90">
        <v>0</v>
      </c>
    </row>
    <row r="442" spans="1:18" ht="12.75" hidden="1" customHeight="1" x14ac:dyDescent="0.25">
      <c r="A442" s="89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hidden="1" customHeight="1" x14ac:dyDescent="0.25">
      <c r="A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hidden="1" customHeight="1" x14ac:dyDescent="0.25">
      <c r="A444" s="89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hidden="1" customHeight="1" x14ac:dyDescent="0.25">
      <c r="A445" s="89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hidden="1" customHeight="1" x14ac:dyDescent="0.25">
      <c r="A446" s="89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18" ht="12.75" hidden="1" customHeight="1" x14ac:dyDescent="0.25">
      <c r="A447" s="89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hidden="1" customHeight="1" x14ac:dyDescent="0.25">
      <c r="A448" s="89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hidden="1" customHeight="1" x14ac:dyDescent="0.25">
      <c r="A449" s="89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</row>
    <row r="450" spans="1:18" ht="12.75" hidden="1" customHeight="1" x14ac:dyDescent="0.25">
      <c r="A450" s="89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hidden="1" customHeight="1" x14ac:dyDescent="0.25">
      <c r="A451" s="89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hidden="1" customHeight="1" x14ac:dyDescent="0.25">
      <c r="A452" s="89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</row>
    <row r="453" spans="1:18" ht="12.75" hidden="1" customHeight="1" x14ac:dyDescent="0.25">
      <c r="A453" s="89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hidden="1" customHeight="1" x14ac:dyDescent="0.25">
      <c r="A454" s="89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hidden="1" customHeight="1" x14ac:dyDescent="0.25">
      <c r="A455" s="89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</row>
    <row r="456" spans="1:18" ht="12.75" hidden="1" customHeight="1" x14ac:dyDescent="0.25">
      <c r="A456" s="89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ht="12.75" hidden="1" customHeight="1" x14ac:dyDescent="0.25">
      <c r="A457" s="89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18" ht="12.75" hidden="1" customHeight="1" x14ac:dyDescent="0.25">
      <c r="A458" s="89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</row>
    <row r="459" spans="1:18" ht="12.75" hidden="1" customHeight="1" x14ac:dyDescent="0.25">
      <c r="A459" s="89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18" ht="12.75" hidden="1" customHeight="1" x14ac:dyDescent="0.25">
      <c r="A460" s="89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18" ht="12.75" hidden="1" customHeight="1" x14ac:dyDescent="0.25">
      <c r="A461" s="89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</row>
    <row r="462" spans="1:18" ht="12.75" hidden="1" customHeight="1" x14ac:dyDescent="0.25">
      <c r="A462" s="89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18" ht="12.75" hidden="1" customHeight="1" x14ac:dyDescent="0.25">
      <c r="A463" s="89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</row>
    <row r="464" spans="1:18" ht="12.75" hidden="1" customHeight="1" x14ac:dyDescent="0.25">
      <c r="A464" s="89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</row>
    <row r="465" spans="1:18" ht="12.75" hidden="1" customHeight="1" x14ac:dyDescent="0.25">
      <c r="A465" s="89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</row>
    <row r="466" spans="1:18" ht="12.75" customHeight="1" x14ac:dyDescent="0.25">
      <c r="A466" s="89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</row>
    <row r="467" spans="1:18" ht="12.75" customHeight="1" x14ac:dyDescent="0.25">
      <c r="A467" s="89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</row>
    <row r="468" spans="1:18" ht="12.75" customHeight="1" x14ac:dyDescent="0.25">
      <c r="B468" s="777" t="s">
        <v>2</v>
      </c>
      <c r="C468" s="774" t="s">
        <v>132</v>
      </c>
      <c r="D468" s="98" t="s">
        <v>70</v>
      </c>
      <c r="E468" s="100">
        <f>E440+E426-K426</f>
        <v>10379542.050000001</v>
      </c>
      <c r="F468" s="100">
        <f>F426</f>
        <v>0</v>
      </c>
      <c r="G468" s="100">
        <f t="shared" ref="G468:R468" si="14">G426</f>
        <v>0</v>
      </c>
      <c r="H468" s="100">
        <f t="shared" si="14"/>
        <v>0</v>
      </c>
      <c r="I468" s="100">
        <f t="shared" si="14"/>
        <v>0</v>
      </c>
      <c r="J468" s="100">
        <f t="shared" si="14"/>
        <v>0</v>
      </c>
      <c r="K468" s="100">
        <f t="shared" si="14"/>
        <v>0</v>
      </c>
      <c r="L468" s="100">
        <f t="shared" si="14"/>
        <v>0</v>
      </c>
      <c r="M468" s="100">
        <f t="shared" si="14"/>
        <v>0</v>
      </c>
      <c r="N468" s="100">
        <f t="shared" si="14"/>
        <v>0</v>
      </c>
      <c r="O468" s="100">
        <f t="shared" si="14"/>
        <v>0</v>
      </c>
      <c r="P468" s="100">
        <f>P426</f>
        <v>0</v>
      </c>
      <c r="Q468" s="100">
        <f t="shared" si="14"/>
        <v>0</v>
      </c>
      <c r="R468" s="100">
        <f t="shared" si="14"/>
        <v>0</v>
      </c>
    </row>
    <row r="469" spans="1:18" ht="12.75" customHeight="1" x14ac:dyDescent="0.25">
      <c r="B469" s="777"/>
      <c r="C469" s="774"/>
      <c r="D469" s="98" t="s">
        <v>73</v>
      </c>
      <c r="E469" s="100">
        <f>E440</f>
        <v>-33324.080000000002</v>
      </c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</row>
    <row r="470" spans="1:18" ht="12.75" customHeight="1" x14ac:dyDescent="0.25">
      <c r="A470" s="89"/>
      <c r="B470" s="97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</row>
    <row r="471" spans="1:18" ht="12.75" customHeight="1" x14ac:dyDescent="0.25">
      <c r="B471" s="777" t="s">
        <v>160</v>
      </c>
      <c r="C471" s="774" t="s">
        <v>132</v>
      </c>
      <c r="D471" s="223" t="s">
        <v>70</v>
      </c>
      <c r="E471" s="225">
        <v>0</v>
      </c>
      <c r="F471" s="225">
        <v>0</v>
      </c>
      <c r="G471" s="225">
        <v>0</v>
      </c>
      <c r="H471" s="225">
        <v>0</v>
      </c>
      <c r="I471" s="225">
        <v>0</v>
      </c>
      <c r="J471" s="225">
        <v>0</v>
      </c>
      <c r="K471" s="225">
        <v>0</v>
      </c>
      <c r="L471" s="225">
        <v>0</v>
      </c>
      <c r="M471" s="225">
        <v>0</v>
      </c>
      <c r="N471" s="225">
        <v>0</v>
      </c>
      <c r="O471" s="225">
        <v>0</v>
      </c>
      <c r="P471" s="225">
        <v>0</v>
      </c>
      <c r="Q471" s="225">
        <v>0</v>
      </c>
      <c r="R471" s="225">
        <v>0</v>
      </c>
    </row>
    <row r="472" spans="1:18" ht="12.75" customHeight="1" x14ac:dyDescent="0.25">
      <c r="B472" s="777"/>
      <c r="C472" s="774"/>
      <c r="D472" s="223" t="s">
        <v>73</v>
      </c>
      <c r="E472" s="225">
        <v>0</v>
      </c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</row>
    <row r="473" spans="1:18" ht="12.75" customHeight="1" x14ac:dyDescent="0.25">
      <c r="A473" s="89"/>
      <c r="B473" s="97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</row>
    <row r="474" spans="1:18" ht="12.75" customHeight="1" x14ac:dyDescent="0.25">
      <c r="B474" s="777" t="s">
        <v>155</v>
      </c>
      <c r="C474" s="774" t="s">
        <v>132</v>
      </c>
      <c r="D474" s="221" t="s">
        <v>70</v>
      </c>
      <c r="E474" s="222">
        <f>E429+E411+E407-K407-K411</f>
        <v>9192655.3300000001</v>
      </c>
      <c r="F474" s="222">
        <f>F411+F407</f>
        <v>0</v>
      </c>
      <c r="G474" s="222">
        <f t="shared" ref="G474:R474" si="15">G411+G407</f>
        <v>0</v>
      </c>
      <c r="H474" s="222">
        <f t="shared" si="15"/>
        <v>0</v>
      </c>
      <c r="I474" s="222">
        <f t="shared" si="15"/>
        <v>0</v>
      </c>
      <c r="J474" s="222">
        <f t="shared" si="15"/>
        <v>0</v>
      </c>
      <c r="K474" s="222">
        <f t="shared" si="15"/>
        <v>0</v>
      </c>
      <c r="L474" s="222">
        <f t="shared" si="15"/>
        <v>0</v>
      </c>
      <c r="M474" s="222">
        <f t="shared" si="15"/>
        <v>0</v>
      </c>
      <c r="N474" s="222">
        <f t="shared" si="15"/>
        <v>0</v>
      </c>
      <c r="O474" s="222">
        <f t="shared" si="15"/>
        <v>0</v>
      </c>
      <c r="P474" s="222">
        <f t="shared" si="15"/>
        <v>0</v>
      </c>
      <c r="Q474" s="222">
        <f t="shared" si="15"/>
        <v>0</v>
      </c>
      <c r="R474" s="222">
        <f t="shared" si="15"/>
        <v>0</v>
      </c>
    </row>
    <row r="475" spans="1:18" ht="12.75" customHeight="1" x14ac:dyDescent="0.25">
      <c r="B475" s="777"/>
      <c r="C475" s="774"/>
      <c r="D475" s="221" t="s">
        <v>73</v>
      </c>
      <c r="E475" s="222">
        <f>E429</f>
        <v>48766.77</v>
      </c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</row>
    <row r="476" spans="1:18" ht="12.75" customHeight="1" x14ac:dyDescent="0.25">
      <c r="A476" s="89"/>
      <c r="B476" s="97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</row>
    <row r="477" spans="1:18" ht="12.75" customHeight="1" x14ac:dyDescent="0.25">
      <c r="B477" s="775" t="s">
        <v>326</v>
      </c>
      <c r="C477" s="774" t="s">
        <v>132</v>
      </c>
      <c r="D477" s="373" t="s">
        <v>70</v>
      </c>
      <c r="E477" s="374">
        <f>E432+E415-K415</f>
        <v>0</v>
      </c>
      <c r="F477" s="374">
        <f>F415</f>
        <v>0</v>
      </c>
      <c r="G477" s="374">
        <f t="shared" ref="G477:R477" si="16">G415</f>
        <v>0</v>
      </c>
      <c r="H477" s="374">
        <f t="shared" si="16"/>
        <v>0</v>
      </c>
      <c r="I477" s="374">
        <f t="shared" si="16"/>
        <v>0</v>
      </c>
      <c r="J477" s="374">
        <f t="shared" si="16"/>
        <v>0</v>
      </c>
      <c r="K477" s="374">
        <f t="shared" si="16"/>
        <v>0</v>
      </c>
      <c r="L477" s="374">
        <f t="shared" si="16"/>
        <v>0</v>
      </c>
      <c r="M477" s="374">
        <f t="shared" si="16"/>
        <v>0</v>
      </c>
      <c r="N477" s="374">
        <f t="shared" si="16"/>
        <v>0</v>
      </c>
      <c r="O477" s="374">
        <f t="shared" si="16"/>
        <v>0</v>
      </c>
      <c r="P477" s="374">
        <f t="shared" si="16"/>
        <v>0</v>
      </c>
      <c r="Q477" s="374">
        <f t="shared" si="16"/>
        <v>0</v>
      </c>
      <c r="R477" s="374">
        <f t="shared" si="16"/>
        <v>0</v>
      </c>
    </row>
    <row r="478" spans="1:18" ht="12.75" customHeight="1" x14ac:dyDescent="0.25">
      <c r="B478" s="775"/>
      <c r="C478" s="774"/>
      <c r="D478" s="373" t="s">
        <v>73</v>
      </c>
      <c r="E478" s="374">
        <f>E432</f>
        <v>0</v>
      </c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</row>
    <row r="479" spans="1:18" ht="12.75" customHeight="1" x14ac:dyDescent="0.25">
      <c r="B479" s="719"/>
      <c r="C479" s="220"/>
      <c r="D479" s="89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</row>
    <row r="480" spans="1:18" ht="12.75" customHeight="1" x14ac:dyDescent="0.25">
      <c r="B480" s="777" t="s">
        <v>119</v>
      </c>
      <c r="C480" s="774" t="s">
        <v>132</v>
      </c>
      <c r="D480" s="101" t="s">
        <v>70</v>
      </c>
      <c r="E480" s="93">
        <f>E425+E439-K425</f>
        <v>1186886.72</v>
      </c>
      <c r="F480" s="93">
        <f>F425</f>
        <v>0</v>
      </c>
      <c r="G480" s="93">
        <f t="shared" ref="G480:R480" si="17">G425</f>
        <v>0</v>
      </c>
      <c r="H480" s="93">
        <f t="shared" si="17"/>
        <v>0</v>
      </c>
      <c r="I480" s="93">
        <f t="shared" si="17"/>
        <v>0</v>
      </c>
      <c r="J480" s="93">
        <f t="shared" si="17"/>
        <v>0</v>
      </c>
      <c r="K480" s="93">
        <f t="shared" si="17"/>
        <v>0</v>
      </c>
      <c r="L480" s="93">
        <f t="shared" si="17"/>
        <v>0</v>
      </c>
      <c r="M480" s="93">
        <f t="shared" si="17"/>
        <v>0</v>
      </c>
      <c r="N480" s="93">
        <f t="shared" si="17"/>
        <v>0</v>
      </c>
      <c r="O480" s="93">
        <f t="shared" si="17"/>
        <v>0</v>
      </c>
      <c r="P480" s="93">
        <f t="shared" si="17"/>
        <v>0</v>
      </c>
      <c r="Q480" s="93">
        <f t="shared" si="17"/>
        <v>0</v>
      </c>
      <c r="R480" s="93">
        <f t="shared" si="17"/>
        <v>0</v>
      </c>
    </row>
    <row r="481" spans="1:18" ht="12.75" customHeight="1" x14ac:dyDescent="0.25">
      <c r="B481" s="777"/>
      <c r="C481" s="774"/>
      <c r="D481" s="101" t="s">
        <v>73</v>
      </c>
      <c r="E481" s="93">
        <f>E439</f>
        <v>-82090.850000000006</v>
      </c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</row>
    <row r="482" spans="1:18" ht="12.75" customHeight="1" x14ac:dyDescent="0.25">
      <c r="A482" s="89"/>
      <c r="B482" s="97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</row>
    <row r="483" spans="1:18" ht="12.75" customHeight="1" x14ac:dyDescent="0.25">
      <c r="B483" s="776" t="s">
        <v>161</v>
      </c>
      <c r="C483" s="774" t="s">
        <v>132</v>
      </c>
      <c r="D483" s="231" t="s">
        <v>70</v>
      </c>
      <c r="E483" s="232">
        <v>0</v>
      </c>
      <c r="F483" s="232">
        <v>0</v>
      </c>
      <c r="G483" s="232">
        <v>0</v>
      </c>
      <c r="H483" s="232">
        <v>0</v>
      </c>
      <c r="I483" s="232">
        <v>0</v>
      </c>
      <c r="J483" s="232">
        <v>0</v>
      </c>
      <c r="K483" s="232">
        <v>0</v>
      </c>
      <c r="L483" s="232">
        <v>0</v>
      </c>
      <c r="M483" s="232">
        <v>0</v>
      </c>
      <c r="N483" s="232">
        <v>0</v>
      </c>
      <c r="O483" s="232">
        <v>0</v>
      </c>
      <c r="P483" s="232">
        <v>0</v>
      </c>
      <c r="Q483" s="232">
        <v>0</v>
      </c>
      <c r="R483" s="232">
        <v>0</v>
      </c>
    </row>
    <row r="484" spans="1:18" ht="12.75" customHeight="1" x14ac:dyDescent="0.25">
      <c r="B484" s="776"/>
      <c r="C484" s="774"/>
      <c r="D484" s="231" t="s">
        <v>73</v>
      </c>
      <c r="E484" s="232">
        <v>0</v>
      </c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s="238" customFormat="1" x14ac:dyDescent="0.25"/>
  </sheetData>
  <mergeCells count="60">
    <mergeCell ref="B59:B60"/>
    <mergeCell ref="C59:C60"/>
    <mergeCell ref="B170:B171"/>
    <mergeCell ref="C170:C171"/>
    <mergeCell ref="B62:B63"/>
    <mergeCell ref="C62:C63"/>
    <mergeCell ref="B155:B156"/>
    <mergeCell ref="C155:C156"/>
    <mergeCell ref="B158:B159"/>
    <mergeCell ref="C158:C159"/>
    <mergeCell ref="B161:B162"/>
    <mergeCell ref="C161:C162"/>
    <mergeCell ref="B167:B168"/>
    <mergeCell ref="C167:C168"/>
    <mergeCell ref="B164:B165"/>
    <mergeCell ref="C164:C165"/>
    <mergeCell ref="B47:B48"/>
    <mergeCell ref="C47:C48"/>
    <mergeCell ref="B50:B51"/>
    <mergeCell ref="C50:C51"/>
    <mergeCell ref="B56:B57"/>
    <mergeCell ref="C56:C57"/>
    <mergeCell ref="B53:B54"/>
    <mergeCell ref="C53:C54"/>
    <mergeCell ref="B273:B274"/>
    <mergeCell ref="C273:C274"/>
    <mergeCell ref="B276:B277"/>
    <mergeCell ref="C276:C277"/>
    <mergeCell ref="B279:B280"/>
    <mergeCell ref="C279:C280"/>
    <mergeCell ref="B285:B286"/>
    <mergeCell ref="C285:C286"/>
    <mergeCell ref="B282:B283"/>
    <mergeCell ref="C282:C283"/>
    <mergeCell ref="B288:B289"/>
    <mergeCell ref="C288:C289"/>
    <mergeCell ref="B384:B385"/>
    <mergeCell ref="C384:C385"/>
    <mergeCell ref="B387:B388"/>
    <mergeCell ref="C387:C388"/>
    <mergeCell ref="B390:B391"/>
    <mergeCell ref="C390:C391"/>
    <mergeCell ref="B396:B397"/>
    <mergeCell ref="C396:C397"/>
    <mergeCell ref="B399:B400"/>
    <mergeCell ref="C399:C400"/>
    <mergeCell ref="B393:B394"/>
    <mergeCell ref="C393:C394"/>
    <mergeCell ref="B468:B469"/>
    <mergeCell ref="C468:C469"/>
    <mergeCell ref="B471:B472"/>
    <mergeCell ref="C471:C472"/>
    <mergeCell ref="B474:B475"/>
    <mergeCell ref="C474:C475"/>
    <mergeCell ref="B480:B481"/>
    <mergeCell ref="C480:C481"/>
    <mergeCell ref="B483:B484"/>
    <mergeCell ref="C483:C484"/>
    <mergeCell ref="B477:B478"/>
    <mergeCell ref="C477:C47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2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332031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33203125" style="616" bestFit="1" customWidth="1"/>
    <col min="7" max="7" width="15.33203125" style="616" customWidth="1"/>
    <col min="8" max="8" width="16.332031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33203125" style="616" bestFit="1" customWidth="1"/>
    <col min="15" max="16" width="20.33203125" style="616" bestFit="1" customWidth="1"/>
    <col min="17" max="17" width="20" style="616" bestFit="1" customWidth="1"/>
    <col min="18" max="16384" width="11.332031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-3698870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628" customFormat="1" ht="12.75" customHeight="1" x14ac:dyDescent="0.25">
      <c r="A14" s="628" t="s">
        <v>119</v>
      </c>
      <c r="B14" s="628" t="s">
        <v>70</v>
      </c>
      <c r="D14" s="628">
        <v>-134910</v>
      </c>
      <c r="E14" s="628">
        <v>0</v>
      </c>
      <c r="F14" s="628">
        <v>0</v>
      </c>
      <c r="G14" s="628">
        <v>0</v>
      </c>
      <c r="H14" s="628">
        <v>0</v>
      </c>
      <c r="I14" s="628">
        <v>0</v>
      </c>
      <c r="J14" s="628">
        <v>0</v>
      </c>
      <c r="K14" s="628">
        <v>0</v>
      </c>
      <c r="L14" s="628">
        <v>0</v>
      </c>
      <c r="M14" s="628">
        <v>0</v>
      </c>
      <c r="N14" s="628">
        <v>0</v>
      </c>
      <c r="O14" s="628">
        <v>0</v>
      </c>
      <c r="P14" s="628">
        <v>0</v>
      </c>
      <c r="Q14" s="628">
        <v>0</v>
      </c>
      <c r="R14" s="628">
        <v>0</v>
      </c>
    </row>
    <row r="15" spans="1:18" s="631" customFormat="1" ht="12.75" customHeight="1" x14ac:dyDescent="0.25">
      <c r="A15" s="630" t="s">
        <v>70</v>
      </c>
      <c r="D15" s="630">
        <v>-3833780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1">
        <v>0</v>
      </c>
      <c r="Q15" s="630">
        <v>0</v>
      </c>
      <c r="R15" s="630">
        <v>0</v>
      </c>
    </row>
    <row r="16" spans="1:18" ht="12.75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x14ac:dyDescent="0.25">
      <c r="A73" s="781" t="s">
        <v>2</v>
      </c>
      <c r="B73" s="780" t="s">
        <v>132</v>
      </c>
      <c r="C73" s="766" t="s">
        <v>70</v>
      </c>
      <c r="D73" s="766">
        <f>D15-P15</f>
        <v>-3833780</v>
      </c>
      <c r="E73" s="766">
        <f>E5+E11</f>
        <v>0</v>
      </c>
      <c r="F73" s="766">
        <f t="shared" ref="F73:R73" si="0">F5+F11</f>
        <v>0</v>
      </c>
      <c r="G73" s="766">
        <f t="shared" si="0"/>
        <v>0</v>
      </c>
      <c r="H73" s="766">
        <f t="shared" si="0"/>
        <v>0</v>
      </c>
      <c r="I73" s="766">
        <f t="shared" si="0"/>
        <v>0</v>
      </c>
      <c r="J73" s="766">
        <f t="shared" si="0"/>
        <v>0</v>
      </c>
      <c r="K73" s="766">
        <f t="shared" si="0"/>
        <v>0</v>
      </c>
      <c r="L73" s="766">
        <f t="shared" si="0"/>
        <v>0</v>
      </c>
      <c r="M73" s="766">
        <f t="shared" si="0"/>
        <v>0</v>
      </c>
      <c r="N73" s="766">
        <f t="shared" si="0"/>
        <v>0</v>
      </c>
      <c r="O73" s="766">
        <f t="shared" si="0"/>
        <v>0</v>
      </c>
      <c r="P73" s="766">
        <f t="shared" si="0"/>
        <v>0</v>
      </c>
      <c r="Q73" s="766">
        <f t="shared" si="0"/>
        <v>0</v>
      </c>
      <c r="R73" s="766">
        <f t="shared" si="0"/>
        <v>0</v>
      </c>
    </row>
    <row r="74" spans="1:18" x14ac:dyDescent="0.25">
      <c r="A74" s="781"/>
      <c r="B74" s="780"/>
      <c r="C74" s="766" t="s">
        <v>73</v>
      </c>
      <c r="D74" s="766">
        <f>D7+D13</f>
        <v>0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x14ac:dyDescent="0.25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5">
      <c r="A76" s="781" t="s">
        <v>160</v>
      </c>
      <c r="B76" s="780" t="s">
        <v>132</v>
      </c>
      <c r="C76" s="632" t="s">
        <v>70</v>
      </c>
      <c r="D76" s="632">
        <v>0</v>
      </c>
      <c r="E76" s="632">
        <v>0</v>
      </c>
      <c r="F76" s="632">
        <v>0</v>
      </c>
      <c r="G76" s="632">
        <v>0</v>
      </c>
      <c r="H76" s="632">
        <v>0</v>
      </c>
      <c r="I76" s="632">
        <v>0</v>
      </c>
      <c r="J76" s="632">
        <v>0</v>
      </c>
      <c r="K76" s="632">
        <v>0</v>
      </c>
      <c r="L76" s="632">
        <v>0</v>
      </c>
      <c r="M76" s="632">
        <v>0</v>
      </c>
      <c r="N76" s="632">
        <v>0</v>
      </c>
      <c r="O76" s="632">
        <v>0</v>
      </c>
      <c r="P76" s="632">
        <v>0</v>
      </c>
      <c r="Q76" s="632">
        <v>0</v>
      </c>
      <c r="R76" s="632">
        <v>0</v>
      </c>
    </row>
    <row r="77" spans="1:18" x14ac:dyDescent="0.25">
      <c r="A77" s="781"/>
      <c r="B77" s="780"/>
      <c r="C77" s="632" t="s">
        <v>73</v>
      </c>
      <c r="D77" s="632">
        <v>0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5">
      <c r="A78" s="617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x14ac:dyDescent="0.25">
      <c r="A79" s="781" t="s">
        <v>155</v>
      </c>
      <c r="B79" s="780" t="s">
        <v>132</v>
      </c>
      <c r="C79" s="633" t="s">
        <v>70</v>
      </c>
      <c r="D79" s="633">
        <f>D8-P8</f>
        <v>-3698870</v>
      </c>
      <c r="E79" s="633">
        <f>E5</f>
        <v>0</v>
      </c>
      <c r="F79" s="633">
        <f t="shared" ref="F79:R79" si="1">F5</f>
        <v>0</v>
      </c>
      <c r="G79" s="633">
        <f t="shared" si="1"/>
        <v>0</v>
      </c>
      <c r="H79" s="633">
        <f t="shared" si="1"/>
        <v>0</v>
      </c>
      <c r="I79" s="633">
        <f t="shared" si="1"/>
        <v>0</v>
      </c>
      <c r="J79" s="633">
        <f t="shared" si="1"/>
        <v>0</v>
      </c>
      <c r="K79" s="633">
        <f t="shared" si="1"/>
        <v>0</v>
      </c>
      <c r="L79" s="633">
        <f t="shared" si="1"/>
        <v>0</v>
      </c>
      <c r="M79" s="633">
        <f t="shared" si="1"/>
        <v>0</v>
      </c>
      <c r="N79" s="633">
        <f t="shared" si="1"/>
        <v>0</v>
      </c>
      <c r="O79" s="633">
        <f t="shared" si="1"/>
        <v>0</v>
      </c>
      <c r="P79" s="633">
        <f t="shared" si="1"/>
        <v>0</v>
      </c>
      <c r="Q79" s="633">
        <f t="shared" si="1"/>
        <v>0</v>
      </c>
      <c r="R79" s="633">
        <f t="shared" si="1"/>
        <v>0</v>
      </c>
    </row>
    <row r="80" spans="1:18" x14ac:dyDescent="0.25">
      <c r="A80" s="781"/>
      <c r="B80" s="780"/>
      <c r="C80" s="633" t="s">
        <v>73</v>
      </c>
      <c r="D80" s="633">
        <f>D7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722"/>
      <c r="B81" s="721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ht="12.75" customHeight="1" x14ac:dyDescent="0.25">
      <c r="A82" s="779" t="s">
        <v>326</v>
      </c>
      <c r="B82" s="780" t="s">
        <v>132</v>
      </c>
      <c r="C82" s="633" t="s">
        <v>70</v>
      </c>
      <c r="D82" s="720">
        <v>0</v>
      </c>
      <c r="E82" s="720">
        <v>0</v>
      </c>
      <c r="F82" s="720">
        <v>0</v>
      </c>
      <c r="G82" s="720">
        <v>0</v>
      </c>
      <c r="H82" s="720">
        <v>0</v>
      </c>
      <c r="I82" s="720">
        <v>0</v>
      </c>
      <c r="J82" s="720">
        <v>0</v>
      </c>
      <c r="K82" s="720">
        <v>0</v>
      </c>
      <c r="L82" s="720">
        <v>0</v>
      </c>
      <c r="M82" s="720">
        <v>0</v>
      </c>
      <c r="N82" s="720">
        <v>0</v>
      </c>
      <c r="O82" s="720">
        <v>0</v>
      </c>
      <c r="P82" s="720">
        <v>0</v>
      </c>
      <c r="Q82" s="720">
        <v>0</v>
      </c>
      <c r="R82" s="720">
        <v>0</v>
      </c>
    </row>
    <row r="83" spans="1:18" ht="12.75" customHeight="1" x14ac:dyDescent="0.25">
      <c r="A83" s="779"/>
      <c r="B83" s="780"/>
      <c r="C83" s="633" t="s">
        <v>73</v>
      </c>
      <c r="D83" s="720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1" t="s">
        <v>119</v>
      </c>
      <c r="B85" s="780" t="s">
        <v>132</v>
      </c>
      <c r="C85" s="628" t="s">
        <v>70</v>
      </c>
      <c r="D85" s="628">
        <f>D14-P14</f>
        <v>-134910</v>
      </c>
      <c r="E85" s="628">
        <f>E11</f>
        <v>0</v>
      </c>
      <c r="F85" s="628">
        <f t="shared" ref="F85:R85" si="2">F11</f>
        <v>0</v>
      </c>
      <c r="G85" s="628">
        <f t="shared" si="2"/>
        <v>0</v>
      </c>
      <c r="H85" s="628">
        <f t="shared" si="2"/>
        <v>0</v>
      </c>
      <c r="I85" s="628">
        <f t="shared" si="2"/>
        <v>0</v>
      </c>
      <c r="J85" s="628">
        <f t="shared" si="2"/>
        <v>0</v>
      </c>
      <c r="K85" s="628">
        <f t="shared" si="2"/>
        <v>0</v>
      </c>
      <c r="L85" s="628">
        <f t="shared" si="2"/>
        <v>0</v>
      </c>
      <c r="M85" s="628">
        <f t="shared" si="2"/>
        <v>0</v>
      </c>
      <c r="N85" s="628">
        <f t="shared" si="2"/>
        <v>0</v>
      </c>
      <c r="O85" s="628">
        <f t="shared" si="2"/>
        <v>0</v>
      </c>
      <c r="P85" s="628">
        <f t="shared" si="2"/>
        <v>0</v>
      </c>
      <c r="Q85" s="628">
        <f t="shared" si="2"/>
        <v>0</v>
      </c>
      <c r="R85" s="628">
        <f t="shared" si="2"/>
        <v>0</v>
      </c>
    </row>
    <row r="86" spans="1:18" ht="12.75" customHeight="1" x14ac:dyDescent="0.25">
      <c r="A86" s="781"/>
      <c r="B86" s="780"/>
      <c r="C86" s="628" t="s">
        <v>73</v>
      </c>
      <c r="D86" s="628">
        <f>D13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ht="12.75" customHeight="1" x14ac:dyDescent="0.25">
      <c r="A87" s="617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2" t="s">
        <v>161</v>
      </c>
      <c r="B88" s="780" t="s">
        <v>132</v>
      </c>
      <c r="C88" s="634" t="s">
        <v>70</v>
      </c>
      <c r="D88" s="634">
        <v>0</v>
      </c>
      <c r="E88" s="634">
        <v>0</v>
      </c>
      <c r="F88" s="634">
        <v>0</v>
      </c>
      <c r="G88" s="634">
        <v>0</v>
      </c>
      <c r="H88" s="634">
        <v>0</v>
      </c>
      <c r="I88" s="634">
        <v>0</v>
      </c>
      <c r="J88" s="634">
        <v>0</v>
      </c>
      <c r="K88" s="634">
        <v>0</v>
      </c>
      <c r="L88" s="634">
        <v>0</v>
      </c>
      <c r="M88" s="634">
        <v>0</v>
      </c>
      <c r="N88" s="634">
        <v>0</v>
      </c>
      <c r="O88" s="634">
        <v>0</v>
      </c>
      <c r="P88" s="634">
        <v>0</v>
      </c>
      <c r="Q88" s="634">
        <v>0</v>
      </c>
      <c r="R88" s="634">
        <v>0</v>
      </c>
    </row>
    <row r="89" spans="1:18" ht="12.75" customHeight="1" x14ac:dyDescent="0.25">
      <c r="A89" s="782"/>
      <c r="B89" s="780"/>
      <c r="C89" s="634" t="s">
        <v>73</v>
      </c>
      <c r="D89" s="634"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s="635" customFormat="1" x14ac:dyDescent="0.25"/>
    <row r="91" spans="1:18" x14ac:dyDescent="0.25">
      <c r="B91" s="617" t="s">
        <v>75</v>
      </c>
    </row>
    <row r="92" spans="1:18" ht="12.6" customHeight="1" x14ac:dyDescent="0.25">
      <c r="D92" s="618" t="s">
        <v>70</v>
      </c>
      <c r="E92" s="618" t="s">
        <v>64</v>
      </c>
      <c r="F92" s="618" t="s">
        <v>65</v>
      </c>
      <c r="G92" s="619" t="s">
        <v>164</v>
      </c>
      <c r="H92" s="618" t="s">
        <v>69</v>
      </c>
      <c r="I92" s="618" t="s">
        <v>68</v>
      </c>
      <c r="J92" s="618" t="s">
        <v>66</v>
      </c>
      <c r="K92" s="618" t="s">
        <v>63</v>
      </c>
      <c r="L92" s="618" t="s">
        <v>61</v>
      </c>
      <c r="M92" s="618" t="s">
        <v>62</v>
      </c>
      <c r="N92" s="618" t="s">
        <v>67</v>
      </c>
      <c r="O92" s="618" t="s">
        <v>77</v>
      </c>
      <c r="P92" s="616" t="s">
        <v>71</v>
      </c>
      <c r="Q92" s="618" t="s">
        <v>80</v>
      </c>
      <c r="R92" s="616" t="s">
        <v>168</v>
      </c>
    </row>
    <row r="93" spans="1:18" ht="12.75" customHeight="1" x14ac:dyDescent="0.25">
      <c r="C93" s="616" t="s">
        <v>72</v>
      </c>
      <c r="D93" s="618">
        <v>0</v>
      </c>
      <c r="E93" s="618">
        <v>0</v>
      </c>
      <c r="F93" s="618">
        <v>0</v>
      </c>
      <c r="G93" s="620">
        <v>0</v>
      </c>
      <c r="H93" s="618">
        <v>0</v>
      </c>
      <c r="I93" s="618">
        <v>0</v>
      </c>
      <c r="J93" s="618">
        <v>0</v>
      </c>
      <c r="K93" s="618">
        <v>0</v>
      </c>
      <c r="L93" s="618">
        <v>0</v>
      </c>
      <c r="M93" s="618">
        <v>0</v>
      </c>
      <c r="N93" s="618">
        <v>0</v>
      </c>
      <c r="O93" s="618">
        <v>0</v>
      </c>
      <c r="P93" s="616">
        <v>0</v>
      </c>
      <c r="Q93" s="618">
        <v>0</v>
      </c>
      <c r="R93" s="616">
        <v>0</v>
      </c>
    </row>
    <row r="94" spans="1:18" ht="12.75" customHeight="1" x14ac:dyDescent="0.25">
      <c r="C94" s="616" t="s">
        <v>81</v>
      </c>
      <c r="D94" s="618">
        <v>0</v>
      </c>
      <c r="E94" s="618">
        <v>0</v>
      </c>
      <c r="F94" s="618">
        <v>0</v>
      </c>
      <c r="G94" s="620">
        <v>0</v>
      </c>
      <c r="H94" s="618">
        <v>0</v>
      </c>
      <c r="I94" s="618">
        <v>0</v>
      </c>
      <c r="J94" s="618">
        <v>0</v>
      </c>
      <c r="K94" s="618">
        <v>0</v>
      </c>
      <c r="L94" s="618">
        <v>0</v>
      </c>
      <c r="M94" s="618">
        <v>0</v>
      </c>
      <c r="N94" s="618">
        <v>0</v>
      </c>
      <c r="O94" s="618">
        <v>0</v>
      </c>
      <c r="P94" s="616">
        <v>0</v>
      </c>
      <c r="Q94" s="618">
        <v>0</v>
      </c>
      <c r="R94" s="616">
        <v>0</v>
      </c>
    </row>
    <row r="95" spans="1:18" s="621" customFormat="1" ht="12.75" customHeight="1" x14ac:dyDescent="0.25">
      <c r="B95" s="622" t="s">
        <v>78</v>
      </c>
      <c r="C95" s="622" t="s">
        <v>70</v>
      </c>
      <c r="D95" s="622">
        <v>0</v>
      </c>
      <c r="E95" s="622">
        <v>0</v>
      </c>
      <c r="F95" s="622">
        <v>0</v>
      </c>
      <c r="G95" s="622">
        <v>0</v>
      </c>
      <c r="H95" s="622">
        <v>0</v>
      </c>
      <c r="I95" s="622">
        <v>0</v>
      </c>
      <c r="J95" s="622">
        <v>0</v>
      </c>
      <c r="K95" s="622">
        <v>0</v>
      </c>
      <c r="L95" s="622">
        <v>0</v>
      </c>
      <c r="M95" s="622">
        <v>0</v>
      </c>
      <c r="N95" s="622">
        <v>0</v>
      </c>
      <c r="O95" s="622">
        <v>0</v>
      </c>
      <c r="P95" s="621">
        <v>0</v>
      </c>
      <c r="Q95" s="622">
        <v>0</v>
      </c>
      <c r="R95" s="622">
        <v>0</v>
      </c>
    </row>
    <row r="96" spans="1:18" ht="12.75" customHeight="1" x14ac:dyDescent="0.25">
      <c r="C96" s="616" t="s">
        <v>73</v>
      </c>
      <c r="D96" s="618">
        <v>0</v>
      </c>
      <c r="E96" s="618">
        <v>0</v>
      </c>
      <c r="F96" s="618">
        <v>0</v>
      </c>
      <c r="G96" s="620">
        <v>0</v>
      </c>
      <c r="H96" s="618">
        <v>0</v>
      </c>
      <c r="I96" s="618">
        <v>0</v>
      </c>
      <c r="J96" s="618">
        <v>0</v>
      </c>
      <c r="K96" s="618">
        <v>0</v>
      </c>
      <c r="L96" s="618">
        <v>0</v>
      </c>
      <c r="M96" s="618">
        <v>0</v>
      </c>
      <c r="N96" s="618">
        <v>0</v>
      </c>
      <c r="O96" s="618">
        <v>0</v>
      </c>
      <c r="P96" s="616">
        <v>0</v>
      </c>
      <c r="Q96" s="618">
        <v>0</v>
      </c>
      <c r="R96" s="616">
        <v>0</v>
      </c>
    </row>
    <row r="97" spans="1:18" s="623" customFormat="1" ht="12.75" customHeight="1" x14ac:dyDescent="0.25">
      <c r="B97" s="623" t="s">
        <v>79</v>
      </c>
      <c r="C97" s="623" t="s">
        <v>70</v>
      </c>
      <c r="D97" s="636">
        <v>0</v>
      </c>
      <c r="E97" s="624">
        <v>0</v>
      </c>
      <c r="F97" s="624">
        <v>0</v>
      </c>
      <c r="G97" s="636">
        <v>0</v>
      </c>
      <c r="H97" s="624">
        <v>0</v>
      </c>
      <c r="I97" s="624">
        <v>0</v>
      </c>
      <c r="J97" s="624">
        <v>0</v>
      </c>
      <c r="K97" s="624">
        <v>0</v>
      </c>
      <c r="L97" s="624">
        <v>0</v>
      </c>
      <c r="M97" s="624">
        <v>0</v>
      </c>
      <c r="N97" s="624">
        <v>0</v>
      </c>
      <c r="O97" s="624">
        <v>0</v>
      </c>
      <c r="P97" s="623">
        <v>0</v>
      </c>
      <c r="Q97" s="624">
        <v>0</v>
      </c>
      <c r="R97" s="623">
        <v>0</v>
      </c>
    </row>
    <row r="98" spans="1:18" s="625" customFormat="1" ht="12.75" customHeight="1" x14ac:dyDescent="0.25">
      <c r="A98" s="625" t="s">
        <v>155</v>
      </c>
      <c r="B98" s="625" t="s">
        <v>70</v>
      </c>
      <c r="D98" s="626">
        <v>-20858585.449999999</v>
      </c>
      <c r="E98" s="626">
        <v>0</v>
      </c>
      <c r="F98" s="626">
        <v>0</v>
      </c>
      <c r="G98" s="627">
        <v>0</v>
      </c>
      <c r="H98" s="626">
        <v>0</v>
      </c>
      <c r="I98" s="626">
        <v>0</v>
      </c>
      <c r="J98" s="626">
        <v>0</v>
      </c>
      <c r="K98" s="626">
        <v>0</v>
      </c>
      <c r="L98" s="626">
        <v>0</v>
      </c>
      <c r="M98" s="626">
        <v>0</v>
      </c>
      <c r="N98" s="626">
        <v>0</v>
      </c>
      <c r="O98" s="626">
        <v>0</v>
      </c>
      <c r="P98" s="625">
        <v>0</v>
      </c>
      <c r="Q98" s="626">
        <v>0</v>
      </c>
      <c r="R98" s="625">
        <v>0</v>
      </c>
    </row>
    <row r="99" spans="1:18" ht="12.75" customHeight="1" x14ac:dyDescent="0.25">
      <c r="C99" s="616" t="s">
        <v>72</v>
      </c>
      <c r="D99" s="620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20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32" customFormat="1" ht="12.75" customHeight="1" x14ac:dyDescent="0.25">
      <c r="A104" s="632" t="s">
        <v>120</v>
      </c>
      <c r="B104" s="632" t="s">
        <v>70</v>
      </c>
      <c r="D104" s="632">
        <v>0</v>
      </c>
      <c r="E104" s="632">
        <v>0</v>
      </c>
      <c r="F104" s="632">
        <v>0</v>
      </c>
      <c r="G104" s="632">
        <v>0</v>
      </c>
      <c r="H104" s="632">
        <v>0</v>
      </c>
      <c r="I104" s="632">
        <v>0</v>
      </c>
      <c r="J104" s="632">
        <v>0</v>
      </c>
      <c r="K104" s="632">
        <v>0</v>
      </c>
      <c r="L104" s="632">
        <v>0</v>
      </c>
      <c r="M104" s="632">
        <v>0</v>
      </c>
      <c r="N104" s="632">
        <v>0</v>
      </c>
      <c r="O104" s="632">
        <v>0</v>
      </c>
      <c r="P104" s="632">
        <v>0</v>
      </c>
      <c r="Q104" s="632">
        <v>0</v>
      </c>
      <c r="R104" s="632">
        <v>0</v>
      </c>
    </row>
    <row r="105" spans="1:18" ht="12.6" customHeight="1" x14ac:dyDescent="0.25">
      <c r="C105" s="616" t="s">
        <v>72</v>
      </c>
      <c r="D105" s="618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28" customFormat="1" ht="12.75" customHeight="1" x14ac:dyDescent="0.25">
      <c r="A110" s="628" t="s">
        <v>119</v>
      </c>
      <c r="B110" s="628" t="s">
        <v>70</v>
      </c>
      <c r="D110" s="628">
        <v>-945063</v>
      </c>
      <c r="E110" s="628">
        <v>0</v>
      </c>
      <c r="F110" s="628">
        <v>0</v>
      </c>
      <c r="G110" s="628">
        <v>0</v>
      </c>
      <c r="H110" s="628">
        <v>0</v>
      </c>
      <c r="I110" s="628">
        <v>0</v>
      </c>
      <c r="J110" s="628">
        <v>0</v>
      </c>
      <c r="K110" s="628">
        <v>0</v>
      </c>
      <c r="L110" s="628">
        <v>0</v>
      </c>
      <c r="M110" s="628">
        <v>0</v>
      </c>
      <c r="N110" s="628">
        <v>0</v>
      </c>
      <c r="O110" s="628">
        <v>0</v>
      </c>
      <c r="P110" s="628">
        <v>0</v>
      </c>
      <c r="Q110" s="628">
        <v>0</v>
      </c>
      <c r="R110" s="628">
        <v>0</v>
      </c>
    </row>
    <row r="111" spans="1:18" s="631" customFormat="1" ht="12.75" customHeight="1" x14ac:dyDescent="0.25">
      <c r="A111" s="630" t="s">
        <v>70</v>
      </c>
      <c r="D111" s="630">
        <v>-21803648.449999999</v>
      </c>
      <c r="E111" s="630">
        <v>0</v>
      </c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1">
        <v>0</v>
      </c>
      <c r="Q111" s="630">
        <v>0</v>
      </c>
      <c r="R111" s="630">
        <v>0</v>
      </c>
    </row>
    <row r="112" spans="1:18" ht="12.75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8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8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8" ht="12.75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8" ht="12.75" customHeight="1" x14ac:dyDescent="0.25">
      <c r="A174" s="781" t="s">
        <v>2</v>
      </c>
      <c r="B174" s="780" t="s">
        <v>132</v>
      </c>
      <c r="C174" s="766" t="s">
        <v>70</v>
      </c>
      <c r="D174" s="766">
        <f>D111-P111</f>
        <v>-21803648.449999999</v>
      </c>
      <c r="E174" s="766">
        <f>E95+E101+E107</f>
        <v>0</v>
      </c>
      <c r="F174" s="766">
        <f t="shared" ref="F174:R174" si="3">F95+F101+F107</f>
        <v>0</v>
      </c>
      <c r="G174" s="766">
        <f t="shared" si="3"/>
        <v>0</v>
      </c>
      <c r="H174" s="766">
        <f t="shared" si="3"/>
        <v>0</v>
      </c>
      <c r="I174" s="766">
        <f t="shared" si="3"/>
        <v>0</v>
      </c>
      <c r="J174" s="766">
        <f t="shared" si="3"/>
        <v>0</v>
      </c>
      <c r="K174" s="766">
        <f t="shared" si="3"/>
        <v>0</v>
      </c>
      <c r="L174" s="766">
        <f t="shared" si="3"/>
        <v>0</v>
      </c>
      <c r="M174" s="766">
        <f t="shared" si="3"/>
        <v>0</v>
      </c>
      <c r="N174" s="766">
        <f t="shared" si="3"/>
        <v>0</v>
      </c>
      <c r="O174" s="766">
        <f t="shared" si="3"/>
        <v>0</v>
      </c>
      <c r="P174" s="766">
        <f t="shared" si="3"/>
        <v>0</v>
      </c>
      <c r="Q174" s="766">
        <f t="shared" si="3"/>
        <v>0</v>
      </c>
      <c r="R174" s="766">
        <f t="shared" si="3"/>
        <v>0</v>
      </c>
    </row>
    <row r="175" spans="1:18" ht="12.75" customHeight="1" x14ac:dyDescent="0.25">
      <c r="A175" s="781"/>
      <c r="B175" s="780"/>
      <c r="C175" s="766" t="s">
        <v>73</v>
      </c>
      <c r="D175" s="766">
        <f>D97+D103+D109</f>
        <v>0</v>
      </c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5">
      <c r="A176" s="617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</row>
    <row r="177" spans="1:18" ht="12.75" customHeight="1" x14ac:dyDescent="0.25">
      <c r="A177" s="781" t="s">
        <v>160</v>
      </c>
      <c r="B177" s="780" t="s">
        <v>132</v>
      </c>
      <c r="C177" s="632" t="s">
        <v>70</v>
      </c>
      <c r="D177" s="632">
        <f>D104-P104</f>
        <v>0</v>
      </c>
      <c r="E177" s="632">
        <f>E101</f>
        <v>0</v>
      </c>
      <c r="F177" s="632">
        <f t="shared" ref="F177:R177" si="4">F101</f>
        <v>0</v>
      </c>
      <c r="G177" s="632">
        <f t="shared" si="4"/>
        <v>0</v>
      </c>
      <c r="H177" s="632">
        <f t="shared" si="4"/>
        <v>0</v>
      </c>
      <c r="I177" s="632">
        <f t="shared" si="4"/>
        <v>0</v>
      </c>
      <c r="J177" s="632">
        <f t="shared" si="4"/>
        <v>0</v>
      </c>
      <c r="K177" s="632">
        <f t="shared" si="4"/>
        <v>0</v>
      </c>
      <c r="L177" s="632">
        <f t="shared" si="4"/>
        <v>0</v>
      </c>
      <c r="M177" s="632">
        <f t="shared" si="4"/>
        <v>0</v>
      </c>
      <c r="N177" s="632">
        <f t="shared" si="4"/>
        <v>0</v>
      </c>
      <c r="O177" s="632">
        <f t="shared" si="4"/>
        <v>0</v>
      </c>
      <c r="P177" s="632">
        <f t="shared" si="4"/>
        <v>0</v>
      </c>
      <c r="Q177" s="632">
        <f t="shared" si="4"/>
        <v>0</v>
      </c>
      <c r="R177" s="632">
        <f t="shared" si="4"/>
        <v>0</v>
      </c>
    </row>
    <row r="178" spans="1:18" ht="12.75" customHeight="1" x14ac:dyDescent="0.25">
      <c r="A178" s="781"/>
      <c r="B178" s="780"/>
      <c r="C178" s="632" t="s">
        <v>73</v>
      </c>
      <c r="D178" s="632">
        <f>D103</f>
        <v>0</v>
      </c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5">
      <c r="A179" s="617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</row>
    <row r="180" spans="1:18" ht="12.75" customHeight="1" x14ac:dyDescent="0.25">
      <c r="A180" s="781" t="s">
        <v>155</v>
      </c>
      <c r="B180" s="780" t="s">
        <v>132</v>
      </c>
      <c r="C180" s="633" t="s">
        <v>70</v>
      </c>
      <c r="D180" s="633">
        <f>D98-P98</f>
        <v>-20858585.449999999</v>
      </c>
      <c r="E180" s="633">
        <f>E95</f>
        <v>0</v>
      </c>
      <c r="F180" s="633">
        <f t="shared" ref="F180:R180" si="5">F95</f>
        <v>0</v>
      </c>
      <c r="G180" s="633">
        <f t="shared" si="5"/>
        <v>0</v>
      </c>
      <c r="H180" s="633">
        <f t="shared" si="5"/>
        <v>0</v>
      </c>
      <c r="I180" s="633">
        <f t="shared" si="5"/>
        <v>0</v>
      </c>
      <c r="J180" s="633">
        <f t="shared" si="5"/>
        <v>0</v>
      </c>
      <c r="K180" s="633">
        <f t="shared" si="5"/>
        <v>0</v>
      </c>
      <c r="L180" s="633">
        <f t="shared" si="5"/>
        <v>0</v>
      </c>
      <c r="M180" s="633">
        <f t="shared" si="5"/>
        <v>0</v>
      </c>
      <c r="N180" s="633">
        <f t="shared" si="5"/>
        <v>0</v>
      </c>
      <c r="O180" s="633">
        <f t="shared" si="5"/>
        <v>0</v>
      </c>
      <c r="P180" s="633">
        <f t="shared" si="5"/>
        <v>0</v>
      </c>
      <c r="Q180" s="633">
        <f t="shared" si="5"/>
        <v>0</v>
      </c>
      <c r="R180" s="633">
        <f t="shared" si="5"/>
        <v>0</v>
      </c>
    </row>
    <row r="181" spans="1:18" ht="12.75" customHeight="1" x14ac:dyDescent="0.25">
      <c r="A181" s="781"/>
      <c r="B181" s="780"/>
      <c r="C181" s="633" t="s">
        <v>73</v>
      </c>
      <c r="D181" s="633">
        <f>D97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722"/>
      <c r="B182" s="721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79" t="s">
        <v>326</v>
      </c>
      <c r="B183" s="780" t="s">
        <v>132</v>
      </c>
      <c r="C183" s="633" t="s">
        <v>70</v>
      </c>
      <c r="D183" s="720">
        <v>0</v>
      </c>
      <c r="E183" s="720">
        <v>0</v>
      </c>
      <c r="F183" s="720">
        <v>0</v>
      </c>
      <c r="G183" s="720">
        <v>0</v>
      </c>
      <c r="H183" s="720">
        <v>0</v>
      </c>
      <c r="I183" s="720">
        <v>0</v>
      </c>
      <c r="J183" s="720">
        <v>0</v>
      </c>
      <c r="K183" s="720">
        <v>0</v>
      </c>
      <c r="L183" s="720">
        <v>0</v>
      </c>
      <c r="M183" s="720">
        <v>0</v>
      </c>
      <c r="N183" s="720">
        <v>0</v>
      </c>
      <c r="O183" s="720">
        <v>0</v>
      </c>
      <c r="P183" s="720">
        <v>0</v>
      </c>
      <c r="Q183" s="720">
        <v>0</v>
      </c>
      <c r="R183" s="720">
        <v>0</v>
      </c>
    </row>
    <row r="184" spans="1:18" ht="12.75" customHeight="1" x14ac:dyDescent="0.25">
      <c r="A184" s="779"/>
      <c r="B184" s="780"/>
      <c r="C184" s="633" t="s">
        <v>73</v>
      </c>
      <c r="D184" s="720"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1" t="s">
        <v>119</v>
      </c>
      <c r="B186" s="780" t="s">
        <v>132</v>
      </c>
      <c r="C186" s="628" t="s">
        <v>70</v>
      </c>
      <c r="D186" s="628">
        <f>D110-P110</f>
        <v>-945063</v>
      </c>
      <c r="E186" s="628">
        <f>E107</f>
        <v>0</v>
      </c>
      <c r="F186" s="628">
        <f t="shared" ref="F186:R186" si="6">F107</f>
        <v>0</v>
      </c>
      <c r="G186" s="628">
        <f t="shared" si="6"/>
        <v>0</v>
      </c>
      <c r="H186" s="628">
        <f t="shared" si="6"/>
        <v>0</v>
      </c>
      <c r="I186" s="628">
        <f t="shared" si="6"/>
        <v>0</v>
      </c>
      <c r="J186" s="628">
        <f t="shared" si="6"/>
        <v>0</v>
      </c>
      <c r="K186" s="628">
        <f t="shared" si="6"/>
        <v>0</v>
      </c>
      <c r="L186" s="628">
        <f t="shared" si="6"/>
        <v>0</v>
      </c>
      <c r="M186" s="628">
        <f t="shared" si="6"/>
        <v>0</v>
      </c>
      <c r="N186" s="628">
        <f t="shared" si="6"/>
        <v>0</v>
      </c>
      <c r="O186" s="628">
        <f t="shared" si="6"/>
        <v>0</v>
      </c>
      <c r="P186" s="628">
        <f t="shared" si="6"/>
        <v>0</v>
      </c>
      <c r="Q186" s="628">
        <f t="shared" si="6"/>
        <v>0</v>
      </c>
      <c r="R186" s="628">
        <f t="shared" si="6"/>
        <v>0</v>
      </c>
    </row>
    <row r="187" spans="1:18" ht="12.75" customHeight="1" x14ac:dyDescent="0.25">
      <c r="A187" s="781"/>
      <c r="B187" s="780"/>
      <c r="C187" s="628" t="s">
        <v>73</v>
      </c>
      <c r="D187" s="628">
        <f>D109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</row>
    <row r="188" spans="1:18" ht="12.75" customHeight="1" x14ac:dyDescent="0.25">
      <c r="A188" s="617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</row>
    <row r="189" spans="1:18" ht="12.75" customHeight="1" x14ac:dyDescent="0.25">
      <c r="A189" s="782" t="s">
        <v>161</v>
      </c>
      <c r="B189" s="780" t="s">
        <v>132</v>
      </c>
      <c r="C189" s="634" t="s">
        <v>70</v>
      </c>
      <c r="D189" s="634">
        <v>0</v>
      </c>
      <c r="E189" s="634">
        <v>0</v>
      </c>
      <c r="F189" s="634">
        <v>0</v>
      </c>
      <c r="G189" s="634">
        <v>0</v>
      </c>
      <c r="H189" s="634">
        <v>0</v>
      </c>
      <c r="I189" s="634">
        <v>0</v>
      </c>
      <c r="J189" s="634">
        <v>0</v>
      </c>
      <c r="K189" s="634">
        <v>0</v>
      </c>
      <c r="L189" s="634">
        <v>0</v>
      </c>
      <c r="M189" s="634">
        <v>0</v>
      </c>
      <c r="N189" s="634">
        <v>0</v>
      </c>
      <c r="O189" s="634">
        <v>0</v>
      </c>
      <c r="P189" s="634">
        <v>0</v>
      </c>
      <c r="Q189" s="634">
        <v>0</v>
      </c>
      <c r="R189" s="634">
        <v>0</v>
      </c>
    </row>
    <row r="190" spans="1:18" ht="12.75" customHeight="1" x14ac:dyDescent="0.25">
      <c r="A190" s="782"/>
      <c r="B190" s="780"/>
      <c r="C190" s="634" t="s">
        <v>73</v>
      </c>
      <c r="D190" s="634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s="635" customFormat="1" x14ac:dyDescent="0.25"/>
    <row r="192" spans="1:18" x14ac:dyDescent="0.25">
      <c r="B192" s="617" t="s">
        <v>76</v>
      </c>
    </row>
    <row r="193" spans="1:18" x14ac:dyDescent="0.25">
      <c r="D193" s="618" t="s">
        <v>70</v>
      </c>
      <c r="E193" s="618" t="s">
        <v>64</v>
      </c>
      <c r="F193" s="618" t="s">
        <v>65</v>
      </c>
      <c r="G193" s="619" t="s">
        <v>164</v>
      </c>
      <c r="H193" s="618" t="s">
        <v>69</v>
      </c>
      <c r="I193" s="618" t="s">
        <v>68</v>
      </c>
      <c r="J193" s="618" t="s">
        <v>66</v>
      </c>
      <c r="K193" s="618" t="s">
        <v>63</v>
      </c>
      <c r="L193" s="618" t="s">
        <v>61</v>
      </c>
      <c r="M193" s="618" t="s">
        <v>62</v>
      </c>
      <c r="N193" s="618" t="s">
        <v>67</v>
      </c>
      <c r="O193" s="618" t="s">
        <v>77</v>
      </c>
      <c r="P193" s="616" t="s">
        <v>71</v>
      </c>
      <c r="Q193" s="618" t="s">
        <v>80</v>
      </c>
      <c r="R193" s="616" t="s">
        <v>168</v>
      </c>
    </row>
    <row r="194" spans="1:18" ht="12.75" customHeight="1" x14ac:dyDescent="0.25">
      <c r="B194" s="618"/>
      <c r="C194" s="618" t="s">
        <v>72</v>
      </c>
      <c r="D194" s="618">
        <v>0</v>
      </c>
      <c r="E194" s="618">
        <v>0</v>
      </c>
      <c r="F194" s="618">
        <v>0</v>
      </c>
      <c r="G194" s="618">
        <v>0</v>
      </c>
      <c r="H194" s="618">
        <v>0</v>
      </c>
      <c r="I194" s="618">
        <v>0</v>
      </c>
      <c r="J194" s="618">
        <v>0</v>
      </c>
      <c r="K194" s="618">
        <v>0</v>
      </c>
      <c r="L194" s="618">
        <v>0</v>
      </c>
      <c r="M194" s="618">
        <v>0</v>
      </c>
      <c r="N194" s="618">
        <v>0</v>
      </c>
      <c r="O194" s="618">
        <v>0</v>
      </c>
      <c r="P194" s="616">
        <v>0</v>
      </c>
      <c r="Q194" s="618">
        <v>0</v>
      </c>
      <c r="R194" s="618">
        <v>0</v>
      </c>
    </row>
    <row r="195" spans="1:18" ht="12.75" customHeight="1" x14ac:dyDescent="0.25">
      <c r="B195" s="618"/>
      <c r="C195" s="618" t="s">
        <v>81</v>
      </c>
      <c r="D195" s="618">
        <v>0</v>
      </c>
      <c r="E195" s="618">
        <v>0</v>
      </c>
      <c r="F195" s="618">
        <v>0</v>
      </c>
      <c r="G195" s="618">
        <v>0</v>
      </c>
      <c r="H195" s="618">
        <v>0</v>
      </c>
      <c r="I195" s="618">
        <v>0</v>
      </c>
      <c r="J195" s="618">
        <v>0</v>
      </c>
      <c r="K195" s="618">
        <v>0</v>
      </c>
      <c r="L195" s="618">
        <v>0</v>
      </c>
      <c r="M195" s="618">
        <v>0</v>
      </c>
      <c r="N195" s="618">
        <v>0</v>
      </c>
      <c r="O195" s="618">
        <v>0</v>
      </c>
      <c r="P195" s="616">
        <v>0</v>
      </c>
      <c r="Q195" s="618">
        <v>0</v>
      </c>
      <c r="R195" s="618">
        <v>0</v>
      </c>
    </row>
    <row r="196" spans="1:18" s="621" customFormat="1" ht="12.75" customHeight="1" x14ac:dyDescent="0.25">
      <c r="B196" s="622" t="s">
        <v>78</v>
      </c>
      <c r="C196" s="622" t="s">
        <v>70</v>
      </c>
      <c r="D196" s="622">
        <v>0</v>
      </c>
      <c r="E196" s="622">
        <v>0</v>
      </c>
      <c r="F196" s="622">
        <v>0</v>
      </c>
      <c r="G196" s="622">
        <v>0</v>
      </c>
      <c r="H196" s="622">
        <v>0</v>
      </c>
      <c r="I196" s="622">
        <v>0</v>
      </c>
      <c r="J196" s="622">
        <v>0</v>
      </c>
      <c r="K196" s="622">
        <v>0</v>
      </c>
      <c r="L196" s="622">
        <v>0</v>
      </c>
      <c r="M196" s="622">
        <v>0</v>
      </c>
      <c r="N196" s="622">
        <v>0</v>
      </c>
      <c r="O196" s="622">
        <v>0</v>
      </c>
      <c r="P196" s="621">
        <v>0</v>
      </c>
      <c r="Q196" s="622">
        <v>0</v>
      </c>
      <c r="R196" s="622">
        <v>0</v>
      </c>
    </row>
    <row r="197" spans="1:18" ht="12.75" customHeight="1" x14ac:dyDescent="0.25">
      <c r="B197" s="618"/>
      <c r="C197" s="618" t="s">
        <v>73</v>
      </c>
      <c r="D197" s="618">
        <v>0</v>
      </c>
      <c r="E197" s="618">
        <v>0</v>
      </c>
      <c r="F197" s="618">
        <v>0</v>
      </c>
      <c r="G197" s="618">
        <v>0</v>
      </c>
      <c r="H197" s="618">
        <v>0</v>
      </c>
      <c r="I197" s="618">
        <v>0</v>
      </c>
      <c r="J197" s="618">
        <v>0</v>
      </c>
      <c r="K197" s="618">
        <v>0</v>
      </c>
      <c r="L197" s="618">
        <v>0</v>
      </c>
      <c r="M197" s="618">
        <v>0</v>
      </c>
      <c r="N197" s="618">
        <v>0</v>
      </c>
      <c r="O197" s="618">
        <v>0</v>
      </c>
      <c r="P197" s="616">
        <v>0</v>
      </c>
      <c r="Q197" s="618">
        <v>0</v>
      </c>
      <c r="R197" s="618">
        <v>0</v>
      </c>
    </row>
    <row r="198" spans="1:18" s="623" customFormat="1" ht="12.75" customHeight="1" x14ac:dyDescent="0.25">
      <c r="B198" s="623" t="s">
        <v>79</v>
      </c>
      <c r="C198" s="623" t="s">
        <v>70</v>
      </c>
      <c r="D198" s="624">
        <v>0</v>
      </c>
      <c r="E198" s="624">
        <v>0</v>
      </c>
      <c r="F198" s="624">
        <v>0</v>
      </c>
      <c r="G198" s="636">
        <v>0</v>
      </c>
      <c r="H198" s="624">
        <v>0</v>
      </c>
      <c r="I198" s="624">
        <v>0</v>
      </c>
      <c r="J198" s="624">
        <v>0</v>
      </c>
      <c r="K198" s="624">
        <v>0</v>
      </c>
      <c r="L198" s="624">
        <v>0</v>
      </c>
      <c r="M198" s="624">
        <v>0</v>
      </c>
      <c r="N198" s="624">
        <v>0</v>
      </c>
      <c r="O198" s="624">
        <v>0</v>
      </c>
      <c r="P198" s="624">
        <v>0</v>
      </c>
      <c r="Q198" s="624">
        <v>0</v>
      </c>
      <c r="R198" s="623">
        <v>0</v>
      </c>
    </row>
    <row r="199" spans="1:18" s="637" customFormat="1" ht="12.75" customHeight="1" x14ac:dyDescent="0.25">
      <c r="A199" s="637" t="s">
        <v>155</v>
      </c>
      <c r="B199" s="633" t="s">
        <v>70</v>
      </c>
      <c r="C199" s="633"/>
      <c r="D199" s="633">
        <v>-2259272</v>
      </c>
      <c r="E199" s="633">
        <v>0</v>
      </c>
      <c r="F199" s="633">
        <v>0</v>
      </c>
      <c r="G199" s="633">
        <v>0</v>
      </c>
      <c r="H199" s="633">
        <v>0</v>
      </c>
      <c r="I199" s="633">
        <v>0</v>
      </c>
      <c r="J199" s="633">
        <v>0</v>
      </c>
      <c r="K199" s="633">
        <v>0</v>
      </c>
      <c r="L199" s="633">
        <v>0</v>
      </c>
      <c r="M199" s="633">
        <v>0</v>
      </c>
      <c r="N199" s="633">
        <v>0</v>
      </c>
      <c r="O199" s="633">
        <v>0</v>
      </c>
      <c r="P199" s="637">
        <v>0</v>
      </c>
      <c r="Q199" s="633">
        <v>0</v>
      </c>
      <c r="R199" s="633">
        <v>0</v>
      </c>
    </row>
    <row r="200" spans="1:18" ht="12.75" customHeight="1" x14ac:dyDescent="0.25">
      <c r="C200" s="616" t="s">
        <v>72</v>
      </c>
      <c r="D200" s="618">
        <v>0</v>
      </c>
      <c r="E200" s="618">
        <v>0</v>
      </c>
      <c r="F200" s="618">
        <v>0</v>
      </c>
      <c r="G200" s="620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8">
        <v>0</v>
      </c>
      <c r="Q200" s="618">
        <v>0</v>
      </c>
      <c r="R200" s="616">
        <v>0</v>
      </c>
    </row>
    <row r="201" spans="1:18" ht="12.6" customHeight="1" x14ac:dyDescent="0.25">
      <c r="C201" s="616" t="s">
        <v>81</v>
      </c>
      <c r="D201" s="618">
        <v>0</v>
      </c>
      <c r="E201" s="618">
        <v>0</v>
      </c>
      <c r="F201" s="618">
        <v>0</v>
      </c>
      <c r="G201" s="620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8">
        <v>0</v>
      </c>
      <c r="Q201" s="618">
        <v>0</v>
      </c>
      <c r="R201" s="616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C203" s="616" t="s">
        <v>73</v>
      </c>
      <c r="D203" s="618">
        <v>0</v>
      </c>
      <c r="E203" s="618">
        <v>0</v>
      </c>
      <c r="F203" s="618">
        <v>0</v>
      </c>
      <c r="G203" s="620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8">
        <v>0</v>
      </c>
      <c r="Q203" s="618">
        <v>0</v>
      </c>
      <c r="R203" s="616">
        <v>0</v>
      </c>
    </row>
    <row r="204" spans="1:18" s="623" customFormat="1" ht="12.75" customHeight="1" x14ac:dyDescent="0.25">
      <c r="B204" s="624" t="s">
        <v>79</v>
      </c>
      <c r="C204" s="624" t="s">
        <v>70</v>
      </c>
      <c r="D204" s="624">
        <v>0</v>
      </c>
      <c r="E204" s="624">
        <v>0</v>
      </c>
      <c r="F204" s="624">
        <v>0</v>
      </c>
      <c r="G204" s="624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3">
        <v>0</v>
      </c>
      <c r="Q204" s="624">
        <v>0</v>
      </c>
      <c r="R204" s="624">
        <v>0</v>
      </c>
    </row>
    <row r="205" spans="1:18" s="628" customFormat="1" ht="12.75" customHeight="1" x14ac:dyDescent="0.25">
      <c r="A205" s="628" t="s">
        <v>119</v>
      </c>
      <c r="B205" s="628" t="s">
        <v>70</v>
      </c>
      <c r="D205" s="628">
        <v>0</v>
      </c>
      <c r="E205" s="628">
        <v>0</v>
      </c>
      <c r="F205" s="628">
        <v>0</v>
      </c>
      <c r="G205" s="628">
        <v>0</v>
      </c>
      <c r="H205" s="628">
        <v>0</v>
      </c>
      <c r="I205" s="628">
        <v>0</v>
      </c>
      <c r="J205" s="628">
        <v>0</v>
      </c>
      <c r="K205" s="628">
        <v>0</v>
      </c>
      <c r="L205" s="628">
        <v>0</v>
      </c>
      <c r="M205" s="628">
        <v>0</v>
      </c>
      <c r="N205" s="628">
        <v>0</v>
      </c>
      <c r="O205" s="628">
        <v>0</v>
      </c>
      <c r="P205" s="628">
        <v>0</v>
      </c>
      <c r="Q205" s="628">
        <v>0</v>
      </c>
      <c r="R205" s="628">
        <v>0</v>
      </c>
    </row>
    <row r="206" spans="1:18" s="631" customFormat="1" ht="12.75" customHeight="1" x14ac:dyDescent="0.25">
      <c r="A206" s="630" t="s">
        <v>70</v>
      </c>
      <c r="D206" s="630">
        <v>-2259272</v>
      </c>
      <c r="E206" s="630">
        <v>0</v>
      </c>
      <c r="F206" s="630">
        <v>0</v>
      </c>
      <c r="G206" s="630">
        <v>0</v>
      </c>
      <c r="H206" s="630">
        <v>0</v>
      </c>
      <c r="I206" s="630">
        <v>0</v>
      </c>
      <c r="J206" s="630">
        <v>0</v>
      </c>
      <c r="K206" s="630">
        <v>0</v>
      </c>
      <c r="L206" s="630">
        <v>0</v>
      </c>
      <c r="M206" s="630">
        <v>0</v>
      </c>
      <c r="N206" s="630">
        <v>0</v>
      </c>
      <c r="O206" s="630">
        <v>0</v>
      </c>
      <c r="P206" s="631">
        <v>0</v>
      </c>
      <c r="Q206" s="631">
        <v>0</v>
      </c>
      <c r="R206" s="631">
        <v>0</v>
      </c>
    </row>
    <row r="207" spans="1:18" ht="12.75" customHeight="1" x14ac:dyDescent="0.25">
      <c r="A207" s="618"/>
      <c r="D207" s="618"/>
      <c r="E207" s="618"/>
      <c r="F207" s="618"/>
      <c r="G207" s="618"/>
      <c r="H207" s="618"/>
      <c r="I207" s="618"/>
      <c r="J207" s="618"/>
      <c r="K207" s="618"/>
      <c r="L207" s="618"/>
      <c r="M207" s="618"/>
      <c r="N207" s="618"/>
      <c r="O207" s="618"/>
    </row>
    <row r="208" spans="1:18" ht="12.75" customHeight="1" x14ac:dyDescent="0.25">
      <c r="A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</row>
    <row r="209" spans="1:18" ht="12.75" customHeight="1" x14ac:dyDescent="0.25">
      <c r="A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</row>
    <row r="210" spans="1:18" ht="12.75" customHeight="1" x14ac:dyDescent="0.25">
      <c r="A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</row>
    <row r="211" spans="1:18" ht="12.75" customHeight="1" x14ac:dyDescent="0.25">
      <c r="A211" s="781" t="s">
        <v>2</v>
      </c>
      <c r="B211" s="780" t="s">
        <v>132</v>
      </c>
      <c r="C211" s="766" t="s">
        <v>70</v>
      </c>
      <c r="D211" s="766">
        <f>D206-P206</f>
        <v>-2259272</v>
      </c>
      <c r="E211" s="766">
        <f>E196+E202</f>
        <v>0</v>
      </c>
      <c r="F211" s="766">
        <f t="shared" ref="F211:R211" si="7">F196+F202</f>
        <v>0</v>
      </c>
      <c r="G211" s="766">
        <f t="shared" si="7"/>
        <v>0</v>
      </c>
      <c r="H211" s="766">
        <f t="shared" si="7"/>
        <v>0</v>
      </c>
      <c r="I211" s="766">
        <f t="shared" si="7"/>
        <v>0</v>
      </c>
      <c r="J211" s="766">
        <f t="shared" si="7"/>
        <v>0</v>
      </c>
      <c r="K211" s="766">
        <f t="shared" si="7"/>
        <v>0</v>
      </c>
      <c r="L211" s="766">
        <f t="shared" si="7"/>
        <v>0</v>
      </c>
      <c r="M211" s="766">
        <f t="shared" si="7"/>
        <v>0</v>
      </c>
      <c r="N211" s="766">
        <f t="shared" si="7"/>
        <v>0</v>
      </c>
      <c r="O211" s="766">
        <f t="shared" si="7"/>
        <v>0</v>
      </c>
      <c r="P211" s="766">
        <f t="shared" si="7"/>
        <v>0</v>
      </c>
      <c r="Q211" s="766">
        <f t="shared" si="7"/>
        <v>0</v>
      </c>
      <c r="R211" s="766">
        <f t="shared" si="7"/>
        <v>0</v>
      </c>
    </row>
    <row r="212" spans="1:18" ht="12.75" customHeight="1" x14ac:dyDescent="0.25">
      <c r="A212" s="781"/>
      <c r="B212" s="780"/>
      <c r="C212" s="766" t="s">
        <v>73</v>
      </c>
      <c r="D212" s="766">
        <f>D198+D204</f>
        <v>0</v>
      </c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5">
      <c r="A213" s="617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8"/>
    </row>
    <row r="214" spans="1:18" ht="12.75" customHeight="1" x14ac:dyDescent="0.25">
      <c r="A214" s="781" t="s">
        <v>160</v>
      </c>
      <c r="B214" s="780" t="s">
        <v>132</v>
      </c>
      <c r="C214" s="632" t="s">
        <v>70</v>
      </c>
      <c r="D214" s="632">
        <v>0</v>
      </c>
      <c r="E214" s="632">
        <v>0</v>
      </c>
      <c r="F214" s="632">
        <v>0</v>
      </c>
      <c r="G214" s="632">
        <v>0</v>
      </c>
      <c r="H214" s="632">
        <v>0</v>
      </c>
      <c r="I214" s="632">
        <v>0</v>
      </c>
      <c r="J214" s="632">
        <v>0</v>
      </c>
      <c r="K214" s="632">
        <v>0</v>
      </c>
      <c r="L214" s="632">
        <v>0</v>
      </c>
      <c r="M214" s="632">
        <v>0</v>
      </c>
      <c r="N214" s="632">
        <v>0</v>
      </c>
      <c r="O214" s="632">
        <v>0</v>
      </c>
      <c r="P214" s="632">
        <v>0</v>
      </c>
      <c r="Q214" s="632">
        <v>0</v>
      </c>
      <c r="R214" s="632">
        <v>0</v>
      </c>
    </row>
    <row r="215" spans="1:18" ht="12.75" customHeight="1" x14ac:dyDescent="0.25">
      <c r="A215" s="781"/>
      <c r="B215" s="780"/>
      <c r="C215" s="632" t="s">
        <v>73</v>
      </c>
      <c r="D215" s="632">
        <v>0</v>
      </c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5">
      <c r="A216" s="617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</row>
    <row r="217" spans="1:18" ht="12.75" customHeight="1" x14ac:dyDescent="0.25">
      <c r="A217" s="781" t="s">
        <v>155</v>
      </c>
      <c r="B217" s="780" t="s">
        <v>132</v>
      </c>
      <c r="C217" s="633" t="s">
        <v>70</v>
      </c>
      <c r="D217" s="633">
        <f>D199-P199</f>
        <v>-2259272</v>
      </c>
      <c r="E217" s="633">
        <f>E196</f>
        <v>0</v>
      </c>
      <c r="F217" s="633">
        <f t="shared" ref="F217:R217" si="8">F196</f>
        <v>0</v>
      </c>
      <c r="G217" s="633">
        <f t="shared" si="8"/>
        <v>0</v>
      </c>
      <c r="H217" s="633">
        <f t="shared" si="8"/>
        <v>0</v>
      </c>
      <c r="I217" s="633">
        <f t="shared" si="8"/>
        <v>0</v>
      </c>
      <c r="J217" s="633">
        <f t="shared" si="8"/>
        <v>0</v>
      </c>
      <c r="K217" s="633">
        <f t="shared" si="8"/>
        <v>0</v>
      </c>
      <c r="L217" s="633">
        <f t="shared" si="8"/>
        <v>0</v>
      </c>
      <c r="M217" s="633">
        <f t="shared" si="8"/>
        <v>0</v>
      </c>
      <c r="N217" s="633">
        <f t="shared" si="8"/>
        <v>0</v>
      </c>
      <c r="O217" s="633">
        <f t="shared" si="8"/>
        <v>0</v>
      </c>
      <c r="P217" s="633">
        <f t="shared" si="8"/>
        <v>0</v>
      </c>
      <c r="Q217" s="633">
        <f t="shared" si="8"/>
        <v>0</v>
      </c>
      <c r="R217" s="633">
        <f t="shared" si="8"/>
        <v>0</v>
      </c>
    </row>
    <row r="218" spans="1:18" ht="12.75" customHeight="1" x14ac:dyDescent="0.25">
      <c r="A218" s="781"/>
      <c r="B218" s="780"/>
      <c r="C218" s="633" t="s">
        <v>73</v>
      </c>
      <c r="D218" s="633">
        <f>D198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722"/>
      <c r="B219" s="721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79" t="s">
        <v>326</v>
      </c>
      <c r="B220" s="780" t="s">
        <v>132</v>
      </c>
      <c r="C220" s="633" t="s">
        <v>70</v>
      </c>
      <c r="D220" s="720">
        <v>0</v>
      </c>
      <c r="E220" s="720">
        <v>0</v>
      </c>
      <c r="F220" s="720">
        <v>0</v>
      </c>
      <c r="G220" s="720">
        <v>0</v>
      </c>
      <c r="H220" s="720">
        <v>0</v>
      </c>
      <c r="I220" s="720">
        <v>0</v>
      </c>
      <c r="J220" s="720">
        <v>0</v>
      </c>
      <c r="K220" s="720">
        <v>0</v>
      </c>
      <c r="L220" s="720">
        <v>0</v>
      </c>
      <c r="M220" s="720">
        <v>0</v>
      </c>
      <c r="N220" s="720">
        <v>0</v>
      </c>
      <c r="O220" s="720">
        <v>0</v>
      </c>
      <c r="P220" s="720">
        <v>0</v>
      </c>
      <c r="Q220" s="720">
        <v>0</v>
      </c>
      <c r="R220" s="720">
        <v>0</v>
      </c>
    </row>
    <row r="221" spans="1:18" ht="12.75" customHeight="1" x14ac:dyDescent="0.25">
      <c r="A221" s="779"/>
      <c r="B221" s="780"/>
      <c r="C221" s="633" t="s">
        <v>73</v>
      </c>
      <c r="D221" s="720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1" t="s">
        <v>119</v>
      </c>
      <c r="B223" s="780" t="s">
        <v>132</v>
      </c>
      <c r="C223" s="628" t="s">
        <v>70</v>
      </c>
      <c r="D223" s="628">
        <f>D205-P205</f>
        <v>0</v>
      </c>
      <c r="E223" s="628">
        <f>E202</f>
        <v>0</v>
      </c>
      <c r="F223" s="628">
        <f t="shared" ref="F223:R223" si="9">F202</f>
        <v>0</v>
      </c>
      <c r="G223" s="628">
        <f t="shared" si="9"/>
        <v>0</v>
      </c>
      <c r="H223" s="628">
        <f t="shared" si="9"/>
        <v>0</v>
      </c>
      <c r="I223" s="628">
        <f t="shared" si="9"/>
        <v>0</v>
      </c>
      <c r="J223" s="628">
        <f t="shared" si="9"/>
        <v>0</v>
      </c>
      <c r="K223" s="628">
        <f t="shared" si="9"/>
        <v>0</v>
      </c>
      <c r="L223" s="628">
        <f t="shared" si="9"/>
        <v>0</v>
      </c>
      <c r="M223" s="628">
        <f t="shared" si="9"/>
        <v>0</v>
      </c>
      <c r="N223" s="628">
        <f t="shared" si="9"/>
        <v>0</v>
      </c>
      <c r="O223" s="628">
        <f t="shared" si="9"/>
        <v>0</v>
      </c>
      <c r="P223" s="628">
        <f t="shared" si="9"/>
        <v>0</v>
      </c>
      <c r="Q223" s="628">
        <f t="shared" si="9"/>
        <v>0</v>
      </c>
      <c r="R223" s="628">
        <f t="shared" si="9"/>
        <v>0</v>
      </c>
    </row>
    <row r="224" spans="1:18" ht="12.75" customHeight="1" x14ac:dyDescent="0.25">
      <c r="A224" s="781"/>
      <c r="B224" s="780"/>
      <c r="C224" s="628" t="s">
        <v>73</v>
      </c>
      <c r="D224" s="628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617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2" t="s">
        <v>161</v>
      </c>
      <c r="B226" s="780" t="s">
        <v>132</v>
      </c>
      <c r="C226" s="634" t="s">
        <v>70</v>
      </c>
      <c r="D226" s="634">
        <v>0</v>
      </c>
      <c r="E226" s="634">
        <v>0</v>
      </c>
      <c r="F226" s="634">
        <v>0</v>
      </c>
      <c r="G226" s="634">
        <v>0</v>
      </c>
      <c r="H226" s="634">
        <v>0</v>
      </c>
      <c r="I226" s="634">
        <v>0</v>
      </c>
      <c r="J226" s="634">
        <v>0</v>
      </c>
      <c r="K226" s="634">
        <v>0</v>
      </c>
      <c r="L226" s="634">
        <v>0</v>
      </c>
      <c r="M226" s="634">
        <v>0</v>
      </c>
      <c r="N226" s="634">
        <v>0</v>
      </c>
      <c r="O226" s="634">
        <v>0</v>
      </c>
      <c r="P226" s="634">
        <v>0</v>
      </c>
      <c r="Q226" s="634">
        <v>0</v>
      </c>
      <c r="R226" s="634">
        <v>0</v>
      </c>
    </row>
    <row r="227" spans="1:18" ht="12.75" customHeight="1" x14ac:dyDescent="0.25">
      <c r="A227" s="782"/>
      <c r="B227" s="780"/>
      <c r="C227" s="634" t="s">
        <v>73</v>
      </c>
      <c r="D227" s="634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s="635" customFormat="1" x14ac:dyDescent="0.25"/>
    <row r="229" spans="1:18" x14ac:dyDescent="0.25">
      <c r="B229" s="617" t="s">
        <v>88</v>
      </c>
    </row>
    <row r="230" spans="1:18" ht="12.75" customHeight="1" x14ac:dyDescent="0.25">
      <c r="D230" s="618" t="s">
        <v>70</v>
      </c>
      <c r="E230" s="618" t="s">
        <v>64</v>
      </c>
      <c r="F230" s="618" t="s">
        <v>65</v>
      </c>
      <c r="G230" s="619" t="s">
        <v>164</v>
      </c>
      <c r="H230" s="618" t="s">
        <v>69</v>
      </c>
      <c r="I230" s="618" t="s">
        <v>68</v>
      </c>
      <c r="J230" s="618" t="s">
        <v>66</v>
      </c>
      <c r="K230" s="618" t="s">
        <v>63</v>
      </c>
      <c r="L230" s="618" t="s">
        <v>61</v>
      </c>
      <c r="M230" s="618" t="s">
        <v>62</v>
      </c>
      <c r="N230" s="618" t="s">
        <v>67</v>
      </c>
      <c r="O230" s="618" t="s">
        <v>77</v>
      </c>
      <c r="P230" s="618" t="s">
        <v>71</v>
      </c>
      <c r="Q230" s="618" t="s">
        <v>80</v>
      </c>
      <c r="R230" s="616" t="s">
        <v>168</v>
      </c>
    </row>
    <row r="231" spans="1:18" ht="12.75" customHeight="1" x14ac:dyDescent="0.25">
      <c r="C231" s="616" t="s">
        <v>72</v>
      </c>
      <c r="D231" s="620">
        <v>0</v>
      </c>
      <c r="E231" s="618">
        <v>0</v>
      </c>
      <c r="F231" s="618">
        <v>0</v>
      </c>
      <c r="G231" s="620">
        <v>0</v>
      </c>
      <c r="H231" s="618">
        <v>0</v>
      </c>
      <c r="I231" s="618">
        <v>0</v>
      </c>
      <c r="J231" s="618">
        <v>0</v>
      </c>
      <c r="K231" s="618">
        <v>0</v>
      </c>
      <c r="L231" s="618">
        <v>0</v>
      </c>
      <c r="M231" s="618">
        <v>0</v>
      </c>
      <c r="N231" s="618">
        <v>0</v>
      </c>
      <c r="O231" s="618">
        <v>0</v>
      </c>
      <c r="P231" s="618">
        <v>0</v>
      </c>
      <c r="Q231" s="618">
        <v>0</v>
      </c>
      <c r="R231" s="616">
        <v>0</v>
      </c>
    </row>
    <row r="232" spans="1:18" ht="12.75" customHeight="1" x14ac:dyDescent="0.25">
      <c r="C232" s="616" t="s">
        <v>81</v>
      </c>
      <c r="D232" s="620">
        <v>0</v>
      </c>
      <c r="E232" s="618">
        <v>0</v>
      </c>
      <c r="F232" s="618">
        <v>0</v>
      </c>
      <c r="G232" s="620">
        <v>0</v>
      </c>
      <c r="H232" s="618">
        <v>0</v>
      </c>
      <c r="I232" s="618">
        <v>0</v>
      </c>
      <c r="J232" s="618">
        <v>0</v>
      </c>
      <c r="K232" s="618">
        <v>0</v>
      </c>
      <c r="L232" s="618">
        <v>0</v>
      </c>
      <c r="M232" s="618">
        <v>0</v>
      </c>
      <c r="N232" s="618">
        <v>0</v>
      </c>
      <c r="O232" s="618">
        <v>0</v>
      </c>
      <c r="P232" s="618">
        <v>0</v>
      </c>
      <c r="Q232" s="618">
        <v>0</v>
      </c>
      <c r="R232" s="616">
        <v>0</v>
      </c>
    </row>
    <row r="233" spans="1:18" s="621" customFormat="1" ht="12.75" customHeight="1" x14ac:dyDescent="0.25">
      <c r="B233" s="622" t="s">
        <v>78</v>
      </c>
      <c r="C233" s="622" t="s">
        <v>70</v>
      </c>
      <c r="D233" s="622">
        <v>0</v>
      </c>
      <c r="E233" s="622">
        <v>0</v>
      </c>
      <c r="F233" s="622">
        <v>0</v>
      </c>
      <c r="G233" s="622">
        <v>0</v>
      </c>
      <c r="H233" s="622">
        <v>0</v>
      </c>
      <c r="I233" s="622">
        <v>0</v>
      </c>
      <c r="J233" s="622">
        <v>0</v>
      </c>
      <c r="K233" s="622">
        <v>0</v>
      </c>
      <c r="L233" s="622">
        <v>0</v>
      </c>
      <c r="M233" s="622">
        <v>0</v>
      </c>
      <c r="N233" s="622">
        <v>0</v>
      </c>
      <c r="O233" s="622">
        <v>0</v>
      </c>
      <c r="P233" s="621">
        <v>0</v>
      </c>
      <c r="Q233" s="622">
        <v>0</v>
      </c>
      <c r="R233" s="622">
        <v>0</v>
      </c>
    </row>
    <row r="234" spans="1:18" ht="12.75" customHeight="1" x14ac:dyDescent="0.25">
      <c r="C234" s="616" t="s">
        <v>73</v>
      </c>
      <c r="D234" s="620">
        <v>0</v>
      </c>
      <c r="E234" s="618">
        <v>0</v>
      </c>
      <c r="F234" s="618">
        <v>0</v>
      </c>
      <c r="G234" s="620">
        <v>0</v>
      </c>
      <c r="H234" s="618">
        <v>0</v>
      </c>
      <c r="I234" s="618">
        <v>0</v>
      </c>
      <c r="J234" s="618">
        <v>0</v>
      </c>
      <c r="K234" s="618">
        <v>0</v>
      </c>
      <c r="L234" s="618">
        <v>0</v>
      </c>
      <c r="M234" s="618">
        <v>0</v>
      </c>
      <c r="N234" s="618">
        <v>0</v>
      </c>
      <c r="O234" s="618">
        <v>0</v>
      </c>
      <c r="P234" s="618">
        <v>0</v>
      </c>
      <c r="Q234" s="618">
        <v>0</v>
      </c>
      <c r="R234" s="616">
        <v>0</v>
      </c>
    </row>
    <row r="235" spans="1:18" s="623" customFormat="1" ht="12.75" customHeight="1" x14ac:dyDescent="0.25">
      <c r="B235" s="624" t="s">
        <v>79</v>
      </c>
      <c r="C235" s="624" t="s">
        <v>70</v>
      </c>
      <c r="D235" s="624">
        <v>0</v>
      </c>
      <c r="E235" s="624">
        <v>0</v>
      </c>
      <c r="F235" s="624">
        <v>0</v>
      </c>
      <c r="G235" s="624">
        <v>0</v>
      </c>
      <c r="H235" s="624">
        <v>0</v>
      </c>
      <c r="I235" s="624">
        <v>0</v>
      </c>
      <c r="J235" s="624">
        <v>0</v>
      </c>
      <c r="K235" s="624">
        <v>0</v>
      </c>
      <c r="L235" s="624">
        <v>0</v>
      </c>
      <c r="M235" s="624">
        <v>0</v>
      </c>
      <c r="N235" s="624">
        <v>0</v>
      </c>
      <c r="O235" s="624">
        <v>0</v>
      </c>
      <c r="P235" s="623">
        <v>0</v>
      </c>
      <c r="Q235" s="624">
        <v>0</v>
      </c>
      <c r="R235" s="624">
        <v>0</v>
      </c>
    </row>
    <row r="236" spans="1:18" s="755" customFormat="1" ht="12.75" customHeight="1" x14ac:dyDescent="0.25">
      <c r="A236" s="755" t="s">
        <v>155</v>
      </c>
      <c r="B236" s="755" t="s">
        <v>70</v>
      </c>
      <c r="D236" s="756">
        <v>-39633253.399999999</v>
      </c>
      <c r="E236" s="757">
        <v>0</v>
      </c>
      <c r="F236" s="757">
        <v>0</v>
      </c>
      <c r="G236" s="756">
        <v>0</v>
      </c>
      <c r="H236" s="757">
        <v>0</v>
      </c>
      <c r="I236" s="757">
        <v>0</v>
      </c>
      <c r="J236" s="757">
        <v>0</v>
      </c>
      <c r="K236" s="757">
        <v>0</v>
      </c>
      <c r="L236" s="757">
        <v>0</v>
      </c>
      <c r="M236" s="757">
        <v>0</v>
      </c>
      <c r="N236" s="757">
        <v>0</v>
      </c>
      <c r="O236" s="757">
        <v>0</v>
      </c>
      <c r="P236" s="757">
        <v>0</v>
      </c>
      <c r="Q236" s="757">
        <v>0</v>
      </c>
      <c r="R236" s="755">
        <v>0</v>
      </c>
    </row>
    <row r="237" spans="1:18" ht="12.75" customHeight="1" x14ac:dyDescent="0.25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63" customFormat="1" ht="12.75" customHeight="1" x14ac:dyDescent="0.25">
      <c r="A242" s="763" t="s">
        <v>120</v>
      </c>
      <c r="B242" s="763" t="s">
        <v>70</v>
      </c>
      <c r="D242" s="765">
        <v>-554080</v>
      </c>
      <c r="E242" s="764">
        <v>0</v>
      </c>
      <c r="F242" s="764">
        <v>0</v>
      </c>
      <c r="G242" s="765">
        <v>0</v>
      </c>
      <c r="H242" s="764">
        <v>0</v>
      </c>
      <c r="I242" s="764">
        <v>0</v>
      </c>
      <c r="J242" s="764">
        <v>0</v>
      </c>
      <c r="K242" s="764">
        <v>0</v>
      </c>
      <c r="L242" s="764">
        <v>0</v>
      </c>
      <c r="M242" s="764">
        <v>0</v>
      </c>
      <c r="N242" s="764">
        <v>0</v>
      </c>
      <c r="O242" s="764">
        <v>0</v>
      </c>
      <c r="P242" s="764">
        <v>0</v>
      </c>
      <c r="Q242" s="764">
        <v>0</v>
      </c>
      <c r="R242" s="763">
        <v>0</v>
      </c>
    </row>
    <row r="243" spans="1:18" ht="12.75" customHeight="1" x14ac:dyDescent="0.25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18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54" customFormat="1" ht="12.75" customHeight="1" x14ac:dyDescent="0.25">
      <c r="A248" s="754" t="s">
        <v>119</v>
      </c>
      <c r="B248" s="628" t="s">
        <v>70</v>
      </c>
      <c r="C248" s="628"/>
      <c r="D248" s="628">
        <v>-1371252</v>
      </c>
      <c r="E248" s="628">
        <v>0</v>
      </c>
      <c r="F248" s="628">
        <v>0</v>
      </c>
      <c r="G248" s="628">
        <v>0</v>
      </c>
      <c r="H248" s="628">
        <v>0</v>
      </c>
      <c r="I248" s="628">
        <v>0</v>
      </c>
      <c r="J248" s="628">
        <v>0</v>
      </c>
      <c r="K248" s="628">
        <v>0</v>
      </c>
      <c r="L248" s="628">
        <v>0</v>
      </c>
      <c r="M248" s="628">
        <v>0</v>
      </c>
      <c r="N248" s="628">
        <v>0</v>
      </c>
      <c r="O248" s="628">
        <v>0</v>
      </c>
      <c r="P248" s="754">
        <v>0</v>
      </c>
      <c r="Q248" s="628">
        <v>0</v>
      </c>
      <c r="R248" s="628">
        <v>0</v>
      </c>
    </row>
    <row r="249" spans="1:18" s="631" customFormat="1" ht="12.75" customHeight="1" x14ac:dyDescent="0.25">
      <c r="A249" s="630" t="s">
        <v>70</v>
      </c>
      <c r="D249" s="630">
        <v>-41558585.399999999</v>
      </c>
      <c r="E249" s="630">
        <v>0</v>
      </c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1">
        <v>0</v>
      </c>
      <c r="Q249" s="631">
        <v>0</v>
      </c>
      <c r="R249" s="631">
        <v>0</v>
      </c>
    </row>
    <row r="250" spans="1:18" ht="12.75" customHeight="1" x14ac:dyDescent="0.25">
      <c r="A250" s="618"/>
      <c r="B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8" ht="12.75" customHeight="1" x14ac:dyDescent="0.25">
      <c r="A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8" ht="12.75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8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8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8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8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customHeight="1" x14ac:dyDescent="0.25">
      <c r="A326" s="781" t="s">
        <v>2</v>
      </c>
      <c r="B326" s="780" t="s">
        <v>132</v>
      </c>
      <c r="C326" s="766" t="s">
        <v>70</v>
      </c>
      <c r="D326" s="766">
        <f>D249-P249</f>
        <v>-41558585.399999999</v>
      </c>
      <c r="E326" s="766">
        <f>E245+E239+E233</f>
        <v>0</v>
      </c>
      <c r="F326" s="766">
        <f t="shared" ref="F326:R326" si="10">F245+F239+F233</f>
        <v>0</v>
      </c>
      <c r="G326" s="766">
        <f t="shared" si="10"/>
        <v>0</v>
      </c>
      <c r="H326" s="766">
        <f t="shared" si="10"/>
        <v>0</v>
      </c>
      <c r="I326" s="766">
        <f t="shared" si="10"/>
        <v>0</v>
      </c>
      <c r="J326" s="766">
        <f t="shared" si="10"/>
        <v>0</v>
      </c>
      <c r="K326" s="766">
        <f t="shared" si="10"/>
        <v>0</v>
      </c>
      <c r="L326" s="766">
        <f t="shared" si="10"/>
        <v>0</v>
      </c>
      <c r="M326" s="766">
        <f t="shared" si="10"/>
        <v>0</v>
      </c>
      <c r="N326" s="766">
        <f t="shared" si="10"/>
        <v>0</v>
      </c>
      <c r="O326" s="766">
        <f t="shared" si="10"/>
        <v>0</v>
      </c>
      <c r="P326" s="766">
        <f t="shared" si="10"/>
        <v>0</v>
      </c>
      <c r="Q326" s="766">
        <f t="shared" si="10"/>
        <v>0</v>
      </c>
      <c r="R326" s="766">
        <f t="shared" si="10"/>
        <v>0</v>
      </c>
    </row>
    <row r="327" spans="1:18" ht="12.75" customHeight="1" x14ac:dyDescent="0.25">
      <c r="A327" s="781"/>
      <c r="B327" s="780"/>
      <c r="C327" s="766" t="s">
        <v>73</v>
      </c>
      <c r="D327" s="766">
        <f>D247+D241+D235</f>
        <v>0</v>
      </c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5">
      <c r="A328" s="617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  <c r="P328" s="618"/>
      <c r="Q328" s="618"/>
      <c r="R328" s="618"/>
    </row>
    <row r="329" spans="1:18" ht="12.75" customHeight="1" x14ac:dyDescent="0.25">
      <c r="A329" s="781" t="s">
        <v>160</v>
      </c>
      <c r="B329" s="780" t="s">
        <v>132</v>
      </c>
      <c r="C329" s="632" t="s">
        <v>70</v>
      </c>
      <c r="D329" s="632">
        <f>D242-P242</f>
        <v>-554080</v>
      </c>
      <c r="E329" s="632">
        <f>E239</f>
        <v>0</v>
      </c>
      <c r="F329" s="632">
        <f t="shared" ref="F329:R329" si="11">F239</f>
        <v>0</v>
      </c>
      <c r="G329" s="632">
        <f t="shared" si="11"/>
        <v>0</v>
      </c>
      <c r="H329" s="632">
        <f t="shared" si="11"/>
        <v>0</v>
      </c>
      <c r="I329" s="632">
        <f t="shared" si="11"/>
        <v>0</v>
      </c>
      <c r="J329" s="632">
        <f t="shared" si="11"/>
        <v>0</v>
      </c>
      <c r="K329" s="632">
        <f t="shared" si="11"/>
        <v>0</v>
      </c>
      <c r="L329" s="632">
        <f t="shared" si="11"/>
        <v>0</v>
      </c>
      <c r="M329" s="632">
        <f t="shared" si="11"/>
        <v>0</v>
      </c>
      <c r="N329" s="632">
        <f t="shared" si="11"/>
        <v>0</v>
      </c>
      <c r="O329" s="632">
        <f t="shared" si="11"/>
        <v>0</v>
      </c>
      <c r="P329" s="632">
        <f t="shared" si="11"/>
        <v>0</v>
      </c>
      <c r="Q329" s="632">
        <f t="shared" si="11"/>
        <v>0</v>
      </c>
      <c r="R329" s="632">
        <f t="shared" si="11"/>
        <v>0</v>
      </c>
    </row>
    <row r="330" spans="1:18" ht="12.75" customHeight="1" x14ac:dyDescent="0.25">
      <c r="A330" s="781"/>
      <c r="B330" s="780"/>
      <c r="C330" s="632" t="s">
        <v>73</v>
      </c>
      <c r="D330" s="714">
        <f>D241</f>
        <v>0</v>
      </c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5">
      <c r="A331" s="617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</row>
    <row r="332" spans="1:18" ht="12.75" customHeight="1" x14ac:dyDescent="0.25">
      <c r="A332" s="781" t="s">
        <v>155</v>
      </c>
      <c r="B332" s="780" t="s">
        <v>132</v>
      </c>
      <c r="C332" s="633" t="s">
        <v>70</v>
      </c>
      <c r="D332" s="633">
        <f>D236-P236</f>
        <v>-39633253.399999999</v>
      </c>
      <c r="E332" s="633">
        <f>E233</f>
        <v>0</v>
      </c>
      <c r="F332" s="633">
        <f t="shared" ref="F332:R332" si="12">F233</f>
        <v>0</v>
      </c>
      <c r="G332" s="633">
        <f t="shared" si="12"/>
        <v>0</v>
      </c>
      <c r="H332" s="633">
        <f t="shared" si="12"/>
        <v>0</v>
      </c>
      <c r="I332" s="633">
        <f t="shared" si="12"/>
        <v>0</v>
      </c>
      <c r="J332" s="633">
        <f t="shared" si="12"/>
        <v>0</v>
      </c>
      <c r="K332" s="633">
        <f t="shared" si="12"/>
        <v>0</v>
      </c>
      <c r="L332" s="633">
        <f t="shared" si="12"/>
        <v>0</v>
      </c>
      <c r="M332" s="633">
        <f t="shared" si="12"/>
        <v>0</v>
      </c>
      <c r="N332" s="633">
        <f t="shared" si="12"/>
        <v>0</v>
      </c>
      <c r="O332" s="633">
        <f t="shared" si="12"/>
        <v>0</v>
      </c>
      <c r="P332" s="633">
        <f t="shared" si="12"/>
        <v>0</v>
      </c>
      <c r="Q332" s="633">
        <f t="shared" si="12"/>
        <v>0</v>
      </c>
      <c r="R332" s="633">
        <f t="shared" si="12"/>
        <v>0</v>
      </c>
    </row>
    <row r="333" spans="1:18" ht="12.75" customHeight="1" x14ac:dyDescent="0.25">
      <c r="A333" s="781"/>
      <c r="B333" s="780"/>
      <c r="C333" s="633" t="s">
        <v>73</v>
      </c>
      <c r="D333" s="633">
        <f>D235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722"/>
      <c r="B334" s="721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79" t="s">
        <v>326</v>
      </c>
      <c r="B335" s="780" t="s">
        <v>132</v>
      </c>
      <c r="C335" s="633" t="s">
        <v>70</v>
      </c>
      <c r="D335" s="720">
        <v>0</v>
      </c>
      <c r="E335" s="720">
        <v>0</v>
      </c>
      <c r="F335" s="720">
        <v>0</v>
      </c>
      <c r="G335" s="720">
        <v>0</v>
      </c>
      <c r="H335" s="720">
        <v>0</v>
      </c>
      <c r="I335" s="720">
        <v>0</v>
      </c>
      <c r="J335" s="720">
        <v>0</v>
      </c>
      <c r="K335" s="720">
        <v>0</v>
      </c>
      <c r="L335" s="720">
        <v>0</v>
      </c>
      <c r="M335" s="720">
        <v>0</v>
      </c>
      <c r="N335" s="720">
        <v>0</v>
      </c>
      <c r="O335" s="720">
        <v>0</v>
      </c>
      <c r="P335" s="720">
        <v>0</v>
      </c>
      <c r="Q335" s="720">
        <v>0</v>
      </c>
      <c r="R335" s="720">
        <v>0</v>
      </c>
    </row>
    <row r="336" spans="1:18" ht="12.75" customHeight="1" x14ac:dyDescent="0.25">
      <c r="A336" s="779"/>
      <c r="B336" s="780"/>
      <c r="C336" s="633" t="s">
        <v>73</v>
      </c>
      <c r="D336" s="720"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1" t="s">
        <v>119</v>
      </c>
      <c r="B338" s="780" t="s">
        <v>132</v>
      </c>
      <c r="C338" s="628" t="s">
        <v>70</v>
      </c>
      <c r="D338" s="628">
        <f>D248-P248</f>
        <v>-1371252</v>
      </c>
      <c r="E338" s="628">
        <f>E245</f>
        <v>0</v>
      </c>
      <c r="F338" s="628">
        <f t="shared" ref="F338:R338" si="13">F245</f>
        <v>0</v>
      </c>
      <c r="G338" s="628">
        <f t="shared" si="13"/>
        <v>0</v>
      </c>
      <c r="H338" s="628">
        <f t="shared" si="13"/>
        <v>0</v>
      </c>
      <c r="I338" s="628">
        <f t="shared" si="13"/>
        <v>0</v>
      </c>
      <c r="J338" s="628">
        <f t="shared" si="13"/>
        <v>0</v>
      </c>
      <c r="K338" s="628">
        <f t="shared" si="13"/>
        <v>0</v>
      </c>
      <c r="L338" s="628">
        <f t="shared" si="13"/>
        <v>0</v>
      </c>
      <c r="M338" s="628">
        <f t="shared" si="13"/>
        <v>0</v>
      </c>
      <c r="N338" s="628">
        <f t="shared" si="13"/>
        <v>0</v>
      </c>
      <c r="O338" s="628">
        <f t="shared" si="13"/>
        <v>0</v>
      </c>
      <c r="P338" s="628">
        <f t="shared" si="13"/>
        <v>0</v>
      </c>
      <c r="Q338" s="628">
        <f t="shared" si="13"/>
        <v>0</v>
      </c>
      <c r="R338" s="628">
        <f t="shared" si="13"/>
        <v>0</v>
      </c>
    </row>
    <row r="339" spans="1:18" ht="12.75" customHeight="1" x14ac:dyDescent="0.25">
      <c r="A339" s="781"/>
      <c r="B339" s="780"/>
      <c r="C339" s="628" t="s">
        <v>73</v>
      </c>
      <c r="D339" s="628">
        <f>D247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2" t="s">
        <v>161</v>
      </c>
      <c r="B341" s="780" t="s">
        <v>132</v>
      </c>
      <c r="C341" s="634" t="s">
        <v>70</v>
      </c>
      <c r="D341" s="634">
        <v>0</v>
      </c>
      <c r="E341" s="634">
        <v>0</v>
      </c>
      <c r="F341" s="634">
        <v>0</v>
      </c>
      <c r="G341" s="634">
        <v>0</v>
      </c>
      <c r="H341" s="634">
        <v>0</v>
      </c>
      <c r="I341" s="634">
        <v>0</v>
      </c>
      <c r="J341" s="634">
        <v>0</v>
      </c>
      <c r="K341" s="634">
        <v>0</v>
      </c>
      <c r="L341" s="634">
        <v>0</v>
      </c>
      <c r="M341" s="634">
        <v>0</v>
      </c>
      <c r="N341" s="634">
        <v>0</v>
      </c>
      <c r="O341" s="634">
        <v>0</v>
      </c>
      <c r="P341" s="634">
        <v>0</v>
      </c>
      <c r="Q341" s="634">
        <v>0</v>
      </c>
      <c r="R341" s="634">
        <v>0</v>
      </c>
    </row>
    <row r="342" spans="1:18" ht="12.75" customHeight="1" x14ac:dyDescent="0.25">
      <c r="A342" s="782"/>
      <c r="B342" s="780"/>
      <c r="C342" s="634" t="s">
        <v>73</v>
      </c>
      <c r="D342" s="634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s="635" customFormat="1" x14ac:dyDescent="0.25"/>
    <row r="344" spans="1:18" x14ac:dyDescent="0.25">
      <c r="B344" s="617" t="s">
        <v>93</v>
      </c>
    </row>
    <row r="345" spans="1:18" ht="12.75" customHeight="1" x14ac:dyDescent="0.25">
      <c r="D345" s="618" t="s">
        <v>70</v>
      </c>
      <c r="E345" s="618" t="s">
        <v>64</v>
      </c>
      <c r="F345" s="618" t="s">
        <v>65</v>
      </c>
      <c r="G345" s="619" t="s">
        <v>164</v>
      </c>
      <c r="H345" s="618" t="s">
        <v>69</v>
      </c>
      <c r="I345" s="618" t="s">
        <v>68</v>
      </c>
      <c r="J345" s="618" t="s">
        <v>66</v>
      </c>
      <c r="K345" s="618" t="s">
        <v>63</v>
      </c>
      <c r="L345" s="618" t="s">
        <v>61</v>
      </c>
      <c r="M345" s="618" t="s">
        <v>62</v>
      </c>
      <c r="N345" s="618" t="s">
        <v>67</v>
      </c>
      <c r="O345" s="618" t="s">
        <v>77</v>
      </c>
      <c r="P345" s="616" t="s">
        <v>71</v>
      </c>
      <c r="Q345" s="618" t="s">
        <v>80</v>
      </c>
      <c r="R345" s="616" t="s">
        <v>168</v>
      </c>
    </row>
    <row r="346" spans="1:18" ht="12" customHeight="1" x14ac:dyDescent="0.25">
      <c r="C346" s="618" t="s">
        <v>72</v>
      </c>
      <c r="D346" s="618">
        <v>0</v>
      </c>
      <c r="E346" s="618">
        <v>0</v>
      </c>
      <c r="F346" s="618">
        <v>0</v>
      </c>
      <c r="G346" s="618">
        <v>0</v>
      </c>
      <c r="H346" s="618">
        <v>0</v>
      </c>
      <c r="I346" s="618">
        <v>0</v>
      </c>
      <c r="J346" s="618">
        <v>0</v>
      </c>
      <c r="K346" s="618">
        <v>0</v>
      </c>
      <c r="L346" s="618">
        <v>0</v>
      </c>
      <c r="M346" s="618">
        <v>0</v>
      </c>
      <c r="N346" s="618">
        <v>0</v>
      </c>
      <c r="O346" s="618">
        <v>0</v>
      </c>
      <c r="P346" s="616">
        <v>0</v>
      </c>
      <c r="Q346" s="618">
        <v>0</v>
      </c>
      <c r="R346" s="616">
        <v>0</v>
      </c>
    </row>
    <row r="347" spans="1:18" ht="12" customHeight="1" x14ac:dyDescent="0.25">
      <c r="C347" s="618" t="s">
        <v>81</v>
      </c>
      <c r="D347" s="618">
        <v>0</v>
      </c>
      <c r="E347" s="618">
        <v>0</v>
      </c>
      <c r="F347" s="618">
        <v>0</v>
      </c>
      <c r="G347" s="618">
        <v>0</v>
      </c>
      <c r="H347" s="618">
        <v>0</v>
      </c>
      <c r="I347" s="618">
        <v>0</v>
      </c>
      <c r="J347" s="618">
        <v>0</v>
      </c>
      <c r="K347" s="618">
        <v>0</v>
      </c>
      <c r="L347" s="618">
        <v>0</v>
      </c>
      <c r="M347" s="618">
        <v>0</v>
      </c>
      <c r="N347" s="618">
        <v>0</v>
      </c>
      <c r="O347" s="618">
        <v>0</v>
      </c>
      <c r="P347" s="616">
        <v>0</v>
      </c>
      <c r="Q347" s="618">
        <v>0</v>
      </c>
      <c r="R347" s="616">
        <v>0</v>
      </c>
    </row>
    <row r="348" spans="1:18" s="621" customFormat="1" ht="12.75" customHeight="1" x14ac:dyDescent="0.25">
      <c r="A348" s="622"/>
      <c r="B348" s="621" t="s">
        <v>78</v>
      </c>
      <c r="C348" s="621" t="s">
        <v>70</v>
      </c>
      <c r="D348" s="622">
        <v>0</v>
      </c>
      <c r="E348" s="622">
        <v>0</v>
      </c>
      <c r="F348" s="622">
        <v>0</v>
      </c>
      <c r="G348" s="622">
        <v>0</v>
      </c>
      <c r="H348" s="622">
        <v>0</v>
      </c>
      <c r="I348" s="622">
        <v>0</v>
      </c>
      <c r="J348" s="622">
        <v>0</v>
      </c>
      <c r="K348" s="622">
        <v>0</v>
      </c>
      <c r="L348" s="622">
        <v>0</v>
      </c>
      <c r="M348" s="622">
        <v>0</v>
      </c>
      <c r="N348" s="622">
        <v>0</v>
      </c>
      <c r="O348" s="622">
        <v>0</v>
      </c>
      <c r="P348" s="621">
        <v>0</v>
      </c>
      <c r="Q348" s="621">
        <v>0</v>
      </c>
      <c r="R348" s="621">
        <v>0</v>
      </c>
    </row>
    <row r="349" spans="1:18" ht="12" customHeight="1" x14ac:dyDescent="0.25">
      <c r="C349" s="618" t="s">
        <v>73</v>
      </c>
      <c r="D349" s="618">
        <v>0</v>
      </c>
      <c r="E349" s="618">
        <v>0</v>
      </c>
      <c r="F349" s="618">
        <v>0</v>
      </c>
      <c r="G349" s="618">
        <v>0</v>
      </c>
      <c r="H349" s="618">
        <v>0</v>
      </c>
      <c r="I349" s="618">
        <v>0</v>
      </c>
      <c r="J349" s="618">
        <v>0</v>
      </c>
      <c r="K349" s="618">
        <v>0</v>
      </c>
      <c r="L349" s="618">
        <v>0</v>
      </c>
      <c r="M349" s="618">
        <v>0</v>
      </c>
      <c r="N349" s="618">
        <v>0</v>
      </c>
      <c r="O349" s="618">
        <v>0</v>
      </c>
      <c r="P349" s="616">
        <v>0</v>
      </c>
      <c r="Q349" s="618">
        <v>0</v>
      </c>
      <c r="R349" s="616">
        <v>0</v>
      </c>
    </row>
    <row r="350" spans="1:18" s="623" customFormat="1" ht="12.75" customHeight="1" x14ac:dyDescent="0.25">
      <c r="A350" s="624"/>
      <c r="B350" s="624" t="s">
        <v>79</v>
      </c>
      <c r="C350" s="623" t="s">
        <v>70</v>
      </c>
      <c r="D350" s="624">
        <v>0</v>
      </c>
      <c r="E350" s="624">
        <v>0</v>
      </c>
      <c r="F350" s="624">
        <v>0</v>
      </c>
      <c r="G350" s="624">
        <v>0</v>
      </c>
      <c r="H350" s="624">
        <v>0</v>
      </c>
      <c r="I350" s="624">
        <v>0</v>
      </c>
      <c r="J350" s="624">
        <v>0</v>
      </c>
      <c r="K350" s="624">
        <v>0</v>
      </c>
      <c r="L350" s="624">
        <v>0</v>
      </c>
      <c r="M350" s="624">
        <v>0</v>
      </c>
      <c r="N350" s="624">
        <v>0</v>
      </c>
      <c r="O350" s="624">
        <v>0</v>
      </c>
      <c r="P350" s="623">
        <v>0</v>
      </c>
      <c r="Q350" s="623">
        <v>0</v>
      </c>
      <c r="R350" s="623">
        <v>0</v>
      </c>
    </row>
    <row r="351" spans="1:18" s="625" customFormat="1" ht="12.75" customHeight="1" x14ac:dyDescent="0.25">
      <c r="A351" s="625" t="s">
        <v>155</v>
      </c>
      <c r="B351" s="625" t="s">
        <v>70</v>
      </c>
      <c r="D351" s="626">
        <v>-3964157</v>
      </c>
      <c r="E351" s="626">
        <v>0</v>
      </c>
      <c r="F351" s="626">
        <v>0</v>
      </c>
      <c r="G351" s="627">
        <v>0</v>
      </c>
      <c r="H351" s="626">
        <v>0</v>
      </c>
      <c r="I351" s="626">
        <v>0</v>
      </c>
      <c r="J351" s="626">
        <v>0</v>
      </c>
      <c r="K351" s="626">
        <v>0</v>
      </c>
      <c r="L351" s="626">
        <v>0</v>
      </c>
      <c r="M351" s="626">
        <v>0</v>
      </c>
      <c r="N351" s="626">
        <v>0</v>
      </c>
      <c r="O351" s="626">
        <v>0</v>
      </c>
      <c r="P351" s="626">
        <v>0</v>
      </c>
      <c r="Q351" s="626">
        <v>0</v>
      </c>
      <c r="R351" s="625">
        <v>0</v>
      </c>
    </row>
    <row r="352" spans="1:18" ht="12.75" customHeight="1" x14ac:dyDescent="0.25">
      <c r="C352" s="616" t="s">
        <v>72</v>
      </c>
      <c r="D352" s="618">
        <v>0</v>
      </c>
      <c r="E352" s="618">
        <v>0</v>
      </c>
      <c r="F352" s="618">
        <v>0</v>
      </c>
      <c r="G352" s="620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8">
        <v>0</v>
      </c>
      <c r="Q352" s="618">
        <v>0</v>
      </c>
      <c r="R352" s="616">
        <v>0</v>
      </c>
    </row>
    <row r="353" spans="1:18" ht="12.6" customHeight="1" x14ac:dyDescent="0.25">
      <c r="C353" s="616" t="s">
        <v>81</v>
      </c>
      <c r="D353" s="618">
        <v>0</v>
      </c>
      <c r="E353" s="618">
        <v>0</v>
      </c>
      <c r="F353" s="618">
        <v>0</v>
      </c>
      <c r="G353" s="620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8">
        <v>0</v>
      </c>
      <c r="Q353" s="618">
        <v>0</v>
      </c>
      <c r="R353" s="616">
        <v>0</v>
      </c>
    </row>
    <row r="354" spans="1:18" s="621" customFormat="1" ht="12.75" customHeight="1" x14ac:dyDescent="0.25">
      <c r="B354" s="622" t="s">
        <v>78</v>
      </c>
      <c r="C354" s="622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2">
        <v>0</v>
      </c>
      <c r="R354" s="622">
        <v>0</v>
      </c>
    </row>
    <row r="355" spans="1:18" ht="12.75" customHeight="1" x14ac:dyDescent="0.25">
      <c r="C355" s="616" t="s">
        <v>73</v>
      </c>
      <c r="D355" s="618">
        <v>0</v>
      </c>
      <c r="E355" s="618">
        <v>0</v>
      </c>
      <c r="F355" s="618">
        <v>0</v>
      </c>
      <c r="G355" s="620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8">
        <v>0</v>
      </c>
      <c r="Q355" s="618">
        <v>0</v>
      </c>
      <c r="R355" s="616">
        <v>0</v>
      </c>
    </row>
    <row r="356" spans="1:18" s="623" customFormat="1" ht="12.75" customHeight="1" x14ac:dyDescent="0.25">
      <c r="B356" s="624" t="s">
        <v>79</v>
      </c>
      <c r="C356" s="624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4">
        <v>0</v>
      </c>
      <c r="R356" s="624">
        <v>0</v>
      </c>
    </row>
    <row r="357" spans="1:18" s="628" customFormat="1" ht="12.75" customHeight="1" x14ac:dyDescent="0.25">
      <c r="A357" s="628" t="s">
        <v>119</v>
      </c>
      <c r="B357" s="628" t="s">
        <v>70</v>
      </c>
      <c r="D357" s="628">
        <v>0</v>
      </c>
      <c r="E357" s="628">
        <v>0</v>
      </c>
      <c r="F357" s="628">
        <v>0</v>
      </c>
      <c r="G357" s="628">
        <v>0</v>
      </c>
      <c r="H357" s="628">
        <v>0</v>
      </c>
      <c r="I357" s="628">
        <v>0</v>
      </c>
      <c r="J357" s="628">
        <v>0</v>
      </c>
      <c r="K357" s="628">
        <v>0</v>
      </c>
      <c r="L357" s="628">
        <v>0</v>
      </c>
      <c r="M357" s="628">
        <v>0</v>
      </c>
      <c r="N357" s="628">
        <v>0</v>
      </c>
      <c r="O357" s="628">
        <v>0</v>
      </c>
      <c r="P357" s="628">
        <v>0</v>
      </c>
      <c r="Q357" s="628">
        <v>0</v>
      </c>
      <c r="R357" s="628">
        <v>0</v>
      </c>
    </row>
    <row r="358" spans="1:18" s="631" customFormat="1" ht="12.75" customHeight="1" x14ac:dyDescent="0.25">
      <c r="A358" s="630" t="s">
        <v>70</v>
      </c>
      <c r="D358" s="630">
        <v>-3964157</v>
      </c>
      <c r="E358" s="630">
        <v>0</v>
      </c>
      <c r="F358" s="630">
        <v>0</v>
      </c>
      <c r="G358" s="630">
        <v>0</v>
      </c>
      <c r="H358" s="630">
        <v>0</v>
      </c>
      <c r="I358" s="630">
        <v>0</v>
      </c>
      <c r="J358" s="630">
        <v>0</v>
      </c>
      <c r="K358" s="630">
        <v>0</v>
      </c>
      <c r="L358" s="630">
        <v>0</v>
      </c>
      <c r="M358" s="630">
        <v>0</v>
      </c>
      <c r="N358" s="630">
        <v>0</v>
      </c>
      <c r="O358" s="630">
        <v>0</v>
      </c>
      <c r="P358" s="631">
        <v>0</v>
      </c>
      <c r="Q358" s="631">
        <v>0</v>
      </c>
      <c r="R358" s="631">
        <v>0</v>
      </c>
    </row>
    <row r="359" spans="1:18" ht="12.75" customHeight="1" x14ac:dyDescent="0.25"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Q359" s="618"/>
    </row>
    <row r="360" spans="1:18" ht="12.75" customHeight="1" x14ac:dyDescent="0.25"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Q360" s="618"/>
    </row>
    <row r="361" spans="1:18" ht="12.75" customHeight="1" x14ac:dyDescent="0.25">
      <c r="A361" s="781" t="s">
        <v>2</v>
      </c>
      <c r="B361" s="780" t="s">
        <v>132</v>
      </c>
      <c r="C361" s="766" t="s">
        <v>70</v>
      </c>
      <c r="D361" s="766">
        <f>D358-P358</f>
        <v>-3964157</v>
      </c>
      <c r="E361" s="766">
        <f>E348+E354</f>
        <v>0</v>
      </c>
      <c r="F361" s="766">
        <f t="shared" ref="F361:R361" si="14">F348+F354</f>
        <v>0</v>
      </c>
      <c r="G361" s="766">
        <f t="shared" si="14"/>
        <v>0</v>
      </c>
      <c r="H361" s="766">
        <f t="shared" si="14"/>
        <v>0</v>
      </c>
      <c r="I361" s="766">
        <f t="shared" si="14"/>
        <v>0</v>
      </c>
      <c r="J361" s="766">
        <f t="shared" si="14"/>
        <v>0</v>
      </c>
      <c r="K361" s="766">
        <f t="shared" si="14"/>
        <v>0</v>
      </c>
      <c r="L361" s="766">
        <f t="shared" si="14"/>
        <v>0</v>
      </c>
      <c r="M361" s="766">
        <f t="shared" si="14"/>
        <v>0</v>
      </c>
      <c r="N361" s="766">
        <f t="shared" si="14"/>
        <v>0</v>
      </c>
      <c r="O361" s="766">
        <f t="shared" si="14"/>
        <v>0</v>
      </c>
      <c r="P361" s="766">
        <f t="shared" si="14"/>
        <v>0</v>
      </c>
      <c r="Q361" s="766">
        <f t="shared" si="14"/>
        <v>0</v>
      </c>
      <c r="R361" s="766">
        <f t="shared" si="14"/>
        <v>0</v>
      </c>
    </row>
    <row r="362" spans="1:18" ht="12.75" customHeight="1" x14ac:dyDescent="0.25">
      <c r="A362" s="781"/>
      <c r="B362" s="780"/>
      <c r="C362" s="766" t="s">
        <v>73</v>
      </c>
      <c r="D362" s="767">
        <f>D350+D356</f>
        <v>0</v>
      </c>
      <c r="E362" s="618"/>
      <c r="F362" s="618"/>
      <c r="G362" s="618"/>
      <c r="H362" s="618"/>
      <c r="I362" s="618"/>
      <c r="J362" s="618"/>
      <c r="K362" s="618"/>
      <c r="L362" s="618"/>
      <c r="M362" s="618"/>
      <c r="N362" s="618"/>
      <c r="O362" s="618"/>
      <c r="P362" s="618"/>
      <c r="Q362" s="618"/>
      <c r="R362" s="618"/>
    </row>
    <row r="363" spans="1:18" ht="12.75" customHeight="1" x14ac:dyDescent="0.25">
      <c r="A363" s="617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</row>
    <row r="364" spans="1:18" ht="12.75" customHeight="1" x14ac:dyDescent="0.25">
      <c r="A364" s="781" t="s">
        <v>160</v>
      </c>
      <c r="B364" s="780" t="s">
        <v>132</v>
      </c>
      <c r="C364" s="632" t="s">
        <v>70</v>
      </c>
      <c r="D364" s="632">
        <v>0</v>
      </c>
      <c r="E364" s="632">
        <v>0</v>
      </c>
      <c r="F364" s="632">
        <v>0</v>
      </c>
      <c r="G364" s="632">
        <v>0</v>
      </c>
      <c r="H364" s="632">
        <v>0</v>
      </c>
      <c r="I364" s="632">
        <v>0</v>
      </c>
      <c r="J364" s="632">
        <v>0</v>
      </c>
      <c r="K364" s="632">
        <v>0</v>
      </c>
      <c r="L364" s="632">
        <v>0</v>
      </c>
      <c r="M364" s="632">
        <v>0</v>
      </c>
      <c r="N364" s="632">
        <v>0</v>
      </c>
      <c r="O364" s="632">
        <v>0</v>
      </c>
      <c r="P364" s="632">
        <v>0</v>
      </c>
      <c r="Q364" s="632">
        <v>0</v>
      </c>
      <c r="R364" s="632">
        <v>0</v>
      </c>
    </row>
    <row r="365" spans="1:18" ht="12.75" customHeight="1" x14ac:dyDescent="0.25">
      <c r="A365" s="781"/>
      <c r="B365" s="780"/>
      <c r="C365" s="632" t="s">
        <v>73</v>
      </c>
      <c r="D365" s="632">
        <v>0</v>
      </c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8"/>
      <c r="P365" s="618"/>
      <c r="Q365" s="618"/>
      <c r="R365" s="618"/>
    </row>
    <row r="366" spans="1:18" ht="12.75" customHeight="1" x14ac:dyDescent="0.25">
      <c r="A366" s="617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</row>
    <row r="367" spans="1:18" ht="12.75" customHeight="1" x14ac:dyDescent="0.25">
      <c r="A367" s="781" t="s">
        <v>155</v>
      </c>
      <c r="B367" s="780" t="s">
        <v>132</v>
      </c>
      <c r="C367" s="633" t="s">
        <v>70</v>
      </c>
      <c r="D367" s="633">
        <f>D351-P351</f>
        <v>-3964157</v>
      </c>
      <c r="E367" s="633">
        <f>E348</f>
        <v>0</v>
      </c>
      <c r="F367" s="633">
        <f t="shared" ref="F367:R367" si="15">F348</f>
        <v>0</v>
      </c>
      <c r="G367" s="633">
        <f t="shared" si="15"/>
        <v>0</v>
      </c>
      <c r="H367" s="633">
        <f t="shared" si="15"/>
        <v>0</v>
      </c>
      <c r="I367" s="633">
        <f t="shared" si="15"/>
        <v>0</v>
      </c>
      <c r="J367" s="633">
        <f t="shared" si="15"/>
        <v>0</v>
      </c>
      <c r="K367" s="633">
        <f t="shared" si="15"/>
        <v>0</v>
      </c>
      <c r="L367" s="633">
        <f t="shared" si="15"/>
        <v>0</v>
      </c>
      <c r="M367" s="633">
        <f t="shared" si="15"/>
        <v>0</v>
      </c>
      <c r="N367" s="633">
        <f t="shared" si="15"/>
        <v>0</v>
      </c>
      <c r="O367" s="633">
        <f t="shared" si="15"/>
        <v>0</v>
      </c>
      <c r="P367" s="633">
        <f t="shared" si="15"/>
        <v>0</v>
      </c>
      <c r="Q367" s="633">
        <f t="shared" si="15"/>
        <v>0</v>
      </c>
      <c r="R367" s="633">
        <f t="shared" si="15"/>
        <v>0</v>
      </c>
    </row>
    <row r="368" spans="1:18" ht="12.75" customHeight="1" x14ac:dyDescent="0.25">
      <c r="A368" s="781"/>
      <c r="B368" s="780"/>
      <c r="C368" s="633" t="s">
        <v>73</v>
      </c>
      <c r="D368" s="633">
        <f>D350</f>
        <v>0</v>
      </c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</row>
    <row r="369" spans="1:18" ht="12.75" customHeight="1" x14ac:dyDescent="0.25">
      <c r="A369" s="617"/>
      <c r="D369" s="618"/>
      <c r="E369" s="618"/>
      <c r="F369" s="618"/>
      <c r="G369" s="618"/>
      <c r="H369" s="618"/>
      <c r="I369" s="618"/>
      <c r="J369" s="618"/>
      <c r="K369" s="618"/>
      <c r="L369" s="618"/>
      <c r="M369" s="618"/>
      <c r="N369" s="618"/>
      <c r="O369" s="618"/>
      <c r="P369" s="618"/>
      <c r="Q369" s="618"/>
    </row>
    <row r="370" spans="1:18" ht="12.75" customHeight="1" x14ac:dyDescent="0.25">
      <c r="A370" s="779" t="s">
        <v>326</v>
      </c>
      <c r="B370" s="780" t="s">
        <v>132</v>
      </c>
      <c r="C370" s="633" t="s">
        <v>70</v>
      </c>
      <c r="D370" s="720">
        <v>0</v>
      </c>
      <c r="E370" s="720">
        <v>0</v>
      </c>
      <c r="F370" s="720">
        <v>0</v>
      </c>
      <c r="G370" s="720">
        <v>0</v>
      </c>
      <c r="H370" s="720">
        <v>0</v>
      </c>
      <c r="I370" s="720">
        <v>0</v>
      </c>
      <c r="J370" s="720">
        <v>0</v>
      </c>
      <c r="K370" s="720">
        <v>0</v>
      </c>
      <c r="L370" s="720">
        <v>0</v>
      </c>
      <c r="M370" s="720">
        <v>0</v>
      </c>
      <c r="N370" s="720">
        <v>0</v>
      </c>
      <c r="O370" s="720">
        <v>0</v>
      </c>
      <c r="P370" s="720">
        <v>0</v>
      </c>
      <c r="Q370" s="720">
        <v>0</v>
      </c>
      <c r="R370" s="720">
        <v>0</v>
      </c>
    </row>
    <row r="371" spans="1:18" ht="12.75" customHeight="1" x14ac:dyDescent="0.25">
      <c r="A371" s="779"/>
      <c r="B371" s="780"/>
      <c r="C371" s="633" t="s">
        <v>73</v>
      </c>
      <c r="D371" s="720">
        <v>0</v>
      </c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</row>
    <row r="372" spans="1:18" ht="12.75" customHeight="1" x14ac:dyDescent="0.25">
      <c r="A372" s="617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P372" s="618"/>
      <c r="Q372" s="618"/>
    </row>
    <row r="373" spans="1:18" ht="12.75" customHeight="1" x14ac:dyDescent="0.25">
      <c r="A373" s="781" t="s">
        <v>119</v>
      </c>
      <c r="B373" s="780" t="s">
        <v>132</v>
      </c>
      <c r="C373" s="628" t="s">
        <v>70</v>
      </c>
      <c r="D373" s="628">
        <f>D357-P357</f>
        <v>0</v>
      </c>
      <c r="E373" s="628">
        <f>E354</f>
        <v>0</v>
      </c>
      <c r="F373" s="628">
        <f t="shared" ref="F373:R373" si="16">F354</f>
        <v>0</v>
      </c>
      <c r="G373" s="628">
        <f t="shared" si="16"/>
        <v>0</v>
      </c>
      <c r="H373" s="628">
        <f t="shared" si="16"/>
        <v>0</v>
      </c>
      <c r="I373" s="628">
        <f t="shared" si="16"/>
        <v>0</v>
      </c>
      <c r="J373" s="628">
        <f t="shared" si="16"/>
        <v>0</v>
      </c>
      <c r="K373" s="628">
        <f t="shared" si="16"/>
        <v>0</v>
      </c>
      <c r="L373" s="628">
        <f t="shared" si="16"/>
        <v>0</v>
      </c>
      <c r="M373" s="628">
        <f t="shared" si="16"/>
        <v>0</v>
      </c>
      <c r="N373" s="628">
        <f t="shared" si="16"/>
        <v>0</v>
      </c>
      <c r="O373" s="628">
        <f t="shared" si="16"/>
        <v>0</v>
      </c>
      <c r="P373" s="628">
        <f t="shared" si="16"/>
        <v>0</v>
      </c>
      <c r="Q373" s="628">
        <f t="shared" si="16"/>
        <v>0</v>
      </c>
      <c r="R373" s="628">
        <f t="shared" si="16"/>
        <v>0</v>
      </c>
    </row>
    <row r="374" spans="1:18" ht="12.75" customHeight="1" x14ac:dyDescent="0.25">
      <c r="A374" s="781"/>
      <c r="B374" s="780"/>
      <c r="C374" s="628" t="s">
        <v>73</v>
      </c>
      <c r="D374" s="629">
        <f>D356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</row>
    <row r="376" spans="1:18" x14ac:dyDescent="0.25">
      <c r="A376" s="782" t="s">
        <v>161</v>
      </c>
      <c r="B376" s="780" t="s">
        <v>132</v>
      </c>
      <c r="C376" s="634" t="s">
        <v>70</v>
      </c>
      <c r="D376" s="634">
        <v>0</v>
      </c>
      <c r="E376" s="634">
        <v>0</v>
      </c>
      <c r="F376" s="634">
        <v>0</v>
      </c>
      <c r="G376" s="634">
        <v>0</v>
      </c>
      <c r="H376" s="634">
        <v>0</v>
      </c>
      <c r="I376" s="634">
        <v>0</v>
      </c>
      <c r="J376" s="634">
        <v>0</v>
      </c>
      <c r="K376" s="634">
        <v>0</v>
      </c>
      <c r="L376" s="634">
        <v>0</v>
      </c>
      <c r="M376" s="634">
        <v>0</v>
      </c>
      <c r="N376" s="634">
        <v>0</v>
      </c>
      <c r="O376" s="634">
        <v>0</v>
      </c>
      <c r="P376" s="634">
        <v>0</v>
      </c>
      <c r="Q376" s="634">
        <v>0</v>
      </c>
      <c r="R376" s="634">
        <v>0</v>
      </c>
    </row>
    <row r="377" spans="1:18" x14ac:dyDescent="0.25">
      <c r="A377" s="782"/>
      <c r="B377" s="780"/>
      <c r="C377" s="634" t="s">
        <v>73</v>
      </c>
      <c r="D377" s="634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</row>
    <row r="378" spans="1:18" s="635" customFormat="1" x14ac:dyDescent="0.25"/>
    <row r="381" spans="1:18" x14ac:dyDescent="0.25">
      <c r="D381" s="616">
        <f t="shared" ref="D381:R381" si="17">D73+D174+D211+D326+D361</f>
        <v>-73419442.849999994</v>
      </c>
      <c r="E381" s="616">
        <f t="shared" si="17"/>
        <v>0</v>
      </c>
      <c r="F381" s="616">
        <f t="shared" si="17"/>
        <v>0</v>
      </c>
      <c r="G381" s="616">
        <f t="shared" si="17"/>
        <v>0</v>
      </c>
      <c r="H381" s="616">
        <f t="shared" si="17"/>
        <v>0</v>
      </c>
      <c r="I381" s="616">
        <f t="shared" si="17"/>
        <v>0</v>
      </c>
      <c r="J381" s="616">
        <f t="shared" si="17"/>
        <v>0</v>
      </c>
      <c r="K381" s="616">
        <f t="shared" si="17"/>
        <v>0</v>
      </c>
      <c r="L381" s="616">
        <f t="shared" si="17"/>
        <v>0</v>
      </c>
      <c r="M381" s="616">
        <f t="shared" si="17"/>
        <v>0</v>
      </c>
      <c r="N381" s="616">
        <f t="shared" si="17"/>
        <v>0</v>
      </c>
      <c r="O381" s="616">
        <f t="shared" si="17"/>
        <v>0</v>
      </c>
      <c r="P381" s="616">
        <f t="shared" si="17"/>
        <v>0</v>
      </c>
      <c r="Q381" s="616">
        <f t="shared" si="17"/>
        <v>0</v>
      </c>
      <c r="R381" s="616">
        <f t="shared" si="17"/>
        <v>0</v>
      </c>
    </row>
    <row r="382" spans="1:18" x14ac:dyDescent="0.25">
      <c r="D382" s="616">
        <f>D74+D175+D212+D327+D362</f>
        <v>0</v>
      </c>
    </row>
  </sheetData>
  <mergeCells count="60">
    <mergeCell ref="A341:A342"/>
    <mergeCell ref="B341:B342"/>
    <mergeCell ref="A361:A362"/>
    <mergeCell ref="B361:B362"/>
    <mergeCell ref="A376:A377"/>
    <mergeCell ref="B376:B377"/>
    <mergeCell ref="A364:A365"/>
    <mergeCell ref="B364:B365"/>
    <mergeCell ref="A367:A368"/>
    <mergeCell ref="B367:B368"/>
    <mergeCell ref="A373:A374"/>
    <mergeCell ref="B373:B374"/>
    <mergeCell ref="A370:A371"/>
    <mergeCell ref="B370:B371"/>
    <mergeCell ref="A332:A333"/>
    <mergeCell ref="B332:B333"/>
    <mergeCell ref="A338:A339"/>
    <mergeCell ref="B338:B339"/>
    <mergeCell ref="A335:A336"/>
    <mergeCell ref="B335:B336"/>
    <mergeCell ref="A226:A227"/>
    <mergeCell ref="B226:B227"/>
    <mergeCell ref="A326:A327"/>
    <mergeCell ref="B326:B327"/>
    <mergeCell ref="A329:A330"/>
    <mergeCell ref="B329:B330"/>
    <mergeCell ref="A214:A215"/>
    <mergeCell ref="B214:B215"/>
    <mergeCell ref="A217:A218"/>
    <mergeCell ref="B217:B218"/>
    <mergeCell ref="A223:A224"/>
    <mergeCell ref="B223:B224"/>
    <mergeCell ref="A186:A187"/>
    <mergeCell ref="B186:B187"/>
    <mergeCell ref="A189:A190"/>
    <mergeCell ref="B189:B190"/>
    <mergeCell ref="A211:A212"/>
    <mergeCell ref="B211:B212"/>
    <mergeCell ref="A73:A74"/>
    <mergeCell ref="B73:B74"/>
    <mergeCell ref="A76:A77"/>
    <mergeCell ref="B76:B77"/>
    <mergeCell ref="A79:A80"/>
    <mergeCell ref="B79:B80"/>
    <mergeCell ref="A82:A83"/>
    <mergeCell ref="B82:B83"/>
    <mergeCell ref="A183:A184"/>
    <mergeCell ref="B183:B184"/>
    <mergeCell ref="A220:A221"/>
    <mergeCell ref="B220:B221"/>
    <mergeCell ref="A85:A86"/>
    <mergeCell ref="B85:B86"/>
    <mergeCell ref="A88:A89"/>
    <mergeCell ref="B88:B89"/>
    <mergeCell ref="A174:A175"/>
    <mergeCell ref="B174:B175"/>
    <mergeCell ref="A177:A178"/>
    <mergeCell ref="B177:B178"/>
    <mergeCell ref="A180:A181"/>
    <mergeCell ref="B180:B181"/>
  </mergeCells>
  <conditionalFormatting sqref="D75:D89 D174:D190 D211:D227 D326:D342 D361:D37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332031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332031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332031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332031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332031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33203125" style="1" customWidth="1"/>
    <col min="35" max="35" width="13.88671875" style="1" bestFit="1" customWidth="1"/>
    <col min="36" max="16384" width="11.332031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2026101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H7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2026101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H26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2026101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H45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332031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332031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3">
        <f>SUM(F9:G9)</f>
        <v>1719872614</v>
      </c>
      <c r="G10" s="784"/>
      <c r="H10" s="783">
        <f>SUM(H9:I9)</f>
        <v>1719872614</v>
      </c>
      <c r="I10" s="784"/>
      <c r="J10" s="783">
        <f>SUM(J9:K9)</f>
        <v>1719872614</v>
      </c>
      <c r="K10" s="784"/>
      <c r="L10" s="783">
        <f>SUM(L9:M9)</f>
        <v>1719872614</v>
      </c>
      <c r="M10" s="784"/>
      <c r="N10" s="783">
        <f>SUM(N9:O9)</f>
        <v>1719872614</v>
      </c>
      <c r="O10" s="784"/>
      <c r="P10" s="783">
        <f>SUM(P9:Q9)</f>
        <v>1719872614</v>
      </c>
      <c r="Q10" s="784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3">
        <f>SUM(F20:G20)</f>
        <v>1719872614</v>
      </c>
      <c r="G21" s="784">
        <v>1191383498</v>
      </c>
      <c r="H21" s="783">
        <f>SUM(H20:I20)</f>
        <v>1719872614</v>
      </c>
      <c r="I21" s="784">
        <v>1191383498</v>
      </c>
      <c r="J21" s="783">
        <f>SUM(J20:K20)</f>
        <v>1719872614</v>
      </c>
      <c r="K21" s="784">
        <v>1191383498</v>
      </c>
      <c r="L21" s="783">
        <f>SUM(L20:M20)</f>
        <v>1719872614</v>
      </c>
      <c r="M21" s="784">
        <v>1191383498</v>
      </c>
      <c r="N21" s="783">
        <f>SUM(N20:O20)</f>
        <v>1719872614</v>
      </c>
      <c r="O21" s="784">
        <v>1191383498</v>
      </c>
      <c r="P21" s="783">
        <f>SUM(P20:Q20)</f>
        <v>1719872614</v>
      </c>
      <c r="Q21" s="784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189185987</v>
      </c>
      <c r="R26" s="696">
        <f t="shared" ref="R26:R31" si="0">J15</f>
        <v>189185988</v>
      </c>
      <c r="S26" t="b">
        <f>Q26=R26</f>
        <v>0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266580255</v>
      </c>
      <c r="R27" s="696">
        <f t="shared" si="0"/>
        <v>266580256</v>
      </c>
      <c r="S27" t="b">
        <f>Q27=R27</f>
        <v>0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154788535</v>
      </c>
      <c r="R28" s="696">
        <f t="shared" si="0"/>
        <v>154788536</v>
      </c>
      <c r="S28" t="b">
        <f t="shared" ref="S28:S31" si="2">Q28=R28</f>
        <v>0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128990445</v>
      </c>
      <c r="R30" s="696">
        <f t="shared" si="0"/>
        <v>128990446</v>
      </c>
      <c r="S30" t="b">
        <f t="shared" si="2"/>
        <v>0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859936305</v>
      </c>
      <c r="R31" s="696">
        <f t="shared" si="0"/>
        <v>859936309</v>
      </c>
      <c r="S31" t="b">
        <f t="shared" si="2"/>
        <v>0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33203125" defaultRowHeight="11.4" x14ac:dyDescent="0.2"/>
  <cols>
    <col min="1" max="1" width="3" style="389" customWidth="1"/>
    <col min="2" max="2" width="4.332031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332031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33203125" style="389" customWidth="1"/>
    <col min="25" max="25" width="13.88671875" style="389" bestFit="1" customWidth="1"/>
    <col min="26" max="27" width="11.33203125" style="389"/>
    <col min="28" max="28" width="15.88671875" style="389" bestFit="1" customWidth="1"/>
    <col min="29" max="16384" width="11.332031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46296</v>
      </c>
      <c r="G10" s="408"/>
      <c r="H10" s="397" t="s">
        <v>28</v>
      </c>
      <c r="I10" s="457">
        <f>'CONSOLIDADO_TOTAL RECAUDO'!K102</f>
        <v>46310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R1'!F105*$D$24</f>
        <v>2015.07</v>
      </c>
      <c r="E12" s="424">
        <f>'Reporte Componentes R1'!G105*$D$24</f>
        <v>122.1</v>
      </c>
      <c r="F12" s="425">
        <f>'Reporte Componentes R1'!H105*$D$24</f>
        <v>51.87</v>
      </c>
      <c r="G12" s="425">
        <f>'Reporte Componentes R1'!I105*$D$24</f>
        <v>22.65</v>
      </c>
      <c r="H12" s="425">
        <f>'Reporte Componentes R1'!J105*$D$24</f>
        <v>369.44</v>
      </c>
      <c r="I12" s="425">
        <f>'Reporte Componentes R1'!K105*$D$24</f>
        <v>23.88</v>
      </c>
      <c r="J12" s="426">
        <f t="shared" ref="J12:J16" si="0">D12-E12-F12-G12-H12-I12</f>
        <v>1425.1299999999999</v>
      </c>
      <c r="L12" s="428"/>
      <c r="N12" s="422">
        <v>1</v>
      </c>
      <c r="O12" s="423" t="s">
        <v>10</v>
      </c>
      <c r="P12" s="429">
        <f>'Reporte Componentes R1'!M105*$P$24</f>
        <v>209.4</v>
      </c>
      <c r="Q12" s="430">
        <f>'Reporte Componentes R1'!N105*$P$24</f>
        <v>175.25</v>
      </c>
      <c r="R12" s="430">
        <f>'Reporte Componentes R1'!O105*$P$24</f>
        <v>699.55</v>
      </c>
      <c r="S12" s="430">
        <f>'Reporte Componentes R1'!P105*$P$24</f>
        <v>301.98</v>
      </c>
      <c r="T12" s="430">
        <f>'Reporte Componentes R1'!Q105*$P$24</f>
        <v>38.950000000000003</v>
      </c>
      <c r="U12" s="464">
        <f>SUM(P12:T12)</f>
        <v>1425.1299999999999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R1'!F284*$D$24</f>
        <v>243714.65</v>
      </c>
      <c r="E13" s="425">
        <f>'Reporte Componentes R1'!G284*$D$24</f>
        <v>20951.02</v>
      </c>
      <c r="F13" s="425">
        <f>'Reporte Componentes R1'!H284*$D$24</f>
        <v>8900.5</v>
      </c>
      <c r="G13" s="425">
        <f>'Reporte Componentes R1'!I284*$D$24</f>
        <v>3886.81</v>
      </c>
      <c r="H13" s="425">
        <f>'Reporte Componentes R1'!J284*$D$24</f>
        <v>48437.8</v>
      </c>
      <c r="I13" s="425">
        <f>'Reporte Componentes R1'!K284*$D$24</f>
        <v>2062.98</v>
      </c>
      <c r="J13" s="426">
        <f t="shared" si="0"/>
        <v>159475.54</v>
      </c>
      <c r="L13" s="428"/>
      <c r="N13" s="432">
        <v>2</v>
      </c>
      <c r="O13" s="433" t="s">
        <v>11</v>
      </c>
      <c r="P13" s="434">
        <f>'Reporte Componentes R1'!M284*$P$24</f>
        <v>18096.09</v>
      </c>
      <c r="Q13" s="435">
        <f>'Reporte Componentes R1'!N284*$P$24</f>
        <v>22688.82</v>
      </c>
      <c r="R13" s="435">
        <f>'Reporte Componentes R1'!O284*$P$24</f>
        <v>76193.100000000006</v>
      </c>
      <c r="S13" s="435">
        <f>'Reporte Componentes R1'!P284*$P$24</f>
        <v>39131.24</v>
      </c>
      <c r="T13" s="435">
        <f>'Reporte Componentes R1'!Q284*$P$24</f>
        <v>3366.29</v>
      </c>
      <c r="U13" s="463">
        <f>SUM(P13:T13)</f>
        <v>159475.54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R1'!F445*$D$24</f>
        <v>558.04999999999995</v>
      </c>
      <c r="E14" s="424">
        <f>'Reporte Componentes R1'!G445*$D$24</f>
        <v>36.43</v>
      </c>
      <c r="F14" s="424">
        <f>'Reporte Componentes R1'!H445*$D$24</f>
        <v>15.48</v>
      </c>
      <c r="G14" s="424">
        <f>'Reporte Componentes R1'!I445*$D$24</f>
        <v>6.76</v>
      </c>
      <c r="H14" s="424">
        <f>'Reporte Componentes R1'!J445*$D$24</f>
        <v>123.14</v>
      </c>
      <c r="I14" s="424">
        <f>'Reporte Componentes R1'!K445*$D$24</f>
        <v>4.99</v>
      </c>
      <c r="J14" s="426">
        <f t="shared" si="0"/>
        <v>371.25</v>
      </c>
      <c r="L14" s="428"/>
      <c r="N14" s="432">
        <v>3</v>
      </c>
      <c r="O14" s="433" t="s">
        <v>12</v>
      </c>
      <c r="P14" s="434">
        <f>'Reporte Componentes R1'!M445*$P$24</f>
        <v>43.78</v>
      </c>
      <c r="Q14" s="435">
        <f>'Reporte Componentes R1'!N445*$P$24</f>
        <v>55.99</v>
      </c>
      <c r="R14" s="435">
        <f>'Reporte Componentes R1'!O445*$P$24</f>
        <v>184.32</v>
      </c>
      <c r="S14" s="435">
        <f>'Reporte Componentes R1'!P445*$P$24</f>
        <v>79.02</v>
      </c>
      <c r="T14" s="435">
        <f>'Reporte Componentes R1'!Q445*$P$24</f>
        <v>8.14</v>
      </c>
      <c r="U14" s="463">
        <f>SUM(P14:T14)</f>
        <v>371.25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R1'!F598*$D$24</f>
        <v>30180.94</v>
      </c>
      <c r="E15" s="425">
        <f>'Reporte Componentes R1'!G598*$D$24</f>
        <v>2445.4499999999998</v>
      </c>
      <c r="F15" s="425">
        <f>'Reporte Componentes R1'!H598*$D$24</f>
        <v>1038.9100000000001</v>
      </c>
      <c r="G15" s="425">
        <f>'Reporte Componentes R1'!I598*$D$24</f>
        <v>453.69</v>
      </c>
      <c r="H15" s="425">
        <f>'Reporte Componentes R1'!J598*$D$24</f>
        <v>5579.62</v>
      </c>
      <c r="I15" s="425">
        <f>'Reporte Componentes R1'!K598*$D$24</f>
        <v>227.22</v>
      </c>
      <c r="J15" s="426">
        <f t="shared" si="0"/>
        <v>20436.05</v>
      </c>
      <c r="L15" s="428"/>
      <c r="N15" s="432">
        <v>4</v>
      </c>
      <c r="O15" s="433" t="s">
        <v>13</v>
      </c>
      <c r="P15" s="434">
        <f>'Reporte Componentes R1'!M598*$P$24</f>
        <v>1993.18</v>
      </c>
      <c r="Q15" s="435">
        <f>'Reporte Componentes R1'!N598*$P$24</f>
        <v>2534.52</v>
      </c>
      <c r="R15" s="435">
        <f>'Reporte Componentes R1'!O598*$P$24</f>
        <v>9306.2999999999993</v>
      </c>
      <c r="S15" s="435">
        <f>'Reporte Componentes R1'!P598*$P$24</f>
        <v>6231.3</v>
      </c>
      <c r="T15" s="435">
        <f>'Reporte Componentes R1'!Q598*$P$24</f>
        <v>370.75</v>
      </c>
      <c r="U15" s="463">
        <f>SUM(P15:T15)</f>
        <v>20436.05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R1'!F710*$D$24</f>
        <v>0</v>
      </c>
      <c r="E16" s="439">
        <f>'Reporte Componentes R1'!G710*$D$24</f>
        <v>0</v>
      </c>
      <c r="F16" s="439">
        <f>'Reporte Componentes R1'!H710*$D$24</f>
        <v>0</v>
      </c>
      <c r="G16" s="439">
        <f>'Reporte Componentes R1'!I710*$D$24</f>
        <v>0</v>
      </c>
      <c r="H16" s="439">
        <f>'Reporte Componentes R1'!J710*$D$24</f>
        <v>0</v>
      </c>
      <c r="I16" s="439">
        <f>'Reporte Componentes R1'!K710*$D$24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R1'!M710*$P$24</f>
        <v>0</v>
      </c>
      <c r="Q16" s="439">
        <f>'Reporte Componentes R1'!N710*$P$24</f>
        <v>0</v>
      </c>
      <c r="R16" s="439">
        <f>'Reporte Componentes R1'!O710*$P$24</f>
        <v>0</v>
      </c>
      <c r="S16" s="439">
        <f>'Reporte Componentes R1'!P710*$P$24</f>
        <v>0</v>
      </c>
      <c r="T16" s="439">
        <f>'Reporte Componentes R1'!Q710*$P$24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276468.70999999996</v>
      </c>
      <c r="E17" s="442">
        <f t="shared" si="3"/>
        <v>23555</v>
      </c>
      <c r="F17" s="442">
        <f t="shared" si="3"/>
        <v>10006.76</v>
      </c>
      <c r="G17" s="442">
        <f t="shared" si="3"/>
        <v>4369.91</v>
      </c>
      <c r="H17" s="442">
        <f t="shared" si="3"/>
        <v>54510.000000000007</v>
      </c>
      <c r="I17" s="442">
        <f t="shared" si="3"/>
        <v>2319.0699999999997</v>
      </c>
      <c r="J17" s="443">
        <f t="shared" si="3"/>
        <v>181707.97</v>
      </c>
      <c r="K17" s="444"/>
      <c r="L17" s="428"/>
      <c r="N17" s="440"/>
      <c r="O17" s="441" t="s">
        <v>2</v>
      </c>
      <c r="P17" s="445">
        <f>SUM(P12:P16)</f>
        <v>20342.45</v>
      </c>
      <c r="Q17" s="445">
        <f t="shared" ref="Q17:U17" si="4">SUM(Q12:Q16)</f>
        <v>25454.58</v>
      </c>
      <c r="R17" s="445">
        <f t="shared" si="4"/>
        <v>86383.270000000019</v>
      </c>
      <c r="S17" s="445">
        <f t="shared" si="4"/>
        <v>45743.54</v>
      </c>
      <c r="T17" s="445">
        <f t="shared" si="4"/>
        <v>3784.1299999999997</v>
      </c>
      <c r="U17" s="462">
        <f t="shared" si="4"/>
        <v>181707.97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181707.97000000003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B94" zoomScaleNormal="100" workbookViewId="0">
      <selection activeCell="E111" sqref="E111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33203125" style="1" customWidth="1"/>
    <col min="36" max="36" width="13.88671875" style="1" bestFit="1" customWidth="1"/>
    <col min="37" max="38" width="11.33203125" style="1"/>
    <col min="39" max="39" width="15.88671875" style="1" bestFit="1" customWidth="1"/>
    <col min="40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46296</v>
      </c>
      <c r="J7" s="2" t="s">
        <v>28</v>
      </c>
      <c r="K7" s="9"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R1'!F75</f>
        <v>14815021974.749998</v>
      </c>
      <c r="E9" s="292">
        <f>'Reporte Componentes R1'!G75</f>
        <v>841806035.64999998</v>
      </c>
      <c r="F9" s="292">
        <f>'Reporte Componentes R1'!H75</f>
        <v>468917971.50999999</v>
      </c>
      <c r="G9" s="292">
        <f>'Reporte Componentes R1'!I75</f>
        <v>249656917.12</v>
      </c>
      <c r="H9" s="292">
        <f>'Reporte Componentes R1'!J75</f>
        <v>4756846110.3300009</v>
      </c>
      <c r="I9" s="292">
        <f>'Reporte Componentes R1'!K75</f>
        <v>158497973.27000001</v>
      </c>
      <c r="J9" s="288">
        <f>'BCE SC POR FACT.'!F3</f>
        <v>2153950828.1600003</v>
      </c>
      <c r="K9" s="293">
        <f>D9-E9-F9-G9-H9-I9-J9</f>
        <v>6185346138.7099953</v>
      </c>
      <c r="L9" s="294">
        <f>INTERVENTORIA!N26</f>
        <v>189185987</v>
      </c>
      <c r="M9" s="293">
        <f>K9-L9</f>
        <v>5996160151.7099953</v>
      </c>
      <c r="N9" s="387">
        <f>'Reporte Componentes R1'!L75</f>
        <v>19931693.030000001</v>
      </c>
      <c r="O9" s="293">
        <f>M9+N9</f>
        <v>6016091844.739995</v>
      </c>
      <c r="Q9" s="306"/>
      <c r="S9" s="303">
        <v>1</v>
      </c>
      <c r="T9" s="304" t="s">
        <v>10</v>
      </c>
      <c r="U9" s="307">
        <f>'Reporte Componentes R1'!M75</f>
        <v>1391735601.23</v>
      </c>
      <c r="V9" s="308">
        <f>'Reporte Componentes R1'!N75</f>
        <v>1315958607.1700001</v>
      </c>
      <c r="W9" s="308">
        <f>'Reporte Componentes R1'!O75</f>
        <v>6272232186.7699995</v>
      </c>
      <c r="X9" s="308">
        <f>'Reporte Componentes R1'!P75</f>
        <v>2290889068.9099998</v>
      </c>
      <c r="Y9" s="309">
        <f>'Reporte Componentes R1'!Q75</f>
        <v>258744863.86000001</v>
      </c>
      <c r="Z9" s="310">
        <f>L9*-1</f>
        <v>-189185987</v>
      </c>
      <c r="AA9" s="311">
        <f>'Reporte Componentes R1'!R75+'Reporte Componentes R1'!U75+'Reporte Componentes R1'!V75</f>
        <v>-27801.66</v>
      </c>
      <c r="AB9" s="312">
        <f>N9</f>
        <v>19931693.030000001</v>
      </c>
      <c r="AC9" s="320">
        <f>'Reporte Componentes R1'!T75+'Reporte Componentes R1'!W75+'Reporte Componentes R1'!X75+'Reporte Componentes R1'!Y75+'Reporte Componentes R1'!Z75+'Reporte Componentes R1'!S75</f>
        <v>149.13</v>
      </c>
      <c r="AD9" s="291">
        <f>-J9+AE9</f>
        <v>-5344186536.7000008</v>
      </c>
      <c r="AE9" s="291">
        <f>'Reporte Componentes R1'!F76</f>
        <v>-3190235708.54</v>
      </c>
      <c r="AF9" s="313">
        <f>SUM(U9:AD9)</f>
        <v>6016091844.7399998</v>
      </c>
      <c r="AG9" s="521">
        <f>(AF9-O9)</f>
        <v>4.76837158203125E-6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R1'!F254</f>
        <v>11219101305.09</v>
      </c>
      <c r="E10" s="292">
        <f>'Reporte Componentes R1'!G254</f>
        <v>873254306.83000004</v>
      </c>
      <c r="F10" s="292">
        <f>'Reporte Componentes R1'!H254</f>
        <v>483462932.19999999</v>
      </c>
      <c r="G10" s="292">
        <f>'Reporte Componentes R1'!I254</f>
        <v>256309653.09999999</v>
      </c>
      <c r="H10" s="292">
        <f>'Reporte Componentes R1'!J254</f>
        <v>3573620561.6399999</v>
      </c>
      <c r="I10" s="292">
        <f>'Reporte Componentes R1'!K254</f>
        <v>126627767.13</v>
      </c>
      <c r="J10" s="288">
        <f>'BCE SC POR FACT.'!F4</f>
        <v>-4217145526.9099998</v>
      </c>
      <c r="K10" s="295">
        <f>D10-E10-F10-G10-H10-I10-J10</f>
        <v>10122971611.099998</v>
      </c>
      <c r="L10" s="294">
        <f>INTERVENTORIA!N27</f>
        <v>266580255</v>
      </c>
      <c r="M10" s="295">
        <f>K10-L10</f>
        <v>9856391356.0999985</v>
      </c>
      <c r="N10" s="294">
        <f>'Reporte Componentes R1'!L254</f>
        <v>9834335.8100000005</v>
      </c>
      <c r="O10" s="295">
        <f>M10+N10</f>
        <v>9866225691.9099979</v>
      </c>
      <c r="Q10" s="306"/>
      <c r="S10" s="314">
        <v>2</v>
      </c>
      <c r="T10" s="315" t="s">
        <v>11</v>
      </c>
      <c r="U10" s="316">
        <f>'Reporte Componentes R1'!M254</f>
        <v>1110999299.71</v>
      </c>
      <c r="V10" s="317">
        <f>'Reporte Componentes R1'!N254</f>
        <v>1068155937.1999999</v>
      </c>
      <c r="W10" s="317">
        <f>'Reporte Componentes R1'!O254</f>
        <v>5074671965.54</v>
      </c>
      <c r="X10" s="317">
        <f>'Reporte Componentes R1'!P254</f>
        <v>1712802998.4100001</v>
      </c>
      <c r="Y10" s="318">
        <f>'Reporte Componentes R1'!Q254</f>
        <v>206761960.40000001</v>
      </c>
      <c r="Z10" s="319">
        <f>L10*-1</f>
        <v>-266580255</v>
      </c>
      <c r="AA10" s="320">
        <f>'Reporte Componentes R1'!R254+'Reporte Componentes R1'!U254+'Reporte Componentes R1'!V254</f>
        <v>-14204.66</v>
      </c>
      <c r="AB10" s="321">
        <f>N10</f>
        <v>9834335.8100000005</v>
      </c>
      <c r="AC10" s="320">
        <f>'Reporte Componentes R1'!T254+'Reporte Componentes R1'!W254+'Reporte Componentes R1'!X254+'Reporte Componentes R1'!Y254+'Reporte Componentes R1'!Z254+'Reporte Componentes R1'!S254</f>
        <v>-56307.81</v>
      </c>
      <c r="AD10" s="291">
        <f t="shared" ref="AD10:AD13" si="0">-J10+AE10</f>
        <v>949649962.30999994</v>
      </c>
      <c r="AE10" s="291">
        <f>'Reporte Componentes R1'!F255</f>
        <v>-3267495564.5999999</v>
      </c>
      <c r="AF10" s="322">
        <f>SUM(U10:AD10)</f>
        <v>9866225691.9099998</v>
      </c>
      <c r="AG10" s="522">
        <f>(AF10-O10)</f>
        <v>1.9073486328125E-6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R1'!F415</f>
        <v>8811472160.3400002</v>
      </c>
      <c r="E11" s="292">
        <f>'Reporte Componentes R1'!G415</f>
        <v>569049058.22000003</v>
      </c>
      <c r="F11" s="292">
        <f>'Reporte Componentes R1'!H415</f>
        <v>317267488.88</v>
      </c>
      <c r="G11" s="292">
        <f>'Reporte Componentes R1'!I415</f>
        <v>168517798.86000001</v>
      </c>
      <c r="H11" s="292">
        <f>'Reporte Componentes R1'!J415</f>
        <v>2429021539.6700001</v>
      </c>
      <c r="I11" s="292">
        <f>'Reporte Componentes R1'!K415</f>
        <v>86984010.540000007</v>
      </c>
      <c r="J11" s="288">
        <f>'BCE SC POR FACT.'!F5</f>
        <v>-1288806337.0900002</v>
      </c>
      <c r="K11" s="295">
        <f>D11-E11-F11-G11-H11-I11-J11</f>
        <v>6529438601.2600002</v>
      </c>
      <c r="L11" s="294">
        <f>INTERVENTORIA!N28</f>
        <v>154788535</v>
      </c>
      <c r="M11" s="295">
        <f>K11-L11</f>
        <v>6374650066.2600002</v>
      </c>
      <c r="N11" s="294">
        <f>'Reporte Componentes R1'!L415</f>
        <v>19305717.66</v>
      </c>
      <c r="O11" s="295">
        <f>M11+N11</f>
        <v>6393955783.9200001</v>
      </c>
      <c r="Q11" s="306"/>
      <c r="S11" s="314">
        <v>3</v>
      </c>
      <c r="T11" s="315" t="s">
        <v>12</v>
      </c>
      <c r="U11" s="316">
        <f>'Reporte Componentes R1'!M415</f>
        <v>763682703.06000006</v>
      </c>
      <c r="V11" s="317">
        <f>'Reporte Componentes R1'!N415</f>
        <v>725018824.26999998</v>
      </c>
      <c r="W11" s="317">
        <f>'Reporte Componentes R1'!O415</f>
        <v>3444255866.5499997</v>
      </c>
      <c r="X11" s="317">
        <f>'Reporte Componentes R1'!P415</f>
        <v>1347916174.22</v>
      </c>
      <c r="Y11" s="318">
        <f>'Reporte Componentes R1'!Q415</f>
        <v>142025975.44000003</v>
      </c>
      <c r="Z11" s="319">
        <f>L11*-1</f>
        <v>-154788535</v>
      </c>
      <c r="AA11" s="320">
        <f>'Reporte Componentes R1'!R415+'Reporte Componentes R1'!U415+'Reporte Componentes R1'!V415</f>
        <v>-81704.87</v>
      </c>
      <c r="AB11" s="321">
        <f>N11</f>
        <v>19305717.66</v>
      </c>
      <c r="AC11" s="320">
        <f>'Reporte Componentes R1'!T415+'Reporte Componentes R1'!W415+'Reporte Componentes R1'!X415+'Reporte Componentes R1'!Y415+'Reporte Componentes R1'!Z415+'Reporte Componentes R1'!S415</f>
        <v>-41619.9</v>
      </c>
      <c r="AD11" s="291">
        <f t="shared" si="0"/>
        <v>106662382.49000025</v>
      </c>
      <c r="AE11" s="291">
        <f>'Reporte Componentes R1'!F416</f>
        <v>-1182143954.5999999</v>
      </c>
      <c r="AF11" s="322">
        <f t="shared" ref="AF11:AF13" si="2">SUM(U11:AD11)</f>
        <v>6393955783.9200001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R1'!F568</f>
        <v>10473967813.419998</v>
      </c>
      <c r="E12" s="292">
        <f>'Reporte Componentes R1'!G568</f>
        <v>604669997.78999996</v>
      </c>
      <c r="F12" s="292">
        <f>'Reporte Componentes R1'!H568</f>
        <v>335175471.73999995</v>
      </c>
      <c r="G12" s="292">
        <f>'Reporte Componentes R1'!I568</f>
        <v>178722961.24000001</v>
      </c>
      <c r="H12" s="292">
        <f>'Reporte Componentes R1'!J568</f>
        <v>2396185440.1100001</v>
      </c>
      <c r="I12" s="292">
        <f>'Reporte Componentes R1'!K568</f>
        <v>89652485.689999998</v>
      </c>
      <c r="J12" s="288">
        <f>'BCE SC POR FACT.'!F6</f>
        <v>61531953.689999998</v>
      </c>
      <c r="K12" s="295">
        <f>D12-E12-F12-G12-H12-I12-J12</f>
        <v>6808029503.1599979</v>
      </c>
      <c r="L12" s="294">
        <f>INTERVENTORIA!N29</f>
        <v>120391083</v>
      </c>
      <c r="M12" s="295">
        <f>K12-L12</f>
        <v>6687638420.1599979</v>
      </c>
      <c r="N12" s="294">
        <f>'Reporte Componentes R1'!L568</f>
        <v>8643135.5800000001</v>
      </c>
      <c r="O12" s="295">
        <f>M12+N12</f>
        <v>6696281555.7399979</v>
      </c>
      <c r="Q12" s="306"/>
      <c r="S12" s="314">
        <v>4</v>
      </c>
      <c r="T12" s="315" t="s">
        <v>13</v>
      </c>
      <c r="U12" s="316">
        <f>'Reporte Componentes R1'!M568</f>
        <v>785814467.67000008</v>
      </c>
      <c r="V12" s="317">
        <f>'Reporte Componentes R1'!N568</f>
        <v>749924263.23000002</v>
      </c>
      <c r="W12" s="317">
        <f>'Reporte Componentes R1'!O568</f>
        <v>3880546235.1599998</v>
      </c>
      <c r="X12" s="317">
        <f>'Reporte Componentes R1'!P568</f>
        <v>1600707975.2</v>
      </c>
      <c r="Y12" s="318">
        <f>'Reporte Componentes R1'!Q568</f>
        <v>146527905.08000001</v>
      </c>
      <c r="Z12" s="319">
        <f>L12*-1</f>
        <v>-120391083</v>
      </c>
      <c r="AA12" s="320">
        <f>'Reporte Componentes R1'!R568+'Reporte Componentes R1'!U568+'Reporte Componentes R1'!V568</f>
        <v>31942.35</v>
      </c>
      <c r="AB12" s="321">
        <f>N12</f>
        <v>8643135.5800000001</v>
      </c>
      <c r="AC12" s="320">
        <f>'Reporte Componentes R1'!T568+'Reporte Componentes R1'!W568+'Reporte Componentes R1'!X568+'Reporte Componentes R1'!Y568+'Reporte Componentes R1'!Z568+'Reporte Componentes R1'!S568</f>
        <v>189.43</v>
      </c>
      <c r="AD12" s="291">
        <f t="shared" si="0"/>
        <v>-355523474.95999998</v>
      </c>
      <c r="AE12" s="291">
        <f>'Reporte Componentes R1'!F569</f>
        <v>-293991521.26999998</v>
      </c>
      <c r="AF12" s="322">
        <f t="shared" si="2"/>
        <v>6696281555.7399998</v>
      </c>
      <c r="AG12" s="522">
        <f>(AF12-O12)</f>
        <v>1.9073486328125E-6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R1'!F680</f>
        <v>7544253279.9399996</v>
      </c>
      <c r="E13" s="297">
        <f>'Reporte Componentes R1'!G680</f>
        <v>408145471.80000001</v>
      </c>
      <c r="F13" s="297">
        <f>'Reporte Componentes R1'!H680</f>
        <v>227118040.72999999</v>
      </c>
      <c r="G13" s="297">
        <f>'Reporte Componentes R1'!I680</f>
        <v>120841029.03</v>
      </c>
      <c r="H13" s="297">
        <f>'Reporte Componentes R1'!J680</f>
        <v>1864267894.6400001</v>
      </c>
      <c r="I13" s="297">
        <f>'Reporte Componentes R1'!K680</f>
        <v>62073126.829999998</v>
      </c>
      <c r="J13" s="289">
        <f>'BCE SC POR FACT.'!F7</f>
        <v>-1246473094.4099998</v>
      </c>
      <c r="K13" s="295">
        <f>D13-E13-F13-G13-H13-I13-J13</f>
        <v>6108280811.3199997</v>
      </c>
      <c r="L13" s="294">
        <f>INTERVENTORIA!N30</f>
        <v>128990445</v>
      </c>
      <c r="M13" s="298">
        <f>K13-L13</f>
        <v>5979290366.3199997</v>
      </c>
      <c r="N13" s="299">
        <f>'Reporte Componentes R1'!L680</f>
        <v>12379938.060000001</v>
      </c>
      <c r="O13" s="298">
        <f>M13+N13</f>
        <v>5991670304.3800001</v>
      </c>
      <c r="Q13" s="306"/>
      <c r="S13" s="324">
        <v>5</v>
      </c>
      <c r="T13" s="325" t="s">
        <v>14</v>
      </c>
      <c r="U13" s="296">
        <f>'Reporte Componentes R1'!M680</f>
        <v>544684335.76999998</v>
      </c>
      <c r="V13" s="297">
        <f>'Reporte Componentes R1'!N680</f>
        <v>512958805.74000001</v>
      </c>
      <c r="W13" s="297">
        <f>'Reporte Componentes R1'!O680</f>
        <v>2640560444.6500001</v>
      </c>
      <c r="X13" s="297">
        <f>'Reporte Componentes R1'!P680</f>
        <v>1214677726.3699999</v>
      </c>
      <c r="Y13" s="289">
        <f>'Reporte Componentes R1'!Q680</f>
        <v>101292451</v>
      </c>
      <c r="Z13" s="319">
        <f>L13*-1</f>
        <v>-128990445</v>
      </c>
      <c r="AA13" s="320">
        <f>'Reporte Componentes R1'!R680+'Reporte Componentes R1'!U680+'Reporte Componentes R1'!V680</f>
        <v>10679.52</v>
      </c>
      <c r="AB13" s="321">
        <f>N13</f>
        <v>12379938.060000001</v>
      </c>
      <c r="AC13" s="320">
        <f>'Reporte Componentes R1'!T680+'Reporte Componentes R1'!W680+'Reporte Componentes R1'!X680+'Reporte Componentes R1'!Y680+'Reporte Componentes R1'!Z680+'Reporte Componentes R1'!S680</f>
        <v>4.8600000000000003</v>
      </c>
      <c r="AD13" s="291">
        <f t="shared" si="0"/>
        <v>1094096363.4099998</v>
      </c>
      <c r="AE13" s="291">
        <f>'Reporte Componentes R1'!F681</f>
        <v>-152376731</v>
      </c>
      <c r="AF13" s="322">
        <f t="shared" si="2"/>
        <v>5991670304.3800001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52863816533.539993</v>
      </c>
      <c r="E14" s="290">
        <f t="shared" ref="E14:O14" si="3">SUM(E9:E13)</f>
        <v>3296924870.29</v>
      </c>
      <c r="F14" s="290">
        <f t="shared" si="3"/>
        <v>1831941905.0600002</v>
      </c>
      <c r="G14" s="290">
        <f t="shared" ref="G14" si="4">SUM(G9:G13)</f>
        <v>974048359.35000002</v>
      </c>
      <c r="H14" s="290">
        <f t="shared" si="3"/>
        <v>15019941546.390001</v>
      </c>
      <c r="I14" s="290">
        <f t="shared" si="3"/>
        <v>523835363.45999998</v>
      </c>
      <c r="J14" s="290">
        <f t="shared" si="3"/>
        <v>-4536942176.5599995</v>
      </c>
      <c r="K14" s="300">
        <f>SUM(K9:K13)</f>
        <v>35754066665.549988</v>
      </c>
      <c r="L14" s="301">
        <f>SUM(L9:L13)</f>
        <v>859936305</v>
      </c>
      <c r="M14" s="302">
        <f t="shared" si="3"/>
        <v>34894130360.549988</v>
      </c>
      <c r="N14" s="301">
        <f t="shared" si="3"/>
        <v>70094820.140000001</v>
      </c>
      <c r="O14" s="302">
        <f t="shared" si="3"/>
        <v>34964225180.689987</v>
      </c>
      <c r="P14" s="329"/>
      <c r="Q14" s="306"/>
      <c r="S14" s="327"/>
      <c r="T14" s="328" t="s">
        <v>2</v>
      </c>
      <c r="U14" s="330">
        <f>SUM(U9:U13)</f>
        <v>4596916407.4400005</v>
      </c>
      <c r="V14" s="330">
        <f t="shared" ref="V14:AF14" si="5">SUM(V9:V13)</f>
        <v>4372016437.6099997</v>
      </c>
      <c r="W14" s="330">
        <f t="shared" si="5"/>
        <v>21312266698.669998</v>
      </c>
      <c r="X14" s="330">
        <f t="shared" si="5"/>
        <v>8166993943.1099997</v>
      </c>
      <c r="Y14" s="330">
        <f t="shared" si="5"/>
        <v>855353155.78000009</v>
      </c>
      <c r="Z14" s="290">
        <f t="shared" si="5"/>
        <v>-859936305</v>
      </c>
      <c r="AA14" s="290">
        <f t="shared" si="5"/>
        <v>-81089.319999999992</v>
      </c>
      <c r="AB14" s="290">
        <f t="shared" si="5"/>
        <v>70094820.140000001</v>
      </c>
      <c r="AC14" s="290">
        <f>SUM(AC9:AC13)</f>
        <v>-97584.290000000008</v>
      </c>
      <c r="AD14" s="290">
        <f>SUM(AD9:AD13)</f>
        <v>-3549301303.4500008</v>
      </c>
      <c r="AE14" s="290">
        <f>SUM(AE9:AE13)</f>
        <v>-8086243480.0100002</v>
      </c>
      <c r="AF14" s="331">
        <f t="shared" si="5"/>
        <v>34964225180.689995</v>
      </c>
      <c r="AG14" s="524">
        <f>SUM(AG9:AG13)</f>
        <v>8.58306884765625E-6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39303546642.609993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R2'!E47</f>
        <v>30588071.020000003</v>
      </c>
      <c r="E28" s="292">
        <f>'Rem. Anticipos R2'!F47</f>
        <v>0</v>
      </c>
      <c r="F28" s="292">
        <f>'Rem. Anticipos R2'!G47</f>
        <v>0</v>
      </c>
      <c r="G28" s="292">
        <f>'Rem. Anticipos R2'!H47</f>
        <v>0</v>
      </c>
      <c r="H28" s="292">
        <f>'Rem. Anticipos R2'!I47</f>
        <v>0</v>
      </c>
      <c r="I28" s="292">
        <f>'Rem. Anticipos R2'!J47</f>
        <v>0</v>
      </c>
      <c r="J28" s="288">
        <v>0</v>
      </c>
      <c r="K28" s="293">
        <f>D28-E28-F28-G28-H28-I28-J28</f>
        <v>30588071.020000003</v>
      </c>
      <c r="L28" s="294">
        <v>0</v>
      </c>
      <c r="M28" s="293">
        <f>K28-L28</f>
        <v>30588071.020000003</v>
      </c>
      <c r="N28" s="294">
        <f>'Rem. Anticipos R2'!K47</f>
        <v>0</v>
      </c>
      <c r="O28" s="293">
        <f>M28+N28</f>
        <v>30588071.020000003</v>
      </c>
      <c r="Q28" s="306"/>
      <c r="S28" s="303">
        <v>1</v>
      </c>
      <c r="T28" s="304" t="s">
        <v>10</v>
      </c>
      <c r="U28" s="307">
        <f>'Rem. Anticipos R2'!L47</f>
        <v>0</v>
      </c>
      <c r="V28" s="308">
        <f>'Rem. Anticipos R2'!M47</f>
        <v>0</v>
      </c>
      <c r="W28" s="308">
        <f>'Rem. Anticipos R2'!N47</f>
        <v>0</v>
      </c>
      <c r="X28" s="308">
        <f>'Rem. Anticipos R2'!O47</f>
        <v>0</v>
      </c>
      <c r="Y28" s="308">
        <f>'Rem. Anticipos R2'!P47</f>
        <v>0</v>
      </c>
      <c r="Z28" s="310">
        <f>L28*-1</f>
        <v>0</v>
      </c>
      <c r="AA28" s="311">
        <f>'Rem. Anticipos R2'!Q47</f>
        <v>0</v>
      </c>
      <c r="AB28" s="294">
        <f>N28</f>
        <v>0</v>
      </c>
      <c r="AC28" s="311">
        <f>'Rem. Anticipos R2'!R47</f>
        <v>0</v>
      </c>
      <c r="AD28" s="291">
        <f>-J28+AE28</f>
        <v>-688671.4</v>
      </c>
      <c r="AE28" s="291">
        <f>'Rem. Anticipos R2'!E48</f>
        <v>-688671.4</v>
      </c>
      <c r="AF28" s="313">
        <f>SUM(U28:AD28)</f>
        <v>-688671.4</v>
      </c>
      <c r="AG28" s="521">
        <f>(AF28-O28)</f>
        <v>-31276742.420000002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R2'!E155</f>
        <v>95634974.320000008</v>
      </c>
      <c r="E29" s="292">
        <f>'Rem. Anticipos R2'!F155</f>
        <v>0</v>
      </c>
      <c r="F29" s="292">
        <f>'Rem. Anticipos R2'!G155</f>
        <v>0</v>
      </c>
      <c r="G29" s="292">
        <f>'Rem. Anticipos R2'!H155</f>
        <v>0</v>
      </c>
      <c r="H29" s="292">
        <f>'Rem. Anticipos R2'!I155</f>
        <v>0</v>
      </c>
      <c r="I29" s="292">
        <f>'Rem. Anticipos R2'!J155</f>
        <v>0</v>
      </c>
      <c r="J29" s="288">
        <v>0</v>
      </c>
      <c r="K29" s="295">
        <f>D29-E29-F29-G29-H29-I29-J29</f>
        <v>95634974.320000008</v>
      </c>
      <c r="L29" s="294">
        <v>0</v>
      </c>
      <c r="M29" s="295">
        <f>K29-L29</f>
        <v>95634974.320000008</v>
      </c>
      <c r="N29" s="294">
        <f>'Rem. Anticipos R2'!K155</f>
        <v>70736.95</v>
      </c>
      <c r="O29" s="295">
        <f t="shared" ref="O29:O32" si="6">M29+N29</f>
        <v>95705711.270000011</v>
      </c>
      <c r="Q29" s="306"/>
      <c r="S29" s="314">
        <v>2</v>
      </c>
      <c r="T29" s="315" t="s">
        <v>11</v>
      </c>
      <c r="U29" s="316">
        <f>'Rem. Anticipos R2'!L155</f>
        <v>0</v>
      </c>
      <c r="V29" s="317">
        <f>'Rem. Anticipos R2'!M155</f>
        <v>0</v>
      </c>
      <c r="W29" s="317">
        <f>'Rem. Anticipos R2'!N155</f>
        <v>0</v>
      </c>
      <c r="X29" s="317">
        <f>'Rem. Anticipos R2'!O155</f>
        <v>0</v>
      </c>
      <c r="Y29" s="318">
        <f>'Rem. Anticipos R2'!P155</f>
        <v>0</v>
      </c>
      <c r="Z29" s="319">
        <f>L29*-1</f>
        <v>0</v>
      </c>
      <c r="AA29" s="320">
        <f>'Rem. Anticipos R2'!Q155</f>
        <v>0</v>
      </c>
      <c r="AB29" s="294">
        <f>N29</f>
        <v>70736.95</v>
      </c>
      <c r="AC29" s="320">
        <f>'Rem. Anticipos R2'!R155</f>
        <v>0</v>
      </c>
      <c r="AD29" s="291">
        <f>-J29+AE29</f>
        <v>-20704709.399999999</v>
      </c>
      <c r="AE29" s="291">
        <f>'Rem. Anticipos R2'!E156</f>
        <v>-20704709.399999999</v>
      </c>
      <c r="AF29" s="322">
        <f>SUM(U29:AD29)</f>
        <v>-20633972.449999999</v>
      </c>
      <c r="AG29" s="522">
        <f>(AF29-O29)</f>
        <v>-116339683.72000001</v>
      </c>
      <c r="AH29" s="305" t="b">
        <f t="shared" ref="AH29:AH32" si="7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R2'!E273</f>
        <v>14574412.029999999</v>
      </c>
      <c r="E30" s="292">
        <f>'Rem. Anticipos R2'!F273</f>
        <v>0</v>
      </c>
      <c r="F30" s="292">
        <f>'Rem. Anticipos R2'!G273</f>
        <v>0</v>
      </c>
      <c r="G30" s="292">
        <f>'Rem. Anticipos R2'!H273</f>
        <v>0</v>
      </c>
      <c r="H30" s="292">
        <f>'Rem. Anticipos R2'!I273</f>
        <v>0</v>
      </c>
      <c r="I30" s="292">
        <f>'Rem. Anticipos R2'!J273</f>
        <v>0</v>
      </c>
      <c r="J30" s="288">
        <v>0</v>
      </c>
      <c r="K30" s="295">
        <f t="shared" ref="K30:K31" si="8">D30-E30-F30-G30-H30-I30-J30</f>
        <v>14574412.029999999</v>
      </c>
      <c r="L30" s="294">
        <v>0</v>
      </c>
      <c r="M30" s="295">
        <f>K30-L30</f>
        <v>14574412.029999999</v>
      </c>
      <c r="N30" s="294">
        <f>'Rem. Anticipos R2'!K273</f>
        <v>16082.29</v>
      </c>
      <c r="O30" s="295">
        <f t="shared" si="6"/>
        <v>14590494.319999998</v>
      </c>
      <c r="Q30" s="306"/>
      <c r="S30" s="314">
        <v>3</v>
      </c>
      <c r="T30" s="315" t="s">
        <v>12</v>
      </c>
      <c r="U30" s="316">
        <f>'Rem. Anticipos R2'!L273</f>
        <v>0</v>
      </c>
      <c r="V30" s="317">
        <f>'Rem. Anticipos R2'!M273</f>
        <v>0</v>
      </c>
      <c r="W30" s="317">
        <f>'Rem. Anticipos R2'!N273</f>
        <v>0</v>
      </c>
      <c r="X30" s="317">
        <f>'Rem. Anticipos R2'!O273</f>
        <v>0</v>
      </c>
      <c r="Y30" s="318">
        <f>'Rem. Anticipos R2'!P273</f>
        <v>0</v>
      </c>
      <c r="Z30" s="319">
        <f>L30*-1</f>
        <v>0</v>
      </c>
      <c r="AA30" s="320">
        <f>'Rem. Anticipos R2'!Q273</f>
        <v>0</v>
      </c>
      <c r="AB30" s="294">
        <f>N30</f>
        <v>16082.29</v>
      </c>
      <c r="AC30" s="320">
        <f>'Rem. Anticipos R2'!R273</f>
        <v>0</v>
      </c>
      <c r="AD30" s="291">
        <f t="shared" ref="AD30:AD32" si="9">-J30+AE30</f>
        <v>-3867345.76</v>
      </c>
      <c r="AE30" s="291">
        <f>'Rem. Anticipos R2'!E274</f>
        <v>-3867345.76</v>
      </c>
      <c r="AF30" s="322">
        <f>SUM(U30:AD30)</f>
        <v>-3851263.4699999997</v>
      </c>
      <c r="AG30" s="522">
        <f t="shared" ref="AG30:AG31" si="10">(AF30-O30)</f>
        <v>-18441757.789999999</v>
      </c>
      <c r="AH30" s="305" t="b">
        <f t="shared" si="7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R2'!E384</f>
        <v>29206357.07</v>
      </c>
      <c r="E31" s="292">
        <f>'Rem. Anticipos R2'!F384</f>
        <v>0</v>
      </c>
      <c r="F31" s="292">
        <f>'Rem. Anticipos R2'!G384</f>
        <v>0</v>
      </c>
      <c r="G31" s="292">
        <f>'Rem. Anticipos R2'!H384</f>
        <v>0</v>
      </c>
      <c r="H31" s="292">
        <f>'Rem. Anticipos R2'!I384</f>
        <v>0</v>
      </c>
      <c r="I31" s="292">
        <f>'Rem. Anticipos R2'!J384</f>
        <v>0</v>
      </c>
      <c r="J31" s="288">
        <v>0</v>
      </c>
      <c r="K31" s="295">
        <f t="shared" si="8"/>
        <v>29206357.07</v>
      </c>
      <c r="L31" s="294">
        <v>0</v>
      </c>
      <c r="M31" s="295">
        <f>K31-L31</f>
        <v>29206357.07</v>
      </c>
      <c r="N31" s="294">
        <f>'Rem. Anticipos R2'!K384</f>
        <v>0</v>
      </c>
      <c r="O31" s="295">
        <f t="shared" si="6"/>
        <v>29206357.07</v>
      </c>
      <c r="Q31" s="306"/>
      <c r="S31" s="314">
        <v>4</v>
      </c>
      <c r="T31" s="315" t="s">
        <v>13</v>
      </c>
      <c r="U31" s="316">
        <f>'Rem. Anticipos R2'!L384</f>
        <v>0</v>
      </c>
      <c r="V31" s="317">
        <f>'Rem. Anticipos R2'!M384</f>
        <v>0</v>
      </c>
      <c r="W31" s="317">
        <f>'Rem. Anticipos R2'!N384</f>
        <v>0</v>
      </c>
      <c r="X31" s="317">
        <f>'Rem. Anticipos R2'!O384</f>
        <v>0</v>
      </c>
      <c r="Y31" s="318">
        <f>'Rem. Anticipos R2'!P384</f>
        <v>0</v>
      </c>
      <c r="Z31" s="319">
        <f>L31*-1</f>
        <v>0</v>
      </c>
      <c r="AA31" s="320">
        <f>'Rem. Anticipos R2'!Q384</f>
        <v>0</v>
      </c>
      <c r="AB31" s="294">
        <f>N31</f>
        <v>0</v>
      </c>
      <c r="AC31" s="320">
        <f>'Rem. Anticipos R2'!R384</f>
        <v>0</v>
      </c>
      <c r="AD31" s="291">
        <f t="shared" si="9"/>
        <v>382600.2</v>
      </c>
      <c r="AE31" s="291">
        <f>'Rem. Anticipos R2'!E385</f>
        <v>382600.2</v>
      </c>
      <c r="AF31" s="322">
        <f>SUM(U31:AD31)</f>
        <v>382600.2</v>
      </c>
      <c r="AG31" s="522">
        <f t="shared" si="10"/>
        <v>-28823756.870000001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R2'!E468</f>
        <v>10379542.050000001</v>
      </c>
      <c r="E32" s="297">
        <f>'Rem. Anticipos R2'!F468</f>
        <v>0</v>
      </c>
      <c r="F32" s="297">
        <f>'Rem. Anticipos R2'!G468</f>
        <v>0</v>
      </c>
      <c r="G32" s="297">
        <f>'Rem. Anticipos R2'!H468</f>
        <v>0</v>
      </c>
      <c r="H32" s="297">
        <f>'Rem. Anticipos R2'!I468</f>
        <v>0</v>
      </c>
      <c r="I32" s="297">
        <f>'Rem. Anticipos R2'!J468</f>
        <v>0</v>
      </c>
      <c r="J32" s="289">
        <v>0</v>
      </c>
      <c r="K32" s="295">
        <f>D32-E32-F32-G32-H32-I32-J32</f>
        <v>10379542.050000001</v>
      </c>
      <c r="L32" s="294">
        <v>0</v>
      </c>
      <c r="M32" s="298">
        <f>K32-L32</f>
        <v>10379542.050000001</v>
      </c>
      <c r="N32" s="299">
        <f>'Rem. Anticipos R2'!K468</f>
        <v>0</v>
      </c>
      <c r="O32" s="298">
        <f t="shared" si="6"/>
        <v>10379542.050000001</v>
      </c>
      <c r="Q32" s="306"/>
      <c r="S32" s="324">
        <v>5</v>
      </c>
      <c r="T32" s="325" t="s">
        <v>14</v>
      </c>
      <c r="U32" s="296">
        <f>'Rem. Anticipos R2'!L468</f>
        <v>0</v>
      </c>
      <c r="V32" s="297">
        <f>'Rem. Anticipos R2'!M468</f>
        <v>0</v>
      </c>
      <c r="W32" s="297">
        <f>'Rem. Anticipos R2'!N468</f>
        <v>0</v>
      </c>
      <c r="X32" s="297">
        <f>'Rem. Anticipos R2'!O468</f>
        <v>0</v>
      </c>
      <c r="Y32" s="289">
        <f>'Rem. Anticipos R2'!P468</f>
        <v>0</v>
      </c>
      <c r="Z32" s="319">
        <f>L32*-1</f>
        <v>0</v>
      </c>
      <c r="AA32" s="320">
        <f>'Rem. Anticipos R2'!Q468</f>
        <v>0</v>
      </c>
      <c r="AB32" s="294">
        <f>N32</f>
        <v>0</v>
      </c>
      <c r="AC32" s="320">
        <f>'Rem. Anticipos R2'!R468</f>
        <v>0</v>
      </c>
      <c r="AD32" s="291">
        <f t="shared" si="9"/>
        <v>-33324.080000000002</v>
      </c>
      <c r="AE32" s="291">
        <f>'Rem. Anticipos R2'!E469</f>
        <v>-33324.080000000002</v>
      </c>
      <c r="AF32" s="322">
        <f>SUM(U32:AD32)</f>
        <v>-33324.080000000002</v>
      </c>
      <c r="AG32" s="523">
        <f>(AF32-O32)</f>
        <v>-10412866.130000001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180383356.49000001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180383356.49000001</v>
      </c>
      <c r="L33" s="301">
        <f t="shared" si="11"/>
        <v>0</v>
      </c>
      <c r="M33" s="302">
        <f t="shared" si="11"/>
        <v>180383356.49000001</v>
      </c>
      <c r="N33" s="301">
        <f t="shared" si="11"/>
        <v>86819.239999999991</v>
      </c>
      <c r="O33" s="302">
        <f t="shared" si="11"/>
        <v>180470175.73000002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86819.239999999991</v>
      </c>
      <c r="AC33" s="290">
        <f t="shared" ref="AC33" si="14">SUM(AC28:AC32)</f>
        <v>0</v>
      </c>
      <c r="AD33" s="290">
        <f>SUM(AD28:AD32)</f>
        <v>-24911450.439999994</v>
      </c>
      <c r="AE33" s="290">
        <f>SUM(AE28:AE32)</f>
        <v>-24911450.439999994</v>
      </c>
      <c r="AF33" s="331">
        <f t="shared" si="13"/>
        <v>-24824631.199999996</v>
      </c>
      <c r="AG33" s="524">
        <f t="shared" ref="AG33" si="15">SUM(AG28:AG32)</f>
        <v>-205294806.93000001</v>
      </c>
      <c r="AH33" s="305" t="b">
        <f>INT(AG33)=0</f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R1'!F77</f>
        <v>648870</v>
      </c>
      <c r="E47" s="292">
        <f>'Reporte Componentes R1'!G77</f>
        <v>29223.59</v>
      </c>
      <c r="F47" s="292">
        <f>'Reporte Componentes R1'!H77</f>
        <v>16458.47</v>
      </c>
      <c r="G47" s="292">
        <f>'Reporte Componentes R1'!I77</f>
        <v>8660.2199999999993</v>
      </c>
      <c r="H47" s="292">
        <f>'Reporte Componentes R1'!J77</f>
        <v>141425.47</v>
      </c>
      <c r="I47" s="292">
        <f>'Reporte Componentes R1'!K77</f>
        <v>5825.54</v>
      </c>
      <c r="J47" s="288">
        <v>0</v>
      </c>
      <c r="K47" s="293">
        <f>D47-E47-F47-G47-H47-I47-J47</f>
        <v>447276.71000000014</v>
      </c>
      <c r="L47" s="294">
        <v>0</v>
      </c>
      <c r="M47" s="293">
        <f>K47-L47</f>
        <v>447276.71000000014</v>
      </c>
      <c r="N47" s="294">
        <f>'Reporte Componentes R1'!L77</f>
        <v>0</v>
      </c>
      <c r="O47" s="293">
        <f>M47+N47</f>
        <v>447276.71000000014</v>
      </c>
      <c r="Q47" s="306"/>
      <c r="S47" s="303">
        <v>1</v>
      </c>
      <c r="T47" s="304" t="s">
        <v>10</v>
      </c>
      <c r="U47" s="307">
        <f>'Reporte Componentes R1'!M77</f>
        <v>51101.37</v>
      </c>
      <c r="V47" s="308">
        <f>'Reporte Componentes R1'!N77</f>
        <v>51278.68</v>
      </c>
      <c r="W47" s="308">
        <f>'Reporte Componentes R1'!O77</f>
        <v>242748.43</v>
      </c>
      <c r="X47" s="308">
        <f>'Reporte Componentes R1'!P77</f>
        <v>79815.350000000006</v>
      </c>
      <c r="Y47" s="309">
        <f>'Reporte Componentes R1'!Q77</f>
        <v>9504.83</v>
      </c>
      <c r="Z47" s="310">
        <f>-L47</f>
        <v>0</v>
      </c>
      <c r="AA47" s="320">
        <f>'Reporte Componentes R1'!R77+'Reporte Componentes R1'!V77+'Reporte Componentes R1'!U77</f>
        <v>5.12</v>
      </c>
      <c r="AB47" s="294">
        <f>N47</f>
        <v>0</v>
      </c>
      <c r="AC47" s="311">
        <f>'Reporte Componentes R1'!T77+'Reporte Componentes R1'!W77+'Reporte Componentes R1'!X77+'Reporte Componentes R1'!Y77+'Reporte Componentes R1'!Z77+'Reporte Componentes R1'!S77</f>
        <v>0</v>
      </c>
      <c r="AD47" s="291">
        <f>-J47+AE47</f>
        <v>12822.93</v>
      </c>
      <c r="AE47" s="291">
        <f>'Reporte Componentes R1'!F78</f>
        <v>12822.93</v>
      </c>
      <c r="AF47" s="313">
        <f>SUM(U47:AD47)</f>
        <v>447276.70999999996</v>
      </c>
      <c r="AG47" s="521">
        <f>(AF47-O47)</f>
        <v>-1.7462298274040222E-10</v>
      </c>
      <c r="AH47" s="305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R1'!F256</f>
        <v>9704974</v>
      </c>
      <c r="E48" s="292">
        <f>'Reporte Componentes R1'!G256</f>
        <v>651837.25</v>
      </c>
      <c r="F48" s="292">
        <f>'Reporte Componentes R1'!H256</f>
        <v>367261.1</v>
      </c>
      <c r="G48" s="292">
        <f>'Reporte Componentes R1'!I256</f>
        <v>196265.14</v>
      </c>
      <c r="H48" s="292">
        <f>'Reporte Componentes R1'!J256</f>
        <v>2936066.51</v>
      </c>
      <c r="I48" s="292">
        <f>'Reporte Componentes R1'!K256</f>
        <v>79272.710000000006</v>
      </c>
      <c r="J48" s="288">
        <v>0</v>
      </c>
      <c r="K48" s="295">
        <f t="shared" ref="K48:K51" si="16">D48-E48-F48-G48-H48-I48-J48</f>
        <v>5474271.29</v>
      </c>
      <c r="L48" s="294">
        <v>0</v>
      </c>
      <c r="M48" s="295">
        <f>K48-L48</f>
        <v>5474271.29</v>
      </c>
      <c r="N48" s="294">
        <f>'Reporte Componentes R1'!L256</f>
        <v>0</v>
      </c>
      <c r="O48" s="295">
        <f t="shared" ref="O48:O51" si="17">M48+N48</f>
        <v>5474271.29</v>
      </c>
      <c r="Q48" s="306"/>
      <c r="S48" s="314">
        <v>2</v>
      </c>
      <c r="T48" s="315" t="s">
        <v>11</v>
      </c>
      <c r="U48" s="316">
        <f>'Reporte Componentes R1'!M256</f>
        <v>695375.41</v>
      </c>
      <c r="V48" s="317">
        <f>'Reporte Componentes R1'!N256</f>
        <v>925873.97</v>
      </c>
      <c r="W48" s="317">
        <f>'Reporte Componentes R1'!O256</f>
        <v>4476434.58</v>
      </c>
      <c r="X48" s="317">
        <f>'Reporte Componentes R1'!P256</f>
        <v>1295216.93</v>
      </c>
      <c r="Y48" s="318">
        <f>'Reporte Componentes R1'!Q256</f>
        <v>130580.61</v>
      </c>
      <c r="Z48" s="319">
        <f>-L48</f>
        <v>0</v>
      </c>
      <c r="AA48" s="320">
        <f>'Reporte Componentes R1'!R256+'Reporte Componentes R1'!V256+'Reporte Componentes R1'!U256</f>
        <v>-101.63</v>
      </c>
      <c r="AB48" s="294">
        <f>N48</f>
        <v>0</v>
      </c>
      <c r="AC48" s="320">
        <f>'Reporte Componentes R1'!T256+'Reporte Componentes R1'!W256+'Reporte Componentes R1'!X256+'Reporte Componentes R1'!Y256+'Reporte Componentes R1'!Z256+'Reporte Componentes R1'!S256</f>
        <v>0.04</v>
      </c>
      <c r="AD48" s="291">
        <f t="shared" ref="AD48:AD51" si="18">-J48+AE48</f>
        <v>-2049108.62</v>
      </c>
      <c r="AE48" s="291">
        <f>'Reporte Componentes R1'!F257</f>
        <v>-2049108.62</v>
      </c>
      <c r="AF48" s="322">
        <f>SUM(U48:AD48)</f>
        <v>5474271.29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R1'!F417</f>
        <v>0</v>
      </c>
      <c r="E49" s="292">
        <f>'Reporte Componentes R1'!G417</f>
        <v>0</v>
      </c>
      <c r="F49" s="292">
        <f>'Reporte Componentes R1'!H417</f>
        <v>0</v>
      </c>
      <c r="G49" s="292">
        <f>'Reporte Componentes R1'!I417</f>
        <v>0</v>
      </c>
      <c r="H49" s="292">
        <f>'Reporte Componentes R1'!J417</f>
        <v>0</v>
      </c>
      <c r="I49" s="292">
        <f>'Reporte Componentes R1'!K417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R1'!L417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R1'!M417</f>
        <v>0</v>
      </c>
      <c r="V49" s="317">
        <f>'Reporte Componentes R1'!N417</f>
        <v>0</v>
      </c>
      <c r="W49" s="317">
        <f>'Reporte Componentes R1'!O417</f>
        <v>0</v>
      </c>
      <c r="X49" s="317">
        <f>'Reporte Componentes R1'!P417</f>
        <v>0</v>
      </c>
      <c r="Y49" s="318">
        <f>'Reporte Componentes R1'!Q417</f>
        <v>0</v>
      </c>
      <c r="Z49" s="319">
        <f>-L49</f>
        <v>0</v>
      </c>
      <c r="AA49" s="320">
        <f>'Reporte Componentes R1'!R417+'Reporte Componentes R1'!V417+'Reporte Componentes R1'!U417</f>
        <v>0</v>
      </c>
      <c r="AB49" s="294">
        <f>N49</f>
        <v>0</v>
      </c>
      <c r="AC49" s="320">
        <f>'Reporte Componentes R1'!T417+'Reporte Componentes R1'!W417+'Reporte Componentes R1'!X417+'Reporte Componentes R1'!Y417+'Reporte Componentes R1'!Z417+'Reporte Componentes R1'!S417</f>
        <v>0</v>
      </c>
      <c r="AD49" s="291">
        <f t="shared" si="18"/>
        <v>0</v>
      </c>
      <c r="AE49" s="291">
        <f>'Reporte Componentes R1'!F418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R1'!F570</f>
        <v>21557177</v>
      </c>
      <c r="E50" s="292">
        <f>'Reporte Componentes R1'!G570</f>
        <v>1278757.6399999999</v>
      </c>
      <c r="F50" s="292">
        <f>'Reporte Componentes R1'!H570</f>
        <v>719798.43</v>
      </c>
      <c r="G50" s="292">
        <f>'Reporte Componentes R1'!I570</f>
        <v>385650.58</v>
      </c>
      <c r="H50" s="292">
        <f>'Reporte Componentes R1'!J570</f>
        <v>5181365.16</v>
      </c>
      <c r="I50" s="292">
        <f>'Reporte Componentes R1'!K570</f>
        <v>155526.07999999999</v>
      </c>
      <c r="J50" s="288">
        <v>0</v>
      </c>
      <c r="K50" s="295">
        <f t="shared" si="16"/>
        <v>13836079.110000001</v>
      </c>
      <c r="L50" s="294">
        <v>0</v>
      </c>
      <c r="M50" s="295">
        <f>K50-L50</f>
        <v>13836079.110000001</v>
      </c>
      <c r="N50" s="294">
        <f>'Reporte Componentes R1'!L570</f>
        <v>0</v>
      </c>
      <c r="O50" s="295">
        <f t="shared" si="17"/>
        <v>13836079.110000001</v>
      </c>
      <c r="Q50" s="306"/>
      <c r="S50" s="314">
        <v>4</v>
      </c>
      <c r="T50" s="315" t="s">
        <v>13</v>
      </c>
      <c r="U50" s="316">
        <f>'Reporte Componentes R1'!M570</f>
        <v>1351292.3</v>
      </c>
      <c r="V50" s="317">
        <f>'Reporte Componentes R1'!N570</f>
        <v>1669548.6</v>
      </c>
      <c r="W50" s="317">
        <f>'Reporte Componentes R1'!O570</f>
        <v>8617443.8699999992</v>
      </c>
      <c r="X50" s="317">
        <f>'Reporte Componentes R1'!P570</f>
        <v>3417030.91</v>
      </c>
      <c r="Y50" s="318">
        <f>'Reporte Componentes R1'!Q570</f>
        <v>255177.82</v>
      </c>
      <c r="Z50" s="319">
        <f>-L50</f>
        <v>0</v>
      </c>
      <c r="AA50" s="320">
        <f>'Reporte Componentes R1'!R570+'Reporte Componentes R1'!V570+'Reporte Componentes R1'!U570</f>
        <v>-9.0500000000000007</v>
      </c>
      <c r="AB50" s="294">
        <f>N50</f>
        <v>0</v>
      </c>
      <c r="AC50" s="320">
        <f>'Reporte Componentes R1'!T570+'Reporte Componentes R1'!W570+'Reporte Componentes R1'!X570+'Reporte Componentes R1'!Y570+'Reporte Componentes R1'!Z570+'Reporte Componentes R1'!S570</f>
        <v>0</v>
      </c>
      <c r="AD50" s="291">
        <f t="shared" si="18"/>
        <v>-1474405.34</v>
      </c>
      <c r="AE50" s="291">
        <f>'Reporte Componentes R1'!F571</f>
        <v>-1474405.34</v>
      </c>
      <c r="AF50" s="322">
        <f t="shared" si="20"/>
        <v>13836079.109999999</v>
      </c>
      <c r="AG50" s="522">
        <f t="shared" si="21"/>
        <v>-1.862645149230957E-9</v>
      </c>
      <c r="AH50" s="305" t="b">
        <f t="shared" si="19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R1'!F682</f>
        <v>0</v>
      </c>
      <c r="E51" s="297">
        <f>'Reporte Componentes R1'!G682</f>
        <v>0</v>
      </c>
      <c r="F51" s="297">
        <f>'Reporte Componentes R1'!H682</f>
        <v>0</v>
      </c>
      <c r="G51" s="297">
        <f>'Reporte Componentes R1'!I682</f>
        <v>0</v>
      </c>
      <c r="H51" s="297">
        <f>'Reporte Componentes R1'!J682</f>
        <v>0</v>
      </c>
      <c r="I51" s="297">
        <f>'Reporte Componentes R1'!K682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R1'!L682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R1'!M682</f>
        <v>0</v>
      </c>
      <c r="V51" s="297">
        <f>'Reporte Componentes R1'!N682</f>
        <v>0</v>
      </c>
      <c r="W51" s="297">
        <f>'Reporte Componentes R1'!O682</f>
        <v>0</v>
      </c>
      <c r="X51" s="297">
        <f>'Reporte Componentes R1'!P682</f>
        <v>0</v>
      </c>
      <c r="Y51" s="289">
        <f>'Reporte Componentes R1'!Q682</f>
        <v>0</v>
      </c>
      <c r="Z51" s="319">
        <f>-L51</f>
        <v>0</v>
      </c>
      <c r="AA51" s="320">
        <f>'Reporte Componentes R1'!R682+'Reporte Componentes R1'!V682+'Reporte Componentes R1'!U682</f>
        <v>0</v>
      </c>
      <c r="AB51" s="294">
        <f>N51</f>
        <v>0</v>
      </c>
      <c r="AC51" s="320">
        <f>'Reporte Componentes R1'!T682+'Reporte Componentes R1'!W682+'Reporte Componentes R1'!X682+'Reporte Componentes R1'!Y682+'Reporte Componentes R1'!Z682+'Reporte Componentes R1'!S682</f>
        <v>0</v>
      </c>
      <c r="AD51" s="291">
        <f t="shared" si="18"/>
        <v>0</v>
      </c>
      <c r="AE51" s="291">
        <f>'Reporte Componentes R1'!F683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31911021</v>
      </c>
      <c r="E52" s="290">
        <f t="shared" si="22"/>
        <v>1959818.48</v>
      </c>
      <c r="F52" s="290">
        <f t="shared" si="22"/>
        <v>1103518</v>
      </c>
      <c r="G52" s="290">
        <f t="shared" ref="G52" si="23">SUM(G47:G51)</f>
        <v>590575.94000000006</v>
      </c>
      <c r="H52" s="290">
        <f t="shared" si="22"/>
        <v>8258857.1400000006</v>
      </c>
      <c r="I52" s="290">
        <f t="shared" si="22"/>
        <v>240624.33</v>
      </c>
      <c r="J52" s="290">
        <f t="shared" si="22"/>
        <v>0</v>
      </c>
      <c r="K52" s="300">
        <f t="shared" si="22"/>
        <v>19757627.109999999</v>
      </c>
      <c r="L52" s="301">
        <f t="shared" si="22"/>
        <v>0</v>
      </c>
      <c r="M52" s="302">
        <f t="shared" si="22"/>
        <v>19757627.109999999</v>
      </c>
      <c r="N52" s="301">
        <f t="shared" si="22"/>
        <v>0</v>
      </c>
      <c r="O52" s="302">
        <f t="shared" si="22"/>
        <v>19757627.109999999</v>
      </c>
      <c r="P52" s="329"/>
      <c r="Q52" s="306"/>
      <c r="S52" s="327"/>
      <c r="T52" s="328" t="s">
        <v>2</v>
      </c>
      <c r="U52" s="330">
        <f>SUM(U47:U51)</f>
        <v>2097769.08</v>
      </c>
      <c r="V52" s="330">
        <f t="shared" ref="V52:AG52" si="24">SUM(V47:V51)</f>
        <v>2646701.25</v>
      </c>
      <c r="W52" s="330">
        <f t="shared" si="24"/>
        <v>13336626.879999999</v>
      </c>
      <c r="X52" s="330">
        <f t="shared" si="24"/>
        <v>4792063.1900000004</v>
      </c>
      <c r="Y52" s="330">
        <f t="shared" si="24"/>
        <v>395263.26</v>
      </c>
      <c r="Z52" s="290">
        <f t="shared" si="24"/>
        <v>0</v>
      </c>
      <c r="AA52" s="290">
        <f t="shared" si="24"/>
        <v>-105.55999999999999</v>
      </c>
      <c r="AB52" s="290">
        <f t="shared" si="24"/>
        <v>0</v>
      </c>
      <c r="AC52" s="290">
        <f t="shared" si="24"/>
        <v>0.04</v>
      </c>
      <c r="AD52" s="290">
        <f>SUM(AD47:AD51)</f>
        <v>-3510691.0300000003</v>
      </c>
      <c r="AE52" s="290">
        <f>SUM(AE47:AE51)</f>
        <v>-3510691.0300000003</v>
      </c>
      <c r="AF52" s="331">
        <f t="shared" si="24"/>
        <v>19757627.109999999</v>
      </c>
      <c r="AG52" s="524">
        <f t="shared" si="24"/>
        <v>-2.0372681319713593E-9</v>
      </c>
      <c r="AH52" s="305" t="b">
        <f>INT(AG52)=0</f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23268423.660000004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R4'!D73</f>
        <v>-3833780</v>
      </c>
      <c r="E66" s="292">
        <f>'Reversion Pagos R4'!E73</f>
        <v>0</v>
      </c>
      <c r="F66" s="292">
        <f>'Reversion Pagos R4'!F73</f>
        <v>0</v>
      </c>
      <c r="G66" s="292">
        <f>'Reversion Pagos R4'!G73</f>
        <v>0</v>
      </c>
      <c r="H66" s="292">
        <f>'Reversion Pagos R4'!H73</f>
        <v>0</v>
      </c>
      <c r="I66" s="292">
        <f>'Reversion Pagos R4'!I73</f>
        <v>0</v>
      </c>
      <c r="J66" s="288">
        <v>0</v>
      </c>
      <c r="K66" s="293">
        <f>D66-E66-F66-G66-H66-I66-J66</f>
        <v>-3833780</v>
      </c>
      <c r="L66" s="294">
        <v>0</v>
      </c>
      <c r="M66" s="293">
        <f>K66-L66</f>
        <v>-3833780</v>
      </c>
      <c r="N66" s="294">
        <f>'Reversion Pagos R4'!P73</f>
        <v>0</v>
      </c>
      <c r="O66" s="293">
        <f>M66+N66</f>
        <v>-3833780</v>
      </c>
      <c r="Q66" s="306"/>
      <c r="S66" s="303">
        <v>1</v>
      </c>
      <c r="T66" s="304" t="s">
        <v>10</v>
      </c>
      <c r="U66" s="307">
        <f>'Reversion Pagos R4'!J73</f>
        <v>0</v>
      </c>
      <c r="V66" s="308">
        <f>'Reversion Pagos R4'!K73</f>
        <v>0</v>
      </c>
      <c r="W66" s="308">
        <f>'Reversion Pagos R4'!L73</f>
        <v>0</v>
      </c>
      <c r="X66" s="308">
        <f>'Reversion Pagos R4'!M73</f>
        <v>0</v>
      </c>
      <c r="Y66" s="308">
        <f>'Reversion Pagos R4'!N73</f>
        <v>0</v>
      </c>
      <c r="Z66" s="310">
        <f>-L66</f>
        <v>0</v>
      </c>
      <c r="AA66" s="320">
        <f>'Reversion Pagos R4'!O73</f>
        <v>0</v>
      </c>
      <c r="AB66" s="294">
        <f>N66</f>
        <v>0</v>
      </c>
      <c r="AC66" s="320">
        <f>+'Reversion Pagos R4'!Q73+'Reversion Pagos R4'!R73</f>
        <v>0</v>
      </c>
      <c r="AD66" s="291">
        <f>-J66+AE66</f>
        <v>0</v>
      </c>
      <c r="AE66" s="291">
        <f>'Reversion Pagos R4'!D74</f>
        <v>0</v>
      </c>
      <c r="AF66" s="313">
        <f>SUM(U66:AD66)</f>
        <v>0</v>
      </c>
      <c r="AG66" s="521">
        <f>(AF66-O66)</f>
        <v>3833780</v>
      </c>
      <c r="AH66" s="305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R4'!D174</f>
        <v>-21803648.449999999</v>
      </c>
      <c r="E67" s="292">
        <f>'Reversion Pagos R4'!E174</f>
        <v>0</v>
      </c>
      <c r="F67" s="292">
        <f>'Reversion Pagos R4'!F174</f>
        <v>0</v>
      </c>
      <c r="G67" s="292">
        <f>'Reversion Pagos R4'!G174</f>
        <v>0</v>
      </c>
      <c r="H67" s="292">
        <f>'Reversion Pagos R4'!H174</f>
        <v>0</v>
      </c>
      <c r="I67" s="292">
        <f>'Reversion Pagos R4'!I174</f>
        <v>0</v>
      </c>
      <c r="J67" s="288">
        <v>0</v>
      </c>
      <c r="K67" s="295">
        <f t="shared" ref="K67:K70" si="25">D67-E67-F67-G67-H67-I67-J67</f>
        <v>-21803648.449999999</v>
      </c>
      <c r="L67" s="294">
        <v>0</v>
      </c>
      <c r="M67" s="295">
        <f>K67-L67</f>
        <v>-21803648.449999999</v>
      </c>
      <c r="N67" s="294">
        <f>'Reversion Pagos R4'!P174</f>
        <v>0</v>
      </c>
      <c r="O67" s="295">
        <f t="shared" ref="O67:O70" si="26">M67+N67</f>
        <v>-21803648.449999999</v>
      </c>
      <c r="Q67" s="306"/>
      <c r="S67" s="314">
        <v>2</v>
      </c>
      <c r="T67" s="315" t="s">
        <v>11</v>
      </c>
      <c r="U67" s="316">
        <f>'Reversion Pagos R4'!J174</f>
        <v>0</v>
      </c>
      <c r="V67" s="317">
        <f>'Reversion Pagos R4'!K174</f>
        <v>0</v>
      </c>
      <c r="W67" s="317">
        <f>'Reversion Pagos R4'!L174</f>
        <v>0</v>
      </c>
      <c r="X67" s="317">
        <f>'Reversion Pagos R4'!M174</f>
        <v>0</v>
      </c>
      <c r="Y67" s="318">
        <f>'Reversion Pagos R4'!N174</f>
        <v>0</v>
      </c>
      <c r="Z67" s="319">
        <f t="shared" ref="Z67:Z70" si="27">-L67</f>
        <v>0</v>
      </c>
      <c r="AA67" s="320">
        <f>'Reversion Pagos R4'!O174</f>
        <v>0</v>
      </c>
      <c r="AB67" s="294">
        <f t="shared" ref="AB67:AB70" si="28">N67</f>
        <v>0</v>
      </c>
      <c r="AC67" s="320">
        <f>+'Reversion Pagos R4'!Q174+'Reversion Pagos R4'!R174</f>
        <v>0</v>
      </c>
      <c r="AD67" s="291">
        <f>-J67+AE67</f>
        <v>0</v>
      </c>
      <c r="AE67" s="291">
        <f>'Reversion Pagos R4'!D175</f>
        <v>0</v>
      </c>
      <c r="AF67" s="322">
        <f>SUM(U67:AD67)</f>
        <v>0</v>
      </c>
      <c r="AG67" s="522">
        <f>(AF67-O67)</f>
        <v>21803648.449999999</v>
      </c>
      <c r="AH67" s="305" t="b">
        <f t="shared" ref="AH67:AH70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R4'!D211</f>
        <v>-2259272</v>
      </c>
      <c r="E68" s="292">
        <f>'Reversion Pagos R4'!E211</f>
        <v>0</v>
      </c>
      <c r="F68" s="292">
        <f>'Reversion Pagos R4'!F211</f>
        <v>0</v>
      </c>
      <c r="G68" s="292">
        <f>'Reversion Pagos R4'!G211</f>
        <v>0</v>
      </c>
      <c r="H68" s="292">
        <f>'Reversion Pagos R4'!H211</f>
        <v>0</v>
      </c>
      <c r="I68" s="292">
        <f>'Reversion Pagos R4'!I211</f>
        <v>0</v>
      </c>
      <c r="J68" s="288">
        <v>0</v>
      </c>
      <c r="K68" s="295">
        <f t="shared" si="25"/>
        <v>-2259272</v>
      </c>
      <c r="L68" s="294">
        <v>0</v>
      </c>
      <c r="M68" s="295">
        <f>K68-L68</f>
        <v>-2259272</v>
      </c>
      <c r="N68" s="294">
        <f>'Reversion Pagos R4'!P211</f>
        <v>0</v>
      </c>
      <c r="O68" s="295">
        <f t="shared" si="26"/>
        <v>-2259272</v>
      </c>
      <c r="Q68" s="306"/>
      <c r="S68" s="314">
        <v>3</v>
      </c>
      <c r="T68" s="315" t="s">
        <v>12</v>
      </c>
      <c r="U68" s="316">
        <f>'Reversion Pagos R4'!J211</f>
        <v>0</v>
      </c>
      <c r="V68" s="317">
        <f>'Reversion Pagos R4'!K211</f>
        <v>0</v>
      </c>
      <c r="W68" s="317">
        <f>'Reversion Pagos R4'!L211</f>
        <v>0</v>
      </c>
      <c r="X68" s="317">
        <f>'Reversion Pagos R4'!M211</f>
        <v>0</v>
      </c>
      <c r="Y68" s="318">
        <f>'Reversion Pagos R4'!N211</f>
        <v>0</v>
      </c>
      <c r="Z68" s="319">
        <f t="shared" si="27"/>
        <v>0</v>
      </c>
      <c r="AA68" s="320">
        <f>'Reversion Pagos R4'!O211</f>
        <v>0</v>
      </c>
      <c r="AB68" s="294">
        <f t="shared" si="28"/>
        <v>0</v>
      </c>
      <c r="AC68" s="320">
        <f>+'Reversion Pagos R4'!Q211+'Reversion Pagos R4'!R211</f>
        <v>0</v>
      </c>
      <c r="AD68" s="291">
        <f t="shared" ref="AD68:AD69" si="30">-J68+AE68</f>
        <v>0</v>
      </c>
      <c r="AE68" s="291">
        <f>'Reversion Pagos R4'!D212</f>
        <v>0</v>
      </c>
      <c r="AF68" s="322">
        <f t="shared" ref="AF68:AF70" si="31">SUM(U68:AD68)</f>
        <v>0</v>
      </c>
      <c r="AG68" s="522">
        <f t="shared" ref="AG68:AG70" si="32">(AF68-O68)</f>
        <v>2259272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R4'!D326</f>
        <v>-41558585.399999999</v>
      </c>
      <c r="E69" s="292">
        <f>'Reversion Pagos R4'!E326</f>
        <v>0</v>
      </c>
      <c r="F69" s="292">
        <f>'Reversion Pagos R4'!F326</f>
        <v>0</v>
      </c>
      <c r="G69" s="292">
        <f>'Reversion Pagos R4'!G326</f>
        <v>0</v>
      </c>
      <c r="H69" s="292">
        <f>'Reversion Pagos R4'!H326</f>
        <v>0</v>
      </c>
      <c r="I69" s="292">
        <f>'Reversion Pagos R4'!I326</f>
        <v>0</v>
      </c>
      <c r="J69" s="288">
        <v>0</v>
      </c>
      <c r="K69" s="295">
        <f t="shared" si="25"/>
        <v>-41558585.399999999</v>
      </c>
      <c r="L69" s="294">
        <v>0</v>
      </c>
      <c r="M69" s="295">
        <f>K69-L69</f>
        <v>-41558585.399999999</v>
      </c>
      <c r="N69" s="294">
        <f>'Reversion Pagos R4'!P326</f>
        <v>0</v>
      </c>
      <c r="O69" s="295">
        <f t="shared" si="26"/>
        <v>-41558585.399999999</v>
      </c>
      <c r="Q69" s="306"/>
      <c r="S69" s="314">
        <v>4</v>
      </c>
      <c r="T69" s="315" t="s">
        <v>13</v>
      </c>
      <c r="U69" s="316">
        <f>'Reversion Pagos R4'!J326</f>
        <v>0</v>
      </c>
      <c r="V69" s="317">
        <f>'Reversion Pagos R4'!K326</f>
        <v>0</v>
      </c>
      <c r="W69" s="317">
        <f>'Reversion Pagos R4'!L326</f>
        <v>0</v>
      </c>
      <c r="X69" s="317">
        <f>'Reversion Pagos R4'!M326</f>
        <v>0</v>
      </c>
      <c r="Y69" s="318">
        <f>'Reversion Pagos R4'!N326</f>
        <v>0</v>
      </c>
      <c r="Z69" s="319">
        <f t="shared" si="27"/>
        <v>0</v>
      </c>
      <c r="AA69" s="320">
        <f>'Reversion Pagos R4'!O326</f>
        <v>0</v>
      </c>
      <c r="AB69" s="294">
        <f t="shared" si="28"/>
        <v>0</v>
      </c>
      <c r="AC69" s="320">
        <f>+'Reversion Pagos R4'!Q326+'Reversion Pagos R4'!R326</f>
        <v>0</v>
      </c>
      <c r="AD69" s="291">
        <f t="shared" si="30"/>
        <v>0</v>
      </c>
      <c r="AE69" s="291">
        <f>'Reversion Pagos R4'!D327</f>
        <v>0</v>
      </c>
      <c r="AF69" s="322">
        <f>SUM(U69:AD69)</f>
        <v>0</v>
      </c>
      <c r="AG69" s="522">
        <f>(AF69-O69)</f>
        <v>41558585.399999999</v>
      </c>
      <c r="AH69" s="305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R4'!D361</f>
        <v>-3964157</v>
      </c>
      <c r="E70" s="297">
        <f>'Reversion Pagos R4'!E361</f>
        <v>0</v>
      </c>
      <c r="F70" s="297">
        <f>'Reversion Pagos R4'!F361</f>
        <v>0</v>
      </c>
      <c r="G70" s="297">
        <f>'Reversion Pagos R4'!G361</f>
        <v>0</v>
      </c>
      <c r="H70" s="297">
        <f>'Reversion Pagos R4'!H361</f>
        <v>0</v>
      </c>
      <c r="I70" s="297">
        <f>'Reversion Pagos R4'!I361</f>
        <v>0</v>
      </c>
      <c r="J70" s="289">
        <v>0</v>
      </c>
      <c r="K70" s="295">
        <f t="shared" si="25"/>
        <v>-3964157</v>
      </c>
      <c r="L70" s="294">
        <v>0</v>
      </c>
      <c r="M70" s="298">
        <f>K70-L70</f>
        <v>-3964157</v>
      </c>
      <c r="N70" s="294">
        <f>'Reversion Pagos R4'!P361</f>
        <v>0</v>
      </c>
      <c r="O70" s="298">
        <f t="shared" si="26"/>
        <v>-3964157</v>
      </c>
      <c r="Q70" s="306"/>
      <c r="S70" s="324">
        <v>5</v>
      </c>
      <c r="T70" s="325" t="s">
        <v>14</v>
      </c>
      <c r="U70" s="296">
        <f>'Reversion Pagos R4'!J361</f>
        <v>0</v>
      </c>
      <c r="V70" s="297">
        <f>'Reversion Pagos R4'!K361</f>
        <v>0</v>
      </c>
      <c r="W70" s="297">
        <f>'Reversion Pagos R4'!L361</f>
        <v>0</v>
      </c>
      <c r="X70" s="297">
        <f>'Reversion Pagos R4'!M361</f>
        <v>0</v>
      </c>
      <c r="Y70" s="289">
        <f>'Reversion Pagos R4'!N361</f>
        <v>0</v>
      </c>
      <c r="Z70" s="319">
        <f t="shared" si="27"/>
        <v>0</v>
      </c>
      <c r="AA70" s="320">
        <f>'Reversion Pagos R4'!O361</f>
        <v>0</v>
      </c>
      <c r="AB70" s="294">
        <f t="shared" si="28"/>
        <v>0</v>
      </c>
      <c r="AC70" s="320">
        <f>+'Reversion Pagos R4'!Q361+'Reversion Pagos R4'!R361</f>
        <v>0</v>
      </c>
      <c r="AD70" s="291">
        <f>-J70+AE70</f>
        <v>0</v>
      </c>
      <c r="AE70" s="291">
        <f>'Reversion Pagos R4'!D362</f>
        <v>0</v>
      </c>
      <c r="AF70" s="322">
        <f t="shared" si="31"/>
        <v>0</v>
      </c>
      <c r="AG70" s="523">
        <f t="shared" si="32"/>
        <v>3964157</v>
      </c>
      <c r="AH70" s="305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-73419442.849999994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-73419442.849999994</v>
      </c>
      <c r="L71" s="301">
        <f t="shared" si="33"/>
        <v>0</v>
      </c>
      <c r="M71" s="302">
        <f t="shared" si="33"/>
        <v>-73419442.849999994</v>
      </c>
      <c r="N71" s="301">
        <f t="shared" si="33"/>
        <v>0</v>
      </c>
      <c r="O71" s="302">
        <f t="shared" si="33"/>
        <v>-73419442.849999994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73419442.849999994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14842425135.769999</v>
      </c>
      <c r="E104" s="292">
        <f t="shared" si="47"/>
        <v>841835259.24000001</v>
      </c>
      <c r="F104" s="292">
        <f t="shared" si="47"/>
        <v>468934429.98000002</v>
      </c>
      <c r="G104" s="292">
        <f t="shared" ref="G104" si="48">G9+G28+G47+G66+G85</f>
        <v>249665577.34</v>
      </c>
      <c r="H104" s="292">
        <f t="shared" ref="H104:J108" si="49">H9+H28+H47+H66+H85</f>
        <v>4756987535.8000011</v>
      </c>
      <c r="I104" s="292">
        <f t="shared" si="49"/>
        <v>158503798.81</v>
      </c>
      <c r="J104" s="288">
        <f t="shared" si="49"/>
        <v>2153950828.1600003</v>
      </c>
      <c r="K104" s="293">
        <f>D104-E104-F104-G104-H104-I104-J104</f>
        <v>6212547706.4399967</v>
      </c>
      <c r="L104" s="294">
        <f>L9+L28+L47+L66+L85</f>
        <v>189185987</v>
      </c>
      <c r="M104" s="293">
        <f>K104-L104</f>
        <v>6023361719.4399967</v>
      </c>
      <c r="N104" s="294">
        <f>N9+N28+N47+N66+N85</f>
        <v>19931693.030000001</v>
      </c>
      <c r="O104" s="293">
        <f>M104+N104</f>
        <v>6043293412.4699965</v>
      </c>
      <c r="Q104" s="306"/>
      <c r="S104" s="303">
        <v>1</v>
      </c>
      <c r="T104" s="304" t="s">
        <v>10</v>
      </c>
      <c r="U104" s="307">
        <f t="shared" ref="U104:AB108" si="50">U9+U28+U47+U66+U85</f>
        <v>1391786702.5999999</v>
      </c>
      <c r="V104" s="308">
        <f t="shared" si="50"/>
        <v>1316009885.8500001</v>
      </c>
      <c r="W104" s="308">
        <f t="shared" si="50"/>
        <v>6272474935.1999998</v>
      </c>
      <c r="X104" s="308">
        <f t="shared" si="50"/>
        <v>2290968884.2599998</v>
      </c>
      <c r="Y104" s="309">
        <f t="shared" si="50"/>
        <v>258754368.69000003</v>
      </c>
      <c r="Z104" s="310">
        <f t="shared" si="50"/>
        <v>-189185987</v>
      </c>
      <c r="AA104" s="311">
        <f>AA9+AA28+AA47+AA66+AA85</f>
        <v>-27796.54</v>
      </c>
      <c r="AB104" s="294">
        <f t="shared" si="50"/>
        <v>19931693.030000001</v>
      </c>
      <c r="AC104" s="311">
        <f>AC9+AC28+AC47+AC66+AC85</f>
        <v>149.13</v>
      </c>
      <c r="AD104" s="291">
        <f>-J104+AE104</f>
        <v>-5344862385.1700001</v>
      </c>
      <c r="AE104" s="291">
        <f>AE9+AE28+AE47+AE66+AE85</f>
        <v>-3190911557.0100002</v>
      </c>
      <c r="AF104" s="313">
        <f>SUM(U104:AD104)</f>
        <v>6015850450.0499992</v>
      </c>
      <c r="AG104" s="521">
        <f>AF104-O104</f>
        <v>-27442962.419997215</v>
      </c>
      <c r="AH104" s="305" t="b">
        <f>INT(AG104)=0</f>
        <v>0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11302637604.959999</v>
      </c>
      <c r="E105" s="292">
        <f>E10+E29+E48+E67+E86</f>
        <v>873906144.08000004</v>
      </c>
      <c r="F105" s="292">
        <f t="shared" si="47"/>
        <v>483830193.30000001</v>
      </c>
      <c r="G105" s="292">
        <f t="shared" ref="G105" si="51">G10+G29+G48+G67+G86</f>
        <v>256505918.23999998</v>
      </c>
      <c r="H105" s="292">
        <f t="shared" si="49"/>
        <v>3576556628.1500001</v>
      </c>
      <c r="I105" s="292">
        <f t="shared" si="49"/>
        <v>126707039.83999999</v>
      </c>
      <c r="J105" s="288">
        <f t="shared" si="49"/>
        <v>-4217145526.9099998</v>
      </c>
      <c r="K105" s="295">
        <f t="shared" ref="K105:K108" si="52">D105-E105-F105-G105-H105-I105-J105</f>
        <v>10202277208.26</v>
      </c>
      <c r="L105" s="294">
        <f>L10+L29+L48+L67+L86</f>
        <v>266580255</v>
      </c>
      <c r="M105" s="295">
        <f>K105-L105</f>
        <v>9935696953.2600002</v>
      </c>
      <c r="N105" s="294">
        <f>N10+N29+N48+N67+N86</f>
        <v>9905072.7599999998</v>
      </c>
      <c r="O105" s="295">
        <f t="shared" ref="O105:O108" si="53">M105+N105</f>
        <v>9945602026.0200005</v>
      </c>
      <c r="Q105" s="306"/>
      <c r="S105" s="314">
        <v>2</v>
      </c>
      <c r="T105" s="315" t="s">
        <v>11</v>
      </c>
      <c r="U105" s="316">
        <f t="shared" si="50"/>
        <v>1111694675.1200001</v>
      </c>
      <c r="V105" s="317">
        <f t="shared" si="50"/>
        <v>1069081811.17</v>
      </c>
      <c r="W105" s="317">
        <f t="shared" si="50"/>
        <v>5079148400.1199999</v>
      </c>
      <c r="X105" s="317">
        <f t="shared" si="50"/>
        <v>1714098215.3400002</v>
      </c>
      <c r="Y105" s="318">
        <f t="shared" si="50"/>
        <v>206892541.01000002</v>
      </c>
      <c r="Z105" s="319">
        <f t="shared" si="50"/>
        <v>-266580255</v>
      </c>
      <c r="AA105" s="320">
        <f>AA10+AA29+AA48+AA67+AA86</f>
        <v>-14306.289999999999</v>
      </c>
      <c r="AB105" s="294">
        <f t="shared" si="50"/>
        <v>9905072.7599999998</v>
      </c>
      <c r="AC105" s="320">
        <f>AC10+AC29+AC48+AC67+AC86</f>
        <v>-56307.77</v>
      </c>
      <c r="AD105" s="291">
        <f t="shared" ref="AD105:AD107" si="54">-J105+AE105</f>
        <v>926896144.28999996</v>
      </c>
      <c r="AE105" s="291">
        <f>AE10+AE29+AE48+AE67+AE86</f>
        <v>-3290249382.6199999</v>
      </c>
      <c r="AF105" s="322">
        <f>SUM(U105:AD105)</f>
        <v>9851065990.75</v>
      </c>
      <c r="AG105" s="522">
        <f>AF105-O105</f>
        <v>-94536035.270000458</v>
      </c>
      <c r="AH105" s="305" t="b">
        <f t="shared" ref="AH105:AH108" si="55">INT(AG105)=0</f>
        <v>0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8823787300.3700008</v>
      </c>
      <c r="E106" s="292">
        <f t="shared" si="47"/>
        <v>569049058.22000003</v>
      </c>
      <c r="F106" s="292">
        <f t="shared" si="47"/>
        <v>317267488.88</v>
      </c>
      <c r="G106" s="292">
        <f t="shared" ref="G106" si="56">G11+G30+G49+G68+G87</f>
        <v>168517798.86000001</v>
      </c>
      <c r="H106" s="292">
        <f t="shared" si="49"/>
        <v>2429021539.6700001</v>
      </c>
      <c r="I106" s="292">
        <f t="shared" si="49"/>
        <v>86984010.540000007</v>
      </c>
      <c r="J106" s="288">
        <f t="shared" si="49"/>
        <v>-1288806337.0900002</v>
      </c>
      <c r="K106" s="295">
        <f t="shared" si="52"/>
        <v>6541753741.2900009</v>
      </c>
      <c r="L106" s="294">
        <f>L11+L30+L49+L68+L87</f>
        <v>154788535</v>
      </c>
      <c r="M106" s="295">
        <f>K106-L106</f>
        <v>6386965206.2900009</v>
      </c>
      <c r="N106" s="294">
        <f>N11+N30+N49+N68+N87</f>
        <v>19321799.949999999</v>
      </c>
      <c r="O106" s="295">
        <f t="shared" si="53"/>
        <v>6406287006.2400007</v>
      </c>
      <c r="Q106" s="306"/>
      <c r="S106" s="314">
        <v>3</v>
      </c>
      <c r="T106" s="315" t="s">
        <v>12</v>
      </c>
      <c r="U106" s="316">
        <f t="shared" si="50"/>
        <v>763682703.06000006</v>
      </c>
      <c r="V106" s="317">
        <f t="shared" si="50"/>
        <v>725018824.26999998</v>
      </c>
      <c r="W106" s="317">
        <f t="shared" si="50"/>
        <v>3444255866.5499997</v>
      </c>
      <c r="X106" s="317">
        <f t="shared" si="50"/>
        <v>1347916174.22</v>
      </c>
      <c r="Y106" s="318">
        <f t="shared" si="50"/>
        <v>142025975.44000003</v>
      </c>
      <c r="Z106" s="319">
        <f t="shared" si="50"/>
        <v>-154788535</v>
      </c>
      <c r="AA106" s="320">
        <f>AA11+AA30+AA49+AA68+AA87</f>
        <v>-81704.87</v>
      </c>
      <c r="AB106" s="294">
        <f t="shared" si="50"/>
        <v>19321799.949999999</v>
      </c>
      <c r="AC106" s="320">
        <f>AC11+AC30+AC49+AC68+AC87</f>
        <v>-41619.9</v>
      </c>
      <c r="AD106" s="291">
        <f t="shared" si="54"/>
        <v>102795036.73000026</v>
      </c>
      <c r="AE106" s="291">
        <f>AE11+AE30+AE49+AE68+AE87</f>
        <v>-1186011300.3599999</v>
      </c>
      <c r="AF106" s="322">
        <f>SUM(U106:AD106)</f>
        <v>6390104520.4499998</v>
      </c>
      <c r="AG106" s="522">
        <f>AF106-O106</f>
        <v>-16182485.790000916</v>
      </c>
      <c r="AH106" s="305" t="b">
        <f t="shared" si="55"/>
        <v>0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10483172762.089998</v>
      </c>
      <c r="E107" s="292">
        <f t="shared" ref="E107:F108" si="58">E12+E31+E50+E69+E88</f>
        <v>605948755.42999995</v>
      </c>
      <c r="F107" s="292">
        <f t="shared" si="58"/>
        <v>335895270.16999996</v>
      </c>
      <c r="G107" s="292">
        <f t="shared" ref="G107" si="59">G12+G31+G50+G69+G88</f>
        <v>179108611.82000002</v>
      </c>
      <c r="H107" s="292">
        <f t="shared" si="49"/>
        <v>2401366805.27</v>
      </c>
      <c r="I107" s="292">
        <f t="shared" si="49"/>
        <v>89808011.769999996</v>
      </c>
      <c r="J107" s="288">
        <f t="shared" si="49"/>
        <v>61531953.689999998</v>
      </c>
      <c r="K107" s="295">
        <f t="shared" si="52"/>
        <v>6809513353.9399977</v>
      </c>
      <c r="L107" s="294">
        <f>L12+L31+L50+L69+L88</f>
        <v>120391083</v>
      </c>
      <c r="M107" s="295">
        <f>K107-L107</f>
        <v>6689122270.9399977</v>
      </c>
      <c r="N107" s="294">
        <f>N12+N31+N50+N69+N88</f>
        <v>8643135.5800000001</v>
      </c>
      <c r="O107" s="295">
        <f>M107+N107</f>
        <v>6697765406.5199976</v>
      </c>
      <c r="Q107" s="306"/>
      <c r="S107" s="314">
        <v>4</v>
      </c>
      <c r="T107" s="315" t="s">
        <v>13</v>
      </c>
      <c r="U107" s="316">
        <f t="shared" si="50"/>
        <v>787165759.97000003</v>
      </c>
      <c r="V107" s="317">
        <f t="shared" si="50"/>
        <v>751593811.83000004</v>
      </c>
      <c r="W107" s="317">
        <f t="shared" si="50"/>
        <v>3889163679.0299997</v>
      </c>
      <c r="X107" s="317">
        <f t="shared" si="50"/>
        <v>1604125006.1100001</v>
      </c>
      <c r="Y107" s="318">
        <f t="shared" si="50"/>
        <v>146783082.90000001</v>
      </c>
      <c r="Z107" s="319">
        <f t="shared" si="50"/>
        <v>-120391083</v>
      </c>
      <c r="AA107" s="320">
        <f>AA12+AA31+AA50+AA69+AA88</f>
        <v>31933.3</v>
      </c>
      <c r="AB107" s="294">
        <f t="shared" si="50"/>
        <v>8643135.5800000001</v>
      </c>
      <c r="AC107" s="320">
        <f>AC12+AC31+AC50+AC69+AC88</f>
        <v>189.43</v>
      </c>
      <c r="AD107" s="291">
        <f t="shared" si="54"/>
        <v>-356615280.09999996</v>
      </c>
      <c r="AE107" s="291">
        <f>AE12+AE31+AE50+AE69+AE88</f>
        <v>-295083326.40999997</v>
      </c>
      <c r="AF107" s="322">
        <f>SUM(U107:AD107)</f>
        <v>6710500235.0500002</v>
      </c>
      <c r="AG107" s="522">
        <f>AF107-O107</f>
        <v>12734828.530002594</v>
      </c>
      <c r="AH107" s="305" t="b">
        <f t="shared" si="55"/>
        <v>0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7550668664.9899998</v>
      </c>
      <c r="E108" s="297">
        <f t="shared" si="58"/>
        <v>408145471.80000001</v>
      </c>
      <c r="F108" s="297">
        <f t="shared" si="58"/>
        <v>227118040.72999999</v>
      </c>
      <c r="G108" s="297">
        <f t="shared" ref="G108" si="60">G13+G32+G51+G70+G89</f>
        <v>120841029.03</v>
      </c>
      <c r="H108" s="297">
        <f t="shared" si="49"/>
        <v>1864267894.6400001</v>
      </c>
      <c r="I108" s="297">
        <f t="shared" si="49"/>
        <v>62073126.829999998</v>
      </c>
      <c r="J108" s="289">
        <f t="shared" si="49"/>
        <v>-1246473094.4099998</v>
      </c>
      <c r="K108" s="295">
        <f t="shared" si="52"/>
        <v>6114696196.3699999</v>
      </c>
      <c r="L108" s="294">
        <f>L13+L32+L51+L70+L89</f>
        <v>128990445</v>
      </c>
      <c r="M108" s="298">
        <f>K108-L108</f>
        <v>5985705751.3699999</v>
      </c>
      <c r="N108" s="299">
        <f>N13+N32+N51+N70+N89</f>
        <v>12379938.060000001</v>
      </c>
      <c r="O108" s="298">
        <f t="shared" si="53"/>
        <v>5998085689.4300003</v>
      </c>
      <c r="Q108" s="306"/>
      <c r="S108" s="324">
        <v>5</v>
      </c>
      <c r="T108" s="325" t="s">
        <v>14</v>
      </c>
      <c r="U108" s="296">
        <f t="shared" si="50"/>
        <v>544684335.76999998</v>
      </c>
      <c r="V108" s="297">
        <f t="shared" si="50"/>
        <v>512958805.74000001</v>
      </c>
      <c r="W108" s="297">
        <f t="shared" si="50"/>
        <v>2640560444.6500001</v>
      </c>
      <c r="X108" s="297">
        <f t="shared" si="50"/>
        <v>1214677726.3699999</v>
      </c>
      <c r="Y108" s="289">
        <f t="shared" si="50"/>
        <v>101292451</v>
      </c>
      <c r="Z108" s="319">
        <f t="shared" si="50"/>
        <v>-128990445</v>
      </c>
      <c r="AA108" s="320">
        <f>AA13+AA32+AA51+AA70+AA89</f>
        <v>10679.52</v>
      </c>
      <c r="AB108" s="294">
        <f t="shared" si="50"/>
        <v>12379938.060000001</v>
      </c>
      <c r="AC108" s="320">
        <f>AC13+AC32+AC51+AC70+AC89</f>
        <v>4.8600000000000003</v>
      </c>
      <c r="AD108" s="291">
        <f>-J108+AE108</f>
        <v>1094063039.3299999</v>
      </c>
      <c r="AE108" s="291">
        <f>AE13+AE32+AE51+AE70+AE89</f>
        <v>-152410055.08000001</v>
      </c>
      <c r="AF108" s="322">
        <f>SUM(U108:AD108)</f>
        <v>5991636980.3000002</v>
      </c>
      <c r="AG108" s="523">
        <f>AF108-O108</f>
        <v>-6448709.1300001144</v>
      </c>
      <c r="AH108" s="305" t="b">
        <f t="shared" si="55"/>
        <v>0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53002691468.179993</v>
      </c>
      <c r="E109" s="290">
        <f t="shared" si="61"/>
        <v>3298884688.77</v>
      </c>
      <c r="F109" s="290">
        <f t="shared" si="61"/>
        <v>1833045423.0599999</v>
      </c>
      <c r="G109" s="290">
        <f t="shared" ref="G109" si="62">SUM(G104:G108)</f>
        <v>974638935.29000008</v>
      </c>
      <c r="H109" s="290">
        <f t="shared" si="61"/>
        <v>15028200403.530001</v>
      </c>
      <c r="I109" s="290">
        <f t="shared" si="61"/>
        <v>524075987.78999996</v>
      </c>
      <c r="J109" s="290">
        <f t="shared" si="61"/>
        <v>-4536942176.5599995</v>
      </c>
      <c r="K109" s="300">
        <f t="shared" si="61"/>
        <v>35880788206.299995</v>
      </c>
      <c r="L109" s="301">
        <f t="shared" si="61"/>
        <v>859936305</v>
      </c>
      <c r="M109" s="302">
        <f t="shared" si="61"/>
        <v>35020851901.299995</v>
      </c>
      <c r="N109" s="301">
        <f t="shared" si="61"/>
        <v>70181639.379999995</v>
      </c>
      <c r="O109" s="302">
        <f>SUM(O104:O108)</f>
        <v>35091033540.679993</v>
      </c>
      <c r="P109" s="329"/>
      <c r="Q109" s="306"/>
      <c r="S109" s="327"/>
      <c r="T109" s="328" t="s">
        <v>2</v>
      </c>
      <c r="U109" s="330">
        <f>SUM(U104:U108)</f>
        <v>4599014176.5200005</v>
      </c>
      <c r="V109" s="330">
        <f t="shared" ref="V109:AF109" si="63">SUM(V104:V108)</f>
        <v>4374663138.8599997</v>
      </c>
      <c r="W109" s="330">
        <f t="shared" si="63"/>
        <v>21325603325.549999</v>
      </c>
      <c r="X109" s="330">
        <f t="shared" si="63"/>
        <v>8171786006.3000002</v>
      </c>
      <c r="Y109" s="330">
        <f t="shared" si="63"/>
        <v>855748419.04000008</v>
      </c>
      <c r="Z109" s="290">
        <f t="shared" si="63"/>
        <v>-859936305</v>
      </c>
      <c r="AA109" s="290">
        <f>SUM(AA104:AA108)</f>
        <v>-81194.87999999999</v>
      </c>
      <c r="AB109" s="290">
        <f t="shared" si="63"/>
        <v>70181639.379999995</v>
      </c>
      <c r="AC109" s="290">
        <f>SUM(AC104:AC108)</f>
        <v>-97584.250000000015</v>
      </c>
      <c r="AD109" s="290">
        <f t="shared" si="63"/>
        <v>-3577723444.9200001</v>
      </c>
      <c r="AE109" s="290">
        <f>SUM(AE104:AE108)</f>
        <v>-8114665621.4799995</v>
      </c>
      <c r="AF109" s="331">
        <f t="shared" si="63"/>
        <v>34959158176.599998</v>
      </c>
      <c r="AG109" s="524">
        <f>SUM(AG104:AG108)</f>
        <v>-131875364.07999611</v>
      </c>
      <c r="AH109" s="305" t="b">
        <f>INT(AG109)=0</f>
        <v>0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39326815066.270004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46857237.219999999</v>
      </c>
      <c r="E125" s="309">
        <v>0</v>
      </c>
      <c r="G125" s="336">
        <f>D47+N47</f>
        <v>648870</v>
      </c>
      <c r="H125" s="310">
        <f>D28+N28</f>
        <v>30588071.020000003</v>
      </c>
      <c r="I125" s="309">
        <f>D85+N85</f>
        <v>0</v>
      </c>
      <c r="J125" s="309">
        <f>D66+N66</f>
        <v>-3833780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52275662.099999994</v>
      </c>
      <c r="E126" s="288">
        <v>0</v>
      </c>
      <c r="G126" s="339">
        <f>D48+N48</f>
        <v>9704974</v>
      </c>
      <c r="H126" s="340">
        <f>D29+N29</f>
        <v>95705711.270000011</v>
      </c>
      <c r="I126" s="288">
        <f>D86+N86</f>
        <v>0</v>
      </c>
      <c r="J126" s="288">
        <f>D67+N67</f>
        <v>-21803648.449999999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13754369</v>
      </c>
      <c r="E127" s="288">
        <v>0</v>
      </c>
      <c r="G127" s="339">
        <f>D49+N49</f>
        <v>0</v>
      </c>
      <c r="H127" s="340">
        <f>D30+N30</f>
        <v>14590494.319999998</v>
      </c>
      <c r="I127" s="288">
        <f>D87+N87</f>
        <v>0</v>
      </c>
      <c r="J127" s="288">
        <f t="shared" ref="J127:J129" si="64">D68+N68</f>
        <v>-2259272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49700940</v>
      </c>
      <c r="E128" s="288">
        <v>0</v>
      </c>
      <c r="G128" s="339">
        <f>D50+N50</f>
        <v>21557177</v>
      </c>
      <c r="H128" s="340">
        <f>D31+N31</f>
        <v>29206357.07</v>
      </c>
      <c r="I128" s="288">
        <f>D88+N88</f>
        <v>0</v>
      </c>
      <c r="J128" s="288">
        <f t="shared" si="64"/>
        <v>-41558585.399999999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8596000</v>
      </c>
      <c r="E129" s="344">
        <v>0</v>
      </c>
      <c r="G129" s="339">
        <f>D51+N51</f>
        <v>0</v>
      </c>
      <c r="H129" s="340">
        <f>D32+N32</f>
        <v>10379542.050000001</v>
      </c>
      <c r="I129" s="288">
        <f>D89+N89</f>
        <v>0</v>
      </c>
      <c r="J129" s="288">
        <f t="shared" si="64"/>
        <v>-3964157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171184208.31999999</v>
      </c>
      <c r="E131" s="350">
        <f>SUM(E125:E130)</f>
        <v>0</v>
      </c>
      <c r="F131" s="351"/>
      <c r="G131" s="350">
        <f t="shared" ref="G131" si="65">SUM(G125:G129)</f>
        <v>31911021</v>
      </c>
      <c r="H131" s="350">
        <f>SUM(H125:H130)</f>
        <v>180470175.73000002</v>
      </c>
      <c r="I131" s="350">
        <f>SUM(I125:I130)</f>
        <v>0</v>
      </c>
      <c r="J131" s="350">
        <f>SUM(J125:J130)</f>
        <v>-73419442.849999994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14909214066.019999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30588071.020000003</v>
      </c>
      <c r="G142" s="110">
        <f>D66+N66</f>
        <v>-3833780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648870</v>
      </c>
      <c r="K142" s="111">
        <f t="shared" si="66"/>
        <v>30588071.020000003</v>
      </c>
      <c r="L142" s="597">
        <f>D142-E142-F142-G142-J142-H142-I142</f>
        <v>14881810904.999998</v>
      </c>
      <c r="M142" s="1" t="b">
        <f t="shared" ref="M142:M147" si="67">INT(ABS(L142))=0</f>
        <v>0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11364818339.82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95705711.270000011</v>
      </c>
      <c r="G143" s="18">
        <f>D67+N67</f>
        <v>-21803648.449999999</v>
      </c>
      <c r="H143" s="18">
        <f>D86+N86</f>
        <v>0</v>
      </c>
      <c r="I143" s="18">
        <f>('REPORTE RECAUDO x BANCO'!E64+'REPORTE RECAUDO x BANCO'!E65+'REPORTE RECAUDO x BANCO'!E66+'REPORTE RECAUDO x BANCO'!E76)</f>
        <v>1345550</v>
      </c>
      <c r="J143" s="18">
        <f>G126</f>
        <v>9704974</v>
      </c>
      <c r="K143" s="83">
        <f>H126</f>
        <v>95705711.270000011</v>
      </c>
      <c r="L143" s="597">
        <f>D143-E143-F143-G143-J143-H143-I143</f>
        <v>11279865753</v>
      </c>
      <c r="M143" s="1" t="b">
        <f t="shared" si="67"/>
        <v>0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8856863469.3200016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14590494.319999998</v>
      </c>
      <c r="G144" s="18">
        <f>D68+N68</f>
        <v>-2259272</v>
      </c>
      <c r="H144" s="18">
        <f>D87+N87</f>
        <v>0</v>
      </c>
      <c r="I144" s="18">
        <f>('REPORTE RECAUDO x BANCO'!E67+'REPORTE RECAUDO x BANCO'!E68+'REPORTE RECAUDO x BANCO'!E77)</f>
        <v>464422</v>
      </c>
      <c r="J144" s="18">
        <f>G127</f>
        <v>0</v>
      </c>
      <c r="K144" s="83">
        <f t="shared" si="66"/>
        <v>14590494.319999998</v>
      </c>
      <c r="L144" s="597">
        <f>D144-E144-F144-G144-J144-H144-I144</f>
        <v>8844067825.0000019</v>
      </c>
      <c r="M144" s="1" t="b">
        <f t="shared" si="6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10541516837.669998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29206357.07</v>
      </c>
      <c r="G145" s="18">
        <f>D69+N69</f>
        <v>-41558585.399999999</v>
      </c>
      <c r="H145" s="18">
        <f>D88+N88</f>
        <v>0</v>
      </c>
      <c r="I145" s="18">
        <f>('REPORTE RECAUDO x BANCO'!E69+'REPORTE RECAUDO x BANCO'!E70+'REPORTE RECAUDO x BANCO'!E71+'REPORTE RECAUDO x BANCO'!E78)</f>
        <v>218584</v>
      </c>
      <c r="J145" s="18">
        <f t="shared" si="66"/>
        <v>21557177</v>
      </c>
      <c r="K145" s="83">
        <f>H128</f>
        <v>29206357.07</v>
      </c>
      <c r="L145" s="597">
        <f t="shared" ref="L145:L147" si="68">D145-E145-F145-G145-J145-H145-I145</f>
        <v>10532093304.999998</v>
      </c>
      <c r="M145" s="1" t="b">
        <f t="shared" si="6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7571644603.0500002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10379542.050000001</v>
      </c>
      <c r="G146" s="134">
        <f>D70+N70</f>
        <v>-3964157</v>
      </c>
      <c r="H146" s="134">
        <f>D89+N89</f>
        <v>0</v>
      </c>
      <c r="I146" s="134">
        <f>('REPORTE RECAUDO x BANCO'!E72+'REPORTE RECAUDO x BANCO'!E73+'REPORTE RECAUDO x BANCO'!E79)</f>
        <v>687220</v>
      </c>
      <c r="J146" s="134">
        <f t="shared" si="66"/>
        <v>0</v>
      </c>
      <c r="K146" s="136">
        <f t="shared" si="66"/>
        <v>10379542.050000001</v>
      </c>
      <c r="L146" s="597">
        <f t="shared" si="68"/>
        <v>7564541998</v>
      </c>
      <c r="M146" s="1" t="b">
        <f t="shared" si="6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53244057315.879997</v>
      </c>
      <c r="E147" s="47">
        <f>SUM(E142:E146)</f>
        <v>0</v>
      </c>
      <c r="F147" s="47">
        <f t="shared" ref="F147:K147" si="69">SUM(F142:F146)</f>
        <v>180470175.73000002</v>
      </c>
      <c r="G147" s="47">
        <f t="shared" si="69"/>
        <v>-73419442.849999994</v>
      </c>
      <c r="H147" s="47">
        <f>SUM(H142:H146)</f>
        <v>0</v>
      </c>
      <c r="I147" s="47">
        <f t="shared" si="69"/>
        <v>2715776</v>
      </c>
      <c r="J147" s="47">
        <f t="shared" si="69"/>
        <v>31911021</v>
      </c>
      <c r="K147" s="47">
        <f t="shared" si="69"/>
        <v>180470175.73000002</v>
      </c>
      <c r="L147" s="597">
        <f t="shared" si="68"/>
        <v>53102379785.999992</v>
      </c>
      <c r="M147" s="1" t="b">
        <f t="shared" si="67"/>
        <v>0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332031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33203125" customWidth="1"/>
    <col min="17" max="17" width="17.332031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14881810905</v>
      </c>
      <c r="D3" s="292">
        <f>'CONSOLIDADO_TOTAL RECAUDO'!G125</f>
        <v>648870</v>
      </c>
      <c r="E3" s="292">
        <f>'CONSOLIDADO_TOTAL RECAUDO'!D28+'CONSOLIDADO_TOTAL RECAUDO'!N28</f>
        <v>30588071.020000003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14913047846.02</v>
      </c>
      <c r="I3" s="291">
        <f>'CONSOLIDADO_TOTAL RECAUDO'!D104</f>
        <v>14842425135.769999</v>
      </c>
      <c r="J3" s="292">
        <f>'CONSOLIDADO_TOTAL RECAUDO'!N104</f>
        <v>19931693.030000001</v>
      </c>
      <c r="K3" s="292">
        <f>'CONSOLIDADO_TOTAL RECAUDO'!D125</f>
        <v>46857237.219999999</v>
      </c>
      <c r="L3" s="353">
        <f>'CONSOLIDADO_TOTAL RECAUDO'!E125</f>
        <v>0</v>
      </c>
      <c r="M3" s="292">
        <f>-'CONSOLIDADO_TOTAL RECAUDO'!D66-'CONSOLIDADO_TOTAL RECAUDO'!N66</f>
        <v>3833780</v>
      </c>
      <c r="N3" s="288">
        <f>SUM(I3:M3)</f>
        <v>14913047846.019999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11279865753</v>
      </c>
      <c r="D4" s="292">
        <f>'CONSOLIDADO_TOTAL RECAUDO'!G126</f>
        <v>9704974</v>
      </c>
      <c r="E4" s="292">
        <f>'CONSOLIDADO_TOTAL RECAUDO'!D29+'CONSOLIDADO_TOTAL RECAUDO'!N29</f>
        <v>95705711.270000011</v>
      </c>
      <c r="F4" s="292">
        <f>'CONSOLIDADO_TOTAL RECAUDO'!I143</f>
        <v>1345550</v>
      </c>
      <c r="G4" s="292">
        <f>'CONSOLIDADO_TOTAL RECAUDO'!H143</f>
        <v>0</v>
      </c>
      <c r="H4" s="340">
        <f t="shared" ref="H4:H8" si="1">SUM(C4:G4)</f>
        <v>11386621988.27</v>
      </c>
      <c r="I4" s="291">
        <f>'CONSOLIDADO_TOTAL RECAUDO'!D105</f>
        <v>11302637604.959999</v>
      </c>
      <c r="J4" s="292">
        <f>'CONSOLIDADO_TOTAL RECAUDO'!N105</f>
        <v>9905072.7599999998</v>
      </c>
      <c r="K4" s="292">
        <f>'CONSOLIDADO_TOTAL RECAUDO'!D126</f>
        <v>52275662.099999994</v>
      </c>
      <c r="L4" s="353">
        <f>'CONSOLIDADO_TOTAL RECAUDO'!E126</f>
        <v>0</v>
      </c>
      <c r="M4" s="292">
        <f>-'CONSOLIDADO_TOTAL RECAUDO'!D67-'CONSOLIDADO_TOTAL RECAUDO'!N67</f>
        <v>21803648.449999999</v>
      </c>
      <c r="N4" s="318">
        <f>SUM(I4:M4)</f>
        <v>11386621988.27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8844067825</v>
      </c>
      <c r="D5" s="292">
        <f>'CONSOLIDADO_TOTAL RECAUDO'!G127</f>
        <v>0</v>
      </c>
      <c r="E5" s="292">
        <f>'CONSOLIDADO_TOTAL RECAUDO'!D30+'CONSOLIDADO_TOTAL RECAUDO'!N30</f>
        <v>14590494.319999998</v>
      </c>
      <c r="F5" s="292">
        <f>'CONSOLIDADO_TOTAL RECAUDO'!I144</f>
        <v>464422</v>
      </c>
      <c r="G5" s="292">
        <f>'CONSOLIDADO_TOTAL RECAUDO'!H144</f>
        <v>0</v>
      </c>
      <c r="H5" s="340">
        <f t="shared" si="1"/>
        <v>8859122741.3199997</v>
      </c>
      <c r="I5" s="291">
        <f>'CONSOLIDADO_TOTAL RECAUDO'!D106</f>
        <v>8823787300.3700008</v>
      </c>
      <c r="J5" s="292">
        <f>'CONSOLIDADO_TOTAL RECAUDO'!N106</f>
        <v>19321799.949999999</v>
      </c>
      <c r="K5" s="292">
        <f>'CONSOLIDADO_TOTAL RECAUDO'!D127</f>
        <v>13754369</v>
      </c>
      <c r="L5" s="353">
        <f>'CONSOLIDADO_TOTAL RECAUDO'!E127</f>
        <v>0</v>
      </c>
      <c r="M5" s="292">
        <f>-'CONSOLIDADO_TOTAL RECAUDO'!D68-'CONSOLIDADO_TOTAL RECAUDO'!N68</f>
        <v>2259272</v>
      </c>
      <c r="N5" s="318">
        <f>SUM(I5:M5)</f>
        <v>8859122741.3200016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10532093305</v>
      </c>
      <c r="D6" s="292">
        <f>'CONSOLIDADO_TOTAL RECAUDO'!G128</f>
        <v>21557177</v>
      </c>
      <c r="E6" s="292">
        <f>'CONSOLIDADO_TOTAL RECAUDO'!D31+'CONSOLIDADO_TOTAL RECAUDO'!N31</f>
        <v>29206357.07</v>
      </c>
      <c r="F6" s="292">
        <f>'CONSOLIDADO_TOTAL RECAUDO'!I145</f>
        <v>218584</v>
      </c>
      <c r="G6" s="292">
        <f>'CONSOLIDADO_TOTAL RECAUDO'!H145</f>
        <v>0</v>
      </c>
      <c r="H6" s="340">
        <f t="shared" si="1"/>
        <v>10583075423.07</v>
      </c>
      <c r="I6" s="291">
        <f>'CONSOLIDADO_TOTAL RECAUDO'!D107</f>
        <v>10483172762.089998</v>
      </c>
      <c r="J6" s="292">
        <f>'CONSOLIDADO_TOTAL RECAUDO'!N107</f>
        <v>8643135.5800000001</v>
      </c>
      <c r="K6" s="292">
        <f>'CONSOLIDADO_TOTAL RECAUDO'!D128</f>
        <v>49700940</v>
      </c>
      <c r="L6" s="353">
        <f>'CONSOLIDADO_TOTAL RECAUDO'!E128</f>
        <v>0</v>
      </c>
      <c r="M6" s="292">
        <f>-'CONSOLIDADO_TOTAL RECAUDO'!D69-'CONSOLIDADO_TOTAL RECAUDO'!N69</f>
        <v>41558585.399999999</v>
      </c>
      <c r="N6" s="318">
        <f t="shared" ref="N6:N7" si="3">SUM(I6:M6)</f>
        <v>10583075423.069998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7564541998</v>
      </c>
      <c r="D7" s="292">
        <f>'CONSOLIDADO_TOTAL RECAUDO'!G129</f>
        <v>0</v>
      </c>
      <c r="E7" s="292">
        <f>'CONSOLIDADO_TOTAL RECAUDO'!D32+'CONSOLIDADO_TOTAL RECAUDO'!N32</f>
        <v>10379542.050000001</v>
      </c>
      <c r="F7" s="292">
        <f>'CONSOLIDADO_TOTAL RECAUDO'!I146</f>
        <v>687220</v>
      </c>
      <c r="G7" s="292">
        <f>'CONSOLIDADO_TOTAL RECAUDO'!H146</f>
        <v>0</v>
      </c>
      <c r="H7" s="340">
        <f>SUM(C7:G7)</f>
        <v>7575608760.0500002</v>
      </c>
      <c r="I7" s="291">
        <f>'CONSOLIDADO_TOTAL RECAUDO'!D108</f>
        <v>7550668664.9899998</v>
      </c>
      <c r="J7" s="292">
        <f>'CONSOLIDADO_TOTAL RECAUDO'!N108</f>
        <v>12379938.060000001</v>
      </c>
      <c r="K7" s="292">
        <f>'CONSOLIDADO_TOTAL RECAUDO'!D129</f>
        <v>8596000</v>
      </c>
      <c r="L7" s="353">
        <f>'CONSOLIDADO_TOTAL RECAUDO'!E129</f>
        <v>0</v>
      </c>
      <c r="M7" s="292">
        <f>-'CONSOLIDADO_TOTAL RECAUDO'!D70-'CONSOLIDADO_TOTAL RECAUDO'!N70</f>
        <v>3964157</v>
      </c>
      <c r="N7" s="318">
        <f t="shared" si="3"/>
        <v>7575608760.0500002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53102379786</v>
      </c>
      <c r="D9" s="290">
        <f t="shared" ref="D9:L9" si="4">SUM(D3:D8)</f>
        <v>31911021</v>
      </c>
      <c r="E9" s="290">
        <f t="shared" si="4"/>
        <v>180470175.73000002</v>
      </c>
      <c r="F9" s="290">
        <f t="shared" si="4"/>
        <v>2715776</v>
      </c>
      <c r="G9" s="290">
        <f t="shared" si="4"/>
        <v>0</v>
      </c>
      <c r="H9" s="290">
        <f>SUM(H3:H8)</f>
        <v>53317476758.730003</v>
      </c>
      <c r="I9" s="290">
        <f t="shared" si="4"/>
        <v>53002691468.179993</v>
      </c>
      <c r="J9" s="290">
        <f t="shared" si="4"/>
        <v>70181639.379999995</v>
      </c>
      <c r="K9" s="290">
        <f t="shared" si="4"/>
        <v>171184208.31999999</v>
      </c>
      <c r="L9" s="290">
        <f t="shared" si="4"/>
        <v>0</v>
      </c>
      <c r="M9" s="290">
        <f>SUM(M3:M8)</f>
        <v>73419442.849999994</v>
      </c>
      <c r="N9" s="290">
        <f>SUM(N3:N8)</f>
        <v>53317476758.730003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53102379786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0</v>
      </c>
      <c r="E20" s="695">
        <f>VALIDACION_RECIP!D9</f>
        <v>309350</v>
      </c>
      <c r="F20" s="695">
        <f>VALIDACION_RECIP!E9</f>
        <v>13870178.479999999</v>
      </c>
      <c r="G20" s="695">
        <f>VALIDACION_RECIP!F9</f>
        <v>0</v>
      </c>
      <c r="H20" s="695">
        <f>VALIDACION_RECIP!G9</f>
        <v>0</v>
      </c>
      <c r="I20" s="695">
        <f>VALIDACION_RECIP!H9</f>
        <v>14179528.479999999</v>
      </c>
      <c r="J20" s="695">
        <f>VALIDACION_RECIP!I9</f>
        <v>13625448.479999999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554080</v>
      </c>
      <c r="O20" s="695">
        <f>VALIDACION_RECIP!N9</f>
        <v>14179528.479999999</v>
      </c>
    </row>
    <row r="21" spans="3:18" x14ac:dyDescent="0.25">
      <c r="C21" s="167" t="s">
        <v>155</v>
      </c>
      <c r="D21" s="695">
        <f>VALIDACION_ENEL!C9</f>
        <v>50406458396</v>
      </c>
      <c r="E21" s="695">
        <f>VALIDACION_ENEL!D9</f>
        <v>30151870</v>
      </c>
      <c r="F21" s="695">
        <f>VALIDACION_ENEL!E9</f>
        <v>111465147.73</v>
      </c>
      <c r="G21" s="695">
        <f>VALIDACION_ENEL!F9</f>
        <v>2715776</v>
      </c>
      <c r="H21" s="695">
        <f>VALIDACION_ENEL!G9</f>
        <v>0</v>
      </c>
      <c r="I21" s="695">
        <f>VALIDACION_ENEL!H9</f>
        <v>50550791189.730003</v>
      </c>
      <c r="J21" s="695">
        <f>VALIDACION_ENEL!I9</f>
        <v>50322380909.650002</v>
      </c>
      <c r="K21" s="695">
        <f>VALIDACION_ENEL!J9</f>
        <v>49684982.099999994</v>
      </c>
      <c r="L21" s="695">
        <f>VALIDACION_ENEL!K9</f>
        <v>108311160.13</v>
      </c>
      <c r="M21" s="695">
        <f>VALIDACION_ENEL!L9</f>
        <v>0</v>
      </c>
      <c r="N21" s="695">
        <f>VALIDACION_ENEL!M9</f>
        <v>70414137.849999994</v>
      </c>
      <c r="O21" s="695">
        <f>VALIDACION_ENEL!N9</f>
        <v>50550791189.729996</v>
      </c>
    </row>
    <row r="22" spans="3:18" x14ac:dyDescent="0.25">
      <c r="C22" s="759" t="s">
        <v>326</v>
      </c>
      <c r="D22" s="695">
        <f>VALIDACION_ENERBIT!C9</f>
        <v>140424760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140424760</v>
      </c>
      <c r="J22" s="695">
        <f>VALIDACION_ENERBIT!I9</f>
        <v>139510580</v>
      </c>
      <c r="K22" s="695">
        <f>VALIDACION_ENERBIT!J9</f>
        <v>0</v>
      </c>
      <c r="L22" s="695">
        <f>VALIDACION_ENERBIT!K9</f>
        <v>914180</v>
      </c>
      <c r="M22" s="695">
        <f>VALIDACION_ENERBIT!L9</f>
        <v>0</v>
      </c>
      <c r="N22" s="695">
        <f>VALIDACION_ENERBIT!M9</f>
        <v>0</v>
      </c>
      <c r="O22" s="695">
        <f>VALIDACION_ENERBIT!N9</f>
        <v>140424760</v>
      </c>
    </row>
    <row r="23" spans="3:18" x14ac:dyDescent="0.25">
      <c r="C23" s="212" t="s">
        <v>119</v>
      </c>
      <c r="D23" s="695">
        <f>VALIDACION_OCCIDENTE!C9</f>
        <v>2555496630</v>
      </c>
      <c r="E23" s="695">
        <f>VALIDACION_OCCIDENTE!D9</f>
        <v>1449801</v>
      </c>
      <c r="F23" s="695">
        <f>VALIDACION_OCCIDENTE!E9</f>
        <v>55153463.390000008</v>
      </c>
      <c r="G23" s="695">
        <f>VALIDACION_OCCIDENTE!F9</f>
        <v>0</v>
      </c>
      <c r="H23" s="695">
        <f>VALIDACION_OCCIDENTE!G9</f>
        <v>0</v>
      </c>
      <c r="I23" s="695">
        <f>VALIDACION_OCCIDENTE!H9</f>
        <v>2612099894.3899999</v>
      </c>
      <c r="J23" s="695">
        <f>VALIDACION_OCCIDENTE!I9</f>
        <v>2527193143.9200006</v>
      </c>
      <c r="K23" s="695">
        <f>VALIDACION_OCCIDENTE!J9</f>
        <v>20496657.280000001</v>
      </c>
      <c r="L23" s="695">
        <f>VALIDACION_OCCIDENTE!K9</f>
        <v>61958868.189999998</v>
      </c>
      <c r="M23" s="695">
        <f>VALIDACION_OCCIDENTE!L9</f>
        <v>0</v>
      </c>
      <c r="N23" s="695">
        <f>VALIDACION_OCCIDENTE!M9</f>
        <v>2451225</v>
      </c>
      <c r="O23" s="695">
        <f>VALIDACION_OCCIDENTE!N9</f>
        <v>2612099894.3899999</v>
      </c>
    </row>
    <row r="24" spans="3:18" x14ac:dyDescent="0.25">
      <c r="D24" s="702">
        <f>SUM(D20:D23)</f>
        <v>53102379786</v>
      </c>
      <c r="E24" s="141">
        <f>SUM(E20:E23)</f>
        <v>31911021</v>
      </c>
      <c r="F24" s="141">
        <f>SUM(F20:F23)</f>
        <v>180488789.60000002</v>
      </c>
      <c r="G24" s="141">
        <f>SUM(G20:G23)</f>
        <v>2715776</v>
      </c>
      <c r="H24" s="141">
        <f t="shared" ref="H24:O24" si="5">SUM(H20:H23)</f>
        <v>0</v>
      </c>
      <c r="I24" s="141">
        <f t="shared" si="5"/>
        <v>53317495372.600006</v>
      </c>
      <c r="J24" s="141">
        <f t="shared" si="5"/>
        <v>53002710082.050003</v>
      </c>
      <c r="K24" s="141">
        <f t="shared" si="5"/>
        <v>70181639.379999995</v>
      </c>
      <c r="L24" s="141">
        <f t="shared" si="5"/>
        <v>171184208.31999999</v>
      </c>
      <c r="M24" s="141">
        <f t="shared" si="5"/>
        <v>0</v>
      </c>
      <c r="N24" s="141">
        <f t="shared" si="5"/>
        <v>73419442.849999994</v>
      </c>
      <c r="O24" s="141">
        <f t="shared" si="5"/>
        <v>53317495372.599998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0</v>
      </c>
      <c r="G25" t="b">
        <f t="shared" ref="G25:N25" si="6">G24=F9</f>
        <v>1</v>
      </c>
      <c r="H25" t="b">
        <f t="shared" si="6"/>
        <v>1</v>
      </c>
      <c r="I25" s="141" t="b">
        <f>I24=H9</f>
        <v>0</v>
      </c>
      <c r="J25" s="141" t="b">
        <f>J24=I9</f>
        <v>0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0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13625448.479999999</v>
      </c>
      <c r="E29" s="695">
        <f>'REMUNERACION Reciprocidad EAAB'!N109</f>
        <v>0</v>
      </c>
      <c r="F29" s="695">
        <f>D29+E29</f>
        <v>13625448.479999999</v>
      </c>
      <c r="G29" s="703">
        <f>D20-F29</f>
        <v>-13625448.479999999</v>
      </c>
      <c r="H29" s="695"/>
      <c r="I29" s="695">
        <f>'REMUNERACION Reciprocidad EAAB'!D131</f>
        <v>0</v>
      </c>
      <c r="J29" s="695"/>
      <c r="K29" s="695">
        <f>'REMUNERACION Reciprocidad EAAB'!G131</f>
        <v>309350</v>
      </c>
      <c r="L29" s="695">
        <f>'REMUNERACION Reciprocidad EAAB'!H131</f>
        <v>13870178.479999999</v>
      </c>
      <c r="M29" s="695">
        <f>'REMUNERACION Reciprocidad EAAB'!I131</f>
        <v>0</v>
      </c>
      <c r="N29" s="695">
        <f>+'REMUNERACION Reciprocidad EAAB'!J131</f>
        <v>-554080</v>
      </c>
      <c r="O29" s="695">
        <f>'REMUNERACION Reciprocidad EAAB'!I147</f>
        <v>0</v>
      </c>
      <c r="P29" s="703">
        <f>I29+J29-K29-L29-M29-N29-O29</f>
        <v>-13625448.479999999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50322380909.650002</v>
      </c>
      <c r="E30" s="695">
        <f>REMUNERACION_ENEL!N109</f>
        <v>49684982.099999994</v>
      </c>
      <c r="F30" s="695">
        <f>D30+E30</f>
        <v>50372065891.75</v>
      </c>
      <c r="G30" s="705">
        <f>D21-F30</f>
        <v>34392504.25</v>
      </c>
      <c r="H30" s="695"/>
      <c r="I30" s="695">
        <f>REMUNERACION_ENEL!D131</f>
        <v>108311160.13</v>
      </c>
      <c r="J30" s="695"/>
      <c r="K30" s="695">
        <f>REMUNERACION_ENEL!G131</f>
        <v>30151870</v>
      </c>
      <c r="L30" s="695">
        <f>REMUNERACION_ENEL!H131</f>
        <v>111465147.73</v>
      </c>
      <c r="M30" s="695">
        <f>REMUNERACION_ENEL!I131</f>
        <v>0</v>
      </c>
      <c r="N30" s="695">
        <f>REMUNERACION_ENEL!J131</f>
        <v>-70414137.849999994</v>
      </c>
      <c r="O30" s="695">
        <f>REMUNERACION_ENEL!I147</f>
        <v>2715776</v>
      </c>
      <c r="P30" s="703">
        <f>I30+J30-K30-L30-M30-N30-O30</f>
        <v>34392504.249999985</v>
      </c>
      <c r="Q30" s="704">
        <f>G30-P30</f>
        <v>0</v>
      </c>
      <c r="R30" s="141"/>
    </row>
    <row r="31" spans="3:18" x14ac:dyDescent="0.25">
      <c r="C31" s="759" t="s">
        <v>326</v>
      </c>
      <c r="D31" s="695">
        <f>REMUNERACION_ENERBIT!D109</f>
        <v>139510580</v>
      </c>
      <c r="E31" s="695">
        <f>REMUNERACION_ENERBIT!N109</f>
        <v>0</v>
      </c>
      <c r="F31" s="695">
        <f>D31+E31</f>
        <v>139510580</v>
      </c>
      <c r="G31" s="705">
        <f>D22-F31</f>
        <v>914180</v>
      </c>
      <c r="H31" s="695"/>
      <c r="I31" s="695">
        <f>REMUNERACION_ENERBIT!D131</f>
        <v>914180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914180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2527193143.9200006</v>
      </c>
      <c r="E32" s="695">
        <f>'REMUNERACION_OCCIDENTE_ Directa'!N109</f>
        <v>20496657.280000001</v>
      </c>
      <c r="F32" s="695">
        <f>D32+E32</f>
        <v>2547689801.2000008</v>
      </c>
      <c r="G32" s="705">
        <f>D23-F32</f>
        <v>7806828.7999992371</v>
      </c>
      <c r="H32" s="695"/>
      <c r="I32" s="695">
        <f>'REMUNERACION_OCCIDENTE_ Directa'!D131</f>
        <v>61958868.189999998</v>
      </c>
      <c r="J32" s="695">
        <f>'CONSOLIDADO_TOTAL RECAUDO'!E131</f>
        <v>0</v>
      </c>
      <c r="K32" s="695">
        <f>'REMUNERACION_OCCIDENTE_ Directa'!G131</f>
        <v>1449801</v>
      </c>
      <c r="L32" s="695">
        <f>'REMUNERACION_OCCIDENTE_ Directa'!H131</f>
        <v>55153463.390000008</v>
      </c>
      <c r="M32" s="695">
        <f>'REMUNERACION_OCCIDENTE_ Directa'!I131</f>
        <v>0</v>
      </c>
      <c r="N32" s="695">
        <f>'REMUNERACION_OCCIDENTE_ Directa'!J131</f>
        <v>-2451225</v>
      </c>
      <c r="O32" s="695">
        <f>'REMUNERACION_OCCIDENTE_ Directa'!I147</f>
        <v>0</v>
      </c>
      <c r="P32" s="703">
        <f t="shared" ref="P32" si="9">I32+J32-K32-L32-M32-N32-O32</f>
        <v>7806828.7999999896</v>
      </c>
      <c r="Q32" s="704">
        <f t="shared" si="8"/>
        <v>-7.5250864028930664E-7</v>
      </c>
      <c r="R32" s="141"/>
    </row>
    <row r="33" spans="4:17" x14ac:dyDescent="0.25">
      <c r="D33" s="695">
        <f>SUM(D29:D32)</f>
        <v>53002710082.050003</v>
      </c>
      <c r="E33" s="695">
        <f>SUM(E29:E32)</f>
        <v>70181639.379999995</v>
      </c>
      <c r="F33" s="706">
        <f>SUM(F29:F32)</f>
        <v>53072891721.430008</v>
      </c>
      <c r="G33" s="707">
        <f>D24-F33</f>
        <v>29488064.569992065</v>
      </c>
      <c r="H33" s="695"/>
      <c r="I33" s="695">
        <f>SUM(I29:I32)</f>
        <v>171184208.31999999</v>
      </c>
      <c r="J33" s="695">
        <f>SUM(J29:J32)</f>
        <v>0</v>
      </c>
      <c r="K33" s="695">
        <f>SUM(K29:K32)</f>
        <v>31911021</v>
      </c>
      <c r="L33" s="695">
        <f t="shared" ref="L33:N33" si="10">SUM(L29:L32)</f>
        <v>180488789.60000002</v>
      </c>
      <c r="M33" s="695">
        <f t="shared" si="10"/>
        <v>0</v>
      </c>
      <c r="N33" s="695">
        <f t="shared" si="10"/>
        <v>-73419442.849999994</v>
      </c>
      <c r="O33" s="695">
        <f>SUM(O29:O32)</f>
        <v>2715776</v>
      </c>
      <c r="P33" s="708">
        <f>SUM(P29:P32)</f>
        <v>29488064.569999978</v>
      </c>
      <c r="Q33" s="704">
        <f>SUM(Q29:Q32)</f>
        <v>-7.5250864028930664E-7</v>
      </c>
    </row>
    <row r="34" spans="4:17" x14ac:dyDescent="0.25">
      <c r="D34" s="695" t="b">
        <f>D33='CONSOLIDADO_TOTAL RECAUDO'!D109</f>
        <v>0</v>
      </c>
      <c r="E34" s="695" t="b">
        <f>E33='CONSOLIDADO_TOTAL RECAUDO'!N109</f>
        <v>1</v>
      </c>
      <c r="F34" s="695" t="b">
        <f>F33='CONSOLIDADO_TOTAL RECAUDO'!D109+'CONSOLIDADO_TOTAL RECAUDO'!N109</f>
        <v>0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7.9125165939331055E-6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4.88671875" style="1" bestFit="1" customWidth="1"/>
    <col min="5" max="5" width="15.332031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33203125" style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33203125" style="1" customWidth="1"/>
    <col min="36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46296</v>
      </c>
      <c r="H7" s="45"/>
      <c r="I7" s="45"/>
      <c r="J7" s="555" t="s">
        <v>28</v>
      </c>
      <c r="K7" s="557">
        <f>'CONSOLIDADO_TOTAL RECAUDO'!K102</f>
        <v>46310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14842425135.769999</v>
      </c>
      <c r="E9" s="66">
        <f>'CONSOLIDADO_TOTAL RECAUDO'!E104</f>
        <v>841835259.24000001</v>
      </c>
      <c r="F9" s="66">
        <f>'CONSOLIDADO_TOTAL RECAUDO'!F104</f>
        <v>468934429.98000002</v>
      </c>
      <c r="G9" s="66">
        <f>'CONSOLIDADO_TOTAL RECAUDO'!G104</f>
        <v>249665577.34</v>
      </c>
      <c r="H9" s="66">
        <f>'CONSOLIDADO_TOTAL RECAUDO'!H104</f>
        <v>4756987535.8000011</v>
      </c>
      <c r="I9" s="66">
        <f>'CONSOLIDADO_TOTAL RECAUDO'!I104</f>
        <v>158503798.81</v>
      </c>
      <c r="J9" s="66">
        <f>'CONSOLIDADO_TOTAL RECAUDO'!J104</f>
        <v>2153950828.1600003</v>
      </c>
      <c r="K9" s="30">
        <f>D9-E9-F9-G9-H9-I9-J9</f>
        <v>6212547706.4399967</v>
      </c>
      <c r="L9" s="66">
        <f>'CONSOLIDADO_TOTAL RECAUDO'!L104</f>
        <v>189185987</v>
      </c>
      <c r="M9" s="30">
        <f>K9-L9</f>
        <v>6023361719.4399967</v>
      </c>
      <c r="N9" s="66">
        <f>'CONSOLIDADO_TOTAL RECAUDO'!N104</f>
        <v>19931693.030000001</v>
      </c>
      <c r="O9" s="30">
        <f>M9+N9</f>
        <v>6043293412.4699965</v>
      </c>
      <c r="Q9" s="4"/>
      <c r="S9" s="14">
        <v>1</v>
      </c>
      <c r="T9" s="61" t="s">
        <v>10</v>
      </c>
      <c r="U9" s="66">
        <f>'CONSOLIDADO_TOTAL RECAUDO'!U104</f>
        <v>1391786702.5999999</v>
      </c>
      <c r="V9" s="66">
        <f>'CONSOLIDADO_TOTAL RECAUDO'!V104</f>
        <v>1316009885.8500001</v>
      </c>
      <c r="W9" s="66">
        <f>'CONSOLIDADO_TOTAL RECAUDO'!W104</f>
        <v>6272474935.1999998</v>
      </c>
      <c r="X9" s="66">
        <f>'CONSOLIDADO_TOTAL RECAUDO'!X104</f>
        <v>2290968884.2599998</v>
      </c>
      <c r="Y9" s="66">
        <f>'CONSOLIDADO_TOTAL RECAUDO'!Y104</f>
        <v>258754368.69000003</v>
      </c>
      <c r="Z9" s="66">
        <f>'CONSOLIDADO_TOTAL RECAUDO'!Z104</f>
        <v>-189185987</v>
      </c>
      <c r="AA9" s="66">
        <f>'CONSOLIDADO_TOTAL RECAUDO'!AA104</f>
        <v>-27796.54</v>
      </c>
      <c r="AB9" s="66">
        <f>'CONSOLIDADO_TOTAL RECAUDO'!AB104</f>
        <v>19931693.030000001</v>
      </c>
      <c r="AC9" s="66">
        <f>'CONSOLIDADO_TOTAL RECAUDO'!AC104</f>
        <v>149.13</v>
      </c>
      <c r="AD9" s="66">
        <f>'CONSOLIDADO_TOTAL RECAUDO'!AD104</f>
        <v>-5344862385.1700001</v>
      </c>
      <c r="AE9" s="66">
        <f>'CONSOLIDADO_TOTAL RECAUDO'!AE104</f>
        <v>-3190911557.0100002</v>
      </c>
      <c r="AF9" s="69">
        <f>SUM(U9:AD9)</f>
        <v>6015850450.0499992</v>
      </c>
      <c r="AG9" s="71">
        <f>AF9-O9</f>
        <v>-27442962.419997215</v>
      </c>
      <c r="AH9" s="1" t="b">
        <f>INT(AG9)=0</f>
        <v>0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11302637604.959999</v>
      </c>
      <c r="E10" s="66">
        <f>'CONSOLIDADO_TOTAL RECAUDO'!E105</f>
        <v>873906144.08000004</v>
      </c>
      <c r="F10" s="66">
        <f>'CONSOLIDADO_TOTAL RECAUDO'!F105</f>
        <v>483830193.30000001</v>
      </c>
      <c r="G10" s="66">
        <f>'CONSOLIDADO_TOTAL RECAUDO'!G105</f>
        <v>256505918.23999998</v>
      </c>
      <c r="H10" s="66">
        <f>'CONSOLIDADO_TOTAL RECAUDO'!H105</f>
        <v>3576556628.1500001</v>
      </c>
      <c r="I10" s="66">
        <f>'CONSOLIDADO_TOTAL RECAUDO'!I105</f>
        <v>126707039.83999999</v>
      </c>
      <c r="J10" s="66">
        <f>'CONSOLIDADO_TOTAL RECAUDO'!J105</f>
        <v>-4217145526.9099998</v>
      </c>
      <c r="K10" s="31">
        <f t="shared" ref="K10:K13" si="0">D10-E10-F10-G10-H10-I10-J10</f>
        <v>10202277208.26</v>
      </c>
      <c r="L10" s="66">
        <f>'CONSOLIDADO_TOTAL RECAUDO'!L105</f>
        <v>266580255</v>
      </c>
      <c r="M10" s="31">
        <f>K10-L10</f>
        <v>9935696953.2600002</v>
      </c>
      <c r="N10" s="66">
        <f>'CONSOLIDADO_TOTAL RECAUDO'!N105</f>
        <v>9905072.7599999998</v>
      </c>
      <c r="O10" s="31">
        <f t="shared" ref="O10:O13" si="1">M10+N10</f>
        <v>9945602026.0200005</v>
      </c>
      <c r="Q10" s="4"/>
      <c r="S10" s="16">
        <v>2</v>
      </c>
      <c r="T10" s="62" t="s">
        <v>11</v>
      </c>
      <c r="U10" s="66">
        <f>'CONSOLIDADO_TOTAL RECAUDO'!U105</f>
        <v>1111694675.1200001</v>
      </c>
      <c r="V10" s="66">
        <f>'CONSOLIDADO_TOTAL RECAUDO'!V105</f>
        <v>1069081811.17</v>
      </c>
      <c r="W10" s="66">
        <f>'CONSOLIDADO_TOTAL RECAUDO'!W105</f>
        <v>5079148400.1199999</v>
      </c>
      <c r="X10" s="66">
        <f>'CONSOLIDADO_TOTAL RECAUDO'!X105</f>
        <v>1714098215.3400002</v>
      </c>
      <c r="Y10" s="66">
        <f>'CONSOLIDADO_TOTAL RECAUDO'!Y105</f>
        <v>206892541.01000002</v>
      </c>
      <c r="Z10" s="66">
        <f>'CONSOLIDADO_TOTAL RECAUDO'!Z105</f>
        <v>-266580255</v>
      </c>
      <c r="AA10" s="66">
        <f>'CONSOLIDADO_TOTAL RECAUDO'!AA105</f>
        <v>-14306.289999999999</v>
      </c>
      <c r="AB10" s="66">
        <f>'CONSOLIDADO_TOTAL RECAUDO'!AB105</f>
        <v>9905072.7599999998</v>
      </c>
      <c r="AC10" s="66">
        <f>'CONSOLIDADO_TOTAL RECAUDO'!AC105</f>
        <v>-56307.77</v>
      </c>
      <c r="AD10" s="66">
        <f>'CONSOLIDADO_TOTAL RECAUDO'!AD105</f>
        <v>926896144.28999996</v>
      </c>
      <c r="AE10" s="66">
        <f>'CONSOLIDADO_TOTAL RECAUDO'!AE105</f>
        <v>-3290249382.6199999</v>
      </c>
      <c r="AF10" s="70">
        <f>SUM(U10:AD10)</f>
        <v>9851065990.75</v>
      </c>
      <c r="AG10" s="72">
        <f>AF10-O10</f>
        <v>-94536035.270000458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8823787300.3700008</v>
      </c>
      <c r="E11" s="66">
        <f>'CONSOLIDADO_TOTAL RECAUDO'!E106</f>
        <v>569049058.22000003</v>
      </c>
      <c r="F11" s="66">
        <f>'CONSOLIDADO_TOTAL RECAUDO'!F106</f>
        <v>317267488.88</v>
      </c>
      <c r="G11" s="66">
        <f>'CONSOLIDADO_TOTAL RECAUDO'!G106</f>
        <v>168517798.86000001</v>
      </c>
      <c r="H11" s="66">
        <f>'CONSOLIDADO_TOTAL RECAUDO'!H106</f>
        <v>2429021539.6700001</v>
      </c>
      <c r="I11" s="66">
        <f>'CONSOLIDADO_TOTAL RECAUDO'!I106</f>
        <v>86984010.540000007</v>
      </c>
      <c r="J11" s="66">
        <f>'CONSOLIDADO_TOTAL RECAUDO'!J106</f>
        <v>-1288806337.0900002</v>
      </c>
      <c r="K11" s="31">
        <f t="shared" si="0"/>
        <v>6541753741.2900009</v>
      </c>
      <c r="L11" s="66">
        <f>'CONSOLIDADO_TOTAL RECAUDO'!L106</f>
        <v>154788535</v>
      </c>
      <c r="M11" s="31">
        <f>K11-L11</f>
        <v>6386965206.2900009</v>
      </c>
      <c r="N11" s="66">
        <f>'CONSOLIDADO_TOTAL RECAUDO'!N106</f>
        <v>19321799.949999999</v>
      </c>
      <c r="O11" s="31">
        <f t="shared" si="1"/>
        <v>6406287006.2400007</v>
      </c>
      <c r="Q11" s="4"/>
      <c r="S11" s="16">
        <v>3</v>
      </c>
      <c r="T11" s="62" t="s">
        <v>12</v>
      </c>
      <c r="U11" s="66">
        <f>'CONSOLIDADO_TOTAL RECAUDO'!U106</f>
        <v>763682703.06000006</v>
      </c>
      <c r="V11" s="66">
        <f>'CONSOLIDADO_TOTAL RECAUDO'!V106</f>
        <v>725018824.26999998</v>
      </c>
      <c r="W11" s="66">
        <f>'CONSOLIDADO_TOTAL RECAUDO'!W106</f>
        <v>3444255866.5499997</v>
      </c>
      <c r="X11" s="66">
        <f>'CONSOLIDADO_TOTAL RECAUDO'!X106</f>
        <v>1347916174.22</v>
      </c>
      <c r="Y11" s="66">
        <f>'CONSOLIDADO_TOTAL RECAUDO'!Y106</f>
        <v>142025975.44000003</v>
      </c>
      <c r="Z11" s="66">
        <f>'CONSOLIDADO_TOTAL RECAUDO'!Z106</f>
        <v>-154788535</v>
      </c>
      <c r="AA11" s="66">
        <f>'CONSOLIDADO_TOTAL RECAUDO'!AA106</f>
        <v>-81704.87</v>
      </c>
      <c r="AB11" s="66">
        <f>'CONSOLIDADO_TOTAL RECAUDO'!AB106</f>
        <v>19321799.949999999</v>
      </c>
      <c r="AC11" s="66">
        <f>'CONSOLIDADO_TOTAL RECAUDO'!AC106</f>
        <v>-41619.9</v>
      </c>
      <c r="AD11" s="66">
        <f>'CONSOLIDADO_TOTAL RECAUDO'!AD106</f>
        <v>102795036.73000026</v>
      </c>
      <c r="AE11" s="66">
        <f>'CONSOLIDADO_TOTAL RECAUDO'!AE106</f>
        <v>-1186011300.3599999</v>
      </c>
      <c r="AF11" s="70">
        <f>SUM(U11:AD11)</f>
        <v>6390104520.4499998</v>
      </c>
      <c r="AG11" s="72">
        <f>AF11-O11</f>
        <v>-16182485.790000916</v>
      </c>
      <c r="AH11" s="1" t="b">
        <f t="shared" si="2"/>
        <v>0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10483172762.089998</v>
      </c>
      <c r="E12" s="66">
        <f>'CONSOLIDADO_TOTAL RECAUDO'!E107</f>
        <v>605948755.42999995</v>
      </c>
      <c r="F12" s="66">
        <f>'CONSOLIDADO_TOTAL RECAUDO'!F107</f>
        <v>335895270.16999996</v>
      </c>
      <c r="G12" s="66">
        <f>'CONSOLIDADO_TOTAL RECAUDO'!G107</f>
        <v>179108611.82000002</v>
      </c>
      <c r="H12" s="66">
        <f>'CONSOLIDADO_TOTAL RECAUDO'!H107</f>
        <v>2401366805.27</v>
      </c>
      <c r="I12" s="66">
        <f>'CONSOLIDADO_TOTAL RECAUDO'!I107</f>
        <v>89808011.769999996</v>
      </c>
      <c r="J12" s="66">
        <f>'CONSOLIDADO_TOTAL RECAUDO'!J107</f>
        <v>61531953.689999998</v>
      </c>
      <c r="K12" s="31">
        <f t="shared" si="0"/>
        <v>6809513353.9399977</v>
      </c>
      <c r="L12" s="66">
        <f>'CONSOLIDADO_TOTAL RECAUDO'!L107</f>
        <v>120391083</v>
      </c>
      <c r="M12" s="31">
        <f>K12-L12</f>
        <v>6689122270.9399977</v>
      </c>
      <c r="N12" s="66">
        <f>'CONSOLIDADO_TOTAL RECAUDO'!N107</f>
        <v>8643135.5800000001</v>
      </c>
      <c r="O12" s="31">
        <f t="shared" si="1"/>
        <v>6697765406.5199976</v>
      </c>
      <c r="Q12" s="4"/>
      <c r="S12" s="16">
        <v>4</v>
      </c>
      <c r="T12" s="62" t="s">
        <v>13</v>
      </c>
      <c r="U12" s="66">
        <f>'CONSOLIDADO_TOTAL RECAUDO'!U107</f>
        <v>787165759.97000003</v>
      </c>
      <c r="V12" s="66">
        <f>'CONSOLIDADO_TOTAL RECAUDO'!V107</f>
        <v>751593811.83000004</v>
      </c>
      <c r="W12" s="66">
        <f>'CONSOLIDADO_TOTAL RECAUDO'!W107</f>
        <v>3889163679.0299997</v>
      </c>
      <c r="X12" s="66">
        <f>'CONSOLIDADO_TOTAL RECAUDO'!X107</f>
        <v>1604125006.1100001</v>
      </c>
      <c r="Y12" s="66">
        <f>'CONSOLIDADO_TOTAL RECAUDO'!Y107</f>
        <v>146783082.90000001</v>
      </c>
      <c r="Z12" s="66">
        <f>'CONSOLIDADO_TOTAL RECAUDO'!Z107</f>
        <v>-120391083</v>
      </c>
      <c r="AA12" s="66">
        <f>'CONSOLIDADO_TOTAL RECAUDO'!AA107</f>
        <v>31933.3</v>
      </c>
      <c r="AB12" s="66">
        <f>'CONSOLIDADO_TOTAL RECAUDO'!AB107</f>
        <v>8643135.5800000001</v>
      </c>
      <c r="AC12" s="66">
        <f>'CONSOLIDADO_TOTAL RECAUDO'!AC107</f>
        <v>189.43</v>
      </c>
      <c r="AD12" s="66">
        <f>'CONSOLIDADO_TOTAL RECAUDO'!AD107</f>
        <v>-356615280.09999996</v>
      </c>
      <c r="AE12" s="66">
        <f>'CONSOLIDADO_TOTAL RECAUDO'!AE107</f>
        <v>-295083326.40999997</v>
      </c>
      <c r="AF12" s="70">
        <f>SUM(U12:AD12)</f>
        <v>6710500235.0500002</v>
      </c>
      <c r="AG12" s="72">
        <f>AF12-O12</f>
        <v>12734828.530002594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7550668664.9899998</v>
      </c>
      <c r="E13" s="66">
        <f>'CONSOLIDADO_TOTAL RECAUDO'!E108</f>
        <v>408145471.80000001</v>
      </c>
      <c r="F13" s="66">
        <f>'CONSOLIDADO_TOTAL RECAUDO'!F108</f>
        <v>227118040.72999999</v>
      </c>
      <c r="G13" s="66">
        <f>'CONSOLIDADO_TOTAL RECAUDO'!G108</f>
        <v>120841029.03</v>
      </c>
      <c r="H13" s="66">
        <f>'CONSOLIDADO_TOTAL RECAUDO'!H108</f>
        <v>1864267894.6400001</v>
      </c>
      <c r="I13" s="66">
        <f>'CONSOLIDADO_TOTAL RECAUDO'!I108</f>
        <v>62073126.829999998</v>
      </c>
      <c r="J13" s="66">
        <f>'CONSOLIDADO_TOTAL RECAUDO'!J108</f>
        <v>-1246473094.4099998</v>
      </c>
      <c r="K13" s="31">
        <f t="shared" si="0"/>
        <v>6114696196.3699999</v>
      </c>
      <c r="L13" s="66">
        <f>'CONSOLIDADO_TOTAL RECAUDO'!L108</f>
        <v>128990445</v>
      </c>
      <c r="M13" s="40">
        <f>K13-L13</f>
        <v>5985705751.3699999</v>
      </c>
      <c r="N13" s="66">
        <f>'CONSOLIDADO_TOTAL RECAUDO'!N108</f>
        <v>12379938.060000001</v>
      </c>
      <c r="O13" s="40">
        <f t="shared" si="1"/>
        <v>5998085689.4300003</v>
      </c>
      <c r="Q13" s="4"/>
      <c r="S13" s="19">
        <v>5</v>
      </c>
      <c r="T13" s="63" t="s">
        <v>14</v>
      </c>
      <c r="U13" s="66">
        <f>'CONSOLIDADO_TOTAL RECAUDO'!U108</f>
        <v>544684335.76999998</v>
      </c>
      <c r="V13" s="66">
        <f>'CONSOLIDADO_TOTAL RECAUDO'!V108</f>
        <v>512958805.74000001</v>
      </c>
      <c r="W13" s="66">
        <f>'CONSOLIDADO_TOTAL RECAUDO'!W108</f>
        <v>2640560444.6500001</v>
      </c>
      <c r="X13" s="66">
        <f>'CONSOLIDADO_TOTAL RECAUDO'!X108</f>
        <v>1214677726.3699999</v>
      </c>
      <c r="Y13" s="66">
        <f>'CONSOLIDADO_TOTAL RECAUDO'!Y108</f>
        <v>101292451</v>
      </c>
      <c r="Z13" s="66">
        <f>'CONSOLIDADO_TOTAL RECAUDO'!Z108</f>
        <v>-128990445</v>
      </c>
      <c r="AA13" s="66">
        <f>'CONSOLIDADO_TOTAL RECAUDO'!AA108</f>
        <v>10679.52</v>
      </c>
      <c r="AB13" s="66">
        <f>'CONSOLIDADO_TOTAL RECAUDO'!AB108</f>
        <v>12379938.060000001</v>
      </c>
      <c r="AC13" s="66">
        <f>'CONSOLIDADO_TOTAL RECAUDO'!AC108</f>
        <v>4.8600000000000003</v>
      </c>
      <c r="AD13" s="66">
        <f>'CONSOLIDADO_TOTAL RECAUDO'!AD108</f>
        <v>1094063039.3299999</v>
      </c>
      <c r="AE13" s="66">
        <f>'CONSOLIDADO_TOTAL RECAUDO'!AE108</f>
        <v>-152410055.08000001</v>
      </c>
      <c r="AF13" s="70">
        <f>SUM(U13:AD13)</f>
        <v>5991636980.3000002</v>
      </c>
      <c r="AG13" s="72">
        <f>AF13-O13</f>
        <v>-6448709.1300001144</v>
      </c>
      <c r="AH13" s="1" t="b">
        <f t="shared" si="2"/>
        <v>0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53002691468.179993</v>
      </c>
      <c r="E14" s="43">
        <f t="shared" si="3"/>
        <v>3298884688.77</v>
      </c>
      <c r="F14" s="43">
        <f t="shared" si="3"/>
        <v>1833045423.0599999</v>
      </c>
      <c r="G14" s="43">
        <f t="shared" si="3"/>
        <v>974638935.29000008</v>
      </c>
      <c r="H14" s="43">
        <f t="shared" si="3"/>
        <v>15028200403.530001</v>
      </c>
      <c r="I14" s="43">
        <f t="shared" si="3"/>
        <v>524075987.78999996</v>
      </c>
      <c r="J14" s="43">
        <f t="shared" si="3"/>
        <v>-4536942176.5599995</v>
      </c>
      <c r="K14" s="32">
        <f t="shared" si="3"/>
        <v>35880788206.299995</v>
      </c>
      <c r="L14" s="23">
        <f t="shared" si="3"/>
        <v>859936305</v>
      </c>
      <c r="M14" s="76">
        <f t="shared" si="3"/>
        <v>35020851901.299995</v>
      </c>
      <c r="N14" s="23">
        <f t="shared" si="3"/>
        <v>70181639.379999995</v>
      </c>
      <c r="O14" s="76">
        <f t="shared" si="3"/>
        <v>35091033540.679993</v>
      </c>
      <c r="P14" s="2"/>
      <c r="Q14" s="4"/>
      <c r="S14" s="21"/>
      <c r="T14" s="22" t="s">
        <v>2</v>
      </c>
      <c r="U14" s="43">
        <f>SUM(U9:U13)</f>
        <v>4599014176.5200005</v>
      </c>
      <c r="V14" s="43">
        <f t="shared" ref="V14:AG14" si="4">SUM(V9:V13)</f>
        <v>4374663138.8599997</v>
      </c>
      <c r="W14" s="43">
        <f t="shared" si="4"/>
        <v>21325603325.549999</v>
      </c>
      <c r="X14" s="43">
        <f t="shared" si="4"/>
        <v>8171786006.3000002</v>
      </c>
      <c r="Y14" s="43">
        <f t="shared" si="4"/>
        <v>855748419.04000008</v>
      </c>
      <c r="Z14" s="43">
        <f t="shared" si="4"/>
        <v>-859936305</v>
      </c>
      <c r="AA14" s="43">
        <f t="shared" si="4"/>
        <v>-81194.87999999999</v>
      </c>
      <c r="AB14" s="43">
        <f t="shared" si="4"/>
        <v>70181639.379999995</v>
      </c>
      <c r="AC14" s="43">
        <f t="shared" si="4"/>
        <v>-97584.250000000015</v>
      </c>
      <c r="AD14" s="43">
        <f t="shared" ref="AD14" si="5">SUM(AD9:AD13)</f>
        <v>-3577723444.9200001</v>
      </c>
      <c r="AE14" s="43">
        <f>SUM(AE9:AE13)</f>
        <v>-8114665621.4799995</v>
      </c>
      <c r="AF14" s="68">
        <f t="shared" si="4"/>
        <v>34959158176.599998</v>
      </c>
      <c r="AG14" s="43">
        <f t="shared" si="4"/>
        <v>-131875364.07999611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39326815066.270004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46857237.219999999</v>
      </c>
      <c r="E30" s="111">
        <f>'CONSOLIDADO_TOTAL RECAUDO'!E125</f>
        <v>0</v>
      </c>
      <c r="G30" s="140">
        <f>'CONSOLIDADO_TOTAL RECAUDO'!G125</f>
        <v>648870</v>
      </c>
      <c r="H30" s="110">
        <f>'CONSOLIDADO_TOTAL RECAUDO'!H125</f>
        <v>30588071.020000003</v>
      </c>
      <c r="I30" s="111">
        <f>'CONSOLIDADO_TOTAL RECAUDO'!I125</f>
        <v>0</v>
      </c>
      <c r="J30" s="111">
        <f>'CONSOLIDADO_TOTAL RECAUDO'!J125</f>
        <v>-3833780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52275662.099999994</v>
      </c>
      <c r="E31" s="74">
        <f>'CONSOLIDADO_TOTAL RECAUDO'!E126</f>
        <v>0</v>
      </c>
      <c r="G31" s="82">
        <f>'CONSOLIDADO_TOTAL RECAUDO'!G126</f>
        <v>9704974</v>
      </c>
      <c r="H31" s="18">
        <f>'CONSOLIDADO_TOTAL RECAUDO'!H126</f>
        <v>95705711.270000011</v>
      </c>
      <c r="I31" s="83">
        <f>'CONSOLIDADO_TOTAL RECAUDO'!I126</f>
        <v>0</v>
      </c>
      <c r="J31" s="83">
        <f>'CONSOLIDADO_TOTAL RECAUDO'!J126</f>
        <v>-21803648.449999999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13754369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14590494.319999998</v>
      </c>
      <c r="I32" s="83">
        <f>'CONSOLIDADO_TOTAL RECAUDO'!I127</f>
        <v>0</v>
      </c>
      <c r="J32" s="83">
        <f>'CONSOLIDADO_TOTAL RECAUDO'!J127</f>
        <v>-2259272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49700940</v>
      </c>
      <c r="E33" s="74">
        <f>'CONSOLIDADO_TOTAL RECAUDO'!E128</f>
        <v>0</v>
      </c>
      <c r="G33" s="82">
        <f>'CONSOLIDADO_TOTAL RECAUDO'!G128</f>
        <v>21557177</v>
      </c>
      <c r="H33" s="18">
        <f>'CONSOLIDADO_TOTAL RECAUDO'!H128</f>
        <v>29206357.07</v>
      </c>
      <c r="I33" s="83">
        <f>'CONSOLIDADO_TOTAL RECAUDO'!I128</f>
        <v>0</v>
      </c>
      <c r="J33" s="83">
        <f>'CONSOLIDADO_TOTAL RECAUDO'!J128</f>
        <v>-41558585.399999999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8596000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10379542.050000001</v>
      </c>
      <c r="I34" s="83">
        <f>'CONSOLIDADO_TOTAL RECAUDO'!I129</f>
        <v>0</v>
      </c>
      <c r="J34" s="83">
        <f>'CONSOLIDADO_TOTAL RECAUDO'!J129</f>
        <v>-3964157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171184208.31999999</v>
      </c>
      <c r="E36" s="107">
        <f>'CONSOLIDADO_TOTAL RECAUDO'!E131</f>
        <v>0</v>
      </c>
      <c r="F36" s="45"/>
      <c r="G36" s="107">
        <f t="shared" ref="G36" si="7">SUM(G30:G34)</f>
        <v>31911021</v>
      </c>
      <c r="H36" s="107">
        <f t="shared" ref="H36:L36" si="8">SUM(H30:H34)</f>
        <v>180470175.73000002</v>
      </c>
      <c r="I36" s="107">
        <f t="shared" si="8"/>
        <v>0</v>
      </c>
      <c r="J36" s="107">
        <f t="shared" ref="J36" si="9">SUM(J30:J34)</f>
        <v>-73419442.849999994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36" width="13.88671875" style="1" bestFit="1" customWidth="1"/>
    <col min="37" max="16384" width="11.332031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R1'!F80</f>
        <v>0</v>
      </c>
      <c r="E9" s="292">
        <f>'Reporte Componentes R1'!G80</f>
        <v>0</v>
      </c>
      <c r="F9" s="292">
        <f>'Reporte Componentes R1'!H80</f>
        <v>0</v>
      </c>
      <c r="G9" s="292">
        <f>'Reporte Componentes R1'!I80</f>
        <v>0</v>
      </c>
      <c r="H9" s="292">
        <f>'Reporte Componentes R1'!J80</f>
        <v>0</v>
      </c>
      <c r="I9" s="292">
        <f>'Reporte Componentes R1'!K80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R1'!L80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R1'!M80</f>
        <v>0</v>
      </c>
      <c r="V9" s="308">
        <f>'Reporte Componentes R1'!N80</f>
        <v>0</v>
      </c>
      <c r="W9" s="308">
        <f>'Reporte Componentes R1'!O80</f>
        <v>0</v>
      </c>
      <c r="X9" s="308">
        <f>'Reporte Componentes R1'!P80</f>
        <v>0</v>
      </c>
      <c r="Y9" s="309">
        <f>'Reporte Componentes R1'!Q80</f>
        <v>0</v>
      </c>
      <c r="Z9" s="310">
        <f>L9*-1</f>
        <v>0</v>
      </c>
      <c r="AA9" s="311">
        <f>'Reporte Componentes R1'!R80+'Reporte Componentes R1'!V80+'Reporte Componentes R1'!U80</f>
        <v>0</v>
      </c>
      <c r="AB9" s="294">
        <f>N9</f>
        <v>0</v>
      </c>
      <c r="AC9" s="311">
        <f>'Reporte Componentes R1'!T80+'Reporte Componentes R1'!W80+'Reporte Componentes R1'!X80+'Reporte Componentes R1'!Y80+'Reporte Componentes R1'!Z80+'Reporte Componentes R1'!S80</f>
        <v>0</v>
      </c>
      <c r="AD9" s="291">
        <f>-J9+AE9</f>
        <v>0</v>
      </c>
      <c r="AE9" s="291">
        <f>'Reporte Componentes R1'!F81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R1'!F259</f>
        <v>0</v>
      </c>
      <c r="E10" s="292">
        <f>'Reporte Componentes R1'!G259</f>
        <v>0</v>
      </c>
      <c r="F10" s="292">
        <f>'Reporte Componentes R1'!H259</f>
        <v>0</v>
      </c>
      <c r="G10" s="292">
        <f>'Reporte Componentes R1'!I259</f>
        <v>0</v>
      </c>
      <c r="H10" s="292">
        <f>'Reporte Componentes R1'!J259</f>
        <v>0</v>
      </c>
      <c r="I10" s="292">
        <f>'Reporte Componentes R1'!K259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R1'!L259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R1'!M259</f>
        <v>0</v>
      </c>
      <c r="V10" s="317">
        <f>'Reporte Componentes R1'!N259</f>
        <v>0</v>
      </c>
      <c r="W10" s="317">
        <f>'Reporte Componentes R1'!O259</f>
        <v>0</v>
      </c>
      <c r="X10" s="317">
        <f>'Reporte Componentes R1'!P259</f>
        <v>0</v>
      </c>
      <c r="Y10" s="318">
        <f>'Reporte Componentes R1'!Q259</f>
        <v>0</v>
      </c>
      <c r="Z10" s="319">
        <f>L10*-1</f>
        <v>0</v>
      </c>
      <c r="AA10" s="320">
        <f>'Reporte Componentes R1'!R259+'Reporte Componentes R1'!V259+'Reporte Componentes R1'!U259</f>
        <v>0</v>
      </c>
      <c r="AB10" s="294">
        <f>N10</f>
        <v>0</v>
      </c>
      <c r="AC10" s="320">
        <f>'Reporte Componentes R1'!T259+'Reporte Componentes R1'!W259+'Reporte Componentes R1'!X259+'Reporte Componentes R1'!Y259+'Reporte Componentes R1'!Z259++'Reporte Componentes R1'!S259</f>
        <v>0</v>
      </c>
      <c r="AD10" s="291">
        <f t="shared" ref="AD10:AD13" si="2">-J10+AE10</f>
        <v>0</v>
      </c>
      <c r="AE10" s="291">
        <f>'Reporte Componentes R1'!F260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R1'!F420</f>
        <v>0</v>
      </c>
      <c r="E11" s="292">
        <f>'Reporte Componentes R1'!G420</f>
        <v>0</v>
      </c>
      <c r="F11" s="292">
        <f>'Reporte Componentes R1'!H420</f>
        <v>0</v>
      </c>
      <c r="G11" s="292">
        <f>'Reporte Componentes R1'!I420</f>
        <v>0</v>
      </c>
      <c r="H11" s="292">
        <f>'Reporte Componentes R1'!J420</f>
        <v>0</v>
      </c>
      <c r="I11" s="292">
        <f>'Reporte Componentes R1'!K420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R1'!L420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R1'!M420</f>
        <v>0</v>
      </c>
      <c r="V11" s="317">
        <f>'Reporte Componentes R1'!N420</f>
        <v>0</v>
      </c>
      <c r="W11" s="317">
        <f>'Reporte Componentes R1'!O420</f>
        <v>0</v>
      </c>
      <c r="X11" s="317">
        <f>'Reporte Componentes R1'!P420</f>
        <v>0</v>
      </c>
      <c r="Y11" s="318">
        <f>'Reporte Componentes R1'!Q420</f>
        <v>0</v>
      </c>
      <c r="Z11" s="319">
        <f>L11*-1</f>
        <v>0</v>
      </c>
      <c r="AA11" s="320">
        <f>'Reporte Componentes R1'!R420+'Reporte Componentes R1'!V420+'Reporte Componentes R1'!U420</f>
        <v>0</v>
      </c>
      <c r="AB11" s="294">
        <f>N11</f>
        <v>0</v>
      </c>
      <c r="AC11" s="320">
        <f>'Reporte Componentes R1'!T420+'Reporte Componentes R1'!W420+'Reporte Componentes R1'!X420+'Reporte Componentes R1'!Y420+'Reporte Componentes R1'!Z420++'Reporte Componentes R1'!S420</f>
        <v>0</v>
      </c>
      <c r="AD11" s="291">
        <f t="shared" si="2"/>
        <v>0</v>
      </c>
      <c r="AE11" s="291">
        <f>'Reporte Componentes R1'!F421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R1'!F573</f>
        <v>0</v>
      </c>
      <c r="E12" s="292">
        <f>'Reporte Componentes R1'!G573</f>
        <v>0</v>
      </c>
      <c r="F12" s="292">
        <f>'Reporte Componentes R1'!H573</f>
        <v>0</v>
      </c>
      <c r="G12" s="292">
        <f>'Reporte Componentes R1'!I573</f>
        <v>0</v>
      </c>
      <c r="H12" s="292">
        <f>'Reporte Componentes R1'!J573</f>
        <v>0</v>
      </c>
      <c r="I12" s="292">
        <f>'Reporte Componentes R1'!K573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R1'!L573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R1'!M573</f>
        <v>0</v>
      </c>
      <c r="V12" s="317">
        <f>'Reporte Componentes R1'!N573</f>
        <v>0</v>
      </c>
      <c r="W12" s="317">
        <f>'Reporte Componentes R1'!O573</f>
        <v>0</v>
      </c>
      <c r="X12" s="317">
        <f>'Reporte Componentes R1'!P573</f>
        <v>0</v>
      </c>
      <c r="Y12" s="318">
        <f>'Reporte Componentes R1'!Q573</f>
        <v>0</v>
      </c>
      <c r="Z12" s="319">
        <f>L12*-1</f>
        <v>0</v>
      </c>
      <c r="AA12" s="320">
        <f>'Reporte Componentes R1'!R573+'Reporte Componentes R1'!V573+'Reporte Componentes R1'!U573</f>
        <v>0</v>
      </c>
      <c r="AB12" s="294">
        <f>N12</f>
        <v>0</v>
      </c>
      <c r="AC12" s="320">
        <f>'Reporte Componentes R1'!T573+'Reporte Componentes R1'!W573+'Reporte Componentes R1'!X573+'Reporte Componentes R1'!Y573+'Reporte Componentes R1'!Z573++'Reporte Componentes R1'!S573</f>
        <v>0</v>
      </c>
      <c r="AD12" s="291">
        <f t="shared" si="2"/>
        <v>0</v>
      </c>
      <c r="AE12" s="291">
        <f>'Reporte Componentes R1'!F574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R1'!F685</f>
        <v>0</v>
      </c>
      <c r="E13" s="297">
        <f>'Reporte Componentes R1'!G685</f>
        <v>0</v>
      </c>
      <c r="F13" s="297">
        <f>'Reporte Componentes R1'!H685</f>
        <v>0</v>
      </c>
      <c r="G13" s="297">
        <f>'Reporte Componentes R1'!I685</f>
        <v>0</v>
      </c>
      <c r="H13" s="297">
        <f>'Reporte Componentes R1'!J685</f>
        <v>0</v>
      </c>
      <c r="I13" s="297">
        <f>'Reporte Componentes R1'!K685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R1'!L685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R1'!M685</f>
        <v>0</v>
      </c>
      <c r="V13" s="297">
        <f>'Reporte Componentes R1'!N685</f>
        <v>0</v>
      </c>
      <c r="W13" s="297">
        <f>'Reporte Componentes R1'!O685</f>
        <v>0</v>
      </c>
      <c r="X13" s="297">
        <f>'Reporte Componentes R1'!P685</f>
        <v>0</v>
      </c>
      <c r="Y13" s="289">
        <f>'Reporte Componentes R1'!Q685</f>
        <v>0</v>
      </c>
      <c r="Z13" s="319">
        <f>L13*-1</f>
        <v>0</v>
      </c>
      <c r="AA13" s="320">
        <f>'Reporte Componentes R1'!R685+'Reporte Componentes R1'!V685+'Reporte Componentes R1'!U685</f>
        <v>0</v>
      </c>
      <c r="AB13" s="294">
        <f>N13</f>
        <v>0</v>
      </c>
      <c r="AC13" s="320">
        <f>'Reporte Componentes R1'!T685+'Reporte Componentes R1'!W685+'Reporte Componentes R1'!X685+'Reporte Componentes R1'!Y685+'Reporte Componentes R1'!Z685+'Reporte Componentes R1'!S685</f>
        <v>0</v>
      </c>
      <c r="AD13" s="291">
        <f t="shared" si="2"/>
        <v>0</v>
      </c>
      <c r="AE13" s="291">
        <f>'Reporte Componentes R1'!F686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R2'!E50</f>
        <v>0</v>
      </c>
      <c r="E28" s="292">
        <f>'Rem. Anticipos R2'!F50</f>
        <v>0</v>
      </c>
      <c r="F28" s="292">
        <f>'Rem. Anticipos R2'!G50</f>
        <v>0</v>
      </c>
      <c r="G28" s="292">
        <f>'Rem. Anticipos R2'!H50</f>
        <v>0</v>
      </c>
      <c r="H28" s="292">
        <f>'Rem. Anticipos R2'!I50</f>
        <v>0</v>
      </c>
      <c r="I28" s="292">
        <f>'Rem. Anticipos R2'!J50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R2'!L50</f>
        <v>0</v>
      </c>
      <c r="V28" s="308">
        <f>'Rem. Anticipos R2'!M50</f>
        <v>0</v>
      </c>
      <c r="W28" s="308">
        <f>'Rem. Anticipos R2'!N50</f>
        <v>0</v>
      </c>
      <c r="X28" s="308">
        <f>'Rem. Anticipos R2'!O50</f>
        <v>0</v>
      </c>
      <c r="Y28" s="309">
        <f>'Rem. Anticipos R2'!P50</f>
        <v>0</v>
      </c>
      <c r="Z28" s="310">
        <f>L28*-1</f>
        <v>0</v>
      </c>
      <c r="AA28" s="311">
        <f>'Rem. Anticipos R2'!Q50</f>
        <v>0</v>
      </c>
      <c r="AB28" s="294">
        <f>N28</f>
        <v>0</v>
      </c>
      <c r="AC28" s="311">
        <f>'Rem. Anticipos R2'!R50</f>
        <v>0</v>
      </c>
      <c r="AD28" s="291">
        <f>-J28+AE28</f>
        <v>0</v>
      </c>
      <c r="AE28" s="291">
        <f>'Rem. Anticipos R2'!E51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R2'!E158</f>
        <v>11780995.139999999</v>
      </c>
      <c r="E29" s="292">
        <f>'Rem. Anticipos R2'!F158</f>
        <v>0</v>
      </c>
      <c r="F29" s="292">
        <f>'Rem. Anticipos R2'!G158</f>
        <v>0</v>
      </c>
      <c r="G29" s="292">
        <f>'Rem. Anticipos R2'!H158</f>
        <v>0</v>
      </c>
      <c r="H29" s="292">
        <f>'Rem. Anticipos R2'!I158</f>
        <v>0</v>
      </c>
      <c r="I29" s="292">
        <f>'Rem. Anticipos R2'!J158</f>
        <v>0</v>
      </c>
      <c r="J29" s="288">
        <v>0</v>
      </c>
      <c r="K29" s="295">
        <f t="shared" ref="K29:K31" si="7">D29-E29-F29-G29-H29-I29-J29</f>
        <v>11780995.139999999</v>
      </c>
      <c r="L29" s="294">
        <v>0</v>
      </c>
      <c r="M29" s="295">
        <f>K29-L29</f>
        <v>11780995.139999999</v>
      </c>
      <c r="N29" s="294">
        <f>'Rem. Anticipos R2'!K158</f>
        <v>0</v>
      </c>
      <c r="O29" s="295">
        <f t="shared" ref="O29:O32" si="8">M29+N29</f>
        <v>11780995.139999999</v>
      </c>
      <c r="Q29" s="306"/>
      <c r="S29" s="314">
        <v>2</v>
      </c>
      <c r="T29" s="315" t="s">
        <v>11</v>
      </c>
      <c r="U29" s="316">
        <f>'Rem. Anticipos R2'!L158</f>
        <v>0</v>
      </c>
      <c r="V29" s="317">
        <f>'Rem. Anticipos R2'!M158</f>
        <v>0</v>
      </c>
      <c r="W29" s="317">
        <f>'Rem. Anticipos R2'!N158</f>
        <v>0</v>
      </c>
      <c r="X29" s="317">
        <f>'Rem. Anticipos R2'!O158</f>
        <v>0</v>
      </c>
      <c r="Y29" s="318">
        <f>'Rem. Anticipos R2'!P158</f>
        <v>0</v>
      </c>
      <c r="Z29" s="319">
        <f>L29*-1</f>
        <v>0</v>
      </c>
      <c r="AA29" s="320">
        <f>'Rem. Anticipos R2'!Q158</f>
        <v>0</v>
      </c>
      <c r="AB29" s="294">
        <f>N29</f>
        <v>0</v>
      </c>
      <c r="AC29" s="320">
        <f>'Rem. Anticipos R2'!R158</f>
        <v>0</v>
      </c>
      <c r="AD29" s="291">
        <f>-J29+AE29</f>
        <v>-4383219.66</v>
      </c>
      <c r="AE29" s="291">
        <f>'Rem. Anticipos R2'!E159</f>
        <v>-4383219.66</v>
      </c>
      <c r="AF29" s="322">
        <f>SUM(U29:AD29)</f>
        <v>-4383219.66</v>
      </c>
      <c r="AG29" s="522">
        <f>(AF29-O29)</f>
        <v>-16164214.799999999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R2'!E276</f>
        <v>0</v>
      </c>
      <c r="E30" s="292">
        <f>'Rem. Anticipos R2'!F276</f>
        <v>0</v>
      </c>
      <c r="F30" s="292">
        <f>'Rem. Anticipos R2'!G276</f>
        <v>0</v>
      </c>
      <c r="G30" s="292">
        <f>'Rem. Anticipos R2'!H276</f>
        <v>0</v>
      </c>
      <c r="H30" s="292">
        <f>'Rem. Anticipos R2'!I276</f>
        <v>0</v>
      </c>
      <c r="I30" s="292">
        <f>'Rem. Anticipos R2'!J276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R2'!K276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R2'!L276</f>
        <v>0</v>
      </c>
      <c r="V30" s="317">
        <f>'Rem. Anticipos R2'!M276</f>
        <v>0</v>
      </c>
      <c r="W30" s="317">
        <f>'Rem. Anticipos R2'!N276</f>
        <v>0</v>
      </c>
      <c r="X30" s="317">
        <f>'Rem. Anticipos R2'!O276</f>
        <v>0</v>
      </c>
      <c r="Y30" s="318">
        <f>'Rem. Anticipos R2'!P276</f>
        <v>0</v>
      </c>
      <c r="Z30" s="319">
        <f>L30*-1</f>
        <v>0</v>
      </c>
      <c r="AA30" s="320">
        <f>'Rem. Anticipos R2'!Q276</f>
        <v>0</v>
      </c>
      <c r="AB30" s="294">
        <f>N30</f>
        <v>0</v>
      </c>
      <c r="AC30" s="320">
        <f>'Rem. Anticipos R2'!R276</f>
        <v>0</v>
      </c>
      <c r="AD30" s="291">
        <f t="shared" ref="AD30:AD32" si="10">-J30+AE30</f>
        <v>0</v>
      </c>
      <c r="AE30" s="291">
        <f>'Rem. Anticipos R2'!E277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R2'!E387</f>
        <v>2089183.34</v>
      </c>
      <c r="E31" s="292">
        <f>'Rem. Anticipos R2'!F387</f>
        <v>0</v>
      </c>
      <c r="F31" s="292">
        <f>'Rem. Anticipos R2'!G387</f>
        <v>0</v>
      </c>
      <c r="G31" s="292">
        <f>'Rem. Anticipos R2'!H387</f>
        <v>0</v>
      </c>
      <c r="H31" s="292">
        <f>'Rem. Anticipos R2'!I387</f>
        <v>0</v>
      </c>
      <c r="I31" s="292">
        <f>'Rem. Anticipos R2'!J387</f>
        <v>0</v>
      </c>
      <c r="J31" s="288">
        <v>0</v>
      </c>
      <c r="K31" s="295">
        <f t="shared" si="7"/>
        <v>2089183.34</v>
      </c>
      <c r="L31" s="294">
        <v>0</v>
      </c>
      <c r="M31" s="295">
        <f>K31-L31</f>
        <v>2089183.34</v>
      </c>
      <c r="N31" s="294">
        <f>'Rem. Anticipos R2'!K387</f>
        <v>0</v>
      </c>
      <c r="O31" s="295">
        <f t="shared" si="8"/>
        <v>2089183.34</v>
      </c>
      <c r="Q31" s="306"/>
      <c r="S31" s="314">
        <v>4</v>
      </c>
      <c r="T31" s="315" t="s">
        <v>13</v>
      </c>
      <c r="U31" s="316">
        <f>'Rem. Anticipos R2'!L387</f>
        <v>0</v>
      </c>
      <c r="V31" s="317">
        <f>'Rem. Anticipos R2'!M387</f>
        <v>0</v>
      </c>
      <c r="W31" s="317">
        <f>'Rem. Anticipos R2'!N387</f>
        <v>0</v>
      </c>
      <c r="X31" s="317">
        <f>'Rem. Anticipos R2'!O387</f>
        <v>0</v>
      </c>
      <c r="Y31" s="318">
        <f>'Rem. Anticipos R2'!P387</f>
        <v>0</v>
      </c>
      <c r="Z31" s="319">
        <f>L31*-1</f>
        <v>0</v>
      </c>
      <c r="AA31" s="320">
        <f>'Rem. Anticipos R2'!Q387</f>
        <v>0</v>
      </c>
      <c r="AB31" s="294">
        <f>N31</f>
        <v>0</v>
      </c>
      <c r="AC31" s="320">
        <f>'Rem. Anticipos R2'!R387</f>
        <v>0</v>
      </c>
      <c r="AD31" s="291">
        <f t="shared" si="10"/>
        <v>41645.74</v>
      </c>
      <c r="AE31" s="291">
        <f>'Rem. Anticipos R2'!E388</f>
        <v>41645.74</v>
      </c>
      <c r="AF31" s="322">
        <f>SUM(U31:AD31)</f>
        <v>41645.74</v>
      </c>
      <c r="AG31" s="522">
        <f t="shared" si="11"/>
        <v>-2047537.6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R2'!E471</f>
        <v>0</v>
      </c>
      <c r="E32" s="297">
        <f>'Rem. Anticipos R2'!F471</f>
        <v>0</v>
      </c>
      <c r="F32" s="297">
        <f>'Rem. Anticipos R2'!G471</f>
        <v>0</v>
      </c>
      <c r="G32" s="297">
        <f>'Rem. Anticipos R2'!H471</f>
        <v>0</v>
      </c>
      <c r="H32" s="297">
        <f>'Rem. Anticipos R2'!I471</f>
        <v>0</v>
      </c>
      <c r="I32" s="297">
        <f>'Rem. Anticipos R2'!J471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R2'!K471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R2'!L471</f>
        <v>0</v>
      </c>
      <c r="V32" s="297">
        <f>'Rem. Anticipos R2'!M471</f>
        <v>0</v>
      </c>
      <c r="W32" s="297">
        <f>'Rem. Anticipos R2'!N471</f>
        <v>0</v>
      </c>
      <c r="X32" s="297">
        <f>'Rem. Anticipos R2'!O471</f>
        <v>0</v>
      </c>
      <c r="Y32" s="289">
        <f>'Rem. Anticipos R2'!P471</f>
        <v>0</v>
      </c>
      <c r="Z32" s="319">
        <f>L32*-1</f>
        <v>0</v>
      </c>
      <c r="AA32" s="320">
        <f>'Rem. Anticipos R2'!Q471</f>
        <v>0</v>
      </c>
      <c r="AB32" s="294">
        <f>N32</f>
        <v>0</v>
      </c>
      <c r="AC32" s="320">
        <f>'Rem. Anticipos R2'!R471</f>
        <v>0</v>
      </c>
      <c r="AD32" s="291">
        <f t="shared" si="10"/>
        <v>0</v>
      </c>
      <c r="AE32" s="291">
        <f>'Rem. Anticipos R2'!E472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13870178.479999999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13870178.479999999</v>
      </c>
      <c r="L33" s="301">
        <f t="shared" si="12"/>
        <v>0</v>
      </c>
      <c r="M33" s="302">
        <f t="shared" si="12"/>
        <v>13870178.479999999</v>
      </c>
      <c r="N33" s="301">
        <f t="shared" si="12"/>
        <v>0</v>
      </c>
      <c r="O33" s="302">
        <f t="shared" si="12"/>
        <v>13870178.479999999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-4341573.92</v>
      </c>
      <c r="AE33" s="290">
        <f>SUM(AE28:AE32)</f>
        <v>-4341573.92</v>
      </c>
      <c r="AF33" s="331">
        <f t="shared" si="13"/>
        <v>-4341573.92</v>
      </c>
      <c r="AG33" s="524">
        <f t="shared" si="13"/>
        <v>-18211752.399999999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R1'!F82</f>
        <v>0</v>
      </c>
      <c r="E47" s="292">
        <f>'Reporte Componentes R1'!G82</f>
        <v>0</v>
      </c>
      <c r="F47" s="292">
        <f>'Reporte Componentes R1'!H82</f>
        <v>0</v>
      </c>
      <c r="G47" s="292">
        <f>'Reporte Componentes R1'!I82</f>
        <v>0</v>
      </c>
      <c r="H47" s="292">
        <f>'Reporte Componentes R1'!J82</f>
        <v>0</v>
      </c>
      <c r="I47" s="292">
        <f>'Reporte Componentes R1'!K82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R1'!M82</f>
        <v>0</v>
      </c>
      <c r="V47" s="308">
        <f>'Reporte Componentes R1'!N82</f>
        <v>0</v>
      </c>
      <c r="W47" s="308">
        <f>'Reporte Componentes R1'!O82</f>
        <v>0</v>
      </c>
      <c r="X47" s="308">
        <f>'Reporte Componentes R1'!P82</f>
        <v>0</v>
      </c>
      <c r="Y47" s="309">
        <f>'Reporte Componentes R1'!Q82</f>
        <v>0</v>
      </c>
      <c r="Z47" s="310">
        <f>-L47</f>
        <v>0</v>
      </c>
      <c r="AA47" s="311">
        <f>'Reporte Componentes R1'!R82+'Reporte Componentes R1'!V82+'Reporte Componentes R1'!U82</f>
        <v>0</v>
      </c>
      <c r="AB47" s="294">
        <f>N47</f>
        <v>0</v>
      </c>
      <c r="AC47" s="311">
        <f>'Reporte Componentes R1'!T82+'Reporte Componentes R1'!W82+'Reporte Componentes R1'!X82+'Reporte Componentes R1'!Y82+'Reporte Componentes R1'!Z82+'Reporte Componentes R1'!S82</f>
        <v>0</v>
      </c>
      <c r="AD47" s="291">
        <f>-J47+AE47</f>
        <v>0</v>
      </c>
      <c r="AE47" s="291">
        <f>'Reporte Componentes R1'!F83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R1'!F261</f>
        <v>0</v>
      </c>
      <c r="E48" s="292">
        <f>'Reporte Componentes R1'!G261</f>
        <v>0</v>
      </c>
      <c r="F48" s="292">
        <f>'Reporte Componentes R1'!H261</f>
        <v>0</v>
      </c>
      <c r="G48" s="292">
        <f>'Reporte Componentes R1'!I261</f>
        <v>0</v>
      </c>
      <c r="H48" s="292">
        <f>'Reporte Componentes R1'!J261</f>
        <v>0</v>
      </c>
      <c r="I48" s="292">
        <f>'Reporte Componentes R1'!K261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R1'!L261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R1'!M261</f>
        <v>0</v>
      </c>
      <c r="V48" s="317">
        <f>'Reporte Componentes R1'!N261</f>
        <v>0</v>
      </c>
      <c r="W48" s="317">
        <f>'Reporte Componentes R1'!O261</f>
        <v>0</v>
      </c>
      <c r="X48" s="317">
        <f>'Reporte Componentes R1'!P261</f>
        <v>0</v>
      </c>
      <c r="Y48" s="318">
        <f>'Reporte Componentes R1'!Q261</f>
        <v>0</v>
      </c>
      <c r="Z48" s="319">
        <f>-L48</f>
        <v>0</v>
      </c>
      <c r="AA48" s="320">
        <f>'Reporte Componentes R1'!R261+'Reporte Componentes R1'!V261+'Reporte Componentes R1'!U261</f>
        <v>0</v>
      </c>
      <c r="AB48" s="294">
        <f>N48</f>
        <v>0</v>
      </c>
      <c r="AC48" s="320">
        <f>'Reporte Componentes R1'!T261+'Reporte Componentes R1'!W261+'Reporte Componentes R1'!X261+'Reporte Componentes R1'!Y261+'Reporte Componentes R1'!Z261+'Reporte Componentes R1'!S261</f>
        <v>0</v>
      </c>
      <c r="AD48" s="291">
        <f t="shared" ref="AD48:AD51" si="18">-J48+AE48</f>
        <v>0</v>
      </c>
      <c r="AE48" s="291">
        <f>'Reporte Componentes R1'!F262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R1'!F422</f>
        <v>0</v>
      </c>
      <c r="E49" s="292">
        <f>'Reporte Componentes R1'!G422</f>
        <v>0</v>
      </c>
      <c r="F49" s="292">
        <f>'Reporte Componentes R1'!H422</f>
        <v>0</v>
      </c>
      <c r="G49" s="292">
        <f>'Reporte Componentes R1'!I422</f>
        <v>0</v>
      </c>
      <c r="H49" s="292">
        <f>'Reporte Componentes R1'!J422</f>
        <v>0</v>
      </c>
      <c r="I49" s="292">
        <f>'Reporte Componentes R1'!K422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R1'!L422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R1'!M422</f>
        <v>0</v>
      </c>
      <c r="V49" s="317">
        <f>'Reporte Componentes R1'!N422</f>
        <v>0</v>
      </c>
      <c r="W49" s="317">
        <f>'Reporte Componentes R1'!O422</f>
        <v>0</v>
      </c>
      <c r="X49" s="317">
        <f>'Reporte Componentes R1'!P422</f>
        <v>0</v>
      </c>
      <c r="Y49" s="318">
        <f>'Reporte Componentes R1'!Q422</f>
        <v>0</v>
      </c>
      <c r="Z49" s="319">
        <f>-L49</f>
        <v>0</v>
      </c>
      <c r="AA49" s="320">
        <f>'Reporte Componentes R1'!R422+'Reporte Componentes R1'!V422+'Reporte Componentes R1'!U422</f>
        <v>0</v>
      </c>
      <c r="AB49" s="294">
        <f>N49</f>
        <v>0</v>
      </c>
      <c r="AC49" s="320">
        <f>'Reporte Componentes R1'!T422+'Reporte Componentes R1'!W422+'Reporte Componentes R1'!X422+'Reporte Componentes R1'!Y422+'Reporte Componentes R1'!Z422+'Reporte Componentes R1'!S422</f>
        <v>0</v>
      </c>
      <c r="AD49" s="291">
        <f t="shared" si="18"/>
        <v>0</v>
      </c>
      <c r="AE49" s="291">
        <f>'Reporte Componentes R1'!F423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R1'!F575</f>
        <v>309350</v>
      </c>
      <c r="E50" s="292">
        <f>'Reporte Componentes R1'!G575</f>
        <v>14115.53</v>
      </c>
      <c r="F50" s="292">
        <f>'Reporte Componentes R1'!H575</f>
        <v>7860.38</v>
      </c>
      <c r="G50" s="292">
        <f>'Reporte Componentes R1'!I575</f>
        <v>4733.42</v>
      </c>
      <c r="H50" s="292">
        <f>'Reporte Componentes R1'!J575</f>
        <v>53691.78</v>
      </c>
      <c r="I50" s="292">
        <f>'Reporte Componentes R1'!K575</f>
        <v>3705.22</v>
      </c>
      <c r="J50" s="288">
        <v>0</v>
      </c>
      <c r="K50" s="295">
        <f t="shared" si="16"/>
        <v>225243.66999999998</v>
      </c>
      <c r="L50" s="294">
        <v>0</v>
      </c>
      <c r="M50" s="295">
        <f>K50-L50</f>
        <v>225243.66999999998</v>
      </c>
      <c r="N50" s="294">
        <f>'Reporte Componentes R1'!L575</f>
        <v>0</v>
      </c>
      <c r="O50" s="295">
        <f t="shared" si="17"/>
        <v>225243.66999999998</v>
      </c>
      <c r="Q50" s="306"/>
      <c r="S50" s="314">
        <v>4</v>
      </c>
      <c r="T50" s="315" t="s">
        <v>13</v>
      </c>
      <c r="U50" s="316">
        <f>'Reporte Componentes R1'!M575</f>
        <v>27762.35</v>
      </c>
      <c r="V50" s="317">
        <f>'Reporte Componentes R1'!N575</f>
        <v>31827.74</v>
      </c>
      <c r="W50" s="317">
        <f>'Reporte Componentes R1'!O575</f>
        <v>169721.42</v>
      </c>
      <c r="X50" s="317">
        <f>'Reporte Componentes R1'!P575</f>
        <v>37127.96</v>
      </c>
      <c r="Y50" s="318">
        <f>'Reporte Componentes R1'!Q575</f>
        <v>6045.35</v>
      </c>
      <c r="Z50" s="319">
        <f>-L50</f>
        <v>0</v>
      </c>
      <c r="AA50" s="320">
        <f>'Reporte Componentes R1'!R575+'Reporte Componentes R1'!V575+'Reporte Componentes R1'!U575</f>
        <v>-6.48</v>
      </c>
      <c r="AB50" s="294">
        <f>N50</f>
        <v>0</v>
      </c>
      <c r="AC50" s="320">
        <f>'Reporte Componentes R1'!T575+'Reporte Componentes R1'!W575+'Reporte Componentes R1'!X575+'Reporte Componentes R1'!Y575+'Reporte Componentes R1'!Z575+'Reporte Componentes R1'!S575</f>
        <v>0</v>
      </c>
      <c r="AD50" s="291">
        <f t="shared" si="18"/>
        <v>-47234.67</v>
      </c>
      <c r="AE50" s="291">
        <f>'Reporte Componentes R1'!F576</f>
        <v>-47234.67</v>
      </c>
      <c r="AF50" s="322">
        <f t="shared" si="19"/>
        <v>225243.67000000004</v>
      </c>
      <c r="AG50" s="522">
        <f t="shared" si="20"/>
        <v>5.8207660913467407E-11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R1'!F687</f>
        <v>0</v>
      </c>
      <c r="E51" s="297">
        <f>'Reporte Componentes R1'!G687</f>
        <v>0</v>
      </c>
      <c r="F51" s="297">
        <f>'Reporte Componentes R1'!H687</f>
        <v>0</v>
      </c>
      <c r="G51" s="297">
        <f>'Reporte Componentes R1'!I687</f>
        <v>0</v>
      </c>
      <c r="H51" s="297">
        <f>'Reporte Componentes R1'!J687</f>
        <v>0</v>
      </c>
      <c r="I51" s="297">
        <f>'Reporte Componentes R1'!K687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R1'!L687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R1'!M687</f>
        <v>0</v>
      </c>
      <c r="V51" s="297">
        <f>'Reporte Componentes R1'!N687</f>
        <v>0</v>
      </c>
      <c r="W51" s="297">
        <f>'Reporte Componentes R1'!O687</f>
        <v>0</v>
      </c>
      <c r="X51" s="297">
        <f>'Reporte Componentes R1'!P687</f>
        <v>0</v>
      </c>
      <c r="Y51" s="289">
        <f>'Reporte Componentes R1'!Q687</f>
        <v>0</v>
      </c>
      <c r="Z51" s="319">
        <f>-L51</f>
        <v>0</v>
      </c>
      <c r="AA51" s="320">
        <f>'Reporte Componentes R1'!R687+'Reporte Componentes R1'!V687+'Reporte Componentes R1'!U687</f>
        <v>0</v>
      </c>
      <c r="AB51" s="294">
        <f>N51</f>
        <v>0</v>
      </c>
      <c r="AC51" s="320">
        <f>'Reporte Componentes R1'!T687+'Reporte Componentes R1'!W687+'Reporte Componentes R1'!X687+'Reporte Componentes R1'!Y687+'Reporte Componentes R1'!Z687+'Reporte Componentes R1'!S687</f>
        <v>0</v>
      </c>
      <c r="AD51" s="291">
        <f t="shared" si="18"/>
        <v>0</v>
      </c>
      <c r="AE51" s="291">
        <f>'Reporte Componentes R1'!F688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309350</v>
      </c>
      <c r="E52" s="290">
        <f t="shared" si="21"/>
        <v>14115.53</v>
      </c>
      <c r="F52" s="290">
        <f t="shared" si="21"/>
        <v>7860.38</v>
      </c>
      <c r="G52" s="290">
        <f t="shared" ref="G52" si="22">SUM(G47:G51)</f>
        <v>4733.42</v>
      </c>
      <c r="H52" s="290">
        <f t="shared" si="21"/>
        <v>53691.78</v>
      </c>
      <c r="I52" s="290">
        <f t="shared" si="21"/>
        <v>3705.22</v>
      </c>
      <c r="J52" s="290">
        <f t="shared" si="21"/>
        <v>0</v>
      </c>
      <c r="K52" s="300">
        <f t="shared" si="21"/>
        <v>225243.66999999998</v>
      </c>
      <c r="L52" s="301">
        <f t="shared" si="21"/>
        <v>0</v>
      </c>
      <c r="M52" s="302">
        <f t="shared" si="21"/>
        <v>225243.66999999998</v>
      </c>
      <c r="N52" s="301">
        <f t="shared" si="21"/>
        <v>0</v>
      </c>
      <c r="O52" s="302">
        <f t="shared" si="21"/>
        <v>225243.66999999998</v>
      </c>
      <c r="P52" s="329"/>
      <c r="Q52" s="306"/>
      <c r="S52" s="327"/>
      <c r="T52" s="328" t="s">
        <v>2</v>
      </c>
      <c r="U52" s="330">
        <f>SUM(U47:U51)</f>
        <v>27762.35</v>
      </c>
      <c r="V52" s="330">
        <f t="shared" ref="V52:AG52" si="23">SUM(V47:V51)</f>
        <v>31827.74</v>
      </c>
      <c r="W52" s="330">
        <f t="shared" si="23"/>
        <v>169721.42</v>
      </c>
      <c r="X52" s="330">
        <f t="shared" si="23"/>
        <v>37127.96</v>
      </c>
      <c r="Y52" s="330">
        <f t="shared" si="23"/>
        <v>6045.35</v>
      </c>
      <c r="Z52" s="290">
        <f t="shared" si="23"/>
        <v>0</v>
      </c>
      <c r="AA52" s="290">
        <f t="shared" si="23"/>
        <v>-6.48</v>
      </c>
      <c r="AB52" s="290">
        <f t="shared" si="23"/>
        <v>0</v>
      </c>
      <c r="AC52" s="290">
        <f t="shared" si="23"/>
        <v>0</v>
      </c>
      <c r="AD52" s="290">
        <f>SUM(AD47:AD51)</f>
        <v>-47234.67</v>
      </c>
      <c r="AE52" s="290">
        <f>SUM(AE47:AE51)</f>
        <v>-47234.67</v>
      </c>
      <c r="AF52" s="331">
        <f t="shared" si="23"/>
        <v>225243.67000000004</v>
      </c>
      <c r="AG52" s="524">
        <f t="shared" si="23"/>
        <v>5.8207660913467407E-11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272484.82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R4'!D177</f>
        <v>0</v>
      </c>
      <c r="E67" s="292">
        <f>'Reversion Pagos R4'!E177</f>
        <v>0</v>
      </c>
      <c r="F67" s="292">
        <f>'Reversion Pagos R4'!F177</f>
        <v>0</v>
      </c>
      <c r="G67" s="292">
        <f>'Reversion Pagos R4'!G177</f>
        <v>0</v>
      </c>
      <c r="H67" s="292">
        <f>'Reversion Pagos R4'!H177</f>
        <v>0</v>
      </c>
      <c r="I67" s="292">
        <f>'Reversion Pagos R4'!I177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7">
        <f>'Reversion Pagos R4'!K177</f>
        <v>0</v>
      </c>
      <c r="W67" s="317">
        <f>'Reversion Pagos R4'!L177</f>
        <v>0</v>
      </c>
      <c r="X67" s="317">
        <f>'Reversion Pagos R4'!M177</f>
        <v>0</v>
      </c>
      <c r="Y67" s="318">
        <f>'Reversion Pagos R4'!N177</f>
        <v>0</v>
      </c>
      <c r="Z67" s="319">
        <f t="shared" ref="Z67:Z70" si="27">-L67</f>
        <v>0</v>
      </c>
      <c r="AA67" s="320">
        <f>'Reversion Pagos R4'!O177</f>
        <v>0</v>
      </c>
      <c r="AB67" s="294">
        <f t="shared" ref="AB67:AB70" si="28">N67</f>
        <v>0</v>
      </c>
      <c r="AC67" s="320">
        <f>+'Reversion Pagos R4'!Q177+'Reversion Pagos R4'!R177</f>
        <v>0</v>
      </c>
      <c r="AD67" s="291">
        <f t="shared" ref="AD67:AD70" si="29">-J67+AE67</f>
        <v>0</v>
      </c>
      <c r="AE67" s="291">
        <f>'Reversion Pagos R4'!D178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R4'!D214</f>
        <v>0</v>
      </c>
      <c r="E68" s="292">
        <f>'Reversion Pagos R4'!E214</f>
        <v>0</v>
      </c>
      <c r="F68" s="292">
        <f>'Reversion Pagos R4'!F214</f>
        <v>0</v>
      </c>
      <c r="G68" s="292">
        <f>'Reversion Pagos R4'!G214</f>
        <v>0</v>
      </c>
      <c r="H68" s="292">
        <f>'Reversion Pagos R4'!H214</f>
        <v>0</v>
      </c>
      <c r="I68" s="292">
        <f>'Reversion Pagos R4'!I214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7">
        <f>'Reversion Pagos R4'!K214</f>
        <v>0</v>
      </c>
      <c r="W68" s="317">
        <f>'Reversion Pagos R4'!L214</f>
        <v>0</v>
      </c>
      <c r="X68" s="317">
        <f>'Reversion Pagos R4'!M214</f>
        <v>0</v>
      </c>
      <c r="Y68" s="318">
        <f>'Reversion Pagos R4'!N214</f>
        <v>0</v>
      </c>
      <c r="Z68" s="319">
        <f t="shared" si="27"/>
        <v>0</v>
      </c>
      <c r="AA68" s="320">
        <f>'Reversion Pagos R4'!O214</f>
        <v>0</v>
      </c>
      <c r="AB68" s="294">
        <f t="shared" si="28"/>
        <v>0</v>
      </c>
      <c r="AC68" s="320">
        <f>+'Reversion Pagos R4'!Q214+'Reversion Pagos R4'!R214</f>
        <v>0</v>
      </c>
      <c r="AD68" s="291">
        <f t="shared" si="29"/>
        <v>0</v>
      </c>
      <c r="AE68" s="291">
        <f>'Reversion Pagos R4'!D215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R4'!D329</f>
        <v>-554080</v>
      </c>
      <c r="E69" s="292">
        <f>'Reversion Pagos R4'!E329</f>
        <v>0</v>
      </c>
      <c r="F69" s="292">
        <f>'Reversion Pagos R4'!F329</f>
        <v>0</v>
      </c>
      <c r="G69" s="292">
        <f>'Reversion Pagos R4'!G329</f>
        <v>0</v>
      </c>
      <c r="H69" s="292">
        <f>'Reversion Pagos R4'!H329</f>
        <v>0</v>
      </c>
      <c r="I69" s="292">
        <f>'Reversion Pagos R4'!I329</f>
        <v>0</v>
      </c>
      <c r="J69" s="288">
        <v>0</v>
      </c>
      <c r="K69" s="295">
        <f t="shared" si="25"/>
        <v>-554080</v>
      </c>
      <c r="L69" s="294">
        <v>0</v>
      </c>
      <c r="M69" s="295">
        <f>K69-L69</f>
        <v>-554080</v>
      </c>
      <c r="N69" s="294">
        <f>'Reversion Pagos R4'!P329</f>
        <v>0</v>
      </c>
      <c r="O69" s="295">
        <f t="shared" si="26"/>
        <v>-554080</v>
      </c>
      <c r="Q69" s="306"/>
      <c r="S69" s="314">
        <v>4</v>
      </c>
      <c r="T69" s="315" t="s">
        <v>13</v>
      </c>
      <c r="U69" s="316">
        <f>'Reversion Pagos R4'!J329</f>
        <v>0</v>
      </c>
      <c r="V69" s="317">
        <f>'Reversion Pagos R4'!K329</f>
        <v>0</v>
      </c>
      <c r="W69" s="317">
        <f>'Reversion Pagos R4'!L329</f>
        <v>0</v>
      </c>
      <c r="X69" s="317">
        <f>'Reversion Pagos R4'!M329</f>
        <v>0</v>
      </c>
      <c r="Y69" s="318">
        <f>'Reversion Pagos R4'!N329</f>
        <v>0</v>
      </c>
      <c r="Z69" s="319">
        <f t="shared" si="27"/>
        <v>0</v>
      </c>
      <c r="AA69" s="320">
        <f>'Reversion Pagos R4'!O329</f>
        <v>0</v>
      </c>
      <c r="AB69" s="294">
        <f t="shared" si="28"/>
        <v>0</v>
      </c>
      <c r="AC69" s="320">
        <f>+'Reversion Pagos R4'!Q329+'Reversion Pagos R4'!R329</f>
        <v>0</v>
      </c>
      <c r="AD69" s="291">
        <f t="shared" si="29"/>
        <v>0</v>
      </c>
      <c r="AE69" s="291">
        <f>'Reversion Pagos R4'!D330</f>
        <v>0</v>
      </c>
      <c r="AF69" s="322">
        <f>SUM(U69:AD69)</f>
        <v>0</v>
      </c>
      <c r="AG69" s="522">
        <f>(AF69-O69)</f>
        <v>554080</v>
      </c>
      <c r="AH69" s="1" t="b">
        <f t="shared" si="24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R4'!D364</f>
        <v>0</v>
      </c>
      <c r="E70" s="297">
        <f>'Reversion Pagos R4'!E364</f>
        <v>0</v>
      </c>
      <c r="F70" s="297">
        <f>'Reversion Pagos R4'!F364</f>
        <v>0</v>
      </c>
      <c r="G70" s="297">
        <f>'Reversion Pagos R4'!G364</f>
        <v>0</v>
      </c>
      <c r="H70" s="297">
        <f>'Reversion Pagos R4'!H364</f>
        <v>0</v>
      </c>
      <c r="I70" s="297">
        <f>'Reversion Pagos R4'!I364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7">
        <f>'Reversion Pagos R4'!K364</f>
        <v>0</v>
      </c>
      <c r="W70" s="297">
        <f>'Reversion Pagos R4'!L364</f>
        <v>0</v>
      </c>
      <c r="X70" s="297">
        <f>'Reversion Pagos R4'!M364</f>
        <v>0</v>
      </c>
      <c r="Y70" s="289">
        <f>'Reversion Pagos R4'!N364</f>
        <v>0</v>
      </c>
      <c r="Z70" s="319">
        <f t="shared" si="27"/>
        <v>0</v>
      </c>
      <c r="AA70" s="320">
        <f>'Reversion Pagos R4'!O364</f>
        <v>0</v>
      </c>
      <c r="AB70" s="294">
        <f t="shared" si="28"/>
        <v>0</v>
      </c>
      <c r="AC70" s="320">
        <f>+'Reversion Pagos R4'!Q364+'Reversion Pagos R4'!R364</f>
        <v>0</v>
      </c>
      <c r="AD70" s="291">
        <f t="shared" si="29"/>
        <v>0</v>
      </c>
      <c r="AE70" s="291">
        <f>'Reversion Pagos R4'!D365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-554080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-554080</v>
      </c>
      <c r="L71" s="301">
        <f t="shared" si="32"/>
        <v>0</v>
      </c>
      <c r="M71" s="302">
        <f t="shared" si="32"/>
        <v>-554080</v>
      </c>
      <c r="N71" s="301">
        <f t="shared" si="32"/>
        <v>0</v>
      </c>
      <c r="O71" s="302">
        <f t="shared" si="32"/>
        <v>-554080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554080</v>
      </c>
      <c r="AH71" s="1" t="b">
        <f t="shared" si="24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11780995.139999999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11780995.139999999</v>
      </c>
      <c r="L105" s="294">
        <f>L10+L29+L48+L67+L86</f>
        <v>0</v>
      </c>
      <c r="M105" s="295">
        <f>K105-L105</f>
        <v>11780995.139999999</v>
      </c>
      <c r="N105" s="294">
        <f>N10+N29+N48+N67+N86</f>
        <v>0</v>
      </c>
      <c r="O105" s="295">
        <f t="shared" ref="O105:O108" si="47">M105+N105</f>
        <v>11780995.139999999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-4383219.66</v>
      </c>
      <c r="AE105" s="291">
        <f>AE10+AE29+AE48+AE67+AE86</f>
        <v>-4383219.66</v>
      </c>
      <c r="AF105" s="322">
        <f>SUM(U105:AD105)</f>
        <v>-4383219.66</v>
      </c>
      <c r="AG105" s="522">
        <f>AF105-O105</f>
        <v>-16164214.799999999</v>
      </c>
      <c r="AH105" s="1" t="b">
        <f t="shared" si="45"/>
        <v>0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1844453.3399999999</v>
      </c>
      <c r="E107" s="292">
        <f t="shared" si="43"/>
        <v>14115.53</v>
      </c>
      <c r="F107" s="292">
        <f t="shared" si="43"/>
        <v>7860.38</v>
      </c>
      <c r="G107" s="292">
        <f t="shared" si="43"/>
        <v>4733.42</v>
      </c>
      <c r="H107" s="292">
        <f t="shared" si="43"/>
        <v>53691.78</v>
      </c>
      <c r="I107" s="292">
        <f t="shared" si="43"/>
        <v>3705.22</v>
      </c>
      <c r="J107" s="288">
        <f t="shared" si="43"/>
        <v>0</v>
      </c>
      <c r="K107" s="295">
        <f t="shared" si="46"/>
        <v>1760347.01</v>
      </c>
      <c r="L107" s="294">
        <f>L12+L31+L50+L69+L88</f>
        <v>0</v>
      </c>
      <c r="M107" s="295">
        <f>K107-L107</f>
        <v>1760347.01</v>
      </c>
      <c r="N107" s="294">
        <f>N12+N31+N50+N69+N88</f>
        <v>0</v>
      </c>
      <c r="O107" s="295">
        <f t="shared" si="47"/>
        <v>1760347.01</v>
      </c>
      <c r="Q107" s="306"/>
      <c r="S107" s="314">
        <v>4</v>
      </c>
      <c r="T107" s="315" t="s">
        <v>13</v>
      </c>
      <c r="U107" s="316">
        <f t="shared" si="44"/>
        <v>27762.35</v>
      </c>
      <c r="V107" s="317">
        <f t="shared" si="44"/>
        <v>31827.74</v>
      </c>
      <c r="W107" s="317">
        <f t="shared" si="44"/>
        <v>169721.42</v>
      </c>
      <c r="X107" s="317">
        <f t="shared" si="44"/>
        <v>37127.96</v>
      </c>
      <c r="Y107" s="318">
        <f t="shared" si="44"/>
        <v>6045.35</v>
      </c>
      <c r="Z107" s="319">
        <f t="shared" si="44"/>
        <v>0</v>
      </c>
      <c r="AA107" s="320">
        <f t="shared" si="44"/>
        <v>-6.48</v>
      </c>
      <c r="AB107" s="294">
        <f t="shared" si="44"/>
        <v>0</v>
      </c>
      <c r="AC107" s="320">
        <f t="shared" si="44"/>
        <v>0</v>
      </c>
      <c r="AD107" s="291">
        <f t="shared" si="48"/>
        <v>-5588.93</v>
      </c>
      <c r="AE107" s="291">
        <f>AE12+AE31+AE50+AE69+AE88</f>
        <v>-5588.93</v>
      </c>
      <c r="AF107" s="322">
        <f>SUM(U107:AD107)</f>
        <v>266889.41000000003</v>
      </c>
      <c r="AG107" s="522">
        <f>AF107-O107</f>
        <v>-1493457.6</v>
      </c>
      <c r="AH107" s="1" t="b">
        <f t="shared" si="45"/>
        <v>0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13625448.479999999</v>
      </c>
      <c r="E109" s="290">
        <f t="shared" si="49"/>
        <v>14115.53</v>
      </c>
      <c r="F109" s="290">
        <f t="shared" si="49"/>
        <v>7860.38</v>
      </c>
      <c r="G109" s="290">
        <f t="shared" si="49"/>
        <v>4733.42</v>
      </c>
      <c r="H109" s="290">
        <f t="shared" si="49"/>
        <v>53691.78</v>
      </c>
      <c r="I109" s="290">
        <f t="shared" si="49"/>
        <v>3705.22</v>
      </c>
      <c r="J109" s="290">
        <f t="shared" si="49"/>
        <v>0</v>
      </c>
      <c r="K109" s="300">
        <f t="shared" si="49"/>
        <v>13541342.149999999</v>
      </c>
      <c r="L109" s="301">
        <f t="shared" si="49"/>
        <v>0</v>
      </c>
      <c r="M109" s="302">
        <f t="shared" si="49"/>
        <v>13541342.149999999</v>
      </c>
      <c r="N109" s="301">
        <f t="shared" si="49"/>
        <v>0</v>
      </c>
      <c r="O109" s="302">
        <f t="shared" si="49"/>
        <v>13541342.149999999</v>
      </c>
      <c r="P109" s="329"/>
      <c r="Q109" s="306"/>
      <c r="S109" s="327"/>
      <c r="T109" s="328" t="s">
        <v>2</v>
      </c>
      <c r="U109" s="330">
        <f>SUM(U104:U108)</f>
        <v>27762.35</v>
      </c>
      <c r="V109" s="330">
        <f t="shared" ref="V109:AF109" si="50">SUM(V104:V108)</f>
        <v>31827.74</v>
      </c>
      <c r="W109" s="330">
        <f t="shared" si="50"/>
        <v>169721.42</v>
      </c>
      <c r="X109" s="330">
        <f t="shared" si="50"/>
        <v>37127.96</v>
      </c>
      <c r="Y109" s="330">
        <f t="shared" si="50"/>
        <v>6045.35</v>
      </c>
      <c r="Z109" s="290">
        <f t="shared" si="50"/>
        <v>0</v>
      </c>
      <c r="AA109" s="290">
        <f t="shared" si="50"/>
        <v>-6.48</v>
      </c>
      <c r="AB109" s="290">
        <f t="shared" si="50"/>
        <v>0</v>
      </c>
      <c r="AC109" s="290">
        <f t="shared" si="50"/>
        <v>0</v>
      </c>
      <c r="AD109" s="290">
        <f t="shared" si="50"/>
        <v>-4388808.59</v>
      </c>
      <c r="AE109" s="290">
        <f>SUM(AE104:AE108)</f>
        <v>-4388808.59</v>
      </c>
      <c r="AF109" s="331">
        <f t="shared" si="50"/>
        <v>-4116330.25</v>
      </c>
      <c r="AG109" s="524">
        <f>SUM(AG104:AG108)</f>
        <v>-17657672.399999999</v>
      </c>
      <c r="AH109" s="1" t="b">
        <f t="shared" si="45"/>
        <v>0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272484.82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11780995.139999999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309350</v>
      </c>
      <c r="H128" s="340">
        <f>D31+N31</f>
        <v>2089183.34</v>
      </c>
      <c r="I128" s="288">
        <f>D88+N88</f>
        <v>0</v>
      </c>
      <c r="J128" s="288">
        <f t="shared" si="51"/>
        <v>-554080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309350</v>
      </c>
      <c r="H131" s="350">
        <f>SUM(H125:H130)</f>
        <v>13870178.479999999</v>
      </c>
      <c r="I131" s="350">
        <f>SUM(I125:I130)</f>
        <v>0</v>
      </c>
      <c r="J131" s="350">
        <f>SUM(J125:J130)</f>
        <v>-554080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11780995.139999999</v>
      </c>
      <c r="E143" s="18">
        <f>'Recaudo EAAB Reciprocidad'!F22</f>
        <v>0</v>
      </c>
      <c r="F143" s="18">
        <f>D29+N29</f>
        <v>11780995.139999999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11780995.139999999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1844453.3399999999</v>
      </c>
      <c r="E145" s="18">
        <f>'Recaudo EAAB Reciprocidad'!F24</f>
        <v>0</v>
      </c>
      <c r="F145" s="18">
        <f>D31+N31</f>
        <v>2089183.34</v>
      </c>
      <c r="G145" s="18">
        <f>D69+N69</f>
        <v>-554080</v>
      </c>
      <c r="H145" s="18">
        <f>D88+N88</f>
        <v>0</v>
      </c>
      <c r="I145" s="18">
        <f>('REPORTE RECAUDO x BANCO'!E69)</f>
        <v>0</v>
      </c>
      <c r="J145" s="18">
        <f t="shared" si="53"/>
        <v>309350</v>
      </c>
      <c r="K145" s="83">
        <f t="shared" si="53"/>
        <v>2089183.34</v>
      </c>
      <c r="L145" s="597">
        <f>D145-E145-F145-G145-J145-H145-I145</f>
        <v>-2.3283064365386963E-10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13625448.479999999</v>
      </c>
      <c r="E147" s="47">
        <f>SUM(E142:E146)</f>
        <v>0</v>
      </c>
      <c r="F147" s="47">
        <f t="shared" ref="F147:K147" si="55">SUM(F142:F146)</f>
        <v>13870178.479999999</v>
      </c>
      <c r="G147" s="47">
        <f t="shared" si="55"/>
        <v>-554080</v>
      </c>
      <c r="H147" s="47">
        <f t="shared" si="55"/>
        <v>0</v>
      </c>
      <c r="I147" s="47">
        <f t="shared" si="55"/>
        <v>0</v>
      </c>
      <c r="J147" s="47">
        <f t="shared" si="55"/>
        <v>309350</v>
      </c>
      <c r="K147" s="47">
        <f t="shared" si="55"/>
        <v>13870178.479999999</v>
      </c>
      <c r="L147" s="597">
        <f>SUM(L142:L146)</f>
        <v>-2.3283064365386963E-10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332031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332031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0</v>
      </c>
      <c r="D4" s="292">
        <f>'REMUNERACION Reciprocidad EAAB'!G126</f>
        <v>0</v>
      </c>
      <c r="E4" s="292">
        <f>'REMUNERACION Reciprocidad EAAB'!D29+'REMUNERACION Reciprocidad EAAB'!N29</f>
        <v>11780995.139999999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11780995.139999999</v>
      </c>
      <c r="I4" s="291">
        <f>'REMUNERACION Reciprocidad EAAB'!D105</f>
        <v>11780995.139999999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11780995.139999999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0</v>
      </c>
      <c r="D6" s="292">
        <f>'REMUNERACION Reciprocidad EAAB'!G128</f>
        <v>309350</v>
      </c>
      <c r="E6" s="292">
        <f>'REMUNERACION Reciprocidad EAAB'!D31+'REMUNERACION Reciprocidad EAAB'!N31</f>
        <v>2089183.34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2398533.34</v>
      </c>
      <c r="I6" s="291">
        <f>'REMUNERACION Reciprocidad EAAB'!D107</f>
        <v>1844453.3399999999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554080</v>
      </c>
      <c r="N6" s="318">
        <f t="shared" ref="N6:N7" si="3">SUM(I6:M6)</f>
        <v>2398533.34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309350</v>
      </c>
      <c r="E9" s="290">
        <f>SUM(E3:E8)</f>
        <v>13870178.479999999</v>
      </c>
      <c r="F9" s="290">
        <f t="shared" si="4"/>
        <v>0</v>
      </c>
      <c r="G9" s="290">
        <f t="shared" si="4"/>
        <v>0</v>
      </c>
      <c r="H9" s="290">
        <f t="shared" si="4"/>
        <v>14179528.479999999</v>
      </c>
      <c r="I9" s="290">
        <f t="shared" si="4"/>
        <v>13625448.479999999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554080</v>
      </c>
      <c r="N9" s="290">
        <f>SUM(N3:N8)</f>
        <v>14179528.479999999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33203125" style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33203125" style="1" customWidth="1"/>
    <col min="36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46296</v>
      </c>
      <c r="J7" s="2" t="s">
        <v>28</v>
      </c>
      <c r="K7" s="9">
        <f>'REMUNERACION Reciprocidad EAAB'!K102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11780995.139999999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11780995.139999999</v>
      </c>
      <c r="L10" s="66">
        <f>'REMUNERACION Reciprocidad EAAB'!L105</f>
        <v>0</v>
      </c>
      <c r="M10" s="31">
        <f>K10-L10</f>
        <v>11780995.139999999</v>
      </c>
      <c r="N10" s="66">
        <f>'REMUNERACION Reciprocidad EAAB'!N105</f>
        <v>0</v>
      </c>
      <c r="O10" s="31">
        <f t="shared" ref="O10:O13" si="1">M10+N10</f>
        <v>11780995.139999999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-4383219.66</v>
      </c>
      <c r="AE10" s="66">
        <f>'REMUNERACION Reciprocidad EAAB'!AE105</f>
        <v>-4383219.66</v>
      </c>
      <c r="AF10" s="70">
        <f>SUM(U10:AD10)</f>
        <v>-4383219.66</v>
      </c>
      <c r="AG10" s="72">
        <f>AF10-O10</f>
        <v>-16164214.799999999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1844453.3399999999</v>
      </c>
      <c r="E12" s="66">
        <f>'REMUNERACION Reciprocidad EAAB'!E107</f>
        <v>14115.53</v>
      </c>
      <c r="F12" s="66">
        <f>'REMUNERACION Reciprocidad EAAB'!F107</f>
        <v>7860.38</v>
      </c>
      <c r="G12" s="66">
        <f>'REMUNERACION Reciprocidad EAAB'!G107</f>
        <v>4733.42</v>
      </c>
      <c r="H12" s="66">
        <f>'REMUNERACION Reciprocidad EAAB'!H107</f>
        <v>53691.78</v>
      </c>
      <c r="I12" s="66">
        <f>'REMUNERACION Reciprocidad EAAB'!I107</f>
        <v>3705.22</v>
      </c>
      <c r="J12" s="66">
        <f>'REMUNERACION Reciprocidad EAAB'!J107</f>
        <v>0</v>
      </c>
      <c r="K12" s="31">
        <f t="shared" si="0"/>
        <v>1760347.01</v>
      </c>
      <c r="L12" s="66">
        <f>'REMUNERACION Reciprocidad EAAB'!L107</f>
        <v>0</v>
      </c>
      <c r="M12" s="31">
        <f>K12-L12</f>
        <v>1760347.01</v>
      </c>
      <c r="N12" s="66">
        <f>'REMUNERACION Reciprocidad EAAB'!N107</f>
        <v>0</v>
      </c>
      <c r="O12" s="31">
        <f t="shared" si="1"/>
        <v>1760347.01</v>
      </c>
      <c r="Q12" s="4"/>
      <c r="S12" s="16">
        <v>4</v>
      </c>
      <c r="T12" s="62" t="s">
        <v>13</v>
      </c>
      <c r="U12" s="66">
        <f>'REMUNERACION Reciprocidad EAAB'!U107</f>
        <v>27762.35</v>
      </c>
      <c r="V12" s="66">
        <f>'REMUNERACION Reciprocidad EAAB'!V107</f>
        <v>31827.74</v>
      </c>
      <c r="W12" s="66">
        <f>'REMUNERACION Reciprocidad EAAB'!W107</f>
        <v>169721.42</v>
      </c>
      <c r="X12" s="66">
        <f>'REMUNERACION Reciprocidad EAAB'!X107</f>
        <v>37127.96</v>
      </c>
      <c r="Y12" s="66">
        <f>'REMUNERACION Reciprocidad EAAB'!Y107</f>
        <v>6045.35</v>
      </c>
      <c r="Z12" s="66">
        <f>'REMUNERACION Reciprocidad EAAB'!Z107</f>
        <v>0</v>
      </c>
      <c r="AA12" s="66">
        <f>'REMUNERACION Reciprocidad EAAB'!AA107</f>
        <v>-6.48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-5588.93</v>
      </c>
      <c r="AE12" s="66">
        <f>'REMUNERACION Reciprocidad EAAB'!AE107</f>
        <v>-5588.93</v>
      </c>
      <c r="AF12" s="70">
        <f>SUM(U12:AD12)</f>
        <v>266889.41000000003</v>
      </c>
      <c r="AG12" s="72">
        <f>AF12-O12</f>
        <v>-1493457.6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13625448.479999999</v>
      </c>
      <c r="E14" s="43">
        <f t="shared" si="3"/>
        <v>14115.53</v>
      </c>
      <c r="F14" s="43">
        <f t="shared" si="3"/>
        <v>7860.38</v>
      </c>
      <c r="G14" s="43">
        <f t="shared" si="3"/>
        <v>4733.42</v>
      </c>
      <c r="H14" s="43">
        <f t="shared" si="3"/>
        <v>53691.78</v>
      </c>
      <c r="I14" s="43">
        <f t="shared" si="3"/>
        <v>3705.22</v>
      </c>
      <c r="J14" s="43">
        <f t="shared" si="3"/>
        <v>0</v>
      </c>
      <c r="K14" s="32">
        <f t="shared" si="3"/>
        <v>13541342.149999999</v>
      </c>
      <c r="L14" s="23">
        <f t="shared" si="3"/>
        <v>0</v>
      </c>
      <c r="M14" s="76">
        <f t="shared" si="3"/>
        <v>13541342.149999999</v>
      </c>
      <c r="N14" s="23">
        <f t="shared" si="3"/>
        <v>0</v>
      </c>
      <c r="O14" s="76">
        <f t="shared" si="3"/>
        <v>13541342.149999999</v>
      </c>
      <c r="P14" s="2"/>
      <c r="Q14" s="4"/>
      <c r="S14" s="21"/>
      <c r="T14" s="22" t="s">
        <v>2</v>
      </c>
      <c r="U14" s="43">
        <f>SUM(U9:U13)</f>
        <v>27762.35</v>
      </c>
      <c r="V14" s="43">
        <f t="shared" ref="V14:AG14" si="4">SUM(V9:V13)</f>
        <v>31827.74</v>
      </c>
      <c r="W14" s="43">
        <f t="shared" si="4"/>
        <v>169721.42</v>
      </c>
      <c r="X14" s="43">
        <f t="shared" si="4"/>
        <v>37127.96</v>
      </c>
      <c r="Y14" s="43">
        <f t="shared" si="4"/>
        <v>6045.35</v>
      </c>
      <c r="Z14" s="43">
        <f t="shared" si="4"/>
        <v>0</v>
      </c>
      <c r="AA14" s="43">
        <f t="shared" si="4"/>
        <v>-6.48</v>
      </c>
      <c r="AB14" s="43">
        <f t="shared" si="4"/>
        <v>0</v>
      </c>
      <c r="AC14" s="43">
        <f t="shared" si="4"/>
        <v>0</v>
      </c>
      <c r="AD14" s="43">
        <f t="shared" si="4"/>
        <v>-4388808.59</v>
      </c>
      <c r="AE14" s="43">
        <f>SUM(AE9:AE13)</f>
        <v>-4388808.59</v>
      </c>
      <c r="AF14" s="68">
        <f t="shared" si="4"/>
        <v>-4116330.25</v>
      </c>
      <c r="AG14" s="43">
        <f t="shared" si="4"/>
        <v>-17657672.399999999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272484.82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46296</v>
      </c>
      <c r="J27" s="2" t="s">
        <v>28</v>
      </c>
      <c r="K27" s="9">
        <f>'REMUNERACION Reciprocidad EAAB'!K122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11780995.139999999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309350</v>
      </c>
      <c r="H33" s="340">
        <f>'REMUNERACION Reciprocidad EAAB'!H128</f>
        <v>2089183.34</v>
      </c>
      <c r="I33" s="288">
        <f>'REMUNERACION Reciprocidad EAAB'!I128</f>
        <v>0</v>
      </c>
      <c r="J33" s="288">
        <f>'REMUNERACION Reciprocidad EAAB'!J128</f>
        <v>-554080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309350</v>
      </c>
      <c r="H36" s="350">
        <f t="shared" si="5"/>
        <v>13870178.479999999</v>
      </c>
      <c r="I36" s="350">
        <f t="shared" si="5"/>
        <v>0</v>
      </c>
      <c r="J36" s="350">
        <f t="shared" si="5"/>
        <v>-554080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36" width="13.88671875" style="1" bestFit="1" customWidth="1"/>
    <col min="37" max="16384" width="11.332031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R1'!F85</f>
        <v>14471399690.9</v>
      </c>
      <c r="E9" s="292">
        <f>'Reporte Componentes R1'!G85</f>
        <v>808230383.38</v>
      </c>
      <c r="F9" s="292">
        <f>'Reporte Componentes R1'!H85</f>
        <v>450240430.11000001</v>
      </c>
      <c r="G9" s="292">
        <f>'Reporte Componentes R1'!I85</f>
        <v>239670565.69999999</v>
      </c>
      <c r="H9" s="292">
        <f>'Reporte Componentes R1'!J85</f>
        <v>4717756385.7200003</v>
      </c>
      <c r="I9" s="292">
        <f>'Reporte Componentes R1'!K85</f>
        <v>157336840.31</v>
      </c>
      <c r="J9" s="292">
        <f>'CONSOLIDADO_TOTAL RECAUDO'!J9</f>
        <v>2153950828.1600003</v>
      </c>
      <c r="K9" s="293">
        <f>D9-E9-F9-G9-H9-I9-J9</f>
        <v>5944214257.5199986</v>
      </c>
      <c r="L9" s="294">
        <f>'CONSOLIDADO_TOTAL RECAUDO'!L9</f>
        <v>189185987</v>
      </c>
      <c r="M9" s="293">
        <f>K9-L9</f>
        <v>5755028270.5199986</v>
      </c>
      <c r="N9" s="294">
        <f>'Reporte Componentes R1'!L85</f>
        <v>9937924.0999999996</v>
      </c>
      <c r="O9" s="293">
        <f>M9+N9</f>
        <v>5764966194.6199989</v>
      </c>
      <c r="Q9" s="306"/>
      <c r="S9" s="303">
        <v>1</v>
      </c>
      <c r="T9" s="304" t="s">
        <v>10</v>
      </c>
      <c r="U9" s="307">
        <f>'Reporte Componentes R1'!M85</f>
        <v>1381589612.9199998</v>
      </c>
      <c r="V9" s="308">
        <f>'Reporte Componentes R1'!N85</f>
        <v>1303026874.6500001</v>
      </c>
      <c r="W9" s="308">
        <f>'Reporte Componentes R1'!O85</f>
        <v>6211087021.9399996</v>
      </c>
      <c r="X9" s="308">
        <f>'Reporte Componentes R1'!P85</f>
        <v>2199244647.2399998</v>
      </c>
      <c r="Y9" s="309">
        <f>'Reporte Componentes R1'!Q85</f>
        <v>256848645.77000001</v>
      </c>
      <c r="Z9" s="310">
        <f>L9*-1</f>
        <v>-189185987</v>
      </c>
      <c r="AA9" s="311">
        <f>'Reporte Componentes R1'!R85+'Reporte Componentes R1'!V85+'Reporte Componentes R1'!U85</f>
        <v>-24225.34</v>
      </c>
      <c r="AB9" s="294">
        <f>N9</f>
        <v>9937924.0999999996</v>
      </c>
      <c r="AC9" s="311">
        <f>'Reporte Componentes R1'!T85+'Reporte Componentes R1'!W85+'Reporte Componentes R1'!X85+'Reporte Componentes R1'!Y85+'Reporte Componentes R1'!Z85+'Reporte Componentes R1'!S85</f>
        <v>149.04</v>
      </c>
      <c r="AD9" s="291">
        <f>-J9+AE9</f>
        <v>-5407558468.7000008</v>
      </c>
      <c r="AE9" s="291">
        <f>'Reporte Componentes R1'!F86</f>
        <v>-3253607640.54</v>
      </c>
      <c r="AF9" s="313">
        <f>SUM(U9:AD9)</f>
        <v>5764966194.6199989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R1'!F264</f>
        <v>10280213362.66</v>
      </c>
      <c r="E10" s="292">
        <f>'Reporte Componentes R1'!G264</f>
        <v>761018413.75</v>
      </c>
      <c r="F10" s="292">
        <f>'Reporte Componentes R1'!H264</f>
        <v>421539408.77999997</v>
      </c>
      <c r="G10" s="292">
        <f>'Reporte Componentes R1'!I264</f>
        <v>223598944.56999999</v>
      </c>
      <c r="H10" s="292">
        <f>'Reporte Componentes R1'!J264</f>
        <v>3457771027.23</v>
      </c>
      <c r="I10" s="292">
        <f>'Reporte Componentes R1'!K264</f>
        <v>123618520.53999999</v>
      </c>
      <c r="J10" s="292">
        <f>'CONSOLIDADO_TOTAL RECAUDO'!J10</f>
        <v>-4217145526.9099998</v>
      </c>
      <c r="K10" s="295">
        <f>D10-E10-F10-G10-H10-I10-J10</f>
        <v>9509812574.7000008</v>
      </c>
      <c r="L10" s="294">
        <f>'CONSOLIDADO_TOTAL RECAUDO'!L10</f>
        <v>266580255</v>
      </c>
      <c r="M10" s="295">
        <f>K10-L10</f>
        <v>9243232319.7000008</v>
      </c>
      <c r="N10" s="294">
        <f>'Reporte Componentes R1'!L264</f>
        <v>6722063.21</v>
      </c>
      <c r="O10" s="295">
        <f t="shared" ref="O10:O12" si="0">M10+N10</f>
        <v>9249954382.9099998</v>
      </c>
      <c r="Q10" s="306"/>
      <c r="S10" s="314">
        <v>2</v>
      </c>
      <c r="T10" s="315" t="s">
        <v>11</v>
      </c>
      <c r="U10" s="316">
        <f>'Reporte Componentes R1'!M264</f>
        <v>1083903765.4000001</v>
      </c>
      <c r="V10" s="317">
        <f>'Reporte Componentes R1'!N264</f>
        <v>1031752345.1600001</v>
      </c>
      <c r="W10" s="317">
        <f>'Reporte Componentes R1'!O264</f>
        <v>4903307713.3400002</v>
      </c>
      <c r="X10" s="317">
        <f>'Reporte Componentes R1'!P264</f>
        <v>1489981474</v>
      </c>
      <c r="Y10" s="318">
        <f>'Reporte Componentes R1'!Q264</f>
        <v>201832007.78999999</v>
      </c>
      <c r="Z10" s="319">
        <f>L10*-1</f>
        <v>-266580255</v>
      </c>
      <c r="AA10" s="320">
        <f>'Reporte Componentes R1'!R264+'Reporte Componentes R1'!V264+'Reporte Componentes R1'!U264</f>
        <v>-13258.12</v>
      </c>
      <c r="AB10" s="294">
        <f>N10</f>
        <v>6722063.21</v>
      </c>
      <c r="AC10" s="320">
        <f>'Reporte Componentes R1'!T264+'Reporte Componentes R1'!W264+'Reporte Componentes R1'!X264+'Reporte Componentes R1'!Y264+'Reporte Componentes R1'!Z264+'Reporte Componentes R1'!S264</f>
        <v>-48.93</v>
      </c>
      <c r="AD10" s="291">
        <f t="shared" ref="AD10:AD13" si="1">-J10+AE10</f>
        <v>799048576.05999994</v>
      </c>
      <c r="AE10" s="291">
        <f>'Reporte Componentes R1'!F265</f>
        <v>-3418096950.8499999</v>
      </c>
      <c r="AF10" s="322">
        <f>SUM(U10:AD10)</f>
        <v>9249954382.9099998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R1'!F425</f>
        <v>8384082826.1500006</v>
      </c>
      <c r="E11" s="292">
        <f>'Reporte Componentes R1'!G425</f>
        <v>519485736.51999998</v>
      </c>
      <c r="F11" s="292">
        <f>'Reporte Componentes R1'!H425</f>
        <v>289280679.71999997</v>
      </c>
      <c r="G11" s="292">
        <f>'Reporte Componentes R1'!I425</f>
        <v>153855222.93000001</v>
      </c>
      <c r="H11" s="292">
        <f>'Reporte Componentes R1'!J425</f>
        <v>2406618472.7000003</v>
      </c>
      <c r="I11" s="292">
        <f>'Reporte Componentes R1'!K425</f>
        <v>86333540.400000006</v>
      </c>
      <c r="J11" s="292">
        <f>'CONSOLIDADO_TOTAL RECAUDO'!J11</f>
        <v>-1288806337.0900002</v>
      </c>
      <c r="K11" s="295">
        <f t="shared" ref="K11:K13" si="3">D11-E11-F11-G11-H11-I11-J11</f>
        <v>6217315510.9700012</v>
      </c>
      <c r="L11" s="294">
        <f>'CONSOLIDADO_TOTAL RECAUDO'!L11</f>
        <v>154788535</v>
      </c>
      <c r="M11" s="295">
        <f>K11-L11</f>
        <v>6062526975.9700012</v>
      </c>
      <c r="N11" s="294">
        <f>'Reporte Componentes R1'!L425</f>
        <v>14494105.85</v>
      </c>
      <c r="O11" s="295">
        <f t="shared" si="0"/>
        <v>6077021081.8200016</v>
      </c>
      <c r="Q11" s="306"/>
      <c r="S11" s="314">
        <v>3</v>
      </c>
      <c r="T11" s="315" t="s">
        <v>12</v>
      </c>
      <c r="U11" s="316">
        <f>'Reporte Componentes R1'!M425</f>
        <v>757964762.67000008</v>
      </c>
      <c r="V11" s="317">
        <f>'Reporte Componentes R1'!N425</f>
        <v>717589277.52999997</v>
      </c>
      <c r="W11" s="317">
        <f>'Reporte Componentes R1'!O425</f>
        <v>3409164597.5999999</v>
      </c>
      <c r="X11" s="317">
        <f>'Reporte Componentes R1'!P425</f>
        <v>1230549027.6600001</v>
      </c>
      <c r="Y11" s="318">
        <f>'Reporte Componentes R1'!Q425</f>
        <v>140956999.82000002</v>
      </c>
      <c r="Z11" s="319">
        <f>L11*-1</f>
        <v>-154788535</v>
      </c>
      <c r="AA11" s="320">
        <f>'Reporte Componentes R1'!R425+'Reporte Componentes R1'!V425+'Reporte Componentes R1'!U425</f>
        <v>-82499.44</v>
      </c>
      <c r="AB11" s="294">
        <f>N11</f>
        <v>14494105.85</v>
      </c>
      <c r="AC11" s="320">
        <f>'Reporte Componentes R1'!T425+'Reporte Componentes R1'!W425+'Reporte Componentes R1'!X425+'Reporte Componentes R1'!Y425+'Reporte Componentes R1'!Z425+'Reporte Componentes R1'!S425</f>
        <v>1.1100000000000001</v>
      </c>
      <c r="AD11" s="291">
        <f t="shared" si="1"/>
        <v>-38826655.979999781</v>
      </c>
      <c r="AE11" s="291">
        <f>'Reporte Componentes R1'!F426</f>
        <v>-1327632993.0699999</v>
      </c>
      <c r="AF11" s="322">
        <f t="shared" ref="AF11:AF13" si="4">SUM(U11:AD11)</f>
        <v>6077021081.8200006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R1'!F578</f>
        <v>9882391541.1699982</v>
      </c>
      <c r="E12" s="292">
        <f>'Reporte Componentes R1'!G578</f>
        <v>552701389.09000003</v>
      </c>
      <c r="F12" s="292">
        <f>'Reporte Componentes R1'!H578</f>
        <v>306639269.15999997</v>
      </c>
      <c r="G12" s="292">
        <f>'Reporte Componentes R1'!I578</f>
        <v>163121346.86000001</v>
      </c>
      <c r="H12" s="292">
        <f>'Reporte Componentes R1'!J578</f>
        <v>2332342933.2199998</v>
      </c>
      <c r="I12" s="292">
        <f>'Reporte Componentes R1'!K578</f>
        <v>87818254.819999993</v>
      </c>
      <c r="J12" s="292">
        <f>'CONSOLIDADO_TOTAL RECAUDO'!J12</f>
        <v>61531953.689999998</v>
      </c>
      <c r="K12" s="295">
        <f>D12-E12-F12-G12-H12-I12-J12</f>
        <v>6378236394.329999</v>
      </c>
      <c r="L12" s="294">
        <f>'CONSOLIDADO_TOTAL RECAUDO'!L12</f>
        <v>120391083</v>
      </c>
      <c r="M12" s="295">
        <f>K12-L12</f>
        <v>6257845311.329999</v>
      </c>
      <c r="N12" s="294">
        <f>'Reporte Componentes R1'!L578</f>
        <v>7972372.8300000001</v>
      </c>
      <c r="O12" s="295">
        <f t="shared" si="0"/>
        <v>6265817684.1599989</v>
      </c>
      <c r="Q12" s="306"/>
      <c r="S12" s="314">
        <v>4</v>
      </c>
      <c r="T12" s="315" t="s">
        <v>13</v>
      </c>
      <c r="U12" s="316">
        <f>'Reporte Componentes R1'!M578</f>
        <v>769876014.52999997</v>
      </c>
      <c r="V12" s="317">
        <f>'Reporte Componentes R1'!N578</f>
        <v>729151010.75999999</v>
      </c>
      <c r="W12" s="317">
        <f>'Reporte Componentes R1'!O578</f>
        <v>3775108952.6199999</v>
      </c>
      <c r="X12" s="317">
        <f>'Reporte Componentes R1'!P578</f>
        <v>1463080272.1400001</v>
      </c>
      <c r="Y12" s="318">
        <f>'Reporte Componentes R1'!Q578</f>
        <v>143514452.23000002</v>
      </c>
      <c r="Z12" s="319">
        <f>L12*-1</f>
        <v>-120391083</v>
      </c>
      <c r="AA12" s="320">
        <f>'Reporte Componentes R1'!R578+'Reporte Componentes R1'!V578+'Reporte Componentes R1'!U578</f>
        <v>31622.18</v>
      </c>
      <c r="AB12" s="294">
        <f>N12</f>
        <v>7972372.8300000001</v>
      </c>
      <c r="AC12" s="320">
        <f>'Reporte Componentes R1'!T578+'Reporte Componentes R1'!W578+'Reporte Componentes R1'!X578+'Reporte Componentes R1'!Y578+'Reporte Componentes R1'!Z578+'Reporte Componentes R1'!S578</f>
        <v>189.23</v>
      </c>
      <c r="AD12" s="291">
        <f t="shared" si="1"/>
        <v>-502526119.36000001</v>
      </c>
      <c r="AE12" s="291">
        <f>'Reporte Componentes R1'!F579</f>
        <v>-440994165.67000002</v>
      </c>
      <c r="AF12" s="322">
        <f t="shared" si="4"/>
        <v>6265817684.1600008</v>
      </c>
      <c r="AG12" s="323">
        <f>(AF12-O12)</f>
        <v>1.9073486328125E-6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R1'!F690</f>
        <v>7233177428.1300001</v>
      </c>
      <c r="E13" s="297">
        <f>'Reporte Componentes R1'!G690</f>
        <v>383226244.79000002</v>
      </c>
      <c r="F13" s="297">
        <f>'Reporte Componentes R1'!H690</f>
        <v>213399131.62</v>
      </c>
      <c r="G13" s="297">
        <f>'Reporte Componentes R1'!I690</f>
        <v>113487155.67</v>
      </c>
      <c r="H13" s="297">
        <f>'Reporte Componentes R1'!J690</f>
        <v>1813158921.0699999</v>
      </c>
      <c r="I13" s="297">
        <f>'Reporte Componentes R1'!K690</f>
        <v>60280537.299999997</v>
      </c>
      <c r="J13" s="292">
        <f>'CONSOLIDADO_TOTAL RECAUDO'!J13</f>
        <v>-1246473094.4099998</v>
      </c>
      <c r="K13" s="295">
        <f t="shared" si="3"/>
        <v>5896098532.0900002</v>
      </c>
      <c r="L13" s="294">
        <f>'CONSOLIDADO_TOTAL RECAUDO'!L13</f>
        <v>128990445</v>
      </c>
      <c r="M13" s="298">
        <f>K13-L13</f>
        <v>5767108087.0900002</v>
      </c>
      <c r="N13" s="299">
        <f>'Reporte Componentes R1'!L690</f>
        <v>10471696.869999999</v>
      </c>
      <c r="O13" s="298">
        <f>M13+N13</f>
        <v>5777579783.96</v>
      </c>
      <c r="Q13" s="306"/>
      <c r="S13" s="324">
        <v>5</v>
      </c>
      <c r="T13" s="325" t="s">
        <v>14</v>
      </c>
      <c r="U13" s="296">
        <f>'Reporte Componentes R1'!M690</f>
        <v>528865960.60000002</v>
      </c>
      <c r="V13" s="297">
        <f>'Reporte Componentes R1'!N690</f>
        <v>496788585.52999997</v>
      </c>
      <c r="W13" s="297">
        <f>'Reporte Componentes R1'!O690</f>
        <v>2555805599.5999999</v>
      </c>
      <c r="X13" s="297">
        <f>'Reporte Componentes R1'!P690</f>
        <v>1140353351.6900001</v>
      </c>
      <c r="Y13" s="289">
        <f>'Reporte Componentes R1'!Q690</f>
        <v>98362156.760000005</v>
      </c>
      <c r="Z13" s="319">
        <f>L13*-1</f>
        <v>-128990445</v>
      </c>
      <c r="AA13" s="320">
        <f>'Reporte Componentes R1'!R690+'Reporte Componentes R1'!V690+'Reporte Componentes R1'!U690</f>
        <v>11598.57</v>
      </c>
      <c r="AB13" s="294">
        <f>N13</f>
        <v>10471696.869999999</v>
      </c>
      <c r="AC13" s="320">
        <f>'Reporte Componentes R1'!T690+'Reporte Componentes R1'!W690+'Reporte Componentes R1'!X690+'Reporte Componentes R1'!Y690+'Reporte Componentes R1'!Z690+'Reporte Componentes R1'!S690</f>
        <v>4.82</v>
      </c>
      <c r="AD13" s="291">
        <f t="shared" si="1"/>
        <v>1075911274.52</v>
      </c>
      <c r="AE13" s="291">
        <f>'Reporte Componentes R1'!F691</f>
        <v>-170561819.88999999</v>
      </c>
      <c r="AF13" s="322">
        <f t="shared" si="4"/>
        <v>5777579783.9599991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50251264849.009995</v>
      </c>
      <c r="E14" s="290">
        <f t="shared" ref="E14:O14" si="5">SUM(E9:E13)</f>
        <v>3024662167.5300002</v>
      </c>
      <c r="F14" s="290">
        <f t="shared" si="5"/>
        <v>1681098919.3899999</v>
      </c>
      <c r="G14" s="290">
        <f t="shared" si="5"/>
        <v>893733235.73000002</v>
      </c>
      <c r="H14" s="290">
        <f t="shared" si="5"/>
        <v>14727647739.940001</v>
      </c>
      <c r="I14" s="290">
        <f t="shared" si="5"/>
        <v>515387693.37</v>
      </c>
      <c r="J14" s="290">
        <f t="shared" si="5"/>
        <v>-4536942176.5599995</v>
      </c>
      <c r="K14" s="300">
        <f t="shared" si="5"/>
        <v>33945677269.610001</v>
      </c>
      <c r="L14" s="301">
        <f>SUM(L9:L13)</f>
        <v>859936305</v>
      </c>
      <c r="M14" s="302">
        <f t="shared" si="5"/>
        <v>33085740964.610001</v>
      </c>
      <c r="N14" s="301">
        <f t="shared" si="5"/>
        <v>49598162.859999992</v>
      </c>
      <c r="O14" s="302">
        <f t="shared" si="5"/>
        <v>33135339127.469997</v>
      </c>
      <c r="P14" s="329"/>
      <c r="Q14" s="306"/>
      <c r="S14" s="327"/>
      <c r="T14" s="328" t="s">
        <v>2</v>
      </c>
      <c r="U14" s="330">
        <f>SUM(U9:U13)</f>
        <v>4522200116.1199999</v>
      </c>
      <c r="V14" s="330">
        <f t="shared" ref="V14:AF14" si="6">SUM(V9:V13)</f>
        <v>4278308093.6300001</v>
      </c>
      <c r="W14" s="330">
        <f t="shared" si="6"/>
        <v>20854473885.099998</v>
      </c>
      <c r="X14" s="330">
        <f t="shared" si="6"/>
        <v>7523208772.7299995</v>
      </c>
      <c r="Y14" s="330">
        <f t="shared" si="6"/>
        <v>841514262.37</v>
      </c>
      <c r="Z14" s="290">
        <f t="shared" si="6"/>
        <v>-859936305</v>
      </c>
      <c r="AA14" s="290">
        <f t="shared" si="6"/>
        <v>-76762.149999999994</v>
      </c>
      <c r="AB14" s="290">
        <f t="shared" si="6"/>
        <v>49598162.859999992</v>
      </c>
      <c r="AC14" s="290">
        <f t="shared" si="6"/>
        <v>295.27</v>
      </c>
      <c r="AD14" s="290">
        <f>SUM(AD9:AD13)</f>
        <v>-4073951393.4600005</v>
      </c>
      <c r="AE14" s="290">
        <f>SUM(AE9:AE13)</f>
        <v>-8610893570.0199986</v>
      </c>
      <c r="AF14" s="331">
        <f t="shared" si="6"/>
        <v>33135339127.469997</v>
      </c>
      <c r="AG14" s="332">
        <f>SUM(AG9:AG13)</f>
        <v>0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38019705129.950005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R2'!E53</f>
        <v>26731349.390000001</v>
      </c>
      <c r="E28" s="292">
        <f>'Rem. Anticipos R2'!F53</f>
        <v>0</v>
      </c>
      <c r="F28" s="292">
        <f>'Rem. Anticipos R2'!G53</f>
        <v>0</v>
      </c>
      <c r="G28" s="292">
        <f>'Rem. Anticipos R2'!H53</f>
        <v>0</v>
      </c>
      <c r="H28" s="292">
        <f>'Rem. Anticipos R2'!I53</f>
        <v>0</v>
      </c>
      <c r="I28" s="292">
        <f>'Rem. Anticipos R2'!J53</f>
        <v>0</v>
      </c>
      <c r="J28" s="289">
        <v>0</v>
      </c>
      <c r="K28" s="293">
        <f>D28-E28-F28-G28-H28-I28-J28</f>
        <v>26731349.390000001</v>
      </c>
      <c r="L28" s="294">
        <v>0</v>
      </c>
      <c r="M28" s="293">
        <f>K28-L28</f>
        <v>26731349.390000001</v>
      </c>
      <c r="N28" s="294">
        <f>'Rem. Anticipos R2'!K53</f>
        <v>0</v>
      </c>
      <c r="O28" s="293">
        <f>M28+N28</f>
        <v>26731349.390000001</v>
      </c>
      <c r="Q28" s="306"/>
      <c r="S28" s="303">
        <v>1</v>
      </c>
      <c r="T28" s="304" t="s">
        <v>10</v>
      </c>
      <c r="U28" s="307">
        <f>'Rem. Anticipos R2'!L53</f>
        <v>0</v>
      </c>
      <c r="V28" s="308">
        <f>'Rem. Anticipos R2'!M53</f>
        <v>0</v>
      </c>
      <c r="W28" s="308">
        <f>'Rem. Anticipos R2'!N53</f>
        <v>0</v>
      </c>
      <c r="X28" s="308">
        <f>'Rem. Anticipos R2'!O53</f>
        <v>0</v>
      </c>
      <c r="Y28" s="309">
        <f>'Rem. Anticipos R2'!P53</f>
        <v>0</v>
      </c>
      <c r="Z28" s="310">
        <f>L28*-1</f>
        <v>0</v>
      </c>
      <c r="AA28" s="311">
        <f>'Rem. Anticipos R2'!Q53</f>
        <v>0</v>
      </c>
      <c r="AB28" s="294">
        <f>N28</f>
        <v>0</v>
      </c>
      <c r="AC28" s="311">
        <f>'Rem. Anticipos R2'!R53</f>
        <v>0</v>
      </c>
      <c r="AD28" s="291">
        <f>-J28+AE28</f>
        <v>-1549869.38</v>
      </c>
      <c r="AE28" s="291">
        <f>'Rem. Anticipos R2'!E54</f>
        <v>-1549869.38</v>
      </c>
      <c r="AF28" s="313">
        <f>SUM(U28:AD28)</f>
        <v>-1549869.38</v>
      </c>
      <c r="AG28" s="311">
        <f>(AF28-O28)</f>
        <v>-28281218.77</v>
      </c>
      <c r="AH28" s="1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R2'!E161</f>
        <v>39342901.739999995</v>
      </c>
      <c r="E29" s="292">
        <f>'Rem. Anticipos R2'!F161</f>
        <v>0</v>
      </c>
      <c r="F29" s="292">
        <f>'Rem. Anticipos R2'!G161</f>
        <v>0</v>
      </c>
      <c r="G29" s="292">
        <f>'Rem. Anticipos R2'!H161</f>
        <v>0</v>
      </c>
      <c r="H29" s="292">
        <f>'Rem. Anticipos R2'!I161</f>
        <v>0</v>
      </c>
      <c r="I29" s="292">
        <f>'Rem. Anticipos R2'!J161</f>
        <v>0</v>
      </c>
      <c r="J29" s="288">
        <v>0</v>
      </c>
      <c r="K29" s="295">
        <f t="shared" ref="K29:K31" si="7">D29-E29-F29-G29-H29-I29-J29</f>
        <v>39342901.739999995</v>
      </c>
      <c r="L29" s="294">
        <v>0</v>
      </c>
      <c r="M29" s="295">
        <f>K29-L29</f>
        <v>39342901.739999995</v>
      </c>
      <c r="N29" s="294">
        <f>'Rem. Anticipos R2'!K161</f>
        <v>70736.95</v>
      </c>
      <c r="O29" s="295">
        <f t="shared" ref="O29:O32" si="8">M29+N29</f>
        <v>39413638.689999998</v>
      </c>
      <c r="Q29" s="306"/>
      <c r="S29" s="314">
        <v>2</v>
      </c>
      <c r="T29" s="315" t="s">
        <v>11</v>
      </c>
      <c r="U29" s="316">
        <f>'Rem. Anticipos R2'!L161</f>
        <v>0</v>
      </c>
      <c r="V29" s="317">
        <f>'Rem. Anticipos R2'!M161</f>
        <v>0</v>
      </c>
      <c r="W29" s="317">
        <f>'Rem. Anticipos R2'!N161</f>
        <v>0</v>
      </c>
      <c r="X29" s="317">
        <f>'Rem. Anticipos R2'!O161</f>
        <v>0</v>
      </c>
      <c r="Y29" s="318">
        <f>'Rem. Anticipos R2'!P161</f>
        <v>0</v>
      </c>
      <c r="Z29" s="319">
        <f>L29*-1</f>
        <v>0</v>
      </c>
      <c r="AA29" s="320">
        <f>'Rem. Anticipos R2'!Q161</f>
        <v>0</v>
      </c>
      <c r="AB29" s="294">
        <f>N29</f>
        <v>70736.95</v>
      </c>
      <c r="AC29" s="320">
        <f>'Rem. Anticipos R2'!R161</f>
        <v>0</v>
      </c>
      <c r="AD29" s="291">
        <f>-J29+AE29</f>
        <v>-19130403.640000001</v>
      </c>
      <c r="AE29" s="291">
        <f>'Rem. Anticipos R2'!E162</f>
        <v>-19130403.640000001</v>
      </c>
      <c r="AF29" s="322">
        <f>SUM(U29:AD29)</f>
        <v>-19059666.690000001</v>
      </c>
      <c r="AG29" s="323">
        <f>(AF29-O29)</f>
        <v>-58473305.379999995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R2'!E279</f>
        <v>12369060.75</v>
      </c>
      <c r="E30" s="292">
        <f>'Rem. Anticipos R2'!F279</f>
        <v>0</v>
      </c>
      <c r="F30" s="292">
        <f>'Rem. Anticipos R2'!G279</f>
        <v>0</v>
      </c>
      <c r="G30" s="292">
        <f>'Rem. Anticipos R2'!H279</f>
        <v>0</v>
      </c>
      <c r="H30" s="292">
        <f>'Rem. Anticipos R2'!I279</f>
        <v>0</v>
      </c>
      <c r="I30" s="292">
        <f>'Rem. Anticipos R2'!J279</f>
        <v>0</v>
      </c>
      <c r="J30" s="288">
        <v>0</v>
      </c>
      <c r="K30" s="295">
        <f t="shared" si="7"/>
        <v>12369060.75</v>
      </c>
      <c r="L30" s="294">
        <v>0</v>
      </c>
      <c r="M30" s="295">
        <f>K30-L30</f>
        <v>12369060.75</v>
      </c>
      <c r="N30" s="294">
        <f>'Rem. Anticipos R2'!K279</f>
        <v>16082.29</v>
      </c>
      <c r="O30" s="295">
        <f t="shared" si="8"/>
        <v>12385143.039999999</v>
      </c>
      <c r="Q30" s="306"/>
      <c r="S30" s="314">
        <v>3</v>
      </c>
      <c r="T30" s="315" t="s">
        <v>12</v>
      </c>
      <c r="U30" s="316">
        <f>'Rem. Anticipos R2'!L279</f>
        <v>0</v>
      </c>
      <c r="V30" s="317">
        <f>'Rem. Anticipos R2'!M279</f>
        <v>0</v>
      </c>
      <c r="W30" s="317">
        <f>'Rem. Anticipos R2'!N279</f>
        <v>0</v>
      </c>
      <c r="X30" s="317">
        <f>'Rem. Anticipos R2'!O279</f>
        <v>0</v>
      </c>
      <c r="Y30" s="318">
        <f>'Rem. Anticipos R2'!P279</f>
        <v>0</v>
      </c>
      <c r="Z30" s="319">
        <f>L30*-1</f>
        <v>0</v>
      </c>
      <c r="AA30" s="320">
        <f>'Rem. Anticipos R2'!Q279</f>
        <v>0</v>
      </c>
      <c r="AB30" s="294">
        <f>N30</f>
        <v>16082.29</v>
      </c>
      <c r="AC30" s="320">
        <f>'Rem. Anticipos R2'!R279</f>
        <v>0</v>
      </c>
      <c r="AD30" s="291">
        <f t="shared" ref="AD30:AD32" si="10">-J30+AE30</f>
        <v>-4432926.82</v>
      </c>
      <c r="AE30" s="291">
        <f>'Rem. Anticipos R2'!E280</f>
        <v>-4432926.82</v>
      </c>
      <c r="AF30" s="322">
        <f>SUM(U30:AD30)</f>
        <v>-4416844.53</v>
      </c>
      <c r="AG30" s="323">
        <f t="shared" ref="AG30:AG31" si="11">(AF30-O30)</f>
        <v>-16801987.57</v>
      </c>
      <c r="AH30" s="1" t="b">
        <f t="shared" si="9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R2'!E390</f>
        <v>23742361.280000001</v>
      </c>
      <c r="E31" s="292">
        <f>'Rem. Anticipos R2'!F390</f>
        <v>0</v>
      </c>
      <c r="F31" s="292">
        <f>'Rem. Anticipos R2'!G390</f>
        <v>0</v>
      </c>
      <c r="G31" s="292">
        <f>'Rem. Anticipos R2'!H390</f>
        <v>0</v>
      </c>
      <c r="H31" s="292">
        <f>'Rem. Anticipos R2'!I390</f>
        <v>0</v>
      </c>
      <c r="I31" s="292">
        <f>'Rem. Anticipos R2'!J390</f>
        <v>0</v>
      </c>
      <c r="J31" s="288">
        <v>0</v>
      </c>
      <c r="K31" s="295">
        <f t="shared" si="7"/>
        <v>23742361.280000001</v>
      </c>
      <c r="L31" s="294">
        <v>0</v>
      </c>
      <c r="M31" s="295">
        <f>K31-L31</f>
        <v>23742361.280000001</v>
      </c>
      <c r="N31" s="294">
        <f>'Rem. Anticipos R2'!K390</f>
        <v>0</v>
      </c>
      <c r="O31" s="295">
        <f t="shared" si="8"/>
        <v>23742361.280000001</v>
      </c>
      <c r="Q31" s="306"/>
      <c r="S31" s="314">
        <v>4</v>
      </c>
      <c r="T31" s="315" t="s">
        <v>13</v>
      </c>
      <c r="U31" s="316">
        <f>'Rem. Anticipos R2'!L390</f>
        <v>0</v>
      </c>
      <c r="V31" s="317">
        <f>'Rem. Anticipos R2'!M390</f>
        <v>0</v>
      </c>
      <c r="W31" s="317">
        <f>'Rem. Anticipos R2'!N390</f>
        <v>0</v>
      </c>
      <c r="X31" s="317">
        <f>'Rem. Anticipos R2'!O390</f>
        <v>0</v>
      </c>
      <c r="Y31" s="318">
        <f>'Rem. Anticipos R2'!P390</f>
        <v>0</v>
      </c>
      <c r="Z31" s="319">
        <f>L31*-1</f>
        <v>0</v>
      </c>
      <c r="AA31" s="320">
        <f>'Rem. Anticipos R2'!Q390</f>
        <v>0</v>
      </c>
      <c r="AB31" s="294">
        <f>N31</f>
        <v>0</v>
      </c>
      <c r="AC31" s="320">
        <f>'Rem. Anticipos R2'!R390</f>
        <v>0</v>
      </c>
      <c r="AD31" s="291">
        <f t="shared" si="10"/>
        <v>84110.96</v>
      </c>
      <c r="AE31" s="291">
        <f>'Rem. Anticipos R2'!E391</f>
        <v>84110.96</v>
      </c>
      <c r="AF31" s="322">
        <f>SUM(U31:AD31)</f>
        <v>84110.96</v>
      </c>
      <c r="AG31" s="323">
        <f t="shared" si="11"/>
        <v>-23658250.32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R2'!E474</f>
        <v>9192655.3300000001</v>
      </c>
      <c r="E32" s="297">
        <f>'Rem. Anticipos R2'!F474</f>
        <v>0</v>
      </c>
      <c r="F32" s="297">
        <f>'Rem. Anticipos R2'!G474</f>
        <v>0</v>
      </c>
      <c r="G32" s="297">
        <f>'Rem. Anticipos R2'!H474</f>
        <v>0</v>
      </c>
      <c r="H32" s="297">
        <f>'Rem. Anticipos R2'!I474</f>
        <v>0</v>
      </c>
      <c r="I32" s="297">
        <f>'Rem. Anticipos R2'!J474</f>
        <v>0</v>
      </c>
      <c r="J32" s="289">
        <v>0</v>
      </c>
      <c r="K32" s="295">
        <f>D32-E32-F32-G32-H32-I32-J32</f>
        <v>9192655.3300000001</v>
      </c>
      <c r="L32" s="294">
        <v>0</v>
      </c>
      <c r="M32" s="298">
        <f>K32-L32</f>
        <v>9192655.3300000001</v>
      </c>
      <c r="N32" s="299">
        <f>'Rem. Anticipos R2'!K474</f>
        <v>0</v>
      </c>
      <c r="O32" s="298">
        <f t="shared" si="8"/>
        <v>9192655.3300000001</v>
      </c>
      <c r="Q32" s="306"/>
      <c r="S32" s="324">
        <v>5</v>
      </c>
      <c r="T32" s="325" t="s">
        <v>14</v>
      </c>
      <c r="U32" s="296">
        <f>'Rem. Anticipos R2'!L474</f>
        <v>0</v>
      </c>
      <c r="V32" s="297">
        <f>'Rem. Anticipos R2'!M474</f>
        <v>0</v>
      </c>
      <c r="W32" s="297">
        <f>'Rem. Anticipos R2'!N474</f>
        <v>0</v>
      </c>
      <c r="X32" s="297">
        <f>'Rem. Anticipos R2'!O474</f>
        <v>0</v>
      </c>
      <c r="Y32" s="289">
        <f>'Rem. Anticipos R2'!P474</f>
        <v>0</v>
      </c>
      <c r="Z32" s="319">
        <f>L32*-1</f>
        <v>0</v>
      </c>
      <c r="AA32" s="320">
        <f>'Rem. Anticipos R2'!Q474</f>
        <v>0</v>
      </c>
      <c r="AB32" s="294">
        <f>N32</f>
        <v>0</v>
      </c>
      <c r="AC32" s="320">
        <f>'Rem. Anticipos R2'!R474</f>
        <v>0</v>
      </c>
      <c r="AD32" s="291">
        <f t="shared" si="10"/>
        <v>48766.77</v>
      </c>
      <c r="AE32" s="291">
        <f>'Rem. Anticipos R2'!E475</f>
        <v>48766.77</v>
      </c>
      <c r="AF32" s="322">
        <f>SUM(U32:AD32)</f>
        <v>48766.77</v>
      </c>
      <c r="AG32" s="326">
        <f>(AF32-O32)</f>
        <v>-9143888.5600000005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111378328.48999999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111378328.48999999</v>
      </c>
      <c r="L33" s="301">
        <f t="shared" si="12"/>
        <v>0</v>
      </c>
      <c r="M33" s="302">
        <f t="shared" si="12"/>
        <v>111378328.48999999</v>
      </c>
      <c r="N33" s="301">
        <f t="shared" si="12"/>
        <v>86819.239999999991</v>
      </c>
      <c r="O33" s="302">
        <f t="shared" si="12"/>
        <v>111465147.73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86819.239999999991</v>
      </c>
      <c r="AC33" s="290">
        <f t="shared" ref="AC33" si="14">SUM(AC28:AC32)</f>
        <v>0</v>
      </c>
      <c r="AD33" s="290">
        <f>SUM(AD28:AD32)</f>
        <v>-24980322.109999999</v>
      </c>
      <c r="AE33" s="290">
        <f>SUM(AE28:AE32)</f>
        <v>-24980322.109999999</v>
      </c>
      <c r="AF33" s="331">
        <f t="shared" si="13"/>
        <v>-24893502.870000001</v>
      </c>
      <c r="AG33" s="332">
        <f t="shared" si="13"/>
        <v>-136358650.59999999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R1'!F87</f>
        <v>513960</v>
      </c>
      <c r="E47" s="292">
        <f>'Reporte Componentes R1'!G87</f>
        <v>23589.91</v>
      </c>
      <c r="F47" s="292">
        <f>'Reporte Componentes R1'!H87</f>
        <v>13315.42</v>
      </c>
      <c r="G47" s="292">
        <f>'Reporte Componentes R1'!I87</f>
        <v>6990.72</v>
      </c>
      <c r="H47" s="292">
        <f>'Reporte Componentes R1'!J87</f>
        <v>120363.97</v>
      </c>
      <c r="I47" s="292">
        <f>'Reporte Componentes R1'!K87</f>
        <v>5305.85</v>
      </c>
      <c r="J47" s="289">
        <v>0</v>
      </c>
      <c r="K47" s="293">
        <f>D47-E47-F47-G47-H47-I47-J47</f>
        <v>344394.13000000012</v>
      </c>
      <c r="L47" s="294">
        <v>0</v>
      </c>
      <c r="M47" s="293">
        <f>K47-L47</f>
        <v>344394.13000000012</v>
      </c>
      <c r="N47" s="294">
        <f>'Reporte Componentes R1'!L87</f>
        <v>0</v>
      </c>
      <c r="O47" s="293">
        <f>M47+N47</f>
        <v>344394.13000000012</v>
      </c>
      <c r="Q47" s="306"/>
      <c r="S47" s="303">
        <v>1</v>
      </c>
      <c r="T47" s="304" t="s">
        <v>10</v>
      </c>
      <c r="U47" s="307">
        <f>'Reporte Componentes R1'!M87</f>
        <v>46542.54</v>
      </c>
      <c r="V47" s="308">
        <f>'Reporte Componentes R1'!N87</f>
        <v>44798.14</v>
      </c>
      <c r="W47" s="308">
        <f>'Reporte Componentes R1'!O87</f>
        <v>212067.75</v>
      </c>
      <c r="X47" s="308">
        <f>'Reporte Componentes R1'!P87</f>
        <v>64428.39</v>
      </c>
      <c r="Y47" s="309">
        <f>'Reporte Componentes R1'!Q87</f>
        <v>8656.8700000000008</v>
      </c>
      <c r="Z47" s="310">
        <f>-L47</f>
        <v>0</v>
      </c>
      <c r="AA47" s="320">
        <f>'Reporte Componentes R1'!R87+'Reporte Componentes R1'!V87+'Reporte Componentes R1'!U87</f>
        <v>0.08</v>
      </c>
      <c r="AB47" s="294">
        <f>N47</f>
        <v>0</v>
      </c>
      <c r="AC47" s="311">
        <f>'Reporte Componentes R1'!T87+'Reporte Componentes R1'!W87+'Reporte Componentes R1'!X87+'Reporte Componentes R1'!Y87+'Reporte Componentes R1'!Z87+'Reporte Componentes R1'!S87</f>
        <v>0</v>
      </c>
      <c r="AD47" s="291">
        <f>-J47+AE47</f>
        <v>-32099.64</v>
      </c>
      <c r="AE47" s="291">
        <f>'Reporte Componentes R1'!F88</f>
        <v>-32099.64</v>
      </c>
      <c r="AF47" s="313">
        <f>SUM(U47:AD47)</f>
        <v>344394.13</v>
      </c>
      <c r="AG47" s="311">
        <f>(AF47-O47)</f>
        <v>-1.1641532182693481E-10</v>
      </c>
      <c r="AH47" s="1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R1'!F266</f>
        <v>9240820</v>
      </c>
      <c r="E48" s="292">
        <f>'Reporte Componentes R1'!G266</f>
        <v>619369.35</v>
      </c>
      <c r="F48" s="292">
        <f>'Reporte Componentes R1'!H266</f>
        <v>348940.76</v>
      </c>
      <c r="G48" s="292">
        <f>'Reporte Componentes R1'!I266</f>
        <v>186556.4</v>
      </c>
      <c r="H48" s="292">
        <f>'Reporte Componentes R1'!J266</f>
        <v>2777266.1</v>
      </c>
      <c r="I48" s="292">
        <f>'Reporte Componentes R1'!K266</f>
        <v>74214.44</v>
      </c>
      <c r="J48" s="288">
        <v>0</v>
      </c>
      <c r="K48" s="295">
        <f t="shared" ref="K48:K51" si="15">D48-E48-F48-G48-H48-I48-J48</f>
        <v>5234472.95</v>
      </c>
      <c r="L48" s="294">
        <v>0</v>
      </c>
      <c r="M48" s="295">
        <f>K48-L48</f>
        <v>5234472.95</v>
      </c>
      <c r="N48" s="294">
        <f>'Reporte Componentes R1'!L266</f>
        <v>0</v>
      </c>
      <c r="O48" s="295">
        <f t="shared" ref="O48:O51" si="16">M48+N48</f>
        <v>5234472.95</v>
      </c>
      <c r="Q48" s="306"/>
      <c r="S48" s="314">
        <v>2</v>
      </c>
      <c r="T48" s="315" t="s">
        <v>11</v>
      </c>
      <c r="U48" s="316">
        <f>'Reporte Componentes R1'!M266</f>
        <v>651004.74</v>
      </c>
      <c r="V48" s="317">
        <f>'Reporte Componentes R1'!N266</f>
        <v>869550.37</v>
      </c>
      <c r="W48" s="317">
        <f>'Reporte Componentes R1'!O266</f>
        <v>4207125.5599999996</v>
      </c>
      <c r="X48" s="317">
        <f>'Reporte Componentes R1'!P266</f>
        <v>1231696.32</v>
      </c>
      <c r="Y48" s="318">
        <f>'Reporte Componentes R1'!Q266</f>
        <v>122327.65</v>
      </c>
      <c r="Z48" s="319">
        <f>-L48</f>
        <v>0</v>
      </c>
      <c r="AA48" s="320">
        <f>'Reporte Componentes R1'!R266+'Reporte Componentes R1'!V266+'Reporte Componentes R1'!U266</f>
        <v>-111.65</v>
      </c>
      <c r="AB48" s="294">
        <f>N48</f>
        <v>0</v>
      </c>
      <c r="AC48" s="320">
        <f>'Reporte Componentes R1'!T266+'Reporte Componentes R1'!W266+'Reporte Componentes R1'!X266+'Reporte Componentes R1'!Y266+'Reporte Componentes R1'!Z266+'Reporte Componentes R1'!S266</f>
        <v>0.04</v>
      </c>
      <c r="AD48" s="291">
        <f t="shared" ref="AD48:AD51" si="17">-J48+AE48</f>
        <v>-1847120.08</v>
      </c>
      <c r="AE48" s="291">
        <f>'Reporte Componentes R1'!F267</f>
        <v>-1847120.08</v>
      </c>
      <c r="AF48" s="322">
        <f>SUM(U48:AD48)</f>
        <v>5234472.95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R1'!F427</f>
        <v>0</v>
      </c>
      <c r="E49" s="292">
        <f>'Reporte Componentes R1'!G427</f>
        <v>0</v>
      </c>
      <c r="F49" s="292">
        <f>'Reporte Componentes R1'!H427</f>
        <v>0</v>
      </c>
      <c r="G49" s="292">
        <f>'Reporte Componentes R1'!I427</f>
        <v>0</v>
      </c>
      <c r="H49" s="292">
        <f>'Reporte Componentes R1'!J427</f>
        <v>0</v>
      </c>
      <c r="I49" s="292">
        <f>'Reporte Componentes R1'!K427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R1'!L427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R1'!M427</f>
        <v>0</v>
      </c>
      <c r="V49" s="317">
        <f>'Reporte Componentes R1'!N427</f>
        <v>0</v>
      </c>
      <c r="W49" s="317">
        <f>'Reporte Componentes R1'!O427</f>
        <v>0</v>
      </c>
      <c r="X49" s="317">
        <f>'Reporte Componentes R1'!P427</f>
        <v>0</v>
      </c>
      <c r="Y49" s="318">
        <f>'Reporte Componentes R1'!Q427</f>
        <v>0</v>
      </c>
      <c r="Z49" s="319">
        <f>-L49</f>
        <v>0</v>
      </c>
      <c r="AA49" s="320">
        <f>'Reporte Componentes R1'!R427+'Reporte Componentes R1'!V427+'Reporte Componentes R1'!U427</f>
        <v>0</v>
      </c>
      <c r="AB49" s="294">
        <f>N49</f>
        <v>0</v>
      </c>
      <c r="AC49" s="320">
        <f>'Reporte Componentes R1'!T427+'Reporte Componentes R1'!W427+'Reporte Componentes R1'!X427+'Reporte Componentes R1'!Y427+'Reporte Componentes R1'!Z427+'Reporte Componentes R1'!S427</f>
        <v>0</v>
      </c>
      <c r="AD49" s="291">
        <f t="shared" si="17"/>
        <v>0</v>
      </c>
      <c r="AE49" s="291">
        <f>'Reporte Componentes R1'!F428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R1'!F580</f>
        <v>20397090</v>
      </c>
      <c r="E50" s="292">
        <f>'Reporte Componentes R1'!G580</f>
        <v>1227244.8600000001</v>
      </c>
      <c r="F50" s="292">
        <f>'Reporte Componentes R1'!H580</f>
        <v>691386.19</v>
      </c>
      <c r="G50" s="292">
        <f>'Reporte Componentes R1'!I580</f>
        <v>369846.57</v>
      </c>
      <c r="H50" s="292">
        <f>'Reporte Componentes R1'!J580</f>
        <v>4959152.18</v>
      </c>
      <c r="I50" s="292">
        <f>'Reporte Componentes R1'!K580</f>
        <v>146012.85</v>
      </c>
      <c r="J50" s="288">
        <v>0</v>
      </c>
      <c r="K50" s="295">
        <f t="shared" si="15"/>
        <v>13003447.35</v>
      </c>
      <c r="L50" s="294">
        <v>0</v>
      </c>
      <c r="M50" s="295">
        <f>K50-L50</f>
        <v>13003447.35</v>
      </c>
      <c r="N50" s="294">
        <f>'Reporte Componentes R1'!L580</f>
        <v>0</v>
      </c>
      <c r="O50" s="295">
        <f t="shared" si="16"/>
        <v>13003447.35</v>
      </c>
      <c r="Q50" s="306"/>
      <c r="S50" s="314">
        <v>4</v>
      </c>
      <c r="T50" s="315" t="s">
        <v>13</v>
      </c>
      <c r="U50" s="316">
        <f>'Reporte Componentes R1'!M580</f>
        <v>1272582.42</v>
      </c>
      <c r="V50" s="317">
        <f>'Reporte Componentes R1'!N580</f>
        <v>1586745.82</v>
      </c>
      <c r="W50" s="317">
        <f>'Reporte Componentes R1'!O580</f>
        <v>8184557.6900000004</v>
      </c>
      <c r="X50" s="317">
        <f>'Reporte Componentes R1'!P580</f>
        <v>3280785.35</v>
      </c>
      <c r="Y50" s="318">
        <f>'Reporte Componentes R1'!Q580</f>
        <v>239656.33</v>
      </c>
      <c r="Z50" s="319">
        <f>-L50</f>
        <v>0</v>
      </c>
      <c r="AA50" s="320">
        <f>'Reporte Componentes R1'!R580+'Reporte Componentes R1'!V580+'Reporte Componentes R1'!U580</f>
        <v>-3.29</v>
      </c>
      <c r="AB50" s="294">
        <f>N50</f>
        <v>0</v>
      </c>
      <c r="AC50" s="320">
        <f>'Reporte Componentes R1'!T580+'Reporte Componentes R1'!W580+'Reporte Componentes R1'!X580+'Reporte Componentes R1'!Y580+'Reporte Componentes R1'!Z580+'Reporte Componentes R1'!S580</f>
        <v>0</v>
      </c>
      <c r="AD50" s="291">
        <f t="shared" si="17"/>
        <v>-1560876.97</v>
      </c>
      <c r="AE50" s="291">
        <f>'Reporte Componentes R1'!F581</f>
        <v>-1560876.97</v>
      </c>
      <c r="AF50" s="322">
        <f t="shared" si="19"/>
        <v>13003447.35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R1'!F692</f>
        <v>0</v>
      </c>
      <c r="E51" s="297">
        <f>'Reporte Componentes R1'!G692</f>
        <v>0</v>
      </c>
      <c r="F51" s="297">
        <f>'Reporte Componentes R1'!H692</f>
        <v>0</v>
      </c>
      <c r="G51" s="297">
        <f>'Reporte Componentes R1'!I692</f>
        <v>0</v>
      </c>
      <c r="H51" s="297">
        <f>'Reporte Componentes R1'!J692</f>
        <v>0</v>
      </c>
      <c r="I51" s="297">
        <f>'Reporte Componentes R1'!K692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R1'!L692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R1'!M692</f>
        <v>0</v>
      </c>
      <c r="V51" s="297">
        <f>'Reporte Componentes R1'!N692</f>
        <v>0</v>
      </c>
      <c r="W51" s="297">
        <f>'Reporte Componentes R1'!O692</f>
        <v>0</v>
      </c>
      <c r="X51" s="297">
        <f>'Reporte Componentes R1'!P692</f>
        <v>0</v>
      </c>
      <c r="Y51" s="289">
        <f>'Reporte Componentes R1'!Q692</f>
        <v>0</v>
      </c>
      <c r="Z51" s="319">
        <f>-L51</f>
        <v>0</v>
      </c>
      <c r="AA51" s="320">
        <f>'Reporte Componentes R1'!R692+'Reporte Componentes R1'!V692+'Reporte Componentes R1'!U692</f>
        <v>0</v>
      </c>
      <c r="AB51" s="294">
        <f>N51</f>
        <v>0</v>
      </c>
      <c r="AC51" s="320">
        <f>'Reporte Componentes R1'!T692+'Reporte Componentes R1'!W692+'Reporte Componentes R1'!X692+'Reporte Componentes R1'!Y692+'Reporte Componentes R1'!Z692+'Reporte Componentes R1'!S692</f>
        <v>0</v>
      </c>
      <c r="AD51" s="291">
        <f t="shared" si="17"/>
        <v>0</v>
      </c>
      <c r="AE51" s="291">
        <f>'Reporte Componentes R1'!F693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30151870</v>
      </c>
      <c r="E52" s="290">
        <f t="shared" si="21"/>
        <v>1870204.12</v>
      </c>
      <c r="F52" s="290">
        <f t="shared" si="21"/>
        <v>1053642.3699999999</v>
      </c>
      <c r="G52" s="290">
        <f t="shared" ref="G52" si="22">SUM(G47:G51)</f>
        <v>563393.68999999994</v>
      </c>
      <c r="H52" s="290">
        <f t="shared" si="21"/>
        <v>7856782.25</v>
      </c>
      <c r="I52" s="290">
        <f t="shared" si="21"/>
        <v>225533.14</v>
      </c>
      <c r="J52" s="290">
        <f t="shared" si="21"/>
        <v>0</v>
      </c>
      <c r="K52" s="300">
        <f t="shared" si="21"/>
        <v>18582314.43</v>
      </c>
      <c r="L52" s="301">
        <f t="shared" si="21"/>
        <v>0</v>
      </c>
      <c r="M52" s="302">
        <f t="shared" si="21"/>
        <v>18582314.43</v>
      </c>
      <c r="N52" s="301">
        <f t="shared" si="21"/>
        <v>0</v>
      </c>
      <c r="O52" s="302">
        <f t="shared" si="21"/>
        <v>18582314.43</v>
      </c>
      <c r="P52" s="329"/>
      <c r="Q52" s="306"/>
      <c r="S52" s="327"/>
      <c r="T52" s="328" t="s">
        <v>2</v>
      </c>
      <c r="U52" s="330">
        <f>SUM(U47:U51)</f>
        <v>1970129.7</v>
      </c>
      <c r="V52" s="330">
        <f t="shared" ref="V52:AG52" si="23">SUM(V47:V51)</f>
        <v>2501094.33</v>
      </c>
      <c r="W52" s="330">
        <f t="shared" si="23"/>
        <v>12603751</v>
      </c>
      <c r="X52" s="330">
        <f t="shared" si="23"/>
        <v>4576910.0600000005</v>
      </c>
      <c r="Y52" s="330">
        <f t="shared" si="23"/>
        <v>370640.85</v>
      </c>
      <c r="Z52" s="290">
        <f t="shared" si="23"/>
        <v>0</v>
      </c>
      <c r="AA52" s="290">
        <f t="shared" si="23"/>
        <v>-114.86000000000001</v>
      </c>
      <c r="AB52" s="290">
        <f t="shared" si="23"/>
        <v>0</v>
      </c>
      <c r="AC52" s="290">
        <f t="shared" si="23"/>
        <v>0.04</v>
      </c>
      <c r="AD52" s="290">
        <f>SUM(AD47:AD51)</f>
        <v>-3440096.69</v>
      </c>
      <c r="AE52" s="290">
        <f>SUM(AE47:AE51)</f>
        <v>-3440096.69</v>
      </c>
      <c r="AF52" s="331">
        <f t="shared" si="23"/>
        <v>18582314.43</v>
      </c>
      <c r="AG52" s="332">
        <f t="shared" si="23"/>
        <v>-1.1641532182693481E-10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22022525.940000005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-3698870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309">
        <v>0</v>
      </c>
      <c r="K66" s="293">
        <f>D66-E66-F66-G66-H66-I66-J66</f>
        <v>-3698870</v>
      </c>
      <c r="L66" s="294">
        <v>0</v>
      </c>
      <c r="M66" s="293">
        <f>K66-L66</f>
        <v>-3698870</v>
      </c>
      <c r="N66" s="294">
        <f>'Reversion Pagos R4'!P79</f>
        <v>0</v>
      </c>
      <c r="O66" s="293">
        <f>M66+N66</f>
        <v>-3698870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9">
        <f>'Reversion Pagos R4'!N79</f>
        <v>0</v>
      </c>
      <c r="Z66" s="310">
        <f>-L66</f>
        <v>0</v>
      </c>
      <c r="AA66" s="311">
        <f>+'Reversion Pagos R4'!O79</f>
        <v>0</v>
      </c>
      <c r="AB66" s="294">
        <f>N66</f>
        <v>0</v>
      </c>
      <c r="AC66" s="311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311">
        <f>(AF66-O66)</f>
        <v>3698870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-20858585.449999999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4">D67-E67-F67-G67-H67-I67-J67</f>
        <v>-20858585.449999999</v>
      </c>
      <c r="L67" s="294">
        <v>0</v>
      </c>
      <c r="M67" s="295">
        <f>K67-L67</f>
        <v>-20858585.449999999</v>
      </c>
      <c r="N67" s="294">
        <f>'Reversion Pagos R4'!P180</f>
        <v>0</v>
      </c>
      <c r="O67" s="295">
        <f t="shared" ref="O67:O70" si="25">M67+N67</f>
        <v>-20858585.449999999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6">-L67</f>
        <v>0</v>
      </c>
      <c r="AA67" s="320">
        <f>'Reversion Pagos R4'!O180</f>
        <v>0</v>
      </c>
      <c r="AB67" s="294">
        <f t="shared" ref="AB67:AB70" si="27">N67</f>
        <v>0</v>
      </c>
      <c r="AC67" s="320">
        <f>'Reversion Pagos R4'!Q180+'Reversion Pagos R4'!R180</f>
        <v>0</v>
      </c>
      <c r="AD67" s="291">
        <f t="shared" ref="AD67:AD70" si="28">-J67+AE67</f>
        <v>0</v>
      </c>
      <c r="AE67" s="291">
        <f>'Reversion Pagos R4'!D181</f>
        <v>0</v>
      </c>
      <c r="AF67" s="322">
        <f>SUM(U67:AD67)</f>
        <v>0</v>
      </c>
      <c r="AG67" s="323">
        <f>(AF67-O67)</f>
        <v>20858585.449999999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-2259272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4"/>
        <v>-2259272</v>
      </c>
      <c r="L68" s="294">
        <v>0</v>
      </c>
      <c r="M68" s="295">
        <f>K68-L68</f>
        <v>-2259272</v>
      </c>
      <c r="N68" s="294">
        <f>'Reversion Pagos R4'!P217</f>
        <v>0</v>
      </c>
      <c r="O68" s="295">
        <f t="shared" si="25"/>
        <v>-2259272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6"/>
        <v>0</v>
      </c>
      <c r="AA68" s="320">
        <f>'Reversion Pagos R4'!O217</f>
        <v>0</v>
      </c>
      <c r="AB68" s="294">
        <f t="shared" si="27"/>
        <v>0</v>
      </c>
      <c r="AC68" s="320">
        <f>'Reversion Pagos R4'!Q217+'Reversion Pagos R4'!R217</f>
        <v>0</v>
      </c>
      <c r="AD68" s="291">
        <f t="shared" si="28"/>
        <v>0</v>
      </c>
      <c r="AE68" s="291">
        <f>'Reversion Pagos R4'!D218</f>
        <v>0</v>
      </c>
      <c r="AF68" s="322">
        <f t="shared" ref="AF68:AF70" si="30">SUM(U68:AD68)</f>
        <v>0</v>
      </c>
      <c r="AG68" s="323">
        <f t="shared" ref="AG68:AG70" si="31">(AF68-O68)</f>
        <v>2259272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-39633253.399999999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4"/>
        <v>-39633253.399999999</v>
      </c>
      <c r="L69" s="294">
        <v>0</v>
      </c>
      <c r="M69" s="295">
        <f>K69-L69</f>
        <v>-39633253.399999999</v>
      </c>
      <c r="N69" s="294">
        <f>'Reversion Pagos R4'!P332</f>
        <v>0</v>
      </c>
      <c r="O69" s="295">
        <f t="shared" si="25"/>
        <v>-39633253.399999999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6"/>
        <v>0</v>
      </c>
      <c r="AA69" s="320">
        <f>'Reversion Pagos R4'!O332</f>
        <v>0</v>
      </c>
      <c r="AB69" s="294">
        <f t="shared" si="27"/>
        <v>0</v>
      </c>
      <c r="AC69" s="320">
        <f>'Reversion Pagos R4'!Q332+'Reversion Pagos R4'!R332</f>
        <v>0</v>
      </c>
      <c r="AD69" s="291">
        <f t="shared" si="28"/>
        <v>0</v>
      </c>
      <c r="AE69" s="291">
        <f>'Reversion Pagos R4'!D333</f>
        <v>0</v>
      </c>
      <c r="AF69" s="322">
        <f>SUM(U69:AD69)</f>
        <v>0</v>
      </c>
      <c r="AG69" s="323">
        <f>(AF69-O69)</f>
        <v>39633253.399999999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R4'!D367</f>
        <v>-3964157</v>
      </c>
      <c r="E70" s="297">
        <f>'Reversion Pagos R4'!E367</f>
        <v>0</v>
      </c>
      <c r="F70" s="297">
        <f>'Reversion Pagos R4'!F367</f>
        <v>0</v>
      </c>
      <c r="G70" s="297">
        <f>'Reversion Pagos R4'!G367</f>
        <v>0</v>
      </c>
      <c r="H70" s="297">
        <f>'Reversion Pagos R4'!H367</f>
        <v>0</v>
      </c>
      <c r="I70" s="297">
        <f>'Reversion Pagos R4'!I367</f>
        <v>0</v>
      </c>
      <c r="J70" s="289">
        <v>0</v>
      </c>
      <c r="K70" s="295">
        <f t="shared" si="24"/>
        <v>-3964157</v>
      </c>
      <c r="L70" s="294">
        <v>0</v>
      </c>
      <c r="M70" s="298">
        <f>K70-L70</f>
        <v>-3964157</v>
      </c>
      <c r="N70" s="294">
        <f>'Reversion Pagos R4'!P367</f>
        <v>0</v>
      </c>
      <c r="O70" s="298">
        <f t="shared" si="25"/>
        <v>-3964157</v>
      </c>
      <c r="Q70" s="306"/>
      <c r="S70" s="324">
        <v>5</v>
      </c>
      <c r="T70" s="325" t="s">
        <v>14</v>
      </c>
      <c r="U70" s="296">
        <f>'Reversion Pagos R4'!J367</f>
        <v>0</v>
      </c>
      <c r="V70" s="297">
        <f>'Reversion Pagos R4'!K367</f>
        <v>0</v>
      </c>
      <c r="W70" s="297">
        <f>'Reversion Pagos R4'!L367</f>
        <v>0</v>
      </c>
      <c r="X70" s="297">
        <f>'Reversion Pagos R4'!M367</f>
        <v>0</v>
      </c>
      <c r="Y70" s="289">
        <f>'Reversion Pagos R4'!N367</f>
        <v>0</v>
      </c>
      <c r="Z70" s="319">
        <f t="shared" si="26"/>
        <v>0</v>
      </c>
      <c r="AA70" s="320">
        <f>'Reversion Pagos R4'!O367</f>
        <v>0</v>
      </c>
      <c r="AB70" s="294">
        <f t="shared" si="27"/>
        <v>0</v>
      </c>
      <c r="AC70" s="320">
        <f>'Reversion Pagos R4'!Q367+'Reversion Pagos R4'!R367</f>
        <v>0</v>
      </c>
      <c r="AD70" s="291">
        <f t="shared" si="28"/>
        <v>0</v>
      </c>
      <c r="AE70" s="291">
        <f>'Reversion Pagos R4'!D368</f>
        <v>0</v>
      </c>
      <c r="AF70" s="322">
        <f t="shared" si="30"/>
        <v>0</v>
      </c>
      <c r="AG70" s="326">
        <f t="shared" si="31"/>
        <v>3964157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-70414137.849999994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-70414137.849999994</v>
      </c>
      <c r="L71" s="301">
        <f t="shared" si="32"/>
        <v>0</v>
      </c>
      <c r="M71" s="302">
        <f t="shared" si="32"/>
        <v>-70414137.849999994</v>
      </c>
      <c r="N71" s="301">
        <f t="shared" si="32"/>
        <v>0</v>
      </c>
      <c r="O71" s="302">
        <f t="shared" si="32"/>
        <v>-70414137.849999994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70414137.849999994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14494946130.289999</v>
      </c>
      <c r="E104" s="292">
        <f t="shared" si="43"/>
        <v>808253973.28999996</v>
      </c>
      <c r="F104" s="292">
        <f t="shared" si="43"/>
        <v>450253745.53000003</v>
      </c>
      <c r="G104" s="292">
        <f t="shared" si="43"/>
        <v>239677556.41999999</v>
      </c>
      <c r="H104" s="292">
        <f t="shared" si="43"/>
        <v>4717876749.6900005</v>
      </c>
      <c r="I104" s="292">
        <f t="shared" si="43"/>
        <v>157342146.16</v>
      </c>
      <c r="J104" s="292">
        <f t="shared" si="43"/>
        <v>2153950828.1600003</v>
      </c>
      <c r="K104" s="293">
        <f>D104-E104-F104-G104-H104-I104-J104</f>
        <v>5967591131.039999</v>
      </c>
      <c r="L104" s="294">
        <f>L9+L28+L47+L66+L85</f>
        <v>189185987</v>
      </c>
      <c r="M104" s="293">
        <f>K104-L104</f>
        <v>5778405144.039999</v>
      </c>
      <c r="N104" s="294">
        <f>N9+N28+N47+N66+N85</f>
        <v>9937924.0999999996</v>
      </c>
      <c r="O104" s="293">
        <f>M104+N104</f>
        <v>5788343068.1399994</v>
      </c>
      <c r="Q104" s="306"/>
      <c r="S104" s="303">
        <v>1</v>
      </c>
      <c r="T104" s="304" t="s">
        <v>10</v>
      </c>
      <c r="U104" s="307">
        <f t="shared" ref="U104:AB108" si="44">U9+U28+U47+U66+U85</f>
        <v>1381636155.4599998</v>
      </c>
      <c r="V104" s="308">
        <f t="shared" si="44"/>
        <v>1303071672.7900002</v>
      </c>
      <c r="W104" s="308">
        <f t="shared" si="44"/>
        <v>6211299089.6899996</v>
      </c>
      <c r="X104" s="308">
        <f t="shared" si="44"/>
        <v>2199309075.6299996</v>
      </c>
      <c r="Y104" s="309">
        <f t="shared" si="44"/>
        <v>256857302.64000002</v>
      </c>
      <c r="Z104" s="310">
        <f t="shared" si="44"/>
        <v>-189185987</v>
      </c>
      <c r="AA104" s="311">
        <f>AA9+AA28+AA47+AA66+AA85</f>
        <v>-24225.26</v>
      </c>
      <c r="AB104" s="294">
        <f>AB9+AB28+AB47+AB66+AB85</f>
        <v>9937924.0999999996</v>
      </c>
      <c r="AC104" s="311">
        <f>AC9+AC28+AC47+AC66+AC85</f>
        <v>149.04</v>
      </c>
      <c r="AD104" s="291">
        <f>-J104+AE104</f>
        <v>-5409140437.7200003</v>
      </c>
      <c r="AE104" s="291">
        <f>AE9+AE28+AE47+AE66+AE85</f>
        <v>-3255189609.5599999</v>
      </c>
      <c r="AF104" s="313">
        <f>SUM(U104:AD104)</f>
        <v>5763760719.369998</v>
      </c>
      <c r="AG104" s="311">
        <f>AF104-O104</f>
        <v>-24582348.770001411</v>
      </c>
      <c r="AH104" s="1" t="b">
        <f>INT(AG104)=0</f>
        <v>0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10307938498.949999</v>
      </c>
      <c r="E105" s="292">
        <f t="shared" si="43"/>
        <v>761637783.10000002</v>
      </c>
      <c r="F105" s="292">
        <f t="shared" si="43"/>
        <v>421888349.53999996</v>
      </c>
      <c r="G105" s="292">
        <f t="shared" si="43"/>
        <v>223785500.97</v>
      </c>
      <c r="H105" s="292">
        <f t="shared" si="43"/>
        <v>3460548293.3299999</v>
      </c>
      <c r="I105" s="292">
        <f t="shared" si="43"/>
        <v>123692734.97999999</v>
      </c>
      <c r="J105" s="292">
        <f t="shared" si="43"/>
        <v>-4217145526.9099998</v>
      </c>
      <c r="K105" s="295">
        <f t="shared" ref="K105:K108" si="45">D105-E105-F105-G105-H105-I105-J105</f>
        <v>9533531363.9399986</v>
      </c>
      <c r="L105" s="294">
        <f>L10+L29+L48+L67+L86</f>
        <v>266580255</v>
      </c>
      <c r="M105" s="295">
        <f>K105-L105</f>
        <v>9266951108.9399986</v>
      </c>
      <c r="N105" s="294">
        <f>N10+N29+N48+N67+N86</f>
        <v>6792800.1600000001</v>
      </c>
      <c r="O105" s="295">
        <f t="shared" ref="O105:O108" si="46">M105+N105</f>
        <v>9273743909.0999985</v>
      </c>
      <c r="Q105" s="306"/>
      <c r="S105" s="314">
        <v>2</v>
      </c>
      <c r="T105" s="315" t="s">
        <v>11</v>
      </c>
      <c r="U105" s="316">
        <f t="shared" si="44"/>
        <v>1084554770.1400001</v>
      </c>
      <c r="V105" s="317">
        <f t="shared" si="44"/>
        <v>1032621895.5300001</v>
      </c>
      <c r="W105" s="317">
        <f t="shared" si="44"/>
        <v>4907514838.9000006</v>
      </c>
      <c r="X105" s="317">
        <f t="shared" si="44"/>
        <v>1491213170.3199999</v>
      </c>
      <c r="Y105" s="318">
        <f t="shared" si="44"/>
        <v>201954335.44</v>
      </c>
      <c r="Z105" s="319">
        <f t="shared" si="44"/>
        <v>-266580255</v>
      </c>
      <c r="AA105" s="320">
        <f t="shared" si="44"/>
        <v>-13369.77</v>
      </c>
      <c r="AB105" s="294">
        <f t="shared" si="44"/>
        <v>6792800.1600000001</v>
      </c>
      <c r="AC105" s="320">
        <f t="shared" ref="AC105" si="47">AC10+AC29+AC48+AC67+AC86</f>
        <v>-48.89</v>
      </c>
      <c r="AD105" s="291">
        <f t="shared" ref="AD105:AD106" si="48">-J105+AE105</f>
        <v>778071052.34000015</v>
      </c>
      <c r="AE105" s="291">
        <f>AE10+AE29+AE48+AE67+AE86</f>
        <v>-3439074474.5699997</v>
      </c>
      <c r="AF105" s="322">
        <f>SUM(U105:AD105)</f>
        <v>9236129189.1699982</v>
      </c>
      <c r="AG105" s="323">
        <f>AF105-O105</f>
        <v>-37614719.930000305</v>
      </c>
      <c r="AH105" s="1" t="b">
        <f t="shared" ref="AH105:AH109" si="49">INT(AG105)=0</f>
        <v>0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8394192614.9000006</v>
      </c>
      <c r="E106" s="292">
        <f t="shared" si="43"/>
        <v>519485736.51999998</v>
      </c>
      <c r="F106" s="292">
        <f t="shared" si="43"/>
        <v>289280679.71999997</v>
      </c>
      <c r="G106" s="292">
        <f t="shared" si="43"/>
        <v>153855222.93000001</v>
      </c>
      <c r="H106" s="292">
        <f t="shared" si="43"/>
        <v>2406618472.7000003</v>
      </c>
      <c r="I106" s="292">
        <f t="shared" si="43"/>
        <v>86333540.400000006</v>
      </c>
      <c r="J106" s="292">
        <f t="shared" si="43"/>
        <v>-1288806337.0900002</v>
      </c>
      <c r="K106" s="295">
        <f t="shared" si="45"/>
        <v>6227425299.7200012</v>
      </c>
      <c r="L106" s="294">
        <f>L11+L30+L49+L68+L87</f>
        <v>154788535</v>
      </c>
      <c r="M106" s="295">
        <f>K106-L106</f>
        <v>6072636764.7200012</v>
      </c>
      <c r="N106" s="294">
        <f>N11+N30+N49+N68+N87</f>
        <v>14510188.139999999</v>
      </c>
      <c r="O106" s="295">
        <f t="shared" si="46"/>
        <v>6087146952.8600016</v>
      </c>
      <c r="Q106" s="306"/>
      <c r="S106" s="314">
        <v>3</v>
      </c>
      <c r="T106" s="315" t="s">
        <v>12</v>
      </c>
      <c r="U106" s="316">
        <f t="shared" si="44"/>
        <v>757964762.67000008</v>
      </c>
      <c r="V106" s="317">
        <f t="shared" si="44"/>
        <v>717589277.52999997</v>
      </c>
      <c r="W106" s="317">
        <f t="shared" si="44"/>
        <v>3409164597.5999999</v>
      </c>
      <c r="X106" s="317">
        <f t="shared" si="44"/>
        <v>1230549027.6600001</v>
      </c>
      <c r="Y106" s="318">
        <f t="shared" si="44"/>
        <v>140956999.82000002</v>
      </c>
      <c r="Z106" s="319">
        <f t="shared" si="44"/>
        <v>-154788535</v>
      </c>
      <c r="AA106" s="320">
        <f t="shared" si="44"/>
        <v>-82499.44</v>
      </c>
      <c r="AB106" s="294">
        <f t="shared" si="44"/>
        <v>14510188.139999999</v>
      </c>
      <c r="AC106" s="320">
        <f t="shared" ref="AC106" si="50">AC11+AC30+AC49+AC68+AC87</f>
        <v>1.1100000000000001</v>
      </c>
      <c r="AD106" s="291">
        <f t="shared" si="48"/>
        <v>-43259582.799999714</v>
      </c>
      <c r="AE106" s="291">
        <f>AE11+AE30+AE49+AE68+AE87</f>
        <v>-1332065919.8899999</v>
      </c>
      <c r="AF106" s="322">
        <f>SUM(U106:AD106)</f>
        <v>6072604237.2900009</v>
      </c>
      <c r="AG106" s="323">
        <f>AF106-O106</f>
        <v>-14542715.570000648</v>
      </c>
      <c r="AH106" s="1" t="b">
        <f t="shared" si="49"/>
        <v>0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9886897739.0499992</v>
      </c>
      <c r="E107" s="292">
        <f t="shared" si="43"/>
        <v>553928633.95000005</v>
      </c>
      <c r="F107" s="292">
        <f t="shared" si="43"/>
        <v>307330655.34999996</v>
      </c>
      <c r="G107" s="292">
        <f t="shared" si="43"/>
        <v>163491193.43000001</v>
      </c>
      <c r="H107" s="292">
        <f t="shared" si="43"/>
        <v>2337302085.3999996</v>
      </c>
      <c r="I107" s="292">
        <f t="shared" si="43"/>
        <v>87964267.669999987</v>
      </c>
      <c r="J107" s="292">
        <f t="shared" si="43"/>
        <v>61531953.689999998</v>
      </c>
      <c r="K107" s="295">
        <f t="shared" si="45"/>
        <v>6375348949.5599985</v>
      </c>
      <c r="L107" s="294">
        <f>L12+L31+L50+L69+L88</f>
        <v>120391083</v>
      </c>
      <c r="M107" s="295">
        <f>K107-L107</f>
        <v>6254957866.5599985</v>
      </c>
      <c r="N107" s="294">
        <f>N12+N31+N50+N69+N88</f>
        <v>7972372.8300000001</v>
      </c>
      <c r="O107" s="295">
        <f>M107+N107</f>
        <v>6262930239.3899984</v>
      </c>
      <c r="Q107" s="306"/>
      <c r="S107" s="314">
        <v>4</v>
      </c>
      <c r="T107" s="315" t="s">
        <v>13</v>
      </c>
      <c r="U107" s="316">
        <f t="shared" si="44"/>
        <v>771148596.94999993</v>
      </c>
      <c r="V107" s="317">
        <f t="shared" si="44"/>
        <v>730737756.58000004</v>
      </c>
      <c r="W107" s="317">
        <f t="shared" si="44"/>
        <v>3783293510.3099999</v>
      </c>
      <c r="X107" s="317">
        <f t="shared" si="44"/>
        <v>1466361057.49</v>
      </c>
      <c r="Y107" s="318">
        <f t="shared" si="44"/>
        <v>143754108.56000003</v>
      </c>
      <c r="Z107" s="319">
        <f t="shared" si="44"/>
        <v>-120391083</v>
      </c>
      <c r="AA107" s="320">
        <f>AA12+AA31+AA50+AA69+AA88</f>
        <v>31618.89</v>
      </c>
      <c r="AB107" s="294">
        <f t="shared" si="44"/>
        <v>7972372.8300000001</v>
      </c>
      <c r="AC107" s="320">
        <f t="shared" ref="AC107" si="51">AC12+AC31+AC50+AC69+AC88</f>
        <v>189.23</v>
      </c>
      <c r="AD107" s="291">
        <f t="shared" ref="AD107" si="52">-J107+AE107</f>
        <v>-504002885.37000006</v>
      </c>
      <c r="AE107" s="291">
        <f>AE12+AE31+AE50+AE69+AE88</f>
        <v>-442470931.68000007</v>
      </c>
      <c r="AF107" s="322">
        <f t="shared" ref="AF107:AF108" si="53">SUM(U107:AD107)</f>
        <v>6278905242.4700003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7238405926.46</v>
      </c>
      <c r="E108" s="297">
        <f t="shared" si="43"/>
        <v>383226244.79000002</v>
      </c>
      <c r="F108" s="297">
        <f t="shared" si="43"/>
        <v>213399131.62</v>
      </c>
      <c r="G108" s="297">
        <f t="shared" si="43"/>
        <v>113487155.67</v>
      </c>
      <c r="H108" s="297">
        <f t="shared" si="43"/>
        <v>1813158921.0699999</v>
      </c>
      <c r="I108" s="297">
        <f t="shared" si="43"/>
        <v>60280537.299999997</v>
      </c>
      <c r="J108" s="297">
        <f t="shared" si="43"/>
        <v>-1246473094.4099998</v>
      </c>
      <c r="K108" s="295">
        <f t="shared" si="45"/>
        <v>5901327030.4200001</v>
      </c>
      <c r="L108" s="294">
        <f>L13+L32+L51+L70+L89</f>
        <v>128990445</v>
      </c>
      <c r="M108" s="298">
        <f>K108-L108</f>
        <v>5772336585.4200001</v>
      </c>
      <c r="N108" s="299">
        <f>N13+N32+N51+N70+N89</f>
        <v>10471696.869999999</v>
      </c>
      <c r="O108" s="298">
        <f t="shared" si="46"/>
        <v>5782808282.29</v>
      </c>
      <c r="Q108" s="306"/>
      <c r="S108" s="324">
        <v>5</v>
      </c>
      <c r="T108" s="325" t="s">
        <v>14</v>
      </c>
      <c r="U108" s="296">
        <f t="shared" si="44"/>
        <v>528865960.60000002</v>
      </c>
      <c r="V108" s="297">
        <f t="shared" si="44"/>
        <v>496788585.52999997</v>
      </c>
      <c r="W108" s="297">
        <f t="shared" si="44"/>
        <v>2555805599.5999999</v>
      </c>
      <c r="X108" s="297">
        <f t="shared" si="44"/>
        <v>1140353351.6900001</v>
      </c>
      <c r="Y108" s="289">
        <f t="shared" si="44"/>
        <v>98362156.760000005</v>
      </c>
      <c r="Z108" s="319">
        <f t="shared" si="44"/>
        <v>-128990445</v>
      </c>
      <c r="AA108" s="320">
        <f t="shared" si="44"/>
        <v>11598.57</v>
      </c>
      <c r="AB108" s="294">
        <f t="shared" si="44"/>
        <v>10471696.869999999</v>
      </c>
      <c r="AC108" s="320">
        <f t="shared" ref="AC108" si="54">AC13+AC32+AC51+AC70+AC89</f>
        <v>4.82</v>
      </c>
      <c r="AD108" s="291">
        <f>-J108+AE108</f>
        <v>1075960041.29</v>
      </c>
      <c r="AE108" s="291">
        <f>AE13+AE32+AE51+AE70+AE89</f>
        <v>-170513053.11999997</v>
      </c>
      <c r="AF108" s="322">
        <f t="shared" si="53"/>
        <v>5777628550.7299995</v>
      </c>
      <c r="AG108" s="326">
        <f>AF108-O108</f>
        <v>-5179731.5600004196</v>
      </c>
      <c r="AH108" s="1" t="b">
        <f t="shared" si="49"/>
        <v>0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50322380909.650002</v>
      </c>
      <c r="E109" s="290">
        <f t="shared" ref="E109:O109" si="55">SUM(E104:E108)</f>
        <v>3026532371.6499996</v>
      </c>
      <c r="F109" s="290">
        <f t="shared" si="55"/>
        <v>1682152561.7599998</v>
      </c>
      <c r="G109" s="290">
        <f t="shared" si="55"/>
        <v>894296629.41999996</v>
      </c>
      <c r="H109" s="290">
        <f t="shared" si="55"/>
        <v>14735504522.190001</v>
      </c>
      <c r="I109" s="290">
        <f t="shared" si="55"/>
        <v>515613226.50999993</v>
      </c>
      <c r="J109" s="290">
        <f t="shared" si="55"/>
        <v>-4536942176.5599995</v>
      </c>
      <c r="K109" s="300">
        <f t="shared" si="55"/>
        <v>34005223774.679993</v>
      </c>
      <c r="L109" s="301">
        <f t="shared" si="55"/>
        <v>859936305</v>
      </c>
      <c r="M109" s="302">
        <f t="shared" si="55"/>
        <v>33145287469.679993</v>
      </c>
      <c r="N109" s="301">
        <f>SUM(N104:N108)</f>
        <v>49684982.099999994</v>
      </c>
      <c r="O109" s="302">
        <f t="shared" si="55"/>
        <v>33194972451.779999</v>
      </c>
      <c r="P109" s="329"/>
      <c r="Q109" s="306"/>
      <c r="S109" s="327"/>
      <c r="T109" s="328" t="s">
        <v>2</v>
      </c>
      <c r="U109" s="330">
        <f>SUM(U104:U108)</f>
        <v>4524170245.8199997</v>
      </c>
      <c r="V109" s="330">
        <f t="shared" ref="V109:AF109" si="56">SUM(V104:V108)</f>
        <v>4280809187.96</v>
      </c>
      <c r="W109" s="330">
        <f t="shared" si="56"/>
        <v>20867077636.099998</v>
      </c>
      <c r="X109" s="330">
        <f t="shared" si="56"/>
        <v>7527785682.789999</v>
      </c>
      <c r="Y109" s="330">
        <f t="shared" si="56"/>
        <v>841884903.22000015</v>
      </c>
      <c r="Z109" s="290">
        <f t="shared" si="56"/>
        <v>-859936305</v>
      </c>
      <c r="AA109" s="290">
        <f t="shared" si="56"/>
        <v>-76877.010000000009</v>
      </c>
      <c r="AB109" s="290">
        <f t="shared" si="56"/>
        <v>49684982.099999994</v>
      </c>
      <c r="AC109" s="290">
        <f t="shared" si="56"/>
        <v>295.31</v>
      </c>
      <c r="AD109" s="290">
        <f t="shared" si="56"/>
        <v>-4102371812.2600002</v>
      </c>
      <c r="AE109" s="290">
        <f>SUM(AE104:AE108)</f>
        <v>-8639313988.8199997</v>
      </c>
      <c r="AF109" s="331">
        <f t="shared" si="56"/>
        <v>33129027939.029999</v>
      </c>
      <c r="AG109" s="332">
        <f>SUM(AG104:AG108)</f>
        <v>-81919515.830002785</v>
      </c>
      <c r="AH109" s="1" t="b">
        <f t="shared" si="49"/>
        <v>0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38041727655.889999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29606547</v>
      </c>
      <c r="E125" s="111">
        <v>0</v>
      </c>
      <c r="G125" s="336">
        <f>D47+N47</f>
        <v>513960</v>
      </c>
      <c r="H125" s="310">
        <f>D28+N28</f>
        <v>26731349.390000001</v>
      </c>
      <c r="I125" s="309">
        <f>D85+N85</f>
        <v>0</v>
      </c>
      <c r="J125" s="309">
        <f>D66+N66</f>
        <v>-3698870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22325147.129999999</v>
      </c>
      <c r="E126" s="74">
        <v>0</v>
      </c>
      <c r="G126" s="339">
        <f>D48+N48</f>
        <v>9240820</v>
      </c>
      <c r="H126" s="340">
        <f>D29+N29</f>
        <v>39413638.689999998</v>
      </c>
      <c r="I126" s="288">
        <f>D86+N86</f>
        <v>0</v>
      </c>
      <c r="J126" s="288">
        <f t="shared" ref="J126:J129" si="57">D67+N67</f>
        <v>-20858585.449999999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8845080</v>
      </c>
      <c r="E127" s="74">
        <v>0</v>
      </c>
      <c r="G127" s="339">
        <f>D49+N49</f>
        <v>0</v>
      </c>
      <c r="H127" s="340">
        <f>D30+N30</f>
        <v>12385143.039999999</v>
      </c>
      <c r="I127" s="288">
        <f>D87+N87</f>
        <v>0</v>
      </c>
      <c r="J127" s="288">
        <f t="shared" si="57"/>
        <v>-2259272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42284806</v>
      </c>
      <c r="E128" s="74">
        <v>0</v>
      </c>
      <c r="G128" s="339">
        <f>D50+N50</f>
        <v>20397090</v>
      </c>
      <c r="H128" s="340">
        <f>D31+N31</f>
        <v>23742361.280000001</v>
      </c>
      <c r="I128" s="288">
        <f>D88+N88</f>
        <v>0</v>
      </c>
      <c r="J128" s="288">
        <f t="shared" si="57"/>
        <v>-39633253.399999999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5249580</v>
      </c>
      <c r="E129" s="139">
        <v>0</v>
      </c>
      <c r="G129" s="339">
        <f>D51+N51</f>
        <v>0</v>
      </c>
      <c r="H129" s="340">
        <f>D32+N32</f>
        <v>9192655.3300000001</v>
      </c>
      <c r="I129" s="288">
        <f>D89+N89</f>
        <v>0</v>
      </c>
      <c r="J129" s="288">
        <f t="shared" si="57"/>
        <v>-3964157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108311160.13</v>
      </c>
      <c r="E131" s="107">
        <f>SUM(E125:E130)</f>
        <v>0</v>
      </c>
      <c r="F131" s="45"/>
      <c r="G131" s="350">
        <f t="shared" ref="G131" si="58">SUM(G125:G129)</f>
        <v>30151870</v>
      </c>
      <c r="H131" s="350">
        <f>SUM(H125:H130)</f>
        <v>111465147.73</v>
      </c>
      <c r="I131" s="350">
        <f>SUM(I125:I130)</f>
        <v>0</v>
      </c>
      <c r="J131" s="350">
        <f>SUM(J125:J130)</f>
        <v>-70414137.849999994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14534490601.389999</v>
      </c>
      <c r="E142" s="110">
        <f>'Recaudo ENEL'!F21</f>
        <v>0</v>
      </c>
      <c r="F142" s="110">
        <f>D28+N28</f>
        <v>26731349.390000001</v>
      </c>
      <c r="G142" s="110">
        <f>D66+N66</f>
        <v>-3698870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513960</v>
      </c>
      <c r="K142" s="111">
        <f t="shared" si="59"/>
        <v>26731349.390000001</v>
      </c>
      <c r="L142" s="525">
        <f>D142-E142-F142-G142-J142-H142-I142</f>
        <v>14510944162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10337056446.239998</v>
      </c>
      <c r="E143" s="18">
        <f>'Recaudo ENEL'!F22</f>
        <v>0</v>
      </c>
      <c r="F143" s="18">
        <f>D29+N29</f>
        <v>39413638.689999998</v>
      </c>
      <c r="G143" s="18">
        <f>D67+N67</f>
        <v>-20858585.449999999</v>
      </c>
      <c r="H143" s="18">
        <f>D86+N86</f>
        <v>0</v>
      </c>
      <c r="I143" s="18">
        <f>('REPORTE RECAUDO x BANCO'!E65)</f>
        <v>1345550</v>
      </c>
      <c r="J143" s="18">
        <f t="shared" si="59"/>
        <v>9240820</v>
      </c>
      <c r="K143" s="83">
        <f t="shared" si="59"/>
        <v>39413638.689999998</v>
      </c>
      <c r="L143" s="525">
        <f>D143-E143-F143-G143-J143-H143-I143</f>
        <v>10307915022.999998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8417547883.0400009</v>
      </c>
      <c r="E144" s="18">
        <f>'Recaudo ENEL'!F23</f>
        <v>0</v>
      </c>
      <c r="F144" s="18">
        <f>D30+N30</f>
        <v>12385143.039999999</v>
      </c>
      <c r="G144" s="18">
        <f>D68+N68</f>
        <v>-2259272</v>
      </c>
      <c r="H144" s="18">
        <f>D87+N87</f>
        <v>0</v>
      </c>
      <c r="I144" s="18">
        <f>('REPORTE RECAUDO x BANCO'!E67)</f>
        <v>464422</v>
      </c>
      <c r="J144" s="18">
        <f t="shared" si="59"/>
        <v>0</v>
      </c>
      <c r="K144" s="83">
        <f t="shared" si="59"/>
        <v>12385143.039999999</v>
      </c>
      <c r="L144" s="525">
        <f>D144-E144-F144-G144-J144-H144-I144</f>
        <v>8406957590.000001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9937154917.8799992</v>
      </c>
      <c r="E145" s="18">
        <f>'Recaudo ENEL'!F24</f>
        <v>0</v>
      </c>
      <c r="F145" s="18">
        <f>D31+N31</f>
        <v>23742361.280000001</v>
      </c>
      <c r="G145" s="18">
        <f>D69+N69</f>
        <v>-39633253.399999999</v>
      </c>
      <c r="H145" s="18">
        <f>D88+N88</f>
        <v>0</v>
      </c>
      <c r="I145" s="18">
        <f>('REPORTE RECAUDO x BANCO'!E70)</f>
        <v>218584</v>
      </c>
      <c r="J145" s="18">
        <f t="shared" si="59"/>
        <v>20397090</v>
      </c>
      <c r="K145" s="83">
        <f t="shared" si="59"/>
        <v>23742361.280000001</v>
      </c>
      <c r="L145" s="525">
        <f>D145-E145-F145-G145-J145-H145-I145</f>
        <v>9932430135.9999981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7254127203.3299999</v>
      </c>
      <c r="E146" s="18">
        <f>'Recaudo ENEL'!F25</f>
        <v>0</v>
      </c>
      <c r="F146" s="134">
        <f>D32+N32</f>
        <v>9192655.3300000001</v>
      </c>
      <c r="G146" s="134">
        <f>D70+N70</f>
        <v>-3964157</v>
      </c>
      <c r="H146" s="134">
        <f>D89+N89</f>
        <v>0</v>
      </c>
      <c r="I146" s="134">
        <f>('REPORTE RECAUDO x BANCO'!E72)</f>
        <v>687220</v>
      </c>
      <c r="J146" s="134">
        <f t="shared" si="59"/>
        <v>0</v>
      </c>
      <c r="K146" s="136">
        <f t="shared" si="59"/>
        <v>9192655.3300000001</v>
      </c>
      <c r="L146" s="525">
        <f>D146-E146-F146-G146-J146-H146-I146</f>
        <v>7248211485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50480377051.879997</v>
      </c>
      <c r="E147" s="47">
        <f>SUM(E142:E146)</f>
        <v>0</v>
      </c>
      <c r="F147" s="47">
        <f t="shared" ref="F147:K147" si="61">SUM(F142:F146)</f>
        <v>111465147.73</v>
      </c>
      <c r="G147" s="47">
        <f t="shared" si="61"/>
        <v>-70414137.849999994</v>
      </c>
      <c r="H147" s="47">
        <f t="shared" si="61"/>
        <v>0</v>
      </c>
      <c r="I147" s="47">
        <f t="shared" si="61"/>
        <v>2715776</v>
      </c>
      <c r="J147" s="47">
        <f t="shared" si="61"/>
        <v>30151870</v>
      </c>
      <c r="K147" s="47">
        <f t="shared" si="61"/>
        <v>111465147.73</v>
      </c>
      <c r="L147" s="525">
        <f>SUM(L142:L146)</f>
        <v>50406458396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332031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332031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14510944162</v>
      </c>
      <c r="D3" s="292">
        <f>REMUNERACION_ENEL!G125</f>
        <v>513960</v>
      </c>
      <c r="E3" s="292">
        <f>REMUNERACION_ENEL!D28+REMUNERACION_ENEL!N28</f>
        <v>26731349.390000001</v>
      </c>
      <c r="F3" s="292">
        <f>REMUNERACION_ENEL!I142</f>
        <v>0</v>
      </c>
      <c r="G3" s="292">
        <f>REMUNERACION_ENEL!H142</f>
        <v>0</v>
      </c>
      <c r="H3" s="340">
        <f>SUM(C3:G3)</f>
        <v>14538189471.389999</v>
      </c>
      <c r="I3" s="291">
        <f>REMUNERACION_ENEL!D104</f>
        <v>14494946130.289999</v>
      </c>
      <c r="J3" s="292">
        <f>REMUNERACION_ENEL!N104</f>
        <v>9937924.0999999996</v>
      </c>
      <c r="K3" s="292">
        <f>REMUNERACION_ENEL!D125</f>
        <v>29606547</v>
      </c>
      <c r="L3" s="353">
        <f>REMUNERACION_ENEL!E125</f>
        <v>0</v>
      </c>
      <c r="M3" s="292">
        <f>-REMUNERACION_ENEL!D66-REMUNERACION_ENEL!N66</f>
        <v>3698870</v>
      </c>
      <c r="N3" s="288">
        <f>SUM(I3:M3)</f>
        <v>14538189471.389999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10307915023</v>
      </c>
      <c r="D4" s="292">
        <f>REMUNERACION_ENEL!G126</f>
        <v>9240820</v>
      </c>
      <c r="E4" s="292">
        <f>REMUNERACION_ENEL!D29+REMUNERACION_ENEL!N29</f>
        <v>39413638.689999998</v>
      </c>
      <c r="F4" s="292">
        <f>REMUNERACION_ENEL!I143</f>
        <v>1345550</v>
      </c>
      <c r="G4" s="292">
        <f>REMUNERACION_ENEL!H143</f>
        <v>0</v>
      </c>
      <c r="H4" s="340">
        <f t="shared" ref="H4:H8" si="1">SUM(C4:G4)</f>
        <v>10357915031.690001</v>
      </c>
      <c r="I4" s="291">
        <f>REMUNERACION_ENEL!D105</f>
        <v>10307938498.949999</v>
      </c>
      <c r="J4" s="292">
        <f>REMUNERACION_ENEL!N105</f>
        <v>6792800.1600000001</v>
      </c>
      <c r="K4" s="292">
        <f>REMUNERACION_ENEL!D126</f>
        <v>22325147.129999999</v>
      </c>
      <c r="L4" s="353">
        <f>REMUNERACION_ENEL!E126</f>
        <v>0</v>
      </c>
      <c r="M4" s="292">
        <f>-REMUNERACION_ENEL!D67-REMUNERACION_ENEL!N67</f>
        <v>20858585.449999999</v>
      </c>
      <c r="N4" s="318">
        <f>SUM(I4:M4)</f>
        <v>10357915031.689999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8406957590</v>
      </c>
      <c r="D5" s="292">
        <f>REMUNERACION_ENEL!G127</f>
        <v>0</v>
      </c>
      <c r="E5" s="292">
        <f>REMUNERACION_ENEL!D30+REMUNERACION_ENEL!N30</f>
        <v>12385143.039999999</v>
      </c>
      <c r="F5" s="292">
        <f>REMUNERACION_ENEL!I144</f>
        <v>464422</v>
      </c>
      <c r="G5" s="292">
        <f>REMUNERACION_ENEL!H144</f>
        <v>0</v>
      </c>
      <c r="H5" s="340">
        <f t="shared" si="1"/>
        <v>8419807155.04</v>
      </c>
      <c r="I5" s="291">
        <f>REMUNERACION_ENEL!D106</f>
        <v>8394192614.9000006</v>
      </c>
      <c r="J5" s="292">
        <f>REMUNERACION_ENEL!N106</f>
        <v>14510188.139999999</v>
      </c>
      <c r="K5" s="292">
        <f>REMUNERACION_ENEL!D127</f>
        <v>8845080</v>
      </c>
      <c r="L5" s="353">
        <f>REMUNERACION_ENEL!E127</f>
        <v>0</v>
      </c>
      <c r="M5" s="292">
        <f>-REMUNERACION_ENEL!D68-REMUNERACION_ENEL!N68</f>
        <v>2259272</v>
      </c>
      <c r="N5" s="318">
        <f>SUM(I5:M5)</f>
        <v>8419807155.0400009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9932430136</v>
      </c>
      <c r="D6" s="292">
        <f>REMUNERACION_ENEL!G128</f>
        <v>20397090</v>
      </c>
      <c r="E6" s="292">
        <f>REMUNERACION_ENEL!D31+REMUNERACION_ENEL!N31</f>
        <v>23742361.280000001</v>
      </c>
      <c r="F6" s="292">
        <f>REMUNERACION_ENEL!I145</f>
        <v>218584</v>
      </c>
      <c r="G6" s="292">
        <f>REMUNERACION_ENEL!H145</f>
        <v>0</v>
      </c>
      <c r="H6" s="340">
        <f t="shared" si="1"/>
        <v>9976788171.2800007</v>
      </c>
      <c r="I6" s="291">
        <f>REMUNERACION_ENEL!D107</f>
        <v>9886897739.0499992</v>
      </c>
      <c r="J6" s="292">
        <f>REMUNERACION_ENEL!N107</f>
        <v>7972372.8300000001</v>
      </c>
      <c r="K6" s="292">
        <f>REMUNERACION_ENEL!D128</f>
        <v>42284806</v>
      </c>
      <c r="L6" s="353">
        <f>REMUNERACION_ENEL!E128</f>
        <v>0</v>
      </c>
      <c r="M6" s="292">
        <f>-REMUNERACION_ENEL!D69-REMUNERACION_ENEL!N69</f>
        <v>39633253.399999999</v>
      </c>
      <c r="N6" s="318">
        <f t="shared" ref="N6:N7" si="3">SUM(I6:M6)</f>
        <v>9976788171.2799988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7248211485</v>
      </c>
      <c r="D7" s="292">
        <f>REMUNERACION_ENEL!G129</f>
        <v>0</v>
      </c>
      <c r="E7" s="292">
        <f>REMUNERACION_ENEL!D32+REMUNERACION_ENEL!N32</f>
        <v>9192655.3300000001</v>
      </c>
      <c r="F7" s="292">
        <f>REMUNERACION_ENEL!I146</f>
        <v>687220</v>
      </c>
      <c r="G7" s="292">
        <f>REMUNERACION_ENEL!H146</f>
        <v>0</v>
      </c>
      <c r="H7" s="340">
        <f t="shared" si="1"/>
        <v>7258091360.3299999</v>
      </c>
      <c r="I7" s="291">
        <f>REMUNERACION_ENEL!D108</f>
        <v>7238405926.46</v>
      </c>
      <c r="J7" s="292">
        <f>REMUNERACION_ENEL!N108</f>
        <v>10471696.869999999</v>
      </c>
      <c r="K7" s="292">
        <f>REMUNERACION_ENEL!D129</f>
        <v>5249580</v>
      </c>
      <c r="L7" s="353">
        <f>REMUNERACION_ENEL!E129</f>
        <v>0</v>
      </c>
      <c r="M7" s="292">
        <f>-REMUNERACION_ENEL!D70-REMUNERACION_ENEL!N70</f>
        <v>3964157</v>
      </c>
      <c r="N7" s="318">
        <f t="shared" si="3"/>
        <v>7258091360.3299999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50406458396</v>
      </c>
      <c r="D9" s="290">
        <f t="shared" ref="D9:M9" si="4">SUM(D3:D8)</f>
        <v>30151870</v>
      </c>
      <c r="E9" s="290">
        <f t="shared" si="4"/>
        <v>111465147.73</v>
      </c>
      <c r="F9" s="290">
        <f t="shared" si="4"/>
        <v>2715776</v>
      </c>
      <c r="G9" s="290">
        <f t="shared" si="4"/>
        <v>0</v>
      </c>
      <c r="H9" s="290">
        <f t="shared" si="4"/>
        <v>50550791189.730003</v>
      </c>
      <c r="I9" s="290">
        <f t="shared" si="4"/>
        <v>50322380909.650002</v>
      </c>
      <c r="J9" s="290">
        <f t="shared" si="4"/>
        <v>49684982.099999994</v>
      </c>
      <c r="K9" s="290">
        <f t="shared" si="4"/>
        <v>108311160.13</v>
      </c>
      <c r="L9" s="290">
        <f t="shared" si="4"/>
        <v>0</v>
      </c>
      <c r="M9" s="290">
        <f t="shared" si="4"/>
        <v>70414137.849999994</v>
      </c>
      <c r="N9" s="290">
        <f>SUM(N3:N8)</f>
        <v>50550791189.729996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50406458396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33203125" style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46296</v>
      </c>
      <c r="J7" s="2" t="s">
        <v>28</v>
      </c>
      <c r="K7" s="9">
        <f>REMUNERACION_ENEL!K102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14494946130.289999</v>
      </c>
      <c r="E9" s="66">
        <f>REMUNERACION_ENEL!E104</f>
        <v>808253973.28999996</v>
      </c>
      <c r="F9" s="66">
        <f>REMUNERACION_ENEL!F104</f>
        <v>450253745.53000003</v>
      </c>
      <c r="G9" s="66">
        <f>REMUNERACION_ENEL!G104</f>
        <v>239677556.41999999</v>
      </c>
      <c r="H9" s="66">
        <f>REMUNERACION_ENEL!H104</f>
        <v>4717876749.6900005</v>
      </c>
      <c r="I9" s="66">
        <f>REMUNERACION_ENEL!I104</f>
        <v>157342146.16</v>
      </c>
      <c r="J9" s="66">
        <f>REMUNERACION_ENEL!J104</f>
        <v>2153950828.1600003</v>
      </c>
      <c r="K9" s="30">
        <f>D9-E9-F9-G9-H9-I9-J9</f>
        <v>5967591131.039999</v>
      </c>
      <c r="L9" s="66">
        <f>REMUNERACION_ENEL!L104</f>
        <v>189185987</v>
      </c>
      <c r="M9" s="30">
        <f>K9-L9</f>
        <v>5778405144.039999</v>
      </c>
      <c r="N9" s="66">
        <f>REMUNERACION_ENEL!N104</f>
        <v>9937924.0999999996</v>
      </c>
      <c r="O9" s="30">
        <f>M9+N9</f>
        <v>5788343068.1399994</v>
      </c>
      <c r="Q9" s="4"/>
      <c r="S9" s="14">
        <v>1</v>
      </c>
      <c r="T9" s="61" t="s">
        <v>10</v>
      </c>
      <c r="U9" s="66">
        <f>REMUNERACION_ENEL!U104</f>
        <v>1381636155.4599998</v>
      </c>
      <c r="V9" s="66">
        <f>REMUNERACION_ENEL!V104</f>
        <v>1303071672.7900002</v>
      </c>
      <c r="W9" s="66">
        <f>REMUNERACION_ENEL!W104</f>
        <v>6211299089.6899996</v>
      </c>
      <c r="X9" s="66">
        <f>REMUNERACION_ENEL!X104</f>
        <v>2199309075.6299996</v>
      </c>
      <c r="Y9" s="66">
        <f>REMUNERACION_ENEL!Y104</f>
        <v>256857302.64000002</v>
      </c>
      <c r="Z9" s="66">
        <f>REMUNERACION_ENEL!Z104</f>
        <v>-189185987</v>
      </c>
      <c r="AA9" s="66">
        <f>REMUNERACION_ENEL!AA104</f>
        <v>-24225.26</v>
      </c>
      <c r="AB9" s="66">
        <f>REMUNERACION_ENEL!AB104</f>
        <v>9937924.0999999996</v>
      </c>
      <c r="AC9" s="66">
        <f>REMUNERACION_ENEL!AC104</f>
        <v>149.04</v>
      </c>
      <c r="AD9" s="66">
        <f>REMUNERACION_ENEL!AD104</f>
        <v>-5409140437.7200003</v>
      </c>
      <c r="AE9" s="66">
        <f>REMUNERACION_ENEL!AE104</f>
        <v>-3255189609.5599999</v>
      </c>
      <c r="AF9" s="69">
        <f>SUM(U9:AD9)</f>
        <v>5763760719.369998</v>
      </c>
      <c r="AG9" s="71">
        <f>AF9-O9</f>
        <v>-24582348.770001411</v>
      </c>
      <c r="AH9" s="1" t="b">
        <f>INT(AG9)=0</f>
        <v>0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10307938498.949999</v>
      </c>
      <c r="E10" s="66">
        <f>REMUNERACION_ENEL!E105</f>
        <v>761637783.10000002</v>
      </c>
      <c r="F10" s="66">
        <f>REMUNERACION_ENEL!F105</f>
        <v>421888349.53999996</v>
      </c>
      <c r="G10" s="66">
        <f>REMUNERACION_ENEL!G105</f>
        <v>223785500.97</v>
      </c>
      <c r="H10" s="66">
        <f>REMUNERACION_ENEL!H105</f>
        <v>3460548293.3299999</v>
      </c>
      <c r="I10" s="66">
        <f>REMUNERACION_ENEL!I105</f>
        <v>123692734.97999999</v>
      </c>
      <c r="J10" s="66">
        <f>REMUNERACION_ENEL!J105</f>
        <v>-4217145526.9099998</v>
      </c>
      <c r="K10" s="31">
        <f t="shared" ref="K10:K13" si="0">D10-E10-F10-G10-H10-I10-J10</f>
        <v>9533531363.9399986</v>
      </c>
      <c r="L10" s="66">
        <f>REMUNERACION_ENEL!L105</f>
        <v>266580255</v>
      </c>
      <c r="M10" s="31">
        <f>K10-L10</f>
        <v>9266951108.9399986</v>
      </c>
      <c r="N10" s="66">
        <f>REMUNERACION_ENEL!N105</f>
        <v>6792800.1600000001</v>
      </c>
      <c r="O10" s="31">
        <f t="shared" ref="O10:O13" si="1">M10+N10</f>
        <v>9273743909.0999985</v>
      </c>
      <c r="Q10" s="4"/>
      <c r="S10" s="16">
        <v>2</v>
      </c>
      <c r="T10" s="62" t="s">
        <v>11</v>
      </c>
      <c r="U10" s="66">
        <f>REMUNERACION_ENEL!U105</f>
        <v>1084554770.1400001</v>
      </c>
      <c r="V10" s="66">
        <f>REMUNERACION_ENEL!V105</f>
        <v>1032621895.5300001</v>
      </c>
      <c r="W10" s="66">
        <f>REMUNERACION_ENEL!W105</f>
        <v>4907514838.9000006</v>
      </c>
      <c r="X10" s="66">
        <f>REMUNERACION_ENEL!X105</f>
        <v>1491213170.3199999</v>
      </c>
      <c r="Y10" s="66">
        <f>REMUNERACION_ENEL!Y105</f>
        <v>201954335.44</v>
      </c>
      <c r="Z10" s="66">
        <f>REMUNERACION_ENEL!Z105</f>
        <v>-266580255</v>
      </c>
      <c r="AA10" s="66">
        <f>REMUNERACION_ENEL!AA105</f>
        <v>-13369.77</v>
      </c>
      <c r="AB10" s="66">
        <f>REMUNERACION_ENEL!AB105</f>
        <v>6792800.1600000001</v>
      </c>
      <c r="AC10" s="66">
        <f>REMUNERACION_ENEL!AC105</f>
        <v>-48.89</v>
      </c>
      <c r="AD10" s="66">
        <f>REMUNERACION_ENEL!AD105</f>
        <v>778071052.34000015</v>
      </c>
      <c r="AE10" s="66">
        <f>REMUNERACION_ENEL!AE105</f>
        <v>-3439074474.5699997</v>
      </c>
      <c r="AF10" s="70">
        <f>SUM(U10:AD10)</f>
        <v>9236129189.1699982</v>
      </c>
      <c r="AG10" s="72">
        <f>AF10-O10</f>
        <v>-37614719.930000305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8394192614.9000006</v>
      </c>
      <c r="E11" s="66">
        <f>REMUNERACION_ENEL!E106</f>
        <v>519485736.51999998</v>
      </c>
      <c r="F11" s="66">
        <f>REMUNERACION_ENEL!F106</f>
        <v>289280679.71999997</v>
      </c>
      <c r="G11" s="66">
        <f>REMUNERACION_ENEL!G106</f>
        <v>153855222.93000001</v>
      </c>
      <c r="H11" s="66">
        <f>REMUNERACION_ENEL!H106</f>
        <v>2406618472.7000003</v>
      </c>
      <c r="I11" s="66">
        <f>REMUNERACION_ENEL!I106</f>
        <v>86333540.400000006</v>
      </c>
      <c r="J11" s="66">
        <f>REMUNERACION_ENEL!J106</f>
        <v>-1288806337.0900002</v>
      </c>
      <c r="K11" s="31">
        <f t="shared" si="0"/>
        <v>6227425299.7200012</v>
      </c>
      <c r="L11" s="66">
        <f>REMUNERACION_ENEL!L106</f>
        <v>154788535</v>
      </c>
      <c r="M11" s="31">
        <f>K11-L11</f>
        <v>6072636764.7200012</v>
      </c>
      <c r="N11" s="66">
        <f>REMUNERACION_ENEL!N106</f>
        <v>14510188.139999999</v>
      </c>
      <c r="O11" s="31">
        <f t="shared" si="1"/>
        <v>6087146952.8600016</v>
      </c>
      <c r="Q11" s="4"/>
      <c r="S11" s="16">
        <v>3</v>
      </c>
      <c r="T11" s="62" t="s">
        <v>12</v>
      </c>
      <c r="U11" s="66">
        <f>REMUNERACION_ENEL!U106</f>
        <v>757964762.67000008</v>
      </c>
      <c r="V11" s="66">
        <f>REMUNERACION_ENEL!V106</f>
        <v>717589277.52999997</v>
      </c>
      <c r="W11" s="66">
        <f>REMUNERACION_ENEL!W106</f>
        <v>3409164597.5999999</v>
      </c>
      <c r="X11" s="66">
        <f>REMUNERACION_ENEL!X106</f>
        <v>1230549027.6600001</v>
      </c>
      <c r="Y11" s="66">
        <f>REMUNERACION_ENEL!Y106</f>
        <v>140956999.82000002</v>
      </c>
      <c r="Z11" s="66">
        <f>REMUNERACION_ENEL!Z106</f>
        <v>-154788535</v>
      </c>
      <c r="AA11" s="66">
        <f>REMUNERACION_ENEL!AA106</f>
        <v>-82499.44</v>
      </c>
      <c r="AB11" s="66">
        <f>REMUNERACION_ENEL!AB106</f>
        <v>14510188.139999999</v>
      </c>
      <c r="AC11" s="66">
        <f>REMUNERACION_ENEL!AC106</f>
        <v>1.1100000000000001</v>
      </c>
      <c r="AD11" s="66">
        <f>REMUNERACION_ENEL!AD106</f>
        <v>-43259582.799999714</v>
      </c>
      <c r="AE11" s="66">
        <f>REMUNERACION_ENEL!AE106</f>
        <v>-1332065919.8899999</v>
      </c>
      <c r="AF11" s="70">
        <f>SUM(U11:AD11)</f>
        <v>6072604237.2900009</v>
      </c>
      <c r="AG11" s="72">
        <f>AF11-O11</f>
        <v>-14542715.570000648</v>
      </c>
      <c r="AH11" s="1" t="b">
        <f t="shared" si="2"/>
        <v>0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9886897739.0499992</v>
      </c>
      <c r="E12" s="66">
        <f>REMUNERACION_ENEL!E107</f>
        <v>553928633.95000005</v>
      </c>
      <c r="F12" s="66">
        <f>REMUNERACION_ENEL!F107</f>
        <v>307330655.34999996</v>
      </c>
      <c r="G12" s="66">
        <f>REMUNERACION_ENEL!G107</f>
        <v>163491193.43000001</v>
      </c>
      <c r="H12" s="66">
        <f>REMUNERACION_ENEL!H107</f>
        <v>2337302085.3999996</v>
      </c>
      <c r="I12" s="66">
        <f>REMUNERACION_ENEL!I107</f>
        <v>87964267.669999987</v>
      </c>
      <c r="J12" s="66">
        <f>REMUNERACION_ENEL!J107</f>
        <v>61531953.689999998</v>
      </c>
      <c r="K12" s="31">
        <f t="shared" si="0"/>
        <v>6375348949.5599985</v>
      </c>
      <c r="L12" s="66">
        <f>REMUNERACION_ENEL!L107</f>
        <v>120391083</v>
      </c>
      <c r="M12" s="31">
        <f>K12-L12</f>
        <v>6254957866.5599985</v>
      </c>
      <c r="N12" s="66">
        <f>REMUNERACION_ENEL!N107</f>
        <v>7972372.8300000001</v>
      </c>
      <c r="O12" s="31">
        <f t="shared" si="1"/>
        <v>6262930239.3899984</v>
      </c>
      <c r="Q12" s="4"/>
      <c r="S12" s="16">
        <v>4</v>
      </c>
      <c r="T12" s="62" t="s">
        <v>13</v>
      </c>
      <c r="U12" s="66">
        <f>REMUNERACION_ENEL!U107</f>
        <v>771148596.94999993</v>
      </c>
      <c r="V12" s="66">
        <f>REMUNERACION_ENEL!V107</f>
        <v>730737756.58000004</v>
      </c>
      <c r="W12" s="66">
        <f>REMUNERACION_ENEL!W107</f>
        <v>3783293510.3099999</v>
      </c>
      <c r="X12" s="66">
        <f>REMUNERACION_ENEL!X107</f>
        <v>1466361057.49</v>
      </c>
      <c r="Y12" s="66">
        <f>REMUNERACION_ENEL!Y107</f>
        <v>143754108.56000003</v>
      </c>
      <c r="Z12" s="66">
        <f>REMUNERACION_ENEL!Z107</f>
        <v>-120391083</v>
      </c>
      <c r="AA12" s="66">
        <f>REMUNERACION_ENEL!AA107</f>
        <v>31618.89</v>
      </c>
      <c r="AB12" s="66">
        <f>REMUNERACION_ENEL!AB107</f>
        <v>7972372.8300000001</v>
      </c>
      <c r="AC12" s="66">
        <f>REMUNERACION_ENEL!AC107</f>
        <v>189.23</v>
      </c>
      <c r="AD12" s="66">
        <f>REMUNERACION_ENEL!AD107</f>
        <v>-504002885.37000006</v>
      </c>
      <c r="AE12" s="66">
        <f>REMUNERACION_ENEL!AE107</f>
        <v>-442470931.68000007</v>
      </c>
      <c r="AF12" s="70">
        <f>SUM(U12:AD12)</f>
        <v>6278905242.4700003</v>
      </c>
      <c r="AG12" s="72">
        <f>AF12-O12</f>
        <v>15975003.080001831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7238405926.46</v>
      </c>
      <c r="E13" s="66">
        <f>REMUNERACION_ENEL!E108</f>
        <v>383226244.79000002</v>
      </c>
      <c r="F13" s="66">
        <f>REMUNERACION_ENEL!F108</f>
        <v>213399131.62</v>
      </c>
      <c r="G13" s="66">
        <f>REMUNERACION_ENEL!G108</f>
        <v>113487155.67</v>
      </c>
      <c r="H13" s="66">
        <f>REMUNERACION_ENEL!H108</f>
        <v>1813158921.0699999</v>
      </c>
      <c r="I13" s="66">
        <f>REMUNERACION_ENEL!I108</f>
        <v>60280537.299999997</v>
      </c>
      <c r="J13" s="66">
        <f>REMUNERACION_ENEL!J108</f>
        <v>-1246473094.4099998</v>
      </c>
      <c r="K13" s="31">
        <f t="shared" si="0"/>
        <v>5901327030.4200001</v>
      </c>
      <c r="L13" s="66">
        <f>REMUNERACION_ENEL!L108</f>
        <v>128990445</v>
      </c>
      <c r="M13" s="40">
        <f>K13-L13</f>
        <v>5772336585.4200001</v>
      </c>
      <c r="N13" s="66">
        <f>REMUNERACION_ENEL!N108</f>
        <v>10471696.869999999</v>
      </c>
      <c r="O13" s="40">
        <f t="shared" si="1"/>
        <v>5782808282.29</v>
      </c>
      <c r="Q13" s="4"/>
      <c r="S13" s="19">
        <v>5</v>
      </c>
      <c r="T13" s="63" t="s">
        <v>14</v>
      </c>
      <c r="U13" s="66">
        <f>REMUNERACION_ENEL!U108</f>
        <v>528865960.60000002</v>
      </c>
      <c r="V13" s="66">
        <f>REMUNERACION_ENEL!V108</f>
        <v>496788585.52999997</v>
      </c>
      <c r="W13" s="66">
        <f>REMUNERACION_ENEL!W108</f>
        <v>2555805599.5999999</v>
      </c>
      <c r="X13" s="66">
        <f>REMUNERACION_ENEL!X108</f>
        <v>1140353351.6900001</v>
      </c>
      <c r="Y13" s="66">
        <f>REMUNERACION_ENEL!Y108</f>
        <v>98362156.760000005</v>
      </c>
      <c r="Z13" s="66">
        <f>REMUNERACION_ENEL!Z108</f>
        <v>-128990445</v>
      </c>
      <c r="AA13" s="66">
        <f>REMUNERACION_ENEL!AA108</f>
        <v>11598.57</v>
      </c>
      <c r="AB13" s="66">
        <f>REMUNERACION_ENEL!AB108</f>
        <v>10471696.869999999</v>
      </c>
      <c r="AC13" s="66">
        <f>REMUNERACION_ENEL!AC108</f>
        <v>4.82</v>
      </c>
      <c r="AD13" s="66">
        <f>REMUNERACION_ENEL!AD108</f>
        <v>1075960041.29</v>
      </c>
      <c r="AE13" s="66">
        <f>REMUNERACION_ENEL!AE108</f>
        <v>-170513053.11999997</v>
      </c>
      <c r="AF13" s="70">
        <f>SUM(U13:AD13)</f>
        <v>5777628550.7299995</v>
      </c>
      <c r="AG13" s="72">
        <f>AF13-O13</f>
        <v>-5179731.5600004196</v>
      </c>
      <c r="AH13" s="1" t="b">
        <f t="shared" si="2"/>
        <v>0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50322380909.650002</v>
      </c>
      <c r="E14" s="43">
        <f t="shared" si="3"/>
        <v>3026532371.6499996</v>
      </c>
      <c r="F14" s="43">
        <f t="shared" si="3"/>
        <v>1682152561.7599998</v>
      </c>
      <c r="G14" s="43">
        <f t="shared" si="3"/>
        <v>894296629.41999996</v>
      </c>
      <c r="H14" s="43">
        <f t="shared" si="3"/>
        <v>14735504522.190001</v>
      </c>
      <c r="I14" s="43">
        <f t="shared" si="3"/>
        <v>515613226.50999993</v>
      </c>
      <c r="J14" s="43">
        <f t="shared" si="3"/>
        <v>-4536942176.5599995</v>
      </c>
      <c r="K14" s="32">
        <f t="shared" si="3"/>
        <v>34005223774.679993</v>
      </c>
      <c r="L14" s="23">
        <f t="shared" si="3"/>
        <v>859936305</v>
      </c>
      <c r="M14" s="76">
        <f t="shared" si="3"/>
        <v>33145287469.679993</v>
      </c>
      <c r="N14" s="23">
        <f t="shared" si="3"/>
        <v>49684982.099999994</v>
      </c>
      <c r="O14" s="76">
        <f t="shared" si="3"/>
        <v>33194972451.779999</v>
      </c>
      <c r="P14" s="2"/>
      <c r="Q14" s="4"/>
      <c r="S14" s="21"/>
      <c r="T14" s="22" t="s">
        <v>2</v>
      </c>
      <c r="U14" s="43">
        <f>SUM(U9:U13)</f>
        <v>4524170245.8199997</v>
      </c>
      <c r="V14" s="43">
        <f t="shared" ref="V14:AG14" si="4">SUM(V9:V13)</f>
        <v>4280809187.96</v>
      </c>
      <c r="W14" s="43">
        <f t="shared" si="4"/>
        <v>20867077636.099998</v>
      </c>
      <c r="X14" s="43">
        <f t="shared" si="4"/>
        <v>7527785682.789999</v>
      </c>
      <c r="Y14" s="43">
        <f t="shared" si="4"/>
        <v>841884903.22000015</v>
      </c>
      <c r="Z14" s="43">
        <f t="shared" si="4"/>
        <v>-859936305</v>
      </c>
      <c r="AA14" s="43">
        <f t="shared" si="4"/>
        <v>-76877.010000000009</v>
      </c>
      <c r="AB14" s="43">
        <f t="shared" si="4"/>
        <v>49684982.099999994</v>
      </c>
      <c r="AC14" s="43">
        <f t="shared" si="4"/>
        <v>295.31</v>
      </c>
      <c r="AD14" s="43">
        <f t="shared" si="4"/>
        <v>-4102371812.2600002</v>
      </c>
      <c r="AE14" s="43">
        <f>SUM(AE9:AE13)</f>
        <v>-8639313988.8199997</v>
      </c>
      <c r="AF14" s="68">
        <f t="shared" si="4"/>
        <v>33129027939.029999</v>
      </c>
      <c r="AG14" s="43">
        <f t="shared" si="4"/>
        <v>-65944512.750000954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38041727655.889999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46296</v>
      </c>
      <c r="J27" s="2" t="s">
        <v>28</v>
      </c>
      <c r="K27" s="9">
        <f>REMUNERACION_ENEL!K122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29606547</v>
      </c>
      <c r="E30" s="111">
        <f>REMUNERACION_ENEL!E125</f>
        <v>0</v>
      </c>
      <c r="G30" s="336">
        <f>REMUNERACION_ENEL!G125</f>
        <v>513960</v>
      </c>
      <c r="H30" s="310">
        <f>REMUNERACION_ENEL!H125</f>
        <v>26731349.390000001</v>
      </c>
      <c r="I30" s="309">
        <f>REMUNERACION_ENEL!I125</f>
        <v>0</v>
      </c>
      <c r="J30" s="309">
        <f>REMUNERACION_ENEL!J125</f>
        <v>-3698870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22325147.129999999</v>
      </c>
      <c r="E31" s="74">
        <f>REMUNERACION_ENEL!E126</f>
        <v>0</v>
      </c>
      <c r="G31" s="339">
        <f>REMUNERACION_ENEL!G126</f>
        <v>9240820</v>
      </c>
      <c r="H31" s="340">
        <f>REMUNERACION_ENEL!H126</f>
        <v>39413638.689999998</v>
      </c>
      <c r="I31" s="288">
        <f>REMUNERACION_ENEL!I126</f>
        <v>0</v>
      </c>
      <c r="J31" s="288">
        <f>REMUNERACION_ENEL!J126</f>
        <v>-20858585.449999999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8845080</v>
      </c>
      <c r="E32" s="74">
        <f>REMUNERACION_ENEL!E127</f>
        <v>0</v>
      </c>
      <c r="G32" s="339">
        <f>REMUNERACION_ENEL!G127</f>
        <v>0</v>
      </c>
      <c r="H32" s="340">
        <f>REMUNERACION_ENEL!H127</f>
        <v>12385143.039999999</v>
      </c>
      <c r="I32" s="288">
        <f>REMUNERACION_ENEL!I127</f>
        <v>0</v>
      </c>
      <c r="J32" s="288">
        <f>REMUNERACION_ENEL!J127</f>
        <v>-2259272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42284806</v>
      </c>
      <c r="E33" s="74">
        <f>REMUNERACION_ENEL!E128</f>
        <v>0</v>
      </c>
      <c r="G33" s="339">
        <f>REMUNERACION_ENEL!G128</f>
        <v>20397090</v>
      </c>
      <c r="H33" s="340">
        <f>REMUNERACION_ENEL!H128</f>
        <v>23742361.280000001</v>
      </c>
      <c r="I33" s="288">
        <f>REMUNERACION_ENEL!I128</f>
        <v>0</v>
      </c>
      <c r="J33" s="288">
        <f>REMUNERACION_ENEL!J128</f>
        <v>-39633253.399999999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5249580</v>
      </c>
      <c r="E34" s="139">
        <f>REMUNERACION_ENEL!E129</f>
        <v>0</v>
      </c>
      <c r="G34" s="339">
        <f>REMUNERACION_ENEL!G129</f>
        <v>0</v>
      </c>
      <c r="H34" s="340">
        <f>REMUNERACION_ENEL!H129</f>
        <v>9192655.3300000001</v>
      </c>
      <c r="I34" s="288">
        <f>REMUNERACION_ENEL!I129</f>
        <v>0</v>
      </c>
      <c r="J34" s="288">
        <f>REMUNERACION_ENEL!J129</f>
        <v>-3964157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108311160.13</v>
      </c>
      <c r="E36" s="107">
        <f>REMUNERACION_ENEL!E131</f>
        <v>0</v>
      </c>
      <c r="F36" s="45"/>
      <c r="G36" s="350">
        <f t="shared" ref="G36:L36" si="6">SUM(G30:G34)</f>
        <v>30151870</v>
      </c>
      <c r="H36" s="350">
        <f t="shared" si="6"/>
        <v>111465147.73</v>
      </c>
      <c r="I36" s="350">
        <f t="shared" si="6"/>
        <v>0</v>
      </c>
      <c r="J36" s="350">
        <f t="shared" si="6"/>
        <v>-70414137.849999994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36" width="13.88671875" style="1" bestFit="1" customWidth="1"/>
    <col min="37" max="16384" width="11.332031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R1'!F90</f>
        <v>0</v>
      </c>
      <c r="E9" s="291">
        <f>'Reporte Componentes R1'!G90</f>
        <v>0</v>
      </c>
      <c r="F9" s="291">
        <f>'Reporte Componentes R1'!H90</f>
        <v>0</v>
      </c>
      <c r="G9" s="291">
        <f>'Reporte Componentes R1'!I90</f>
        <v>0</v>
      </c>
      <c r="H9" s="291">
        <f>'Reporte Componentes R1'!J90</f>
        <v>0</v>
      </c>
      <c r="I9" s="291">
        <f>'Reporte Componentes R1'!K90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R1'!M90</f>
        <v>0</v>
      </c>
      <c r="V9" s="307">
        <f>'Reporte Componentes R1'!N90</f>
        <v>0</v>
      </c>
      <c r="W9" s="307">
        <f>'Reporte Componentes R1'!O90</f>
        <v>0</v>
      </c>
      <c r="X9" s="307">
        <f>'Reporte Componentes R1'!P90</f>
        <v>0</v>
      </c>
      <c r="Y9" s="307">
        <f>'Reporte Componentes R1'!Q90</f>
        <v>0</v>
      </c>
      <c r="Z9" s="319">
        <f>L9*-1</f>
        <v>0</v>
      </c>
      <c r="AA9" s="320">
        <f>'Reporte Componentes R1'!R90+'Reporte Componentes R1'!V235+'Reporte Componentes R1'!U90</f>
        <v>0</v>
      </c>
      <c r="AB9" s="294">
        <f>N9</f>
        <v>0</v>
      </c>
      <c r="AC9" s="320">
        <f>'Reporte Componentes R1'!T90+'Reporte Componentes R1'!W90+'Reporte Componentes R1'!X90+'Reporte Componentes R1'!Y90+'Reporte Componentes R1'!Z90+'Reporte Componentes R1'!S90</f>
        <v>0</v>
      </c>
      <c r="AD9" s="291">
        <f>-J9+AE9</f>
        <v>0</v>
      </c>
      <c r="AE9" s="291">
        <f>'Reporte Componentes R1'!F91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R1'!F269</f>
        <v>0</v>
      </c>
      <c r="E10" s="291">
        <f>'Reporte Componentes R1'!G269</f>
        <v>0</v>
      </c>
      <c r="F10" s="291">
        <f>'Reporte Componentes R1'!H269</f>
        <v>0</v>
      </c>
      <c r="G10" s="291">
        <f>'Reporte Componentes R1'!I269</f>
        <v>0</v>
      </c>
      <c r="H10" s="291">
        <f>'Reporte Componentes R1'!J269</f>
        <v>0</v>
      </c>
      <c r="I10" s="291">
        <f>'Reporte Componentes R1'!K269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R1'!L269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R1'!M269</f>
        <v>0</v>
      </c>
      <c r="V10" s="316">
        <f>'Reporte Componentes R1'!N269</f>
        <v>0</v>
      </c>
      <c r="W10" s="316">
        <f>'Reporte Componentes R1'!O269</f>
        <v>0</v>
      </c>
      <c r="X10" s="316">
        <f>'Reporte Componentes R1'!P269</f>
        <v>0</v>
      </c>
      <c r="Y10" s="316">
        <f>'Reporte Componentes R1'!Q269</f>
        <v>0</v>
      </c>
      <c r="Z10" s="319">
        <f>L10*-1</f>
        <v>0</v>
      </c>
      <c r="AA10" s="320">
        <f>'Reporte Componentes R1'!R269+'Reporte Componentes R1'!V269+'Reporte Componentes R1'!U269</f>
        <v>0</v>
      </c>
      <c r="AB10" s="294">
        <f>N10</f>
        <v>0</v>
      </c>
      <c r="AC10" s="320">
        <f>'Reporte Componentes R1'!T370+'Reporte Componentes R1'!W370+'Reporte Componentes R1'!X370+'Reporte Componentes R1'!Y370+'Reporte Componentes R1'!Z370+'Reporte Componentes R1'!S370</f>
        <v>0</v>
      </c>
      <c r="AD10" s="291">
        <f t="shared" ref="AD10:AD13" si="2">-J10+AE10</f>
        <v>0</v>
      </c>
      <c r="AE10" s="291">
        <f>'Reporte Componentes R1'!F270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R1'!F430</f>
        <v>0</v>
      </c>
      <c r="E11" s="291">
        <f>'Reporte Componentes R1'!G430</f>
        <v>0</v>
      </c>
      <c r="F11" s="291">
        <f>'Reporte Componentes R1'!H430</f>
        <v>0</v>
      </c>
      <c r="G11" s="291">
        <f>'Reporte Componentes R1'!I430</f>
        <v>0</v>
      </c>
      <c r="H11" s="291">
        <f>'Reporte Componentes R1'!J430</f>
        <v>0</v>
      </c>
      <c r="I11" s="291">
        <f>'Reporte Componentes R1'!K430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R1'!M430</f>
        <v>0</v>
      </c>
      <c r="V11" s="316">
        <f>'Reporte Componentes R1'!N430</f>
        <v>0</v>
      </c>
      <c r="W11" s="316">
        <f>'Reporte Componentes R1'!O430</f>
        <v>0</v>
      </c>
      <c r="X11" s="316">
        <f>'Reporte Componentes R1'!P430</f>
        <v>0</v>
      </c>
      <c r="Y11" s="316">
        <f>'Reporte Componentes R1'!Q430</f>
        <v>0</v>
      </c>
      <c r="Z11" s="319">
        <f>L11*-1</f>
        <v>0</v>
      </c>
      <c r="AA11" s="320">
        <f>'Reporte Componentes R1'!R430+'Reporte Componentes R1'!V430+'Reporte Componentes R1'!U430</f>
        <v>0</v>
      </c>
      <c r="AB11" s="294">
        <f>N11</f>
        <v>0</v>
      </c>
      <c r="AC11" s="320">
        <f>'Reporte Componentes R1'!T430+'Reporte Componentes R1'!W430+'Reporte Componentes R1'!X430+'Reporte Componentes R1'!Y430+'Reporte Componentes R1'!Z430+'Reporte Componentes R1'!S430</f>
        <v>0</v>
      </c>
      <c r="AD11" s="291">
        <f t="shared" si="2"/>
        <v>0</v>
      </c>
      <c r="AE11" s="291">
        <f>'Reporte Componentes R1'!F431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R1'!F583</f>
        <v>0</v>
      </c>
      <c r="E12" s="291">
        <f>'Reporte Componentes R1'!G583</f>
        <v>0</v>
      </c>
      <c r="F12" s="291">
        <f>'Reporte Componentes R1'!H583</f>
        <v>0</v>
      </c>
      <c r="G12" s="291">
        <f>'Reporte Componentes R1'!I583</f>
        <v>0</v>
      </c>
      <c r="H12" s="291">
        <f>'Reporte Componentes R1'!J583</f>
        <v>0</v>
      </c>
      <c r="I12" s="291">
        <f>'Reporte Componentes R1'!K583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R1'!M583</f>
        <v>0</v>
      </c>
      <c r="V12" s="316">
        <f>'Reporte Componentes R1'!N583</f>
        <v>0</v>
      </c>
      <c r="W12" s="316">
        <f>'Reporte Componentes R1'!O583</f>
        <v>0</v>
      </c>
      <c r="X12" s="316">
        <f>'Reporte Componentes R1'!P583</f>
        <v>0</v>
      </c>
      <c r="Y12" s="316">
        <f>'Reporte Componentes R1'!Q583</f>
        <v>0</v>
      </c>
      <c r="Z12" s="319">
        <f>L12*-1</f>
        <v>0</v>
      </c>
      <c r="AA12" s="320">
        <f>'Reporte Componentes R1'!R583+'Reporte Componentes R1'!V583+'Reporte Componentes R1'!U583</f>
        <v>0</v>
      </c>
      <c r="AB12" s="294">
        <f>N12</f>
        <v>0</v>
      </c>
      <c r="AC12" s="320">
        <f>'Reporte Componentes R1'!T583+'Reporte Componentes R1'!W583+'Reporte Componentes R1'!X583+'Reporte Componentes R1'!Y583+'Reporte Componentes R1'!Z583+'Reporte Componentes R1'!S583</f>
        <v>0</v>
      </c>
      <c r="AD12" s="291">
        <f t="shared" si="2"/>
        <v>0</v>
      </c>
      <c r="AE12" s="291">
        <f>'Reporte Componentes R1'!F584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R1'!F695</f>
        <v>139510580</v>
      </c>
      <c r="E13" s="296">
        <f>'Reporte Componentes R1'!G695</f>
        <v>8666290.4399999995</v>
      </c>
      <c r="F13" s="296">
        <f>'Reporte Componentes R1'!H695</f>
        <v>4836297.78</v>
      </c>
      <c r="G13" s="296">
        <f>'Reporte Componentes R1'!I695</f>
        <v>2584164.52</v>
      </c>
      <c r="H13" s="296">
        <f>'Reporte Componentes R1'!J695</f>
        <v>38419843.039999999</v>
      </c>
      <c r="I13" s="296">
        <f>'Reporte Componentes R1'!K695</f>
        <v>1269098.3899999999</v>
      </c>
      <c r="J13" s="296">
        <v>0</v>
      </c>
      <c r="K13" s="295">
        <f t="shared" si="0"/>
        <v>83734885.829999998</v>
      </c>
      <c r="L13" s="294">
        <v>0</v>
      </c>
      <c r="M13" s="298">
        <f>K13-L13</f>
        <v>83734885.829999998</v>
      </c>
      <c r="N13" s="299">
        <f>'Reporte Componentes R1'!L695</f>
        <v>0</v>
      </c>
      <c r="O13" s="298">
        <f>M13+N13</f>
        <v>83734885.829999998</v>
      </c>
      <c r="Q13" s="306"/>
      <c r="S13" s="324">
        <v>5</v>
      </c>
      <c r="T13" s="325" t="s">
        <v>14</v>
      </c>
      <c r="U13" s="296">
        <f>'Reporte Componentes R1'!M695</f>
        <v>11146402.07</v>
      </c>
      <c r="V13" s="296">
        <f>'Reporte Componentes R1'!N695</f>
        <v>10565640.77</v>
      </c>
      <c r="W13" s="296">
        <f>'Reporte Componentes R1'!O695</f>
        <v>54685399.630000003</v>
      </c>
      <c r="X13" s="296">
        <f>'Reporte Componentes R1'!P695</f>
        <v>25943616.440000001</v>
      </c>
      <c r="Y13" s="296">
        <f>'Reporte Componentes R1'!Q695</f>
        <v>2070340.36</v>
      </c>
      <c r="Z13" s="319">
        <f>L13*-1</f>
        <v>0</v>
      </c>
      <c r="AA13" s="320">
        <f>'Reporte Componentes R1'!R695+'Reporte Componentes R1'!V695+'Reporte Componentes R1'!U695</f>
        <v>-206.46</v>
      </c>
      <c r="AB13" s="294">
        <f>N13</f>
        <v>0</v>
      </c>
      <c r="AC13" s="320">
        <f>'Reporte Componentes R1'!T695+'Reporte Componentes R1'!W695+'Reporte Componentes R1'!X695+'Reporte Componentes R1'!Y695+'Reporte Componentes R1'!Z695+'Reporte Componentes R1'!S695</f>
        <v>-0.01</v>
      </c>
      <c r="AD13" s="291">
        <f t="shared" si="2"/>
        <v>-20676306.969999999</v>
      </c>
      <c r="AE13" s="291">
        <f>'Reporte Componentes R1'!F696</f>
        <v>-20676306.969999999</v>
      </c>
      <c r="AF13" s="322">
        <f t="shared" si="4"/>
        <v>83734885.829999998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139510580</v>
      </c>
      <c r="E14" s="290">
        <f t="shared" ref="E14:O14" si="5">SUM(E9:E13)</f>
        <v>8666290.4399999995</v>
      </c>
      <c r="F14" s="290">
        <f t="shared" si="5"/>
        <v>4836297.78</v>
      </c>
      <c r="G14" s="290">
        <f t="shared" si="5"/>
        <v>2584164.52</v>
      </c>
      <c r="H14" s="290">
        <f t="shared" si="5"/>
        <v>38419843.039999999</v>
      </c>
      <c r="I14" s="290">
        <f t="shared" si="5"/>
        <v>1269098.3899999999</v>
      </c>
      <c r="J14" s="290">
        <f t="shared" si="5"/>
        <v>0</v>
      </c>
      <c r="K14" s="300">
        <f t="shared" si="5"/>
        <v>83734885.829999998</v>
      </c>
      <c r="L14" s="301">
        <f>SUM(L9:L13)</f>
        <v>0</v>
      </c>
      <c r="M14" s="302">
        <f t="shared" si="5"/>
        <v>83734885.829999998</v>
      </c>
      <c r="N14" s="301">
        <f t="shared" si="5"/>
        <v>0</v>
      </c>
      <c r="O14" s="302">
        <f t="shared" si="5"/>
        <v>83734885.829999998</v>
      </c>
      <c r="P14" s="329"/>
      <c r="Q14" s="306"/>
      <c r="S14" s="327"/>
      <c r="T14" s="328" t="s">
        <v>2</v>
      </c>
      <c r="U14" s="330">
        <f>SUM(U9:U13)</f>
        <v>11146402.07</v>
      </c>
      <c r="V14" s="330">
        <f t="shared" ref="V14:AF14" si="6">SUM(V9:V13)</f>
        <v>10565640.77</v>
      </c>
      <c r="W14" s="330">
        <f t="shared" si="6"/>
        <v>54685399.630000003</v>
      </c>
      <c r="X14" s="330">
        <f t="shared" si="6"/>
        <v>25943616.440000001</v>
      </c>
      <c r="Y14" s="330">
        <f t="shared" si="6"/>
        <v>2070340.36</v>
      </c>
      <c r="Z14" s="290">
        <f t="shared" si="6"/>
        <v>0</v>
      </c>
      <c r="AA14" s="290">
        <f t="shared" si="6"/>
        <v>-206.46</v>
      </c>
      <c r="AB14" s="290">
        <f t="shared" si="6"/>
        <v>0</v>
      </c>
      <c r="AC14" s="290">
        <f t="shared" si="6"/>
        <v>-0.01</v>
      </c>
      <c r="AD14" s="290">
        <f>SUM(AD9:AD13)</f>
        <v>-20676306.969999999</v>
      </c>
      <c r="AE14" s="290">
        <f>SUM(AE9:AE13)</f>
        <v>-20676306.969999999</v>
      </c>
      <c r="AF14" s="331">
        <f t="shared" si="6"/>
        <v>83734885.829999998</v>
      </c>
      <c r="AG14" s="332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R2'!E56</f>
        <v>0</v>
      </c>
      <c r="E28" s="291">
        <f>'Rem. Anticipos R2'!F56</f>
        <v>0</v>
      </c>
      <c r="F28" s="291">
        <f>'Rem. Anticipos R2'!G56</f>
        <v>0</v>
      </c>
      <c r="G28" s="291">
        <f>'Rem. Anticipos R2'!H56</f>
        <v>0</v>
      </c>
      <c r="H28" s="291">
        <f>'Rem. Anticipos R2'!I56</f>
        <v>0</v>
      </c>
      <c r="I28" s="291">
        <f>'Rem. Anticipos R2'!J56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R2'!L56</f>
        <v>0</v>
      </c>
      <c r="V28" s="307">
        <f>'Rem. Anticipos R2'!M56</f>
        <v>0</v>
      </c>
      <c r="W28" s="307">
        <f>'Rem. Anticipos R2'!N56</f>
        <v>0</v>
      </c>
      <c r="X28" s="307">
        <f>'Rem. Anticipos R2'!O56</f>
        <v>0</v>
      </c>
      <c r="Y28" s="307">
        <f>'Rem. Anticipos R2'!P56</f>
        <v>0</v>
      </c>
      <c r="Z28" s="310">
        <f>L28*-1</f>
        <v>0</v>
      </c>
      <c r="AA28" s="311">
        <f>'Rem. Anticipos R2'!Q56</f>
        <v>0</v>
      </c>
      <c r="AB28" s="294">
        <f>N28</f>
        <v>0</v>
      </c>
      <c r="AC28" s="311">
        <f>'Rem. Anticipos R2'!R56</f>
        <v>0</v>
      </c>
      <c r="AD28" s="291">
        <f>-J28+AE28</f>
        <v>0</v>
      </c>
      <c r="AE28" s="291">
        <f>'Rem. Anticipos R2'!E57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R2'!E164</f>
        <v>0</v>
      </c>
      <c r="E29" s="292">
        <f>'Rem. Anticipos R2'!F164</f>
        <v>0</v>
      </c>
      <c r="F29" s="292">
        <f>'Rem. Anticipos R2'!G164</f>
        <v>0</v>
      </c>
      <c r="G29" s="292">
        <f>'Rem. Anticipos R2'!H164</f>
        <v>0</v>
      </c>
      <c r="H29" s="292">
        <f>'Rem. Anticipos R2'!I164</f>
        <v>0</v>
      </c>
      <c r="I29" s="292">
        <f>'Rem. Anticipos R2'!J164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R2'!K164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R2'!L164</f>
        <v>0</v>
      </c>
      <c r="V29" s="317">
        <f>'Rem. Anticipos R2'!M164</f>
        <v>0</v>
      </c>
      <c r="W29" s="317">
        <f>'Rem. Anticipos R2'!N164</f>
        <v>0</v>
      </c>
      <c r="X29" s="317">
        <f>'Rem. Anticipos R2'!O164</f>
        <v>0</v>
      </c>
      <c r="Y29" s="318">
        <f>'Rem. Anticipos R2'!P164</f>
        <v>0</v>
      </c>
      <c r="Z29" s="319">
        <f>L29*-1</f>
        <v>0</v>
      </c>
      <c r="AA29" s="320">
        <f>'Rem. Anticipos R2'!Q164</f>
        <v>0</v>
      </c>
      <c r="AB29" s="294">
        <f>N29</f>
        <v>0</v>
      </c>
      <c r="AC29" s="320">
        <f>'Rem. Anticipos R2'!R164</f>
        <v>0</v>
      </c>
      <c r="AD29" s="291">
        <f>-J29+AE29</f>
        <v>0</v>
      </c>
      <c r="AE29" s="291">
        <f>'Rem. Anticipos R2'!E165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R2'!E282</f>
        <v>0</v>
      </c>
      <c r="E30" s="291">
        <f>'Rem. Anticipos R2'!F282</f>
        <v>0</v>
      </c>
      <c r="F30" s="291">
        <f>'Rem. Anticipos R2'!G282</f>
        <v>0</v>
      </c>
      <c r="G30" s="291">
        <f>'Rem. Anticipos R2'!H282</f>
        <v>0</v>
      </c>
      <c r="H30" s="291">
        <f>'Rem. Anticipos R2'!I282</f>
        <v>0</v>
      </c>
      <c r="I30" s="291">
        <f>'Rem. Anticipos R2'!J282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R2'!K282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R2'!L282</f>
        <v>0</v>
      </c>
      <c r="V30" s="316">
        <f>'Rem. Anticipos R2'!M282</f>
        <v>0</v>
      </c>
      <c r="W30" s="316">
        <f>'Rem. Anticipos R2'!N282</f>
        <v>0</v>
      </c>
      <c r="X30" s="316">
        <f>'Rem. Anticipos R2'!O282</f>
        <v>0</v>
      </c>
      <c r="Y30" s="316">
        <f>'Rem. Anticipos R2'!P282</f>
        <v>0</v>
      </c>
      <c r="Z30" s="319">
        <f>L30*-1</f>
        <v>0</v>
      </c>
      <c r="AA30" s="320">
        <f>'Rem. Anticipos R2'!Q282</f>
        <v>0</v>
      </c>
      <c r="AB30" s="294">
        <f>N30</f>
        <v>0</v>
      </c>
      <c r="AC30" s="320">
        <f>'Rem. Anticipos R2'!R282</f>
        <v>0</v>
      </c>
      <c r="AD30" s="291">
        <f t="shared" ref="AD30:AD32" si="10">-J30+AE30</f>
        <v>0</v>
      </c>
      <c r="AE30" s="291">
        <f>'Rem. Anticipos R2'!E283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R2'!E393</f>
        <v>0</v>
      </c>
      <c r="E31" s="291">
        <f>'Rem. Anticipos R2'!F393</f>
        <v>0</v>
      </c>
      <c r="F31" s="291">
        <f>'Rem. Anticipos R2'!G393</f>
        <v>0</v>
      </c>
      <c r="G31" s="291">
        <f>'Rem. Anticipos R2'!H393</f>
        <v>0</v>
      </c>
      <c r="H31" s="291">
        <f>'Rem. Anticipos R2'!I393</f>
        <v>0</v>
      </c>
      <c r="I31" s="291">
        <f>'Rem. Anticipos R2'!J393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R2'!K393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R2'!L393</f>
        <v>0</v>
      </c>
      <c r="V31" s="316">
        <f>'Rem. Anticipos R2'!M393</f>
        <v>0</v>
      </c>
      <c r="W31" s="316">
        <f>'Rem. Anticipos R2'!N393</f>
        <v>0</v>
      </c>
      <c r="X31" s="316">
        <f>'Rem. Anticipos R2'!O393</f>
        <v>0</v>
      </c>
      <c r="Y31" s="316">
        <f>'Rem. Anticipos R2'!P393</f>
        <v>0</v>
      </c>
      <c r="Z31" s="319">
        <f>L31*-1</f>
        <v>0</v>
      </c>
      <c r="AA31" s="320">
        <f>'Rem. Anticipos R2'!Q393</f>
        <v>0</v>
      </c>
      <c r="AB31" s="294">
        <f>N31</f>
        <v>0</v>
      </c>
      <c r="AC31" s="320">
        <f>'Rem. Anticipos R2'!R393</f>
        <v>0</v>
      </c>
      <c r="AD31" s="291">
        <f t="shared" si="10"/>
        <v>0</v>
      </c>
      <c r="AE31" s="291">
        <f>'Rem. Anticipos R2'!E394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R2'!E477</f>
        <v>0</v>
      </c>
      <c r="E32" s="296">
        <f>'Rem. Anticipos R2'!F477</f>
        <v>0</v>
      </c>
      <c r="F32" s="296">
        <f>'Rem. Anticipos R2'!G477</f>
        <v>0</v>
      </c>
      <c r="G32" s="296">
        <f>'Rem. Anticipos R2'!H477</f>
        <v>0</v>
      </c>
      <c r="H32" s="296">
        <f>'Rem. Anticipos R2'!I477</f>
        <v>0</v>
      </c>
      <c r="I32" s="296">
        <f>'Rem. Anticipos R2'!J477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R2'!K477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R2'!L477</f>
        <v>0</v>
      </c>
      <c r="V32" s="297">
        <f>'Rem. Anticipos R2'!M477</f>
        <v>0</v>
      </c>
      <c r="W32" s="297">
        <f>'Rem. Anticipos R2'!N477</f>
        <v>0</v>
      </c>
      <c r="X32" s="297">
        <f>'Rem. Anticipos R2'!O477</f>
        <v>0</v>
      </c>
      <c r="Y32" s="289">
        <f>'Rem. Anticipos R2'!P477</f>
        <v>0</v>
      </c>
      <c r="Z32" s="319">
        <f>L32*-1</f>
        <v>0</v>
      </c>
      <c r="AA32" s="320">
        <f>'Rem. Anticipos R2'!Q477</f>
        <v>0</v>
      </c>
      <c r="AB32" s="294">
        <f>N32</f>
        <v>0</v>
      </c>
      <c r="AC32" s="320">
        <f>'Rem. Anticipos R2'!R477</f>
        <v>0</v>
      </c>
      <c r="AD32" s="291">
        <f t="shared" si="10"/>
        <v>0</v>
      </c>
      <c r="AE32" s="291">
        <f>'Rem. Anticipos R2'!E478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R1'!F92</f>
        <v>0</v>
      </c>
      <c r="E47" s="291">
        <f>'Reporte Componentes R1'!G92</f>
        <v>0</v>
      </c>
      <c r="F47" s="291">
        <f>'Reporte Componentes R1'!H92</f>
        <v>0</v>
      </c>
      <c r="G47" s="291">
        <f>'Reporte Componentes R1'!I92</f>
        <v>0</v>
      </c>
      <c r="H47" s="291">
        <f>'Reporte Componentes R1'!J92</f>
        <v>0</v>
      </c>
      <c r="I47" s="291">
        <f>'Reporte Componentes R1'!K92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R1'!M92</f>
        <v>0</v>
      </c>
      <c r="V47" s="307">
        <f>'Reporte Componentes R1'!N92</f>
        <v>0</v>
      </c>
      <c r="W47" s="307">
        <f>'Reporte Componentes R1'!O92</f>
        <v>0</v>
      </c>
      <c r="X47" s="307">
        <f>'Reporte Componentes R1'!P92</f>
        <v>0</v>
      </c>
      <c r="Y47" s="307">
        <f>'Reporte Componentes R1'!Q92</f>
        <v>0</v>
      </c>
      <c r="Z47" s="310">
        <f>-L47</f>
        <v>0</v>
      </c>
      <c r="AA47" s="320">
        <f>'Reporte Componentes R1'!R92+'Reporte Componentes R1'!V92+'Reporte Componentes R1'!U92</f>
        <v>0</v>
      </c>
      <c r="AB47" s="294">
        <f>N47</f>
        <v>0</v>
      </c>
      <c r="AC47" s="311">
        <f>'Reporte Componentes R1'!T92+'Reporte Componentes R1'!W92+'Reporte Componentes R1'!X92+'Reporte Componentes R1'!Y92+'Reporte Componentes R1'!Z92+'Reporte Componentes R1'!S92</f>
        <v>0</v>
      </c>
      <c r="AD47" s="291">
        <f>-J47+AE47</f>
        <v>0</v>
      </c>
      <c r="AE47" s="291">
        <f>'Reporte Componentes R1'!F93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R1'!F271</f>
        <v>0</v>
      </c>
      <c r="E48" s="291">
        <f>'Reporte Componentes R1'!G271</f>
        <v>0</v>
      </c>
      <c r="F48" s="291">
        <f>'Reporte Componentes R1'!H271</f>
        <v>0</v>
      </c>
      <c r="G48" s="291">
        <f>'Reporte Componentes R1'!I271</f>
        <v>0</v>
      </c>
      <c r="H48" s="291">
        <f>'Reporte Componentes R1'!J271</f>
        <v>0</v>
      </c>
      <c r="I48" s="291">
        <f>'Reporte Componentes R1'!K271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R1'!M271</f>
        <v>0</v>
      </c>
      <c r="V48" s="316">
        <f>'Reporte Componentes R1'!N271</f>
        <v>0</v>
      </c>
      <c r="W48" s="316">
        <f>'Reporte Componentes R1'!O271</f>
        <v>0</v>
      </c>
      <c r="X48" s="316">
        <f>'Reporte Componentes R1'!P271</f>
        <v>0</v>
      </c>
      <c r="Y48" s="316">
        <f>'Reporte Componentes R1'!Q271</f>
        <v>0</v>
      </c>
      <c r="Z48" s="319">
        <f>-L48</f>
        <v>0</v>
      </c>
      <c r="AA48" s="320">
        <f>'Reporte Componentes R1'!R271+'Reporte Componentes R1'!V271+'Reporte Componentes R1'!U271</f>
        <v>0</v>
      </c>
      <c r="AB48" s="294">
        <f>N48</f>
        <v>0</v>
      </c>
      <c r="AC48" s="320">
        <f>'Reporte Componentes R1'!T271+'Reporte Componentes R1'!W271+'Reporte Componentes R1'!X271+'Reporte Componentes R1'!Y271+'Reporte Componentes R1'!Z271+'Reporte Componentes R1'!S271</f>
        <v>0</v>
      </c>
      <c r="AD48" s="291">
        <f t="shared" ref="AD48:AD51" si="16">-J48+AE48</f>
        <v>0</v>
      </c>
      <c r="AE48" s="291">
        <f>'Reporte Componentes R1'!F272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R1'!F432</f>
        <v>0</v>
      </c>
      <c r="E49" s="291">
        <f>'Reporte Componentes R1'!G432</f>
        <v>0</v>
      </c>
      <c r="F49" s="291">
        <f>'Reporte Componentes R1'!H432</f>
        <v>0</v>
      </c>
      <c r="G49" s="291">
        <f>'Reporte Componentes R1'!I432</f>
        <v>0</v>
      </c>
      <c r="H49" s="291">
        <f>'Reporte Componentes R1'!J432</f>
        <v>0</v>
      </c>
      <c r="I49" s="291">
        <f>'Reporte Componentes R1'!K432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R1'!M432</f>
        <v>0</v>
      </c>
      <c r="V49" s="316">
        <f>'Reporte Componentes R1'!N432</f>
        <v>0</v>
      </c>
      <c r="W49" s="316">
        <f>'Reporte Componentes R1'!O432</f>
        <v>0</v>
      </c>
      <c r="X49" s="316">
        <f>'Reporte Componentes R1'!P432</f>
        <v>0</v>
      </c>
      <c r="Y49" s="316">
        <f>'Reporte Componentes R1'!Q432</f>
        <v>0</v>
      </c>
      <c r="Z49" s="319">
        <f>-L49</f>
        <v>0</v>
      </c>
      <c r="AA49" s="320">
        <f>'Reporte Componentes R1'!R432+'Reporte Componentes R1'!V432+'Reporte Componentes R1'!U432</f>
        <v>0</v>
      </c>
      <c r="AB49" s="294">
        <f>N49</f>
        <v>0</v>
      </c>
      <c r="AC49" s="320">
        <f>'Reporte Componentes R1'!T432+'Reporte Componentes R1'!W432+'Reporte Componentes R1'!X432+'Reporte Componentes R1'!Y432+'Reporte Componentes R1'!Z432+'Reporte Componentes R1'!S432</f>
        <v>0</v>
      </c>
      <c r="AD49" s="291">
        <f t="shared" si="16"/>
        <v>0</v>
      </c>
      <c r="AE49" s="291">
        <f>'Reporte Componentes R1'!F433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R1'!F585</f>
        <v>0</v>
      </c>
      <c r="E50" s="291">
        <f>'Reporte Componentes R1'!G585</f>
        <v>0</v>
      </c>
      <c r="F50" s="291">
        <f>'Reporte Componentes R1'!H585</f>
        <v>0</v>
      </c>
      <c r="G50" s="291">
        <f>'Reporte Componentes R1'!I585</f>
        <v>0</v>
      </c>
      <c r="H50" s="291">
        <f>'Reporte Componentes R1'!J585</f>
        <v>0</v>
      </c>
      <c r="I50" s="291">
        <f>'Reporte Componentes R1'!K585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R1'!M585</f>
        <v>0</v>
      </c>
      <c r="V50" s="316">
        <f>'Reporte Componentes R1'!N585</f>
        <v>0</v>
      </c>
      <c r="W50" s="316">
        <f>'Reporte Componentes R1'!O585</f>
        <v>0</v>
      </c>
      <c r="X50" s="316">
        <f>'Reporte Componentes R1'!P585</f>
        <v>0</v>
      </c>
      <c r="Y50" s="316">
        <f>'Reporte Componentes R1'!Q585</f>
        <v>0</v>
      </c>
      <c r="Z50" s="319">
        <f>-L50</f>
        <v>0</v>
      </c>
      <c r="AA50" s="320">
        <f>'Reporte Componentes R1'!R585+'Reporte Componentes R1'!V585+'Reporte Componentes R1'!U585</f>
        <v>0</v>
      </c>
      <c r="AB50" s="294">
        <f>N50</f>
        <v>0</v>
      </c>
      <c r="AC50" s="320">
        <f>'Reporte Componentes R1'!T585+'Reporte Componentes R1'!W585+'Reporte Componentes R1'!X585+'Reporte Componentes R1'!Y585+'Reporte Componentes R1'!Z585+'Reporte Componentes R1'!S585</f>
        <v>0</v>
      </c>
      <c r="AD50" s="291">
        <f t="shared" si="16"/>
        <v>0</v>
      </c>
      <c r="AE50" s="291">
        <f>'Reporte Componentes R1'!F586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R1'!F697</f>
        <v>0</v>
      </c>
      <c r="E51" s="296">
        <f>'Reporte Componentes R1'!G697</f>
        <v>0</v>
      </c>
      <c r="F51" s="296">
        <f>'Reporte Componentes R1'!H697</f>
        <v>0</v>
      </c>
      <c r="G51" s="296">
        <f>'Reporte Componentes R1'!I697</f>
        <v>0</v>
      </c>
      <c r="H51" s="296">
        <f>'Reporte Componentes R1'!J697</f>
        <v>0</v>
      </c>
      <c r="I51" s="296">
        <f>'Reporte Componentes R1'!K697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R1'!L697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R1'!M697</f>
        <v>0</v>
      </c>
      <c r="V51" s="296">
        <f>'Reporte Componentes R1'!N697</f>
        <v>0</v>
      </c>
      <c r="W51" s="296">
        <f>'Reporte Componentes R1'!O697</f>
        <v>0</v>
      </c>
      <c r="X51" s="296">
        <f>'Reporte Componentes R1'!P697</f>
        <v>0</v>
      </c>
      <c r="Y51" s="289">
        <f>'Reporte Componentes R1'!Q697</f>
        <v>0</v>
      </c>
      <c r="Z51" s="319">
        <f>-L51</f>
        <v>0</v>
      </c>
      <c r="AA51" s="320">
        <f>'Reporte Componentes R1'!R697+'Reporte Componentes R1'!V697+'Reporte Componentes R1'!U697</f>
        <v>0</v>
      </c>
      <c r="AB51" s="294">
        <f>N51</f>
        <v>0</v>
      </c>
      <c r="AC51" s="320">
        <f>'Reporte Componentes R1'!T697+'Reporte Componentes R1'!W697+'Reporte Componentes R1'!X697+'Reporte Componentes R1'!Y697+'Reporte Componentes R1'!Z697+'Reporte Componentes R1'!S697</f>
        <v>0</v>
      </c>
      <c r="AD51" s="291">
        <f t="shared" si="16"/>
        <v>0</v>
      </c>
      <c r="AE51" s="291">
        <f>'Reporte Componentes R1'!F698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1">
        <f>'Reversion Pagos R4'!E183</f>
        <v>0</v>
      </c>
      <c r="F67" s="291">
        <f>'Reversion Pagos R4'!F183</f>
        <v>0</v>
      </c>
      <c r="G67" s="291">
        <f>'Reversion Pagos R4'!G183</f>
        <v>0</v>
      </c>
      <c r="H67" s="291">
        <f>'Reversion Pagos R4'!H183</f>
        <v>0</v>
      </c>
      <c r="I67" s="291">
        <f>'Reversion Pagos R4'!I183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6">
        <f>'Reversion Pagos R4'!K183</f>
        <v>0</v>
      </c>
      <c r="W67" s="316">
        <f>'Reversion Pagos R4'!L183</f>
        <v>0</v>
      </c>
      <c r="X67" s="316">
        <f>'Reversion Pagos R4'!M183</f>
        <v>0</v>
      </c>
      <c r="Y67" s="316">
        <f>'Reversion Pagos R4'!N183</f>
        <v>0</v>
      </c>
      <c r="Z67" s="319">
        <f t="shared" ref="Z67:Z70" si="25">-L67</f>
        <v>0</v>
      </c>
      <c r="AA67" s="320">
        <f>'Reversion Pagos R4'!O183</f>
        <v>0</v>
      </c>
      <c r="AB67" s="294">
        <f t="shared" ref="AB67:AB70" si="26">N67</f>
        <v>0</v>
      </c>
      <c r="AC67" s="320">
        <f>'Reversion Pagos R4'!Q183+'Reversion Pagos R4'!R183</f>
        <v>0</v>
      </c>
      <c r="AD67" s="291">
        <f t="shared" ref="AD67:AD70" si="27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1">
        <f>'Reversion Pagos R4'!E220</f>
        <v>0</v>
      </c>
      <c r="F68" s="291">
        <f>'Reversion Pagos R4'!F220</f>
        <v>0</v>
      </c>
      <c r="G68" s="291">
        <f>'Reversion Pagos R4'!G220</f>
        <v>0</v>
      </c>
      <c r="H68" s="291">
        <f>'Reversion Pagos R4'!H220</f>
        <v>0</v>
      </c>
      <c r="I68" s="291">
        <f>'Reversion Pagos R4'!I220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6">
        <f>'Reversion Pagos R4'!K220</f>
        <v>0</v>
      </c>
      <c r="W68" s="316">
        <f>'Reversion Pagos R4'!L220</f>
        <v>0</v>
      </c>
      <c r="X68" s="316">
        <f>'Reversion Pagos R4'!M220</f>
        <v>0</v>
      </c>
      <c r="Y68" s="316">
        <f>'Reversion Pagos R4'!N220</f>
        <v>0</v>
      </c>
      <c r="Z68" s="319">
        <f t="shared" si="25"/>
        <v>0</v>
      </c>
      <c r="AA68" s="320">
        <f>'Reversion Pagos R4'!O220</f>
        <v>0</v>
      </c>
      <c r="AB68" s="294">
        <f t="shared" si="26"/>
        <v>0</v>
      </c>
      <c r="AC68" s="320">
        <f>'Reversion Pagos R4'!Q220+'Reversion Pagos R4'!R220</f>
        <v>0</v>
      </c>
      <c r="AD68" s="291">
        <f t="shared" si="27"/>
        <v>0</v>
      </c>
      <c r="AE68" s="291">
        <f>'Reversion Pagos R4'!D221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0</v>
      </c>
      <c r="E69" s="291">
        <f>'Reversion Pagos R4'!E335</f>
        <v>0</v>
      </c>
      <c r="F69" s="291">
        <f>'Reversion Pagos R4'!F335</f>
        <v>0</v>
      </c>
      <c r="G69" s="291">
        <f>'Reversion Pagos R4'!G335</f>
        <v>0</v>
      </c>
      <c r="H69" s="291">
        <f>'Reversion Pagos R4'!H335</f>
        <v>0</v>
      </c>
      <c r="I69" s="291">
        <f>'Reversion Pagos R4'!I335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6">
        <f>'Reversion Pagos R4'!K335</f>
        <v>0</v>
      </c>
      <c r="W69" s="316">
        <f>'Reversion Pagos R4'!L335</f>
        <v>0</v>
      </c>
      <c r="X69" s="316">
        <f>'Reversion Pagos R4'!M335</f>
        <v>0</v>
      </c>
      <c r="Y69" s="316">
        <f>'Reversion Pagos R4'!N335</f>
        <v>0</v>
      </c>
      <c r="Z69" s="319">
        <f t="shared" si="25"/>
        <v>0</v>
      </c>
      <c r="AA69" s="320">
        <f>'Reversion Pagos R4'!O335</f>
        <v>0</v>
      </c>
      <c r="AB69" s="294">
        <f t="shared" si="26"/>
        <v>0</v>
      </c>
      <c r="AC69" s="320">
        <f>'Reversion Pagos R4'!Q335+'Reversion Pagos R4'!R335</f>
        <v>0</v>
      </c>
      <c r="AD69" s="291">
        <f t="shared" si="27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R4'!D370</f>
        <v>0</v>
      </c>
      <c r="E70" s="296">
        <f>'Reversion Pagos R4'!E370</f>
        <v>0</v>
      </c>
      <c r="F70" s="296">
        <f>'Reversion Pagos R4'!F370</f>
        <v>0</v>
      </c>
      <c r="G70" s="296">
        <f>'Reversion Pagos R4'!G370</f>
        <v>0</v>
      </c>
      <c r="H70" s="296">
        <f>'Reversion Pagos R4'!H370</f>
        <v>0</v>
      </c>
      <c r="I70" s="296">
        <f>'Reversion Pagos R4'!I370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6">
        <f>'Reversion Pagos R4'!K370</f>
        <v>0</v>
      </c>
      <c r="W70" s="296">
        <f>'Reversion Pagos R4'!L370</f>
        <v>0</v>
      </c>
      <c r="X70" s="296">
        <f>'Reversion Pagos R4'!M370</f>
        <v>0</v>
      </c>
      <c r="Y70" s="296">
        <f>'Reversion Pagos R4'!N370</f>
        <v>0</v>
      </c>
      <c r="Z70" s="319">
        <f t="shared" si="25"/>
        <v>0</v>
      </c>
      <c r="AA70" s="320">
        <f>'Reversion Pagos R4'!O370</f>
        <v>0</v>
      </c>
      <c r="AB70" s="294">
        <f t="shared" si="26"/>
        <v>0</v>
      </c>
      <c r="AC70" s="320">
        <f>'Reversion Pagos R4'!Q370+'Reversion Pagos R4'!R370</f>
        <v>0</v>
      </c>
      <c r="AD70" s="291">
        <f t="shared" si="27"/>
        <v>0</v>
      </c>
      <c r="AE70" s="291">
        <f>'Reversion Pagos R4'!D371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139510580</v>
      </c>
      <c r="E108" s="297">
        <f t="shared" si="40"/>
        <v>8666290.4399999995</v>
      </c>
      <c r="F108" s="297">
        <f t="shared" si="40"/>
        <v>4836297.78</v>
      </c>
      <c r="G108" s="297">
        <f t="shared" si="40"/>
        <v>2584164.52</v>
      </c>
      <c r="H108" s="297">
        <f t="shared" si="40"/>
        <v>38419843.039999999</v>
      </c>
      <c r="I108" s="297">
        <f t="shared" si="40"/>
        <v>1269098.3899999999</v>
      </c>
      <c r="J108" s="297">
        <f t="shared" si="40"/>
        <v>0</v>
      </c>
      <c r="K108" s="295">
        <f t="shared" si="42"/>
        <v>83734885.829999998</v>
      </c>
      <c r="L108" s="294">
        <f>L13+L32+L51+L70+L89</f>
        <v>0</v>
      </c>
      <c r="M108" s="298">
        <f>K108-L108</f>
        <v>83734885.829999998</v>
      </c>
      <c r="N108" s="299">
        <f>N13+N32+N51+N70+N89</f>
        <v>0</v>
      </c>
      <c r="O108" s="298">
        <f t="shared" si="43"/>
        <v>83734885.829999998</v>
      </c>
      <c r="Q108" s="306"/>
      <c r="S108" s="324">
        <v>5</v>
      </c>
      <c r="T108" s="325" t="s">
        <v>14</v>
      </c>
      <c r="U108" s="296">
        <f t="shared" si="41"/>
        <v>11146402.07</v>
      </c>
      <c r="V108" s="297">
        <f t="shared" si="41"/>
        <v>10565640.77</v>
      </c>
      <c r="W108" s="297">
        <f t="shared" si="41"/>
        <v>54685399.630000003</v>
      </c>
      <c r="X108" s="297">
        <f t="shared" si="41"/>
        <v>25943616.440000001</v>
      </c>
      <c r="Y108" s="289">
        <f t="shared" si="41"/>
        <v>2070340.36</v>
      </c>
      <c r="Z108" s="319">
        <f t="shared" si="41"/>
        <v>0</v>
      </c>
      <c r="AA108" s="320">
        <f t="shared" si="41"/>
        <v>-206.46</v>
      </c>
      <c r="AB108" s="294">
        <f t="shared" si="41"/>
        <v>0</v>
      </c>
      <c r="AC108" s="320">
        <f t="shared" si="41"/>
        <v>-0.01</v>
      </c>
      <c r="AD108" s="291">
        <f>-J108+AE108</f>
        <v>-20676306.969999999</v>
      </c>
      <c r="AE108" s="291">
        <f>AE13+AE32+AE51+AE70+AE89</f>
        <v>-20676306.969999999</v>
      </c>
      <c r="AF108" s="322">
        <f>SUM(U108:AD108)</f>
        <v>83734885.829999998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139510580</v>
      </c>
      <c r="E109" s="290">
        <f t="shared" si="46"/>
        <v>8666290.4399999995</v>
      </c>
      <c r="F109" s="290">
        <f t="shared" si="46"/>
        <v>4836297.78</v>
      </c>
      <c r="G109" s="290">
        <f t="shared" si="46"/>
        <v>2584164.52</v>
      </c>
      <c r="H109" s="290">
        <f t="shared" si="46"/>
        <v>38419843.039999999</v>
      </c>
      <c r="I109" s="290">
        <f t="shared" si="46"/>
        <v>1269098.3899999999</v>
      </c>
      <c r="J109" s="290">
        <f t="shared" si="46"/>
        <v>0</v>
      </c>
      <c r="K109" s="300">
        <f t="shared" si="46"/>
        <v>83734885.829999998</v>
      </c>
      <c r="L109" s="301">
        <f t="shared" si="46"/>
        <v>0</v>
      </c>
      <c r="M109" s="302">
        <f t="shared" si="46"/>
        <v>83734885.829999998</v>
      </c>
      <c r="N109" s="301">
        <f t="shared" si="46"/>
        <v>0</v>
      </c>
      <c r="O109" s="302">
        <f t="shared" si="46"/>
        <v>83734885.829999998</v>
      </c>
      <c r="P109" s="329"/>
      <c r="Q109" s="306"/>
      <c r="S109" s="327"/>
      <c r="T109" s="328" t="s">
        <v>2</v>
      </c>
      <c r="U109" s="330">
        <f>SUM(U104:U108)</f>
        <v>11146402.07</v>
      </c>
      <c r="V109" s="330">
        <f t="shared" ref="V109:AF109" si="47">SUM(V104:V108)</f>
        <v>10565640.77</v>
      </c>
      <c r="W109" s="330">
        <f t="shared" si="47"/>
        <v>54685399.630000003</v>
      </c>
      <c r="X109" s="330">
        <f t="shared" si="47"/>
        <v>25943616.440000001</v>
      </c>
      <c r="Y109" s="330">
        <f t="shared" si="47"/>
        <v>2070340.36</v>
      </c>
      <c r="Z109" s="290">
        <f t="shared" si="47"/>
        <v>0</v>
      </c>
      <c r="AA109" s="290">
        <f t="shared" si="47"/>
        <v>-206.46</v>
      </c>
      <c r="AB109" s="290">
        <f t="shared" si="47"/>
        <v>0</v>
      </c>
      <c r="AC109" s="290">
        <f t="shared" si="47"/>
        <v>-0.01</v>
      </c>
      <c r="AD109" s="290">
        <f t="shared" si="47"/>
        <v>-20676306.969999999</v>
      </c>
      <c r="AE109" s="290">
        <f>SUM(AE104:AE108)</f>
        <v>-20676306.969999999</v>
      </c>
      <c r="AF109" s="331">
        <f t="shared" si="47"/>
        <v>83734885.829999998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104411399.27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914180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914180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140424760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140424760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140424760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140424760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332031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332031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140424760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140424760</v>
      </c>
      <c r="I7" s="291">
        <f>REMUNERACION_ENERBIT!D108</f>
        <v>139510580</v>
      </c>
      <c r="J7" s="292">
        <f>REMUNERACION_ENERBIT!N108</f>
        <v>0</v>
      </c>
      <c r="K7" s="292">
        <f>REMUNERACION_ENERBIT!D129</f>
        <v>914180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140424760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140424760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140424760</v>
      </c>
      <c r="I9" s="290">
        <f t="shared" si="4"/>
        <v>139510580</v>
      </c>
      <c r="J9" s="290">
        <f t="shared" si="4"/>
        <v>0</v>
      </c>
      <c r="K9" s="290">
        <f t="shared" si="4"/>
        <v>914180</v>
      </c>
      <c r="L9" s="290">
        <f t="shared" si="4"/>
        <v>0</v>
      </c>
      <c r="M9" s="290">
        <f t="shared" si="4"/>
        <v>0</v>
      </c>
      <c r="N9" s="290">
        <f>SUM(N3:N8)</f>
        <v>140424760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140424760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33203125" style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46296</v>
      </c>
      <c r="J7" s="2" t="s">
        <v>28</v>
      </c>
      <c r="K7" s="9">
        <f>REMUNERACION_ENERBIT!K102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139510580</v>
      </c>
      <c r="E13" s="66">
        <f>REMUNERACION_ENERBIT!E108</f>
        <v>8666290.4399999995</v>
      </c>
      <c r="F13" s="66">
        <f>REMUNERACION_ENERBIT!F108</f>
        <v>4836297.78</v>
      </c>
      <c r="G13" s="66">
        <f>REMUNERACION_ENERBIT!G108</f>
        <v>2584164.52</v>
      </c>
      <c r="H13" s="66">
        <f>REMUNERACION_ENERBIT!H108</f>
        <v>38419843.039999999</v>
      </c>
      <c r="I13" s="66">
        <f>REMUNERACION_ENERBIT!I108</f>
        <v>1269098.3899999999</v>
      </c>
      <c r="J13" s="66">
        <f>REMUNERACION_ENERBIT!J108</f>
        <v>0</v>
      </c>
      <c r="K13" s="31">
        <f t="shared" si="0"/>
        <v>83734885.829999998</v>
      </c>
      <c r="L13" s="66">
        <f>REMUNERACION_ENERBIT!L108</f>
        <v>0</v>
      </c>
      <c r="M13" s="40">
        <f>K13-L13</f>
        <v>83734885.829999998</v>
      </c>
      <c r="N13" s="66">
        <f>REMUNERACION_ENERBIT!N108</f>
        <v>0</v>
      </c>
      <c r="O13" s="40">
        <f t="shared" si="1"/>
        <v>83734885.829999998</v>
      </c>
      <c r="Q13" s="4"/>
      <c r="S13" s="19">
        <v>5</v>
      </c>
      <c r="T13" s="63" t="s">
        <v>14</v>
      </c>
      <c r="U13" s="66">
        <f>REMUNERACION_ENERBIT!U108</f>
        <v>11146402.07</v>
      </c>
      <c r="V13" s="66">
        <f>REMUNERACION_ENERBIT!V108</f>
        <v>10565640.77</v>
      </c>
      <c r="W13" s="66">
        <f>REMUNERACION_ENERBIT!W108</f>
        <v>54685399.630000003</v>
      </c>
      <c r="X13" s="66">
        <f>REMUNERACION_ENERBIT!X108</f>
        <v>25943616.440000001</v>
      </c>
      <c r="Y13" s="66">
        <f>REMUNERACION_ENERBIT!Y108</f>
        <v>2070340.36</v>
      </c>
      <c r="Z13" s="66">
        <f>REMUNERACION_ENERBIT!Z108</f>
        <v>0</v>
      </c>
      <c r="AA13" s="66">
        <f>REMUNERACION_ENERBIT!AA108</f>
        <v>-206.46</v>
      </c>
      <c r="AB13" s="66">
        <f>REMUNERACION_ENERBIT!AB108</f>
        <v>0</v>
      </c>
      <c r="AC13" s="66">
        <f>REMUNERACION_ENERBIT!AC108</f>
        <v>-0.01</v>
      </c>
      <c r="AD13" s="66">
        <f>REMUNERACION_ENERBIT!AD108</f>
        <v>-20676306.969999999</v>
      </c>
      <c r="AE13" s="66">
        <f>REMUNERACION_ENERBIT!AE108</f>
        <v>-20676306.969999999</v>
      </c>
      <c r="AF13" s="70">
        <f>SUM(U13:AD13)</f>
        <v>83734885.829999998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139510580</v>
      </c>
      <c r="E14" s="43">
        <f t="shared" si="3"/>
        <v>8666290.4399999995</v>
      </c>
      <c r="F14" s="43">
        <f t="shared" si="3"/>
        <v>4836297.78</v>
      </c>
      <c r="G14" s="43">
        <f t="shared" si="3"/>
        <v>2584164.52</v>
      </c>
      <c r="H14" s="43">
        <f t="shared" si="3"/>
        <v>38419843.039999999</v>
      </c>
      <c r="I14" s="43">
        <f t="shared" si="3"/>
        <v>1269098.3899999999</v>
      </c>
      <c r="J14" s="43">
        <f t="shared" si="3"/>
        <v>0</v>
      </c>
      <c r="K14" s="32">
        <f t="shared" si="3"/>
        <v>83734885.829999998</v>
      </c>
      <c r="L14" s="23">
        <f t="shared" si="3"/>
        <v>0</v>
      </c>
      <c r="M14" s="76">
        <f t="shared" si="3"/>
        <v>83734885.829999998</v>
      </c>
      <c r="N14" s="23">
        <f t="shared" si="3"/>
        <v>0</v>
      </c>
      <c r="O14" s="76">
        <f t="shared" si="3"/>
        <v>83734885.829999998</v>
      </c>
      <c r="P14" s="2"/>
      <c r="Q14" s="4"/>
      <c r="S14" s="21"/>
      <c r="T14" s="22" t="s">
        <v>2</v>
      </c>
      <c r="U14" s="43">
        <f>SUM(U9:U13)</f>
        <v>11146402.07</v>
      </c>
      <c r="V14" s="43">
        <f t="shared" ref="V14:AG14" si="4">SUM(V9:V13)</f>
        <v>10565640.77</v>
      </c>
      <c r="W14" s="43">
        <f t="shared" si="4"/>
        <v>54685399.630000003</v>
      </c>
      <c r="X14" s="43">
        <f t="shared" si="4"/>
        <v>25943616.440000001</v>
      </c>
      <c r="Y14" s="43">
        <f t="shared" si="4"/>
        <v>2070340.36</v>
      </c>
      <c r="Z14" s="43">
        <f t="shared" si="4"/>
        <v>0</v>
      </c>
      <c r="AA14" s="43">
        <f t="shared" si="4"/>
        <v>-206.46</v>
      </c>
      <c r="AB14" s="43">
        <f t="shared" si="4"/>
        <v>0</v>
      </c>
      <c r="AC14" s="43">
        <f t="shared" si="4"/>
        <v>-0.01</v>
      </c>
      <c r="AD14" s="43">
        <f t="shared" si="4"/>
        <v>-20676306.969999999</v>
      </c>
      <c r="AE14" s="43">
        <f>SUM(AE9:AE13)</f>
        <v>-20676306.969999999</v>
      </c>
      <c r="AF14" s="68">
        <f t="shared" si="4"/>
        <v>83734885.829999998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46296</v>
      </c>
      <c r="J27" s="2" t="s">
        <v>28</v>
      </c>
      <c r="K27" s="9">
        <f>REMUNERACION_ENERBIT!K122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914180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914180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36" width="13.88671875" style="1" bestFit="1" customWidth="1"/>
    <col min="37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R1'!F95</f>
        <v>343622283.84999996</v>
      </c>
      <c r="E9" s="292">
        <f>'Reporte Componentes R1'!G95</f>
        <v>33575652.270000003</v>
      </c>
      <c r="F9" s="292">
        <f>'Reporte Componentes R1'!H95</f>
        <v>18677541.399999999</v>
      </c>
      <c r="G9" s="292">
        <f>'Reporte Componentes R1'!I95</f>
        <v>9986351.4199999999</v>
      </c>
      <c r="H9" s="292">
        <f>'Reporte Componentes R1'!J95</f>
        <v>39089724.609999999</v>
      </c>
      <c r="I9" s="292">
        <f>'Reporte Componentes R1'!K95</f>
        <v>1161132.96</v>
      </c>
      <c r="J9" s="288">
        <v>0</v>
      </c>
      <c r="K9" s="293">
        <f>D9-E9-F9-G9-H9-I9-J9</f>
        <v>241131881.18999997</v>
      </c>
      <c r="L9" s="294">
        <v>0</v>
      </c>
      <c r="M9" s="293">
        <f>K9-L9</f>
        <v>241131881.18999997</v>
      </c>
      <c r="N9" s="294">
        <f>'Reporte Componentes R1'!L95</f>
        <v>9993768.9299999997</v>
      </c>
      <c r="O9" s="293">
        <f>M9+N9</f>
        <v>251125650.11999997</v>
      </c>
      <c r="Q9" s="306"/>
      <c r="S9" s="303">
        <v>1</v>
      </c>
      <c r="T9" s="304" t="s">
        <v>10</v>
      </c>
      <c r="U9" s="307">
        <f>'Reporte Componentes R1'!M95</f>
        <v>10145988.310000001</v>
      </c>
      <c r="V9" s="308">
        <f>'Reporte Componentes R1'!N95</f>
        <v>12931732.52</v>
      </c>
      <c r="W9" s="308">
        <f>'Reporte Componentes R1'!O95</f>
        <v>61145164.829999998</v>
      </c>
      <c r="X9" s="308">
        <f>'Reporte Componentes R1'!P95</f>
        <v>91644421.670000002</v>
      </c>
      <c r="Y9" s="309">
        <f>'Reporte Componentes R1'!Q95</f>
        <v>1896218.09</v>
      </c>
      <c r="Z9" s="310">
        <f>L9*-1</f>
        <v>0</v>
      </c>
      <c r="AA9" s="311">
        <f>'Reporte Componentes R1'!R95+'Reporte Componentes R1'!V95+'Reporte Componentes R1'!U95</f>
        <v>-3576.32</v>
      </c>
      <c r="AB9" s="294">
        <f>N9</f>
        <v>9993768.9299999997</v>
      </c>
      <c r="AC9" s="311">
        <f>'Reporte Componentes R1'!T95+'Reporte Componentes R1'!W95+'Reporte Componentes R1'!X95+'Reporte Componentes R1'!Y95+'Reporte Componentes R1'!Z95+'Reporte Componentes R1'!S95</f>
        <v>0.09</v>
      </c>
      <c r="AD9" s="291">
        <f>-J9+AE9</f>
        <v>63371932</v>
      </c>
      <c r="AE9" s="291">
        <f>'Reporte Componentes R1'!F96</f>
        <v>63371932</v>
      </c>
      <c r="AF9" s="313">
        <f>SUM(U9:AD9)</f>
        <v>251125650.12</v>
      </c>
      <c r="AG9" s="311">
        <f>(AF9-O9)</f>
        <v>2.9802322387695313E-8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R1'!F274</f>
        <v>938887942.42999995</v>
      </c>
      <c r="E10" s="292">
        <f>'Reporte Componentes R1'!G274</f>
        <v>112235893.08000001</v>
      </c>
      <c r="F10" s="292">
        <f>'Reporte Componentes R1'!H274</f>
        <v>61923523.419999994</v>
      </c>
      <c r="G10" s="292">
        <f>'Reporte Componentes R1'!I274</f>
        <v>32710708.530000001</v>
      </c>
      <c r="H10" s="292">
        <f>'Reporte Componentes R1'!J274</f>
        <v>115849534.41</v>
      </c>
      <c r="I10" s="292">
        <f>'Reporte Componentes R1'!K274</f>
        <v>3009246.5900000003</v>
      </c>
      <c r="J10" s="288">
        <v>0</v>
      </c>
      <c r="K10" s="295">
        <f t="shared" ref="K10:K13" si="0">D10-E10-F10-G10-H10-I10-J10</f>
        <v>613159036.39999998</v>
      </c>
      <c r="L10" s="294">
        <v>0</v>
      </c>
      <c r="M10" s="295">
        <f>K10-L10</f>
        <v>613159036.39999998</v>
      </c>
      <c r="N10" s="294">
        <f>'Reporte Componentes R1'!L274</f>
        <v>3112272.6</v>
      </c>
      <c r="O10" s="295">
        <f t="shared" ref="O10:O12" si="1">M10+N10</f>
        <v>616271309</v>
      </c>
      <c r="Q10" s="306"/>
      <c r="S10" s="314">
        <v>2</v>
      </c>
      <c r="T10" s="315" t="s">
        <v>11</v>
      </c>
      <c r="U10" s="316">
        <f>'Reporte Componentes R1'!M274</f>
        <v>27095534.309999999</v>
      </c>
      <c r="V10" s="317">
        <f>'Reporte Componentes R1'!N274</f>
        <v>36403592.039999999</v>
      </c>
      <c r="W10" s="317">
        <f>'Reporte Componentes R1'!O274</f>
        <v>171364252.19999999</v>
      </c>
      <c r="X10" s="317">
        <f>'Reporte Componentes R1'!P274</f>
        <v>222821524.41</v>
      </c>
      <c r="Y10" s="318">
        <f>'Reporte Componentes R1'!Q274</f>
        <v>4929952.6100000003</v>
      </c>
      <c r="Z10" s="319">
        <f>L10*-1</f>
        <v>0</v>
      </c>
      <c r="AA10" s="320">
        <f>'Reporte Componentes R1'!R274+'Reporte Componentes R1'!V274+'Reporte Componentes R1'!U274</f>
        <v>-946.54</v>
      </c>
      <c r="AB10" s="294">
        <f>N10</f>
        <v>3112272.6</v>
      </c>
      <c r="AC10" s="320">
        <f>'Reporte Componentes R1'!T274+'Reporte Componentes R1'!W274+'Reporte Componentes R1'!X274+'Reporte Componentes R1'!Y274+'Reporte Componentes R1'!Z274+'Reporte Componentes R1'!S274</f>
        <v>-56258.879999999997</v>
      </c>
      <c r="AD10" s="291">
        <f t="shared" ref="AD10:AD13" si="2">-J10+AE10</f>
        <v>150601386.25</v>
      </c>
      <c r="AE10" s="291">
        <f>'Reporte Componentes R1'!F275</f>
        <v>150601386.25</v>
      </c>
      <c r="AF10" s="322">
        <f>SUM(U10:AD10)</f>
        <v>616271309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R1'!F435</f>
        <v>427389334.19</v>
      </c>
      <c r="E11" s="292">
        <f>'Reporte Componentes R1'!G435</f>
        <v>49563321.700000003</v>
      </c>
      <c r="F11" s="292">
        <f>'Reporte Componentes R1'!H435</f>
        <v>27986809.16</v>
      </c>
      <c r="G11" s="292">
        <f>'Reporte Componentes R1'!I435</f>
        <v>14662575.93</v>
      </c>
      <c r="H11" s="292">
        <f>'Reporte Componentes R1'!J435</f>
        <v>22403066.969999999</v>
      </c>
      <c r="I11" s="292">
        <f>'Reporte Componentes R1'!K435</f>
        <v>650470.14</v>
      </c>
      <c r="J11" s="288">
        <v>0</v>
      </c>
      <c r="K11" s="295">
        <f t="shared" si="0"/>
        <v>312123090.28999996</v>
      </c>
      <c r="L11" s="294">
        <v>0</v>
      </c>
      <c r="M11" s="295">
        <f>K11-L11</f>
        <v>312123090.28999996</v>
      </c>
      <c r="N11" s="294">
        <f>'Reporte Componentes R1'!L435</f>
        <v>4811611.8099999996</v>
      </c>
      <c r="O11" s="295">
        <f t="shared" si="1"/>
        <v>316934702.09999996</v>
      </c>
      <c r="Q11" s="306"/>
      <c r="S11" s="314">
        <v>3</v>
      </c>
      <c r="T11" s="315" t="s">
        <v>12</v>
      </c>
      <c r="U11" s="316">
        <f>'Reporte Componentes R1'!M435</f>
        <v>5717940.3899999997</v>
      </c>
      <c r="V11" s="317">
        <f>'Reporte Componentes R1'!N435</f>
        <v>7429546.7400000002</v>
      </c>
      <c r="W11" s="317">
        <f>'Reporte Componentes R1'!O435</f>
        <v>35091268.950000003</v>
      </c>
      <c r="X11" s="317">
        <f>'Reporte Componentes R1'!P435</f>
        <v>117367146.56</v>
      </c>
      <c r="Y11" s="318">
        <f>'Reporte Componentes R1'!Q435</f>
        <v>1068975.6200000001</v>
      </c>
      <c r="Z11" s="319">
        <f>L11*-1</f>
        <v>0</v>
      </c>
      <c r="AA11" s="320">
        <f>'Reporte Componentes R1'!R435+'Reporte Componentes R1'!V435+'Reporte Componentes R1'!U435</f>
        <v>794.57</v>
      </c>
      <c r="AB11" s="294">
        <f>N11</f>
        <v>4811611.8099999996</v>
      </c>
      <c r="AC11" s="320">
        <f>'Reporte Componentes R1'!T435+'Reporte Componentes R1'!W435+'Reporte Componentes R1'!X435+'Reporte Componentes R1'!Y435+'Reporte Componentes R1'!Z435+'Reporte Componentes R1'!S435</f>
        <v>-41621.01</v>
      </c>
      <c r="AD11" s="291">
        <f t="shared" si="2"/>
        <v>145489038.47</v>
      </c>
      <c r="AE11" s="291">
        <f>'Reporte Componentes R1'!F436</f>
        <v>145489038.47</v>
      </c>
      <c r="AF11" s="322">
        <f t="shared" ref="AF11:AF13" si="4">SUM(U11:AD11)</f>
        <v>316934702.10000002</v>
      </c>
      <c r="AG11" s="323">
        <f>(AF11-O11)</f>
        <v>5.9604644775390625E-8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R1'!F588</f>
        <v>591576272.25</v>
      </c>
      <c r="E12" s="292">
        <f>'Reporte Componentes R1'!G588</f>
        <v>51968608.700000003</v>
      </c>
      <c r="F12" s="292">
        <f>'Reporte Componentes R1'!H588</f>
        <v>28536202.579999998</v>
      </c>
      <c r="G12" s="292">
        <f>'Reporte Componentes R1'!I588</f>
        <v>15601614.379999999</v>
      </c>
      <c r="H12" s="292">
        <f>'Reporte Componentes R1'!J588</f>
        <v>63842506.890000001</v>
      </c>
      <c r="I12" s="292">
        <f>'Reporte Componentes R1'!K588</f>
        <v>1834230.87</v>
      </c>
      <c r="J12" s="288">
        <v>0</v>
      </c>
      <c r="K12" s="295">
        <f t="shared" si="0"/>
        <v>429793108.82999998</v>
      </c>
      <c r="L12" s="294">
        <v>0</v>
      </c>
      <c r="M12" s="295">
        <f>K12-L12</f>
        <v>429793108.82999998</v>
      </c>
      <c r="N12" s="294">
        <f>'Reporte Componentes R1'!L588</f>
        <v>670762.75</v>
      </c>
      <c r="O12" s="295">
        <f t="shared" si="1"/>
        <v>430463871.57999998</v>
      </c>
      <c r="Q12" s="306"/>
      <c r="S12" s="314">
        <v>4</v>
      </c>
      <c r="T12" s="315" t="s">
        <v>13</v>
      </c>
      <c r="U12" s="316">
        <f>'Reporte Componentes R1'!M588</f>
        <v>15938453.139999999</v>
      </c>
      <c r="V12" s="317">
        <f>'Reporte Componentes R1'!N588</f>
        <v>20773252.469999999</v>
      </c>
      <c r="W12" s="317">
        <f>'Reporte Componentes R1'!O588</f>
        <v>105437282.53999999</v>
      </c>
      <c r="X12" s="317">
        <f>'Reporte Componentes R1'!P588</f>
        <v>137627703.06</v>
      </c>
      <c r="Y12" s="318">
        <f>'Reporte Componentes R1'!Q588</f>
        <v>3013452.85</v>
      </c>
      <c r="Z12" s="319">
        <f>L12*-1</f>
        <v>0</v>
      </c>
      <c r="AA12" s="320">
        <f>'Reporte Componentes R1'!R588+'Reporte Componentes R1'!V588+'Reporte Componentes R1'!U588</f>
        <v>320.17</v>
      </c>
      <c r="AB12" s="294">
        <f>N12</f>
        <v>670762.75</v>
      </c>
      <c r="AC12" s="320">
        <f>'Reporte Componentes R1'!T588+'Reporte Componentes R1'!W588+'Reporte Componentes R1'!X588+'Reporte Componentes R1'!Y588+'Reporte Componentes R1'!Z588+'Reporte Componentes R1'!S588</f>
        <v>0.19999999999999998</v>
      </c>
      <c r="AD12" s="291">
        <f t="shared" si="2"/>
        <v>147002644.40000001</v>
      </c>
      <c r="AE12" s="291">
        <f>'Reporte Componentes R1'!F589</f>
        <v>147002644.40000001</v>
      </c>
      <c r="AF12" s="322">
        <f t="shared" si="4"/>
        <v>430463871.58000004</v>
      </c>
      <c r="AG12" s="323">
        <f>(AF12-O12)</f>
        <v>5.9604644775390625E-8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R1'!F700</f>
        <v>171565271.81</v>
      </c>
      <c r="E13" s="297">
        <f>'Reporte Componentes R1'!G700</f>
        <v>16252936.57</v>
      </c>
      <c r="F13" s="297">
        <f>'Reporte Componentes R1'!H700</f>
        <v>8882611.3300000001</v>
      </c>
      <c r="G13" s="297">
        <f>'Reporte Componentes R1'!I700</f>
        <v>4769708.84</v>
      </c>
      <c r="H13" s="297">
        <f>'Reporte Componentes R1'!J700</f>
        <v>12689130.529999999</v>
      </c>
      <c r="I13" s="297">
        <f>'Reporte Componentes R1'!K700</f>
        <v>523491.14</v>
      </c>
      <c r="J13" s="289">
        <v>0</v>
      </c>
      <c r="K13" s="295">
        <f t="shared" si="0"/>
        <v>128447393.39999999</v>
      </c>
      <c r="L13" s="294">
        <v>0</v>
      </c>
      <c r="M13" s="298">
        <f>K13-L13</f>
        <v>128447393.39999999</v>
      </c>
      <c r="N13" s="299">
        <f>'Reporte Componentes R1'!L700</f>
        <v>1908241.19</v>
      </c>
      <c r="O13" s="298">
        <f>M13+N13</f>
        <v>130355634.58999999</v>
      </c>
      <c r="Q13" s="306"/>
      <c r="S13" s="324">
        <v>5</v>
      </c>
      <c r="T13" s="325" t="s">
        <v>14</v>
      </c>
      <c r="U13" s="296">
        <f>'Reporte Componentes R1'!M700</f>
        <v>4671973.0999999996</v>
      </c>
      <c r="V13" s="297">
        <f>'Reporte Componentes R1'!N700</f>
        <v>5604579.4400000004</v>
      </c>
      <c r="W13" s="297">
        <f>'Reporte Componentes R1'!O700</f>
        <v>30069445.420000002</v>
      </c>
      <c r="X13" s="297">
        <f>'Reporte Componentes R1'!P700</f>
        <v>48380758.240000002</v>
      </c>
      <c r="Y13" s="289">
        <f>'Reporte Componentes R1'!Q700</f>
        <v>859953.88</v>
      </c>
      <c r="Z13" s="319">
        <f>L13*-1</f>
        <v>0</v>
      </c>
      <c r="AA13" s="320">
        <f>'Reporte Componentes R1'!R700+'Reporte Componentes R1'!V700+'Reporte Componentes R1'!U700</f>
        <v>-712.59</v>
      </c>
      <c r="AB13" s="294">
        <f>N13</f>
        <v>1908241.19</v>
      </c>
      <c r="AC13" s="320">
        <f>'Reporte Componentes R1'!T700+'Reporte Componentes R1'!W700+'Reporte Componentes R1'!X700+'Reporte Componentes R1'!Y700+'Reporte Componentes R1'!Z700+'Reporte Componentes R1'!S700</f>
        <v>4.9999999999999996E-2</v>
      </c>
      <c r="AD13" s="291">
        <f t="shared" si="2"/>
        <v>38861395.859999999</v>
      </c>
      <c r="AE13" s="291">
        <f>'Reporte Componentes R1'!F701</f>
        <v>38861395.859999999</v>
      </c>
      <c r="AF13" s="322">
        <f t="shared" si="4"/>
        <v>130355634.58999999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2473041104.5300002</v>
      </c>
      <c r="E14" s="290">
        <f t="shared" ref="E14:O14" si="5">SUM(E9:E13)</f>
        <v>263596412.31999999</v>
      </c>
      <c r="F14" s="290">
        <f t="shared" si="5"/>
        <v>146006687.89000002</v>
      </c>
      <c r="G14" s="290">
        <f t="shared" si="5"/>
        <v>77730959.100000009</v>
      </c>
      <c r="H14" s="290">
        <f t="shared" si="5"/>
        <v>253873963.41</v>
      </c>
      <c r="I14" s="290">
        <f t="shared" si="5"/>
        <v>7178571.7000000002</v>
      </c>
      <c r="J14" s="290">
        <f t="shared" si="5"/>
        <v>0</v>
      </c>
      <c r="K14" s="300">
        <f t="shared" si="5"/>
        <v>1724654510.1099999</v>
      </c>
      <c r="L14" s="301">
        <f>SUM(L9:L13)</f>
        <v>0</v>
      </c>
      <c r="M14" s="302">
        <f t="shared" si="5"/>
        <v>1724654510.1099999</v>
      </c>
      <c r="N14" s="301">
        <f t="shared" si="5"/>
        <v>20496657.280000001</v>
      </c>
      <c r="O14" s="302">
        <f t="shared" si="5"/>
        <v>1745151167.3899999</v>
      </c>
      <c r="P14" s="329"/>
      <c r="Q14" s="306"/>
      <c r="S14" s="327"/>
      <c r="T14" s="328" t="s">
        <v>2</v>
      </c>
      <c r="U14" s="330">
        <f>SUM(U9:U13)</f>
        <v>63569889.25</v>
      </c>
      <c r="V14" s="330">
        <f t="shared" ref="V14:AF14" si="6">SUM(V9:V13)</f>
        <v>83142703.210000008</v>
      </c>
      <c r="W14" s="330">
        <f t="shared" si="6"/>
        <v>403107413.94</v>
      </c>
      <c r="X14" s="330">
        <f t="shared" si="6"/>
        <v>617841553.94000006</v>
      </c>
      <c r="Y14" s="330">
        <f t="shared" si="6"/>
        <v>11768553.050000001</v>
      </c>
      <c r="Z14" s="290">
        <f t="shared" si="6"/>
        <v>0</v>
      </c>
      <c r="AA14" s="290">
        <f t="shared" si="6"/>
        <v>-4120.71</v>
      </c>
      <c r="AB14" s="290">
        <f t="shared" si="6"/>
        <v>20496657.280000001</v>
      </c>
      <c r="AC14" s="290">
        <f t="shared" si="6"/>
        <v>-97879.55</v>
      </c>
      <c r="AD14" s="290">
        <f>SUM(AD9:AD13)</f>
        <v>545326396.98000002</v>
      </c>
      <c r="AE14" s="290">
        <f>SUM(AE9:AE13)</f>
        <v>545326396.98000002</v>
      </c>
      <c r="AF14" s="331">
        <f t="shared" si="6"/>
        <v>1745151167.3900001</v>
      </c>
      <c r="AG14" s="332">
        <f>SUM(AG9:AG13)</f>
        <v>1.4901161193847656E-7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1179430113.3900001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R2'!E59</f>
        <v>3856721.63</v>
      </c>
      <c r="E28" s="292">
        <f>'Rem. Anticipos R2'!F59</f>
        <v>0</v>
      </c>
      <c r="F28" s="292">
        <f>'Rem. Anticipos R2'!G59</f>
        <v>0</v>
      </c>
      <c r="G28" s="292">
        <f>'Rem. Anticipos R2'!H59</f>
        <v>0</v>
      </c>
      <c r="H28" s="292">
        <f>'Rem. Anticipos R2'!I59</f>
        <v>0</v>
      </c>
      <c r="I28" s="292">
        <f>'Rem. Anticipos R2'!J59</f>
        <v>0</v>
      </c>
      <c r="J28" s="288">
        <v>0</v>
      </c>
      <c r="K28" s="293">
        <f>D28-E28-F28-G28-H28-I28-J28</f>
        <v>3856721.63</v>
      </c>
      <c r="L28" s="294">
        <v>0</v>
      </c>
      <c r="M28" s="293">
        <f>K28-L28</f>
        <v>3856721.63</v>
      </c>
      <c r="N28" s="294">
        <f>'Rem. Anticipos R2'!K59</f>
        <v>0</v>
      </c>
      <c r="O28" s="293">
        <f>M28+N28</f>
        <v>3856721.63</v>
      </c>
      <c r="Q28" s="306"/>
      <c r="S28" s="303">
        <v>1</v>
      </c>
      <c r="T28" s="304" t="s">
        <v>10</v>
      </c>
      <c r="U28" s="307">
        <f>'Rem. Anticipos R2'!L59</f>
        <v>0</v>
      </c>
      <c r="V28" s="308">
        <f>'Rem. Anticipos R2'!M59</f>
        <v>0</v>
      </c>
      <c r="W28" s="308">
        <f>'Rem. Anticipos R2'!N59</f>
        <v>0</v>
      </c>
      <c r="X28" s="308">
        <f>'Rem. Anticipos R2'!O59</f>
        <v>0</v>
      </c>
      <c r="Y28" s="308">
        <f>'Rem. Anticipos R2'!P59</f>
        <v>0</v>
      </c>
      <c r="Z28" s="310">
        <f>L28*-1</f>
        <v>0</v>
      </c>
      <c r="AA28" s="311">
        <f>'Rem. Anticipos R2'!Q59</f>
        <v>0</v>
      </c>
      <c r="AB28" s="294">
        <f>N28</f>
        <v>0</v>
      </c>
      <c r="AC28" s="311">
        <f>'Rem. Anticipos R2'!R59</f>
        <v>0</v>
      </c>
      <c r="AD28" s="291">
        <f>-J28+AE28</f>
        <v>861197.98</v>
      </c>
      <c r="AE28" s="291">
        <f>'Rem. Anticipos R2'!E60</f>
        <v>861197.98</v>
      </c>
      <c r="AF28" s="313">
        <f>SUM(U28:AD28)</f>
        <v>861197.98</v>
      </c>
      <c r="AG28" s="311">
        <f>(AF28-O28)</f>
        <v>-2995523.65</v>
      </c>
      <c r="AH28" s="1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R2'!E167</f>
        <v>44529691.310000002</v>
      </c>
      <c r="E29" s="292">
        <f>'Rem. Anticipos R2'!F167</f>
        <v>0</v>
      </c>
      <c r="F29" s="292">
        <f>'Rem. Anticipos R2'!G167</f>
        <v>0</v>
      </c>
      <c r="G29" s="292">
        <f>'Rem. Anticipos R2'!H167</f>
        <v>0</v>
      </c>
      <c r="H29" s="292">
        <f>'Rem. Anticipos R2'!I167</f>
        <v>0</v>
      </c>
      <c r="I29" s="292">
        <f>'Rem. Anticipos R2'!J167</f>
        <v>0</v>
      </c>
      <c r="J29" s="288">
        <v>0</v>
      </c>
      <c r="K29" s="295">
        <f t="shared" ref="K29:K31" si="7">D29-E29-F29-G29-H29-I29-J29</f>
        <v>44529691.310000002</v>
      </c>
      <c r="L29" s="294">
        <v>0</v>
      </c>
      <c r="M29" s="295">
        <f>K29-L29</f>
        <v>44529691.310000002</v>
      </c>
      <c r="N29" s="294">
        <f>'Rem. Anticipos R2'!K167</f>
        <v>0</v>
      </c>
      <c r="O29" s="295">
        <f t="shared" ref="O29:O32" si="8">M29+N29</f>
        <v>44529691.310000002</v>
      </c>
      <c r="Q29" s="306"/>
      <c r="S29" s="314">
        <v>2</v>
      </c>
      <c r="T29" s="315" t="s">
        <v>11</v>
      </c>
      <c r="U29" s="316">
        <f>'Rem. Anticipos R2'!L167</f>
        <v>0</v>
      </c>
      <c r="V29" s="317">
        <f>'Rem. Anticipos R2'!M167</f>
        <v>0</v>
      </c>
      <c r="W29" s="317">
        <f>'Rem. Anticipos R2'!N167</f>
        <v>0</v>
      </c>
      <c r="X29" s="317">
        <f>'Rem. Anticipos R2'!O167</f>
        <v>0</v>
      </c>
      <c r="Y29" s="318">
        <f>'Rem. Anticipos R2'!P167</f>
        <v>0</v>
      </c>
      <c r="Z29" s="319">
        <f>L29*-1</f>
        <v>0</v>
      </c>
      <c r="AA29" s="320">
        <f>'Rem. Anticipos R2'!Q167</f>
        <v>0</v>
      </c>
      <c r="AB29" s="294">
        <f>N29</f>
        <v>0</v>
      </c>
      <c r="AC29" s="320">
        <f>'Rem. Anticipos R2'!R167</f>
        <v>0</v>
      </c>
      <c r="AD29" s="291">
        <f>-J29+AE29</f>
        <v>2827527.77</v>
      </c>
      <c r="AE29" s="291">
        <f>'Rem. Anticipos R2'!E168</f>
        <v>2827527.77</v>
      </c>
      <c r="AF29" s="322">
        <f>SUM(U29:AD29)</f>
        <v>2827527.77</v>
      </c>
      <c r="AG29" s="323">
        <f>(AF29-O29)</f>
        <v>-41702163.539999999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R2'!E285</f>
        <v>2205351.2800000003</v>
      </c>
      <c r="E30" s="292">
        <f>'Rem. Anticipos R2'!F285</f>
        <v>0</v>
      </c>
      <c r="F30" s="292">
        <f>'Rem. Anticipos R2'!G285</f>
        <v>0</v>
      </c>
      <c r="G30" s="292">
        <f>'Rem. Anticipos R2'!H285</f>
        <v>0</v>
      </c>
      <c r="H30" s="292">
        <f>'Rem. Anticipos R2'!I285</f>
        <v>0</v>
      </c>
      <c r="I30" s="292">
        <f>'Rem. Anticipos R2'!J285</f>
        <v>0</v>
      </c>
      <c r="J30" s="288">
        <v>0</v>
      </c>
      <c r="K30" s="295">
        <f t="shared" si="7"/>
        <v>2205351.2800000003</v>
      </c>
      <c r="L30" s="294">
        <v>0</v>
      </c>
      <c r="M30" s="295">
        <f>K30-L30</f>
        <v>2205351.2800000003</v>
      </c>
      <c r="N30" s="294">
        <f>'Rem. Anticipos R2'!K285</f>
        <v>0</v>
      </c>
      <c r="O30" s="295">
        <f t="shared" si="8"/>
        <v>2205351.2800000003</v>
      </c>
      <c r="Q30" s="306"/>
      <c r="S30" s="314">
        <v>3</v>
      </c>
      <c r="T30" s="315" t="s">
        <v>12</v>
      </c>
      <c r="U30" s="316">
        <f>'Rem. Anticipos R2'!L285</f>
        <v>0</v>
      </c>
      <c r="V30" s="317">
        <f>'Rem. Anticipos R2'!M285</f>
        <v>0</v>
      </c>
      <c r="W30" s="317">
        <f>'Rem. Anticipos R2'!N285</f>
        <v>0</v>
      </c>
      <c r="X30" s="317">
        <f>'Rem. Anticipos R2'!O285</f>
        <v>0</v>
      </c>
      <c r="Y30" s="318">
        <f>'Rem. Anticipos R2'!P285</f>
        <v>0</v>
      </c>
      <c r="Z30" s="319">
        <f>L30*-1</f>
        <v>0</v>
      </c>
      <c r="AA30" s="320">
        <f>'Rem. Anticipos R2'!Q285</f>
        <v>0</v>
      </c>
      <c r="AB30" s="294">
        <f>N30</f>
        <v>0</v>
      </c>
      <c r="AC30" s="320">
        <f>'Rem. Anticipos R2'!R285</f>
        <v>0</v>
      </c>
      <c r="AD30" s="291">
        <f t="shared" ref="AD30:AD32" si="10">-J30+AE30</f>
        <v>565581.06000000006</v>
      </c>
      <c r="AE30" s="291">
        <f>'Rem. Anticipos R2'!E286</f>
        <v>565581.06000000006</v>
      </c>
      <c r="AF30" s="322">
        <f>SUM(U30:AD30)</f>
        <v>565581.06000000006</v>
      </c>
      <c r="AG30" s="323">
        <f t="shared" ref="AG30:AG31" si="11">(AF30-O30)</f>
        <v>-1639770.2200000002</v>
      </c>
      <c r="AH30" s="1" t="b">
        <f t="shared" si="9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R2'!E396</f>
        <v>3374812.45</v>
      </c>
      <c r="E31" s="292">
        <f>'Rem. Anticipos R2'!F396</f>
        <v>0</v>
      </c>
      <c r="F31" s="292">
        <f>'Rem. Anticipos R2'!G396</f>
        <v>0</v>
      </c>
      <c r="G31" s="292">
        <f>'Rem. Anticipos R2'!H396</f>
        <v>0</v>
      </c>
      <c r="H31" s="292">
        <f>'Rem. Anticipos R2'!I396</f>
        <v>0</v>
      </c>
      <c r="I31" s="292">
        <f>'Rem. Anticipos R2'!J396</f>
        <v>0</v>
      </c>
      <c r="J31" s="288">
        <v>0</v>
      </c>
      <c r="K31" s="295">
        <f t="shared" si="7"/>
        <v>3374812.45</v>
      </c>
      <c r="L31" s="294">
        <v>0</v>
      </c>
      <c r="M31" s="295">
        <f>K31-L31</f>
        <v>3374812.45</v>
      </c>
      <c r="N31" s="294">
        <f>'Rem. Anticipos R2'!K396</f>
        <v>0</v>
      </c>
      <c r="O31" s="295">
        <f t="shared" si="8"/>
        <v>3374812.45</v>
      </c>
      <c r="Q31" s="306"/>
      <c r="S31" s="314">
        <v>4</v>
      </c>
      <c r="T31" s="315" t="s">
        <v>13</v>
      </c>
      <c r="U31" s="316">
        <f>'Rem. Anticipos R2'!L396</f>
        <v>0</v>
      </c>
      <c r="V31" s="317">
        <f>'Rem. Anticipos R2'!M396</f>
        <v>0</v>
      </c>
      <c r="W31" s="317">
        <f>'Rem. Anticipos R2'!N396</f>
        <v>0</v>
      </c>
      <c r="X31" s="317">
        <f>'Rem. Anticipos R2'!O396</f>
        <v>0</v>
      </c>
      <c r="Y31" s="318">
        <f>'Rem. Anticipos R2'!P396</f>
        <v>0</v>
      </c>
      <c r="Z31" s="319">
        <f>L31*-1</f>
        <v>0</v>
      </c>
      <c r="AA31" s="320">
        <f>'Rem. Anticipos R2'!Q396</f>
        <v>0</v>
      </c>
      <c r="AB31" s="294">
        <f>N31</f>
        <v>0</v>
      </c>
      <c r="AC31" s="320">
        <f>'Rem. Anticipos R2'!R396</f>
        <v>0</v>
      </c>
      <c r="AD31" s="291">
        <f t="shared" si="10"/>
        <v>256843.5</v>
      </c>
      <c r="AE31" s="291">
        <f>'Rem. Anticipos R2'!E397</f>
        <v>256843.5</v>
      </c>
      <c r="AF31" s="322">
        <f>SUM(U31:AD31)</f>
        <v>256843.5</v>
      </c>
      <c r="AG31" s="323">
        <f t="shared" si="11"/>
        <v>-3117968.95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R2'!E480</f>
        <v>1186886.72</v>
      </c>
      <c r="E32" s="297">
        <f>'Rem. Anticipos R2'!F480</f>
        <v>0</v>
      </c>
      <c r="F32" s="297">
        <f>'Rem. Anticipos R2'!G480</f>
        <v>0</v>
      </c>
      <c r="G32" s="297">
        <f>'Rem. Anticipos R2'!H480</f>
        <v>0</v>
      </c>
      <c r="H32" s="297">
        <f>'Rem. Anticipos R2'!I480</f>
        <v>0</v>
      </c>
      <c r="I32" s="297">
        <f>'Rem. Anticipos R2'!J480</f>
        <v>0</v>
      </c>
      <c r="J32" s="289">
        <v>0</v>
      </c>
      <c r="K32" s="295">
        <f>D32-E32-F32-G32-H32-I32-J32</f>
        <v>1186886.72</v>
      </c>
      <c r="L32" s="294">
        <v>0</v>
      </c>
      <c r="M32" s="298">
        <f>K32-L32</f>
        <v>1186886.72</v>
      </c>
      <c r="N32" s="299">
        <f>'Rem. Anticipos R2'!K480</f>
        <v>0</v>
      </c>
      <c r="O32" s="298">
        <f t="shared" si="8"/>
        <v>1186886.72</v>
      </c>
      <c r="Q32" s="306"/>
      <c r="S32" s="324">
        <v>5</v>
      </c>
      <c r="T32" s="325" t="s">
        <v>14</v>
      </c>
      <c r="U32" s="296">
        <f>'Rem. Anticipos R2'!L480</f>
        <v>0</v>
      </c>
      <c r="V32" s="297">
        <f>'Rem. Anticipos R2'!M480</f>
        <v>0</v>
      </c>
      <c r="W32" s="297">
        <f>'Rem. Anticipos R2'!N480</f>
        <v>0</v>
      </c>
      <c r="X32" s="297">
        <f>'Rem. Anticipos R2'!O480</f>
        <v>0</v>
      </c>
      <c r="Y32" s="289">
        <f>'Rem. Anticipos R2'!P480</f>
        <v>0</v>
      </c>
      <c r="Z32" s="319">
        <f>L32*-1</f>
        <v>0</v>
      </c>
      <c r="AA32" s="320">
        <f>'Rem. Anticipos R2'!Q480</f>
        <v>0</v>
      </c>
      <c r="AB32" s="294">
        <f>N32</f>
        <v>0</v>
      </c>
      <c r="AC32" s="320">
        <f>'Rem. Anticipos R2'!R480</f>
        <v>0</v>
      </c>
      <c r="AD32" s="291">
        <f t="shared" si="10"/>
        <v>-82090.850000000006</v>
      </c>
      <c r="AE32" s="291">
        <f>'Rem. Anticipos R2'!E481</f>
        <v>-82090.850000000006</v>
      </c>
      <c r="AF32" s="322">
        <f>SUM(U32:AD32)</f>
        <v>-82090.850000000006</v>
      </c>
      <c r="AG32" s="326">
        <f>(AF32-O32)</f>
        <v>-1268977.57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55153463.390000008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55153463.390000008</v>
      </c>
      <c r="L33" s="301">
        <f t="shared" si="12"/>
        <v>0</v>
      </c>
      <c r="M33" s="302">
        <f t="shared" si="12"/>
        <v>55153463.390000008</v>
      </c>
      <c r="N33" s="301">
        <f t="shared" si="12"/>
        <v>0</v>
      </c>
      <c r="O33" s="302">
        <f t="shared" si="12"/>
        <v>55153463.390000008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4429059.4600000009</v>
      </c>
      <c r="AE33" s="290">
        <f>SUM(AE28:AE32)</f>
        <v>4429059.4600000009</v>
      </c>
      <c r="AF33" s="331">
        <f t="shared" si="13"/>
        <v>4429059.4600000009</v>
      </c>
      <c r="AG33" s="332">
        <f t="shared" si="13"/>
        <v>-50724403.93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R1'!F97</f>
        <v>134910</v>
      </c>
      <c r="E47" s="292">
        <f>'Reporte Componentes R1'!G97</f>
        <v>5633.68</v>
      </c>
      <c r="F47" s="292">
        <f>'Reporte Componentes R1'!H97</f>
        <v>3143.05</v>
      </c>
      <c r="G47" s="292">
        <f>'Reporte Componentes R1'!I97</f>
        <v>1669.5</v>
      </c>
      <c r="H47" s="292">
        <f>'Reporte Componentes R1'!J97</f>
        <v>21061.5</v>
      </c>
      <c r="I47" s="292">
        <f>'Reporte Componentes R1'!K97</f>
        <v>519.69000000000005</v>
      </c>
      <c r="J47" s="288">
        <v>0</v>
      </c>
      <c r="K47" s="293">
        <f>D47-E47-F47-G47-H47-I47-J47</f>
        <v>102882.58</v>
      </c>
      <c r="L47" s="294">
        <v>0</v>
      </c>
      <c r="M47" s="293">
        <f>K47-L47</f>
        <v>102882.58</v>
      </c>
      <c r="N47" s="294">
        <f>'Reporte Componentes R1'!L97</f>
        <v>0</v>
      </c>
      <c r="O47" s="293">
        <f>M47+N47</f>
        <v>102882.58</v>
      </c>
      <c r="Q47" s="306"/>
      <c r="S47" s="303">
        <v>1</v>
      </c>
      <c r="T47" s="304" t="s">
        <v>10</v>
      </c>
      <c r="U47" s="307">
        <f>'Reporte Componentes R1'!M97</f>
        <v>4558.83</v>
      </c>
      <c r="V47" s="308">
        <f>'Reporte Componentes R1'!N97</f>
        <v>6480.54</v>
      </c>
      <c r="W47" s="308">
        <f>'Reporte Componentes R1'!O97</f>
        <v>30680.68</v>
      </c>
      <c r="X47" s="308">
        <f>'Reporte Componentes R1'!P97</f>
        <v>15386.96</v>
      </c>
      <c r="Y47" s="309">
        <f>'Reporte Componentes R1'!Q97</f>
        <v>847.96</v>
      </c>
      <c r="Z47" s="310">
        <f>-L47</f>
        <v>0</v>
      </c>
      <c r="AA47" s="311">
        <f>'Reporte Componentes R1'!R97+'Reporte Componentes R1'!V97+'Reporte Componentes R1'!U97</f>
        <v>5.04</v>
      </c>
      <c r="AB47" s="294">
        <f>N47</f>
        <v>0</v>
      </c>
      <c r="AC47" s="311">
        <f>'Reporte Componentes R1'!T97+'Reporte Componentes R1'!S97+'Reporte Componentes R1'!W97+'Reporte Componentes R1'!X97+'Reporte Componentes R1'!Y97+'Reporte Componentes R1'!Z97</f>
        <v>0</v>
      </c>
      <c r="AD47" s="291">
        <f>-J47+AE47</f>
        <v>44922.57</v>
      </c>
      <c r="AE47" s="291">
        <f>'Reporte Componentes R1'!F98</f>
        <v>44922.57</v>
      </c>
      <c r="AF47" s="313">
        <f>SUM(U47:AD47)</f>
        <v>102882.58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R1'!F276</f>
        <v>464154</v>
      </c>
      <c r="E48" s="292">
        <f>'Reporte Componentes R1'!G276</f>
        <v>32467.9</v>
      </c>
      <c r="F48" s="292">
        <f>'Reporte Componentes R1'!H276</f>
        <v>18320.34</v>
      </c>
      <c r="G48" s="292">
        <f>'Reporte Componentes R1'!I276</f>
        <v>9708.74</v>
      </c>
      <c r="H48" s="292">
        <f>'Reporte Componentes R1'!J276</f>
        <v>158800.41</v>
      </c>
      <c r="I48" s="292">
        <f>'Reporte Componentes R1'!K276</f>
        <v>5058.2700000000004</v>
      </c>
      <c r="J48" s="288">
        <v>0</v>
      </c>
      <c r="K48" s="295">
        <f t="shared" ref="K48:K51" si="14">D48-E48-F48-G48-H48-I48-J48</f>
        <v>239798.33999999997</v>
      </c>
      <c r="L48" s="294">
        <v>0</v>
      </c>
      <c r="M48" s="295">
        <f>K48-L48</f>
        <v>239798.33999999997</v>
      </c>
      <c r="N48" s="294">
        <f>'Reporte Componentes R1'!L276</f>
        <v>0</v>
      </c>
      <c r="O48" s="295">
        <f t="shared" ref="O48:O51" si="15">M48+N48</f>
        <v>239798.33999999997</v>
      </c>
      <c r="Q48" s="306"/>
      <c r="S48" s="314">
        <v>2</v>
      </c>
      <c r="T48" s="315" t="s">
        <v>11</v>
      </c>
      <c r="U48" s="316">
        <f>'Reporte Componentes R1'!M276</f>
        <v>44370.67</v>
      </c>
      <c r="V48" s="317">
        <f>'Reporte Componentes R1'!N276</f>
        <v>56323.6</v>
      </c>
      <c r="W48" s="317">
        <f>'Reporte Componentes R1'!O276</f>
        <v>269309.02</v>
      </c>
      <c r="X48" s="317">
        <f>'Reporte Componentes R1'!P276</f>
        <v>63520.61</v>
      </c>
      <c r="Y48" s="318">
        <f>'Reporte Componentes R1'!Q276</f>
        <v>8252.9599999999991</v>
      </c>
      <c r="Z48" s="319">
        <f>-L48</f>
        <v>0</v>
      </c>
      <c r="AA48" s="320">
        <f>'Reporte Componentes R1'!R276+'Reporte Componentes R1'!V276+'Reporte Componentes R1'!U276</f>
        <v>10.02</v>
      </c>
      <c r="AB48" s="294">
        <f>N48</f>
        <v>0</v>
      </c>
      <c r="AC48" s="320">
        <f>'Reporte Componentes R1'!T276+'Reporte Componentes R1'!S276+'Reporte Componentes R1'!W276+'Reporte Componentes R1'!X276+'Reporte Componentes R1'!Y276+'Reporte Componentes R1'!Z276</f>
        <v>0</v>
      </c>
      <c r="AD48" s="291">
        <f t="shared" ref="AD48:AD51" si="16">-J48+AE48</f>
        <v>-201988.54</v>
      </c>
      <c r="AE48" s="291">
        <f>'Reporte Componentes R1'!F277</f>
        <v>-201988.54</v>
      </c>
      <c r="AF48" s="322">
        <f>SUM(U48:AD48)</f>
        <v>239798.34000000005</v>
      </c>
      <c r="AG48" s="323">
        <f>(AF48-O48)</f>
        <v>8.7311491370201111E-11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R1'!F437</f>
        <v>0</v>
      </c>
      <c r="E49" s="292">
        <f>'Reporte Componentes R1'!G437</f>
        <v>0</v>
      </c>
      <c r="F49" s="292">
        <f>'Reporte Componentes R1'!H437</f>
        <v>0</v>
      </c>
      <c r="G49" s="292">
        <f>'Reporte Componentes R1'!I437</f>
        <v>0</v>
      </c>
      <c r="H49" s="292">
        <f>'Reporte Componentes R1'!J437</f>
        <v>0</v>
      </c>
      <c r="I49" s="292">
        <f>'Reporte Componentes R1'!K437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R1'!M437</f>
        <v>0</v>
      </c>
      <c r="V49" s="317">
        <f>'Reporte Componentes R1'!N437</f>
        <v>0</v>
      </c>
      <c r="W49" s="317">
        <f>'Reporte Componentes R1'!O437</f>
        <v>0</v>
      </c>
      <c r="X49" s="317">
        <f>'Reporte Componentes R1'!P437</f>
        <v>0</v>
      </c>
      <c r="Y49" s="318">
        <f>'Reporte Componentes R1'!Q437</f>
        <v>0</v>
      </c>
      <c r="Z49" s="319">
        <f>-L49</f>
        <v>0</v>
      </c>
      <c r="AA49" s="320">
        <f>'Reporte Componentes R1'!R437+'Reporte Componentes R1'!V437+'Reporte Componentes R1'!U437</f>
        <v>0</v>
      </c>
      <c r="AB49" s="294">
        <f>N49</f>
        <v>0</v>
      </c>
      <c r="AC49" s="320">
        <f>'Reporte Componentes R1'!T437+'Reporte Componentes R1'!S437+'Reporte Componentes R1'!W437+'Reporte Componentes R1'!X437+'Reporte Componentes R1'!Y437+'Reporte Componentes R1'!Z437</f>
        <v>0</v>
      </c>
      <c r="AD49" s="291">
        <f t="shared" si="16"/>
        <v>0</v>
      </c>
      <c r="AE49" s="291">
        <f>'Reporte Componentes R1'!F438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R1'!F590</f>
        <v>850737</v>
      </c>
      <c r="E50" s="292">
        <f>'Reporte Componentes R1'!G590</f>
        <v>37397.25</v>
      </c>
      <c r="F50" s="292">
        <f>'Reporte Componentes R1'!H590</f>
        <v>20551.86</v>
      </c>
      <c r="G50" s="292">
        <f>'Reporte Componentes R1'!I590</f>
        <v>11070.59</v>
      </c>
      <c r="H50" s="292">
        <f>'Reporte Componentes R1'!J590</f>
        <v>168521.2</v>
      </c>
      <c r="I50" s="292">
        <f>'Reporte Componentes R1'!K590</f>
        <v>5808.01</v>
      </c>
      <c r="J50" s="288">
        <v>0</v>
      </c>
      <c r="K50" s="295">
        <f t="shared" si="14"/>
        <v>607388.09000000008</v>
      </c>
      <c r="L50" s="294">
        <v>0</v>
      </c>
      <c r="M50" s="295">
        <f>K50-L50</f>
        <v>607388.09000000008</v>
      </c>
      <c r="N50" s="294">
        <f>'Reporte Componentes R1'!L590</f>
        <v>0</v>
      </c>
      <c r="O50" s="295">
        <f t="shared" si="15"/>
        <v>607388.09000000008</v>
      </c>
      <c r="Q50" s="306"/>
      <c r="S50" s="314">
        <v>4</v>
      </c>
      <c r="T50" s="315" t="s">
        <v>13</v>
      </c>
      <c r="U50" s="316">
        <f>'Reporte Componentes R1'!M590</f>
        <v>50947.53</v>
      </c>
      <c r="V50" s="317">
        <f>'Reporte Componentes R1'!N590</f>
        <v>50975.040000000001</v>
      </c>
      <c r="W50" s="317">
        <f>'Reporte Componentes R1'!O590</f>
        <v>263164.76</v>
      </c>
      <c r="X50" s="317">
        <f>'Reporte Componentes R1'!P590</f>
        <v>99117.6</v>
      </c>
      <c r="Y50" s="318">
        <f>'Reporte Componentes R1'!Q590</f>
        <v>9476.14</v>
      </c>
      <c r="Z50" s="319">
        <f>-L50</f>
        <v>0</v>
      </c>
      <c r="AA50" s="320">
        <f>'Reporte Componentes R1'!R590+'Reporte Componentes R1'!V590+'Reporte Componentes R1'!U590</f>
        <v>0.72</v>
      </c>
      <c r="AB50" s="294">
        <f>N50</f>
        <v>0</v>
      </c>
      <c r="AC50" s="320">
        <f>'Reporte Componentes R1'!T590+'Reporte Componentes R1'!S590+'Reporte Componentes R1'!W590+'Reporte Componentes R1'!X590+'Reporte Componentes R1'!Y590+'Reporte Componentes R1'!Z590</f>
        <v>0</v>
      </c>
      <c r="AD50" s="291">
        <f t="shared" si="16"/>
        <v>133706.29999999999</v>
      </c>
      <c r="AE50" s="291">
        <f>'Reporte Componentes R1'!F591</f>
        <v>133706.29999999999</v>
      </c>
      <c r="AF50" s="322">
        <f t="shared" si="18"/>
        <v>607388.09000000008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R1'!F702</f>
        <v>0</v>
      </c>
      <c r="E51" s="297">
        <f>'Reporte Componentes R1'!G702</f>
        <v>0</v>
      </c>
      <c r="F51" s="297">
        <f>'Reporte Componentes R1'!H702</f>
        <v>0</v>
      </c>
      <c r="G51" s="297">
        <f>'Reporte Componentes R1'!I702</f>
        <v>0</v>
      </c>
      <c r="H51" s="297">
        <f>'Reporte Componentes R1'!J702</f>
        <v>0</v>
      </c>
      <c r="I51" s="297">
        <f>'Reporte Componentes R1'!K702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R1'!L702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R1'!M702</f>
        <v>0</v>
      </c>
      <c r="V51" s="297">
        <f>'Reporte Componentes R1'!N702</f>
        <v>0</v>
      </c>
      <c r="W51" s="297">
        <f>'Reporte Componentes R1'!O702</f>
        <v>0</v>
      </c>
      <c r="X51" s="297">
        <f>'Reporte Componentes R1'!P702</f>
        <v>0</v>
      </c>
      <c r="Y51" s="289">
        <f>'Reporte Componentes R1'!Q702</f>
        <v>0</v>
      </c>
      <c r="Z51" s="319">
        <f>-L51</f>
        <v>0</v>
      </c>
      <c r="AA51" s="320">
        <f>'Reporte Componentes R1'!R702+'Reporte Componentes R1'!V702+'Reporte Componentes R1'!U702</f>
        <v>0</v>
      </c>
      <c r="AB51" s="294">
        <f>N51</f>
        <v>0</v>
      </c>
      <c r="AC51" s="320">
        <f>'Reporte Componentes R1'!T702+'Reporte Componentes R1'!S702+'Reporte Componentes R1'!W702+'Reporte Componentes R1'!X702+'Reporte Componentes R1'!Y702+'Reporte Componentes R1'!Z702</f>
        <v>0</v>
      </c>
      <c r="AD51" s="291">
        <f t="shared" si="16"/>
        <v>0</v>
      </c>
      <c r="AE51" s="291">
        <f>'Reporte Componentes R1'!F703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1449801</v>
      </c>
      <c r="E52" s="290">
        <f t="shared" si="20"/>
        <v>75498.83</v>
      </c>
      <c r="F52" s="290">
        <f t="shared" si="20"/>
        <v>42015.25</v>
      </c>
      <c r="G52" s="290">
        <f t="shared" ref="G52" si="21">SUM(G47:G51)</f>
        <v>22448.83</v>
      </c>
      <c r="H52" s="290">
        <f t="shared" si="20"/>
        <v>348383.11</v>
      </c>
      <c r="I52" s="290">
        <f t="shared" si="20"/>
        <v>11385.970000000001</v>
      </c>
      <c r="J52" s="290">
        <f t="shared" si="20"/>
        <v>0</v>
      </c>
      <c r="K52" s="300">
        <f t="shared" si="20"/>
        <v>950069.01</v>
      </c>
      <c r="L52" s="301">
        <f t="shared" si="20"/>
        <v>0</v>
      </c>
      <c r="M52" s="302">
        <f t="shared" si="20"/>
        <v>950069.01</v>
      </c>
      <c r="N52" s="301">
        <f t="shared" si="20"/>
        <v>0</v>
      </c>
      <c r="O52" s="302">
        <f t="shared" si="20"/>
        <v>950069.01</v>
      </c>
      <c r="P52" s="329"/>
      <c r="Q52" s="306"/>
      <c r="S52" s="327"/>
      <c r="T52" s="328" t="s">
        <v>2</v>
      </c>
      <c r="U52" s="330">
        <f>SUM(U47:U51)</f>
        <v>99877.03</v>
      </c>
      <c r="V52" s="330">
        <f t="shared" ref="V52:AG52" si="22">SUM(V47:V51)</f>
        <v>113779.18</v>
      </c>
      <c r="W52" s="330">
        <f t="shared" si="22"/>
        <v>563154.46</v>
      </c>
      <c r="X52" s="330">
        <f t="shared" si="22"/>
        <v>178025.17</v>
      </c>
      <c r="Y52" s="330">
        <f t="shared" si="22"/>
        <v>18577.059999999998</v>
      </c>
      <c r="Z52" s="290">
        <f t="shared" si="22"/>
        <v>0</v>
      </c>
      <c r="AA52" s="290">
        <f t="shared" si="22"/>
        <v>15.78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-23359.670000000013</v>
      </c>
      <c r="AE52" s="290">
        <f>SUM(AE47:AE51)</f>
        <v>-23359.670000000013</v>
      </c>
      <c r="AF52" s="331">
        <f t="shared" si="22"/>
        <v>950069.01000000013</v>
      </c>
      <c r="AG52" s="332">
        <f t="shared" si="22"/>
        <v>8.7311491370201111E-11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973412.89999999991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-134910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288">
        <v>0</v>
      </c>
      <c r="K66" s="293">
        <f>D66-E66-F66-G66-H66-I66-J66</f>
        <v>-134910</v>
      </c>
      <c r="L66" s="294">
        <v>0</v>
      </c>
      <c r="M66" s="293">
        <f>K66-L66</f>
        <v>-134910</v>
      </c>
      <c r="N66" s="294">
        <f>'Reversion Pagos R4'!P85</f>
        <v>0</v>
      </c>
      <c r="O66" s="293">
        <f>M66+N66</f>
        <v>-134910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8">
        <f>'Reversion Pagos R4'!N85</f>
        <v>0</v>
      </c>
      <c r="Z66" s="310">
        <f>-L66</f>
        <v>0</v>
      </c>
      <c r="AA66" s="320">
        <f>'Reversion Pagos R4'!O85</f>
        <v>0</v>
      </c>
      <c r="AB66" s="294">
        <f>N66</f>
        <v>0</v>
      </c>
      <c r="AC66" s="320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134910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-945063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-945063</v>
      </c>
      <c r="L67" s="294">
        <v>0</v>
      </c>
      <c r="M67" s="295">
        <f>K67-L67</f>
        <v>-945063</v>
      </c>
      <c r="N67" s="294">
        <f>'Reversion Pagos R4'!P186</f>
        <v>0</v>
      </c>
      <c r="O67" s="295">
        <f t="shared" ref="O67:O70" si="25">M67+N67</f>
        <v>-945063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+'Reversion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945063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+'Reversion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-1371252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-1371252</v>
      </c>
      <c r="L69" s="294">
        <v>0</v>
      </c>
      <c r="M69" s="295">
        <f>K69-L69</f>
        <v>-1371252</v>
      </c>
      <c r="N69" s="294">
        <f>'Reversion Pagos R4'!P338</f>
        <v>0</v>
      </c>
      <c r="O69" s="295">
        <f t="shared" si="25"/>
        <v>-1371252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+'Reversion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1371252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6"/>
        <v>0</v>
      </c>
      <c r="AA70" s="320">
        <f>'Reversion Pagos R4'!O373</f>
        <v>0</v>
      </c>
      <c r="AB70" s="294">
        <f t="shared" si="27"/>
        <v>0</v>
      </c>
      <c r="AC70" s="320">
        <f>+'Reversion Pagos R4'!Q373+'Reversion Pagos R4'!R373</f>
        <v>0</v>
      </c>
      <c r="AD70" s="291">
        <f t="shared" si="28"/>
        <v>0</v>
      </c>
      <c r="AE70" s="291">
        <f>'Reversion Pagos R4'!D374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-2451225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-2451225</v>
      </c>
      <c r="L71" s="301">
        <f t="shared" si="32"/>
        <v>0</v>
      </c>
      <c r="M71" s="302">
        <f t="shared" si="32"/>
        <v>-2451225</v>
      </c>
      <c r="N71" s="301">
        <f t="shared" si="32"/>
        <v>0</v>
      </c>
      <c r="O71" s="302">
        <f t="shared" si="32"/>
        <v>-2451225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2451225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347479005.47999996</v>
      </c>
      <c r="E104" s="292">
        <f t="shared" si="40"/>
        <v>33581285.950000003</v>
      </c>
      <c r="F104" s="292">
        <f t="shared" si="40"/>
        <v>18680684.449999999</v>
      </c>
      <c r="G104" s="292">
        <f t="shared" si="40"/>
        <v>9988020.9199999999</v>
      </c>
      <c r="H104" s="292">
        <f t="shared" si="40"/>
        <v>39110786.109999999</v>
      </c>
      <c r="I104" s="292">
        <f t="shared" si="40"/>
        <v>1161652.6499999999</v>
      </c>
      <c r="J104" s="288">
        <f t="shared" si="40"/>
        <v>0</v>
      </c>
      <c r="K104" s="293">
        <f>D104-E104-F104-G104-H104-I104-J104</f>
        <v>244956575.39999995</v>
      </c>
      <c r="L104" s="294">
        <f>L9+L28+L47+L66+L85</f>
        <v>0</v>
      </c>
      <c r="M104" s="293">
        <f>K104-L104</f>
        <v>244956575.39999995</v>
      </c>
      <c r="N104" s="294">
        <f>N9+N28+N47+N66+N85</f>
        <v>9993768.9299999997</v>
      </c>
      <c r="O104" s="293">
        <f>M104+N104</f>
        <v>254950344.32999995</v>
      </c>
      <c r="Q104" s="306"/>
      <c r="S104" s="303">
        <v>1</v>
      </c>
      <c r="T104" s="304" t="s">
        <v>10</v>
      </c>
      <c r="U104" s="307">
        <f t="shared" ref="U104:AB108" si="41">U9+U28+U47+U66+U85</f>
        <v>10150547.140000001</v>
      </c>
      <c r="V104" s="308">
        <f t="shared" si="41"/>
        <v>12938213.059999999</v>
      </c>
      <c r="W104" s="308">
        <f t="shared" si="41"/>
        <v>61175845.509999998</v>
      </c>
      <c r="X104" s="308">
        <f t="shared" si="41"/>
        <v>91659808.629999995</v>
      </c>
      <c r="Y104" s="309">
        <f t="shared" si="41"/>
        <v>1897066.05</v>
      </c>
      <c r="Z104" s="310">
        <f t="shared" si="41"/>
        <v>0</v>
      </c>
      <c r="AA104" s="311">
        <f t="shared" si="41"/>
        <v>-3571.28</v>
      </c>
      <c r="AB104" s="294">
        <f t="shared" si="41"/>
        <v>9993768.9299999997</v>
      </c>
      <c r="AC104" s="312">
        <f t="shared" ref="AC104" si="42">AC9+AC28+AC47+AC66+AC85</f>
        <v>0.09</v>
      </c>
      <c r="AD104" s="291">
        <f>-J104+AE104</f>
        <v>64278052.549999997</v>
      </c>
      <c r="AE104" s="291">
        <f>AE9+AE28+AE47+AE66+AE85</f>
        <v>64278052.549999997</v>
      </c>
      <c r="AF104" s="313">
        <f>SUM(U104:AD104)</f>
        <v>252089730.68000001</v>
      </c>
      <c r="AG104" s="311">
        <f>AF104-O104</f>
        <v>-2860613.6499999464</v>
      </c>
      <c r="AH104" s="1" t="b">
        <f>INT(AG104)=0</f>
        <v>0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982936724.74000001</v>
      </c>
      <c r="E105" s="292">
        <f t="shared" si="40"/>
        <v>112268360.98000002</v>
      </c>
      <c r="F105" s="292">
        <f t="shared" si="40"/>
        <v>61941843.759999998</v>
      </c>
      <c r="G105" s="292">
        <f t="shared" si="40"/>
        <v>32720417.27</v>
      </c>
      <c r="H105" s="292">
        <f t="shared" si="40"/>
        <v>116008334.81999999</v>
      </c>
      <c r="I105" s="292">
        <f t="shared" si="40"/>
        <v>3014304.8600000003</v>
      </c>
      <c r="J105" s="288">
        <f t="shared" si="40"/>
        <v>0</v>
      </c>
      <c r="K105" s="295">
        <f t="shared" ref="K105:K108" si="43">D105-E105-F105-G105-H105-I105-J105</f>
        <v>656983463.05000007</v>
      </c>
      <c r="L105" s="294">
        <f>L10+L29+L48+L67+L86</f>
        <v>0</v>
      </c>
      <c r="M105" s="295">
        <f>K105-L105</f>
        <v>656983463.05000007</v>
      </c>
      <c r="N105" s="294">
        <f>N10+N29+N48+N67+N86</f>
        <v>3112272.6</v>
      </c>
      <c r="O105" s="295">
        <f t="shared" ref="O105:O108" si="44">M105+N105</f>
        <v>660095735.6500001</v>
      </c>
      <c r="Q105" s="306"/>
      <c r="S105" s="314">
        <v>2</v>
      </c>
      <c r="T105" s="315" t="s">
        <v>11</v>
      </c>
      <c r="U105" s="316">
        <f t="shared" si="41"/>
        <v>27139904.98</v>
      </c>
      <c r="V105" s="317">
        <f t="shared" si="41"/>
        <v>36459915.640000001</v>
      </c>
      <c r="W105" s="317">
        <f t="shared" si="41"/>
        <v>171633561.22</v>
      </c>
      <c r="X105" s="317">
        <f t="shared" si="41"/>
        <v>222885045.02000001</v>
      </c>
      <c r="Y105" s="318">
        <f t="shared" si="41"/>
        <v>4938205.57</v>
      </c>
      <c r="Z105" s="319">
        <f t="shared" si="41"/>
        <v>0</v>
      </c>
      <c r="AA105" s="320">
        <f t="shared" si="41"/>
        <v>-936.52</v>
      </c>
      <c r="AB105" s="294">
        <f t="shared" si="41"/>
        <v>3112272.6</v>
      </c>
      <c r="AC105" s="321">
        <f t="shared" ref="AC105" si="45">AC10+AC29+AC48+AC67+AC86</f>
        <v>-56258.879999999997</v>
      </c>
      <c r="AD105" s="291">
        <f t="shared" ref="AD105:AD107" si="46">-J105+AE105</f>
        <v>153226925.48000002</v>
      </c>
      <c r="AE105" s="291">
        <f>AE10+AE29+AE48+AE67+AE86</f>
        <v>153226925.48000002</v>
      </c>
      <c r="AF105" s="322">
        <f>SUM(U105:AD105)</f>
        <v>619338635.11000013</v>
      </c>
      <c r="AG105" s="323">
        <f>AF105-O105</f>
        <v>-40757100.539999962</v>
      </c>
      <c r="AH105" s="1" t="b">
        <f t="shared" ref="AH105:AH109" si="47">INT(AG105)=0</f>
        <v>0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429594685.46999997</v>
      </c>
      <c r="E106" s="292">
        <f t="shared" si="40"/>
        <v>49563321.700000003</v>
      </c>
      <c r="F106" s="292">
        <f t="shared" si="40"/>
        <v>27986809.16</v>
      </c>
      <c r="G106" s="292">
        <f t="shared" si="40"/>
        <v>14662575.93</v>
      </c>
      <c r="H106" s="292">
        <f t="shared" si="40"/>
        <v>22403066.969999999</v>
      </c>
      <c r="I106" s="292">
        <f t="shared" si="40"/>
        <v>650470.14</v>
      </c>
      <c r="J106" s="288">
        <f t="shared" si="40"/>
        <v>0</v>
      </c>
      <c r="K106" s="295">
        <f t="shared" si="43"/>
        <v>314328441.56999993</v>
      </c>
      <c r="L106" s="294">
        <f>L11+L30+L49+L68+L87</f>
        <v>0</v>
      </c>
      <c r="M106" s="295">
        <f>K106-L106</f>
        <v>314328441.56999993</v>
      </c>
      <c r="N106" s="294">
        <f>N11+N30+N49+N68+N87</f>
        <v>4811611.8099999996</v>
      </c>
      <c r="O106" s="295">
        <f t="shared" si="44"/>
        <v>319140053.37999994</v>
      </c>
      <c r="Q106" s="306"/>
      <c r="S106" s="314">
        <v>3</v>
      </c>
      <c r="T106" s="315" t="s">
        <v>12</v>
      </c>
      <c r="U106" s="316">
        <f t="shared" si="41"/>
        <v>5717940.3899999997</v>
      </c>
      <c r="V106" s="317">
        <f t="shared" si="41"/>
        <v>7429546.7400000002</v>
      </c>
      <c r="W106" s="317">
        <f t="shared" si="41"/>
        <v>35091268.950000003</v>
      </c>
      <c r="X106" s="317">
        <f t="shared" si="41"/>
        <v>117367146.56</v>
      </c>
      <c r="Y106" s="318">
        <f t="shared" si="41"/>
        <v>1068975.6200000001</v>
      </c>
      <c r="Z106" s="319">
        <f t="shared" si="41"/>
        <v>0</v>
      </c>
      <c r="AA106" s="320">
        <f t="shared" si="41"/>
        <v>794.57</v>
      </c>
      <c r="AB106" s="294">
        <f t="shared" si="41"/>
        <v>4811611.8099999996</v>
      </c>
      <c r="AC106" s="321">
        <f t="shared" ref="AC106" si="48">AC11+AC30+AC49+AC68+AC87</f>
        <v>-41621.01</v>
      </c>
      <c r="AD106" s="291">
        <f t="shared" si="46"/>
        <v>146054619.53</v>
      </c>
      <c r="AE106" s="291">
        <f>AE11+AE30+AE49+AE68+AE87</f>
        <v>146054619.53</v>
      </c>
      <c r="AF106" s="322">
        <f>SUM(U106:AD106)</f>
        <v>317500283.15999997</v>
      </c>
      <c r="AG106" s="323">
        <f>AF106-O106</f>
        <v>-1639770.219999969</v>
      </c>
      <c r="AH106" s="1" t="b">
        <f t="shared" si="47"/>
        <v>0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594430569.70000005</v>
      </c>
      <c r="E107" s="292">
        <f t="shared" si="40"/>
        <v>52006005.950000003</v>
      </c>
      <c r="F107" s="292">
        <f t="shared" si="40"/>
        <v>28556754.439999998</v>
      </c>
      <c r="G107" s="292">
        <f t="shared" si="40"/>
        <v>15612684.969999999</v>
      </c>
      <c r="H107" s="292">
        <f t="shared" si="40"/>
        <v>64011028.090000004</v>
      </c>
      <c r="I107" s="292">
        <f t="shared" si="40"/>
        <v>1840038.8800000001</v>
      </c>
      <c r="J107" s="288">
        <f t="shared" si="40"/>
        <v>0</v>
      </c>
      <c r="K107" s="295">
        <f t="shared" si="43"/>
        <v>432404057.37</v>
      </c>
      <c r="L107" s="294">
        <f>L12+L31+L50+L69+L88</f>
        <v>0</v>
      </c>
      <c r="M107" s="295">
        <f>K107-L107</f>
        <v>432404057.37</v>
      </c>
      <c r="N107" s="294">
        <f>N12+N31+N50+N69+N88</f>
        <v>670762.75</v>
      </c>
      <c r="O107" s="295">
        <f t="shared" si="44"/>
        <v>433074820.12</v>
      </c>
      <c r="Q107" s="306"/>
      <c r="S107" s="314">
        <v>4</v>
      </c>
      <c r="T107" s="315" t="s">
        <v>13</v>
      </c>
      <c r="U107" s="316">
        <f t="shared" si="41"/>
        <v>15989400.669999998</v>
      </c>
      <c r="V107" s="317">
        <f t="shared" si="41"/>
        <v>20824227.509999998</v>
      </c>
      <c r="W107" s="317">
        <f t="shared" si="41"/>
        <v>105700447.3</v>
      </c>
      <c r="X107" s="317">
        <f t="shared" si="41"/>
        <v>137726820.66</v>
      </c>
      <c r="Y107" s="318">
        <f t="shared" si="41"/>
        <v>3022928.99</v>
      </c>
      <c r="Z107" s="319">
        <f t="shared" si="41"/>
        <v>0</v>
      </c>
      <c r="AA107" s="320">
        <f t="shared" si="41"/>
        <v>320.89000000000004</v>
      </c>
      <c r="AB107" s="294">
        <f t="shared" si="41"/>
        <v>670762.75</v>
      </c>
      <c r="AC107" s="321">
        <f t="shared" ref="AC107" si="49">AC12+AC31+AC50+AC69+AC88</f>
        <v>0.19999999999999998</v>
      </c>
      <c r="AD107" s="291">
        <f t="shared" si="46"/>
        <v>147393194.20000002</v>
      </c>
      <c r="AE107" s="291">
        <f>AE12+AE31+AE50+AE69+AE88</f>
        <v>147393194.20000002</v>
      </c>
      <c r="AF107" s="322">
        <f>SUM(U107:AD107)</f>
        <v>431328103.16999996</v>
      </c>
      <c r="AG107" s="323">
        <f>AF107-O107</f>
        <v>-1746716.9500000477</v>
      </c>
      <c r="AH107" s="1" t="b">
        <f t="shared" si="47"/>
        <v>0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172752158.53</v>
      </c>
      <c r="E108" s="297">
        <f t="shared" si="40"/>
        <v>16252936.57</v>
      </c>
      <c r="F108" s="297">
        <f t="shared" si="40"/>
        <v>8882611.3300000001</v>
      </c>
      <c r="G108" s="297">
        <f t="shared" si="40"/>
        <v>4769708.84</v>
      </c>
      <c r="H108" s="297">
        <f t="shared" si="40"/>
        <v>12689130.529999999</v>
      </c>
      <c r="I108" s="297">
        <f t="shared" si="40"/>
        <v>523491.14</v>
      </c>
      <c r="J108" s="289">
        <f t="shared" si="40"/>
        <v>0</v>
      </c>
      <c r="K108" s="295">
        <f t="shared" si="43"/>
        <v>129634280.11999999</v>
      </c>
      <c r="L108" s="294">
        <f>L13+L32+L51+L70+L89</f>
        <v>0</v>
      </c>
      <c r="M108" s="298">
        <f>K108-L108</f>
        <v>129634280.11999999</v>
      </c>
      <c r="N108" s="299">
        <f>N13+N32+N51+N70+N89</f>
        <v>1908241.19</v>
      </c>
      <c r="O108" s="298">
        <f t="shared" si="44"/>
        <v>131542521.30999999</v>
      </c>
      <c r="Q108" s="306"/>
      <c r="S108" s="324">
        <v>5</v>
      </c>
      <c r="T108" s="325" t="s">
        <v>14</v>
      </c>
      <c r="U108" s="296">
        <f t="shared" si="41"/>
        <v>4671973.0999999996</v>
      </c>
      <c r="V108" s="297">
        <f t="shared" si="41"/>
        <v>5604579.4400000004</v>
      </c>
      <c r="W108" s="297">
        <f t="shared" si="41"/>
        <v>30069445.420000002</v>
      </c>
      <c r="X108" s="297">
        <f t="shared" si="41"/>
        <v>48380758.240000002</v>
      </c>
      <c r="Y108" s="289">
        <f t="shared" si="41"/>
        <v>859953.88</v>
      </c>
      <c r="Z108" s="319">
        <f t="shared" si="41"/>
        <v>0</v>
      </c>
      <c r="AA108" s="320">
        <f t="shared" si="41"/>
        <v>-712.59</v>
      </c>
      <c r="AB108" s="294">
        <f t="shared" si="41"/>
        <v>1908241.19</v>
      </c>
      <c r="AC108" s="321">
        <f t="shared" ref="AC108" si="50">AC13+AC32+AC51+AC70+AC89</f>
        <v>4.9999999999999996E-2</v>
      </c>
      <c r="AD108" s="291">
        <f>-J108+AE108</f>
        <v>38779305.009999998</v>
      </c>
      <c r="AE108" s="291">
        <f>AE13+AE32+AE51+AE70+AE89</f>
        <v>38779305.009999998</v>
      </c>
      <c r="AF108" s="322">
        <f>SUM(U108:AD108)</f>
        <v>130273543.73999998</v>
      </c>
      <c r="AG108" s="326">
        <f>AF108-O108</f>
        <v>-1268977.5700000077</v>
      </c>
      <c r="AH108" s="1" t="b">
        <f t="shared" si="47"/>
        <v>0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2527193143.9200006</v>
      </c>
      <c r="E109" s="290">
        <f t="shared" ref="E109:O109" si="51">SUM(E104:E108)</f>
        <v>263671911.14999998</v>
      </c>
      <c r="F109" s="290">
        <f t="shared" si="51"/>
        <v>146048703.14000002</v>
      </c>
      <c r="G109" s="290">
        <f t="shared" si="51"/>
        <v>77753407.930000007</v>
      </c>
      <c r="H109" s="290">
        <f t="shared" si="51"/>
        <v>254222346.52000001</v>
      </c>
      <c r="I109" s="290">
        <f t="shared" si="51"/>
        <v>7189957.6699999999</v>
      </c>
      <c r="J109" s="290">
        <f t="shared" si="51"/>
        <v>0</v>
      </c>
      <c r="K109" s="300">
        <f t="shared" si="51"/>
        <v>1778306817.5099998</v>
      </c>
      <c r="L109" s="301">
        <f t="shared" si="51"/>
        <v>0</v>
      </c>
      <c r="M109" s="302">
        <f t="shared" si="51"/>
        <v>1778306817.5099998</v>
      </c>
      <c r="N109" s="301">
        <f>SUM(N104:N108)</f>
        <v>20496657.280000001</v>
      </c>
      <c r="O109" s="302">
        <f t="shared" si="51"/>
        <v>1798803474.79</v>
      </c>
      <c r="P109" s="329"/>
      <c r="Q109" s="306"/>
      <c r="S109" s="327"/>
      <c r="T109" s="328" t="s">
        <v>2</v>
      </c>
      <c r="U109" s="330">
        <f>SUM(U104:U108)</f>
        <v>63669766.280000009</v>
      </c>
      <c r="V109" s="330">
        <f t="shared" ref="V109:AF109" si="52">SUM(V104:V108)</f>
        <v>83256482.390000001</v>
      </c>
      <c r="W109" s="330">
        <f t="shared" si="52"/>
        <v>403670568.40000004</v>
      </c>
      <c r="X109" s="330">
        <f t="shared" si="52"/>
        <v>618019579.11000001</v>
      </c>
      <c r="Y109" s="330">
        <f t="shared" si="52"/>
        <v>11787130.110000001</v>
      </c>
      <c r="Z109" s="290">
        <f t="shared" si="52"/>
        <v>0</v>
      </c>
      <c r="AA109" s="290">
        <f t="shared" si="52"/>
        <v>-4104.93</v>
      </c>
      <c r="AB109" s="470">
        <f t="shared" si="52"/>
        <v>20496657.280000001</v>
      </c>
      <c r="AC109" s="290">
        <f t="shared" ref="AC109" si="53">SUM(AC104:AC108)</f>
        <v>-97879.55</v>
      </c>
      <c r="AD109" s="290">
        <f t="shared" si="52"/>
        <v>549732096.7700001</v>
      </c>
      <c r="AE109" s="290">
        <f>SUM(AE104:AE108)</f>
        <v>549732096.7700001</v>
      </c>
      <c r="AF109" s="331">
        <f t="shared" si="52"/>
        <v>1750530295.8600004</v>
      </c>
      <c r="AG109" s="332">
        <f>SUM(AG104:AG108)</f>
        <v>-48273178.929999933</v>
      </c>
      <c r="AH109" s="1" t="b">
        <f t="shared" si="47"/>
        <v>0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1180403526.29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17250690.219999999</v>
      </c>
      <c r="E125" s="309">
        <v>0</v>
      </c>
      <c r="G125" s="336">
        <f>D47+N47</f>
        <v>134910</v>
      </c>
      <c r="H125" s="310">
        <f>D28+N28</f>
        <v>3856721.63</v>
      </c>
      <c r="I125" s="309">
        <f>D85+N85</f>
        <v>0</v>
      </c>
      <c r="J125" s="309">
        <f>D66+N66</f>
        <v>-134910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29950514.969999999</v>
      </c>
      <c r="E126" s="288">
        <v>0</v>
      </c>
      <c r="G126" s="339">
        <f>D48+N48</f>
        <v>464154</v>
      </c>
      <c r="H126" s="340">
        <f>D29+N29</f>
        <v>44529691.310000002</v>
      </c>
      <c r="I126" s="288">
        <f>D86+N86</f>
        <v>0</v>
      </c>
      <c r="J126" s="288">
        <f t="shared" ref="J126:J129" si="54">D67+N67</f>
        <v>-945063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4909289</v>
      </c>
      <c r="E127" s="288">
        <v>0</v>
      </c>
      <c r="G127" s="339">
        <f>D49+N49</f>
        <v>0</v>
      </c>
      <c r="H127" s="340">
        <f>D30+N30</f>
        <v>2205351.2800000003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7416134</v>
      </c>
      <c r="E128" s="288">
        <v>0</v>
      </c>
      <c r="G128" s="339">
        <f>D50+N50</f>
        <v>850737</v>
      </c>
      <c r="H128" s="340">
        <f>D31+N31</f>
        <v>3374812.45</v>
      </c>
      <c r="I128" s="288">
        <f>D88+N88</f>
        <v>0</v>
      </c>
      <c r="J128" s="288">
        <f t="shared" si="54"/>
        <v>-1371252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2432240</v>
      </c>
      <c r="E129" s="344">
        <v>0</v>
      </c>
      <c r="G129" s="339">
        <f>D51+N51</f>
        <v>0</v>
      </c>
      <c r="H129" s="340">
        <f>D32+N32</f>
        <v>1186886.72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61958868.189999998</v>
      </c>
      <c r="E131" s="350">
        <f>SUM(E125:E130)</f>
        <v>0</v>
      </c>
      <c r="F131" s="351"/>
      <c r="G131" s="350">
        <f t="shared" ref="G131" si="55">SUM(G125:G129)</f>
        <v>1449801</v>
      </c>
      <c r="H131" s="350">
        <f>SUM(H125:H130)</f>
        <v>55153463.390000008</v>
      </c>
      <c r="I131" s="350">
        <f>SUM(I125:I130)</f>
        <v>0</v>
      </c>
      <c r="J131" s="350">
        <f>SUM(J125:J130)</f>
        <v>-2451225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374723464.63</v>
      </c>
      <c r="E142" s="110">
        <f>'Recaudo Directa Occidente'!F21</f>
        <v>0</v>
      </c>
      <c r="F142" s="110">
        <f>D28+N28</f>
        <v>3856721.63</v>
      </c>
      <c r="G142" s="110">
        <f>D66+N66</f>
        <v>-134910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134910</v>
      </c>
      <c r="K142" s="111">
        <f t="shared" si="56"/>
        <v>3856721.63</v>
      </c>
      <c r="L142" s="525">
        <f>D142-E142-F142-G142-J142-H142-I142</f>
        <v>370866743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1015999512.3100001</v>
      </c>
      <c r="E143" s="18">
        <f>'Recaudo Directa Occidente'!F22</f>
        <v>0</v>
      </c>
      <c r="F143" s="18">
        <f>D29+N29</f>
        <v>44529691.310000002</v>
      </c>
      <c r="G143" s="18">
        <f>D67+N67</f>
        <v>-945063</v>
      </c>
      <c r="H143" s="18">
        <f>D86+N86</f>
        <v>0</v>
      </c>
      <c r="I143" s="18">
        <f>('REPORTE RECAUDO x BANCO'!E76)</f>
        <v>0</v>
      </c>
      <c r="J143" s="18">
        <f t="shared" si="56"/>
        <v>464154</v>
      </c>
      <c r="K143" s="83">
        <f t="shared" si="56"/>
        <v>44529691.310000002</v>
      </c>
      <c r="L143" s="525">
        <f>D143-E143-F143-G143-J143-H143-I143</f>
        <v>971950730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439315586.27999997</v>
      </c>
      <c r="E144" s="18">
        <f>'Recaudo Directa Occidente'!F23</f>
        <v>0</v>
      </c>
      <c r="F144" s="18">
        <f>D30+N30</f>
        <v>2205351.2800000003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2205351.2800000003</v>
      </c>
      <c r="L144" s="525">
        <f>D144-E144-F144-G144-J144-H144-I144</f>
        <v>437110235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602517466.45000005</v>
      </c>
      <c r="E145" s="18">
        <f>'Recaudo Directa Occidente'!F24</f>
        <v>0</v>
      </c>
      <c r="F145" s="18">
        <f>D31+N31</f>
        <v>3374812.45</v>
      </c>
      <c r="G145" s="18">
        <f>D69+N69</f>
        <v>-1371252</v>
      </c>
      <c r="H145" s="18">
        <f>D88+N88</f>
        <v>0</v>
      </c>
      <c r="I145" s="18">
        <f>('REPORTE RECAUDO x BANCO'!E78)</f>
        <v>0</v>
      </c>
      <c r="J145" s="18">
        <f t="shared" si="56"/>
        <v>850737</v>
      </c>
      <c r="K145" s="83">
        <f t="shared" si="56"/>
        <v>3374812.45</v>
      </c>
      <c r="L145" s="525">
        <f>D145-E145-F145-G145-J145-H145-I145</f>
        <v>599663169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177092639.72</v>
      </c>
      <c r="E146" s="18">
        <f>'Recaudo Directa Occidente'!F25</f>
        <v>0</v>
      </c>
      <c r="F146" s="134">
        <f>D32+N32</f>
        <v>1186886.72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1186886.72</v>
      </c>
      <c r="L146" s="525">
        <f>D146-E146-F146-G146-J146-H146-I146</f>
        <v>175905753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2609648669.3899999</v>
      </c>
      <c r="E147" s="47">
        <f>SUM(E142:E146)</f>
        <v>0</v>
      </c>
      <c r="F147" s="47">
        <f t="shared" ref="F147:K147" si="58">SUM(F142:F146)</f>
        <v>55153463.390000008</v>
      </c>
      <c r="G147" s="47">
        <f t="shared" si="58"/>
        <v>-2451225</v>
      </c>
      <c r="H147" s="47">
        <f t="shared" si="58"/>
        <v>0</v>
      </c>
      <c r="I147" s="47">
        <f t="shared" si="58"/>
        <v>0</v>
      </c>
      <c r="J147" s="47">
        <f t="shared" si="58"/>
        <v>1449801</v>
      </c>
      <c r="K147" s="47">
        <f t="shared" si="58"/>
        <v>55153463.390000008</v>
      </c>
      <c r="L147" s="525">
        <f>SUM(L142:L146)</f>
        <v>2555496630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332031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332031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370866743</v>
      </c>
      <c r="D3" s="292">
        <f>'REMUNERACION_OCCIDENTE_ Directa'!G125</f>
        <v>134910</v>
      </c>
      <c r="E3" s="292">
        <f>'REMUNERACION_OCCIDENTE_ Directa'!D28+'REMUNERACION_OCCIDENTE_ Directa'!N28</f>
        <v>3856721.63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374858374.63</v>
      </c>
      <c r="I3" s="291">
        <f>'REMUNERACION_OCCIDENTE_ Directa'!D104</f>
        <v>347479005.47999996</v>
      </c>
      <c r="J3" s="292">
        <f>'REMUNERACION_OCCIDENTE_ Directa'!N104</f>
        <v>9993768.9299999997</v>
      </c>
      <c r="K3" s="292">
        <f>'REMUNERACION_OCCIDENTE_ Directa'!D125</f>
        <v>17250690.219999999</v>
      </c>
      <c r="L3" s="353">
        <f>'REMUNERACION_OCCIDENTE_ Directa'!E125</f>
        <v>0</v>
      </c>
      <c r="M3" s="292">
        <f>-'REMUNERACION_OCCIDENTE_ Directa'!D66-'REMUNERACION_OCCIDENTE_ Directa'!N66</f>
        <v>134910</v>
      </c>
      <c r="N3" s="288">
        <f>SUM(I3:M3)</f>
        <v>374858374.63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971950730</v>
      </c>
      <c r="D4" s="292">
        <f>'REMUNERACION_OCCIDENTE_ Directa'!G126</f>
        <v>464154</v>
      </c>
      <c r="E4" s="292">
        <f>'REMUNERACION_OCCIDENTE_ Directa'!D29+'REMUNERACION_OCCIDENTE_ Directa'!N29</f>
        <v>44529691.310000002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1016944575.3099999</v>
      </c>
      <c r="I4" s="291">
        <f>'REMUNERACION_OCCIDENTE_ Directa'!D105</f>
        <v>982936724.74000001</v>
      </c>
      <c r="J4" s="292">
        <f>'REMUNERACION_OCCIDENTE_ Directa'!N105</f>
        <v>3112272.6</v>
      </c>
      <c r="K4" s="292">
        <f>'REMUNERACION_OCCIDENTE_ Directa'!D126</f>
        <v>29950514.969999999</v>
      </c>
      <c r="L4" s="353">
        <f>'REMUNERACION_OCCIDENTE_ Directa'!E126</f>
        <v>0</v>
      </c>
      <c r="M4" s="292">
        <f>-'REMUNERACION_OCCIDENTE_ Directa'!D67-'REMUNERACION_OCCIDENTE_ Directa'!N67</f>
        <v>945063</v>
      </c>
      <c r="N4" s="318">
        <f>SUM(I4:M4)</f>
        <v>1016944575.3100001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437110235</v>
      </c>
      <c r="D5" s="292">
        <f>'REMUNERACION_OCCIDENTE_ Directa'!G127</f>
        <v>0</v>
      </c>
      <c r="E5" s="292">
        <f>'REMUNERACION_OCCIDENTE_ Directa'!D30+'REMUNERACION_OCCIDENTE_ Directa'!N30</f>
        <v>2205351.2800000003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439315586.27999997</v>
      </c>
      <c r="I5" s="291">
        <f>'REMUNERACION_OCCIDENTE_ Directa'!D106</f>
        <v>429594685.46999997</v>
      </c>
      <c r="J5" s="292">
        <f>'REMUNERACION_OCCIDENTE_ Directa'!N106</f>
        <v>4811611.8099999996</v>
      </c>
      <c r="K5" s="292">
        <f>'REMUNERACION_OCCIDENTE_ Directa'!D127</f>
        <v>4909289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439315586.27999997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599663169</v>
      </c>
      <c r="D6" s="292">
        <f>'REMUNERACION_OCCIDENTE_ Directa'!G128</f>
        <v>850737</v>
      </c>
      <c r="E6" s="292">
        <f>'REMUNERACION_OCCIDENTE_ Directa'!D31+'REMUNERACION_OCCIDENTE_ Directa'!N31</f>
        <v>3374812.45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603888718.45000005</v>
      </c>
      <c r="I6" s="291">
        <f>'REMUNERACION_OCCIDENTE_ Directa'!D107</f>
        <v>594430569.70000005</v>
      </c>
      <c r="J6" s="292">
        <f>'REMUNERACION_OCCIDENTE_ Directa'!N107</f>
        <v>670762.75</v>
      </c>
      <c r="K6" s="292">
        <f>'REMUNERACION_OCCIDENTE_ Directa'!D128</f>
        <v>7416134</v>
      </c>
      <c r="L6" s="353">
        <f>'REMUNERACION_OCCIDENTE_ Directa'!E128</f>
        <v>0</v>
      </c>
      <c r="M6" s="292">
        <f>-'REMUNERACION_OCCIDENTE_ Directa'!D69-'REMUNERACION_OCCIDENTE_ Directa'!N69</f>
        <v>1371252</v>
      </c>
      <c r="N6" s="318">
        <f t="shared" ref="N6:N7" si="3">SUM(I6:M6)</f>
        <v>603888718.45000005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175905753</v>
      </c>
      <c r="D7" s="292">
        <f>'REMUNERACION_OCCIDENTE_ Directa'!G129</f>
        <v>0</v>
      </c>
      <c r="E7" s="292">
        <f>'REMUNERACION_OCCIDENTE_ Directa'!D32+'REMUNERACION_OCCIDENTE_ Directa'!N32</f>
        <v>1186886.72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177092639.72</v>
      </c>
      <c r="I7" s="291">
        <f>'REMUNERACION_OCCIDENTE_ Directa'!D108</f>
        <v>172752158.53</v>
      </c>
      <c r="J7" s="292">
        <f>'REMUNERACION_OCCIDENTE_ Directa'!N108</f>
        <v>1908241.19</v>
      </c>
      <c r="K7" s="292">
        <f>'REMUNERACION_OCCIDENTE_ Directa'!D129</f>
        <v>2432240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177092639.72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2555496630</v>
      </c>
      <c r="D9" s="290">
        <f t="shared" ref="D9:M9" si="4">SUM(D3:D8)</f>
        <v>1449801</v>
      </c>
      <c r="E9" s="290">
        <f>SUM(E3:E8)</f>
        <v>55153463.390000008</v>
      </c>
      <c r="F9" s="290">
        <f t="shared" si="4"/>
        <v>0</v>
      </c>
      <c r="G9" s="290">
        <f t="shared" si="4"/>
        <v>0</v>
      </c>
      <c r="H9" s="290">
        <f t="shared" si="4"/>
        <v>2612099894.3899999</v>
      </c>
      <c r="I9" s="290">
        <f t="shared" si="4"/>
        <v>2527193143.9200006</v>
      </c>
      <c r="J9" s="290">
        <f t="shared" si="4"/>
        <v>20496657.280000001</v>
      </c>
      <c r="K9" s="290">
        <f t="shared" si="4"/>
        <v>61958868.189999998</v>
      </c>
      <c r="L9" s="290">
        <f t="shared" si="4"/>
        <v>0</v>
      </c>
      <c r="M9" s="290">
        <f t="shared" si="4"/>
        <v>2451225</v>
      </c>
      <c r="N9" s="290">
        <f>SUM(N3:N8)</f>
        <v>2612099894.3899999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2555496630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33203125" style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46296</v>
      </c>
      <c r="J7" s="2" t="s">
        <v>28</v>
      </c>
      <c r="K7" s="9">
        <f>'REMUNERACION_OCCIDENTE_ Directa'!K102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347479005.47999996</v>
      </c>
      <c r="E9" s="66">
        <f>'REMUNERACION_OCCIDENTE_ Directa'!E104</f>
        <v>33581285.950000003</v>
      </c>
      <c r="F9" s="66">
        <f>'REMUNERACION_OCCIDENTE_ Directa'!F104</f>
        <v>18680684.449999999</v>
      </c>
      <c r="G9" s="66">
        <f>'REMUNERACION_OCCIDENTE_ Directa'!G104</f>
        <v>9988020.9199999999</v>
      </c>
      <c r="H9" s="66">
        <f>'REMUNERACION_OCCIDENTE_ Directa'!H104</f>
        <v>39110786.109999999</v>
      </c>
      <c r="I9" s="66">
        <f>'REMUNERACION_OCCIDENTE_ Directa'!I104</f>
        <v>1161652.6499999999</v>
      </c>
      <c r="J9" s="66">
        <f>'REMUNERACION_OCCIDENTE_ Directa'!J104</f>
        <v>0</v>
      </c>
      <c r="K9" s="30">
        <f>D9-E9-F9-G9-H9-I9-J9</f>
        <v>244956575.39999995</v>
      </c>
      <c r="L9" s="66">
        <f>'REMUNERACION_OCCIDENTE_ Directa'!L104</f>
        <v>0</v>
      </c>
      <c r="M9" s="30">
        <f>K9-L9</f>
        <v>244956575.39999995</v>
      </c>
      <c r="N9" s="66">
        <f>'REMUNERACION_OCCIDENTE_ Directa'!N104</f>
        <v>9993768.9299999997</v>
      </c>
      <c r="O9" s="30">
        <f>M9+N9</f>
        <v>254950344.32999995</v>
      </c>
      <c r="Q9" s="4"/>
      <c r="S9" s="14">
        <v>1</v>
      </c>
      <c r="T9" s="61" t="s">
        <v>10</v>
      </c>
      <c r="U9" s="66">
        <f>'REMUNERACION_OCCIDENTE_ Directa'!U104</f>
        <v>10150547.140000001</v>
      </c>
      <c r="V9" s="66">
        <f>'REMUNERACION_OCCIDENTE_ Directa'!V104</f>
        <v>12938213.059999999</v>
      </c>
      <c r="W9" s="66">
        <f>'REMUNERACION_OCCIDENTE_ Directa'!W104</f>
        <v>61175845.509999998</v>
      </c>
      <c r="X9" s="66">
        <f>'REMUNERACION_OCCIDENTE_ Directa'!X104</f>
        <v>91659808.629999995</v>
      </c>
      <c r="Y9" s="66">
        <f>'REMUNERACION_OCCIDENTE_ Directa'!Y104</f>
        <v>1897066.05</v>
      </c>
      <c r="Z9" s="66">
        <f>'REMUNERACION_OCCIDENTE_ Directa'!Z104</f>
        <v>0</v>
      </c>
      <c r="AA9" s="66">
        <f>'REMUNERACION_OCCIDENTE_ Directa'!AA104</f>
        <v>-3571.28</v>
      </c>
      <c r="AB9" s="66">
        <f>'REMUNERACION_OCCIDENTE_ Directa'!AB104</f>
        <v>9993768.9299999997</v>
      </c>
      <c r="AC9" s="66">
        <f>'REMUNERACION_OCCIDENTE_ Directa'!AC104</f>
        <v>0.09</v>
      </c>
      <c r="AD9" s="66">
        <f>'REMUNERACION_OCCIDENTE_ Directa'!AD104</f>
        <v>64278052.549999997</v>
      </c>
      <c r="AE9" s="66">
        <f>'REMUNERACION_OCCIDENTE_ Directa'!AE104</f>
        <v>64278052.549999997</v>
      </c>
      <c r="AF9" s="69">
        <f>SUM(U9:AD9)</f>
        <v>252089730.68000001</v>
      </c>
      <c r="AG9" s="71">
        <f>AF9-O9</f>
        <v>-2860613.6499999464</v>
      </c>
      <c r="AH9" s="1" t="b">
        <f>INT(AG9)=0</f>
        <v>0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982936724.74000001</v>
      </c>
      <c r="E10" s="66">
        <f>'REMUNERACION_OCCIDENTE_ Directa'!E105</f>
        <v>112268360.98000002</v>
      </c>
      <c r="F10" s="66">
        <f>'REMUNERACION_OCCIDENTE_ Directa'!F105</f>
        <v>61941843.759999998</v>
      </c>
      <c r="G10" s="66">
        <f>'REMUNERACION_OCCIDENTE_ Directa'!G105</f>
        <v>32720417.27</v>
      </c>
      <c r="H10" s="66">
        <f>'REMUNERACION_OCCIDENTE_ Directa'!H105</f>
        <v>116008334.81999999</v>
      </c>
      <c r="I10" s="66">
        <f>'REMUNERACION_OCCIDENTE_ Directa'!I105</f>
        <v>3014304.8600000003</v>
      </c>
      <c r="J10" s="66">
        <f>'REMUNERACION_OCCIDENTE_ Directa'!J105</f>
        <v>0</v>
      </c>
      <c r="K10" s="31">
        <f t="shared" ref="K10:K13" si="0">D10-E10-F10-G10-H10-I10-J10</f>
        <v>656983463.05000007</v>
      </c>
      <c r="L10" s="66">
        <f>'REMUNERACION_OCCIDENTE_ Directa'!L105</f>
        <v>0</v>
      </c>
      <c r="M10" s="31">
        <f>K10-L10</f>
        <v>656983463.05000007</v>
      </c>
      <c r="N10" s="66">
        <f>'REMUNERACION_OCCIDENTE_ Directa'!N105</f>
        <v>3112272.6</v>
      </c>
      <c r="O10" s="31">
        <f t="shared" ref="O10:O13" si="1">M10+N10</f>
        <v>660095735.6500001</v>
      </c>
      <c r="Q10" s="4"/>
      <c r="S10" s="16">
        <v>2</v>
      </c>
      <c r="T10" s="62" t="s">
        <v>11</v>
      </c>
      <c r="U10" s="66">
        <f>'REMUNERACION_OCCIDENTE_ Directa'!U105</f>
        <v>27139904.98</v>
      </c>
      <c r="V10" s="66">
        <f>'REMUNERACION_OCCIDENTE_ Directa'!V105</f>
        <v>36459915.640000001</v>
      </c>
      <c r="W10" s="66">
        <f>'REMUNERACION_OCCIDENTE_ Directa'!W105</f>
        <v>171633561.22</v>
      </c>
      <c r="X10" s="66">
        <f>'REMUNERACION_OCCIDENTE_ Directa'!X105</f>
        <v>222885045.02000001</v>
      </c>
      <c r="Y10" s="66">
        <f>'REMUNERACION_OCCIDENTE_ Directa'!Y105</f>
        <v>4938205.57</v>
      </c>
      <c r="Z10" s="66">
        <f>'REMUNERACION_OCCIDENTE_ Directa'!Z105</f>
        <v>0</v>
      </c>
      <c r="AA10" s="66">
        <f>'REMUNERACION_OCCIDENTE_ Directa'!AA105</f>
        <v>-936.52</v>
      </c>
      <c r="AB10" s="66">
        <f>'REMUNERACION_OCCIDENTE_ Directa'!AB105</f>
        <v>3112272.6</v>
      </c>
      <c r="AC10" s="66">
        <f>'REMUNERACION_OCCIDENTE_ Directa'!AC105</f>
        <v>-56258.879999999997</v>
      </c>
      <c r="AD10" s="66">
        <f>'REMUNERACION_OCCIDENTE_ Directa'!AD105</f>
        <v>153226925.48000002</v>
      </c>
      <c r="AE10" s="66">
        <f>'REMUNERACION_OCCIDENTE_ Directa'!AE105</f>
        <v>153226925.48000002</v>
      </c>
      <c r="AF10" s="70">
        <f>SUM(U10:AD10)</f>
        <v>619338635.11000013</v>
      </c>
      <c r="AG10" s="72">
        <f>AF10-O10</f>
        <v>-40757100.539999962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429594685.46999997</v>
      </c>
      <c r="E11" s="66">
        <f>'REMUNERACION_OCCIDENTE_ Directa'!E106</f>
        <v>49563321.700000003</v>
      </c>
      <c r="F11" s="66">
        <f>'REMUNERACION_OCCIDENTE_ Directa'!F106</f>
        <v>27986809.16</v>
      </c>
      <c r="G11" s="66">
        <f>'REMUNERACION_OCCIDENTE_ Directa'!G106</f>
        <v>14662575.93</v>
      </c>
      <c r="H11" s="66">
        <f>'REMUNERACION_OCCIDENTE_ Directa'!H106</f>
        <v>22403066.969999999</v>
      </c>
      <c r="I11" s="66">
        <f>'REMUNERACION_OCCIDENTE_ Directa'!I106</f>
        <v>650470.14</v>
      </c>
      <c r="J11" s="66">
        <f>'REMUNERACION_OCCIDENTE_ Directa'!J106</f>
        <v>0</v>
      </c>
      <c r="K11" s="31">
        <f t="shared" si="0"/>
        <v>314328441.56999993</v>
      </c>
      <c r="L11" s="66">
        <f>'REMUNERACION_OCCIDENTE_ Directa'!L106</f>
        <v>0</v>
      </c>
      <c r="M11" s="31">
        <f>K11-L11</f>
        <v>314328441.56999993</v>
      </c>
      <c r="N11" s="66">
        <f>'REMUNERACION_OCCIDENTE_ Directa'!N106</f>
        <v>4811611.8099999996</v>
      </c>
      <c r="O11" s="31">
        <f t="shared" si="1"/>
        <v>319140053.37999994</v>
      </c>
      <c r="Q11" s="4"/>
      <c r="S11" s="16">
        <v>3</v>
      </c>
      <c r="T11" s="62" t="s">
        <v>12</v>
      </c>
      <c r="U11" s="66">
        <f>'REMUNERACION_OCCIDENTE_ Directa'!U106</f>
        <v>5717940.3899999997</v>
      </c>
      <c r="V11" s="66">
        <f>'REMUNERACION_OCCIDENTE_ Directa'!V106</f>
        <v>7429546.7400000002</v>
      </c>
      <c r="W11" s="66">
        <f>'REMUNERACION_OCCIDENTE_ Directa'!W106</f>
        <v>35091268.950000003</v>
      </c>
      <c r="X11" s="66">
        <f>'REMUNERACION_OCCIDENTE_ Directa'!X106</f>
        <v>117367146.56</v>
      </c>
      <c r="Y11" s="66">
        <f>'REMUNERACION_OCCIDENTE_ Directa'!Y106</f>
        <v>1068975.6200000001</v>
      </c>
      <c r="Z11" s="66">
        <f>'REMUNERACION_OCCIDENTE_ Directa'!Z106</f>
        <v>0</v>
      </c>
      <c r="AA11" s="66">
        <f>'REMUNERACION_OCCIDENTE_ Directa'!AA106</f>
        <v>794.57</v>
      </c>
      <c r="AB11" s="66">
        <f>'REMUNERACION_OCCIDENTE_ Directa'!AB106</f>
        <v>4811611.8099999996</v>
      </c>
      <c r="AC11" s="66">
        <f>'REMUNERACION_OCCIDENTE_ Directa'!AC106</f>
        <v>-41621.01</v>
      </c>
      <c r="AD11" s="66">
        <f>'REMUNERACION_OCCIDENTE_ Directa'!AD106</f>
        <v>146054619.53</v>
      </c>
      <c r="AE11" s="66">
        <f>'REMUNERACION_OCCIDENTE_ Directa'!AE106</f>
        <v>146054619.53</v>
      </c>
      <c r="AF11" s="70">
        <f>SUM(U11:AD11)</f>
        <v>317500283.15999997</v>
      </c>
      <c r="AG11" s="72">
        <f>AF11-O11</f>
        <v>-1639770.219999969</v>
      </c>
      <c r="AH11" s="1" t="b">
        <f t="shared" si="2"/>
        <v>0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594430569.70000005</v>
      </c>
      <c r="E12" s="66">
        <f>'REMUNERACION_OCCIDENTE_ Directa'!E107</f>
        <v>52006005.950000003</v>
      </c>
      <c r="F12" s="66">
        <f>'REMUNERACION_OCCIDENTE_ Directa'!F107</f>
        <v>28556754.439999998</v>
      </c>
      <c r="G12" s="66">
        <f>'REMUNERACION_OCCIDENTE_ Directa'!G107</f>
        <v>15612684.969999999</v>
      </c>
      <c r="H12" s="66">
        <f>'REMUNERACION_OCCIDENTE_ Directa'!H107</f>
        <v>64011028.090000004</v>
      </c>
      <c r="I12" s="66">
        <f>'REMUNERACION_OCCIDENTE_ Directa'!I107</f>
        <v>1840038.8800000001</v>
      </c>
      <c r="J12" s="66">
        <f>'REMUNERACION_OCCIDENTE_ Directa'!J107</f>
        <v>0</v>
      </c>
      <c r="K12" s="31">
        <f t="shared" si="0"/>
        <v>432404057.37</v>
      </c>
      <c r="L12" s="66">
        <f>'REMUNERACION_OCCIDENTE_ Directa'!L107</f>
        <v>0</v>
      </c>
      <c r="M12" s="31">
        <f>K12-L12</f>
        <v>432404057.37</v>
      </c>
      <c r="N12" s="66">
        <f>'REMUNERACION_OCCIDENTE_ Directa'!N107</f>
        <v>670762.75</v>
      </c>
      <c r="O12" s="31">
        <f t="shared" si="1"/>
        <v>433074820.12</v>
      </c>
      <c r="Q12" s="4"/>
      <c r="S12" s="16">
        <v>4</v>
      </c>
      <c r="T12" s="62" t="s">
        <v>13</v>
      </c>
      <c r="U12" s="66">
        <f>'REMUNERACION_OCCIDENTE_ Directa'!U107</f>
        <v>15989400.669999998</v>
      </c>
      <c r="V12" s="66">
        <f>'REMUNERACION_OCCIDENTE_ Directa'!V107</f>
        <v>20824227.509999998</v>
      </c>
      <c r="W12" s="66">
        <f>'REMUNERACION_OCCIDENTE_ Directa'!W107</f>
        <v>105700447.3</v>
      </c>
      <c r="X12" s="66">
        <f>'REMUNERACION_OCCIDENTE_ Directa'!X107</f>
        <v>137726820.66</v>
      </c>
      <c r="Y12" s="66">
        <f>'REMUNERACION_OCCIDENTE_ Directa'!Y107</f>
        <v>3022928.99</v>
      </c>
      <c r="Z12" s="66">
        <f>'REMUNERACION_OCCIDENTE_ Directa'!Z107</f>
        <v>0</v>
      </c>
      <c r="AA12" s="66">
        <f>'REMUNERACION_OCCIDENTE_ Directa'!AA107</f>
        <v>320.89000000000004</v>
      </c>
      <c r="AB12" s="66">
        <f>'REMUNERACION_OCCIDENTE_ Directa'!AB107</f>
        <v>670762.75</v>
      </c>
      <c r="AC12" s="66">
        <f>'REMUNERACION_OCCIDENTE_ Directa'!AC107</f>
        <v>0.19999999999999998</v>
      </c>
      <c r="AD12" s="66">
        <f>'REMUNERACION_OCCIDENTE_ Directa'!AD107</f>
        <v>147393194.20000002</v>
      </c>
      <c r="AE12" s="66">
        <f>'REMUNERACION_OCCIDENTE_ Directa'!AE107</f>
        <v>147393194.20000002</v>
      </c>
      <c r="AF12" s="70">
        <f>SUM(U12:AD12)</f>
        <v>431328103.16999996</v>
      </c>
      <c r="AG12" s="72">
        <f>AF12-O12</f>
        <v>-1746716.9500000477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172752158.53</v>
      </c>
      <c r="E13" s="66">
        <f>'REMUNERACION_OCCIDENTE_ Directa'!E108</f>
        <v>16252936.57</v>
      </c>
      <c r="F13" s="66">
        <f>'REMUNERACION_OCCIDENTE_ Directa'!F108</f>
        <v>8882611.3300000001</v>
      </c>
      <c r="G13" s="66">
        <f>'REMUNERACION_OCCIDENTE_ Directa'!G108</f>
        <v>4769708.84</v>
      </c>
      <c r="H13" s="66">
        <f>'REMUNERACION_OCCIDENTE_ Directa'!H108</f>
        <v>12689130.529999999</v>
      </c>
      <c r="I13" s="66">
        <f>'REMUNERACION_OCCIDENTE_ Directa'!I108</f>
        <v>523491.14</v>
      </c>
      <c r="J13" s="66">
        <f>'REMUNERACION_OCCIDENTE_ Directa'!J108</f>
        <v>0</v>
      </c>
      <c r="K13" s="31">
        <f t="shared" si="0"/>
        <v>129634280.11999999</v>
      </c>
      <c r="L13" s="66">
        <f>'REMUNERACION_OCCIDENTE_ Directa'!L108</f>
        <v>0</v>
      </c>
      <c r="M13" s="40">
        <f>K13-L13</f>
        <v>129634280.11999999</v>
      </c>
      <c r="N13" s="66">
        <f>'REMUNERACION_OCCIDENTE_ Directa'!N108</f>
        <v>1908241.19</v>
      </c>
      <c r="O13" s="40">
        <f t="shared" si="1"/>
        <v>131542521.30999999</v>
      </c>
      <c r="Q13" s="4"/>
      <c r="S13" s="19">
        <v>5</v>
      </c>
      <c r="T13" s="63" t="s">
        <v>14</v>
      </c>
      <c r="U13" s="66">
        <f>'REMUNERACION_OCCIDENTE_ Directa'!U108</f>
        <v>4671973.0999999996</v>
      </c>
      <c r="V13" s="66">
        <f>'REMUNERACION_OCCIDENTE_ Directa'!V108</f>
        <v>5604579.4400000004</v>
      </c>
      <c r="W13" s="66">
        <f>'REMUNERACION_OCCIDENTE_ Directa'!W108</f>
        <v>30069445.420000002</v>
      </c>
      <c r="X13" s="66">
        <f>'REMUNERACION_OCCIDENTE_ Directa'!X108</f>
        <v>48380758.240000002</v>
      </c>
      <c r="Y13" s="66">
        <f>'REMUNERACION_OCCIDENTE_ Directa'!Y108</f>
        <v>859953.88</v>
      </c>
      <c r="Z13" s="66">
        <f>'REMUNERACION_OCCIDENTE_ Directa'!Z108</f>
        <v>0</v>
      </c>
      <c r="AA13" s="66">
        <f>'REMUNERACION_OCCIDENTE_ Directa'!AA108</f>
        <v>-712.59</v>
      </c>
      <c r="AB13" s="66">
        <f>'REMUNERACION_OCCIDENTE_ Directa'!AB108</f>
        <v>1908241.19</v>
      </c>
      <c r="AC13" s="66">
        <f>'REMUNERACION_OCCIDENTE_ Directa'!AC108</f>
        <v>4.9999999999999996E-2</v>
      </c>
      <c r="AD13" s="66">
        <f>'REMUNERACION_OCCIDENTE_ Directa'!AD108</f>
        <v>38779305.009999998</v>
      </c>
      <c r="AE13" s="66">
        <f>'REMUNERACION_OCCIDENTE_ Directa'!AE108</f>
        <v>38779305.009999998</v>
      </c>
      <c r="AF13" s="70">
        <f>SUM(U13:AD13)</f>
        <v>130273543.73999998</v>
      </c>
      <c r="AG13" s="369">
        <f>AF13-O13</f>
        <v>-1268977.5700000077</v>
      </c>
      <c r="AH13" s="1" t="b">
        <f t="shared" si="2"/>
        <v>0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2527193143.9200006</v>
      </c>
      <c r="E14" s="43">
        <f t="shared" si="3"/>
        <v>263671911.14999998</v>
      </c>
      <c r="F14" s="43">
        <f t="shared" si="3"/>
        <v>146048703.14000002</v>
      </c>
      <c r="G14" s="43">
        <f t="shared" si="3"/>
        <v>77753407.930000007</v>
      </c>
      <c r="H14" s="43">
        <f t="shared" si="3"/>
        <v>254222346.52000001</v>
      </c>
      <c r="I14" s="43">
        <f t="shared" si="3"/>
        <v>7189957.6699999999</v>
      </c>
      <c r="J14" s="43">
        <f t="shared" si="3"/>
        <v>0</v>
      </c>
      <c r="K14" s="32">
        <f t="shared" si="3"/>
        <v>1778306817.5099998</v>
      </c>
      <c r="L14" s="23">
        <f t="shared" si="3"/>
        <v>0</v>
      </c>
      <c r="M14" s="76">
        <f t="shared" si="3"/>
        <v>1778306817.5099998</v>
      </c>
      <c r="N14" s="23">
        <f t="shared" si="3"/>
        <v>20496657.280000001</v>
      </c>
      <c r="O14" s="76">
        <f t="shared" si="3"/>
        <v>1798803474.79</v>
      </c>
      <c r="P14" s="2"/>
      <c r="Q14" s="4"/>
      <c r="S14" s="21"/>
      <c r="T14" s="22" t="s">
        <v>119</v>
      </c>
      <c r="U14" s="43">
        <f>SUM(U9:U13)</f>
        <v>63669766.280000009</v>
      </c>
      <c r="V14" s="43">
        <f t="shared" ref="V14:AG14" si="4">SUM(V9:V13)</f>
        <v>83256482.390000001</v>
      </c>
      <c r="W14" s="43">
        <f t="shared" si="4"/>
        <v>403670568.40000004</v>
      </c>
      <c r="X14" s="43">
        <f t="shared" si="4"/>
        <v>618019579.11000001</v>
      </c>
      <c r="Y14" s="43">
        <f t="shared" si="4"/>
        <v>11787130.110000001</v>
      </c>
      <c r="Z14" s="43">
        <f t="shared" si="4"/>
        <v>0</v>
      </c>
      <c r="AA14" s="43">
        <f t="shared" si="4"/>
        <v>-4104.93</v>
      </c>
      <c r="AB14" s="43">
        <f t="shared" si="4"/>
        <v>20496657.280000001</v>
      </c>
      <c r="AC14" s="43">
        <f t="shared" si="4"/>
        <v>-97879.55</v>
      </c>
      <c r="AD14" s="43">
        <f t="shared" si="4"/>
        <v>549732096.7700001</v>
      </c>
      <c r="AE14" s="43">
        <f>SUM(AE9:AE13)</f>
        <v>549732096.7700001</v>
      </c>
      <c r="AF14" s="68">
        <f t="shared" si="4"/>
        <v>1750530295.8600004</v>
      </c>
      <c r="AG14" s="43">
        <f t="shared" si="4"/>
        <v>-48273178.929999933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1180403526.29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46296</v>
      </c>
      <c r="J27" s="2" t="s">
        <v>28</v>
      </c>
      <c r="K27" s="9">
        <f>'REMUNERACION_OCCIDENTE_ Directa'!K122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17250690.219999999</v>
      </c>
      <c r="E30" s="111">
        <f>'REMUNERACION_OCCIDENTE_ Directa'!E125</f>
        <v>0</v>
      </c>
      <c r="G30" s="336">
        <f>'REMUNERACION_OCCIDENTE_ Directa'!G125</f>
        <v>134910</v>
      </c>
      <c r="H30" s="310">
        <f>'REMUNERACION_OCCIDENTE_ Directa'!H125</f>
        <v>3856721.63</v>
      </c>
      <c r="I30" s="309">
        <f>'REMUNERACION_OCCIDENTE_ Directa'!I125</f>
        <v>0</v>
      </c>
      <c r="J30" s="309">
        <f>'REMUNERACION_OCCIDENTE_ Directa'!J125</f>
        <v>-134910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29950514.969999999</v>
      </c>
      <c r="E31" s="74">
        <f>'REMUNERACION_OCCIDENTE_ Directa'!E126</f>
        <v>0</v>
      </c>
      <c r="G31" s="339">
        <f>'REMUNERACION_OCCIDENTE_ Directa'!G126</f>
        <v>464154</v>
      </c>
      <c r="H31" s="340">
        <f>'REMUNERACION_OCCIDENTE_ Directa'!H126</f>
        <v>44529691.310000002</v>
      </c>
      <c r="I31" s="288">
        <f>'REMUNERACION_OCCIDENTE_ Directa'!I126</f>
        <v>0</v>
      </c>
      <c r="J31" s="288">
        <f>'REMUNERACION_OCCIDENTE_ Directa'!J126</f>
        <v>-945063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4909289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2205351.2800000003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7416134</v>
      </c>
      <c r="E33" s="74">
        <f>'REMUNERACION_OCCIDENTE_ Directa'!E128</f>
        <v>0</v>
      </c>
      <c r="G33" s="339">
        <f>'REMUNERACION_OCCIDENTE_ Directa'!G128</f>
        <v>850737</v>
      </c>
      <c r="H33" s="340">
        <f>'REMUNERACION_OCCIDENTE_ Directa'!H128</f>
        <v>3374812.45</v>
      </c>
      <c r="I33" s="288">
        <f>'REMUNERACION_OCCIDENTE_ Directa'!I128</f>
        <v>0</v>
      </c>
      <c r="J33" s="288">
        <f>'REMUNERACION_OCCIDENTE_ Directa'!J128</f>
        <v>-1371252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2432240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1186886.72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61958868.189999998</v>
      </c>
      <c r="E36" s="107">
        <f>'REMUNERACION_OCCIDENTE_ Directa'!E131</f>
        <v>0</v>
      </c>
      <c r="F36" s="45"/>
      <c r="G36" s="350">
        <f t="shared" ref="G36:L36" si="6">SUM(G30:G34)</f>
        <v>1449801</v>
      </c>
      <c r="H36" s="350">
        <f t="shared" si="6"/>
        <v>55153463.390000008</v>
      </c>
      <c r="I36" s="350">
        <f t="shared" si="6"/>
        <v>0</v>
      </c>
      <c r="J36" s="350">
        <f t="shared" si="6"/>
        <v>-2451225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36" width="13.88671875" style="1" bestFit="1" customWidth="1"/>
    <col min="37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R1'!F100</f>
        <v>0</v>
      </c>
      <c r="E9" s="292">
        <f>'Reporte Componentes R1'!G100</f>
        <v>0</v>
      </c>
      <c r="F9" s="292">
        <f>'Reporte Componentes R1'!H100</f>
        <v>0</v>
      </c>
      <c r="G9" s="292">
        <f>'Reporte Componentes R1'!I100</f>
        <v>0</v>
      </c>
      <c r="H9" s="292">
        <f>'Reporte Componentes R1'!J100</f>
        <v>0</v>
      </c>
      <c r="I9" s="292">
        <f>'Reporte Componentes R1'!K100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R1'!M100</f>
        <v>0</v>
      </c>
      <c r="V9" s="308">
        <f>'Reporte Componentes R1'!N100</f>
        <v>0</v>
      </c>
      <c r="W9" s="308">
        <f>'Reporte Componentes R1'!O100</f>
        <v>0</v>
      </c>
      <c r="X9" s="308">
        <f>'Reporte Componentes R1'!P100</f>
        <v>0</v>
      </c>
      <c r="Y9" s="309">
        <f>'Reporte Componentes R1'!Q100</f>
        <v>0</v>
      </c>
      <c r="Z9" s="310">
        <f>L9*-1</f>
        <v>0</v>
      </c>
      <c r="AA9" s="311">
        <f>'Reporte Componentes R1'!R100+'Reporte Componentes R1'!S100</f>
        <v>0</v>
      </c>
      <c r="AB9" s="294">
        <f>N9</f>
        <v>0</v>
      </c>
      <c r="AC9" s="311">
        <f>'Reporte Componentes R1'!Z100</f>
        <v>0</v>
      </c>
      <c r="AD9" s="291">
        <f>-J9+AE9</f>
        <v>0</v>
      </c>
      <c r="AE9" s="291">
        <f>'Reporte Componentes R1'!F101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R1'!F279</f>
        <v>0</v>
      </c>
      <c r="E10" s="292">
        <f>'Reporte Componentes R1'!G279</f>
        <v>0</v>
      </c>
      <c r="F10" s="292">
        <f>'Reporte Componentes R1'!H279</f>
        <v>0</v>
      </c>
      <c r="G10" s="292">
        <f>'Reporte Componentes R1'!I279</f>
        <v>0</v>
      </c>
      <c r="H10" s="292">
        <f>'Reporte Componentes R1'!J279</f>
        <v>0</v>
      </c>
      <c r="I10" s="292">
        <f>'Reporte Componentes R1'!K279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R1'!M279</f>
        <v>0</v>
      </c>
      <c r="V10" s="317">
        <f>'Reporte Componentes R1'!N279</f>
        <v>0</v>
      </c>
      <c r="W10" s="317">
        <f>'Reporte Componentes R1'!O279</f>
        <v>0</v>
      </c>
      <c r="X10" s="317">
        <f>'Reporte Componentes R1'!P279</f>
        <v>0</v>
      </c>
      <c r="Y10" s="318">
        <f>'Reporte Componentes R1'!Q279</f>
        <v>0</v>
      </c>
      <c r="Z10" s="319">
        <f>L10*-1</f>
        <v>0</v>
      </c>
      <c r="AA10" s="320">
        <f>'Reporte Componentes R1'!R279+'Reporte Componentes R1'!S279+'Reporte Componentes R1'!T279</f>
        <v>0</v>
      </c>
      <c r="AB10" s="294">
        <f>N10</f>
        <v>0</v>
      </c>
      <c r="AC10" s="320">
        <f>'Reporte Componentes R1'!Z279</f>
        <v>0</v>
      </c>
      <c r="AD10" s="291">
        <f t="shared" ref="AD10:AD13" si="2">-J10+AE10</f>
        <v>0</v>
      </c>
      <c r="AE10" s="291">
        <f>'Reporte Componentes R1'!F280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R1'!F440</f>
        <v>0</v>
      </c>
      <c r="E11" s="292">
        <f>'Reporte Componentes R1'!G440</f>
        <v>0</v>
      </c>
      <c r="F11" s="292">
        <f>'Reporte Componentes R1'!H440</f>
        <v>0</v>
      </c>
      <c r="G11" s="292">
        <f>'Reporte Componentes R1'!I440</f>
        <v>0</v>
      </c>
      <c r="H11" s="292">
        <f>'Reporte Componentes R1'!J440</f>
        <v>0</v>
      </c>
      <c r="I11" s="292">
        <f>'Reporte Componentes R1'!K440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R1'!M440</f>
        <v>0</v>
      </c>
      <c r="V11" s="317">
        <f>'Reporte Componentes R1'!N440</f>
        <v>0</v>
      </c>
      <c r="W11" s="317">
        <f>'Reporte Componentes R1'!O440</f>
        <v>0</v>
      </c>
      <c r="X11" s="317">
        <f>'Reporte Componentes R1'!P440</f>
        <v>0</v>
      </c>
      <c r="Y11" s="318">
        <f>'Reporte Componentes R1'!Q440</f>
        <v>0</v>
      </c>
      <c r="Z11" s="319">
        <f>L11*-1</f>
        <v>0</v>
      </c>
      <c r="AA11" s="320">
        <f>'Reporte Componentes R1'!R440+'Reporte Componentes R1'!S440+'Reporte Componentes R1'!T440</f>
        <v>0</v>
      </c>
      <c r="AB11" s="294">
        <f>N11</f>
        <v>0</v>
      </c>
      <c r="AC11" s="320">
        <f>'Reporte Componentes R1'!X440</f>
        <v>0</v>
      </c>
      <c r="AD11" s="291">
        <f t="shared" si="2"/>
        <v>0</v>
      </c>
      <c r="AE11" s="291">
        <f>'Reporte Componentes R1'!F441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R1'!F593</f>
        <v>0</v>
      </c>
      <c r="E12" s="292">
        <f>'Reporte Componentes R1'!G593</f>
        <v>0</v>
      </c>
      <c r="F12" s="292">
        <f>'Reporte Componentes R1'!H593</f>
        <v>0</v>
      </c>
      <c r="G12" s="292">
        <f>'Reporte Componentes R1'!I593</f>
        <v>0</v>
      </c>
      <c r="H12" s="292">
        <f>'Reporte Componentes R1'!J593</f>
        <v>0</v>
      </c>
      <c r="I12" s="292">
        <f>'Reporte Componentes R1'!K593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R1'!M593</f>
        <v>0</v>
      </c>
      <c r="V12" s="317">
        <f>'Reporte Componentes R1'!N593</f>
        <v>0</v>
      </c>
      <c r="W12" s="317">
        <f>'Reporte Componentes R1'!O593</f>
        <v>0</v>
      </c>
      <c r="X12" s="317">
        <f>'Reporte Componentes R1'!P593</f>
        <v>0</v>
      </c>
      <c r="Y12" s="318">
        <f>'Reporte Componentes R1'!Q593</f>
        <v>0</v>
      </c>
      <c r="Z12" s="319">
        <f>L12*-1</f>
        <v>0</v>
      </c>
      <c r="AA12" s="320">
        <f>'Reporte Componentes R1'!R593+'Reporte Componentes R1'!S593</f>
        <v>0</v>
      </c>
      <c r="AB12" s="294">
        <f>N12</f>
        <v>0</v>
      </c>
      <c r="AC12" s="320">
        <f>'Reporte Componentes R1'!X593</f>
        <v>0</v>
      </c>
      <c r="AD12" s="291">
        <f t="shared" si="2"/>
        <v>0</v>
      </c>
      <c r="AE12" s="291">
        <f>'Reporte Componentes R1'!F594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R1'!F705</f>
        <v>0</v>
      </c>
      <c r="E13" s="297">
        <f>'Reporte Componentes R1'!G705</f>
        <v>0</v>
      </c>
      <c r="F13" s="297">
        <f>'Reporte Componentes R1'!H705</f>
        <v>0</v>
      </c>
      <c r="G13" s="297">
        <f>'Reporte Componentes R1'!I705</f>
        <v>0</v>
      </c>
      <c r="H13" s="297">
        <f>'Reporte Componentes R1'!J705</f>
        <v>0</v>
      </c>
      <c r="I13" s="297">
        <f>'Reporte Componentes R1'!K705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R1'!M705</f>
        <v>0</v>
      </c>
      <c r="V13" s="297">
        <f>'Reporte Componentes R1'!N705</f>
        <v>0</v>
      </c>
      <c r="W13" s="297">
        <f>'Reporte Componentes R1'!O705</f>
        <v>0</v>
      </c>
      <c r="X13" s="297">
        <f>'Reporte Componentes R1'!P705</f>
        <v>0</v>
      </c>
      <c r="Y13" s="289">
        <f>'Reporte Componentes R1'!Q705</f>
        <v>0</v>
      </c>
      <c r="Z13" s="319">
        <f>L13*-1</f>
        <v>0</v>
      </c>
      <c r="AA13" s="320">
        <f>'Reporte Componentes R1'!R705+'Reporte Componentes R1'!S705+'Reporte Componentes R1'!T705</f>
        <v>0</v>
      </c>
      <c r="AB13" s="294">
        <f>N13</f>
        <v>0</v>
      </c>
      <c r="AC13" s="320">
        <f>'Reporte Componentes R1'!X705</f>
        <v>0</v>
      </c>
      <c r="AD13" s="291">
        <f t="shared" si="2"/>
        <v>0</v>
      </c>
      <c r="AE13" s="291">
        <f>'Reporte Componentes R1'!F706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R2'!E62</f>
        <v>0</v>
      </c>
      <c r="E28" s="292">
        <f>'Rem. Anticipos R2'!F62</f>
        <v>0</v>
      </c>
      <c r="F28" s="292">
        <f>'Rem. Anticipos R2'!G62</f>
        <v>0</v>
      </c>
      <c r="G28" s="292">
        <f>'Rem. Anticipos R2'!H62</f>
        <v>0</v>
      </c>
      <c r="H28" s="292">
        <f>'Rem. Anticipos R2'!I62</f>
        <v>0</v>
      </c>
      <c r="I28" s="292">
        <f>'Rem. Anticipos R2'!J62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R2'!L62</f>
        <v>0</v>
      </c>
      <c r="V28" s="308">
        <f>'Rem. Anticipos R2'!M62</f>
        <v>0</v>
      </c>
      <c r="W28" s="308">
        <f>'Rem. Anticipos R2'!N62</f>
        <v>0</v>
      </c>
      <c r="X28" s="308">
        <f>'Rem. Anticipos R2'!O62</f>
        <v>0</v>
      </c>
      <c r="Y28" s="308">
        <f>'Rem. Anticipos R2'!P62</f>
        <v>0</v>
      </c>
      <c r="Z28" s="310">
        <f>L28*-1</f>
        <v>0</v>
      </c>
      <c r="AA28" s="311">
        <f>'Rem. Anticipos R2'!Q62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R2'!E63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R2'!E170</f>
        <v>0</v>
      </c>
      <c r="E29" s="292">
        <f>'Rem. Anticipos R2'!F170</f>
        <v>0</v>
      </c>
      <c r="F29" s="292">
        <f>'Rem. Anticipos R2'!G170</f>
        <v>0</v>
      </c>
      <c r="G29" s="292">
        <f>'Rem. Anticipos R2'!H170</f>
        <v>0</v>
      </c>
      <c r="H29" s="292">
        <f>'Rem. Anticipos R2'!I170</f>
        <v>0</v>
      </c>
      <c r="I29" s="292">
        <f>'Rem. Anticipos R2'!J170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R2'!K170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R2'!L170</f>
        <v>0</v>
      </c>
      <c r="V29" s="317">
        <f>'Rem. Anticipos R2'!M170</f>
        <v>0</v>
      </c>
      <c r="W29" s="317">
        <f>'Rem. Anticipos R2'!N170</f>
        <v>0</v>
      </c>
      <c r="X29" s="317">
        <f>'Rem. Anticipos R2'!O170</f>
        <v>0</v>
      </c>
      <c r="Y29" s="318">
        <f>'Rem. Anticipos R2'!P170</f>
        <v>0</v>
      </c>
      <c r="Z29" s="319">
        <f>L29*-1</f>
        <v>0</v>
      </c>
      <c r="AA29" s="320">
        <f>'Rem. Anticipos R2'!Q170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R2'!E171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R2'!E288</f>
        <v>0</v>
      </c>
      <c r="E30" s="292">
        <f>'Rem. Anticipos R2'!F288</f>
        <v>0</v>
      </c>
      <c r="F30" s="292">
        <f>'Rem. Anticipos R2'!G288</f>
        <v>0</v>
      </c>
      <c r="G30" s="292">
        <f>'Rem. Anticipos R2'!H288</f>
        <v>0</v>
      </c>
      <c r="H30" s="292">
        <f>'Rem. Anticipos R2'!I288</f>
        <v>0</v>
      </c>
      <c r="I30" s="292">
        <f>'Rem. Anticipos R2'!J288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R2'!K288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R2'!L288</f>
        <v>0</v>
      </c>
      <c r="V30" s="317">
        <f>'Rem. Anticipos R2'!M288</f>
        <v>0</v>
      </c>
      <c r="W30" s="317">
        <f>'Rem. Anticipos R2'!N288</f>
        <v>0</v>
      </c>
      <c r="X30" s="317">
        <f>'Rem. Anticipos R2'!O288</f>
        <v>0</v>
      </c>
      <c r="Y30" s="318">
        <f>'Rem. Anticipos R2'!P288</f>
        <v>0</v>
      </c>
      <c r="Z30" s="319">
        <f>L30*-1</f>
        <v>0</v>
      </c>
      <c r="AA30" s="320">
        <f>'Rem. Anticipos R2'!Q288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R2'!E289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R2'!E399</f>
        <v>0</v>
      </c>
      <c r="E31" s="292">
        <f>'Rem. Anticipos R2'!F399</f>
        <v>0</v>
      </c>
      <c r="F31" s="292">
        <f>'Rem. Anticipos R2'!G399</f>
        <v>0</v>
      </c>
      <c r="G31" s="292">
        <f>'Rem. Anticipos R2'!H399</f>
        <v>0</v>
      </c>
      <c r="H31" s="292">
        <f>'Rem. Anticipos R2'!I399</f>
        <v>0</v>
      </c>
      <c r="I31" s="292">
        <f>'Rem. Anticipos R2'!J399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R2'!K399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R2'!L399</f>
        <v>0</v>
      </c>
      <c r="V31" s="317">
        <f>'Rem. Anticipos R2'!M399</f>
        <v>0</v>
      </c>
      <c r="W31" s="317">
        <f>'Rem. Anticipos R2'!N399</f>
        <v>0</v>
      </c>
      <c r="X31" s="317">
        <f>'Rem. Anticipos R2'!O399</f>
        <v>0</v>
      </c>
      <c r="Y31" s="318">
        <f>'Rem. Anticipos R2'!P399</f>
        <v>0</v>
      </c>
      <c r="Z31" s="319">
        <f>L31*-1</f>
        <v>0</v>
      </c>
      <c r="AA31" s="320">
        <f>'Rem. Anticipos R2'!Q399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R2'!E400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R2'!E483</f>
        <v>0</v>
      </c>
      <c r="E32" s="297">
        <f>'Rem. Anticipos R2'!F483</f>
        <v>0</v>
      </c>
      <c r="F32" s="297">
        <f>'Rem. Anticipos R2'!G483</f>
        <v>0</v>
      </c>
      <c r="G32" s="297">
        <f>'Rem. Anticipos R2'!H483</f>
        <v>0</v>
      </c>
      <c r="H32" s="297">
        <f>'Rem. Anticipos R2'!I483</f>
        <v>0</v>
      </c>
      <c r="I32" s="297">
        <f>'Rem. Anticipos R2'!J483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R2'!K483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R2'!L483</f>
        <v>0</v>
      </c>
      <c r="V32" s="297">
        <f>'Rem. Anticipos R2'!M483</f>
        <v>0</v>
      </c>
      <c r="W32" s="297">
        <f>'Rem. Anticipos R2'!N483</f>
        <v>0</v>
      </c>
      <c r="X32" s="297">
        <f>'Rem. Anticipos R2'!O483</f>
        <v>0</v>
      </c>
      <c r="Y32" s="289">
        <f>'Rem. Anticipos R2'!P483</f>
        <v>0</v>
      </c>
      <c r="Z32" s="319">
        <f>L32*-1</f>
        <v>0</v>
      </c>
      <c r="AA32" s="320">
        <f>'Rem. Anticipos R2'!Q483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R2'!E484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R1'!F102</f>
        <v>0</v>
      </c>
      <c r="E47" s="292">
        <f>'Reporte Componentes R1'!G102</f>
        <v>0</v>
      </c>
      <c r="F47" s="292">
        <f>'Reporte Componentes R1'!H102</f>
        <v>0</v>
      </c>
      <c r="G47" s="292">
        <f>'Reporte Componentes R1'!I102</f>
        <v>0</v>
      </c>
      <c r="H47" s="292">
        <f>'Reporte Componentes R1'!J102</f>
        <v>0</v>
      </c>
      <c r="I47" s="292">
        <f>'Reporte Componentes R1'!K102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R1'!M102</f>
        <v>0</v>
      </c>
      <c r="V47" s="308">
        <f>'Reporte Componentes R1'!N102</f>
        <v>0</v>
      </c>
      <c r="W47" s="308">
        <f>'Reporte Componentes R1'!O102</f>
        <v>0</v>
      </c>
      <c r="X47" s="308">
        <f>'Reporte Componentes R1'!P102</f>
        <v>0</v>
      </c>
      <c r="Y47" s="309">
        <f>'Reporte Componentes R1'!Q102</f>
        <v>0</v>
      </c>
      <c r="Z47" s="310">
        <f>-L47</f>
        <v>0</v>
      </c>
      <c r="AA47" s="311">
        <f>'Reporte Componentes R1'!R102+'Reporte Componentes R1'!S102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R1'!F103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R1'!F281</f>
        <v>0</v>
      </c>
      <c r="E48" s="292">
        <f>'Reporte Componentes R1'!G281</f>
        <v>0</v>
      </c>
      <c r="F48" s="292">
        <f>'Reporte Componentes R1'!H281</f>
        <v>0</v>
      </c>
      <c r="G48" s="292">
        <f>'Reporte Componentes R1'!I281</f>
        <v>0</v>
      </c>
      <c r="H48" s="292">
        <f>'Reporte Componentes R1'!J281</f>
        <v>0</v>
      </c>
      <c r="I48" s="292">
        <f>'Reporte Componentes R1'!K281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R1'!L281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R1'!M281</f>
        <v>0</v>
      </c>
      <c r="V48" s="317">
        <f>'Reporte Componentes R1'!N281</f>
        <v>0</v>
      </c>
      <c r="W48" s="317">
        <f>'Reporte Componentes R1'!O281</f>
        <v>0</v>
      </c>
      <c r="X48" s="317">
        <f>'Reporte Componentes R1'!P281</f>
        <v>0</v>
      </c>
      <c r="Y48" s="318">
        <f>'Reporte Componentes R1'!Q281</f>
        <v>0</v>
      </c>
      <c r="Z48" s="319">
        <f>-L48</f>
        <v>0</v>
      </c>
      <c r="AA48" s="320">
        <f>'Reporte Componentes R1'!R281+'Reporte Componentes R1'!S281+'Reporte Componentes R1'!T281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R1'!F282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R1'!F442</f>
        <v>0</v>
      </c>
      <c r="E49" s="292">
        <f>'Reporte Componentes R1'!G442</f>
        <v>0</v>
      </c>
      <c r="F49" s="292">
        <f>'Reporte Componentes R1'!H442</f>
        <v>0</v>
      </c>
      <c r="G49" s="292">
        <f>'Reporte Componentes R1'!I442</f>
        <v>0</v>
      </c>
      <c r="H49" s="292">
        <f>'Reporte Componentes R1'!J442</f>
        <v>0</v>
      </c>
      <c r="I49" s="292">
        <f>'Reporte Componentes R1'!K442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R1'!M442</f>
        <v>0</v>
      </c>
      <c r="V49" s="317">
        <f>'Reporte Componentes R1'!N442</f>
        <v>0</v>
      </c>
      <c r="W49" s="317">
        <f>'Reporte Componentes R1'!O442</f>
        <v>0</v>
      </c>
      <c r="X49" s="317">
        <f>'Reporte Componentes R1'!P442</f>
        <v>0</v>
      </c>
      <c r="Y49" s="318">
        <f>'Reporte Componentes R1'!Q442</f>
        <v>0</v>
      </c>
      <c r="Z49" s="319">
        <f>-L49</f>
        <v>0</v>
      </c>
      <c r="AA49" s="320">
        <f>'Reporte Componentes R1'!R442+'Reporte Componentes R1'!S442+'Reporte Componentes R1'!T442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R1'!F443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R1'!F595</f>
        <v>0</v>
      </c>
      <c r="E50" s="292">
        <f>'Reporte Componentes R1'!G595</f>
        <v>0</v>
      </c>
      <c r="F50" s="292">
        <f>'Reporte Componentes R1'!H595</f>
        <v>0</v>
      </c>
      <c r="G50" s="292">
        <f>'Reporte Componentes R1'!I595</f>
        <v>0</v>
      </c>
      <c r="H50" s="292">
        <f>'Reporte Componentes R1'!J595</f>
        <v>0</v>
      </c>
      <c r="I50" s="292">
        <f>'Reporte Componentes R1'!K595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R1'!M595</f>
        <v>0</v>
      </c>
      <c r="V50" s="317">
        <f>'Reporte Componentes R1'!N595</f>
        <v>0</v>
      </c>
      <c r="W50" s="317">
        <f>'Reporte Componentes R1'!O595</f>
        <v>0</v>
      </c>
      <c r="X50" s="317">
        <f>'Reporte Componentes R1'!P595</f>
        <v>0</v>
      </c>
      <c r="Y50" s="318">
        <f>'Reporte Componentes R1'!Q595</f>
        <v>0</v>
      </c>
      <c r="Z50" s="319">
        <f>-L50</f>
        <v>0</v>
      </c>
      <c r="AA50" s="320">
        <f>'Reporte Componentes R1'!R595+'Reporte Componentes R1'!S595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R1'!F707</f>
        <v>0</v>
      </c>
      <c r="E51" s="297">
        <f>'Reporte Componentes R1'!G707</f>
        <v>0</v>
      </c>
      <c r="F51" s="297">
        <f>'Reporte Componentes R1'!H707</f>
        <v>0</v>
      </c>
      <c r="G51" s="297">
        <f>'Reporte Componentes R1'!I707</f>
        <v>0</v>
      </c>
      <c r="H51" s="297">
        <f>'Reporte Componentes R1'!J707</f>
        <v>0</v>
      </c>
      <c r="I51" s="297">
        <f>'Reporte Componentes R1'!K707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R1'!M707</f>
        <v>0</v>
      </c>
      <c r="V51" s="297">
        <f>'Reporte Componentes R1'!N707</f>
        <v>0</v>
      </c>
      <c r="W51" s="297">
        <f>'Reporte Componentes R1'!O707</f>
        <v>0</v>
      </c>
      <c r="X51" s="297">
        <f>'Reporte Componentes R1'!P707</f>
        <v>0</v>
      </c>
      <c r="Y51" s="289">
        <f>'Reporte Componentes R1'!Q707</f>
        <v>0</v>
      </c>
      <c r="Z51" s="319">
        <f>-L51</f>
        <v>0</v>
      </c>
      <c r="AA51" s="320">
        <f>'Reporte Componentes R1'!R707+'Reporte Componentes R1'!S707+'Reporte Componentes R1'!T707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R1'!F708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2">
        <f>'Reversion Pagos R4'!E189</f>
        <v>0</v>
      </c>
      <c r="F67" s="292">
        <f>'Reversion Pagos R4'!F189</f>
        <v>0</v>
      </c>
      <c r="G67" s="292">
        <f>'Reversion Pagos R4'!G189</f>
        <v>0</v>
      </c>
      <c r="H67" s="292">
        <f>'Reversion Pagos R4'!H189</f>
        <v>0</v>
      </c>
      <c r="I67" s="292">
        <f>'Reversion Pagos R4'!I189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7">
        <f>'Reversion Pagos R4'!K189</f>
        <v>0</v>
      </c>
      <c r="W67" s="317">
        <f>'Reversion Pagos R4'!L189</f>
        <v>0</v>
      </c>
      <c r="X67" s="317">
        <f>'Reversion Pagos R4'!M189</f>
        <v>0</v>
      </c>
      <c r="Y67" s="318">
        <f>'Reversion Pagos R4'!N189</f>
        <v>0</v>
      </c>
      <c r="Z67" s="319">
        <f t="shared" ref="Z67:Z70" si="26">-L67</f>
        <v>0</v>
      </c>
      <c r="AA67" s="320">
        <f>'Reversion Pagos R4'!O189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2">
        <f>'Reversion Pagos R4'!E226</f>
        <v>0</v>
      </c>
      <c r="F68" s="292">
        <f>'Reversion Pagos R4'!F226</f>
        <v>0</v>
      </c>
      <c r="G68" s="292">
        <f>'Reversion Pagos R4'!G226</f>
        <v>0</v>
      </c>
      <c r="H68" s="292">
        <f>'Reversion Pagos R4'!H226</f>
        <v>0</v>
      </c>
      <c r="I68" s="292">
        <f>'Reversion Pagos R4'!I226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7">
        <f>'Reversion Pagos R4'!K226</f>
        <v>0</v>
      </c>
      <c r="W68" s="317">
        <f>'Reversion Pagos R4'!L226</f>
        <v>0</v>
      </c>
      <c r="X68" s="317">
        <f>'Reversion Pagos R4'!M226</f>
        <v>0</v>
      </c>
      <c r="Y68" s="318">
        <f>'Reversion Pagos R4'!N226</f>
        <v>0</v>
      </c>
      <c r="Z68" s="319">
        <f t="shared" si="26"/>
        <v>0</v>
      </c>
      <c r="AA68" s="320">
        <f>'Reversion Pagos R4'!O226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2">
        <f>'Reversion Pagos R4'!E341</f>
        <v>0</v>
      </c>
      <c r="F69" s="292">
        <f>'Reversion Pagos R4'!F341</f>
        <v>0</v>
      </c>
      <c r="G69" s="292">
        <f>'Reversion Pagos R4'!G341</f>
        <v>0</v>
      </c>
      <c r="H69" s="292">
        <f>'Reversion Pagos R4'!H341</f>
        <v>0</v>
      </c>
      <c r="I69" s="292">
        <f>'Reversion Pagos R4'!I341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7">
        <f>'Reversion Pagos R4'!K341</f>
        <v>0</v>
      </c>
      <c r="W69" s="317">
        <f>'Reversion Pagos R4'!L341</f>
        <v>0</v>
      </c>
      <c r="X69" s="317">
        <f>'Reversion Pagos R4'!M341</f>
        <v>0</v>
      </c>
      <c r="Y69" s="318">
        <f>'Reversion Pagos R4'!N341</f>
        <v>0</v>
      </c>
      <c r="Z69" s="319">
        <f t="shared" si="26"/>
        <v>0</v>
      </c>
      <c r="AA69" s="320">
        <f>'Reversion Pagos R4'!O341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6"/>
        <v>0</v>
      </c>
      <c r="AA70" s="320">
        <f>'Reversion Pagos R4'!O376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332031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332031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33203125" style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16384" width="11.332031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46296</v>
      </c>
      <c r="J7" s="2" t="s">
        <v>28</v>
      </c>
      <c r="K7" s="9">
        <f>'CONSOLIDADO_TOTAL RECAUDO'!K102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332031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332031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343</v>
      </c>
      <c r="F6" s="660" t="s">
        <v>230</v>
      </c>
    </row>
    <row r="7" spans="2:20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-14842425135.769999</v>
      </c>
      <c r="E23" s="648">
        <f>E9-'CONSOLIDADO_TOTAL RECAUDO'!E104</f>
        <v>-841835259.24000001</v>
      </c>
      <c r="F23" s="648">
        <f>F9-'CONSOLIDADO_TOTAL RECAUDO'!F104</f>
        <v>-468934429.98000002</v>
      </c>
      <c r="G23" s="648">
        <f>G9-'CONSOLIDADO_TOTAL RECAUDO'!G104</f>
        <v>-249665577.34</v>
      </c>
      <c r="H23" s="648">
        <f>H9-'CONSOLIDADO_TOTAL RECAUDO'!H104</f>
        <v>-4756987535.8000011</v>
      </c>
      <c r="I23" s="648">
        <f>I9-'CONSOLIDADO_TOTAL RECAUDO'!I104</f>
        <v>-158503798.81</v>
      </c>
      <c r="J23" s="648">
        <f>J9-'CONSOLIDADO_TOTAL RECAUDO'!J104</f>
        <v>-2153950828.1600003</v>
      </c>
      <c r="K23" s="648">
        <f>K9-'CONSOLIDADO_TOTAL RECAUDO'!K104</f>
        <v>-6212547706.4399967</v>
      </c>
      <c r="L23" s="648">
        <f>L9-'CONSOLIDADO_TOTAL RECAUDO'!L104</f>
        <v>-189185987</v>
      </c>
      <c r="M23" s="648">
        <f>M9-'CONSOLIDADO_TOTAL RECAUDO'!M104</f>
        <v>-6023361719.4399967</v>
      </c>
      <c r="N23" s="648">
        <f>N9-'CONSOLIDADO_TOTAL RECAUDO'!N104</f>
        <v>-19931693.030000001</v>
      </c>
      <c r="O23" s="648">
        <f>O9-'CONSOLIDADO_TOTAL RECAUDO'!O104</f>
        <v>-6043293412.4699965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-11302637604.959999</v>
      </c>
      <c r="E24" s="648">
        <f>E10-'CONSOLIDADO_TOTAL RECAUDO'!E105</f>
        <v>-873906144.08000004</v>
      </c>
      <c r="F24" s="648">
        <f>F10-'CONSOLIDADO_TOTAL RECAUDO'!F105</f>
        <v>-483830193.30000001</v>
      </c>
      <c r="G24" s="648">
        <f>G10-'CONSOLIDADO_TOTAL RECAUDO'!G105</f>
        <v>-256505918.23999998</v>
      </c>
      <c r="H24" s="648">
        <f>H10-'CONSOLIDADO_TOTAL RECAUDO'!H105</f>
        <v>-3576556628.1500001</v>
      </c>
      <c r="I24" s="648">
        <f>I10-'CONSOLIDADO_TOTAL RECAUDO'!I105</f>
        <v>-126707039.83999999</v>
      </c>
      <c r="J24" s="648">
        <f>J10-'CONSOLIDADO_TOTAL RECAUDO'!J105</f>
        <v>4217145526.9099998</v>
      </c>
      <c r="K24" s="648">
        <f>K10-'CONSOLIDADO_TOTAL RECAUDO'!K105</f>
        <v>-10202277208.26</v>
      </c>
      <c r="L24" s="648">
        <f>L10-'CONSOLIDADO_TOTAL RECAUDO'!L105</f>
        <v>-266580255</v>
      </c>
      <c r="M24" s="648">
        <f>M10-'CONSOLIDADO_TOTAL RECAUDO'!M105</f>
        <v>-9935696953.2600002</v>
      </c>
      <c r="N24" s="648">
        <f>N10-'CONSOLIDADO_TOTAL RECAUDO'!N105</f>
        <v>-9905072.7599999998</v>
      </c>
      <c r="O24" s="648">
        <f>O10-'CONSOLIDADO_TOTAL RECAUDO'!O105</f>
        <v>-9945602026.0200005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-8823787300.3700008</v>
      </c>
      <c r="E25" s="648">
        <f>E11-'CONSOLIDADO_TOTAL RECAUDO'!E106</f>
        <v>-569049058.22000003</v>
      </c>
      <c r="F25" s="648">
        <f>F11-'CONSOLIDADO_TOTAL RECAUDO'!F106</f>
        <v>-317267488.88</v>
      </c>
      <c r="G25" s="648">
        <f>G11-'CONSOLIDADO_TOTAL RECAUDO'!G106</f>
        <v>-168517798.86000001</v>
      </c>
      <c r="H25" s="648">
        <f>H11-'CONSOLIDADO_TOTAL RECAUDO'!H106</f>
        <v>-2429021539.6700001</v>
      </c>
      <c r="I25" s="648">
        <f>I11-'CONSOLIDADO_TOTAL RECAUDO'!I106</f>
        <v>-86984010.540000007</v>
      </c>
      <c r="J25" s="648">
        <f>J11-'CONSOLIDADO_TOTAL RECAUDO'!J106</f>
        <v>1288806337.0900002</v>
      </c>
      <c r="K25" s="648">
        <f>K11-'CONSOLIDADO_TOTAL RECAUDO'!K106</f>
        <v>-6541753741.2900009</v>
      </c>
      <c r="L25" s="648">
        <f>L11-'CONSOLIDADO_TOTAL RECAUDO'!L106</f>
        <v>-154788535</v>
      </c>
      <c r="M25" s="648">
        <f>M11-'CONSOLIDADO_TOTAL RECAUDO'!M106</f>
        <v>-6386965206.2900009</v>
      </c>
      <c r="N25" s="648">
        <f>N11-'CONSOLIDADO_TOTAL RECAUDO'!N106</f>
        <v>-19321799.949999999</v>
      </c>
      <c r="O25" s="648">
        <f>O11-'CONSOLIDADO_TOTAL RECAUDO'!O106</f>
        <v>-6406287006.2400007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-10483172762.089998</v>
      </c>
      <c r="E26" s="648">
        <f>E12-'CONSOLIDADO_TOTAL RECAUDO'!E107</f>
        <v>-605948755.42999995</v>
      </c>
      <c r="F26" s="648">
        <f>F12-'CONSOLIDADO_TOTAL RECAUDO'!F107</f>
        <v>-335895270.16999996</v>
      </c>
      <c r="G26" s="648">
        <f>G12-'CONSOLIDADO_TOTAL RECAUDO'!G107</f>
        <v>-179108611.82000002</v>
      </c>
      <c r="H26" s="648">
        <f>H12-'CONSOLIDADO_TOTAL RECAUDO'!H107</f>
        <v>-2401366805.27</v>
      </c>
      <c r="I26" s="648">
        <f>I12-'CONSOLIDADO_TOTAL RECAUDO'!I107</f>
        <v>-89808011.769999996</v>
      </c>
      <c r="J26" s="648">
        <f>J12-'CONSOLIDADO_TOTAL RECAUDO'!J107</f>
        <v>-61531953.689999998</v>
      </c>
      <c r="K26" s="648">
        <f>K12-'CONSOLIDADO_TOTAL RECAUDO'!K107</f>
        <v>-6809513353.9399977</v>
      </c>
      <c r="L26" s="648">
        <f>L12-'CONSOLIDADO_TOTAL RECAUDO'!L107</f>
        <v>-120391083</v>
      </c>
      <c r="M26" s="648">
        <f>M12-'CONSOLIDADO_TOTAL RECAUDO'!M107</f>
        <v>-6689122270.9399977</v>
      </c>
      <c r="N26" s="648">
        <f>N12-'CONSOLIDADO_TOTAL RECAUDO'!N107</f>
        <v>-8643135.5800000001</v>
      </c>
      <c r="O26" s="648">
        <f>O12-'CONSOLIDADO_TOTAL RECAUDO'!O107</f>
        <v>-6697765406.5199976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-7550668664.9899998</v>
      </c>
      <c r="E27" s="648">
        <f>E13-'CONSOLIDADO_TOTAL RECAUDO'!E108</f>
        <v>-408145471.80000001</v>
      </c>
      <c r="F27" s="648">
        <f>F13-'CONSOLIDADO_TOTAL RECAUDO'!F108</f>
        <v>-227118040.72999999</v>
      </c>
      <c r="G27" s="648">
        <f>G13-'CONSOLIDADO_TOTAL RECAUDO'!G108</f>
        <v>-120841029.03</v>
      </c>
      <c r="H27" s="648">
        <f>H13-'CONSOLIDADO_TOTAL RECAUDO'!H108</f>
        <v>-1864267894.6400001</v>
      </c>
      <c r="I27" s="648">
        <f>I13-'CONSOLIDADO_TOTAL RECAUDO'!I108</f>
        <v>-62073126.829999998</v>
      </c>
      <c r="J27" s="648">
        <f>J13-'CONSOLIDADO_TOTAL RECAUDO'!J108</f>
        <v>1246473094.4099998</v>
      </c>
      <c r="K27" s="648">
        <f>K13-'CONSOLIDADO_TOTAL RECAUDO'!K108</f>
        <v>-6114696196.3699999</v>
      </c>
      <c r="L27" s="648">
        <f>L13-'CONSOLIDADO_TOTAL RECAUDO'!L108</f>
        <v>-128990445</v>
      </c>
      <c r="M27" s="648">
        <f>M13-'CONSOLIDADO_TOTAL RECAUDO'!M108</f>
        <v>-5985705751.3699999</v>
      </c>
      <c r="N27" s="648">
        <f>N13-'CONSOLIDADO_TOTAL RECAUDO'!N108</f>
        <v>-12379938.060000001</v>
      </c>
      <c r="O27" s="648">
        <f>O13-'CONSOLIDADO_TOTAL RECAUDO'!O108</f>
        <v>-5998085689.4300003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-53002691468.179993</v>
      </c>
      <c r="E28" s="648">
        <f>E14-'CONSOLIDADO_TOTAL RECAUDO'!E109</f>
        <v>-3298884688.77</v>
      </c>
      <c r="F28" s="648">
        <f>F14-'CONSOLIDADO_TOTAL RECAUDO'!F109</f>
        <v>-1833045423.0599999</v>
      </c>
      <c r="G28" s="648">
        <f>G14-'CONSOLIDADO_TOTAL RECAUDO'!G109</f>
        <v>-974638935.29000008</v>
      </c>
      <c r="H28" s="648">
        <f>H14-'CONSOLIDADO_TOTAL RECAUDO'!H109</f>
        <v>-15028200403.530001</v>
      </c>
      <c r="I28" s="648">
        <f>I14-'CONSOLIDADO_TOTAL RECAUDO'!I109</f>
        <v>-524075987.78999996</v>
      </c>
      <c r="J28" s="648">
        <f>J14-'CONSOLIDADO_TOTAL RECAUDO'!J109</f>
        <v>4536942176.5599995</v>
      </c>
      <c r="K28" s="648">
        <f>K14-'CONSOLIDADO_TOTAL RECAUDO'!K109</f>
        <v>-35880788206.299995</v>
      </c>
      <c r="L28" s="648">
        <f>L14-'CONSOLIDADO_TOTAL RECAUDO'!L109</f>
        <v>-859936305</v>
      </c>
      <c r="M28" s="648">
        <f>M14-'CONSOLIDADO_TOTAL RECAUDO'!M109</f>
        <v>-35020851901.299995</v>
      </c>
      <c r="N28" s="648">
        <f>N14-'CONSOLIDADO_TOTAL RECAUDO'!N109</f>
        <v>-70181639.379999995</v>
      </c>
      <c r="O28" s="648">
        <f>O14-'CONSOLIDADO_TOTAL RECAUDO'!O109</f>
        <v>-35091033540.679993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R1'!F75+'Rem. Anticipos R2'!E47+'Reversion Pagos R4'!D73+'Reporte Componentes R1'!F77+'AJUSTES - SF-T'!D47=D9</f>
        <v>0</v>
      </c>
      <c r="E32" s="651" t="b">
        <f>+E23+'Reporte Componentes R1'!G75+'Rem. Anticipos R2'!F47+'Reversion Pagos R4'!E73+'Reporte Componentes R1'!G77+'AJUSTES - SF-T'!E47=E9</f>
        <v>0</v>
      </c>
      <c r="F32" s="651" t="b">
        <f>+F23+'Reporte Componentes R1'!H75+'Rem. Anticipos R2'!G47+'Reversion Pagos R4'!F73+'Reporte Componentes R1'!H77+'AJUSTES - SF-T'!F47=F9</f>
        <v>0</v>
      </c>
      <c r="G32" s="651" t="b">
        <f>+G23+'Reporte Componentes R1'!I75+'Rem. Anticipos R2'!H47+'Reversion Pagos R4'!G73+'Reporte Componentes R1'!I77+'AJUSTES - SF-T'!G47=G9</f>
        <v>0</v>
      </c>
      <c r="H32" s="651" t="b">
        <f>+H23+'Reporte Componentes R1'!J75+'Rem. Anticipos R2'!I47+'Reversion Pagos R4'!H73+'Reporte Componentes R1'!J77+'AJUSTES - SF-T'!H47=H9</f>
        <v>0</v>
      </c>
      <c r="I32" s="651" t="b">
        <f>+I23+'Reporte Componentes R1'!K75+'Rem. Anticipos R2'!J47+'Reversion Pagos R4'!I73+'Reporte Componentes R1'!K77+'AJUSTES - SF-T'!I47=I9</f>
        <v>0</v>
      </c>
      <c r="J32" s="651" t="b">
        <f>+'BCE SC POR FACT.'!F3+J23=J9</f>
        <v>1</v>
      </c>
      <c r="K32" s="651" t="b">
        <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f>
        <v>1</v>
      </c>
      <c r="L32" s="698" t="b">
        <f>INTERVENTORIA!N26+L23=L9</f>
        <v>1</v>
      </c>
      <c r="M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f>
        <v>0</v>
      </c>
      <c r="N32" s="648" t="b">
        <f>'Reporte Componentes R1'!L75+'Rem. Anticipos R2'!K47+'Reversion Pagos R4'!P73+'Reporte Componentes R1'!L77+N23=N9</f>
        <v>1</v>
      </c>
      <c r="O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FACT.'!F3))-INTERVENTORIA!N26))+'Reporte Componentes R1'!L75+'Rem. Anticipos R2'!K47+'Reversion Pagos R4'!P73+'Reporte Componentes R1'!L77+O23+'AJUSTES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R1'!F254+'Rem. Anticipos R2'!E155+'Reversion Pagos R4'!D174+'Reporte Componentes R1'!F256+'AJUSTES - SF-T'!D48=D10</f>
        <v>0</v>
      </c>
      <c r="E33" s="651" t="b">
        <f>+E24+'Reporte Componentes R1'!G254+'Rem. Anticipos R2'!F155+'Reversion Pagos R4'!E174+'Reporte Componentes R1'!G256+'AJUSTES - SF-T'!E48=E10</f>
        <v>1</v>
      </c>
      <c r="F33" s="651" t="b">
        <f>+F24+'Reporte Componentes R1'!H254+'Rem. Anticipos R2'!G155+'Reversion Pagos R4'!F174+'Reporte Componentes R1'!H256+'AJUSTES - SF-T'!F48=F10</f>
        <v>0</v>
      </c>
      <c r="G33" s="651" t="b">
        <f>+G24+'Reporte Componentes R1'!I254+'Rem. Anticipos R2'!H155+'Reversion Pagos R4'!G174+'Reporte Componentes R1'!I256+'AJUSTES - SF-T'!G48=G10</f>
        <v>0</v>
      </c>
      <c r="H33" s="651" t="b">
        <f>+H24+'Reporte Componentes R1'!J254+'Rem. Anticipos R2'!I155+'Reversion Pagos R4'!H174+'Reporte Componentes R1'!J256+'AJUSTES - SF-T'!H48=H10</f>
        <v>0</v>
      </c>
      <c r="I33" s="651" t="b">
        <f>+I24+'Reporte Componentes R1'!K254+'Rem. Anticipos R2'!J155+'Reversion Pagos R4'!I174+'Reporte Componentes R1'!K256+'AJUSTES - SF-T'!I48=I10</f>
        <v>0</v>
      </c>
      <c r="J33" s="651" t="b">
        <f>+'BCE SC POR FACT.'!F4+J24=J10</f>
        <v>1</v>
      </c>
      <c r="K33" s="648" t="b">
        <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f>
        <v>0</v>
      </c>
      <c r="L33" s="698" t="b">
        <f>INTERVENTORIA!N27+L24=L10</f>
        <v>1</v>
      </c>
      <c r="M33" s="648" t="b">
        <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f>
        <v>0</v>
      </c>
      <c r="N33" s="648" t="b">
        <f>+'Reporte Componentes R1'!L254+'Rem. Anticipos R2'!K155+'Reversion Pagos R4'!P174+'Reporte Componentes R1'!L256+N24=N10</f>
        <v>1</v>
      </c>
      <c r="O33" s="648" t="b">
        <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FACT.'!F4)))-INTERVENTORIA!N27)+O24+'Reporte Componentes R1'!L254+'Rem. Anticipos R2'!K155+'Reversion Pagos R4'!P174+'Reporte Componentes R1'!L256+'AJUSTES - SF-T'!O48=O10</f>
        <v>0</v>
      </c>
    </row>
    <row r="34" spans="2:15" x14ac:dyDescent="0.3">
      <c r="B34" s="610" t="s">
        <v>117</v>
      </c>
      <c r="C34" s="338" t="s">
        <v>12</v>
      </c>
      <c r="D34" s="651" t="b">
        <f>+'Reporte Componentes R1'!F415+'Reporte Componentes R1'!F417+'Rem. Anticipos R2'!E273+'Reversion Pagos R4'!D211+D25+'AJUSTES - SF-T'!D49=D11</f>
        <v>1</v>
      </c>
      <c r="E34" s="651" t="b">
        <f>+'Reporte Componentes R1'!G415+'Reporte Componentes R1'!G417+'Rem. Anticipos R2'!F273+'Reversion Pagos R4'!E211+E25+'AJUSTES - SF-T'!E49=E11</f>
        <v>1</v>
      </c>
      <c r="F34" s="651" t="b">
        <f>+'Reporte Componentes R1'!H415+'Reporte Componentes R1'!H417+'Rem. Anticipos R2'!G273+'Reversion Pagos R4'!F211+F25+'AJUSTES - SF-T'!F49=F11</f>
        <v>1</v>
      </c>
      <c r="G34" s="651" t="b">
        <f>+'Reporte Componentes R1'!I415+'Reporte Componentes R1'!I417+'Rem. Anticipos R2'!H273+'Reversion Pagos R4'!G211+G25+'AJUSTES - SF-T'!G49=G11</f>
        <v>1</v>
      </c>
      <c r="H34" s="651" t="b">
        <f>+'Reporte Componentes R1'!J415+'Reporte Componentes R1'!J417+'Rem. Anticipos R2'!I273+'Reversion Pagos R4'!H211+H25+'AJUSTES - SF-T'!H49=H11</f>
        <v>1</v>
      </c>
      <c r="I34" s="651" t="b">
        <f>+'Reporte Componentes R1'!K415+'Reporte Componentes R1'!K417+'Rem. Anticipos R2'!J273+'Reversion Pagos R4'!I211+I25+'AJUSTES - SF-T'!I49=I11</f>
        <v>1</v>
      </c>
      <c r="J34" s="651" t="b">
        <f>+'BCE SC POR FACT.'!F5+J25=J11</f>
        <v>1</v>
      </c>
      <c r="K34" s="648" t="b">
        <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f>
        <v>1</v>
      </c>
      <c r="L34" s="698" t="b">
        <f>INTERVENTORIA!N28+L25=L11</f>
        <v>1</v>
      </c>
      <c r="M34" s="648" t="b">
        <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f>
        <v>0</v>
      </c>
      <c r="N34" s="648" t="b">
        <f>+'Reporte Componentes R1'!L415+'Reporte Componentes R1'!L417+'Rem. Anticipos R2'!K273+'Reversion Pagos R4'!P211+N25=N11</f>
        <v>1</v>
      </c>
      <c r="O34" s="648" t="b">
        <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FACT.'!F5)))-INTERVENTORIA!N28)++'Reporte Componentes R1'!L415+'Reporte Componentes R1'!L417+'Rem. Anticipos R2'!K273+'Reversion Pagos R4'!P211+O25+'AJUSTES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R1'!F568+'Reporte Componentes R1'!F570+'Rem. Anticipos R2'!E384+'Reversion Pagos R4'!D326+D26+'AJUSTES - SF-T'!D50=D12</f>
        <v>1</v>
      </c>
      <c r="E35" s="651" t="b">
        <f>+'Reporte Componentes R1'!G568+'Reporte Componentes R1'!G570+'Rem. Anticipos R2'!F384+'Reversion Pagos R4'!E326+E26+'AJUSTES - SF-T'!E50=E12</f>
        <v>1</v>
      </c>
      <c r="F35" s="651" t="b">
        <f>+'Reporte Componentes R1'!H568+'Reporte Componentes R1'!H570+'Rem. Anticipos R2'!G384+'Reversion Pagos R4'!F326+F26+'AJUSTES - SF-T'!F50=F12</f>
        <v>1</v>
      </c>
      <c r="G35" s="651" t="b">
        <f>+'Reporte Componentes R1'!I568+'Reporte Componentes R1'!I570+'Rem. Anticipos R2'!H384+'Reversion Pagos R4'!G326+G26+'AJUSTES - SF-T'!G50=G12</f>
        <v>1</v>
      </c>
      <c r="H35" s="651" t="b">
        <f>+'Reporte Componentes R1'!J568+'Reporte Componentes R1'!J570+'Rem. Anticipos R2'!I384+'Reversion Pagos R4'!H326+H26+'AJUSTES - SF-T'!H50=H12</f>
        <v>1</v>
      </c>
      <c r="I35" s="651" t="b">
        <f>+'Reporte Componentes R1'!K568+'Reporte Componentes R1'!K570+'Rem. Anticipos R2'!J384+'Reversion Pagos R4'!I326+I26+'AJUSTES - SF-T'!I50=I12</f>
        <v>1</v>
      </c>
      <c r="J35" s="651" t="b">
        <f>+J26+'BCE SC POR FACT.'!F6=J12</f>
        <v>1</v>
      </c>
      <c r="K35" s="648" t="b">
        <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f>
        <v>0</v>
      </c>
      <c r="L35" s="698" t="b">
        <f>INTERVENTORIA!N29+L26=L12</f>
        <v>1</v>
      </c>
      <c r="M35" s="648" t="b">
        <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f>
        <v>0</v>
      </c>
      <c r="N35" s="648" t="b">
        <f>+'Reporte Componentes R1'!L568+'Reporte Componentes R1'!L570+'Rem. Anticipos R2'!K384+'Reversion Pagos R4'!P326+N26=N12</f>
        <v>1</v>
      </c>
      <c r="O35" s="648" t="b">
        <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FACT.'!F6)))-INTERVENTORIA!N29)+'Reporte Componentes R1'!L568+'Reporte Componentes R1'!L570+'Rem. Anticipos R2'!K384+'Reversion Pagos R4'!P326+O26+'AJUSTES - SF-T'!O50=O12</f>
        <v>0</v>
      </c>
    </row>
    <row r="36" spans="2:15" x14ac:dyDescent="0.3">
      <c r="B36" s="610" t="s">
        <v>118</v>
      </c>
      <c r="C36" s="338" t="s">
        <v>14</v>
      </c>
      <c r="D36" s="651" t="b">
        <f>+D27+'Reporte Componentes R1'!F680+'Reporte Componentes R1'!F682+'Rem. Anticipos R2'!E468+'Reversion Pagos R4'!D361+'AJUSTES - SF-T'!D51=D13</f>
        <v>0</v>
      </c>
      <c r="E36" s="651" t="b">
        <f>+E27+'Reporte Componentes R1'!G680+'Reporte Componentes R1'!G682+'Rem. Anticipos R2'!F468+'Reversion Pagos R4'!E361+'AJUSTES - SF-T'!E51=E13</f>
        <v>1</v>
      </c>
      <c r="F36" s="651" t="b">
        <f>+F27+'Reporte Componentes R1'!H680+'Reporte Componentes R1'!H682+'Rem. Anticipos R2'!G468+'Reversion Pagos R4'!F361+'AJUSTES - SF-T'!F51=F13</f>
        <v>1</v>
      </c>
      <c r="G36" s="651" t="b">
        <f>+G27+'Reporte Componentes R1'!I680+'Reporte Componentes R1'!I682+'Rem. Anticipos R2'!H468+'Reversion Pagos R4'!G361+'AJUSTES - SF-T'!G51=G13</f>
        <v>1</v>
      </c>
      <c r="H36" s="651" t="b">
        <f>+H27+'Reporte Componentes R1'!J680+'Reporte Componentes R1'!J682+'Rem. Anticipos R2'!I468+'Reversion Pagos R4'!H361+'AJUSTES - SF-T'!H51=H13</f>
        <v>1</v>
      </c>
      <c r="I36" s="651" t="b">
        <f>+I27+'Reporte Componentes R1'!K680+'Reporte Componentes R1'!K682+'Rem. Anticipos R2'!J468+'Reversion Pagos R4'!I361+'AJUSTES - SF-T'!I51=I13</f>
        <v>1</v>
      </c>
      <c r="J36" s="651" t="b">
        <f>+'BCE SC POR FACT.'!F7+J27=J13</f>
        <v>1</v>
      </c>
      <c r="K36" s="648" t="b">
        <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f>
        <v>1</v>
      </c>
      <c r="L36" s="698" t="b">
        <f>INTERVENTORIA!N30+L27=L13</f>
        <v>1</v>
      </c>
      <c r="M36" s="648" t="b">
        <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f>
        <v>0</v>
      </c>
      <c r="N36" s="648" t="b">
        <f>+'Reporte Componentes R1'!L680+'Reporte Componentes R1'!L682+'Rem. Anticipos R2'!K468+'Reversion Pagos R4'!P361+N27=N13</f>
        <v>1</v>
      </c>
      <c r="O36" s="648" t="b">
        <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FACT.'!F7)))-INTERVENTORIA!N30)+'Reporte Componentes R1'!L680+'Reporte Componentes R1'!L682+'Rem. Anticipos R2'!K468+'Reversion Pagos R4'!P361+O27+'AJUSTES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332031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332031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343</v>
      </c>
      <c r="F6" s="660" t="s">
        <v>230</v>
      </c>
    </row>
    <row r="7" spans="2:15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-1391786702.5999999</v>
      </c>
      <c r="E16" s="648">
        <f>E9-'CONSOLIDADO_TOTAL RECAUDO'!V104</f>
        <v>-1316009885.8500001</v>
      </c>
      <c r="F16" s="648">
        <f>F9-'CONSOLIDADO_TOTAL RECAUDO'!W104</f>
        <v>-6272474935.1999998</v>
      </c>
      <c r="G16" s="648">
        <f>G9-'CONSOLIDADO_TOTAL RECAUDO'!X104</f>
        <v>-2290968884.2599998</v>
      </c>
      <c r="H16" s="648">
        <f>H9-'CONSOLIDADO_TOTAL RECAUDO'!Y104</f>
        <v>-258754368.69000003</v>
      </c>
      <c r="I16" s="648">
        <f>I9-'CONSOLIDADO_TOTAL RECAUDO'!Z104</f>
        <v>189185987</v>
      </c>
      <c r="J16" s="648">
        <f>J9-'CONSOLIDADO_TOTAL RECAUDO'!AA104-'CONSOLIDADO_TOTAL RECAUDO'!AC104</f>
        <v>27647.41</v>
      </c>
      <c r="K16" s="648">
        <f>K9-'CONSOLIDADO_TOTAL RECAUDO'!AB104</f>
        <v>-19931693.030000001</v>
      </c>
      <c r="L16" s="648">
        <f>L9-'CONSOLIDADO_TOTAL RECAUDO'!AE104</f>
        <v>3190911557.0100002</v>
      </c>
      <c r="M16" s="648">
        <f>M9-'CONSOLIDADO_TOTAL RECAUDO'!AD104</f>
        <v>5344862385.1700001</v>
      </c>
      <c r="N16" s="648">
        <f>N9-'CONSOLIDADO_TOTAL RECAUDO'!AF104</f>
        <v>-6015850450.0499992</v>
      </c>
      <c r="O16" s="648">
        <f>O9-'CONSOLIDADO_TOTAL RECAUDO'!AG104</f>
        <v>27442962.419997215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-1111694675.1200001</v>
      </c>
      <c r="E17" s="648">
        <f>E10-'CONSOLIDADO_TOTAL RECAUDO'!V105</f>
        <v>-1069081811.17</v>
      </c>
      <c r="F17" s="648">
        <f>F10-'CONSOLIDADO_TOTAL RECAUDO'!W105</f>
        <v>-5079148400.1199999</v>
      </c>
      <c r="G17" s="648">
        <f>G10-'CONSOLIDADO_TOTAL RECAUDO'!X105</f>
        <v>-1714098215.3400002</v>
      </c>
      <c r="H17" s="648">
        <f>H10-'CONSOLIDADO_TOTAL RECAUDO'!Y105</f>
        <v>-206892541.01000002</v>
      </c>
      <c r="I17" s="648">
        <f>I10-'CONSOLIDADO_TOTAL RECAUDO'!Z105</f>
        <v>266580255</v>
      </c>
      <c r="J17" s="648">
        <f>J10-'CONSOLIDADO_TOTAL RECAUDO'!AA105-'CONSOLIDADO_TOTAL RECAUDO'!AC105</f>
        <v>70614.06</v>
      </c>
      <c r="K17" s="648">
        <f>K10-'CONSOLIDADO_TOTAL RECAUDO'!AB105</f>
        <v>-9905072.7599999998</v>
      </c>
      <c r="L17" s="648">
        <f>L10-'CONSOLIDADO_TOTAL RECAUDO'!AE105</f>
        <v>3290249382.6199999</v>
      </c>
      <c r="M17" s="648">
        <f>M10-'CONSOLIDADO_TOTAL RECAUDO'!AD105</f>
        <v>-926896144.28999996</v>
      </c>
      <c r="N17" s="648">
        <f>N10-'CONSOLIDADO_TOTAL RECAUDO'!AF105</f>
        <v>-9851065990.75</v>
      </c>
      <c r="O17" s="648">
        <f>O10-'CONSOLIDADO_TOTAL RECAUDO'!AG105</f>
        <v>94536035.270000458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-763682703.06000006</v>
      </c>
      <c r="E18" s="648">
        <f>E11-'CONSOLIDADO_TOTAL RECAUDO'!V106</f>
        <v>-725018824.26999998</v>
      </c>
      <c r="F18" s="648">
        <f>F11-'CONSOLIDADO_TOTAL RECAUDO'!W106</f>
        <v>-3444255866.5499997</v>
      </c>
      <c r="G18" s="648">
        <f>G11-'CONSOLIDADO_TOTAL RECAUDO'!X106</f>
        <v>-1347916174.22</v>
      </c>
      <c r="H18" s="648">
        <f>H11-'CONSOLIDADO_TOTAL RECAUDO'!Y106</f>
        <v>-142025975.44000003</v>
      </c>
      <c r="I18" s="648">
        <f>I11-'CONSOLIDADO_TOTAL RECAUDO'!Z106</f>
        <v>154788535</v>
      </c>
      <c r="J18" s="648">
        <f>J11-'CONSOLIDADO_TOTAL RECAUDO'!AA106-'CONSOLIDADO_TOTAL RECAUDO'!AC106</f>
        <v>123324.76999999999</v>
      </c>
      <c r="K18" s="648">
        <f>K11-'CONSOLIDADO_TOTAL RECAUDO'!AB106</f>
        <v>-19321799.949999999</v>
      </c>
      <c r="L18" s="648">
        <f>L11-'CONSOLIDADO_TOTAL RECAUDO'!AE106</f>
        <v>1186011300.3599999</v>
      </c>
      <c r="M18" s="648">
        <f>M11-'CONSOLIDADO_TOTAL RECAUDO'!AD106</f>
        <v>-102795036.73000026</v>
      </c>
      <c r="N18" s="648">
        <f>N11-'CONSOLIDADO_TOTAL RECAUDO'!AF106</f>
        <v>-6390104520.4499998</v>
      </c>
      <c r="O18" s="648">
        <f>O11-'CONSOLIDADO_TOTAL RECAUDO'!AG106</f>
        <v>16182485.790000916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-787165759.97000003</v>
      </c>
      <c r="E19" s="648">
        <f>E12-'CONSOLIDADO_TOTAL RECAUDO'!V107</f>
        <v>-751593811.83000004</v>
      </c>
      <c r="F19" s="648">
        <f>F12-'CONSOLIDADO_TOTAL RECAUDO'!W107</f>
        <v>-3889163679.0299997</v>
      </c>
      <c r="G19" s="648">
        <f>G12-'CONSOLIDADO_TOTAL RECAUDO'!X107</f>
        <v>-1604125006.1100001</v>
      </c>
      <c r="H19" s="648">
        <f>H12-'CONSOLIDADO_TOTAL RECAUDO'!Y107</f>
        <v>-146783082.90000001</v>
      </c>
      <c r="I19" s="648">
        <f>I12-'CONSOLIDADO_TOTAL RECAUDO'!Z107</f>
        <v>120391083</v>
      </c>
      <c r="J19" s="648">
        <f>J12-'CONSOLIDADO_TOTAL RECAUDO'!AA107-'CONSOLIDADO_TOTAL RECAUDO'!AC107</f>
        <v>-32122.73</v>
      </c>
      <c r="K19" s="648">
        <f>K12-'CONSOLIDADO_TOTAL RECAUDO'!AB107</f>
        <v>-8643135.5800000001</v>
      </c>
      <c r="L19" s="648">
        <f>L12-'CONSOLIDADO_TOTAL RECAUDO'!AE107</f>
        <v>295083326.40999997</v>
      </c>
      <c r="M19" s="648">
        <f>M12-'CONSOLIDADO_TOTAL RECAUDO'!AD107</f>
        <v>356615280.09999996</v>
      </c>
      <c r="N19" s="648">
        <f>N12-'CONSOLIDADO_TOTAL RECAUDO'!AF107</f>
        <v>-6710500235.0500002</v>
      </c>
      <c r="O19" s="648">
        <f>O12-'CONSOLIDADO_TOTAL RECAUDO'!AG107</f>
        <v>-12734828.530002594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-544684335.76999998</v>
      </c>
      <c r="E20" s="648">
        <f>E13-'CONSOLIDADO_TOTAL RECAUDO'!V108</f>
        <v>-512958805.74000001</v>
      </c>
      <c r="F20" s="648">
        <f>F13-'CONSOLIDADO_TOTAL RECAUDO'!W108</f>
        <v>-2640560444.6500001</v>
      </c>
      <c r="G20" s="648">
        <f>G13-'CONSOLIDADO_TOTAL RECAUDO'!X108</f>
        <v>-1214677726.3699999</v>
      </c>
      <c r="H20" s="648">
        <f>H13-'CONSOLIDADO_TOTAL RECAUDO'!Y108</f>
        <v>-101292451</v>
      </c>
      <c r="I20" s="648">
        <f>I13-'CONSOLIDADO_TOTAL RECAUDO'!Z108</f>
        <v>128990445</v>
      </c>
      <c r="J20" s="648">
        <f>J13-'CONSOLIDADO_TOTAL RECAUDO'!AA108-'CONSOLIDADO_TOTAL RECAUDO'!AC108</f>
        <v>-10684.380000000001</v>
      </c>
      <c r="K20" s="648">
        <f>K13-'CONSOLIDADO_TOTAL RECAUDO'!AB108</f>
        <v>-12379938.060000001</v>
      </c>
      <c r="L20" s="648">
        <f>L13-'CONSOLIDADO_TOTAL RECAUDO'!AE108</f>
        <v>152410055.08000001</v>
      </c>
      <c r="M20" s="648">
        <f>M13-'CONSOLIDADO_TOTAL RECAUDO'!AD108</f>
        <v>-1094063039.3299999</v>
      </c>
      <c r="N20" s="648">
        <f>N13-'CONSOLIDADO_TOTAL RECAUDO'!AF108</f>
        <v>-5991636980.3000002</v>
      </c>
      <c r="O20" s="648">
        <f>O13-'CONSOLIDADO_TOTAL RECAUDO'!AG108</f>
        <v>6448709.1300001144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-4599014176.5200005</v>
      </c>
      <c r="E21" s="648">
        <f>E14-'CONSOLIDADO_TOTAL RECAUDO'!V109</f>
        <v>-4374663138.8599997</v>
      </c>
      <c r="F21" s="648">
        <f>F14-'CONSOLIDADO_TOTAL RECAUDO'!W109</f>
        <v>-21325603325.549999</v>
      </c>
      <c r="G21" s="648">
        <f>G14-'CONSOLIDADO_TOTAL RECAUDO'!X109</f>
        <v>-8171786006.3000002</v>
      </c>
      <c r="H21" s="648">
        <f>H14-'CONSOLIDADO_TOTAL RECAUDO'!Y109</f>
        <v>-855748419.04000008</v>
      </c>
      <c r="I21" s="648">
        <f>I14-'CONSOLIDADO_TOTAL RECAUDO'!Z109</f>
        <v>859936305</v>
      </c>
      <c r="J21" s="648">
        <f>J14-'CONSOLIDADO_TOTAL RECAUDO'!AA109-'CONSOLIDADO_TOTAL RECAUDO'!AC109</f>
        <v>178779.13</v>
      </c>
      <c r="K21" s="648">
        <f>K14-'CONSOLIDADO_TOTAL RECAUDO'!AB109</f>
        <v>-70181639.379999995</v>
      </c>
      <c r="L21" s="648">
        <f>L14-'CONSOLIDADO_TOTAL RECAUDO'!AE109</f>
        <v>8114665621.4799995</v>
      </c>
      <c r="M21" s="648">
        <f>M14-'CONSOLIDADO_TOTAL RECAUDO'!AD109</f>
        <v>3577723444.9200001</v>
      </c>
      <c r="N21" s="648">
        <f>N14-'CONSOLIDADO_TOTAL RECAUDO'!AF109</f>
        <v>-34959158176.599998</v>
      </c>
      <c r="O21" s="648">
        <f>O14-'CONSOLIDADO_TOTAL RECAUDO'!AG109</f>
        <v>131875364.07999611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R1'!M75+'Reporte Componentes R1'!M77+'Rem. Anticipos R2'!L47+'Reversion Pagos R4'!J73+D16+'AJUSTES - SF-T'!U47=D9</f>
        <v>1</v>
      </c>
      <c r="E24" s="648" t="b">
        <f>+'Reporte Componentes R1'!N75+'Reporte Componentes R1'!N77+'Rem. Anticipos R2'!M47+'Reversion Pagos R4'!K73+E16+'AJUSTES - SF-T'!V47=E9</f>
        <v>1</v>
      </c>
      <c r="F24" s="648" t="b">
        <f>+'Reporte Componentes R1'!O75+'Reporte Componentes R1'!O77+'Rem. Anticipos R2'!N47+'Reversion Pagos R4'!L73+F16+'AJUSTES - SF-T'!W47=F9</f>
        <v>1</v>
      </c>
      <c r="G24" s="648" t="b">
        <f>+'Reporte Componentes R1'!P75+'Reporte Componentes R1'!P77+'Rem. Anticipos R2'!O47+'Reversion Pagos R4'!M73+G16+'AJUSTES - SF-T'!X47=G9</f>
        <v>1</v>
      </c>
      <c r="H24" s="648" t="b">
        <f>+'Reporte Componentes R1'!Q75+'Reporte Componentes R1'!Q77+'Rem. Anticipos R2'!P47+'Reversion Pagos R4'!N73+H16+'AJUSTES - SF-T'!Y47=H9</f>
        <v>1</v>
      </c>
      <c r="I24" s="698" t="b">
        <f>-INTERVENTORIA!N26+I16=I9</f>
        <v>1</v>
      </c>
      <c r="J24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f>
        <v>1</v>
      </c>
      <c r="K24" s="648" t="b">
        <f>+DetRetri2026101!N32</f>
        <v>1</v>
      </c>
      <c r="L24" s="648" t="b">
        <f>'Reporte Componentes R1'!F76+'Rem. Anticipos R2'!E48+'Reporte Componentes R1'!F78+'Reversion Pagos R4'!D74+'AJUSTES - SF-T'!AD47+L16=L9</f>
        <v>1</v>
      </c>
      <c r="M24" s="648" t="b">
        <f>-'BCE SC POR FACT.'!F3+'Reporte Componentes R1'!F76+'Rem. Anticipos R2'!E48+'Reporte Componentes R1'!F78+'Reversion Pagos R4'!D74+'AJUSTES - SF-T'!AD47+M16=M9</f>
        <v>1</v>
      </c>
      <c r="N24" s="648" t="b">
        <f>'Reporte Componentes R1'!F76+'Rem. Anticipos R2'!E48+'Reporte Componentes R1'!F78+'Reversion Pagos R4'!D74+'AJUSTES - SF-T'!AD47+L16=L9</f>
        <v>1</v>
      </c>
      <c r="O24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R1'!M254+'Rem. Anticipos R2'!L155+'Reversion Pagos R4'!J174+'Reporte Componentes R1'!M256+D17+'AJUSTES - SF-T'!U48=D10</f>
        <v>1</v>
      </c>
      <c r="E25" s="654" t="b">
        <f>+'Reporte Componentes R1'!N254+'Rem. Anticipos R2'!M155+'Reversion Pagos R4'!K174+'Reporte Componentes R1'!N256+E17+'AJUSTES - SF-T'!V48=E10</f>
        <v>1</v>
      </c>
      <c r="F25" s="654" t="b">
        <f>+'Reporte Componentes R1'!O254+'Rem. Anticipos R2'!N155+'Reversion Pagos R4'!L174+'Reporte Componentes R1'!O256+F17+'AJUSTES - SF-T'!W48=F10</f>
        <v>1</v>
      </c>
      <c r="G25" s="654" t="b">
        <f>+'Reporte Componentes R1'!P254+'Rem. Anticipos R2'!O155+'Reversion Pagos R4'!M174+'Reporte Componentes R1'!P256+G17+'AJUSTES - SF-T'!X48=G10</f>
        <v>1</v>
      </c>
      <c r="H25" s="654" t="b">
        <f>+'Reporte Componentes R1'!Q254+'Rem. Anticipos R2'!P155+'Reversion Pagos R4'!N174+'Reporte Componentes R1'!Q256+H17+'AJUSTES - SF-T'!Y48=H10</f>
        <v>1</v>
      </c>
      <c r="I25" s="698" t="b">
        <f>-INTERVENTORIA!N27+I17=I10</f>
        <v>1</v>
      </c>
      <c r="J25" s="654" t="b">
        <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f>
        <v>0</v>
      </c>
      <c r="K25" s="654" t="b">
        <f>+DetRetri2026101!N33</f>
        <v>1</v>
      </c>
      <c r="L25" s="648" t="b">
        <f>+'Reporte Componentes R1'!F255+'Rem. Anticipos R2'!E156+'Reporte Componentes R1'!F257+'Reversion Pagos R4'!D175+'AJUSTES - SF-T'!AD48+L17=L10</f>
        <v>1</v>
      </c>
      <c r="M25" s="715">
        <f>-'BCE SC POR FACT.'!F4+'Reporte Componentes R1'!F255+'Rem. Anticipos R2'!E156+'Reporte Componentes R1'!F257+'Reversion Pagos R4'!D175+'AJUSTES - SF-T'!AD48+M17-M10</f>
        <v>0</v>
      </c>
      <c r="N25" s="648" t="b">
        <f>'Reporte Componentes R1'!F255+'Rem. Anticipos R2'!E156+'Reporte Componentes R1'!F257+'Reversion Pagos R4'!D175+'AJUSTES - SF-T'!AD48+L17=L10</f>
        <v>1</v>
      </c>
      <c r="O25" s="648" t="b">
        <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R1'!M415+'Reporte Componentes R1'!M417+'Rem. Anticipos R2'!L273+'Reversion Pagos R4'!J211+D18+'AJUSTES - SF-T'!U49=D11</f>
        <v>1</v>
      </c>
      <c r="E26" s="648" t="b">
        <f>+'Reporte Componentes R1'!N415+'Reporte Componentes R1'!N417+'Rem. Anticipos R2'!M273+'Reversion Pagos R4'!K211+E18+'AJUSTES - SF-T'!V49=E11</f>
        <v>1</v>
      </c>
      <c r="F26" s="648" t="b">
        <f>+'Reporte Componentes R1'!O415+'Reporte Componentes R1'!O417+'Rem. Anticipos R2'!N273+'Reversion Pagos R4'!L211+F18+'AJUSTES - SF-T'!W49=F11</f>
        <v>1</v>
      </c>
      <c r="G26" s="648" t="b">
        <f>+'Reporte Componentes R1'!P415+'Reporte Componentes R1'!P417+'Rem. Anticipos R2'!O273+'Reversion Pagos R4'!M211+G18+'AJUSTES - SF-T'!X49=G11</f>
        <v>1</v>
      </c>
      <c r="H26" s="648" t="b">
        <f>+'Reporte Componentes R1'!Q415+'Reporte Componentes R1'!Q417+'Rem. Anticipos R2'!P273+'Reversion Pagos R4'!N211+H18+'AJUSTES - SF-T'!Y49=H11</f>
        <v>1</v>
      </c>
      <c r="I26" s="698" t="b">
        <f>-INTERVENTORIA!N28+I18=I11</f>
        <v>1</v>
      </c>
      <c r="J26" s="648" t="b">
        <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f>
        <v>1</v>
      </c>
      <c r="K26" s="648" t="b">
        <f>+DetRetri2026101!N34</f>
        <v>1</v>
      </c>
      <c r="L26" s="648" t="b">
        <f>+'Reporte Componentes R1'!F416+'Rem. Anticipos R2'!E274+'Reporte Componentes R1'!F418+'Reversion Pagos R4'!D212+'AJUSTES - SF-T'!AD49+L18=L11</f>
        <v>1</v>
      </c>
      <c r="M26" s="715">
        <f>-'BCE SC POR FACT.'!F5+'Reporte Componentes R1'!F416+'Rem. Anticipos R2'!E274+'Reporte Componentes R1'!F418+'Reversion Pagos R4'!D212+'AJUSTES - SF-T'!AD49+M18-M11</f>
        <v>-1.4901161193847656E-8</v>
      </c>
      <c r="N26" s="648" t="b">
        <f>'Reporte Componentes R1'!F416+'Rem. Anticipos R2'!E274+'Reporte Componentes R1'!F418+'Reversion Pagos R4'!D212+'AJUSTES - SF-T'!AD49+L18=L11</f>
        <v>1</v>
      </c>
      <c r="O26" s="712" t="b">
        <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R1'!M568+'Reporte Componentes R1'!M570+'Rem. Anticipos R2'!L384+'Reversion Pagos R4'!J326+D19+'AJUSTES - SF-T'!U50=D12</f>
        <v>1</v>
      </c>
      <c r="E27" s="648" t="b">
        <f>+'Reporte Componentes R1'!N568+'Reporte Componentes R1'!N570+'Rem. Anticipos R2'!M384+'Reversion Pagos R4'!K326+E19+'AJUSTES - SF-T'!V50=E12</f>
        <v>1</v>
      </c>
      <c r="F27" s="648" t="b">
        <f>+'Reporte Componentes R1'!O568+'Reporte Componentes R1'!O570+'Rem. Anticipos R2'!N384+'Reversion Pagos R4'!L326+F19+'AJUSTES - SF-T'!W50=F12</f>
        <v>1</v>
      </c>
      <c r="G27" s="648" t="b">
        <f>+'Reporte Componentes R1'!P568+'Reporte Componentes R1'!P570+'Rem. Anticipos R2'!O384+'Reversion Pagos R4'!M326+G19+'AJUSTES - SF-T'!X50=G12</f>
        <v>1</v>
      </c>
      <c r="H27" s="648" t="b">
        <f>+'Reporte Componentes R1'!Q568+'Reporte Componentes R1'!Q570+'Rem. Anticipos R2'!P384+'Reversion Pagos R4'!N326+H19+'AJUSTES - SF-T'!Y50=H12</f>
        <v>1</v>
      </c>
      <c r="I27" s="698" t="b">
        <f>-INTERVENTORIA!N29+I19=I12</f>
        <v>1</v>
      </c>
      <c r="J27" s="648" t="b">
        <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f>
        <v>1</v>
      </c>
      <c r="K27" s="648" t="b">
        <f>+DetRetri2026101!N35</f>
        <v>1</v>
      </c>
      <c r="L27" s="648" t="b">
        <f>+'Reporte Componentes R1'!F569+'Rem. Anticipos R2'!E385+'Reporte Componentes R1'!F571+'Reversion Pagos R4'!D327+'AJUSTES - SF-T'!AD50+L19=L12</f>
        <v>1</v>
      </c>
      <c r="M27" s="715">
        <f>-'BCE SC POR FACT.'!F6+'Reporte Componentes R1'!F569+'Rem. Anticipos R2'!E385+'Reporte Componentes R1'!F571+'Reversion Pagos R4'!D327+'AJUSTES - SF-T'!AD50+M19-M12</f>
        <v>0</v>
      </c>
      <c r="N27" s="648" t="b">
        <f>'Reporte Componentes R1'!F569+'Rem. Anticipos R2'!E385+'Reporte Componentes R1'!F571+'Reversion Pagos R4'!D327+'AJUSTES - SF-T'!AD50+L19=L12</f>
        <v>1</v>
      </c>
      <c r="O27" s="712" t="b">
        <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R1'!M680+'Reporte Componentes R1'!M682+'Rem. Anticipos R2'!L468+'Reversion Pagos R4'!J361+D20+'AJUSTES - SF-T'!U51=D13</f>
        <v>1</v>
      </c>
      <c r="E28" s="648" t="b">
        <f>+'Reporte Componentes R1'!N680+'Reporte Componentes R1'!N682+'Rem. Anticipos R2'!M468+'Reversion Pagos R4'!K361+E20+'AJUSTES - SF-T'!V51=E13</f>
        <v>1</v>
      </c>
      <c r="F28" s="648" t="b">
        <f>+'Reporte Componentes R1'!O680+'Reporte Componentes R1'!O682+'Rem. Anticipos R2'!N468+'Reversion Pagos R4'!L361+F20+'AJUSTES - SF-T'!W51=F13</f>
        <v>1</v>
      </c>
      <c r="G28" s="648" t="b">
        <f>+'Reporte Componentes R1'!P680+'Reporte Componentes R1'!P682+'Rem. Anticipos R2'!O468+'Reversion Pagos R4'!M361+G20+'AJUSTES - SF-T'!X51=G13</f>
        <v>1</v>
      </c>
      <c r="H28" s="648" t="b">
        <f>+'Reporte Componentes R1'!Q680+'Reporte Componentes R1'!Q682+'Rem. Anticipos R2'!P468+'Reversion Pagos R4'!N361+H20+'AJUSTES - SF-T'!Y51=H13</f>
        <v>1</v>
      </c>
      <c r="I28" s="698" t="b">
        <f>-INTERVENTORIA!N30+I20=I13</f>
        <v>1</v>
      </c>
      <c r="J28" s="650" t="b">
        <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f>
        <v>1</v>
      </c>
      <c r="K28" s="648" t="b">
        <f>+DetRetri2026101!N36</f>
        <v>1</v>
      </c>
      <c r="L28" s="648" t="b">
        <f>+'Reporte Componentes R1'!F681+'Rem. Anticipos R2'!E469+'Reporte Componentes R1'!F683+'Reversion Pagos R4'!D362+'AJUSTES - SF-T'!AD51+L20=L13</f>
        <v>1</v>
      </c>
      <c r="M28" s="648" t="b">
        <f>-'BCE SC POR FACT.'!F7+'Reporte Componentes R1'!F681+'Rem. Anticipos R2'!E469+'Reporte Componentes R1'!F683+'Reversion Pagos R4'!D362+'AJUSTES - SF-T'!AD51+M20=M13</f>
        <v>1</v>
      </c>
      <c r="N28" s="648" t="b">
        <f>'Reporte Componentes R1'!F681+'Rem. Anticipos R2'!E469+'Reporte Componentes R1'!F683+'Reversion Pagos R4'!D362+'AJUSTES - SF-T'!AD51+L20=L13</f>
        <v>1</v>
      </c>
      <c r="O28" s="648" t="b">
        <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f>
        <v>1</v>
      </c>
    </row>
    <row r="29" spans="2:16" x14ac:dyDescent="0.3">
      <c r="C29" s="649" t="s">
        <v>2</v>
      </c>
      <c r="D29" s="648" t="b">
        <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f>
        <v>1</v>
      </c>
      <c r="E29" s="648" t="b">
        <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f>
        <v>1</v>
      </c>
      <c r="F29" s="648" t="b">
        <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f>
        <v>1</v>
      </c>
      <c r="G29" s="648" t="b">
        <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f>
        <v>0</v>
      </c>
      <c r="H29" s="648" t="b">
        <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f>
        <v>0</v>
      </c>
      <c r="I29" s="698" t="b">
        <f>-INTERVENTORIA!N31+I21=I14</f>
        <v>1</v>
      </c>
      <c r="J29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f>
        <v>1</v>
      </c>
      <c r="K29" s="648" t="b">
        <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f>
        <v>1</v>
      </c>
      <c r="L29" s="711" t="b">
        <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f>
        <v>0</v>
      </c>
      <c r="M29" s="648" t="b">
        <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f>
        <v>0</v>
      </c>
      <c r="N29" s="648" t="b">
        <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f>
        <v>0</v>
      </c>
      <c r="O29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33203125" defaultRowHeight="11.4" x14ac:dyDescent="0.2"/>
  <cols>
    <col min="1" max="1" width="3" style="1" customWidth="1"/>
    <col min="2" max="2" width="4.332031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332031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332031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33203125" style="1" customWidth="1"/>
    <col min="36" max="36" width="13.88671875" style="1" bestFit="1" customWidth="1"/>
    <col min="37" max="16384" width="11.332031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14842425135.769999</v>
      </c>
      <c r="E9" s="292">
        <f>'CONSOLIDADO_TOTAL RECAUDO'!E104</f>
        <v>841835259.24000001</v>
      </c>
      <c r="F9" s="292">
        <f>'CONSOLIDADO_TOTAL RECAUDO'!F104</f>
        <v>468934429.98000002</v>
      </c>
      <c r="G9" s="292">
        <f>'CONSOLIDADO_TOTAL RECAUDO'!G104</f>
        <v>249665577.34</v>
      </c>
      <c r="H9" s="292">
        <f>'CONSOLIDADO_TOTAL RECAUDO'!H104</f>
        <v>4756987535.8000011</v>
      </c>
      <c r="I9" s="292">
        <f>'CONSOLIDADO_TOTAL RECAUDO'!I104</f>
        <v>158503798.81</v>
      </c>
      <c r="J9" s="288">
        <f>'CONSOLIDADO_TOTAL RECAUDO'!J104</f>
        <v>2153950828.1600003</v>
      </c>
      <c r="K9" s="293">
        <f>'CONSOLIDADO_TOTAL RECAUDO'!K104</f>
        <v>6212547706.4399967</v>
      </c>
      <c r="L9" s="294">
        <f>'CONSOLIDADO_TOTAL RECAUDO'!L104</f>
        <v>189185987</v>
      </c>
      <c r="M9" s="293">
        <f>'CONSOLIDADO_TOTAL RECAUDO'!M104</f>
        <v>6023361719.4399967</v>
      </c>
      <c r="N9" s="294">
        <f>'CONSOLIDADO_TOTAL RECAUDO'!N104</f>
        <v>19931693.030000001</v>
      </c>
      <c r="O9" s="293">
        <f>'CONSOLIDADO_TOTAL RECAUDO'!O104</f>
        <v>6043293412.4699965</v>
      </c>
      <c r="Q9" s="306"/>
      <c r="S9" s="303">
        <v>1</v>
      </c>
      <c r="T9" s="304" t="s">
        <v>10</v>
      </c>
      <c r="U9" s="307">
        <f>'CONSOLIDADO_TOTAL RECAUDO'!U104</f>
        <v>1391786702.5999999</v>
      </c>
      <c r="V9" s="308">
        <f>'CONSOLIDADO_TOTAL RECAUDO'!V104</f>
        <v>1316009885.8500001</v>
      </c>
      <c r="W9" s="308">
        <f>'CONSOLIDADO_TOTAL RECAUDO'!W104</f>
        <v>6272474935.1999998</v>
      </c>
      <c r="X9" s="308">
        <f>'CONSOLIDADO_TOTAL RECAUDO'!X104</f>
        <v>2290968884.2599998</v>
      </c>
      <c r="Y9" s="309">
        <f>'CONSOLIDADO_TOTAL RECAUDO'!Y104</f>
        <v>258754368.69000003</v>
      </c>
      <c r="Z9" s="310">
        <f>'CONSOLIDADO_TOTAL RECAUDO'!Z104</f>
        <v>-189185987</v>
      </c>
      <c r="AA9" s="311">
        <f>'CONSOLIDADO_TOTAL RECAUDO'!AA104</f>
        <v>-27796.54</v>
      </c>
      <c r="AB9" s="294">
        <f>'CONSOLIDADO_TOTAL RECAUDO'!AB104</f>
        <v>19931693.030000001</v>
      </c>
      <c r="AC9" s="311">
        <f>'CONSOLIDADO_TOTAL RECAUDO'!AC104</f>
        <v>149.13</v>
      </c>
      <c r="AD9" s="291">
        <f>'CONSOLIDADO_TOTAL RECAUDO'!AD104</f>
        <v>-5344862385.1700001</v>
      </c>
      <c r="AE9" s="291">
        <f>'CONSOLIDADO_TOTAL RECAUDO'!AE104</f>
        <v>-3190911557.0100002</v>
      </c>
      <c r="AF9" s="313">
        <f>'CONSOLIDADO_TOTAL RECAUDO'!AF104</f>
        <v>6015850450.0499992</v>
      </c>
      <c r="AG9" s="521">
        <f>'CONSOLIDADO_TOTAL RECAUDO'!AG104</f>
        <v>-27442962.419997215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11302637604.959999</v>
      </c>
      <c r="E10" s="292">
        <f>'CONSOLIDADO_TOTAL RECAUDO'!E105</f>
        <v>873906144.08000004</v>
      </c>
      <c r="F10" s="292">
        <f>'CONSOLIDADO_TOTAL RECAUDO'!F105</f>
        <v>483830193.30000001</v>
      </c>
      <c r="G10" s="292">
        <f>'CONSOLIDADO_TOTAL RECAUDO'!G105</f>
        <v>256505918.23999998</v>
      </c>
      <c r="H10" s="292">
        <f>'CONSOLIDADO_TOTAL RECAUDO'!H105</f>
        <v>3576556628.1500001</v>
      </c>
      <c r="I10" s="292">
        <f>'CONSOLIDADO_TOTAL RECAUDO'!I105</f>
        <v>126707039.83999999</v>
      </c>
      <c r="J10" s="288">
        <f>'CONSOLIDADO_TOTAL RECAUDO'!J105</f>
        <v>-4217145526.9099998</v>
      </c>
      <c r="K10" s="295">
        <f>'CONSOLIDADO_TOTAL RECAUDO'!K105</f>
        <v>10202277208.26</v>
      </c>
      <c r="L10" s="294">
        <f>'CONSOLIDADO_TOTAL RECAUDO'!L105</f>
        <v>266580255</v>
      </c>
      <c r="M10" s="295">
        <f>'CONSOLIDADO_TOTAL RECAUDO'!M105</f>
        <v>9935696953.2600002</v>
      </c>
      <c r="N10" s="294">
        <f>'CONSOLIDADO_TOTAL RECAUDO'!N105</f>
        <v>9905072.7599999998</v>
      </c>
      <c r="O10" s="295">
        <f>'CONSOLIDADO_TOTAL RECAUDO'!O105</f>
        <v>9945602026.0200005</v>
      </c>
      <c r="Q10" s="306"/>
      <c r="S10" s="314">
        <v>2</v>
      </c>
      <c r="T10" s="315" t="s">
        <v>11</v>
      </c>
      <c r="U10" s="316">
        <f>'CONSOLIDADO_TOTAL RECAUDO'!U105</f>
        <v>1111694675.1200001</v>
      </c>
      <c r="V10" s="317">
        <f>'CONSOLIDADO_TOTAL RECAUDO'!V105</f>
        <v>1069081811.17</v>
      </c>
      <c r="W10" s="317">
        <f>'CONSOLIDADO_TOTAL RECAUDO'!W105</f>
        <v>5079148400.1199999</v>
      </c>
      <c r="X10" s="317">
        <f>'CONSOLIDADO_TOTAL RECAUDO'!X105</f>
        <v>1714098215.3400002</v>
      </c>
      <c r="Y10" s="318">
        <f>'CONSOLIDADO_TOTAL RECAUDO'!Y105</f>
        <v>206892541.01000002</v>
      </c>
      <c r="Z10" s="319">
        <f>'CONSOLIDADO_TOTAL RECAUDO'!Z105</f>
        <v>-266580255</v>
      </c>
      <c r="AA10" s="320">
        <f>'CONSOLIDADO_TOTAL RECAUDO'!AA105</f>
        <v>-14306.289999999999</v>
      </c>
      <c r="AB10" s="294">
        <f>'CONSOLIDADO_TOTAL RECAUDO'!AB105</f>
        <v>9905072.7599999998</v>
      </c>
      <c r="AC10" s="320">
        <f>'CONSOLIDADO_TOTAL RECAUDO'!AC105</f>
        <v>-56307.77</v>
      </c>
      <c r="AD10" s="291">
        <f>'CONSOLIDADO_TOTAL RECAUDO'!AD105</f>
        <v>926896144.28999996</v>
      </c>
      <c r="AE10" s="291">
        <f>'CONSOLIDADO_TOTAL RECAUDO'!AE105</f>
        <v>-3290249382.6199999</v>
      </c>
      <c r="AF10" s="322">
        <f>'CONSOLIDADO_TOTAL RECAUDO'!AF105</f>
        <v>9851065990.75</v>
      </c>
      <c r="AG10" s="522">
        <f>'CONSOLIDADO_TOTAL RECAUDO'!AG105</f>
        <v>-94536035.270000458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8823787300.3700008</v>
      </c>
      <c r="E11" s="292">
        <f>'CONSOLIDADO_TOTAL RECAUDO'!E106</f>
        <v>569049058.22000003</v>
      </c>
      <c r="F11" s="292">
        <f>'CONSOLIDADO_TOTAL RECAUDO'!F106</f>
        <v>317267488.88</v>
      </c>
      <c r="G11" s="292">
        <f>'CONSOLIDADO_TOTAL RECAUDO'!G106</f>
        <v>168517798.86000001</v>
      </c>
      <c r="H11" s="292">
        <f>'CONSOLIDADO_TOTAL RECAUDO'!H106</f>
        <v>2429021539.6700001</v>
      </c>
      <c r="I11" s="292">
        <f>'CONSOLIDADO_TOTAL RECAUDO'!I106</f>
        <v>86984010.540000007</v>
      </c>
      <c r="J11" s="288">
        <f>'CONSOLIDADO_TOTAL RECAUDO'!J106</f>
        <v>-1288806337.0900002</v>
      </c>
      <c r="K11" s="295">
        <f>'CONSOLIDADO_TOTAL RECAUDO'!K106</f>
        <v>6541753741.2900009</v>
      </c>
      <c r="L11" s="294">
        <f>'CONSOLIDADO_TOTAL RECAUDO'!L106</f>
        <v>154788535</v>
      </c>
      <c r="M11" s="295">
        <f>'CONSOLIDADO_TOTAL RECAUDO'!M106</f>
        <v>6386965206.2900009</v>
      </c>
      <c r="N11" s="294">
        <f>'CONSOLIDADO_TOTAL RECAUDO'!N106</f>
        <v>19321799.949999999</v>
      </c>
      <c r="O11" s="295">
        <f>'CONSOLIDADO_TOTAL RECAUDO'!O106</f>
        <v>6406287006.2400007</v>
      </c>
      <c r="Q11" s="306"/>
      <c r="S11" s="314">
        <v>3</v>
      </c>
      <c r="T11" s="315" t="s">
        <v>12</v>
      </c>
      <c r="U11" s="316">
        <f>'CONSOLIDADO_TOTAL RECAUDO'!U106</f>
        <v>763682703.06000006</v>
      </c>
      <c r="V11" s="317">
        <f>'CONSOLIDADO_TOTAL RECAUDO'!V106</f>
        <v>725018824.26999998</v>
      </c>
      <c r="W11" s="317">
        <f>'CONSOLIDADO_TOTAL RECAUDO'!W106</f>
        <v>3444255866.5499997</v>
      </c>
      <c r="X11" s="317">
        <f>'CONSOLIDADO_TOTAL RECAUDO'!X106</f>
        <v>1347916174.22</v>
      </c>
      <c r="Y11" s="318">
        <f>'CONSOLIDADO_TOTAL RECAUDO'!Y106</f>
        <v>142025975.44000003</v>
      </c>
      <c r="Z11" s="319">
        <f>'CONSOLIDADO_TOTAL RECAUDO'!Z106</f>
        <v>-154788535</v>
      </c>
      <c r="AA11" s="320">
        <f>'CONSOLIDADO_TOTAL RECAUDO'!AA106</f>
        <v>-81704.87</v>
      </c>
      <c r="AB11" s="294">
        <f>'CONSOLIDADO_TOTAL RECAUDO'!AB106</f>
        <v>19321799.949999999</v>
      </c>
      <c r="AC11" s="320">
        <f>'CONSOLIDADO_TOTAL RECAUDO'!AC106</f>
        <v>-41619.9</v>
      </c>
      <c r="AD11" s="291">
        <f>'CONSOLIDADO_TOTAL RECAUDO'!AD106</f>
        <v>102795036.73000026</v>
      </c>
      <c r="AE11" s="291">
        <f>'CONSOLIDADO_TOTAL RECAUDO'!AE106</f>
        <v>-1186011300.3599999</v>
      </c>
      <c r="AF11" s="322">
        <f>'CONSOLIDADO_TOTAL RECAUDO'!AF106</f>
        <v>6390104520.4499998</v>
      </c>
      <c r="AG11" s="522">
        <f>'CONSOLIDADO_TOTAL RECAUDO'!AG106</f>
        <v>-16182485.790000916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10483172762.089998</v>
      </c>
      <c r="E12" s="292">
        <f>'CONSOLIDADO_TOTAL RECAUDO'!E107</f>
        <v>605948755.42999995</v>
      </c>
      <c r="F12" s="292">
        <f>'CONSOLIDADO_TOTAL RECAUDO'!F107</f>
        <v>335895270.16999996</v>
      </c>
      <c r="G12" s="292">
        <f>'CONSOLIDADO_TOTAL RECAUDO'!G107</f>
        <v>179108611.82000002</v>
      </c>
      <c r="H12" s="292">
        <f>'CONSOLIDADO_TOTAL RECAUDO'!H107</f>
        <v>2401366805.27</v>
      </c>
      <c r="I12" s="292">
        <f>'CONSOLIDADO_TOTAL RECAUDO'!I107</f>
        <v>89808011.769999996</v>
      </c>
      <c r="J12" s="288">
        <f>'CONSOLIDADO_TOTAL RECAUDO'!J107</f>
        <v>61531953.689999998</v>
      </c>
      <c r="K12" s="295">
        <f>'CONSOLIDADO_TOTAL RECAUDO'!K107</f>
        <v>6809513353.9399977</v>
      </c>
      <c r="L12" s="294">
        <f>'CONSOLIDADO_TOTAL RECAUDO'!L107</f>
        <v>120391083</v>
      </c>
      <c r="M12" s="295">
        <f>'CONSOLIDADO_TOTAL RECAUDO'!M107</f>
        <v>6689122270.9399977</v>
      </c>
      <c r="N12" s="294">
        <f>'CONSOLIDADO_TOTAL RECAUDO'!N107</f>
        <v>8643135.5800000001</v>
      </c>
      <c r="O12" s="295">
        <f>'CONSOLIDADO_TOTAL RECAUDO'!O107</f>
        <v>6697765406.5199976</v>
      </c>
      <c r="Q12" s="306"/>
      <c r="S12" s="314">
        <v>4</v>
      </c>
      <c r="T12" s="315" t="s">
        <v>13</v>
      </c>
      <c r="U12" s="316">
        <f>'CONSOLIDADO_TOTAL RECAUDO'!U107</f>
        <v>787165759.97000003</v>
      </c>
      <c r="V12" s="317">
        <f>'CONSOLIDADO_TOTAL RECAUDO'!V107</f>
        <v>751593811.83000004</v>
      </c>
      <c r="W12" s="317">
        <f>'CONSOLIDADO_TOTAL RECAUDO'!W107</f>
        <v>3889163679.0299997</v>
      </c>
      <c r="X12" s="317">
        <f>'CONSOLIDADO_TOTAL RECAUDO'!X107</f>
        <v>1604125006.1100001</v>
      </c>
      <c r="Y12" s="318">
        <f>'CONSOLIDADO_TOTAL RECAUDO'!Y107</f>
        <v>146783082.90000001</v>
      </c>
      <c r="Z12" s="319">
        <f>'CONSOLIDADO_TOTAL RECAUDO'!Z107</f>
        <v>-120391083</v>
      </c>
      <c r="AA12" s="320">
        <f>'CONSOLIDADO_TOTAL RECAUDO'!AA107</f>
        <v>31933.3</v>
      </c>
      <c r="AB12" s="294">
        <f>'CONSOLIDADO_TOTAL RECAUDO'!AB107</f>
        <v>8643135.5800000001</v>
      </c>
      <c r="AC12" s="320">
        <f>'CONSOLIDADO_TOTAL RECAUDO'!AC107</f>
        <v>189.43</v>
      </c>
      <c r="AD12" s="291">
        <f>'CONSOLIDADO_TOTAL RECAUDO'!AD107</f>
        <v>-356615280.09999996</v>
      </c>
      <c r="AE12" s="291">
        <f>'CONSOLIDADO_TOTAL RECAUDO'!AE107</f>
        <v>-295083326.40999997</v>
      </c>
      <c r="AF12" s="322">
        <f>'CONSOLIDADO_TOTAL RECAUDO'!AF107</f>
        <v>6710500235.0500002</v>
      </c>
      <c r="AG12" s="522">
        <f>'CONSOLIDADO_TOTAL RECAUDO'!AG107</f>
        <v>12734828.530002594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7550668664.9899998</v>
      </c>
      <c r="E13" s="297">
        <f>'CONSOLIDADO_TOTAL RECAUDO'!E108</f>
        <v>408145471.80000001</v>
      </c>
      <c r="F13" s="297">
        <f>'CONSOLIDADO_TOTAL RECAUDO'!F108</f>
        <v>227118040.72999999</v>
      </c>
      <c r="G13" s="297">
        <f>'CONSOLIDADO_TOTAL RECAUDO'!G108</f>
        <v>120841029.03</v>
      </c>
      <c r="H13" s="297">
        <f>'CONSOLIDADO_TOTAL RECAUDO'!H108</f>
        <v>1864267894.6400001</v>
      </c>
      <c r="I13" s="297">
        <f>'CONSOLIDADO_TOTAL RECAUDO'!I108</f>
        <v>62073126.829999998</v>
      </c>
      <c r="J13" s="289">
        <f>'CONSOLIDADO_TOTAL RECAUDO'!J108</f>
        <v>-1246473094.4099998</v>
      </c>
      <c r="K13" s="295">
        <f>'CONSOLIDADO_TOTAL RECAUDO'!K108</f>
        <v>6114696196.3699999</v>
      </c>
      <c r="L13" s="294">
        <f>'CONSOLIDADO_TOTAL RECAUDO'!L108</f>
        <v>128990445</v>
      </c>
      <c r="M13" s="298">
        <f>'CONSOLIDADO_TOTAL RECAUDO'!M108</f>
        <v>5985705751.3699999</v>
      </c>
      <c r="N13" s="299">
        <f>'CONSOLIDADO_TOTAL RECAUDO'!N108</f>
        <v>12379938.060000001</v>
      </c>
      <c r="O13" s="298">
        <f>'CONSOLIDADO_TOTAL RECAUDO'!O108</f>
        <v>5998085689.4300003</v>
      </c>
      <c r="Q13" s="306"/>
      <c r="S13" s="324">
        <v>5</v>
      </c>
      <c r="T13" s="325" t="s">
        <v>14</v>
      </c>
      <c r="U13" s="296">
        <f>'CONSOLIDADO_TOTAL RECAUDO'!U108</f>
        <v>544684335.76999998</v>
      </c>
      <c r="V13" s="297">
        <f>'CONSOLIDADO_TOTAL RECAUDO'!V108</f>
        <v>512958805.74000001</v>
      </c>
      <c r="W13" s="297">
        <f>'CONSOLIDADO_TOTAL RECAUDO'!W108</f>
        <v>2640560444.6500001</v>
      </c>
      <c r="X13" s="297">
        <f>'CONSOLIDADO_TOTAL RECAUDO'!X108</f>
        <v>1214677726.3699999</v>
      </c>
      <c r="Y13" s="289">
        <f>'CONSOLIDADO_TOTAL RECAUDO'!Y108</f>
        <v>101292451</v>
      </c>
      <c r="Z13" s="319">
        <f>'CONSOLIDADO_TOTAL RECAUDO'!Z108</f>
        <v>-128990445</v>
      </c>
      <c r="AA13" s="320">
        <f>'CONSOLIDADO_TOTAL RECAUDO'!AA108</f>
        <v>10679.52</v>
      </c>
      <c r="AB13" s="294">
        <f>'CONSOLIDADO_TOTAL RECAUDO'!AB108</f>
        <v>12379938.060000001</v>
      </c>
      <c r="AC13" s="320">
        <f>'CONSOLIDADO_TOTAL RECAUDO'!AC108</f>
        <v>4.8600000000000003</v>
      </c>
      <c r="AD13" s="291">
        <f>'CONSOLIDADO_TOTAL RECAUDO'!AD108</f>
        <v>1094063039.3299999</v>
      </c>
      <c r="AE13" s="291">
        <f>'CONSOLIDADO_TOTAL RECAUDO'!AE108</f>
        <v>-152410055.08000001</v>
      </c>
      <c r="AF13" s="322">
        <f>'CONSOLIDADO_TOTAL RECAUDO'!AF108</f>
        <v>5991636980.3000002</v>
      </c>
      <c r="AG13" s="523">
        <f>'CONSOLIDADO_TOTAL RECAUDO'!AG108</f>
        <v>-6448709.1300001144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53002691468.179993</v>
      </c>
      <c r="E14" s="290">
        <f>'CONSOLIDADO_TOTAL RECAUDO'!E109</f>
        <v>3298884688.77</v>
      </c>
      <c r="F14" s="290">
        <f>'CONSOLIDADO_TOTAL RECAUDO'!F109</f>
        <v>1833045423.0599999</v>
      </c>
      <c r="G14" s="290">
        <f>'CONSOLIDADO_TOTAL RECAUDO'!G109</f>
        <v>974638935.29000008</v>
      </c>
      <c r="H14" s="290">
        <f>'CONSOLIDADO_TOTAL RECAUDO'!H109</f>
        <v>15028200403.530001</v>
      </c>
      <c r="I14" s="290">
        <f>'CONSOLIDADO_TOTAL RECAUDO'!I109</f>
        <v>524075987.78999996</v>
      </c>
      <c r="J14" s="290">
        <f>'CONSOLIDADO_TOTAL RECAUDO'!J109</f>
        <v>-4536942176.5599995</v>
      </c>
      <c r="K14" s="300">
        <f>'CONSOLIDADO_TOTAL RECAUDO'!K109</f>
        <v>35880788206.299995</v>
      </c>
      <c r="L14" s="301">
        <f>'CONSOLIDADO_TOTAL RECAUDO'!L109</f>
        <v>859936305</v>
      </c>
      <c r="M14" s="302">
        <f>'CONSOLIDADO_TOTAL RECAUDO'!M109</f>
        <v>35020851901.299995</v>
      </c>
      <c r="N14" s="301">
        <f>'CONSOLIDADO_TOTAL RECAUDO'!N109</f>
        <v>70181639.379999995</v>
      </c>
      <c r="O14" s="302">
        <f>'CONSOLIDADO_TOTAL RECAUDO'!O109</f>
        <v>35091033540.679993</v>
      </c>
      <c r="P14" s="329"/>
      <c r="Q14" s="306"/>
      <c r="S14" s="327"/>
      <c r="T14" s="328" t="s">
        <v>2</v>
      </c>
      <c r="U14" s="330">
        <f>'CONSOLIDADO_TOTAL RECAUDO'!U109</f>
        <v>4599014176.5200005</v>
      </c>
      <c r="V14" s="330">
        <f>'CONSOLIDADO_TOTAL RECAUDO'!V109</f>
        <v>4374663138.8599997</v>
      </c>
      <c r="W14" s="330">
        <f>'CONSOLIDADO_TOTAL RECAUDO'!W109</f>
        <v>21325603325.549999</v>
      </c>
      <c r="X14" s="330">
        <f>'CONSOLIDADO_TOTAL RECAUDO'!X109</f>
        <v>8171786006.3000002</v>
      </c>
      <c r="Y14" s="330">
        <f>'CONSOLIDADO_TOTAL RECAUDO'!Y109</f>
        <v>855748419.04000008</v>
      </c>
      <c r="Z14" s="290">
        <f>'CONSOLIDADO_TOTAL RECAUDO'!Z109</f>
        <v>-859936305</v>
      </c>
      <c r="AA14" s="290">
        <f>'CONSOLIDADO_TOTAL RECAUDO'!AA109</f>
        <v>-81194.87999999999</v>
      </c>
      <c r="AB14" s="290">
        <f>'CONSOLIDADO_TOTAL RECAUDO'!AB109</f>
        <v>70181639.379999995</v>
      </c>
      <c r="AC14" s="290">
        <f>'CONSOLIDADO_TOTAL RECAUDO'!AC109</f>
        <v>-97584.250000000015</v>
      </c>
      <c r="AD14" s="290">
        <f>'CONSOLIDADO_TOTAL RECAUDO'!AD109</f>
        <v>-3577723444.9200001</v>
      </c>
      <c r="AE14" s="290">
        <f>'CONSOLIDADO_TOTAL RECAUDO'!AE109</f>
        <v>-8114665621.4799995</v>
      </c>
      <c r="AF14" s="331">
        <f>'CONSOLIDADO_TOTAL RECAUDO'!AF109</f>
        <v>34959158176.599998</v>
      </c>
      <c r="AG14" s="524">
        <f>'CONSOLIDADO_TOTAL RECAUDO'!AG109</f>
        <v>-131875364.07999611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11780995.139999999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11780995.139999999</v>
      </c>
      <c r="L27" s="294">
        <f>'REMUNERACION Reciprocidad EAAB'!L105</f>
        <v>0</v>
      </c>
      <c r="M27" s="295">
        <f>'REMUNERACION Reciprocidad EAAB'!M105</f>
        <v>11780995.139999999</v>
      </c>
      <c r="N27" s="294">
        <f>'REMUNERACION Reciprocidad EAAB'!N105</f>
        <v>0</v>
      </c>
      <c r="O27" s="295">
        <f>'REMUNERACION Reciprocidad EAAB'!O105</f>
        <v>11780995.139999999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-4383219.66</v>
      </c>
      <c r="AE27" s="291">
        <f>'REMUNERACION Reciprocidad EAAB'!AE105</f>
        <v>-4383219.66</v>
      </c>
      <c r="AF27" s="322">
        <f>'REMUNERACION Reciprocidad EAAB'!AF105</f>
        <v>-4383219.66</v>
      </c>
      <c r="AG27" s="522">
        <f>'REMUNERACION Reciprocidad EAAB'!AG105</f>
        <v>-16164214.799999999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1844453.3399999999</v>
      </c>
      <c r="E29" s="292">
        <f>'REMUNERACION Reciprocidad EAAB'!E107</f>
        <v>14115.53</v>
      </c>
      <c r="F29" s="292">
        <f>'REMUNERACION Reciprocidad EAAB'!F107</f>
        <v>7860.38</v>
      </c>
      <c r="G29" s="292">
        <f>'REMUNERACION Reciprocidad EAAB'!G107</f>
        <v>4733.42</v>
      </c>
      <c r="H29" s="292">
        <f>'REMUNERACION Reciprocidad EAAB'!H107</f>
        <v>53691.78</v>
      </c>
      <c r="I29" s="292">
        <f>'REMUNERACION Reciprocidad EAAB'!I107</f>
        <v>3705.22</v>
      </c>
      <c r="J29" s="288">
        <f>'REMUNERACION Reciprocidad EAAB'!J107</f>
        <v>0</v>
      </c>
      <c r="K29" s="295">
        <f>'REMUNERACION Reciprocidad EAAB'!K107</f>
        <v>1760347.01</v>
      </c>
      <c r="L29" s="294">
        <f>'REMUNERACION Reciprocidad EAAB'!L107</f>
        <v>0</v>
      </c>
      <c r="M29" s="295">
        <f>'REMUNERACION Reciprocidad EAAB'!M107</f>
        <v>1760347.01</v>
      </c>
      <c r="N29" s="294">
        <f>'REMUNERACION Reciprocidad EAAB'!N107</f>
        <v>0</v>
      </c>
      <c r="O29" s="295">
        <f>'REMUNERACION Reciprocidad EAAB'!O107</f>
        <v>1760347.01</v>
      </c>
      <c r="Q29" s="306"/>
      <c r="S29" s="314">
        <v>4</v>
      </c>
      <c r="T29" s="315" t="s">
        <v>13</v>
      </c>
      <c r="U29" s="316">
        <f>'REMUNERACION Reciprocidad EAAB'!U107</f>
        <v>27762.35</v>
      </c>
      <c r="V29" s="317">
        <f>'REMUNERACION Reciprocidad EAAB'!V107</f>
        <v>31827.74</v>
      </c>
      <c r="W29" s="317">
        <f>'REMUNERACION Reciprocidad EAAB'!W107</f>
        <v>169721.42</v>
      </c>
      <c r="X29" s="317">
        <f>'REMUNERACION Reciprocidad EAAB'!X107</f>
        <v>37127.96</v>
      </c>
      <c r="Y29" s="318">
        <f>'REMUNERACION Reciprocidad EAAB'!Y107</f>
        <v>6045.35</v>
      </c>
      <c r="Z29" s="319">
        <f>'REMUNERACION Reciprocidad EAAB'!Z107</f>
        <v>0</v>
      </c>
      <c r="AA29" s="320">
        <f>'REMUNERACION Reciprocidad EAAB'!AA107</f>
        <v>-6.48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-5588.93</v>
      </c>
      <c r="AE29" s="291">
        <f>'REMUNERACION Reciprocidad EAAB'!AE107</f>
        <v>-5588.93</v>
      </c>
      <c r="AF29" s="322">
        <f>'REMUNERACION Reciprocidad EAAB'!AF107</f>
        <v>266889.41000000003</v>
      </c>
      <c r="AG29" s="522">
        <f>'REMUNERACION Reciprocidad EAAB'!AG107</f>
        <v>-1493457.6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13625448.479999999</v>
      </c>
      <c r="E31" s="290">
        <f>'REMUNERACION Reciprocidad EAAB'!E109</f>
        <v>14115.53</v>
      </c>
      <c r="F31" s="290">
        <f>'REMUNERACION Reciprocidad EAAB'!F109</f>
        <v>7860.38</v>
      </c>
      <c r="G31" s="290">
        <f>'REMUNERACION Reciprocidad EAAB'!G109</f>
        <v>4733.42</v>
      </c>
      <c r="H31" s="290">
        <f>'REMUNERACION Reciprocidad EAAB'!H109</f>
        <v>53691.78</v>
      </c>
      <c r="I31" s="290">
        <f>'REMUNERACION Reciprocidad EAAB'!I109</f>
        <v>3705.22</v>
      </c>
      <c r="J31" s="290">
        <f>'REMUNERACION Reciprocidad EAAB'!J109</f>
        <v>0</v>
      </c>
      <c r="K31" s="300">
        <f>'REMUNERACION Reciprocidad EAAB'!K109</f>
        <v>13541342.149999999</v>
      </c>
      <c r="L31" s="301">
        <f>'REMUNERACION Reciprocidad EAAB'!L109</f>
        <v>0</v>
      </c>
      <c r="M31" s="302">
        <f>'REMUNERACION Reciprocidad EAAB'!M109</f>
        <v>13541342.149999999</v>
      </c>
      <c r="N31" s="301">
        <f>'REMUNERACION Reciprocidad EAAB'!N109</f>
        <v>0</v>
      </c>
      <c r="O31" s="302">
        <f>'REMUNERACION Reciprocidad EAAB'!O109</f>
        <v>13541342.149999999</v>
      </c>
      <c r="P31" s="329"/>
      <c r="Q31" s="306"/>
      <c r="S31" s="327"/>
      <c r="T31" s="328" t="s">
        <v>2</v>
      </c>
      <c r="U31" s="330">
        <f>'REMUNERACION Reciprocidad EAAB'!U109</f>
        <v>27762.35</v>
      </c>
      <c r="V31" s="330">
        <f>'REMUNERACION Reciprocidad EAAB'!V109</f>
        <v>31827.74</v>
      </c>
      <c r="W31" s="330">
        <f>'REMUNERACION Reciprocidad EAAB'!W109</f>
        <v>169721.42</v>
      </c>
      <c r="X31" s="330">
        <f>'REMUNERACION Reciprocidad EAAB'!X109</f>
        <v>37127.96</v>
      </c>
      <c r="Y31" s="330">
        <f>'REMUNERACION Reciprocidad EAAB'!Y109</f>
        <v>6045.35</v>
      </c>
      <c r="Z31" s="290">
        <f>'REMUNERACION Reciprocidad EAAB'!Z109</f>
        <v>0</v>
      </c>
      <c r="AA31" s="290">
        <f>'REMUNERACION Reciprocidad EAAB'!AA109</f>
        <v>-6.48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-4388808.59</v>
      </c>
      <c r="AE31" s="290">
        <f>'REMUNERACION Reciprocidad EAAB'!AE109</f>
        <v>-4388808.59</v>
      </c>
      <c r="AF31" s="331">
        <f>'REMUNERACION Reciprocidad EAAB'!AF109</f>
        <v>-4116330.25</v>
      </c>
      <c r="AG31" s="524">
        <f>'REMUNERACION Reciprocidad EAAB'!AG109</f>
        <v>-17657672.399999999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14494946130.289999</v>
      </c>
      <c r="E43" s="292">
        <f>REMUNERACION_ENEL!E104</f>
        <v>808253973.28999996</v>
      </c>
      <c r="F43" s="292">
        <f>REMUNERACION_ENEL!F104</f>
        <v>450253745.53000003</v>
      </c>
      <c r="G43" s="292">
        <f>REMUNERACION_ENEL!G104</f>
        <v>239677556.41999999</v>
      </c>
      <c r="H43" s="292">
        <f>REMUNERACION_ENEL!H104</f>
        <v>4717876749.6900005</v>
      </c>
      <c r="I43" s="292">
        <f>REMUNERACION_ENEL!I104</f>
        <v>157342146.16</v>
      </c>
      <c r="J43" s="288">
        <f>REMUNERACION_ENEL!J104</f>
        <v>2153950828.1600003</v>
      </c>
      <c r="K43" s="293">
        <f>REMUNERACION_ENEL!K104</f>
        <v>5967591131.039999</v>
      </c>
      <c r="L43" s="294">
        <f>REMUNERACION_ENEL!L104</f>
        <v>189185987</v>
      </c>
      <c r="M43" s="293">
        <f>REMUNERACION_ENEL!M104</f>
        <v>5778405144.039999</v>
      </c>
      <c r="N43" s="294">
        <f>REMUNERACION_ENEL!N104</f>
        <v>9937924.0999999996</v>
      </c>
      <c r="O43" s="293">
        <f>REMUNERACION_ENEL!O104</f>
        <v>5788343068.1399994</v>
      </c>
      <c r="Q43" s="306"/>
      <c r="S43" s="303">
        <v>1</v>
      </c>
      <c r="T43" s="304" t="s">
        <v>10</v>
      </c>
      <c r="U43" s="307">
        <f>REMUNERACION_ENEL!U104</f>
        <v>1381636155.4599998</v>
      </c>
      <c r="V43" s="308">
        <f>REMUNERACION_ENEL!V104</f>
        <v>1303071672.7900002</v>
      </c>
      <c r="W43" s="308">
        <f>REMUNERACION_ENEL!W104</f>
        <v>6211299089.6899996</v>
      </c>
      <c r="X43" s="308">
        <f>REMUNERACION_ENEL!X104</f>
        <v>2199309075.6299996</v>
      </c>
      <c r="Y43" s="309">
        <f>REMUNERACION_ENEL!Y104</f>
        <v>256857302.64000002</v>
      </c>
      <c r="Z43" s="310">
        <f>REMUNERACION_ENEL!Z104</f>
        <v>-189185987</v>
      </c>
      <c r="AA43" s="311">
        <f>REMUNERACION_ENEL!AA104</f>
        <v>-24225.26</v>
      </c>
      <c r="AB43" s="294">
        <f>REMUNERACION_ENEL!AB104</f>
        <v>9937924.0999999996</v>
      </c>
      <c r="AC43" s="311">
        <f>REMUNERACION_ENEL!AC104</f>
        <v>149.04</v>
      </c>
      <c r="AD43" s="291">
        <f>REMUNERACION_ENEL!AD104</f>
        <v>-5409140437.7200003</v>
      </c>
      <c r="AE43" s="291">
        <f>REMUNERACION_ENEL!AE104</f>
        <v>-3255189609.5599999</v>
      </c>
      <c r="AF43" s="313">
        <f>REMUNERACION_ENEL!AF104</f>
        <v>5763760719.369998</v>
      </c>
      <c r="AG43" s="521">
        <f>REMUNERACION_ENEL!AG104</f>
        <v>-24582348.770001411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10307938498.949999</v>
      </c>
      <c r="E44" s="292">
        <f>REMUNERACION_ENEL!E105</f>
        <v>761637783.10000002</v>
      </c>
      <c r="F44" s="292">
        <f>REMUNERACION_ENEL!F105</f>
        <v>421888349.53999996</v>
      </c>
      <c r="G44" s="292">
        <f>REMUNERACION_ENEL!G105</f>
        <v>223785500.97</v>
      </c>
      <c r="H44" s="292">
        <f>REMUNERACION_ENEL!H105</f>
        <v>3460548293.3299999</v>
      </c>
      <c r="I44" s="292">
        <f>REMUNERACION_ENEL!I105</f>
        <v>123692734.97999999</v>
      </c>
      <c r="J44" s="288">
        <f>REMUNERACION_ENEL!J105</f>
        <v>-4217145526.9099998</v>
      </c>
      <c r="K44" s="295">
        <f>REMUNERACION_ENEL!K105</f>
        <v>9533531363.9399986</v>
      </c>
      <c r="L44" s="294">
        <f>REMUNERACION_ENEL!L105</f>
        <v>266580255</v>
      </c>
      <c r="M44" s="295">
        <f>REMUNERACION_ENEL!M105</f>
        <v>9266951108.9399986</v>
      </c>
      <c r="N44" s="294">
        <f>REMUNERACION_ENEL!N105</f>
        <v>6792800.1600000001</v>
      </c>
      <c r="O44" s="295">
        <f>REMUNERACION_ENEL!O105</f>
        <v>9273743909.0999985</v>
      </c>
      <c r="Q44" s="306"/>
      <c r="S44" s="314">
        <v>2</v>
      </c>
      <c r="T44" s="315" t="s">
        <v>11</v>
      </c>
      <c r="U44" s="316">
        <f>REMUNERACION_ENEL!U105</f>
        <v>1084554770.1400001</v>
      </c>
      <c r="V44" s="317">
        <f>REMUNERACION_ENEL!V105</f>
        <v>1032621895.5300001</v>
      </c>
      <c r="W44" s="317">
        <f>REMUNERACION_ENEL!W105</f>
        <v>4907514838.9000006</v>
      </c>
      <c r="X44" s="317">
        <f>REMUNERACION_ENEL!X105</f>
        <v>1491213170.3199999</v>
      </c>
      <c r="Y44" s="318">
        <f>REMUNERACION_ENEL!Y105</f>
        <v>201954335.44</v>
      </c>
      <c r="Z44" s="319">
        <f>REMUNERACION_ENEL!Z105</f>
        <v>-266580255</v>
      </c>
      <c r="AA44" s="320">
        <f>REMUNERACION_ENEL!AA105</f>
        <v>-13369.77</v>
      </c>
      <c r="AB44" s="294">
        <f>REMUNERACION_ENEL!AB105</f>
        <v>6792800.1600000001</v>
      </c>
      <c r="AC44" s="320">
        <f>REMUNERACION_ENEL!AC105</f>
        <v>-48.89</v>
      </c>
      <c r="AD44" s="291">
        <f>REMUNERACION_ENEL!AD105</f>
        <v>778071052.34000015</v>
      </c>
      <c r="AE44" s="291">
        <f>REMUNERACION_ENEL!AE105</f>
        <v>-3439074474.5699997</v>
      </c>
      <c r="AF44" s="322">
        <f>REMUNERACION_ENEL!AF105</f>
        <v>9236129189.1699982</v>
      </c>
      <c r="AG44" s="522">
        <f>REMUNERACION_ENEL!AG105</f>
        <v>-37614719.930000305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8394192614.9000006</v>
      </c>
      <c r="E45" s="292">
        <f>REMUNERACION_ENEL!E106</f>
        <v>519485736.51999998</v>
      </c>
      <c r="F45" s="292">
        <f>REMUNERACION_ENEL!F106</f>
        <v>289280679.71999997</v>
      </c>
      <c r="G45" s="292">
        <f>REMUNERACION_ENEL!G106</f>
        <v>153855222.93000001</v>
      </c>
      <c r="H45" s="292">
        <f>REMUNERACION_ENEL!H106</f>
        <v>2406618472.7000003</v>
      </c>
      <c r="I45" s="292">
        <f>REMUNERACION_ENEL!I106</f>
        <v>86333540.400000006</v>
      </c>
      <c r="J45" s="288">
        <f>REMUNERACION_ENEL!J106</f>
        <v>-1288806337.0900002</v>
      </c>
      <c r="K45" s="295">
        <f>REMUNERACION_ENEL!K106</f>
        <v>6227425299.7200012</v>
      </c>
      <c r="L45" s="294">
        <f>REMUNERACION_ENEL!L106</f>
        <v>154788535</v>
      </c>
      <c r="M45" s="295">
        <f>REMUNERACION_ENEL!M106</f>
        <v>6072636764.7200012</v>
      </c>
      <c r="N45" s="294">
        <f>REMUNERACION_ENEL!N106</f>
        <v>14510188.139999999</v>
      </c>
      <c r="O45" s="295">
        <f>REMUNERACION_ENEL!O106</f>
        <v>6087146952.8600016</v>
      </c>
      <c r="Q45" s="306"/>
      <c r="S45" s="314">
        <v>3</v>
      </c>
      <c r="T45" s="315" t="s">
        <v>12</v>
      </c>
      <c r="U45" s="316">
        <f>REMUNERACION_ENEL!U106</f>
        <v>757964762.67000008</v>
      </c>
      <c r="V45" s="317">
        <f>REMUNERACION_ENEL!V106</f>
        <v>717589277.52999997</v>
      </c>
      <c r="W45" s="317">
        <f>REMUNERACION_ENEL!W106</f>
        <v>3409164597.5999999</v>
      </c>
      <c r="X45" s="317">
        <f>REMUNERACION_ENEL!X106</f>
        <v>1230549027.6600001</v>
      </c>
      <c r="Y45" s="318">
        <f>REMUNERACION_ENEL!Y106</f>
        <v>140956999.82000002</v>
      </c>
      <c r="Z45" s="319">
        <f>REMUNERACION_ENEL!Z106</f>
        <v>-154788535</v>
      </c>
      <c r="AA45" s="320">
        <f>REMUNERACION_ENEL!AA106</f>
        <v>-82499.44</v>
      </c>
      <c r="AB45" s="294">
        <f>REMUNERACION_ENEL!AB106</f>
        <v>14510188.139999999</v>
      </c>
      <c r="AC45" s="320">
        <f>REMUNERACION_ENEL!AC106</f>
        <v>1.1100000000000001</v>
      </c>
      <c r="AD45" s="291">
        <f>REMUNERACION_ENEL!AD106</f>
        <v>-43259582.799999714</v>
      </c>
      <c r="AE45" s="291">
        <f>REMUNERACION_ENEL!AE106</f>
        <v>-1332065919.8899999</v>
      </c>
      <c r="AF45" s="322">
        <f>REMUNERACION_ENEL!AF106</f>
        <v>6072604237.2900009</v>
      </c>
      <c r="AG45" s="522">
        <f>REMUNERACION_ENEL!AG106</f>
        <v>-14542715.570000648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9886897739.0499992</v>
      </c>
      <c r="E46" s="292">
        <f>REMUNERACION_ENEL!E107</f>
        <v>553928633.95000005</v>
      </c>
      <c r="F46" s="292">
        <f>REMUNERACION_ENEL!F107</f>
        <v>307330655.34999996</v>
      </c>
      <c r="G46" s="292">
        <f>REMUNERACION_ENEL!G107</f>
        <v>163491193.43000001</v>
      </c>
      <c r="H46" s="292">
        <f>REMUNERACION_ENEL!H107</f>
        <v>2337302085.3999996</v>
      </c>
      <c r="I46" s="292">
        <f>REMUNERACION_ENEL!I107</f>
        <v>87964267.669999987</v>
      </c>
      <c r="J46" s="288">
        <f>REMUNERACION_ENEL!J107</f>
        <v>61531953.689999998</v>
      </c>
      <c r="K46" s="295">
        <f>REMUNERACION_ENEL!K107</f>
        <v>6375348949.5599985</v>
      </c>
      <c r="L46" s="294">
        <f>REMUNERACION_ENEL!L107</f>
        <v>120391083</v>
      </c>
      <c r="M46" s="295">
        <f>REMUNERACION_ENEL!M107</f>
        <v>6254957866.5599985</v>
      </c>
      <c r="N46" s="294">
        <f>REMUNERACION_ENEL!N107</f>
        <v>7972372.8300000001</v>
      </c>
      <c r="O46" s="295">
        <f>REMUNERACION_ENEL!O107</f>
        <v>6262930239.3899984</v>
      </c>
      <c r="Q46" s="306"/>
      <c r="S46" s="314">
        <v>4</v>
      </c>
      <c r="T46" s="315" t="s">
        <v>13</v>
      </c>
      <c r="U46" s="316">
        <f>REMUNERACION_ENEL!U107</f>
        <v>771148596.94999993</v>
      </c>
      <c r="V46" s="317">
        <f>REMUNERACION_ENEL!V107</f>
        <v>730737756.58000004</v>
      </c>
      <c r="W46" s="317">
        <f>REMUNERACION_ENEL!W107</f>
        <v>3783293510.3099999</v>
      </c>
      <c r="X46" s="317">
        <f>REMUNERACION_ENEL!X107</f>
        <v>1466361057.49</v>
      </c>
      <c r="Y46" s="318">
        <f>REMUNERACION_ENEL!Y107</f>
        <v>143754108.56000003</v>
      </c>
      <c r="Z46" s="319">
        <f>REMUNERACION_ENEL!Z107</f>
        <v>-120391083</v>
      </c>
      <c r="AA46" s="320">
        <f>REMUNERACION_ENEL!AA107</f>
        <v>31618.89</v>
      </c>
      <c r="AB46" s="294">
        <f>REMUNERACION_ENEL!AB107</f>
        <v>7972372.8300000001</v>
      </c>
      <c r="AC46" s="320">
        <f>REMUNERACION_ENEL!AC107</f>
        <v>189.23</v>
      </c>
      <c r="AD46" s="291">
        <f>REMUNERACION_ENEL!AD107</f>
        <v>-504002885.37000006</v>
      </c>
      <c r="AE46" s="291">
        <f>REMUNERACION_ENEL!AE107</f>
        <v>-442470931.68000007</v>
      </c>
      <c r="AF46" s="322">
        <f>REMUNERACION_ENEL!AF107</f>
        <v>6278905242.4700003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7238405926.46</v>
      </c>
      <c r="E47" s="297">
        <f>REMUNERACION_ENEL!E108</f>
        <v>383226244.79000002</v>
      </c>
      <c r="F47" s="297">
        <f>REMUNERACION_ENEL!F108</f>
        <v>213399131.62</v>
      </c>
      <c r="G47" s="297">
        <f>REMUNERACION_ENEL!G108</f>
        <v>113487155.67</v>
      </c>
      <c r="H47" s="297">
        <f>REMUNERACION_ENEL!H108</f>
        <v>1813158921.0699999</v>
      </c>
      <c r="I47" s="297">
        <f>REMUNERACION_ENEL!I108</f>
        <v>60280537.299999997</v>
      </c>
      <c r="J47" s="289">
        <f>REMUNERACION_ENEL!J108</f>
        <v>-1246473094.4099998</v>
      </c>
      <c r="K47" s="295">
        <f>REMUNERACION_ENEL!K108</f>
        <v>5901327030.4200001</v>
      </c>
      <c r="L47" s="294">
        <f>REMUNERACION_ENEL!L108</f>
        <v>128990445</v>
      </c>
      <c r="M47" s="298">
        <f>REMUNERACION_ENEL!M108</f>
        <v>5772336585.4200001</v>
      </c>
      <c r="N47" s="299">
        <f>REMUNERACION_ENEL!N108</f>
        <v>10471696.869999999</v>
      </c>
      <c r="O47" s="298">
        <f>REMUNERACION_ENEL!O108</f>
        <v>5782808282.29</v>
      </c>
      <c r="Q47" s="306"/>
      <c r="S47" s="324">
        <v>5</v>
      </c>
      <c r="T47" s="325" t="s">
        <v>14</v>
      </c>
      <c r="U47" s="296">
        <f>REMUNERACION_ENEL!U108</f>
        <v>528865960.60000002</v>
      </c>
      <c r="V47" s="297">
        <f>REMUNERACION_ENEL!V108</f>
        <v>496788585.52999997</v>
      </c>
      <c r="W47" s="297">
        <f>REMUNERACION_ENEL!W108</f>
        <v>2555805599.5999999</v>
      </c>
      <c r="X47" s="297">
        <f>REMUNERACION_ENEL!X108</f>
        <v>1140353351.6900001</v>
      </c>
      <c r="Y47" s="289">
        <f>REMUNERACION_ENEL!Y108</f>
        <v>98362156.760000005</v>
      </c>
      <c r="Z47" s="319">
        <f>REMUNERACION_ENEL!Z108</f>
        <v>-128990445</v>
      </c>
      <c r="AA47" s="320">
        <f>REMUNERACION_ENEL!AA108</f>
        <v>11598.57</v>
      </c>
      <c r="AB47" s="294">
        <f>REMUNERACION_ENEL!AB108</f>
        <v>10471696.869999999</v>
      </c>
      <c r="AC47" s="320">
        <f>REMUNERACION_ENEL!AC108</f>
        <v>4.82</v>
      </c>
      <c r="AD47" s="291">
        <f>REMUNERACION_ENEL!AD108</f>
        <v>1075960041.29</v>
      </c>
      <c r="AE47" s="291">
        <f>REMUNERACION_ENEL!AE108</f>
        <v>-170513053.11999997</v>
      </c>
      <c r="AF47" s="322">
        <f>REMUNERACION_ENEL!AF108</f>
        <v>5777628550.7299995</v>
      </c>
      <c r="AG47" s="523">
        <f>REMUNERACION_ENEL!AG108</f>
        <v>-5179731.5600004196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50322380909.650002</v>
      </c>
      <c r="E48" s="290">
        <f>REMUNERACION_ENEL!E109</f>
        <v>3026532371.6499996</v>
      </c>
      <c r="F48" s="290">
        <f>REMUNERACION_ENEL!F109</f>
        <v>1682152561.7599998</v>
      </c>
      <c r="G48" s="290">
        <f>REMUNERACION_ENEL!G109</f>
        <v>894296629.41999996</v>
      </c>
      <c r="H48" s="290">
        <f>REMUNERACION_ENEL!H109</f>
        <v>14735504522.190001</v>
      </c>
      <c r="I48" s="290">
        <f>REMUNERACION_ENEL!I109</f>
        <v>515613226.50999993</v>
      </c>
      <c r="J48" s="290">
        <f>REMUNERACION_ENEL!J109</f>
        <v>-4536942176.5599995</v>
      </c>
      <c r="K48" s="300">
        <f>REMUNERACION_ENEL!K109</f>
        <v>34005223774.679993</v>
      </c>
      <c r="L48" s="301">
        <f>REMUNERACION_ENEL!L109</f>
        <v>859936305</v>
      </c>
      <c r="M48" s="302">
        <f>REMUNERACION_ENEL!M109</f>
        <v>33145287469.679993</v>
      </c>
      <c r="N48" s="301">
        <f>REMUNERACION_ENEL!N109</f>
        <v>49684982.099999994</v>
      </c>
      <c r="O48" s="302">
        <f>REMUNERACION_ENEL!O109</f>
        <v>33194972451.779999</v>
      </c>
      <c r="P48" s="329"/>
      <c r="Q48" s="306"/>
      <c r="S48" s="327"/>
      <c r="T48" s="328" t="s">
        <v>2</v>
      </c>
      <c r="U48" s="330">
        <f>REMUNERACION_ENEL!U109</f>
        <v>4524170245.8199997</v>
      </c>
      <c r="V48" s="330">
        <f>REMUNERACION_ENEL!V109</f>
        <v>4280809187.96</v>
      </c>
      <c r="W48" s="330">
        <f>REMUNERACION_ENEL!W109</f>
        <v>20867077636.099998</v>
      </c>
      <c r="X48" s="330">
        <f>REMUNERACION_ENEL!X109</f>
        <v>7527785682.789999</v>
      </c>
      <c r="Y48" s="330">
        <f>REMUNERACION_ENEL!Y109</f>
        <v>841884903.22000015</v>
      </c>
      <c r="Z48" s="290">
        <f>REMUNERACION_ENEL!Z109</f>
        <v>-859936305</v>
      </c>
      <c r="AA48" s="290">
        <f>REMUNERACION_ENEL!AA109</f>
        <v>-76877.010000000009</v>
      </c>
      <c r="AB48" s="290">
        <f>REMUNERACION_ENEL!AB109</f>
        <v>49684982.099999994</v>
      </c>
      <c r="AC48" s="290">
        <f>REMUNERACION_ENEL!AC109</f>
        <v>295.31</v>
      </c>
      <c r="AD48" s="290">
        <f>REMUNERACION_ENEL!AD109</f>
        <v>-4102371812.2600002</v>
      </c>
      <c r="AE48" s="290">
        <f>REMUNERACION_ENEL!AE109</f>
        <v>-8639313988.8199997</v>
      </c>
      <c r="AF48" s="331">
        <f>REMUNERACION_ENEL!AF109</f>
        <v>33129027939.029999</v>
      </c>
      <c r="AG48" s="524">
        <f>REMUNERACION_ENEL!AG109</f>
        <v>-81919515.830002785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139510580</v>
      </c>
      <c r="E64" s="291">
        <f>REMUNERACION_ENERBIT!E108</f>
        <v>8666290.4399999995</v>
      </c>
      <c r="F64" s="291">
        <f>REMUNERACION_ENERBIT!F108</f>
        <v>4836297.78</v>
      </c>
      <c r="G64" s="291">
        <f>REMUNERACION_ENERBIT!G108</f>
        <v>2584164.52</v>
      </c>
      <c r="H64" s="291">
        <f>REMUNERACION_ENERBIT!H108</f>
        <v>38419843.039999999</v>
      </c>
      <c r="I64" s="291">
        <f>REMUNERACION_ENERBIT!I108</f>
        <v>1269098.3899999999</v>
      </c>
      <c r="J64" s="291">
        <f>REMUNERACION_ENERBIT!J108</f>
        <v>0</v>
      </c>
      <c r="K64" s="295">
        <f>REMUNERACION_ENERBIT!K108</f>
        <v>83734885.829999998</v>
      </c>
      <c r="L64" s="294">
        <f>REMUNERACION_ENERBIT!L108</f>
        <v>0</v>
      </c>
      <c r="M64" s="298">
        <f>REMUNERACION_ENERBIT!M108</f>
        <v>83734885.829999998</v>
      </c>
      <c r="N64" s="299">
        <f>REMUNERACION_ENERBIT!N108</f>
        <v>0</v>
      </c>
      <c r="O64" s="298">
        <f>REMUNERACION_ENERBIT!O108</f>
        <v>83734885.829999998</v>
      </c>
      <c r="Q64" s="306"/>
      <c r="S64" s="324">
        <v>5</v>
      </c>
      <c r="T64" s="325" t="s">
        <v>14</v>
      </c>
      <c r="U64" s="296">
        <f>REMUNERACION_ENERBIT!U108</f>
        <v>11146402.07</v>
      </c>
      <c r="V64" s="297">
        <f>REMUNERACION_ENERBIT!V108</f>
        <v>10565640.77</v>
      </c>
      <c r="W64" s="297">
        <f>REMUNERACION_ENERBIT!W108</f>
        <v>54685399.630000003</v>
      </c>
      <c r="X64" s="297">
        <f>REMUNERACION_ENERBIT!X108</f>
        <v>25943616.440000001</v>
      </c>
      <c r="Y64" s="289">
        <f>REMUNERACION_ENERBIT!Y108</f>
        <v>2070340.36</v>
      </c>
      <c r="Z64" s="289">
        <f>REMUNERACION_ENERBIT!Z108</f>
        <v>0</v>
      </c>
      <c r="AA64" s="289">
        <f>REMUNERACION_ENERBIT!AA108</f>
        <v>-206.46</v>
      </c>
      <c r="AB64" s="289">
        <f>REMUNERACION_ENERBIT!AB108</f>
        <v>0</v>
      </c>
      <c r="AC64" s="289">
        <f>REMUNERACION_ENERBIT!AC108</f>
        <v>-0.01</v>
      </c>
      <c r="AD64" s="289">
        <f>REMUNERACION_ENERBIT!AD108</f>
        <v>-20676306.969999999</v>
      </c>
      <c r="AE64" s="289">
        <f>REMUNERACION_ENERBIT!AE108</f>
        <v>-20676306.969999999</v>
      </c>
      <c r="AF64" s="322">
        <f>REMUNERACION_ENERBIT!AF108</f>
        <v>83734885.829999998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139510580</v>
      </c>
      <c r="E65" s="290">
        <f>REMUNERACION_ENERBIT!E109</f>
        <v>8666290.4399999995</v>
      </c>
      <c r="F65" s="290">
        <f>REMUNERACION_ENERBIT!F109</f>
        <v>4836297.78</v>
      </c>
      <c r="G65" s="290">
        <f>REMUNERACION_ENERBIT!G109</f>
        <v>2584164.52</v>
      </c>
      <c r="H65" s="290">
        <f>REMUNERACION_ENERBIT!H109</f>
        <v>38419843.039999999</v>
      </c>
      <c r="I65" s="290">
        <f>REMUNERACION_ENERBIT!I109</f>
        <v>1269098.3899999999</v>
      </c>
      <c r="J65" s="290">
        <f>REMUNERACION_ENERBIT!J109</f>
        <v>0</v>
      </c>
      <c r="K65" s="300">
        <f>REMUNERACION_ENERBIT!K109</f>
        <v>83734885.829999998</v>
      </c>
      <c r="L65" s="301">
        <f>REMUNERACION_ENERBIT!L109</f>
        <v>0</v>
      </c>
      <c r="M65" s="302">
        <f>REMUNERACION_ENERBIT!M109</f>
        <v>83734885.829999998</v>
      </c>
      <c r="N65" s="301">
        <f>REMUNERACION_ENERBIT!N109</f>
        <v>0</v>
      </c>
      <c r="O65" s="302">
        <f>REMUNERACION_ENERBIT!O109</f>
        <v>83734885.829999998</v>
      </c>
      <c r="P65" s="329"/>
      <c r="Q65" s="306"/>
      <c r="S65" s="327"/>
      <c r="T65" s="328" t="s">
        <v>2</v>
      </c>
      <c r="U65" s="330">
        <f>REMUNERACION_ENERBIT!U109</f>
        <v>11146402.07</v>
      </c>
      <c r="V65" s="330">
        <f>REMUNERACION_ENERBIT!V109</f>
        <v>10565640.77</v>
      </c>
      <c r="W65" s="330">
        <f>REMUNERACION_ENERBIT!W109</f>
        <v>54685399.630000003</v>
      </c>
      <c r="X65" s="330">
        <f>REMUNERACION_ENERBIT!X109</f>
        <v>25943616.440000001</v>
      </c>
      <c r="Y65" s="330">
        <f>REMUNERACION_ENERBIT!Y109</f>
        <v>2070340.36</v>
      </c>
      <c r="Z65" s="330">
        <f>REMUNERACION_ENERBIT!Z109</f>
        <v>0</v>
      </c>
      <c r="AA65" s="330">
        <f>REMUNERACION_ENERBIT!AA109</f>
        <v>-206.46</v>
      </c>
      <c r="AB65" s="330">
        <f>REMUNERACION_ENERBIT!AB109</f>
        <v>0</v>
      </c>
      <c r="AC65" s="330">
        <f>REMUNERACION_ENERBIT!AC109</f>
        <v>-0.01</v>
      </c>
      <c r="AD65" s="330">
        <f>REMUNERACION_ENERBIT!AD109</f>
        <v>-20676306.969999999</v>
      </c>
      <c r="AE65" s="330">
        <f>REMUNERACION_ENERBIT!AE109</f>
        <v>-20676306.969999999</v>
      </c>
      <c r="AF65" s="331">
        <f>REMUNERACION_ENERBIT!AF109</f>
        <v>83734885.829999998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347479005.47999996</v>
      </c>
      <c r="E76" s="292">
        <f>'REMUNERACION_OCCIDENTE_ Directa'!E104</f>
        <v>33581285.950000003</v>
      </c>
      <c r="F76" s="292">
        <f>'REMUNERACION_OCCIDENTE_ Directa'!F104</f>
        <v>18680684.449999999</v>
      </c>
      <c r="G76" s="292">
        <f>'REMUNERACION_OCCIDENTE_ Directa'!G104</f>
        <v>9988020.9199999999</v>
      </c>
      <c r="H76" s="292">
        <f>'REMUNERACION_OCCIDENTE_ Directa'!H104</f>
        <v>39110786.109999999</v>
      </c>
      <c r="I76" s="292">
        <f>'REMUNERACION_OCCIDENTE_ Directa'!I104</f>
        <v>1161652.6499999999</v>
      </c>
      <c r="J76" s="288">
        <f>'REMUNERACION_OCCIDENTE_ Directa'!J104</f>
        <v>0</v>
      </c>
      <c r="K76" s="293">
        <f>'REMUNERACION_OCCIDENTE_ Directa'!K104</f>
        <v>244956575.39999995</v>
      </c>
      <c r="L76" s="294">
        <f>'REMUNERACION_OCCIDENTE_ Directa'!L104</f>
        <v>0</v>
      </c>
      <c r="M76" s="293">
        <f>'REMUNERACION_OCCIDENTE_ Directa'!M104</f>
        <v>244956575.39999995</v>
      </c>
      <c r="N76" s="294">
        <f>'REMUNERACION_OCCIDENTE_ Directa'!N104</f>
        <v>9993768.9299999997</v>
      </c>
      <c r="O76" s="293">
        <f>'REMUNERACION_OCCIDENTE_ Directa'!O104</f>
        <v>254950344.32999995</v>
      </c>
      <c r="Q76" s="306"/>
      <c r="S76" s="303">
        <v>1</v>
      </c>
      <c r="T76" s="304" t="s">
        <v>10</v>
      </c>
      <c r="U76" s="307">
        <f>'REMUNERACION_OCCIDENTE_ Directa'!U104</f>
        <v>10150547.140000001</v>
      </c>
      <c r="V76" s="308">
        <f>'REMUNERACION_OCCIDENTE_ Directa'!V104</f>
        <v>12938213.059999999</v>
      </c>
      <c r="W76" s="308">
        <f>'REMUNERACION_OCCIDENTE_ Directa'!W104</f>
        <v>61175845.509999998</v>
      </c>
      <c r="X76" s="308">
        <f>'REMUNERACION_OCCIDENTE_ Directa'!X104</f>
        <v>91659808.629999995</v>
      </c>
      <c r="Y76" s="309">
        <f>'REMUNERACION_OCCIDENTE_ Directa'!Y104</f>
        <v>1897066.05</v>
      </c>
      <c r="Z76" s="310">
        <f>'REMUNERACION_OCCIDENTE_ Directa'!Z104</f>
        <v>0</v>
      </c>
      <c r="AA76" s="311">
        <f>'REMUNERACION_OCCIDENTE_ Directa'!AA104</f>
        <v>-3571.28</v>
      </c>
      <c r="AB76" s="294">
        <f>'REMUNERACION_OCCIDENTE_ Directa'!AB104</f>
        <v>9993768.9299999997</v>
      </c>
      <c r="AC76" s="311">
        <f>'REMUNERACION_OCCIDENTE_ Directa'!AC104</f>
        <v>0.09</v>
      </c>
      <c r="AD76" s="291">
        <f>'REMUNERACION_OCCIDENTE_ Directa'!AD104</f>
        <v>64278052.549999997</v>
      </c>
      <c r="AE76" s="291">
        <f>'REMUNERACION_OCCIDENTE_ Directa'!AE104</f>
        <v>64278052.549999997</v>
      </c>
      <c r="AF76" s="313">
        <f>'REMUNERACION_OCCIDENTE_ Directa'!AF104</f>
        <v>252089730.68000001</v>
      </c>
      <c r="AG76" s="521">
        <f>'REMUNERACION_OCCIDENTE_ Directa'!AG104</f>
        <v>-2860613.6499999464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982936724.74000001</v>
      </c>
      <c r="E77" s="292">
        <f>'REMUNERACION_OCCIDENTE_ Directa'!E105</f>
        <v>112268360.98000002</v>
      </c>
      <c r="F77" s="292">
        <f>'REMUNERACION_OCCIDENTE_ Directa'!F105</f>
        <v>61941843.759999998</v>
      </c>
      <c r="G77" s="292">
        <f>'REMUNERACION_OCCIDENTE_ Directa'!G105</f>
        <v>32720417.27</v>
      </c>
      <c r="H77" s="292">
        <f>'REMUNERACION_OCCIDENTE_ Directa'!H105</f>
        <v>116008334.81999999</v>
      </c>
      <c r="I77" s="292">
        <f>'REMUNERACION_OCCIDENTE_ Directa'!I105</f>
        <v>3014304.8600000003</v>
      </c>
      <c r="J77" s="288">
        <f>'REMUNERACION_OCCIDENTE_ Directa'!J105</f>
        <v>0</v>
      </c>
      <c r="K77" s="295">
        <f>'REMUNERACION_OCCIDENTE_ Directa'!K105</f>
        <v>656983463.05000007</v>
      </c>
      <c r="L77" s="294">
        <f>'REMUNERACION_OCCIDENTE_ Directa'!L105</f>
        <v>0</v>
      </c>
      <c r="M77" s="295">
        <f>'REMUNERACION_OCCIDENTE_ Directa'!M105</f>
        <v>656983463.05000007</v>
      </c>
      <c r="N77" s="294">
        <f>'REMUNERACION_OCCIDENTE_ Directa'!N105</f>
        <v>3112272.6</v>
      </c>
      <c r="O77" s="295">
        <f>'REMUNERACION_OCCIDENTE_ Directa'!O105</f>
        <v>660095735.6500001</v>
      </c>
      <c r="Q77" s="306"/>
      <c r="S77" s="314">
        <v>2</v>
      </c>
      <c r="T77" s="315" t="s">
        <v>11</v>
      </c>
      <c r="U77" s="316">
        <f>'REMUNERACION_OCCIDENTE_ Directa'!U105</f>
        <v>27139904.98</v>
      </c>
      <c r="V77" s="317">
        <f>'REMUNERACION_OCCIDENTE_ Directa'!V105</f>
        <v>36459915.640000001</v>
      </c>
      <c r="W77" s="317">
        <f>'REMUNERACION_OCCIDENTE_ Directa'!W105</f>
        <v>171633561.22</v>
      </c>
      <c r="X77" s="317">
        <f>'REMUNERACION_OCCIDENTE_ Directa'!X105</f>
        <v>222885045.02000001</v>
      </c>
      <c r="Y77" s="318">
        <f>'REMUNERACION_OCCIDENTE_ Directa'!Y105</f>
        <v>4938205.57</v>
      </c>
      <c r="Z77" s="319">
        <f>'REMUNERACION_OCCIDENTE_ Directa'!Z105</f>
        <v>0</v>
      </c>
      <c r="AA77" s="320">
        <f>'REMUNERACION_OCCIDENTE_ Directa'!AA105</f>
        <v>-936.52</v>
      </c>
      <c r="AB77" s="294">
        <f>'REMUNERACION_OCCIDENTE_ Directa'!AB105</f>
        <v>3112272.6</v>
      </c>
      <c r="AC77" s="320">
        <f>'REMUNERACION_OCCIDENTE_ Directa'!AC105</f>
        <v>-56258.879999999997</v>
      </c>
      <c r="AD77" s="291">
        <f>'REMUNERACION_OCCIDENTE_ Directa'!AD105</f>
        <v>153226925.48000002</v>
      </c>
      <c r="AE77" s="291">
        <f>'REMUNERACION_OCCIDENTE_ Directa'!AE105</f>
        <v>153226925.48000002</v>
      </c>
      <c r="AF77" s="322">
        <f>'REMUNERACION_OCCIDENTE_ Directa'!AF105</f>
        <v>619338635.11000013</v>
      </c>
      <c r="AG77" s="522">
        <f>'REMUNERACION_OCCIDENTE_ Directa'!AG105</f>
        <v>-40757100.539999962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429594685.46999997</v>
      </c>
      <c r="E78" s="292">
        <f>'REMUNERACION_OCCIDENTE_ Directa'!E106</f>
        <v>49563321.700000003</v>
      </c>
      <c r="F78" s="292">
        <f>'REMUNERACION_OCCIDENTE_ Directa'!F106</f>
        <v>27986809.16</v>
      </c>
      <c r="G78" s="292">
        <f>'REMUNERACION_OCCIDENTE_ Directa'!G106</f>
        <v>14662575.93</v>
      </c>
      <c r="H78" s="292">
        <f>'REMUNERACION_OCCIDENTE_ Directa'!H106</f>
        <v>22403066.969999999</v>
      </c>
      <c r="I78" s="292">
        <f>'REMUNERACION_OCCIDENTE_ Directa'!I106</f>
        <v>650470.14</v>
      </c>
      <c r="J78" s="288">
        <f>'REMUNERACION_OCCIDENTE_ Directa'!J106</f>
        <v>0</v>
      </c>
      <c r="K78" s="295">
        <f>'REMUNERACION_OCCIDENTE_ Directa'!K106</f>
        <v>314328441.56999993</v>
      </c>
      <c r="L78" s="294">
        <f>'REMUNERACION_OCCIDENTE_ Directa'!L106</f>
        <v>0</v>
      </c>
      <c r="M78" s="295">
        <f>'REMUNERACION_OCCIDENTE_ Directa'!M106</f>
        <v>314328441.56999993</v>
      </c>
      <c r="N78" s="294">
        <f>'REMUNERACION_OCCIDENTE_ Directa'!N106</f>
        <v>4811611.8099999996</v>
      </c>
      <c r="O78" s="295">
        <f>'REMUNERACION_OCCIDENTE_ Directa'!O106</f>
        <v>319140053.37999994</v>
      </c>
      <c r="Q78" s="306"/>
      <c r="S78" s="314">
        <v>3</v>
      </c>
      <c r="T78" s="315" t="s">
        <v>12</v>
      </c>
      <c r="U78" s="316">
        <f>'REMUNERACION_OCCIDENTE_ Directa'!U106</f>
        <v>5717940.3899999997</v>
      </c>
      <c r="V78" s="317">
        <f>'REMUNERACION_OCCIDENTE_ Directa'!V106</f>
        <v>7429546.7400000002</v>
      </c>
      <c r="W78" s="317">
        <f>'REMUNERACION_OCCIDENTE_ Directa'!W106</f>
        <v>35091268.950000003</v>
      </c>
      <c r="X78" s="317">
        <f>'REMUNERACION_OCCIDENTE_ Directa'!X106</f>
        <v>117367146.56</v>
      </c>
      <c r="Y78" s="318">
        <f>'REMUNERACION_OCCIDENTE_ Directa'!Y106</f>
        <v>1068975.6200000001</v>
      </c>
      <c r="Z78" s="319">
        <f>'REMUNERACION_OCCIDENTE_ Directa'!Z106</f>
        <v>0</v>
      </c>
      <c r="AA78" s="320">
        <f>'REMUNERACION_OCCIDENTE_ Directa'!AA106</f>
        <v>794.57</v>
      </c>
      <c r="AB78" s="294">
        <f>'REMUNERACION_OCCIDENTE_ Directa'!AB106</f>
        <v>4811611.8099999996</v>
      </c>
      <c r="AC78" s="320">
        <f>'REMUNERACION_OCCIDENTE_ Directa'!AC106</f>
        <v>-41621.01</v>
      </c>
      <c r="AD78" s="291">
        <f>'REMUNERACION_OCCIDENTE_ Directa'!AD106</f>
        <v>146054619.53</v>
      </c>
      <c r="AE78" s="291">
        <f>'REMUNERACION_OCCIDENTE_ Directa'!AE106</f>
        <v>146054619.53</v>
      </c>
      <c r="AF78" s="322">
        <f>'REMUNERACION_OCCIDENTE_ Directa'!AF106</f>
        <v>317500283.15999997</v>
      </c>
      <c r="AG78" s="522">
        <f>'REMUNERACION_OCCIDENTE_ Directa'!AG106</f>
        <v>-1639770.219999969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594430569.70000005</v>
      </c>
      <c r="E79" s="292">
        <f>'REMUNERACION_OCCIDENTE_ Directa'!E107</f>
        <v>52006005.950000003</v>
      </c>
      <c r="F79" s="292">
        <f>'REMUNERACION_OCCIDENTE_ Directa'!F107</f>
        <v>28556754.439999998</v>
      </c>
      <c r="G79" s="292">
        <f>'REMUNERACION_OCCIDENTE_ Directa'!G107</f>
        <v>15612684.969999999</v>
      </c>
      <c r="H79" s="292">
        <f>'REMUNERACION_OCCIDENTE_ Directa'!H107</f>
        <v>64011028.090000004</v>
      </c>
      <c r="I79" s="292">
        <f>'REMUNERACION_OCCIDENTE_ Directa'!I107</f>
        <v>1840038.8800000001</v>
      </c>
      <c r="J79" s="288">
        <f>'REMUNERACION_OCCIDENTE_ Directa'!J107</f>
        <v>0</v>
      </c>
      <c r="K79" s="295">
        <f>'REMUNERACION_OCCIDENTE_ Directa'!K107</f>
        <v>432404057.37</v>
      </c>
      <c r="L79" s="294">
        <f>'REMUNERACION_OCCIDENTE_ Directa'!L107</f>
        <v>0</v>
      </c>
      <c r="M79" s="295">
        <f>'REMUNERACION_OCCIDENTE_ Directa'!M107</f>
        <v>432404057.37</v>
      </c>
      <c r="N79" s="294">
        <f>'REMUNERACION_OCCIDENTE_ Directa'!N107</f>
        <v>670762.75</v>
      </c>
      <c r="O79" s="295">
        <f>'REMUNERACION_OCCIDENTE_ Directa'!O107</f>
        <v>433074820.12</v>
      </c>
      <c r="Q79" s="306"/>
      <c r="S79" s="314">
        <v>4</v>
      </c>
      <c r="T79" s="315" t="s">
        <v>13</v>
      </c>
      <c r="U79" s="316">
        <f>'REMUNERACION_OCCIDENTE_ Directa'!U107</f>
        <v>15989400.669999998</v>
      </c>
      <c r="V79" s="317">
        <f>'REMUNERACION_OCCIDENTE_ Directa'!V107</f>
        <v>20824227.509999998</v>
      </c>
      <c r="W79" s="317">
        <f>'REMUNERACION_OCCIDENTE_ Directa'!W107</f>
        <v>105700447.3</v>
      </c>
      <c r="X79" s="317">
        <f>'REMUNERACION_OCCIDENTE_ Directa'!X107</f>
        <v>137726820.66</v>
      </c>
      <c r="Y79" s="318">
        <f>'REMUNERACION_OCCIDENTE_ Directa'!Y107</f>
        <v>3022928.99</v>
      </c>
      <c r="Z79" s="319">
        <f>'REMUNERACION_OCCIDENTE_ Directa'!Z107</f>
        <v>0</v>
      </c>
      <c r="AA79" s="320">
        <f>'REMUNERACION_OCCIDENTE_ Directa'!AA107</f>
        <v>320.89000000000004</v>
      </c>
      <c r="AB79" s="294">
        <f>'REMUNERACION_OCCIDENTE_ Directa'!AB107</f>
        <v>670762.75</v>
      </c>
      <c r="AC79" s="320">
        <f>'REMUNERACION_OCCIDENTE_ Directa'!AC107</f>
        <v>0.19999999999999998</v>
      </c>
      <c r="AD79" s="291">
        <f>'REMUNERACION_OCCIDENTE_ Directa'!AD107</f>
        <v>147393194.20000002</v>
      </c>
      <c r="AE79" s="291">
        <f>'REMUNERACION_OCCIDENTE_ Directa'!AE107</f>
        <v>147393194.20000002</v>
      </c>
      <c r="AF79" s="322">
        <f>'REMUNERACION_OCCIDENTE_ Directa'!AF107</f>
        <v>431328103.16999996</v>
      </c>
      <c r="AG79" s="522">
        <f>'REMUNERACION_OCCIDENTE_ Directa'!AG107</f>
        <v>-1746716.9500000477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172752158.53</v>
      </c>
      <c r="E80" s="297">
        <f>'REMUNERACION_OCCIDENTE_ Directa'!E108</f>
        <v>16252936.57</v>
      </c>
      <c r="F80" s="297">
        <f>'REMUNERACION_OCCIDENTE_ Directa'!F108</f>
        <v>8882611.3300000001</v>
      </c>
      <c r="G80" s="297">
        <f>'REMUNERACION_OCCIDENTE_ Directa'!G108</f>
        <v>4769708.84</v>
      </c>
      <c r="H80" s="297">
        <f>'REMUNERACION_OCCIDENTE_ Directa'!H108</f>
        <v>12689130.529999999</v>
      </c>
      <c r="I80" s="297">
        <f>'REMUNERACION_OCCIDENTE_ Directa'!I108</f>
        <v>523491.14</v>
      </c>
      <c r="J80" s="289">
        <f>'REMUNERACION_OCCIDENTE_ Directa'!J108</f>
        <v>0</v>
      </c>
      <c r="K80" s="295">
        <f>'REMUNERACION_OCCIDENTE_ Directa'!K108</f>
        <v>129634280.11999999</v>
      </c>
      <c r="L80" s="294">
        <f>'REMUNERACION_OCCIDENTE_ Directa'!L108</f>
        <v>0</v>
      </c>
      <c r="M80" s="298">
        <f>'REMUNERACION_OCCIDENTE_ Directa'!M108</f>
        <v>129634280.11999999</v>
      </c>
      <c r="N80" s="299">
        <f>'REMUNERACION_OCCIDENTE_ Directa'!N108</f>
        <v>1908241.19</v>
      </c>
      <c r="O80" s="298">
        <f>'REMUNERACION_OCCIDENTE_ Directa'!O108</f>
        <v>131542521.30999999</v>
      </c>
      <c r="Q80" s="306"/>
      <c r="S80" s="324">
        <v>5</v>
      </c>
      <c r="T80" s="325" t="s">
        <v>14</v>
      </c>
      <c r="U80" s="296">
        <f>'REMUNERACION_OCCIDENTE_ Directa'!U108</f>
        <v>4671973.0999999996</v>
      </c>
      <c r="V80" s="297">
        <f>'REMUNERACION_OCCIDENTE_ Directa'!V108</f>
        <v>5604579.4400000004</v>
      </c>
      <c r="W80" s="297">
        <f>'REMUNERACION_OCCIDENTE_ Directa'!W108</f>
        <v>30069445.420000002</v>
      </c>
      <c r="X80" s="297">
        <f>'REMUNERACION_OCCIDENTE_ Directa'!X108</f>
        <v>48380758.240000002</v>
      </c>
      <c r="Y80" s="289">
        <f>'REMUNERACION_OCCIDENTE_ Directa'!Y108</f>
        <v>859953.88</v>
      </c>
      <c r="Z80" s="319">
        <f>'REMUNERACION_OCCIDENTE_ Directa'!Z108</f>
        <v>0</v>
      </c>
      <c r="AA80" s="320">
        <f>'REMUNERACION_OCCIDENTE_ Directa'!AA108</f>
        <v>-712.59</v>
      </c>
      <c r="AB80" s="294">
        <f>'REMUNERACION_OCCIDENTE_ Directa'!AB108</f>
        <v>1908241.19</v>
      </c>
      <c r="AC80" s="320">
        <f>'REMUNERACION_OCCIDENTE_ Directa'!AC108</f>
        <v>4.9999999999999996E-2</v>
      </c>
      <c r="AD80" s="291">
        <f>'REMUNERACION_OCCIDENTE_ Directa'!AD108</f>
        <v>38779305.009999998</v>
      </c>
      <c r="AE80" s="291">
        <f>'REMUNERACION_OCCIDENTE_ Directa'!AE108</f>
        <v>38779305.009999998</v>
      </c>
      <c r="AF80" s="322">
        <f>'REMUNERACION_OCCIDENTE_ Directa'!AF108</f>
        <v>130273543.73999998</v>
      </c>
      <c r="AG80" s="523">
        <f>'REMUNERACION_OCCIDENTE_ Directa'!AG108</f>
        <v>-1268977.5700000077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2527193143.9200006</v>
      </c>
      <c r="E81" s="290">
        <f>'REMUNERACION_OCCIDENTE_ Directa'!E109</f>
        <v>263671911.14999998</v>
      </c>
      <c r="F81" s="290">
        <f>'REMUNERACION_OCCIDENTE_ Directa'!F109</f>
        <v>146048703.14000002</v>
      </c>
      <c r="G81" s="290">
        <f>'REMUNERACION_OCCIDENTE_ Directa'!G109</f>
        <v>77753407.930000007</v>
      </c>
      <c r="H81" s="290">
        <f>'REMUNERACION_OCCIDENTE_ Directa'!H109</f>
        <v>254222346.52000001</v>
      </c>
      <c r="I81" s="290">
        <f>'REMUNERACION_OCCIDENTE_ Directa'!I109</f>
        <v>7189957.6699999999</v>
      </c>
      <c r="J81" s="290">
        <f>'REMUNERACION_OCCIDENTE_ Directa'!J109</f>
        <v>0</v>
      </c>
      <c r="K81" s="300">
        <f>'REMUNERACION_OCCIDENTE_ Directa'!K109</f>
        <v>1778306817.5099998</v>
      </c>
      <c r="L81" s="301">
        <f>'REMUNERACION_OCCIDENTE_ Directa'!L109</f>
        <v>0</v>
      </c>
      <c r="M81" s="302">
        <f>'REMUNERACION_OCCIDENTE_ Directa'!M109</f>
        <v>1778306817.5099998</v>
      </c>
      <c r="N81" s="301">
        <f>'REMUNERACION_OCCIDENTE_ Directa'!N109</f>
        <v>20496657.280000001</v>
      </c>
      <c r="O81" s="302">
        <f>'REMUNERACION_OCCIDENTE_ Directa'!O109</f>
        <v>1798803474.79</v>
      </c>
      <c r="P81" s="329"/>
      <c r="Q81" s="306"/>
      <c r="S81" s="327"/>
      <c r="T81" s="328" t="s">
        <v>2</v>
      </c>
      <c r="U81" s="330">
        <f>'REMUNERACION_OCCIDENTE_ Directa'!U109</f>
        <v>63669766.280000009</v>
      </c>
      <c r="V81" s="330">
        <f>'REMUNERACION_OCCIDENTE_ Directa'!V109</f>
        <v>83256482.390000001</v>
      </c>
      <c r="W81" s="330">
        <f>'REMUNERACION_OCCIDENTE_ Directa'!W109</f>
        <v>403670568.40000004</v>
      </c>
      <c r="X81" s="330">
        <f>'REMUNERACION_OCCIDENTE_ Directa'!X109</f>
        <v>618019579.11000001</v>
      </c>
      <c r="Y81" s="330">
        <f>'REMUNERACION_OCCIDENTE_ Directa'!Y109</f>
        <v>11787130.110000001</v>
      </c>
      <c r="Z81" s="290">
        <f>'REMUNERACION_OCCIDENTE_ Directa'!Z109</f>
        <v>0</v>
      </c>
      <c r="AA81" s="290">
        <f>'REMUNERACION_OCCIDENTE_ Directa'!AA109</f>
        <v>-4104.93</v>
      </c>
      <c r="AB81" s="290">
        <f>'REMUNERACION_OCCIDENTE_ Directa'!AB109</f>
        <v>20496657.280000001</v>
      </c>
      <c r="AC81" s="290">
        <f>'REMUNERACION_OCCIDENTE_ Directa'!AC109</f>
        <v>-97879.55</v>
      </c>
      <c r="AD81" s="290">
        <f>'REMUNERACION_OCCIDENTE_ Directa'!AD109</f>
        <v>549732096.7700001</v>
      </c>
      <c r="AE81" s="290">
        <f>'REMUNERACION_OCCIDENTE_ Directa'!AE109</f>
        <v>549732096.7700001</v>
      </c>
      <c r="AF81" s="331">
        <f>'REMUNERACION_OCCIDENTE_ Directa'!AF109</f>
        <v>1750530295.8600004</v>
      </c>
      <c r="AG81" s="524">
        <f>'REMUNERACION_OCCIDENTE_ Directa'!AG109</f>
        <v>-48273178.929999933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4.1425228118896484E-6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-18613.869998931885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-18613.869997024536</v>
      </c>
      <c r="L111" s="479">
        <f t="shared" si="4"/>
        <v>0</v>
      </c>
      <c r="M111" s="479">
        <f t="shared" si="4"/>
        <v>-18613.869997024536</v>
      </c>
      <c r="N111" s="479">
        <f t="shared" si="4"/>
        <v>0</v>
      </c>
      <c r="O111" s="479">
        <f t="shared" si="4"/>
        <v>-18613.869997024536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-18613.870000243187</v>
      </c>
      <c r="AE111" s="479">
        <f t="shared" si="5"/>
        <v>-18613.870000362396</v>
      </c>
      <c r="AF111" s="479">
        <f t="shared" si="5"/>
        <v>-18613.869998931885</v>
      </c>
      <c r="AG111" s="479">
        <f t="shared" ref="AG111" si="6">AG10-(AG27+AG44+AG61++AG77+AG94)</f>
        <v>-1.9371509552001953E-7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-2.9802322387695313E-7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15975003.080002641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3.1292438507080078E-7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-18613.870010375977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-18613.869995117188</v>
      </c>
      <c r="L115" s="553">
        <f t="shared" si="4"/>
        <v>0</v>
      </c>
      <c r="M115" s="553">
        <f t="shared" si="4"/>
        <v>-18613.869995117188</v>
      </c>
      <c r="N115" s="553">
        <f t="shared" si="4"/>
        <v>0</v>
      </c>
      <c r="O115" s="553">
        <f t="shared" si="4"/>
        <v>-18613.870002746582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-18613.869999885559</v>
      </c>
      <c r="AE115" s="553">
        <f t="shared" si="5"/>
        <v>-18613.870000839233</v>
      </c>
      <c r="AF115" s="553">
        <f t="shared" si="5"/>
        <v>-18613.870002746582</v>
      </c>
      <c r="AG115" s="553">
        <f t="shared" ref="AG115" si="10">AG14-(AG31+AG48+AG65++AG81+AG98)</f>
        <v>15975003.080006599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2026101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2026101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46296</v>
      </c>
      <c r="H125" s="45"/>
      <c r="I125" s="45"/>
      <c r="J125" s="555" t="s">
        <v>28</v>
      </c>
      <c r="K125" s="557">
        <f>'REMUNERACION_EAAB-CL'!K102</f>
        <v>46310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46296</v>
      </c>
      <c r="W125" s="45" t="s">
        <v>1</v>
      </c>
      <c r="X125" s="45" t="str">
        <f>J125</f>
        <v>Feha Hasta:</v>
      </c>
      <c r="Y125" s="557">
        <f>'REMUNERACION_EAAB-CL'!Y102</f>
        <v>46310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332031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332031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46857237.219999999</v>
      </c>
      <c r="E6" s="309">
        <f>'CONSOLIDADO_TOTAL RECAUDO'!E125</f>
        <v>0</v>
      </c>
      <c r="G6" s="336">
        <f>'CONSOLIDADO_TOTAL RECAUDO'!G125</f>
        <v>648870</v>
      </c>
      <c r="H6" s="310">
        <f>'CONSOLIDADO_TOTAL RECAUDO'!H125</f>
        <v>30588071.020000003</v>
      </c>
      <c r="I6" s="309">
        <f>'CONSOLIDADO_TOTAL RECAUDO'!I125</f>
        <v>0</v>
      </c>
      <c r="J6" s="309">
        <f>'CONSOLIDADO_TOTAL RECAUDO'!J125</f>
        <v>-3833780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52275662.099999994</v>
      </c>
      <c r="E7" s="288">
        <f>'CONSOLIDADO_TOTAL RECAUDO'!E126</f>
        <v>0</v>
      </c>
      <c r="G7" s="339">
        <f>'CONSOLIDADO_TOTAL RECAUDO'!G126</f>
        <v>9704974</v>
      </c>
      <c r="H7" s="340">
        <f>'CONSOLIDADO_TOTAL RECAUDO'!H126</f>
        <v>95705711.270000011</v>
      </c>
      <c r="I7" s="288">
        <f>'CONSOLIDADO_TOTAL RECAUDO'!I126</f>
        <v>0</v>
      </c>
      <c r="J7" s="288">
        <f>'CONSOLIDADO_TOTAL RECAUDO'!J126</f>
        <v>-21803648.449999999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13754369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14590494.319999998</v>
      </c>
      <c r="I8" s="288">
        <f>'CONSOLIDADO_TOTAL RECAUDO'!I127</f>
        <v>0</v>
      </c>
      <c r="J8" s="288">
        <f>'CONSOLIDADO_TOTAL RECAUDO'!J127</f>
        <v>-2259272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49700940</v>
      </c>
      <c r="E9" s="288">
        <f>'CONSOLIDADO_TOTAL RECAUDO'!E128</f>
        <v>0</v>
      </c>
      <c r="G9" s="339">
        <f>'CONSOLIDADO_TOTAL RECAUDO'!G128</f>
        <v>21557177</v>
      </c>
      <c r="H9" s="340">
        <f>'CONSOLIDADO_TOTAL RECAUDO'!H128</f>
        <v>29206357.07</v>
      </c>
      <c r="I9" s="288">
        <f>'CONSOLIDADO_TOTAL RECAUDO'!I128</f>
        <v>0</v>
      </c>
      <c r="J9" s="288">
        <f>'CONSOLIDADO_TOTAL RECAUDO'!J128</f>
        <v>-41558585.399999999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8596000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10379542.050000001</v>
      </c>
      <c r="I10" s="288">
        <f>'CONSOLIDADO_TOTAL RECAUDO'!I129</f>
        <v>0</v>
      </c>
      <c r="J10" s="288">
        <f>'CONSOLIDADO_TOTAL RECAUDO'!J129</f>
        <v>-3964157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171184208.31999999</v>
      </c>
      <c r="E12" s="350">
        <f>'CONSOLIDADO_TOTAL RECAUDO'!E131</f>
        <v>0</v>
      </c>
      <c r="F12" s="351"/>
      <c r="G12" s="350">
        <f>'CONSOLIDADO_TOTAL RECAUDO'!G131</f>
        <v>31911021</v>
      </c>
      <c r="H12" s="350">
        <f>'CONSOLIDADO_TOTAL RECAUDO'!H131</f>
        <v>180470175.73000002</v>
      </c>
      <c r="I12" s="350">
        <f>'CONSOLIDADO_TOTAL RECAUDO'!I131</f>
        <v>0</v>
      </c>
      <c r="J12" s="350">
        <f>'CONSOLIDADO_TOTAL RECAUDO'!J131</f>
        <v>-73419442.849999994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11780995.139999999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309350</v>
      </c>
      <c r="H24" s="340">
        <f>'REMUNERACION Reciprocidad EAAB'!H128</f>
        <v>2089183.34</v>
      </c>
      <c r="I24" s="288">
        <f>'REMUNERACION Reciprocidad EAAB'!I128</f>
        <v>0</v>
      </c>
      <c r="J24" s="288">
        <f>'REMUNERACION Reciprocidad EAAB'!J128</f>
        <v>-554080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309350</v>
      </c>
      <c r="H27" s="350">
        <f>'REMUNERACION Reciprocidad EAAB'!H131</f>
        <v>13870178.479999999</v>
      </c>
      <c r="I27" s="350">
        <f>'REMUNERACION Reciprocidad EAAB'!I131</f>
        <v>0</v>
      </c>
      <c r="J27" s="350">
        <f>'REMUNERACION Reciprocidad EAAB'!J131</f>
        <v>-554080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29606547</v>
      </c>
      <c r="E35" s="309">
        <f>REMUNERACION_ENEL!E125</f>
        <v>0</v>
      </c>
      <c r="G35" s="336">
        <f>REMUNERACION_ENEL!G125</f>
        <v>513960</v>
      </c>
      <c r="H35" s="310">
        <f>REMUNERACION_ENEL!H125</f>
        <v>26731349.390000001</v>
      </c>
      <c r="I35" s="309">
        <f>REMUNERACION_ENEL!I125</f>
        <v>0</v>
      </c>
      <c r="J35" s="309">
        <f>REMUNERACION_ENEL!J125</f>
        <v>-3698870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22325147.129999999</v>
      </c>
      <c r="E36" s="288">
        <f>REMUNERACION_ENEL!E126</f>
        <v>0</v>
      </c>
      <c r="G36" s="339">
        <f>REMUNERACION_ENEL!G126</f>
        <v>9240820</v>
      </c>
      <c r="H36" s="340">
        <f>REMUNERACION_ENEL!H126</f>
        <v>39413638.689999998</v>
      </c>
      <c r="I36" s="288">
        <f>REMUNERACION_ENEL!I126</f>
        <v>0</v>
      </c>
      <c r="J36" s="288">
        <f>REMUNERACION_ENEL!J126</f>
        <v>-20858585.449999999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8845080</v>
      </c>
      <c r="E37" s="288">
        <f>REMUNERACION_ENEL!E127</f>
        <v>0</v>
      </c>
      <c r="G37" s="339">
        <f>REMUNERACION_ENEL!G127</f>
        <v>0</v>
      </c>
      <c r="H37" s="340">
        <f>REMUNERACION_ENEL!H127</f>
        <v>12385143.039999999</v>
      </c>
      <c r="I37" s="288">
        <f>REMUNERACION_ENEL!I127</f>
        <v>0</v>
      </c>
      <c r="J37" s="288">
        <f>REMUNERACION_ENEL!J127</f>
        <v>-2259272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42284806</v>
      </c>
      <c r="E38" s="288">
        <f>REMUNERACION_ENEL!E128</f>
        <v>0</v>
      </c>
      <c r="G38" s="339">
        <f>REMUNERACION_ENEL!G128</f>
        <v>20397090</v>
      </c>
      <c r="H38" s="340">
        <f>REMUNERACION_ENEL!H128</f>
        <v>23742361.280000001</v>
      </c>
      <c r="I38" s="288">
        <f>REMUNERACION_ENEL!I128</f>
        <v>0</v>
      </c>
      <c r="J38" s="288">
        <f>REMUNERACION_ENEL!J128</f>
        <v>-39633253.399999999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5249580</v>
      </c>
      <c r="E39" s="344">
        <f>REMUNERACION_ENEL!E129</f>
        <v>0</v>
      </c>
      <c r="G39" s="339">
        <f>REMUNERACION_ENEL!G129</f>
        <v>0</v>
      </c>
      <c r="H39" s="340">
        <f>REMUNERACION_ENEL!H129</f>
        <v>9192655.3300000001</v>
      </c>
      <c r="I39" s="288">
        <f>REMUNERACION_ENEL!I129</f>
        <v>0</v>
      </c>
      <c r="J39" s="288">
        <f>REMUNERACION_ENEL!J129</f>
        <v>-3964157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108311160.13</v>
      </c>
      <c r="E41" s="350">
        <f>REMUNERACION_ENEL!E131</f>
        <v>0</v>
      </c>
      <c r="F41" s="351"/>
      <c r="G41" s="350">
        <f>REMUNERACION_ENEL!G131</f>
        <v>30151870</v>
      </c>
      <c r="H41" s="350">
        <f>REMUNERACION_ENEL!H131</f>
        <v>111465147.73</v>
      </c>
      <c r="I41" s="350">
        <f>REMUNERACION_ENEL!I131</f>
        <v>0</v>
      </c>
      <c r="J41" s="350">
        <f>REMUNERACION_ENEL!J131</f>
        <v>-70414137.849999994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914180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914180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17250690.219999999</v>
      </c>
      <c r="E63" s="309">
        <f>'REMUNERACION_OCCIDENTE_ Directa'!E125</f>
        <v>0</v>
      </c>
      <c r="G63" s="336">
        <f>'REMUNERACION_OCCIDENTE_ Directa'!G125</f>
        <v>134910</v>
      </c>
      <c r="H63" s="310">
        <f>'REMUNERACION_OCCIDENTE_ Directa'!H125</f>
        <v>3856721.63</v>
      </c>
      <c r="I63" s="309">
        <f>'REMUNERACION_OCCIDENTE_ Directa'!I125</f>
        <v>0</v>
      </c>
      <c r="J63" s="309">
        <f>'REMUNERACION_OCCIDENTE_ Directa'!J125</f>
        <v>-134910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29950514.969999999</v>
      </c>
      <c r="E64" s="288">
        <f>'REMUNERACION_OCCIDENTE_ Directa'!E126</f>
        <v>0</v>
      </c>
      <c r="G64" s="339">
        <f>'REMUNERACION_OCCIDENTE_ Directa'!G126</f>
        <v>464154</v>
      </c>
      <c r="H64" s="340">
        <f>'REMUNERACION_OCCIDENTE_ Directa'!H126</f>
        <v>44529691.310000002</v>
      </c>
      <c r="I64" s="288">
        <f>'REMUNERACION_OCCIDENTE_ Directa'!I126</f>
        <v>0</v>
      </c>
      <c r="J64" s="288">
        <f>'REMUNERACION_OCCIDENTE_ Directa'!J126</f>
        <v>-945063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4909289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2205351.2800000003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7416134</v>
      </c>
      <c r="E66" s="288">
        <f>'REMUNERACION_OCCIDENTE_ Directa'!E128</f>
        <v>0</v>
      </c>
      <c r="G66" s="339">
        <f>'REMUNERACION_OCCIDENTE_ Directa'!G128</f>
        <v>850737</v>
      </c>
      <c r="H66" s="340">
        <f>'REMUNERACION_OCCIDENTE_ Directa'!H128</f>
        <v>3374812.45</v>
      </c>
      <c r="I66" s="288">
        <f>'REMUNERACION_OCCIDENTE_ Directa'!I128</f>
        <v>0</v>
      </c>
      <c r="J66" s="288">
        <f>'REMUNERACION_OCCIDENTE_ Directa'!J128</f>
        <v>-1371252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2432240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1186886.72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61958868.189999998</v>
      </c>
      <c r="E69" s="350">
        <f>'REMUNERACION_OCCIDENTE_ Directa'!E131</f>
        <v>0</v>
      </c>
      <c r="F69" s="351"/>
      <c r="G69" s="350">
        <f>'REMUNERACION_OCCIDENTE_ Directa'!G131</f>
        <v>1449801</v>
      </c>
      <c r="H69" s="350">
        <f>'REMUNERACION_OCCIDENTE_ Directa'!H131</f>
        <v>55153463.390000008</v>
      </c>
      <c r="I69" s="350">
        <f>'REMUNERACION_OCCIDENTE_ Directa'!I131</f>
        <v>0</v>
      </c>
      <c r="J69" s="350">
        <f>'REMUNERACION_OCCIDENTE_ Directa'!J131</f>
        <v>-2451225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-18613.869999989867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-18613.870000004768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332031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2026101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50406458396</v>
      </c>
      <c r="E7" s="533">
        <f>SUM(D7:D9)</f>
        <v>50546883156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140424760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2555496630</v>
      </c>
      <c r="E10" s="535">
        <f>SUM(D10)</f>
        <v>2555496630</v>
      </c>
      <c r="F10" s="536">
        <f>E7+E10</f>
        <v>53102379786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202610-1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DetRetri2026101</vt:lpstr>
      <vt:lpstr>DetValiRetri2026101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2026-10-24T01:22:14Z</dcterms:modified>
</cp:coreProperties>
</file>