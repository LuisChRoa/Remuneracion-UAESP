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v2/"/>
    </mc:Choice>
  </mc:AlternateContent>
  <xr:revisionPtr revIDLastSave="14" documentId="13_ncr:1_{A376A982-D23D-482E-BE0C-EEADC22F44C3}" xr6:coauthVersionLast="47" xr6:coauthVersionMax="47" xr10:uidLastSave="{5D675423-6240-4E79-905B-DDEAC9F3C1D4}"/>
  <x:bookViews>
    <x:workbookView xWindow="-103" yWindow="-103" windowWidth="16663" windowHeight="8743" tabRatio="780" firstSheet="7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10-1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101" sheetId="93" r:id="rId36"/>
    <x:sheet name="DetValiRetri202610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<x:sst xmlns:x="http://schemas.openxmlformats.org/spreadsheetml/2006/main" count="7772" uniqueCount="345">
  <x:si>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</x:si>
  <x:si>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</x:si>
  <x:si>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</x:si>
  <x:si>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</x:si>
  <x:si>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</x:si>
  <x:si>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</x:si>
  <x:si>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</x:si>
  <x:si>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</x:si>
  <x:si>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</x:si>
  <x:si>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</x:si>
  <x:si>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</x:si>
  <x:si>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</x:si>
  <x:si>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</x:si>
  <x:si>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</x:si>
  <x:si>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</x:si>
  <x:si>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</x:si>
  <x:si>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</x:si>
  <x:si>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</x:si>
  <x:si>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</x:si>
  <x:si>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</x:si>
  <x:si>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</x:si>
  <x:si>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</x:si>
  <x:si>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</x:si>
  <x:si>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</x:si>
  <x:si>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</x:si>
  <x:si>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</x:si>
  <x:si>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</x:si>
  <x:si>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</x:si>
  <x:si>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</x:si>
  <x:si>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</x:si>
  <x:si>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</x:si>
  <x:si>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</x:si>
  <x:si>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</x:si>
  <x:si>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</x:si>
  <x:si>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</x:si>
  <x:si>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</x:si>
  <x:si>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</x:si>
  <x:si>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</x:si>
  <x:si>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</x:si>
  <x:si>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</x:si>
  <x:si>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</x:si>
  <x:si>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</x:si>
  <x:si>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</x:si>
  <x:si>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</x:si>
  <x:si>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</x:si>
  <x:si>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</x:si>
  <x:si>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</x:si>
  <x:si>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</x:si>
  <x:si>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</x:si>
  <x:si>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</x:si>
  <x:si>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</x:si>
  <x:si>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</x:si>
  <x:si>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</x:si>
  <x:si>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</x:si>
  <x:si>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</x:si>
  <x:si>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</x:si>
  <x:si>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</x:si>
  <x:si>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</x:si>
  <x:si>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</x:si>
  <x:si>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</x:si>
  <x:si>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</x:si>
  <x:si>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</x:si>
  <x:si>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</x:si>
  <x:si>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</x:si>
  <x:si>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</x:si>
  <x:si>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</x:si>
  <x:si>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</x:si>
  <x:si>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</x:si>
  <x:si>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</x:si>
  <x:si>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</x:si>
  <x:si>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</x:si>
  <x:si>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</x:si>
  <x:si>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</x:si>
  <x:si>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</x:si>
  <x:si>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</x:si>
  <x:si>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</x:si>
  <x:si>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</x:si>
  <x:si>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</x:si>
  <x:si>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</x:si>
  <x:si>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</x:si>
  <x:si>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</x:si>
  <x:si>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</x:si>
  <x:si>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</x:si>
  <x:si>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</x:si>
  <x:si>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</x:si>
  <x:si>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</x:si>
  <x:si>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</x:si>
  <x:si>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</x:si>
  <x:si>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</x:si>
  <x:si>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</x:si>
  <x:si>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</x:si>
  <x:si>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</x:si>
  <x:si>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</x:si>
  <x:si>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</x:si>
  <x:si>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</x:si>
  <x:si>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</x:si>
  <x:si>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</x:si>
  <x:si>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</x:si>
  <x:si>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</x:si>
  <x:si>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</x:si>
  <x:si>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</x:si>
  <x:si>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</x:si>
  <x:si>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</x:si>
  <x:si>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</x:si>
  <x:si>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</x:si>
  <x:si>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</x:si>
  <x:si>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</x:si>
  <x:si>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</x:si>
  <x:si>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</x:si>
  <x:si>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</x:si>
  <x:si>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</x:si>
  <x:si>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</x:si>
  <x:si>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</x:si>
  <x:si>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</x:si>
  <x:si>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</x:si>
  <x:si>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</x:si>
  <x:si>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</x:si>
  <x:si>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</x:si>
  <x:si>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</x:si>
  <x:si>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</x:si>
  <x:si>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</x:si>
  <x:si>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</x:si>
  <x:si>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</x:si>
  <x:si>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</x:si>
  <x:si>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</x:si>
  <x:si>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</x:si>
  <x:si>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</x:si>
  <x:si>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</x:si>
  <x:si>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</x:si>
  <x:si>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</x:si>
  <x:si>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</x:si>
  <x:si>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</x:si>
  <x:si>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</x:si>
  <x:si>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</x:si>
  <x:si>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</x:si>
  <x:si>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</x:si>
  <x:si>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</x:si>
  <x:si>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</x:si>
  <x:si>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</x:si>
  <x:si>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</x:si>
  <x:si>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</x:si>
  <x:si>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</x:si>
  <x:si>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</x:si>
  <x:si>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</x:si>
  <x:si>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</x:si>
  <x:si>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</x:si>
  <x:si>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</x:si>
  <x:si>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</x:si>
  <x:si>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</x:si>
  <x:si>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</x:si>
  <x:si>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</x:si>
  <x:si>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</x:si>
  <x:si>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</x:si>
  <x:si>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</x:si>
  <x:si>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</x:si>
  <x:si>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</x:si>
  <x:si>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</x:si>
  <x:si>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</x:si>
  <x:si>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</x:si>
  <x:si>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</x:si>
  <x:si>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</x:si>
  <x:si>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</x:si>
  <x:si>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</x:si>
  <x:si>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</x:si>
  <x:si>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</x:si>
  <x:si>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</x:si>
  <x:si>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</x:si>
  <x:si>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</x:si>
  <x:si>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</x:si>
  <x:si>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</x:si>
  <x:si>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</x:si>
  <x:si>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</x:si>
  <x:si>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</x:si>
  <x:si>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</x:si>
  <x:si>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</x:si>
  <x:si>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</x:si>
  <x:si>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</x:si>
  <x:si>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</x:si>
  <x:si>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</x:si>
  <x:si>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</x:si>
  <x:si>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</x:si>
  <x:si>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</x:si>
  <x:si>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</x:si>
  <x:si>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</x:si>
  <x:si>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</x:si>
  <x:si>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</x:si>
  <x:si>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</x:si>
  <x:si>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</x:si>
  <x:si>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</x:si>
  <x:si>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</x:si>
  <x:si>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</x:si>
  <x:si>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</x:si>
  <x:si>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</x:si>
  <x:si>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</x:si>
  <x:si>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</x:si>
  <x:si>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</x:si>
  <x:si>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</x:si>
  <x:si>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</x:si>
  <x:si>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</x:si>
  <x:si>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</x:si>
  <x:si>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</x:si>
  <x:si>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</x:si>
  <x:si>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</x:si>
  <x:si>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</x:si>
  <x:si>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</x:si>
  <x:si>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</x:si>
  <x:si>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</x:si>
  <x:si>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</x:si>
  <x:si>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</x:si>
  <x:si>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</x:si>
  <x:si>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</x:si>
  <x:si>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</x:si>
  <x:si>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</x:si>
  <x:si>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</x:si>
  <x:si>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</x:si>
  <x:si>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</x:si>
  <x:si>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</x:si>
  <x:si>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</x:si>
  <x:si>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</x:si>
  <x:si>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</x:si>
  <x:si>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</x:si>
  <x:si>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</x:si>
  <x:si>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</x:si>
  <x:si>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</x:si>
  <x:si>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</x:si>
  <x:si>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</x:si>
  <x:si>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</x:si>
  <x:si>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</x:si>
  <x:si>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</x:si>
  <x:si>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</x:si>
  <x:si>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</x:si>
  <x:si>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</x:si>
  <x:si>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</x:si>
  <x:si>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</x:si>
  <x:si>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</x:si>
  <x:si>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</x:si>
  <x:si>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</x:si>
  <x:si>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</x:si>
  <x:si>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</x:si>
  <x:si>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</x:si>
  <x:si>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</x:si>
  <x:si>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</x:si>
  <x:si>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</x:si>
  <x:si>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</x:si>
  <x:si>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</x:si>
  <x:si>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</x:si>
  <x:si>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</x:si>
  <x:si>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</x:si>
  <x:si>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</x:si>
  <x:si>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</x:si>
  <x:si>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</x:si>
  <x:si>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</x:si>
  <x:si>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</x:si>
  <x:si>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</x:si>
  <x:si>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</x:si>
  <x:si>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</x:si>
  <x:si>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</x:si>
  <x:si>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</x:si>
  <x:si>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</x:si>
  <x:si>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</x:si>
  <x:si>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</x:si>
  <x:si>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</x:si>
  <x:si>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</x:si>
  <x:si>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</x:si>
  <x:si>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</x:si>
  <x:si>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</x:si>
  <x:si>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</x:si>
  <x:si>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</x:si>
  <x:si>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</x:si>
  <x:si>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</x:si>
  <x:si>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</x:si>
  <x:si>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</x:si>
  <x:si>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</x:si>
  <x:si>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</x:si>
  <x:si>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</x:si>
  <x:si>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</x:si>
  <x:si>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</x:si>
  <x:si>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</x:si>
  <x:si>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</x:si>
  <x:si>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</x:si>
  <x:si>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</x:si>
  <x:si>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</x:si>
  <x:si>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</x:si>
  <x:si>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</x:si>
  <x:si>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</x:si>
  <x:si>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</x:si>
  <x:si>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</x:si>
  <x:si>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</x:si>
  <x:si>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</x:si>
  <x:si>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</x:si>
  <x:si>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</x:si>
  <x:si>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</x:si>
  <x:si>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</x:si>
  <x:si>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</x:si>
  <x:si>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</x:si>
  <x:si>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</x:si>
  <x:si>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</x:si>
  <x:si>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</x:si>
  <x:si>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</x:si>
  <x:si>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</x:si>
  <x:si>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</x:si>
  <x:si>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</x:si>
  <x:si>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</x:si>
  <x:si>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</x:si>
  <x:si>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</x:si>
  <x:si>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</x:si>
  <x:si>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</x:si>
  <x:si>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</x:si>
  <x:si>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</x:si>
  <x:si>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</x:si>
  <x:si>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</x:si>
  <x:si>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</x:si>
  <x:si>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</x:si>
  <x:si>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</x:si>
  <x:si>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</x:si>
  <x:si>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</x:si>
  <x:si>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</x:si>
  <x:si>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</x:si>
  <x:si>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</x:si>
  <x:si>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</x:si>
  <x:si>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</x:si>
  <x:si>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</x:si>
  <x:si>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</x:si>
  <x:si>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</x:si>
  <x:si>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</x:si>
  <x:si>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</x:si>
  <x:si>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</x:si>
  <x:si>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</x:si>
  <x:si>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</x:si>
  <x:si>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</x:si>
  <x:si>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</x:si>
  <x:si>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</x:si>
  <x:si>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</x:si>
  <x:si>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</x:si>
  <x:si>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</x:si>
  <x:si>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</x:si>
  <x:si>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</x:si>
  <x:si>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</x:si>
  <x:si>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</x:si>
  <x:si>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</x:si>
  <x:si>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2026101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</x:si>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</x:sst>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2.9" thickBot="1" x14ac:dyDescent="0.35"/>
    <x:row r="2" spans="2:13" s="102" customFormat="1" ht="12.9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x14ac:dyDescent="0.3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x14ac:dyDescent="0.3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3.5" customHeight="1" x14ac:dyDescent="0.3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  <x:c r="J6" s="728"/>
    </x:row>
    <x:row r="7" spans="2:13" ht="13.5" customHeight="1" x14ac:dyDescent="0.3">
      <x:c r="C7" s="178">
        <x:v>5</x:v>
      </x:c>
      <x:c r="D7" s="179" t="n">
        <x:v>0</x:v>
      </x:c>
      <x:c r="E7" s="180" t="n">
        <x:v>0</x:v>
      </x:c>
      <x:c r="F7" s="180">
        <x:v>0</x:v>
      </x:c>
      <x:c r="G7" s="181">
        <x:v>0</x:v>
      </x:c>
      <x:c r="J7" s="728"/>
    </x:row>
    <x:row r="8" spans="2:13" ht="12.9" thickBot="1" x14ac:dyDescent="0.35">
      <x:c r="C8" s="182" t="s">
        <x:v>89</x:v>
      </x:c>
      <x:c r="D8" s="183"/>
      <x:c r="E8" s="184"/>
      <x:c r="F8" s="184"/>
      <x:c r="G8" s="185"/>
      <x:c r="J8" s="728"/>
    </x:row>
    <x:row r="9" spans="2:13" ht="12.9" thickBot="1" x14ac:dyDescent="0.35">
      <x:c r="D9" s="186" t="n">
        <x:v>0</x:v>
      </x:c>
      <x:c r="E9" s="186" t="n">
        <x:v>0</x:v>
      </x:c>
      <x:c r="F9" s="186">
        <x:v>0</x:v>
      </x:c>
      <x:c r="G9" s="186">
        <x:v>0</x:v>
      </x:c>
      <x:c r="J9" s="728"/>
    </x:row>
    <x:row r="10" spans="2:13" ht="12.9" thickBot="1" x14ac:dyDescent="0.35"/>
    <x:row r="11" spans="2:13" s="102" customFormat="1" ht="12.9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x14ac:dyDescent="0.3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3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3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3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2.9" thickBot="1" x14ac:dyDescent="0.35">
      <x:c r="C17" s="182" t="s">
        <x:v>89</x:v>
      </x:c>
      <x:c r="D17" s="183"/>
      <x:c r="E17" s="184"/>
      <x:c r="F17" s="184"/>
      <x:c r="G17" s="185"/>
    </x:row>
    <x:row r="18" spans="1:11" ht="12.9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2.9" thickBot="1" x14ac:dyDescent="0.35"/>
    <x:row r="20" spans="1:11" ht="12.9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3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x14ac:dyDescent="0.3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x14ac:dyDescent="0.3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x14ac:dyDescent="0.3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x14ac:dyDescent="0.3">
      <x:c r="B25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9" thickBot="1" x14ac:dyDescent="0.3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 t="n">
        <x:v>14382259562</x:v>
      </x:c>
      <x:c r="E3" s="176" t="n">
        <x:v>305702</x:v>
      </x:c>
      <x:c r="F3" s="176">
        <x:v>0</x:v>
      </x:c>
      <x:c r="G3" s="177">
        <x:v>0</x:v>
      </x:c>
      <x:c r="J3" s="728"/>
    </x:row>
    <x:row r="4" spans="2:13" ht="12.65" customHeight="1" x14ac:dyDescent="0.3">
      <x:c r="C4" s="178">
        <x:v>2</x:v>
      </x:c>
      <x:c r="D4" s="179" t="n">
        <x:v>10247752463</x:v>
      </x:c>
      <x:c r="E4" s="180" t="n">
        <x:v>198695</x:v>
      </x:c>
      <x:c r="F4" s="180">
        <x:v>0</x:v>
      </x:c>
      <x:c r="G4" s="181">
        <x:v>0</x:v>
      </x:c>
      <x:c r="J4" s="728"/>
    </x:row>
    <x:row r="5" spans="2:13" ht="12.65" customHeight="1" x14ac:dyDescent="0.3">
      <x:c r="C5" s="178">
        <x:v>3</x:v>
      </x:c>
      <x:c r="D5" s="179" t="n">
        <x:v>8348318512</x:v>
      </x:c>
      <x:c r="E5" s="180" t="n">
        <x:v>195122</x:v>
      </x:c>
      <x:c r="F5" s="180">
        <x:v>0</x:v>
      </x:c>
      <x:c r="G5" s="181">
        <x:v>0</x:v>
      </x:c>
      <x:c r="J5" s="728"/>
    </x:row>
    <x:row r="6" spans="2:13" ht="12.65" customHeight="1" x14ac:dyDescent="0.3">
      <x:c r="C6" s="178">
        <x:v>4</x:v>
      </x:c>
      <x:c r="D6" s="179" t="n">
        <x:v>9859647946</x:v>
      </x:c>
      <x:c r="E6" s="180" t="n">
        <x:v>172571</x:v>
      </x:c>
      <x:c r="F6" s="180">
        <x:v>0</x:v>
      </x:c>
      <x:c r="G6" s="181">
        <x:v>0</x:v>
      </x:c>
    </x:row>
    <x:row r="7" spans="2:13" ht="12.65" customHeight="1" x14ac:dyDescent="0.3">
      <x:c r="C7" s="178">
        <x:v>5</x:v>
      </x:c>
      <x:c r="D7" s="179" t="n">
        <x:v>7125653520</x:v>
      </x:c>
      <x:c r="E7" s="180" t="n">
        <x:v>137028</x:v>
      </x:c>
      <x:c r="F7" s="180">
        <x:v>0</x:v>
      </x:c>
      <x:c r="G7" s="181">
        <x:v>0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 t="n">
        <x:v>49963632003</x:v>
      </x:c>
      <x:c r="E9" s="186" t="n">
        <x:v>1009118</x:v>
      </x:c>
      <x:c r="F9" s="186">
        <x:v>0</x:v>
      </x:c>
      <x:c r="G9" s="186">
        <x:v>0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 t="n">
        <x:v>128684600</x:v>
      </x:c>
      <x:c r="E12" s="176" t="n">
        <x:v>2090</x:v>
      </x:c>
      <x:c r="F12" s="176">
        <x:v>0</x:v>
      </x:c>
      <x:c r="G12" s="177">
        <x:v>0</x:v>
      </x:c>
    </x:row>
    <x:row r="13" spans="2:13" ht="12.65" customHeight="1" x14ac:dyDescent="0.3">
      <x:c r="C13" s="178">
        <x:v>2</x:v>
      </x:c>
      <x:c r="D13" s="179" t="n">
        <x:v>60162560</x:v>
      </x:c>
      <x:c r="E13" s="180" t="n">
        <x:v>1233</x:v>
      </x:c>
      <x:c r="F13" s="180">
        <x:v>0</x:v>
      </x:c>
      <x:c r="G13" s="181">
        <x:v>0</x:v>
      </x:c>
    </x:row>
    <x:row r="14" spans="2:13" ht="12.65" customHeight="1" x14ac:dyDescent="0.3">
      <x:c r="C14" s="178">
        <x:v>3</x:v>
      </x:c>
      <x:c r="D14" s="179" t="n">
        <x:v>58639078</x:v>
      </x:c>
      <x:c r="E14" s="180" t="n">
        <x:v>1146</x:v>
      </x:c>
      <x:c r="F14" s="180">
        <x:v>0</x:v>
      </x:c>
      <x:c r="G14" s="181">
        <x:v>0</x:v>
      </x:c>
    </x:row>
    <x:row r="15" spans="2:13" ht="12.65" customHeight="1" x14ac:dyDescent="0.3">
      <x:c r="C15" s="178">
        <x:v>4</x:v>
      </x:c>
      <x:c r="D15" s="179" t="n">
        <x:v>72782190</x:v>
      </x:c>
      <x:c r="E15" s="180" t="n">
        <x:v>1190</x:v>
      </x:c>
      <x:c r="F15" s="180">
        <x:v>0</x:v>
      </x:c>
      <x:c r="G15" s="181">
        <x:v>0</x:v>
      </x:c>
    </x:row>
    <x:row r="16" spans="2:13" ht="12.65" customHeight="1" x14ac:dyDescent="0.3">
      <x:c r="C16" s="178">
        <x:v>5</x:v>
      </x:c>
      <x:c r="D16" s="179" t="n">
        <x:v>122557965</x:v>
      </x:c>
      <x:c r="E16" s="180" t="n">
        <x:v>2207</x:v>
      </x:c>
      <x:c r="F16" s="180">
        <x:v>0</x:v>
      </x:c>
      <x:c r="G16" s="181">
        <x:v>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 t="n">
        <x:v>442826393</x:v>
      </x:c>
      <x:c r="E18" s="186" t="n">
        <x:v>7866</x:v>
      </x:c>
      <x:c r="F18" s="186">
        <x:v>0</x:v>
      </x:c>
      <x:c r="G18" s="186">
        <x:v>0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 t="n">
        <x:v>14510944162</x:v>
      </x:c>
      <x:c r="E21" s="176" t="n">
        <x:v>307792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 t="n">
        <x:v>10307915023</x:v>
      </x:c>
      <x:c r="E22" s="180" t="n">
        <x:v>199928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 t="n">
        <x:v>8406957590</x:v>
      </x:c>
      <x:c r="E23" s="180" t="n">
        <x:v>196268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 t="n">
        <x:v>9932430136</x:v>
      </x:c>
      <x:c r="E24" s="180" t="n">
        <x:v>173761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 t="n">
        <x:v>7248211485</x:v>
      </x:c>
      <x:c r="E25" s="180" t="n">
        <x:v>139235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 t="n">
        <x:v>50406458396</x:v>
      </x:c>
      <x:c r="E27" s="186" t="n">
        <x:v>1016984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ht="12.65" customHeight="1" x14ac:dyDescent="0.3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ht="12.65" customHeight="1" x14ac:dyDescent="0.3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2.65" customHeight="1" x14ac:dyDescent="0.3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2.65" customHeight="1" x14ac:dyDescent="0.3">
      <x:c r="C7" s="178">
        <x:v>5</x:v>
      </x:c>
      <x:c r="D7" s="179" t="n">
        <x:v>140424760</x:v>
      </x:c>
      <x:c r="E7" s="180" t="n">
        <x:v>2998</x:v>
      </x:c>
      <x:c r="F7" s="180">
        <x:v>0</x:v>
      </x:c>
      <x:c r="G7" s="181">
        <x:v>0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 t="n">
        <x:v>140424760</x:v>
      </x:c>
      <x:c r="E9" s="186" t="n">
        <x:v>2998</x:v>
      </x:c>
      <x:c r="F9" s="186">
        <x:v>0</x:v>
      </x:c>
      <x:c r="G9" s="186">
        <x:v>0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ht="12.65" customHeight="1" x14ac:dyDescent="0.3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ht="12.65" customHeight="1" x14ac:dyDescent="0.3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ht="12.65" customHeight="1" x14ac:dyDescent="0.3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ht="12.65" customHeight="1" x14ac:dyDescent="0.3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 t="n">
        <x:v>140424760</x:v>
      </x:c>
      <x:c r="E25" s="180" t="n">
        <x:v>2998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 t="n">
        <x:v>140424760</x:v>
      </x:c>
      <x:c r="E27" s="186" t="n">
        <x:v>2998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3828125" defaultRowHeight="12.45" x14ac:dyDescent="0.3"/>
  <x:cols>
    <x:col min="1" max="1" width="2.15234375" style="213" customWidth="1"/>
    <x:col min="2" max="2" width="25" style="213" bestFit="1" customWidth="1"/>
    <x:col min="3" max="3" width="4.84375" style="213" bestFit="1" customWidth="1"/>
    <x:col min="4" max="4" width="13.84375" style="167" bestFit="1" customWidth="1"/>
    <x:col min="5" max="5" width="19" style="167" bestFit="1" customWidth="1"/>
    <x:col min="6" max="6" width="13.84375" style="167" bestFit="1" customWidth="1"/>
    <x:col min="7" max="7" width="19" style="167" bestFit="1" customWidth="1"/>
    <x:col min="8" max="8" width="3.84375" style="167" customWidth="1"/>
    <x:col min="9" max="9" width="20" style="167" bestFit="1" customWidth="1"/>
    <x:col min="10" max="10" width="26.53515625" style="167" bestFit="1" customWidth="1"/>
    <x:col min="11" max="13" width="19.84375" style="167" customWidth="1"/>
    <x:col min="14" max="16384" width="11.3828125" style="213"/>
  </x:cols>
  <x:sheetData>
    <x:row r="1" spans="2:13" ht="12.9" thickBot="1" x14ac:dyDescent="0.35"/>
    <x:row r="2" spans="2:13" s="214" customFormat="1" ht="12.9" thickBot="1" x14ac:dyDescent="0.3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3">
      <x:c r="C3" s="174">
        <x:v>1</x:v>
      </x:c>
      <x:c r="D3" s="175" t="n">
        <x:v>0</x:v>
      </x:c>
      <x:c r="E3" s="180" t="n">
        <x:v>0</x:v>
      </x:c>
      <x:c r="F3" s="176">
        <x:v>0</x:v>
      </x:c>
      <x:c r="G3" s="177">
        <x:v>0</x:v>
      </x:c>
    </x:row>
    <x:row r="4" spans="2:13" x14ac:dyDescent="0.3">
      <x:c r="C4" s="178">
        <x:v>2</x:v>
      </x:c>
      <x:c r="D4" s="180" t="n">
        <x:v>0</x:v>
      </x:c>
      <x:c r="E4" s="180" t="n">
        <x:v>0</x:v>
      </x:c>
      <x:c r="F4" s="180">
        <x:v>0</x:v>
      </x:c>
      <x:c r="G4" s="181">
        <x:v>0</x:v>
      </x:c>
    </x:row>
    <x:row r="5" spans="2:13" x14ac:dyDescent="0.3">
      <x:c r="C5" s="178">
        <x:v>3</x:v>
      </x:c>
      <x:c r="D5" s="180" t="n">
        <x:v>0</x:v>
      </x:c>
      <x:c r="E5" s="180" t="n">
        <x:v>0</x:v>
      </x:c>
      <x:c r="F5" s="180">
        <x:v>0</x:v>
      </x:c>
      <x:c r="G5" s="181">
        <x:v>0</x:v>
      </x:c>
    </x:row>
    <x:row r="6" spans="2:13" ht="13.5" customHeight="1" x14ac:dyDescent="0.3">
      <x:c r="C6" s="178">
        <x:v>4</x:v>
      </x:c>
      <x:c r="D6" s="180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3.5" customHeight="1" x14ac:dyDescent="0.3">
      <x:c r="C7" s="178">
        <x:v>5</x:v>
      </x:c>
      <x:c r="D7" s="180" t="n">
        <x:v>0</x:v>
      </x:c>
      <x:c r="E7" s="180" t="n">
        <x:v>0</x:v>
      </x:c>
      <x:c r="F7" s="180">
        <x:v>0</x:v>
      </x:c>
      <x:c r="G7" s="181">
        <x:v>0</x:v>
      </x:c>
    </x:row>
    <x:row r="8" spans="2:13" ht="12.9" thickBot="1" x14ac:dyDescent="0.35">
      <x:c r="C8" s="182" t="s">
        <x:v>89</x:v>
      </x:c>
      <x:c r="D8" s="183"/>
      <x:c r="E8" s="184"/>
      <x:c r="F8" s="184"/>
      <x:c r="G8" s="185"/>
    </x:row>
    <x:row r="9" spans="2:13" ht="12.9" thickBot="1" x14ac:dyDescent="0.35">
      <x:c r="D9" s="186" t="n">
        <x:v>0</x:v>
      </x:c>
      <x:c r="E9" s="186" t="n">
        <x:v>0</x:v>
      </x:c>
      <x:c r="F9" s="186">
        <x:v>0</x:v>
      </x:c>
      <x:c r="G9" s="186">
        <x:v>0</x:v>
      </x:c>
    </x:row>
    <x:row r="10" spans="2:13" ht="12.9" thickBot="1" x14ac:dyDescent="0.35"/>
    <x:row r="11" spans="2:13" s="214" customFormat="1" ht="12.9" thickBot="1" x14ac:dyDescent="0.3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216" t="s">
        <x:v>158</x:v>
      </x:c>
      <x:c r="C12" s="174">
        <x:v>1</x:v>
      </x:c>
      <x:c r="D12" s="175" t="n">
        <x:v>0</x:v>
      </x:c>
      <x:c r="E12" s="180" t="n">
        <x:v>0</x:v>
      </x:c>
      <x:c r="F12" s="176">
        <x:v>0</x:v>
      </x:c>
      <x:c r="G12" s="177">
        <x:v>0</x:v>
      </x:c>
    </x:row>
    <x:row r="13" spans="2:13" x14ac:dyDescent="0.3">
      <x:c r="C13" s="178">
        <x:v>2</x:v>
      </x:c>
      <x:c r="D13" s="180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3">
      <x:c r="C14" s="178">
        <x:v>3</x:v>
      </x:c>
      <x:c r="D14" s="180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3">
      <x:c r="C15" s="178">
        <x:v>4</x:v>
      </x:c>
      <x:c r="D15" s="180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3">
      <x:c r="C16" s="178">
        <x:v>5</x:v>
      </x:c>
      <x:c r="D16" s="180" t="n">
        <x:v>0</x:v>
      </x:c>
      <x:c r="E16" s="180" t="n">
        <x:v>0</x:v>
      </x:c>
      <x:c r="F16" s="180">
        <x:v>0</x:v>
      </x:c>
      <x:c r="G16" s="181">
        <x:v>0</x:v>
      </x:c>
    </x:row>
    <x:row r="17" spans="1:13" ht="12.9" thickBot="1" x14ac:dyDescent="0.35">
      <x:c r="C17" s="182" t="s">
        <x:v>89</x:v>
      </x:c>
      <x:c r="D17" s="183"/>
      <x:c r="E17" s="184"/>
      <x:c r="F17" s="184"/>
      <x:c r="G17" s="185"/>
    </x:row>
    <x:row r="18" spans="1:13" ht="12.9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3" ht="12.9" thickBot="1" x14ac:dyDescent="0.35"/>
    <x:row r="20" spans="1:13" ht="12.9" thickBot="1" x14ac:dyDescent="0.3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1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3">
      <x:c r="B22" s="213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3">
      <x:c r="B23" s="21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3">
      <x:c r="B24" s="213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3">
      <x:c r="B25" s="213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2.9" thickBot="1" x14ac:dyDescent="0.3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3828125" defaultRowHeight="12.45" x14ac:dyDescent="0.3"/>
  <x:cols>
    <x:col min="1" max="1" width="2.15234375" style="166" customWidth="1"/>
    <x:col min="2" max="2" width="12.84375" style="166" bestFit="1" customWidth="1"/>
    <x:col min="3" max="3" width="7.15234375" style="166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  <x:col min="14" max="16384" width="11.3828125" style="166"/>
  </x:cols>
  <x:sheetData>
    <x:row r="1" spans="2:13" ht="12.9" thickBot="1" x14ac:dyDescent="0.35"/>
    <x:row r="2" spans="2:13" s="168" customFormat="1" ht="12.9" thickBot="1" x14ac:dyDescent="0.3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277" t="n">
        <x:v>322739090</x:v>
      </x:c>
      <x:c r="E3" s="176" t="n">
        <x:v>1616</x:v>
      </x:c>
      <x:c r="F3" s="176">
        <x:v>0</x:v>
      </x:c>
      <x:c r="G3" s="177">
        <x:v>0</x:v>
      </x:c>
      <x:c r="J3" s="728"/>
    </x:row>
    <x:row r="4" spans="2:13" x14ac:dyDescent="0.3">
      <x:c r="C4" s="178">
        <x:v>2</x:v>
      </x:c>
      <x:c r="D4" s="278" t="n">
        <x:v>839789795</x:v>
      </x:c>
      <x:c r="E4" s="180" t="n">
        <x:v>3964</x:v>
      </x:c>
      <x:c r="F4" s="180">
        <x:v>0</x:v>
      </x:c>
      <x:c r="G4" s="181">
        <x:v>0</x:v>
      </x:c>
      <x:c r="J4" s="728"/>
    </x:row>
    <x:row r="5" spans="2:13" x14ac:dyDescent="0.3">
      <x:c r="C5" s="178">
        <x:v>3</x:v>
      </x:c>
      <x:c r="D5" s="278" t="n">
        <x:v>417500887</x:v>
      </x:c>
      <x:c r="E5" s="180" t="n">
        <x:v>1376</x:v>
      </x:c>
      <x:c r="F5" s="180">
        <x:v>0</x:v>
      </x:c>
      <x:c r="G5" s="181">
        <x:v>0</x:v>
      </x:c>
      <x:c r="J5" s="728"/>
    </x:row>
    <x:row r="6" spans="2:13" x14ac:dyDescent="0.3">
      <x:c r="C6" s="178">
        <x:v>4</x:v>
      </x:c>
      <x:c r="D6" s="278" t="n">
        <x:v>481464262</x:v>
      </x:c>
      <x:c r="E6" s="180" t="n">
        <x:v>2591</x:v>
      </x:c>
      <x:c r="F6" s="180">
        <x:v>0</x:v>
      </x:c>
      <x:c r="G6" s="181">
        <x:v>0</x:v>
      </x:c>
    </x:row>
    <x:row r="7" spans="2:13" x14ac:dyDescent="0.3">
      <x:c r="C7" s="178">
        <x:v>5</x:v>
      </x:c>
      <x:c r="D7" s="278" t="n">
        <x:v>168793421</x:v>
      </x:c>
      <x:c r="E7" s="180" t="n">
        <x:v>1160</x:v>
      </x:c>
      <x:c r="F7" s="180">
        <x:v>0</x:v>
      </x:c>
      <x:c r="G7" s="181">
        <x:v>0</x:v>
      </x:c>
    </x:row>
    <x:row r="8" spans="2:13" ht="12.9" thickBot="1" x14ac:dyDescent="0.35">
      <x:c r="C8" s="182" t="s">
        <x:v>89</x:v>
      </x:c>
      <x:c r="D8" s="279" t="n">
        <x:v>0</x:v>
      </x:c>
      <x:c r="E8" s="184" t="n">
        <x:v>0</x:v>
      </x:c>
      <x:c r="F8" s="184">
        <x:v>0</x:v>
      </x:c>
      <x:c r="G8" s="185">
        <x:v>0</x:v>
      </x:c>
    </x:row>
    <x:row r="9" spans="2:13" ht="12.9" thickBot="1" x14ac:dyDescent="0.35">
      <x:c r="D9" s="186" t="n">
        <x:v>2230287455</x:v>
      </x:c>
      <x:c r="E9" s="186" t="n">
        <x:v>10707</x:v>
      </x:c>
      <x:c r="F9" s="186">
        <x:v>0</x:v>
      </x:c>
      <x:c r="G9" s="186">
        <x:v>0</x:v>
      </x:c>
    </x:row>
    <x:row r="10" spans="2:13" ht="12.9" thickBot="1" x14ac:dyDescent="0.35">
      <x:c r="D10" s="280"/>
    </x:row>
    <x:row r="11" spans="2:13" s="168" customFormat="1" ht="12.9" thickBot="1" x14ac:dyDescent="0.3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189" t="s">
        <x:v>140</x:v>
      </x:c>
      <x:c r="C12" s="190">
        <x:v>1</x:v>
      </x:c>
      <x:c r="D12" s="281" t="n">
        <x:v>48127653</x:v>
      </x:c>
      <x:c r="E12" s="191" t="n">
        <x:v>73</x:v>
      </x:c>
      <x:c r="F12" s="191">
        <x:v>0</x:v>
      </x:c>
      <x:c r="G12" s="192">
        <x:v>0</x:v>
      </x:c>
    </x:row>
    <x:row r="13" spans="2:13" x14ac:dyDescent="0.3">
      <x:c r="C13" s="193">
        <x:v>2</x:v>
      </x:c>
      <x:c r="D13" s="278" t="n">
        <x:v>132160935</x:v>
      </x:c>
      <x:c r="E13" s="180" t="n">
        <x:v>54</x:v>
      </x:c>
      <x:c r="F13" s="180">
        <x:v>0</x:v>
      </x:c>
      <x:c r="G13" s="181">
        <x:v>0</x:v>
      </x:c>
    </x:row>
    <x:row r="14" spans="2:13" x14ac:dyDescent="0.3">
      <x:c r="C14" s="193">
        <x:v>3</x:v>
      </x:c>
      <x:c r="D14" s="278" t="n">
        <x:v>19609348</x:v>
      </x:c>
      <x:c r="E14" s="180" t="n">
        <x:v>11</x:v>
      </x:c>
      <x:c r="F14" s="180">
        <x:v>0</x:v>
      </x:c>
      <x:c r="G14" s="181">
        <x:v>0</x:v>
      </x:c>
    </x:row>
    <x:row r="15" spans="2:13" x14ac:dyDescent="0.3">
      <x:c r="C15" s="193">
        <x:v>4</x:v>
      </x:c>
      <x:c r="D15" s="278" t="n">
        <x:v>118198907</x:v>
      </x:c>
      <x:c r="E15" s="180" t="n">
        <x:v>9</x:v>
      </x:c>
      <x:c r="F15" s="180">
        <x:v>0</x:v>
      </x:c>
      <x:c r="G15" s="181">
        <x:v>0</x:v>
      </x:c>
    </x:row>
    <x:row r="16" spans="2:13" x14ac:dyDescent="0.3">
      <x:c r="C16" s="193">
        <x:v>5</x:v>
      </x:c>
      <x:c r="D16" s="278" t="n">
        <x:v>7112332</x:v>
      </x:c>
      <x:c r="E16" s="180" t="n">
        <x:v>27</x:v>
      </x:c>
      <x:c r="F16" s="180">
        <x:v>0</x:v>
      </x:c>
      <x:c r="G16" s="181">
        <x:v>0</x:v>
      </x:c>
    </x:row>
    <x:row r="17" spans="1:13" ht="12.9" thickBot="1" x14ac:dyDescent="0.35">
      <x:c r="C17" s="194" t="s">
        <x:v>89</x:v>
      </x:c>
      <x:c r="D17" s="195" t="n">
        <x:v>0</x:v>
      </x:c>
      <x:c r="E17" s="196" t="n">
        <x:v>0</x:v>
      </x:c>
      <x:c r="F17" s="196">
        <x:v>0</x:v>
      </x:c>
      <x:c r="G17" s="197">
        <x:v>0</x:v>
      </x:c>
    </x:row>
    <x:row r="18" spans="1:13" ht="12.9" thickBot="1" x14ac:dyDescent="0.35">
      <x:c r="D18" s="198" t="n">
        <x:v>325209175</x:v>
      </x:c>
      <x:c r="E18" s="198" t="n">
        <x:v>174</x:v>
      </x:c>
      <x:c r="F18" s="198">
        <x:v>0</x:v>
      </x:c>
      <x:c r="G18" s="198">
        <x:v>0</x:v>
      </x:c>
    </x:row>
    <x:row r="19" spans="1:13" ht="12.9" thickBot="1" x14ac:dyDescent="0.35"/>
    <x:row r="20" spans="1:13" ht="12.9" thickBot="1" x14ac:dyDescent="0.3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01" t="s">
        <x:v>2</x:v>
      </x:c>
      <x:c r="C21" s="174">
        <x:v>1</x:v>
      </x:c>
      <x:c r="D21" s="277" t="n">
        <x:v>370866743</x:v>
      </x:c>
      <x:c r="E21" s="282" t="n">
        <x:v>1689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3">
      <x:c r="B22" s="166"/>
      <x:c r="C22" s="178">
        <x:v>2</x:v>
      </x:c>
      <x:c r="D22" s="278" t="n">
        <x:v>971950730</x:v>
      </x:c>
      <x:c r="E22" s="283" t="n">
        <x:v>4018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3">
      <x:c r="B23" s="166"/>
      <x:c r="C23" s="178">
        <x:v>3</x:v>
      </x:c>
      <x:c r="D23" s="278" t="n">
        <x:v>437110235</x:v>
      </x:c>
      <x:c r="E23" s="283" t="n">
        <x:v>1387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3">
      <x:c r="B24" s="166"/>
      <x:c r="C24" s="178">
        <x:v>4</x:v>
      </x:c>
      <x:c r="D24" s="278" t="n">
        <x:v>599663169</x:v>
      </x:c>
      <x:c r="E24" s="283" t="n">
        <x:v>2600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3">
      <x:c r="B25" s="166"/>
      <x:c r="C25" s="178">
        <x:v>5</x:v>
      </x:c>
      <x:c r="D25" s="278" t="n">
        <x:v>175905753</x:v>
      </x:c>
      <x:c r="E25" s="283" t="n">
        <x:v>1187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2.9" thickBot="1" x14ac:dyDescent="0.35">
      <x:c r="C26" s="284" t="s">
        <x:v>89</x:v>
      </x:c>
      <x:c r="D26" s="285" t="n">
        <x:v>0</x:v>
      </x:c>
      <x:c r="E26" s="283" t="n">
        <x:v>0</x:v>
      </x:c>
      <x:c r="F26" s="180">
        <x:v>0</x:v>
      </x:c>
      <x:c r="G26" s="181">
        <x:v>0</x:v>
      </x:c>
      <x:c r="I26" s="202">
        <x:v>0</x:v>
      </x:c>
      <x:c r="J26" s="203">
        <x:v>0</x:v>
      </x:c>
    </x:row>
    <x:row r="27" spans="1:13" ht="12.9" thickBot="1" x14ac:dyDescent="0.35">
      <x:c r="D27" s="186" t="n">
        <x:v>2555496630</x:v>
      </x:c>
      <x:c r="E27" s="186" t="n">
        <x:v>10881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3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45" x14ac:dyDescent="0.3"/>
  <x:cols>
    <x:col min="1" max="1" width="6" customWidth="1"/>
    <x:col min="2" max="2" width="47.84375" bestFit="1" customWidth="1"/>
    <x:col min="3" max="9" width="22.69140625" customWidth="1"/>
    <x:col min="10" max="10" width="17.84375" customWidth="1"/>
  </x:cols>
  <x:sheetData>
    <x:row r="1" spans="1:10" x14ac:dyDescent="0.3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3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3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3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3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3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3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3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3">
      <x:c r="B10" s="97" t="s">
        <x:v>99</x:v>
      </x:c>
      <x:c r="H10" s="212"/>
    </x:row>
    <x:row r="11" spans="1:10" x14ac:dyDescent="0.3">
      <x:c r="B11" s="114" t="s">
        <x:v>96</x:v>
      </x:c>
    </x:row>
    <x:row r="12" spans="1:10" x14ac:dyDescent="0.3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3">
      <x:c r="B13" t="s">
        <x:v>97</x:v>
      </x:c>
      <x:c r="C13" s="244" t="n">
        <x:v>14481337615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351466052.78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3">
      <x:c r="B14" s="89" t="s">
        <x:v>98</x:v>
      </x:c>
      <x:c r="C14" s="244" t="n">
        <x:v>29606547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17250690.22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3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2150000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3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3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3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3">
      <x:c r="C19" s="143"/>
      <x:c r="D19" s="212"/>
      <x:c r="I19" s="212"/>
    </x:row>
    <x:row r="20" spans="2:11" x14ac:dyDescent="0.3">
      <x:c r="B20" t="s">
        <x:v>100</x:v>
      </x:c>
    </x:row>
    <x:row r="21" spans="2:11" x14ac:dyDescent="0.3">
      <x:c r="B21" s="114" t="s">
        <x:v>96</x:v>
      </x:c>
    </x:row>
    <x:row r="22" spans="2:11" x14ac:dyDescent="0.3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3">
      <x:c r="B23" t="s">
        <x:v>97</x:v>
      </x:c>
      <x:c r="C23" s="244" t="n">
        <x:v>10286935425.87</x:v>
      </x:c>
      <x:c r="D23" s="244">
        <x:v>0</x:v>
      </x:c>
      <x:c r="E23" s="244">
        <x:v>0</x:v>
      </x:c>
      <x:c r="F23" s="244">
        <x:v>0</x:v>
      </x:c>
      <x:c r="G23" s="244">
        <x:v>0</x:v>
      </x:c>
      <x:c r="H23" s="244" t="n">
        <x:v>924037603.39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3">
      <x:c r="B24" s="89" t="s">
        <x:v>98</x:v>
      </x:c>
      <x:c r="C24" s="244" t="n">
        <x:v>22325147.13</x:v>
      </x:c>
      <x:c r="D24" s="244">
        <x:v>0</x:v>
      </x:c>
      <x:c r="E24" s="244">
        <x:v>0</x:v>
      </x:c>
      <x:c r="F24" s="244">
        <x:v>0</x:v>
      </x:c>
      <x:c r="G24" s="244">
        <x:v>0</x:v>
      </x:c>
      <x:c r="H24" s="244" t="n">
        <x:v>29950514.97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3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>
        <x:v>0</x:v>
      </x:c>
      <x:c r="G25" s="244">
        <x:v>0</x:v>
      </x:c>
      <x:c r="H25" s="244" t="n">
        <x:v>17962611.64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3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3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3">
      <x:c r="B29" t="s">
        <x:v>101</x:v>
      </x:c>
      <x:c r="H29" s="212"/>
      <x:c r="I29" s="212"/>
    </x:row>
    <x:row r="30" spans="2:11" x14ac:dyDescent="0.3">
      <x:c r="B30" s="114" t="s">
        <x:v>96</x:v>
      </x:c>
    </x:row>
    <x:row r="31" spans="2:11" x14ac:dyDescent="0.3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3">
      <x:c r="B32" s="89" t="s">
        <x:v>97</x:v>
      </x:c>
      <x:c r="C32" s="244" t="n">
        <x:v>8398576932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431521625.29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3">
      <x:c r="B33" s="89" t="s">
        <x:v>98</x:v>
      </x:c>
      <x:c r="C33" s="244" t="n">
        <x:v>8845080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4909289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3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679320.71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3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3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3">
      <x:c r="B38" t="s">
        <x:v>102</x:v>
      </x:c>
    </x:row>
    <x:row r="39" spans="2:10" x14ac:dyDescent="0.3">
      <x:c r="B39" s="114" t="s">
        <x:v>96</x:v>
      </x:c>
    </x:row>
    <x:row r="40" spans="2:10" x14ac:dyDescent="0.3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3">
      <x:c r="B41" s="89" t="s">
        <x:v>97</x:v>
      </x:c>
      <x:c r="C41" s="244" t="n">
        <x:v>9890363914</x:v>
      </x:c>
      <x:c r="D41" s="244">
        <x:v>0</x:v>
      </x:c>
      <x:c r="E41" s="244">
        <x:v>0</x:v>
      </x:c>
      <x:c r="F41" s="244">
        <x:v>0</x:v>
      </x:c>
      <x:c r="G41" s="244">
        <x:v>0</x:v>
      </x:c>
      <x:c r="H41" s="244" t="n">
        <x:v>567677879.85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3">
      <x:c r="B42" s="89" t="s">
        <x:v>98</x:v>
      </x:c>
      <x:c r="C42" s="244" t="n">
        <x:v>42284806</x:v>
      </x:c>
      <x:c r="D42" s="244">
        <x:v>0</x:v>
      </x:c>
      <x:c r="E42" s="244">
        <x:v>0</x:v>
      </x:c>
      <x:c r="F42" s="244">
        <x:v>0</x:v>
      </x:c>
      <x:c r="G42" s="244">
        <x:v>0</x:v>
      </x:c>
      <x:c r="H42" s="244" t="n">
        <x:v>7416134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3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>
        <x:v>0</x:v>
      </x:c>
      <x:c r="G43" s="244">
        <x:v>0</x:v>
      </x:c>
      <x:c r="H43" s="244" t="n">
        <x:v>24569155.15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3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3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3">
      <x:c r="B46" s="89"/>
      <x:c r="C46" s="113"/>
      <x:c r="D46" s="113"/>
      <x:c r="E46" s="113"/>
      <x:c r="F46" s="113"/>
      <x:c r="G46" s="113"/>
      <x:c r="H46" s="113"/>
    </x:row>
    <x:row r="47" spans="2:10" x14ac:dyDescent="0.3">
      <x:c r="F47" s="212"/>
      <x:c r="G47" s="212"/>
    </x:row>
    <x:row r="48" spans="2:10" x14ac:dyDescent="0.3">
      <x:c r="B48" t="s">
        <x:v>103</x:v>
      </x:c>
    </x:row>
    <x:row r="49" spans="2:10" x14ac:dyDescent="0.3">
      <x:c r="B49" s="114" t="s">
        <x:v>96</x:v>
      </x:c>
    </x:row>
    <x:row r="50" spans="2:10" x14ac:dyDescent="0.3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3">
      <x:c r="B51" t="s">
        <x:v>97</x:v>
      </x:c>
      <x:c r="C51" s="590" t="n">
        <x:v>7243649125</x:v>
      </x:c>
      <x:c r="D51" s="244">
        <x:v>0</x:v>
      </x:c>
      <x:c r="E51" s="244">
        <x:v>0</x:v>
      </x:c>
      <x:c r="F51" s="244">
        <x:v>0</x:v>
      </x:c>
      <x:c r="G51" s="244" t="n">
        <x:v>139510580</x:v>
      </x:c>
      <x:c r="H51" s="590" t="n">
        <x:v>173353067.24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3">
      <x:c r="B52" s="89" t="s">
        <x:v>98</x:v>
      </x:c>
      <x:c r="C52" s="590" t="n">
        <x:v>5249580</x:v>
      </x:c>
      <x:c r="D52" s="244">
        <x:v>0</x:v>
      </x:c>
      <x:c r="E52" s="244">
        <x:v>0</x:v>
      </x:c>
      <x:c r="F52" s="244">
        <x:v>0</x:v>
      </x:c>
      <x:c r="G52" s="244" t="n">
        <x:v>914180</x:v>
      </x:c>
      <x:c r="H52" s="590" t="n">
        <x:v>2432240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3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120445.76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3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3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3">
      <x:c r="H57" s="212"/>
      <x:c r="I57" s="212"/>
    </x:row>
    <x:row r="58" spans="2:10" x14ac:dyDescent="0.3">
      <x:c r="F58" s="212"/>
      <x:c r="G58" s="212"/>
      <x:c r="H58" s="212"/>
      <x:c r="I58" s="212"/>
    </x:row>
    <x:row r="59" spans="2:10" x14ac:dyDescent="0.3">
      <x:c r="B59" s="743" t="s">
        <x:v>333</x:v>
      </x:c>
      <x:c r="C59" s="209" t="n">
        <x:v>1</x:v>
      </x:c>
      <x:c r="D59" s="744" t="s">
        <x:v>334</x:v>
      </x:c>
      <x:c r="H59" s="167"/>
    </x:row>
    <x:row r="60" spans="2:10" x14ac:dyDescent="0.3">
      <x:c r="H60" s="212"/>
    </x:row>
    <x:row r="61" spans="2:10" x14ac:dyDescent="0.3">
      <x:c r="B61" t="s">
        <x:v>1</x:v>
      </x:c>
      <x:c r="C61" s="143"/>
      <x:c r="E61" s="142"/>
    </x:row>
    <x:row r="62" spans="2:10" x14ac:dyDescent="0.3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3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3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3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3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3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3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3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3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3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3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3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3">
      <x:c r="C74" s="167"/>
    </x:row>
    <x:row r="75" spans="2:7" x14ac:dyDescent="0.3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3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3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3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3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45" x14ac:dyDescent="0.3"/>
  <x:cols>
    <x:col min="1" max="1" width="3.3828125" customWidth="1"/>
    <x:col min="2" max="2" width="20.84375" bestFit="1" customWidth="1"/>
    <x:col min="3" max="3" width="13.15234375" bestFit="1" customWidth="1"/>
    <x:col min="4" max="6" width="12.84375" bestFit="1" customWidth="1"/>
    <x:col min="7" max="7" width="12.53515625" customWidth="1"/>
    <x:col min="8" max="14" width="12.84375" bestFit="1" customWidth="1"/>
    <x:col min="16" max="16" width="12.84375" bestFit="1" customWidth="1"/>
  </x:cols>
  <x:sheetData>
    <x:row r="1" spans="1:16" ht="12.9" thickBot="1" x14ac:dyDescent="0.35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3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3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2.9" thickBot="1" x14ac:dyDescent="0.3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2.9" thickBot="1" x14ac:dyDescent="0.3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3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3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6" x14ac:dyDescent="0.4">
      <x:c r="B8" s="208" t="s">
        <x:v>148</x:v>
      </x:c>
      <x:c r="C8" s="209"/>
    </x:row>
    <x:row r="9" spans="1:16" x14ac:dyDescent="0.3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3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3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3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3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3">
      <x:c r="E14" s="212"/>
    </x:row>
    <x:row r="16" spans="1:16" ht="14.6" x14ac:dyDescent="0.4">
      <x:c r="B16" s="208" t="s">
        <x:v>153</x:v>
      </x:c>
      <x:c r="C16" s="209"/>
    </x:row>
    <x:row r="17" spans="2:14" x14ac:dyDescent="0.3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3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3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3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3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6" x14ac:dyDescent="0.4">
      <x:c r="B24" s="208" t="s">
        <x:v>154</x:v>
      </x:c>
      <x:c r="C24" s="209"/>
    </x:row>
    <x:row r="25" spans="2:14" x14ac:dyDescent="0.3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3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3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3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3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3">
      <x:c r="B32" s="209" t="s">
        <x:v>155</x:v>
      </x:c>
    </x:row>
    <x:row r="33" spans="2:14" x14ac:dyDescent="0.3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3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3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3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3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3">
      <x:c r="L39" s="212"/>
    </x:row>
    <x:row r="40" spans="2:14" x14ac:dyDescent="0.3">
      <x:c r="B40" s="742" t="s">
        <x:v>326</x:v>
      </x:c>
    </x:row>
    <x:row r="41" spans="2:14" x14ac:dyDescent="0.3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3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3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3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3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45" x14ac:dyDescent="0.3"/>
  <x:cols>
    <x:col min="1" max="1" width="2.3828125" customWidth="1"/>
    <x:col min="2" max="2" width="8" customWidth="1"/>
    <x:col min="3" max="3" width="15.84375" bestFit="1" customWidth="1"/>
    <x:col min="4" max="4" width="1.84375" style="238" customWidth="1"/>
    <x:col min="5" max="5" width="14.84375" customWidth="1"/>
    <x:col min="6" max="6" width="15.84375" bestFit="1" customWidth="1"/>
    <x:col min="7" max="7" width="1.84375" style="238" customWidth="1"/>
    <x:col min="8" max="8" width="9.15234375" customWidth="1"/>
    <x:col min="9" max="9" width="15.84375" bestFit="1" customWidth="1"/>
    <x:col min="10" max="10" width="1.84375" style="238" customWidth="1"/>
    <x:col min="11" max="11" width="14.15234375" customWidth="1"/>
    <x:col min="12" max="12" width="17.3828125" customWidth="1"/>
    <x:col min="13" max="13" width="1.84375" style="238" customWidth="1"/>
    <x:col min="14" max="14" width="14.15234375" customWidth="1"/>
    <x:col min="15" max="15" width="17.3828125" customWidth="1"/>
    <x:col min="16" max="16" width="1.84375" style="238" customWidth="1"/>
    <x:col min="17" max="17" width="20.15234375" customWidth="1"/>
    <x:col min="18" max="18" width="15.84375" bestFit="1" customWidth="1"/>
    <x:col min="19" max="19" width="3.53515625" customWidth="1"/>
    <x:col min="20" max="20" width="48.3828125" bestFit="1" customWidth="1"/>
  </x:cols>
  <x:sheetData>
    <x:row r="1" spans="2:20" ht="12.9" thickBot="1" x14ac:dyDescent="0.3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5.15" thickBot="1" x14ac:dyDescent="0.3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3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3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3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3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2.9" thickBot="1" x14ac:dyDescent="0.3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2.9" thickBot="1" x14ac:dyDescent="0.3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3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2.9" thickBot="1" x14ac:dyDescent="0.35"/>
    <x:row r="11" spans="2:20" ht="46.75" thickBot="1" x14ac:dyDescent="0.3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3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3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3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3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2.9" thickBot="1" x14ac:dyDescent="0.3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2.9" thickBot="1" x14ac:dyDescent="0.3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3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2.9" thickBot="1" x14ac:dyDescent="0.35"/>
    <x:row r="20" spans="2:20" ht="35.15" thickBot="1" x14ac:dyDescent="0.3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3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3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3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3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2.9" thickBot="1" x14ac:dyDescent="0.3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2.9" thickBot="1" x14ac:dyDescent="0.3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3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45" x14ac:dyDescent="0.3"/>
  <x:cols>
    <x:col min="3" max="3" width="11.3828125" style="123"/>
    <x:col min="4" max="4" width="19.15234375" customWidth="1"/>
    <x:col min="5" max="5" width="18.15234375" customWidth="1"/>
    <x:col min="6" max="7" width="18" customWidth="1"/>
    <x:col min="8" max="8" width="27.84375" customWidth="1"/>
    <x:col min="9" max="9" width="33.53515625" customWidth="1"/>
    <x:col min="13" max="13" width="28.3828125" customWidth="1"/>
    <x:col min="17" max="17" width="12.84375" bestFit="1" customWidth="1"/>
  </x:cols>
  <x:sheetData>
    <x:row r="1" spans="1:17" ht="12.9" thickBot="1" x14ac:dyDescent="0.35">
      <x:c r="H1" s="503" t="s">
        <x:v>1</x:v>
      </x:c>
    </x:row>
    <x:row r="2" spans="1:17" ht="15" thickBot="1" x14ac:dyDescent="0.4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3">
      <x:c r="C3" s="126">
        <x:v>1</x:v>
      </x:c>
      <x:c r="D3" s="592" t="n">
        <x:v>-1328072948.1</x:v>
      </x:c>
      <x:c r="E3" s="592" t="n">
        <x:v>3482023776.26</x:v>
      </x:c>
      <x:c r="F3" s="593">
        <x:f>D3+E3</x:f>
        <x:v>0</x:v>
      </x:c>
      <x:c r="G3" s="499"/>
      <x:c r="H3" s="612">
        <x:f>DetRetri2026101!J9</x:f>
        <x:v>0</x:v>
      </x:c>
      <x:c r="I3" s="276">
        <x:f>F3-H3</x:f>
        <x:v>0</x:v>
      </x:c>
    </x:row>
    <x:row r="4" spans="1:17" x14ac:dyDescent="0.3">
      <x:c r="C4" s="124">
        <x:v>2</x:v>
      </x:c>
      <x:c r="D4" s="602" t="n">
        <x:v>-6051831964.45</x:v>
      </x:c>
      <x:c r="E4" s="602" t="n">
        <x:v>1834686437.54</x:v>
      </x:c>
      <x:c r="F4" s="593">
        <x:f>D4+E4</x:f>
        <x:v>0</x:v>
      </x:c>
      <x:c r="G4" s="499"/>
      <x:c r="H4" s="613">
        <x:f>DetRetri2026101!J10</x:f>
        <x:v>0</x:v>
      </x:c>
      <x:c r="I4" s="276">
        <x:f t="shared" ref="I4:I7" si="0">F4-H4</x:f>
        <x:v>0</x:v>
      </x:c>
    </x:row>
    <x:row r="5" spans="1:17" x14ac:dyDescent="0.3">
      <x:c r="C5" s="124">
        <x:v>3</x:v>
      </x:c>
      <x:c r="D5" s="602" t="n">
        <x:v>-3105003372.71</x:v>
      </x:c>
      <x:c r="E5" s="602" t="n">
        <x:v>1816197035.62</x:v>
      </x:c>
      <x:c r="F5" s="593">
        <x:f>D5+E5</x:f>
        <x:v>0</x:v>
      </x:c>
      <x:c r="G5" s="499"/>
      <x:c r="H5" s="613">
        <x:f>DetRetri2026101!J11</x:f>
        <x:v>0</x:v>
      </x:c>
      <x:c r="I5" s="276">
        <x:f t="shared" si="0"/>
        <x:v>0</x:v>
      </x:c>
    </x:row>
    <x:row r="6" spans="1:17" x14ac:dyDescent="0.3">
      <x:c r="C6" s="124">
        <x:v>4</x:v>
      </x:c>
      <x:c r="D6" s="602" t="n">
        <x:v>-369325603.58</x:v>
      </x:c>
      <x:c r="E6" s="602" t="n">
        <x:v>430857557.27</x:v>
      </x:c>
      <x:c r="F6" s="593">
        <x:f>D6+E6</x:f>
        <x:v>0</x:v>
      </x:c>
      <x:c r="G6" s="499"/>
      <x:c r="H6" s="613">
        <x:f>DetRetri2026101!J12</x:f>
        <x:v>0</x:v>
      </x:c>
      <x:c r="I6" s="276">
        <x:f t="shared" si="0"/>
        <x:v>0</x:v>
      </x:c>
    </x:row>
    <x:row r="7" spans="1:17" ht="12.9" thickBot="1" x14ac:dyDescent="0.35">
      <x:c r="C7" s="125">
        <x:v>5</x:v>
      </x:c>
      <x:c r="D7" s="603" t="n">
        <x:v>-2387606939.31</x:v>
      </x:c>
      <x:c r="E7" s="603" t="n">
        <x:v>1141133844.9</x:v>
      </x:c>
      <x:c r="F7" s="594">
        <x:f>D7+E7</x:f>
        <x:v>0</x:v>
      </x:c>
      <x:c r="G7" s="499"/>
      <x:c r="H7" s="614">
        <x:f>DetRetri2026101!J13</x:f>
        <x:v>0</x:v>
      </x:c>
      <x:c r="I7" s="276">
        <x:f t="shared" si="0"/>
        <x:v>0</x:v>
      </x:c>
    </x:row>
    <x:row r="8" spans="1:17" ht="12.9" thickBot="1" x14ac:dyDescent="0.35">
      <x:c r="D8" s="144"/>
      <x:c r="E8" s="144"/>
      <x:c r="F8" s="144"/>
      <x:c r="G8" s="500"/>
      <x:c r="H8" s="143"/>
      <x:c r="I8" s="276"/>
    </x:row>
    <x:row r="9" spans="1:17" ht="12.9" thickBot="1" x14ac:dyDescent="0.3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2.9" thickBot="1" x14ac:dyDescent="0.35">
      <x:c r="D10" s="144"/>
      <x:c r="E10" s="144"/>
      <x:c r="F10" s="144"/>
      <x:c r="G10" s="500"/>
      <x:c r="H10" s="265" t="b">
        <x:f>H9=DetRetri2026101!J14</x:f>
        <x:v>1</x:v>
      </x:c>
    </x:row>
    <x:row r="11" spans="1:17" ht="12.9" thickBot="1" x14ac:dyDescent="0.3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3">
      <x:c r="D12" s="144"/>
      <x:c r="E12" s="144"/>
      <x:c r="F12" s="265" t="b">
        <x:f>ROUND(F11,2)=ROUND(F9,2)</x:f>
        <x:v>1</x:v>
      </x:c>
      <x:c r="H12" s="144"/>
    </x:row>
    <x:row r="13" spans="1:17" x14ac:dyDescent="0.3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3">
      <x:c r="H14" s="143"/>
      <x:c r="I14" s="137"/>
    </x:row>
    <x:row r="15" spans="1:17" x14ac:dyDescent="0.3">
      <x:c r="H15" s="143"/>
      <x:c r="I15" s="137"/>
    </x:row>
    <x:row r="16" spans="1:17" x14ac:dyDescent="0.3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2.9" thickBot="1" x14ac:dyDescent="0.35">
      <x:c r="D17" s="266"/>
      <x:c r="E17" s="266"/>
      <x:c r="F17" s="266"/>
      <x:c r="G17" s="266"/>
      <x:c r="H17" s="143"/>
      <x:c r="I17" s="137"/>
    </x:row>
    <x:row r="18" spans="4:9" ht="15" thickBot="1" x14ac:dyDescent="0.4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3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3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3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3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2.9" thickBot="1" x14ac:dyDescent="0.3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2.9" thickBot="1" x14ac:dyDescent="0.3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3">
      <x:c r="F26" s="137"/>
    </x:row>
    <x:row r="28" spans="4:9" x14ac:dyDescent="0.3">
      <x:c r="F28" s="266"/>
    </x:row>
    <x:row r="29" spans="4:9" x14ac:dyDescent="0.3">
      <x:c r="F29" s="266"/>
    </x:row>
    <x:row r="30" spans="4:9" x14ac:dyDescent="0.3">
      <x:c r="F30" s="266"/>
    </x:row>
    <x:row r="31" spans="4:9" x14ac:dyDescent="0.3">
      <x:c r="F31" s="266"/>
    </x:row>
    <x:row r="32" spans="4:9" x14ac:dyDescent="0.3">
      <x:c r="F32" s="266"/>
    </x:row>
    <x:row r="33" spans="6:7" x14ac:dyDescent="0.3">
      <x:c r="F33" s="266"/>
    </x:row>
    <x:row r="34" spans="6:7" x14ac:dyDescent="0.3">
      <x:c r="F34" s="266"/>
      <x:c r="G34" s="137"/>
    </x:row>
    <x:row r="35" spans="6:7" x14ac:dyDescent="0.3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50" zoomScaleNormal="50" workbookViewId="0">
      <x:pane ySplit="5" topLeftCell="A689" activePane="bottomLeft" state="frozen"/>
      <x:selection activeCell="D22" sqref="D22"/>
      <x:selection pane="bottomLeft" activeCell="G702" sqref="G702"/>
    </x:sheetView>
  </x:sheetViews>
  <x:sheetFormatPr baseColWidth="10" defaultRowHeight="12.45" x14ac:dyDescent="0.3"/>
  <x:cols>
    <x:col min="1" max="1" width="13.84375" customWidth="1"/>
    <x:col min="2" max="2" width="16.84375" customWidth="1"/>
    <x:col min="3" max="3" width="15.84375" bestFit="1" customWidth="1"/>
    <x:col min="4" max="4" width="16.84375" bestFit="1" customWidth="1"/>
    <x:col min="5" max="5" width="17" bestFit="1" customWidth="1"/>
    <x:col min="6" max="6" width="17.3828125" bestFit="1" customWidth="1"/>
    <x:col min="7" max="7" width="16.84375" bestFit="1" customWidth="1"/>
    <x:col min="8" max="8" width="16.15234375" bestFit="1" customWidth="1"/>
    <x:col min="9" max="9" width="19.15234375" customWidth="1"/>
    <x:col min="10" max="10" width="17" customWidth="1"/>
    <x:col min="11" max="11" width="17.15234375" bestFit="1" customWidth="1"/>
    <x:col min="12" max="12" width="22.3828125" bestFit="1" customWidth="1"/>
    <x:col min="13" max="13" width="16.84375" bestFit="1" customWidth="1"/>
    <x:col min="14" max="14" width="20.3828125" bestFit="1" customWidth="1"/>
    <x:col min="15" max="15" width="20.3828125" customWidth="1"/>
    <x:col min="16" max="16" width="20.3828125" bestFit="1" customWidth="1"/>
    <x:col min="17" max="17" width="25.15234375" customWidth="1"/>
    <x:col min="18" max="18" width="17.15234375" customWidth="1"/>
    <x:col min="19" max="19" width="24" customWidth="1"/>
    <x:col min="20" max="22" width="23.84375" customWidth="1"/>
    <x:col min="23" max="24" width="20" bestFit="1" customWidth="1"/>
    <x:col min="25" max="25" width="18.84375" customWidth="1"/>
    <x:col min="26" max="26" width="14.15234375" bestFit="1" customWidth="1"/>
  </x:cols>
  <x:sheetData>
    <x:row r="1" spans="2:26" x14ac:dyDescent="0.3">
      <x:c r="F1" s="638"/>
    </x:row>
    <x:row r="3" spans="2:26" s="238" customFormat="1" x14ac:dyDescent="0.3"/>
    <x:row r="4" spans="2:26" ht="13.5" customHeight="1" x14ac:dyDescent="0.3">
      <x:c r="B4" s="97" t="s">
        <x:v>74</x:v>
      </x:c>
    </x:row>
    <x:row r="5" spans="2:26" ht="12" customHeight="1" x14ac:dyDescent="0.3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3">
      <x:c r="E6" t="s">
        <x:v>72</x:v>
      </x:c>
      <x:c r="F6" s="90" t="n">
        <x:v>-2015.07</x:v>
      </x:c>
      <x:c r="G6" s="90" t="n">
        <x:v>-122.1</x:v>
      </x:c>
      <x:c r="H6" s="90" t="n">
        <x:v>-51.87</x:v>
      </x:c>
      <x:c r="I6" s="90" t="n">
        <x:v>-22.65</x:v>
      </x:c>
      <x:c r="J6" s="90" t="n">
        <x:v>-369.44</x:v>
      </x:c>
      <x:c r="K6" s="90" t="n">
        <x:v>-23.88</x:v>
      </x:c>
      <x:c r="L6" s="90" t="n">
        <x:v>0</x:v>
      </x:c>
      <x:c r="M6" s="90" t="n">
        <x:v>-209.4</x:v>
      </x:c>
      <x:c r="N6" s="90" t="n">
        <x:v>-175.25</x:v>
      </x:c>
      <x:c r="O6" s="90" t="n">
        <x:v>-699.55</x:v>
      </x:c>
      <x:c r="P6" s="90" t="n">
        <x:v>-301.98</x:v>
      </x:c>
      <x:c r="Q6" s="90" t="n">
        <x:v>-38.95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3">
      <x:c r="D7" t="s">
        <x:v>156</x:v>
      </x:c>
      <x:c r="E7" t="s">
        <x:v>70</x:v>
      </x:c>
      <x:c r="F7" s="90" t="n">
        <x:v>-2015.07</x:v>
      </x:c>
      <x:c r="G7" s="90" t="n">
        <x:v>-122.1</x:v>
      </x:c>
      <x:c r="H7" s="90" t="n">
        <x:v>-51.87</x:v>
      </x:c>
      <x:c r="I7" s="90" t="n">
        <x:v>-22.65</x:v>
      </x:c>
      <x:c r="J7" s="90" t="n">
        <x:v>-369.44</x:v>
      </x:c>
      <x:c r="K7" s="90" t="n">
        <x:v>-23.88</x:v>
      </x:c>
      <x:c r="L7" s="90" t="n">
        <x:v>0</x:v>
      </x:c>
      <x:c r="M7" s="90" t="n">
        <x:v>-209.4</x:v>
      </x:c>
      <x:c r="N7" s="90" t="n">
        <x:v>-175.25</x:v>
      </x:c>
      <x:c r="O7" s="90" t="n">
        <x:v>-699.55</x:v>
      </x:c>
      <x:c r="P7" s="90" t="n">
        <x:v>-301.98</x:v>
      </x:c>
      <x:c r="Q7" s="90" t="n">
        <x:v>-38.95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3">
      <x:c r="C8" s="286" t="s">
        <x:v>155</x:v>
      </x:c>
      <x:c r="D8" s="286" t="s">
        <x:v>70</x:v>
      </x:c>
      <x:c r="F8" s="230" t="n">
        <x:v>-2015.07</x:v>
      </x:c>
      <x:c r="G8" s="230" t="n">
        <x:v>-122.1</x:v>
      </x:c>
      <x:c r="H8" s="230" t="n">
        <x:v>-51.87</x:v>
      </x:c>
      <x:c r="I8" s="230" t="n">
        <x:v>-22.65</x:v>
      </x:c>
      <x:c r="J8" s="230" t="n">
        <x:v>-369.44</x:v>
      </x:c>
      <x:c r="K8" s="230" t="n">
        <x:v>-23.88</x:v>
      </x:c>
      <x:c r="L8" s="230" t="n">
        <x:v>0</x:v>
      </x:c>
      <x:c r="M8" s="230" t="n">
        <x:v>-209.4</x:v>
      </x:c>
      <x:c r="N8" s="230" t="n">
        <x:v>-175.25</x:v>
      </x:c>
      <x:c r="O8" s="230" t="n">
        <x:v>-699.55</x:v>
      </x:c>
      <x:c r="P8" s="230" t="n">
        <x:v>-301.98</x:v>
      </x:c>
      <x:c r="Q8" s="230" t="n">
        <x:v>-38.95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3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3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3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3">
      <x:c r="D12" t="s">
        <x:v>86</x:v>
      </x:c>
      <x:c r="E12" s="89" t="s">
        <x:v>70</x:v>
      </x:c>
      <x:c r="F12" s="371">
        <x:v>0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3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3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3">
      <x:c r="C15" s="101" t="s">
        <x:v>119</x:v>
      </x:c>
      <x:c r="D15" s="101" t="s">
        <x:v>70</x:v>
      </x:c>
      <x:c r="F15" s="93">
        <x:v>0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3">
      <x:c r="B16" t="s">
        <x:v>112</x:v>
      </x:c>
      <x:c r="C16" t="s">
        <x:v>70</x:v>
      </x:c>
      <x:c r="E16" s="89"/>
      <x:c r="F16" s="371" t="n">
        <x:v>-2015.07</x:v>
      </x:c>
      <x:c r="G16" s="90" t="n">
        <x:v>-122.1</x:v>
      </x:c>
      <x:c r="H16" s="90" t="n">
        <x:v>-51.87</x:v>
      </x:c>
      <x:c r="I16" s="90" t="n">
        <x:v>-22.65</x:v>
      </x:c>
      <x:c r="J16" s="90" t="n">
        <x:v>-369.44</x:v>
      </x:c>
      <x:c r="K16" s="90" t="n">
        <x:v>-23.88</x:v>
      </x:c>
      <x:c r="L16" s="90" t="n">
        <x:v>0</x:v>
      </x:c>
      <x:c r="M16" s="90" t="n">
        <x:v>-209.4</x:v>
      </x:c>
      <x:c r="N16" s="90" t="n">
        <x:v>-175.25</x:v>
      </x:c>
      <x:c r="O16" s="90" t="n">
        <x:v>-699.55</x:v>
      </x:c>
      <x:c r="P16" s="90" t="n">
        <x:v>-301.98</x:v>
      </x:c>
      <x:c r="Q16" s="90" t="n">
        <x:v>-38.95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3">
      <x:c r="A17" s="458" t="s">
        <x:v>186</x:v>
      </x:c>
      <x:c r="B17" s="458" t="s">
        <x:v>70</x:v>
      </x:c>
      <x:c r="F17" s="458" t="n">
        <x:v>-2015.07</x:v>
      </x:c>
      <x:c r="G17" s="458" t="n">
        <x:v>-122.1</x:v>
      </x:c>
      <x:c r="H17" s="458" t="n">
        <x:v>-51.87</x:v>
      </x:c>
      <x:c r="I17" s="458" t="n">
        <x:v>-22.65</x:v>
      </x:c>
      <x:c r="J17" s="458" t="n">
        <x:v>-369.44</x:v>
      </x:c>
      <x:c r="K17" s="458" t="n">
        <x:v>-23.88</x:v>
      </x:c>
      <x:c r="L17" s="458" t="n">
        <x:v>0</x:v>
      </x:c>
      <x:c r="M17" s="458" t="n">
        <x:v>-209.4</x:v>
      </x:c>
      <x:c r="N17" s="458" t="n">
        <x:v>-175.25</x:v>
      </x:c>
      <x:c r="O17" s="458" t="n">
        <x:v>-699.55</x:v>
      </x:c>
      <x:c r="P17" s="458" t="n">
        <x:v>-301.98</x:v>
      </x:c>
      <x:c r="Q17" s="458" t="n">
        <x:v>-38.95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3">
      <x:c r="E18" t="s">
        <x:v>72</x:v>
      </x:c>
      <x:c r="F18" s="90" t="n">
        <x:v>543996.54</x:v>
      </x:c>
      <x:c r="G18" s="90" t="n">
        <x:v>23503.13</x:v>
      </x:c>
      <x:c r="H18" s="90" t="n">
        <x:v>13266.51</x:v>
      </x:c>
      <x:c r="I18" s="90" t="n">
        <x:v>6965.01</x:v>
      </x:c>
      <x:c r="J18" s="90" t="n">
        <x:v>119922.22</x:v>
      </x:c>
      <x:c r="K18" s="90" t="n">
        <x:v>5285.43</x:v>
      </x:c>
      <x:c r="L18" s="90" t="n">
        <x:v>0</x:v>
      </x:c>
      <x:c r="M18" s="90" t="n">
        <x:v>46363.01</x:v>
      </x:c>
      <x:c r="N18" s="90" t="n">
        <x:v>44625.42</x:v>
      </x:c>
      <x:c r="O18" s="90" t="n">
        <x:v>211250.82</x:v>
      </x:c>
      <x:c r="P18" s="90" t="n">
        <x:v>64191.45</x:v>
      </x:c>
      <x:c r="Q18" s="90" t="n">
        <x:v>8623.46</x:v>
      </x:c>
      <x:c r="R18" s="90" t="n">
        <x:v>0.08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3">
      <x:c r="E19" t="s">
        <x:v>81</x:v>
      </x:c>
      <x:c r="F19" s="90" t="n">
        <x:v>2063.1</x:v>
      </x:c>
      <x:c r="G19" s="90" t="n">
        <x:v>86.78</x:v>
      </x:c>
      <x:c r="H19" s="90" t="n">
        <x:v>48.91</x:v>
      </x:c>
      <x:c r="I19" s="90" t="n">
        <x:v>25.71</x:v>
      </x:c>
      <x:c r="J19" s="90" t="n">
        <x:v>441.75</x:v>
      </x:c>
      <x:c r="K19" s="90" t="n">
        <x:v>20.42</x:v>
      </x:c>
      <x:c r="L19" s="90" t="n">
        <x:v>0</x:v>
      </x:c>
      <x:c r="M19" s="90" t="n">
        <x:v>179.53</x:v>
      </x:c>
      <x:c r="N19" s="90" t="n">
        <x:v>172.72</x:v>
      </x:c>
      <x:c r="O19" s="90" t="n">
        <x:v>816.93</x:v>
      </x:c>
      <x:c r="P19" s="90" t="n">
        <x:v>236.94</x:v>
      </x:c>
      <x:c r="Q19" s="90" t="n">
        <x:v>33.41</x:v>
      </x:c>
      <x:c r="R19" s="90" t="n">
        <x:v>0</x:v>
      </x:c>
      <x:c r="S19" s="90" t="n">
        <x:v>0</x:v>
      </x:c>
      <x:c r="T19" s="90" t="n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 t="n">
        <x:v>0</x:v>
      </x:c>
    </x:row>
    <x:row r="20" spans="1:26" x14ac:dyDescent="0.3">
      <x:c r="D20" t="s">
        <x:v>156</x:v>
      </x:c>
      <x:c r="E20" t="s">
        <x:v>70</x:v>
      </x:c>
      <x:c r="F20" s="90" t="n">
        <x:v>546059.64</x:v>
      </x:c>
      <x:c r="G20" s="90" t="n">
        <x:v>23589.91</x:v>
      </x:c>
      <x:c r="H20" s="90" t="n">
        <x:v>13315.42</x:v>
      </x:c>
      <x:c r="I20" s="90" t="n">
        <x:v>6990.72</x:v>
      </x:c>
      <x:c r="J20" s="90" t="n">
        <x:v>120363.97</x:v>
      </x:c>
      <x:c r="K20" s="90" t="n">
        <x:v>5305.85</x:v>
      </x:c>
      <x:c r="L20" s="90" t="n">
        <x:v>0</x:v>
      </x:c>
      <x:c r="M20" s="90" t="n">
        <x:v>46542.54</x:v>
      </x:c>
      <x:c r="N20" s="90" t="n">
        <x:v>44798.14</x:v>
      </x:c>
      <x:c r="O20" s="90" t="n">
        <x:v>212067.75</x:v>
      </x:c>
      <x:c r="P20" s="90" t="n">
        <x:v>64428.39</x:v>
      </x:c>
      <x:c r="Q20" s="90" t="n">
        <x:v>8656.87</x:v>
      </x:c>
      <x:c r="R20" s="90" t="n">
        <x:v>0.08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3">
      <x:c r="C21" s="286" t="s">
        <x:v>155</x:v>
      </x:c>
      <x:c r="D21" s="286" t="s">
        <x:v>70</x:v>
      </x:c>
      <x:c r="F21" s="230" t="n">
        <x:v>546059.64</x:v>
      </x:c>
      <x:c r="G21" s="230" t="n">
        <x:v>23589.91</x:v>
      </x:c>
      <x:c r="H21" s="230" t="n">
        <x:v>13315.42</x:v>
      </x:c>
      <x:c r="I21" s="230" t="n">
        <x:v>6990.72</x:v>
      </x:c>
      <x:c r="J21" s="230" t="n">
        <x:v>120363.97</x:v>
      </x:c>
      <x:c r="K21" s="230" t="n">
        <x:v>5305.85</x:v>
      </x:c>
      <x:c r="L21" s="230" t="n">
        <x:v>0</x:v>
      </x:c>
      <x:c r="M21" s="230" t="n">
        <x:v>46542.54</x:v>
      </x:c>
      <x:c r="N21" s="230" t="n">
        <x:v>44798.14</x:v>
      </x:c>
      <x:c r="O21" s="230" t="n">
        <x:v>212067.75</x:v>
      </x:c>
      <x:c r="P21" s="230" t="n">
        <x:v>64428.39</x:v>
      </x:c>
      <x:c r="Q21" s="230" t="n">
        <x:v>8656.87</x:v>
      </x:c>
      <x:c r="R21" s="230" t="n">
        <x:v>0.08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3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3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3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3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3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3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3">
      <x:c r="E28" s="89" t="s">
        <x:v>72</x:v>
      </x:c>
      <x:c r="F28" s="371" t="n">
        <x:v>89870.51</x:v>
      </x:c>
      <x:c r="G28" s="90" t="n">
        <x:v>5626.37</x:v>
      </x:c>
      <x:c r="H28" s="90" t="n">
        <x:v>3138.96</x:v>
      </x:c>
      <x:c r="I28" s="90" t="n">
        <x:v>1667.33</x:v>
      </x:c>
      <x:c r="J28" s="90" t="n">
        <x:v>21034.12</x:v>
      </x:c>
      <x:c r="K28" s="90" t="n">
        <x:v>519.02</x:v>
      </x:c>
      <x:c r="L28" s="90" t="n">
        <x:v>0</x:v>
      </x:c>
      <x:c r="M28" s="90" t="n">
        <x:v>4552.92</x:v>
      </x:c>
      <x:c r="N28" s="90" t="n">
        <x:v>6472.07</x:v>
      </x:c>
      <x:c r="O28" s="90" t="n">
        <x:v>30640.84</x:v>
      </x:c>
      <x:c r="P28" s="90" t="n">
        <x:v>15366.98</x:v>
      </x:c>
      <x:c r="Q28" s="90" t="n">
        <x:v>846.86</x:v>
      </x:c>
      <x:c r="R28" s="90" t="n">
        <x:v>5.04</x:v>
      </x:c>
      <x:c r="S28" s="90" t="n">
        <x:v>0</x:v>
      </x:c>
      <x:c r="T28" s="90" t="n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 t="n">
        <x:v>0</x:v>
      </x:c>
    </x:row>
    <x:row r="29" spans="1:26" x14ac:dyDescent="0.3">
      <x:c r="E29" t="s">
        <x:v>81</x:v>
      </x:c>
      <x:c r="F29" s="90" t="n">
        <x:v>116.92</x:v>
      </x:c>
      <x:c r="G29" s="90" t="n">
        <x:v>7.31</x:v>
      </x:c>
      <x:c r="H29" s="90" t="n">
        <x:v>4.09</x:v>
      </x:c>
      <x:c r="I29" s="90" t="n">
        <x:v>2.17</x:v>
      </x:c>
      <x:c r="J29" s="90" t="n">
        <x:v>27.38</x:v>
      </x:c>
      <x:c r="K29" s="90" t="n">
        <x:v>0.67</x:v>
      </x:c>
      <x:c r="L29" s="90" t="n">
        <x:v>0</x:v>
      </x:c>
      <x:c r="M29" s="90" t="n">
        <x:v>5.91</x:v>
      </x:c>
      <x:c r="N29" s="90" t="n">
        <x:v>8.47</x:v>
      </x:c>
      <x:c r="O29" s="90" t="n">
        <x:v>39.84</x:v>
      </x:c>
      <x:c r="P29" s="90" t="n">
        <x:v>19.98</x:v>
      </x:c>
      <x:c r="Q29" s="90" t="n">
        <x:v>1.1</x:v>
      </x:c>
      <x:c r="R29" s="90" t="n">
        <x:v>0</x:v>
      </x:c>
      <x:c r="S29" s="90" t="n">
        <x:v>0</x:v>
      </x:c>
      <x:c r="T29" s="90" t="n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 t="n">
        <x:v>0</x:v>
      </x:c>
    </x:row>
    <x:row r="30" spans="1:26" ht="12.75" customHeight="1" x14ac:dyDescent="0.3">
      <x:c r="D30" t="s">
        <x:v>87</x:v>
      </x:c>
      <x:c r="E30" s="89" t="s">
        <x:v>70</x:v>
      </x:c>
      <x:c r="F30" s="371" t="n">
        <x:v>89987.43</x:v>
      </x:c>
      <x:c r="G30" s="90" t="n">
        <x:v>5633.68</x:v>
      </x:c>
      <x:c r="H30" s="90" t="n">
        <x:v>3143.05</x:v>
      </x:c>
      <x:c r="I30" s="90" t="n">
        <x:v>1669.5</x:v>
      </x:c>
      <x:c r="J30" s="90" t="n">
        <x:v>21061.5</x:v>
      </x:c>
      <x:c r="K30" s="90" t="n">
        <x:v>519.69</x:v>
      </x:c>
      <x:c r="L30" s="90" t="n">
        <x:v>0</x:v>
      </x:c>
      <x:c r="M30" s="90" t="n">
        <x:v>4558.83</x:v>
      </x:c>
      <x:c r="N30" s="90" t="n">
        <x:v>6480.54</x:v>
      </x:c>
      <x:c r="O30" s="90" t="n">
        <x:v>30680.68</x:v>
      </x:c>
      <x:c r="P30" s="90" t="n">
        <x:v>15386.96</x:v>
      </x:c>
      <x:c r="Q30" s="90" t="n">
        <x:v>847.96</x:v>
      </x:c>
      <x:c r="R30" s="90" t="n">
        <x:v>5.04</x:v>
      </x:c>
      <x:c r="S30" s="90" t="n">
        <x:v>0</x:v>
      </x:c>
      <x:c r="T30" s="90" t="n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 t="n">
        <x:v>0</x:v>
      </x:c>
    </x:row>
    <x:row r="31" spans="1:26" s="94" customFormat="1" ht="12.75" customHeight="1" x14ac:dyDescent="0.3">
      <x:c r="C31" s="101" t="s">
        <x:v>119</x:v>
      </x:c>
      <x:c r="D31" s="101" t="s">
        <x:v>70</x:v>
      </x:c>
      <x:c r="F31" s="93" t="n">
        <x:v>89987.43</x:v>
      </x:c>
      <x:c r="G31" s="93" t="n">
        <x:v>5633.68</x:v>
      </x:c>
      <x:c r="H31" s="93" t="n">
        <x:v>3143.05</x:v>
      </x:c>
      <x:c r="I31" s="93" t="n">
        <x:v>1669.5</x:v>
      </x:c>
      <x:c r="J31" s="93" t="n">
        <x:v>21061.5</x:v>
      </x:c>
      <x:c r="K31" s="93" t="n">
        <x:v>519.69</x:v>
      </x:c>
      <x:c r="L31" s="93" t="n">
        <x:v>0</x:v>
      </x:c>
      <x:c r="M31" s="93" t="n">
        <x:v>4558.83</x:v>
      </x:c>
      <x:c r="N31" s="93" t="n">
        <x:v>6480.54</x:v>
      </x:c>
      <x:c r="O31" s="93" t="n">
        <x:v>30680.68</x:v>
      </x:c>
      <x:c r="P31" s="93" t="n">
        <x:v>15386.96</x:v>
      </x:c>
      <x:c r="Q31" s="93" t="n">
        <x:v>847.96</x:v>
      </x:c>
      <x:c r="R31" s="93" t="n">
        <x:v>5.04</x:v>
      </x:c>
      <x:c r="S31" s="93" t="n">
        <x:v>0</x:v>
      </x:c>
      <x:c r="T31" s="93" t="n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 t="n">
        <x:v>0</x:v>
      </x:c>
    </x:row>
    <x:row r="32" spans="1:26" s="378" customFormat="1" ht="12.75" customHeight="1" x14ac:dyDescent="0.3">
      <x:c r="B32" s="378" t="s">
        <x:v>122</x:v>
      </x:c>
      <x:c r="C32" s="378" t="s">
        <x:v>70</x:v>
      </x:c>
      <x:c r="E32" s="376"/>
      <x:c r="F32" s="710" t="n">
        <x:v>636047.07</x:v>
      </x:c>
      <x:c r="G32" s="377" t="n">
        <x:v>29223.59</x:v>
      </x:c>
      <x:c r="H32" s="377" t="n">
        <x:v>16458.47</x:v>
      </x:c>
      <x:c r="I32" s="377" t="n">
        <x:v>8660.22</x:v>
      </x:c>
      <x:c r="J32" s="377" t="n">
        <x:v>141425.47</x:v>
      </x:c>
      <x:c r="K32" s="377" t="n">
        <x:v>5825.54</x:v>
      </x:c>
      <x:c r="L32" s="377" t="n">
        <x:v>0</x:v>
      </x:c>
      <x:c r="M32" s="377" t="n">
        <x:v>51101.37</x:v>
      </x:c>
      <x:c r="N32" s="377" t="n">
        <x:v>51278.68</x:v>
      </x:c>
      <x:c r="O32" s="377" t="n">
        <x:v>242748.43</x:v>
      </x:c>
      <x:c r="P32" s="377" t="n">
        <x:v>79815.35</x:v>
      </x:c>
      <x:c r="Q32" s="377" t="n">
        <x:v>9504.83</x:v>
      </x:c>
      <x:c r="R32" s="377" t="n">
        <x:v>5.12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3">
      <x:c r="E33" s="89" t="s">
        <x:v>72</x:v>
      </x:c>
      <x:c r="F33" s="371" t="n">
        <x:v>17732826240.02</x:v>
      </x:c>
      <x:c r="G33" s="90" t="n">
        <x:v>808116076.44</x:v>
      </x:c>
      <x:c r="H33" s="90" t="n">
        <x:v>450181450.91</x:v>
      </x:c>
      <x:c r="I33" s="90" t="n">
        <x:v>239639703.56</x:v>
      </x:c>
      <x:c r="J33" s="90" t="n">
        <x:v>4717289422.5</x:v>
      </x:c>
      <x:c r="K33" s="90" t="n">
        <x:v>157316530.83</x:v>
      </x:c>
      <x:c r="L33" s="90" t="n">
        <x:v>9937432.24</x:v>
      </x:c>
      <x:c r="M33" s="90" t="n">
        <x:v>1381411069.8</x:v>
      </x:c>
      <x:c r="N33" s="90" t="n">
        <x:v>1302863540.59</x:v>
      </x:c>
      <x:c r="O33" s="90" t="n">
        <x:v>6210343115.91</x:v>
      </x:c>
      <x:c r="P33" s="90" t="n">
        <x:v>2198936535.17</x:v>
      </x:c>
      <x:c r="Q33" s="90" t="n">
        <x:v>256815605.87</x:v>
      </x:c>
      <x:c r="R33" s="90" t="n">
        <x:v>-24243.8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3">
      <x:c r="E34" s="89" t="s">
        <x:v>81</x:v>
      </x:c>
      <x:c r="F34" s="90" t="n">
        <x:v>2121030.59</x:v>
      </x:c>
      <x:c r="G34" s="90" t="n">
        <x:v>114429.04</x:v>
      </x:c>
      <x:c r="H34" s="90" t="n">
        <x:v>59031.07</x:v>
      </x:c>
      <x:c r="I34" s="90" t="n">
        <x:v>30884.79</x:v>
      </x:c>
      <x:c r="J34" s="90" t="n">
        <x:v>467332.66</x:v>
      </x:c>
      <x:c r="K34" s="90" t="n">
        <x:v>20333.36</x:v>
      </x:c>
      <x:c r="L34" s="90" t="n">
        <x:v>491.86</x:v>
      </x:c>
      <x:c r="M34" s="90" t="n">
        <x:v>178752.52</x:v>
      </x:c>
      <x:c r="N34" s="90" t="n">
        <x:v>163509.31</x:v>
      </x:c>
      <x:c r="O34" s="90" t="n">
        <x:v>744605.58</x:v>
      </x:c>
      <x:c r="P34" s="90" t="n">
        <x:v>308414.05</x:v>
      </x:c>
      <x:c r="Q34" s="90" t="n">
        <x:v>33078.85</x:v>
      </x:c>
      <x:c r="R34" s="90" t="n">
        <x:v>18.46</x:v>
      </x:c>
      <x:c r="S34" s="90" t="n">
        <x:v>19.47</x:v>
      </x:c>
      <x:c r="T34" s="90" t="n">
        <x:v>236.47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-106.9</x:v>
      </x:c>
    </x:row>
    <x:row r="35" spans="1:26" ht="12.75" customHeight="1" x14ac:dyDescent="0.3">
      <x:c r="D35" t="s">
        <x:v>156</x:v>
      </x:c>
      <x:c r="E35" s="89" t="s">
        <x:v>70</x:v>
      </x:c>
      <x:c r="F35" s="89" t="n">
        <x:v>17734947270.61</x:v>
      </x:c>
      <x:c r="G35" s="90" t="n">
        <x:v>808230505.48</x:v>
      </x:c>
      <x:c r="H35" s="90" t="n">
        <x:v>450240481.98</x:v>
      </x:c>
      <x:c r="I35" s="90" t="n">
        <x:v>239670588.35</x:v>
      </x:c>
      <x:c r="J35" s="90" t="n">
        <x:v>4717756755.16</x:v>
      </x:c>
      <x:c r="K35" s="90" t="n">
        <x:v>157336864.19</x:v>
      </x:c>
      <x:c r="L35" s="90" t="n">
        <x:v>9937924.1</x:v>
      </x:c>
      <x:c r="M35" s="90" t="n">
        <x:v>1381589822.32</x:v>
      </x:c>
      <x:c r="N35" s="90" t="n">
        <x:v>1303027049.9</x:v>
      </x:c>
      <x:c r="O35" s="90" t="n">
        <x:v>6211087721.49</x:v>
      </x:c>
      <x:c r="P35" s="90" t="n">
        <x:v>2199244949.22</x:v>
      </x:c>
      <x:c r="Q35" s="90" t="n">
        <x:v>256848684.72</x:v>
      </x:c>
      <x:c r="R35" s="90" t="n">
        <x:v>-24225.34</x:v>
      </x:c>
      <x:c r="S35" s="90" t="n">
        <x:v>19.47</x:v>
      </x:c>
      <x:c r="T35" s="90" t="n">
        <x:v>236.47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-106.9</x:v>
      </x:c>
    </x:row>
    <x:row r="36" spans="1:26" s="286" customFormat="1" ht="12.75" customHeight="1" x14ac:dyDescent="0.3">
      <x:c r="C36" s="286" t="s">
        <x:v>155</x:v>
      </x:c>
      <x:c r="D36" s="286" t="s">
        <x:v>70</x:v>
      </x:c>
      <x:c r="E36" s="229"/>
      <x:c r="F36" s="229" t="n">
        <x:v>17734947270.61</x:v>
      </x:c>
      <x:c r="G36" s="230" t="n">
        <x:v>808230505.48</x:v>
      </x:c>
      <x:c r="H36" s="230" t="n">
        <x:v>450240481.98</x:v>
      </x:c>
      <x:c r="I36" s="230" t="n">
        <x:v>239670588.35</x:v>
      </x:c>
      <x:c r="J36" s="230" t="n">
        <x:v>4717756755.16</x:v>
      </x:c>
      <x:c r="K36" s="230" t="n">
        <x:v>157336864.19</x:v>
      </x:c>
      <x:c r="L36" s="230" t="n">
        <x:v>9937924.1</x:v>
      </x:c>
      <x:c r="M36" s="230" t="n">
        <x:v>1381589822.32</x:v>
      </x:c>
      <x:c r="N36" s="230" t="n">
        <x:v>1303027049.9</x:v>
      </x:c>
      <x:c r="O36" s="230" t="n">
        <x:v>6211087721.49</x:v>
      </x:c>
      <x:c r="P36" s="230" t="n">
        <x:v>2199244949.22</x:v>
      </x:c>
      <x:c r="Q36" s="230" t="n">
        <x:v>256848684.72</x:v>
      </x:c>
      <x:c r="R36" s="230" t="n">
        <x:v>-24225.34</x:v>
      </x:c>
      <x:c r="S36" s="230" t="n">
        <x:v>19.47</x:v>
      </x:c>
      <x:c r="T36" s="230" t="n">
        <x:v>236.47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-106.9</x:v>
      </x:c>
    </x:row>
    <x:row r="37" spans="1:26" ht="12.75" customHeight="1" x14ac:dyDescent="0.3">
      <x:c r="E37" s="89" t="s">
        <x:v>72</x:v>
      </x:c>
      <x:c r="F37" s="89" t="n">
        <x:v>27812533.99</x:v>
      </x:c>
      <x:c r="G37" s="90" t="n">
        <x:v>3127682.62</x:v>
      </x:c>
      <x:c r="H37" s="90" t="n">
        <x:v>1787750.62</x:v>
      </x:c>
      <x:c r="I37" s="90" t="n">
        <x:v>994482.9</x:v>
      </x:c>
      <x:c r="J37" s="90" t="n">
        <x:v>3900132.39</x:v>
      </x:c>
      <x:c r="K37" s="90" t="n">
        <x:v>128394.64</x:v>
      </x:c>
      <x:c r="L37" s="90" t="n">
        <x:v>65261.43</x:v>
      </x:c>
      <x:c r="M37" s="90" t="n">
        <x:v>1108739.27</x:v>
      </x:c>
      <x:c r="N37" s="90" t="n">
        <x:v>1377785.37</x:v>
      </x:c>
      <x:c r="O37" s="90" t="n">
        <x:v>6585392.25</x:v>
      </x:c>
      <x:c r="P37" s="90" t="n">
        <x:v>8526230.06</x:v>
      </x:c>
      <x:c r="Q37" s="90" t="n">
        <x:v>210777.87</x:v>
      </x:c>
      <x:c r="R37" s="90" t="n">
        <x:v>-95.43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3">
      <x:c r="E38" s="89" t="s">
        <x:v>81</x:v>
      </x:c>
      <x:c r="F38" s="90" t="n">
        <x:v>52627</x:v>
      </x:c>
      <x:c r="G38" s="90" t="n">
        <x:v>3905.72</x:v>
      </x:c>
      <x:c r="H38" s="90" t="n">
        <x:v>2108.89</x:v>
      </x:c>
      <x:c r="I38" s="90" t="n">
        <x:v>1129.02</x:v>
      </x:c>
      <x:c r="J38" s="90" t="n">
        <x:v>9194.6</x:v>
      </x:c>
      <x:c r="K38" s="90" t="n">
        <x:v>397.89</x:v>
      </x:c>
      <x:c r="L38" s="90" t="n">
        <x:v>0</x:v>
      </x:c>
      <x:c r="M38" s="90" t="n">
        <x:v>3497.21</x:v>
      </x:c>
      <x:c r="N38" s="90" t="n">
        <x:v>3710.89</x:v>
      </x:c>
      <x:c r="O38" s="90" t="n">
        <x:v>17365.58</x:v>
      </x:c>
      <x:c r="P38" s="90" t="n">
        <x:v>10667.02</x:v>
      </x:c>
      <x:c r="Q38" s="90" t="n">
        <x:v>649.71</x:v>
      </x:c>
      <x:c r="R38" s="90" t="n">
        <x:v>0.42</x:v>
      </x:c>
      <x:c r="S38" s="90" t="n">
        <x:v>-0.01</x:v>
      </x:c>
      <x:c r="T38" s="90" t="n">
        <x:v>0.06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3">
      <x:c r="D39" s="89" t="s">
        <x:v>82</x:v>
      </x:c>
      <x:c r="E39" s="89" t="s">
        <x:v>70</x:v>
      </x:c>
      <x:c r="F39" s="90" t="n">
        <x:v>27865160.99</x:v>
      </x:c>
      <x:c r="G39" s="90" t="n">
        <x:v>3131588.34</x:v>
      </x:c>
      <x:c r="H39" s="90" t="n">
        <x:v>1789859.51</x:v>
      </x:c>
      <x:c r="I39" s="90" t="n">
        <x:v>995611.92</x:v>
      </x:c>
      <x:c r="J39" s="90" t="n">
        <x:v>3909326.99</x:v>
      </x:c>
      <x:c r="K39" s="90" t="n">
        <x:v>128792.53</x:v>
      </x:c>
      <x:c r="L39" s="90" t="n">
        <x:v>65261.43</x:v>
      </x:c>
      <x:c r="M39" s="90" t="n">
        <x:v>1112236.48</x:v>
      </x:c>
      <x:c r="N39" s="90" t="n">
        <x:v>1381496.26</x:v>
      </x:c>
      <x:c r="O39" s="90" t="n">
        <x:v>6602757.83</x:v>
      </x:c>
      <x:c r="P39" s="90" t="n">
        <x:v>8536897.08</x:v>
      </x:c>
      <x:c r="Q39" s="90" t="n">
        <x:v>211427.58</x:v>
      </x:c>
      <x:c r="R39" s="90" t="n">
        <x:v>-95.01</x:v>
      </x:c>
      <x:c r="S39" s="90" t="n">
        <x:v>-0.01</x:v>
      </x:c>
      <x:c r="T39" s="90" t="n">
        <x:v>0.06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3">
      <x:c r="E40" s="89" t="s">
        <x:v>72</x:v>
      </x:c>
      <x:c r="F40" s="90" t="n">
        <x:v>38733807.13</x:v>
      </x:c>
      <x:c r="G40" s="90" t="n">
        <x:v>3039800.25</x:v>
      </x:c>
      <x:c r="H40" s="90" t="n">
        <x:v>1655044.15</x:v>
      </x:c>
      <x:c r="I40" s="90" t="n">
        <x:v>884056.68</x:v>
      </x:c>
      <x:c r="J40" s="90" t="n">
        <x:v>6291646.53</x:v>
      </x:c>
      <x:c r="K40" s="90" t="n">
        <x:v>298351.07</x:v>
      </x:c>
      <x:c r="L40" s="90" t="n">
        <x:v>43507.62</x:v>
      </x:c>
      <x:c r="M40" s="90" t="n">
        <x:v>2623588.83</x:v>
      </x:c>
      <x:c r="N40" s="90" t="n">
        <x:v>2661210.63</x:v>
      </x:c>
      <x:c r="O40" s="90" t="n">
        <x:v>12473941.44</x:v>
      </x:c>
      <x:c r="P40" s="90" t="n">
        <x:v>8276273.98</x:v>
      </x:c>
      <x:c r="Q40" s="90" t="n">
        <x:v>486783.55</x:v>
      </x:c>
      <x:c r="R40" s="90" t="n">
        <x:v>-397.6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3">
      <x:c r="E41" s="89" t="s">
        <x:v>81</x:v>
      </x:c>
      <x:c r="F41" s="90" t="n">
        <x:v>103423.02</x:v>
      </x:c>
      <x:c r="G41" s="90" t="n">
        <x:v>5231.83</x:v>
      </x:c>
      <x:c r="H41" s="90" t="n">
        <x:v>2620.78</x:v>
      </x:c>
      <x:c r="I41" s="90" t="n">
        <x:v>1432.53</x:v>
      </x:c>
      <x:c r="J41" s="90" t="n">
        <x:v>22089.08</x:v>
      </x:c>
      <x:c r="K41" s="90" t="n">
        <x:v>1012.15</x:v>
      </x:c>
      <x:c r="L41" s="90" t="n">
        <x:v>0</x:v>
      </x:c>
      <x:c r="M41" s="90" t="n">
        <x:v>8840.42</x:v>
      </x:c>
      <x:c r="N41" s="90" t="n">
        <x:v>8284.39</x:v>
      </x:c>
      <x:c r="O41" s="90" t="n">
        <x:v>37991.28</x:v>
      </x:c>
      <x:c r="P41" s="90" t="n">
        <x:v>14270.12</x:v>
      </x:c>
      <x:c r="Q41" s="90" t="n">
        <x:v>1651.75</x:v>
      </x:c>
      <x:c r="R41" s="90" t="n">
        <x:v>-1.34</x:v>
      </x:c>
      <x:c r="S41" s="90" t="n">
        <x:v>0</x:v>
      </x:c>
      <x:c r="T41" s="90" t="n">
        <x:v>0.03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3">
      <x:c r="D42" s="89" t="s">
        <x:v>86</x:v>
      </x:c>
      <x:c r="E42" s="89" t="s">
        <x:v>70</x:v>
      </x:c>
      <x:c r="F42" s="90" t="n">
        <x:v>38837230.15</x:v>
      </x:c>
      <x:c r="G42" s="90" t="n">
        <x:v>3045032.08</x:v>
      </x:c>
      <x:c r="H42" s="90" t="n">
        <x:v>1657664.93</x:v>
      </x:c>
      <x:c r="I42" s="90" t="n">
        <x:v>885489.21</x:v>
      </x:c>
      <x:c r="J42" s="90" t="n">
        <x:v>6313735.61</x:v>
      </x:c>
      <x:c r="K42" s="90" t="n">
        <x:v>299363.22</x:v>
      </x:c>
      <x:c r="L42" s="90" t="n">
        <x:v>43507.62</x:v>
      </x:c>
      <x:c r="M42" s="90" t="n">
        <x:v>2632429.25</x:v>
      </x:c>
      <x:c r="N42" s="90" t="n">
        <x:v>2669495.02</x:v>
      </x:c>
      <x:c r="O42" s="90" t="n">
        <x:v>12511932.72</x:v>
      </x:c>
      <x:c r="P42" s="90" t="n">
        <x:v>8290544.1</x:v>
      </x:c>
      <x:c r="Q42" s="90" t="n">
        <x:v>488435.3</x:v>
      </x:c>
      <x:c r="R42" s="90" t="n">
        <x:v>-398.94</x:v>
      </x:c>
      <x:c r="S42" s="90" t="n">
        <x:v>0</x:v>
      </x:c>
      <x:c r="T42" s="90" t="n">
        <x:v>0.03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3">
      <x:c r="C43" s="89"/>
      <x:c r="D43" s="89"/>
      <x:c r="E43" t="s">
        <x:v>72</x:v>
      </x:c>
      <x:c r="F43" s="90" t="n">
        <x:v>222891664.54</x:v>
      </x:c>
      <x:c r="G43" s="90" t="n">
        <x:v>27345006.72</x:v>
      </x:c>
      <x:c r="H43" s="90" t="n">
        <x:v>15201201.24</x:v>
      </x:c>
      <x:c r="I43" s="90" t="n">
        <x:v>8089797.89</x:v>
      </x:c>
      <x:c r="J43" s="90" t="n">
        <x:v>28735245.64</x:v>
      </x:c>
      <x:c r="K43" s="90" t="n">
        <x:v>729515.15</x:v>
      </x:c>
      <x:c r="L43" s="90" t="n">
        <x:v>9878361.24</x:v>
      </x:c>
      <x:c r="M43" s="90" t="n">
        <x:v>6370953.34</x:v>
      </x:c>
      <x:c r="N43" s="90" t="n">
        <x:v>8839869.58</x:v>
      </x:c>
      <x:c r="O43" s="90" t="n">
        <x:v>41844064.08</x:v>
      </x:c>
      <x:c r="P43" s="90" t="n">
        <x:v>74669973.01</x:v>
      </x:c>
      <x:c r="Q43" s="90" t="n">
        <x:v>1190722.62</x:v>
      </x:c>
      <x:c r="R43" s="90" t="n">
        <x:v>-3045.97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3">
      <x:c r="B44" s="89"/>
      <x:c r="C44" s="89"/>
      <x:c r="E44" t="s">
        <x:v>81</x:v>
      </x:c>
      <x:c r="F44" s="90" t="n">
        <x:v>650065.1</x:v>
      </x:c>
      <x:c r="G44" s="90" t="n">
        <x:v>54025.13</x:v>
      </x:c>
      <x:c r="H44" s="90" t="n">
        <x:v>28815.72</x:v>
      </x:c>
      <x:c r="I44" s="90" t="n">
        <x:v>15452.4</x:v>
      </x:c>
      <x:c r="J44" s="90" t="n">
        <x:v>131416.37</x:v>
      </x:c>
      <x:c r="K44" s="90" t="n">
        <x:v>3462.06</x:v>
      </x:c>
      <x:c r="L44" s="90" t="n">
        <x:v>6638.64</x:v>
      </x:c>
      <x:c r="M44" s="90" t="n">
        <x:v>30369.24</x:v>
      </x:c>
      <x:c r="N44" s="90" t="n">
        <x:v>40871.66</x:v>
      </x:c>
      <x:c r="O44" s="90" t="n">
        <x:v>186410.2</x:v>
      </x:c>
      <x:c r="P44" s="90" t="n">
        <x:v>147007.48</x:v>
      </x:c>
      <x:c r="Q44" s="90" t="n">
        <x:v>5632.59</x:v>
      </x:c>
      <x:c r="R44" s="90" t="n">
        <x:v>-36.4</x:v>
      </x:c>
      <x:c r="S44" s="90" t="n">
        <x:v>0.01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3">
      <x:c r="C45" s="89"/>
      <x:c r="D45" s="89" t="s">
        <x:v>87</x:v>
      </x:c>
      <x:c r="E45" t="s">
        <x:v>70</x:v>
      </x:c>
      <x:c r="F45" s="90" t="n">
        <x:v>223541729.64</x:v>
      </x:c>
      <x:c r="G45" s="90" t="n">
        <x:v>27399031.85</x:v>
      </x:c>
      <x:c r="H45" s="90" t="n">
        <x:v>15230016.96</x:v>
      </x:c>
      <x:c r="I45" s="90" t="n">
        <x:v>8105250.29</x:v>
      </x:c>
      <x:c r="J45" s="90" t="n">
        <x:v>28866662.01</x:v>
      </x:c>
      <x:c r="K45" s="90" t="n">
        <x:v>732977.21</x:v>
      </x:c>
      <x:c r="L45" s="90" t="n">
        <x:v>9884999.88</x:v>
      </x:c>
      <x:c r="M45" s="90" t="n">
        <x:v>6401322.58</x:v>
      </x:c>
      <x:c r="N45" s="90" t="n">
        <x:v>8880741.24</x:v>
      </x:c>
      <x:c r="O45" s="90" t="n">
        <x:v>42030474.28</x:v>
      </x:c>
      <x:c r="P45" s="90" t="n">
        <x:v>74816980.49</x:v>
      </x:c>
      <x:c r="Q45" s="90" t="n">
        <x:v>1196355.21</x:v>
      </x:c>
      <x:c r="R45" s="90" t="n">
        <x:v>-3082.37</x:v>
      </x:c>
      <x:c r="S45" s="90" t="n">
        <x:v>0.01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3">
      <x:c r="C46" s="101" t="s">
        <x:v>119</x:v>
      </x:c>
      <x:c r="D46" s="101" t="s">
        <x:v>70</x:v>
      </x:c>
      <x:c r="F46" s="93" t="n">
        <x:v>290244120.78</x:v>
      </x:c>
      <x:c r="G46" s="93" t="n">
        <x:v>33575652.27</x:v>
      </x:c>
      <x:c r="H46" s="93" t="n">
        <x:v>18677541.4</x:v>
      </x:c>
      <x:c r="I46" s="93" t="n">
        <x:v>9986351.42</x:v>
      </x:c>
      <x:c r="J46" s="93" t="n">
        <x:v>39089724.61</x:v>
      </x:c>
      <x:c r="K46" s="93" t="n">
        <x:v>1161132.96</x:v>
      </x:c>
      <x:c r="L46" s="93" t="n">
        <x:v>9993768.93</x:v>
      </x:c>
      <x:c r="M46" s="93" t="n">
        <x:v>10145988.31</x:v>
      </x:c>
      <x:c r="N46" s="93" t="n">
        <x:v>12931732.52</x:v>
      </x:c>
      <x:c r="O46" s="93" t="n">
        <x:v>61145164.83</x:v>
      </x:c>
      <x:c r="P46" s="93" t="n">
        <x:v>91644421.67</x:v>
      </x:c>
      <x:c r="Q46" s="93" t="n">
        <x:v>1896218.09</x:v>
      </x:c>
      <x:c r="R46" s="93" t="n">
        <x:v>-3576.32</x:v>
      </x:c>
      <x:c r="S46" s="93" t="n">
        <x:v>0</x:v>
      </x:c>
      <x:c r="T46" s="93" t="n">
        <x:v>0.09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3">
      <x:c r="B47" s="98" t="s">
        <x:v>112</x:v>
      </x:c>
      <x:c r="C47" s="98" t="s">
        <x:v>70</x:v>
      </x:c>
      <x:c r="F47" s="100" t="n">
        <x:v>18025191391.39</x:v>
      </x:c>
      <x:c r="G47" s="100" t="n">
        <x:v>841806157.75</x:v>
      </x:c>
      <x:c r="H47" s="100" t="n">
        <x:v>468918023.38</x:v>
      </x:c>
      <x:c r="I47" s="100" t="n">
        <x:v>249656939.77</x:v>
      </x:c>
      <x:c r="J47" s="100" t="n">
        <x:v>4756846479.77</x:v>
      </x:c>
      <x:c r="K47" s="100" t="n">
        <x:v>158497997.15</x:v>
      </x:c>
      <x:c r="L47" s="100" t="n">
        <x:v>19931693.03</x:v>
      </x:c>
      <x:c r="M47" s="100" t="n">
        <x:v>1391735810.63</x:v>
      </x:c>
      <x:c r="N47" s="100" t="n">
        <x:v>1315958782.42</x:v>
      </x:c>
      <x:c r="O47" s="100" t="n">
        <x:v>6272232886.32</x:v>
      </x:c>
      <x:c r="P47" s="100" t="n">
        <x:v>2290889370.89</x:v>
      </x:c>
      <x:c r="Q47" s="100" t="n">
        <x:v>258744902.81</x:v>
      </x:c>
      <x:c r="R47" s="100" t="n">
        <x:v>-27801.66</x:v>
      </x:c>
      <x:c r="S47" s="100" t="n">
        <x:v>19.47</x:v>
      </x:c>
      <x:c r="T47" s="100" t="n">
        <x:v>236.56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-106.9</x:v>
      </x:c>
    </x:row>
    <x:row r="48" spans="1:26" ht="12.65" customHeight="1" x14ac:dyDescent="0.3">
      <x:c r="A48" t="s">
        <x:v>78</x:v>
      </x:c>
      <x:c r="B48" t="s">
        <x:v>70</x:v>
      </x:c>
      <x:c r="E48" s="89"/>
      <x:c r="F48" s="89" t="n">
        <x:v>18025827438.46</x:v>
      </x:c>
      <x:c r="G48" s="90" t="n">
        <x:v>841835381.34</x:v>
      </x:c>
      <x:c r="H48" s="90" t="n">
        <x:v>468934481.85</x:v>
      </x:c>
      <x:c r="I48" s="90" t="n">
        <x:v>249665599.99</x:v>
      </x:c>
      <x:c r="J48" s="90" t="n">
        <x:v>4756987905.24</x:v>
      </x:c>
      <x:c r="K48" s="90" t="n">
        <x:v>158503822.69</x:v>
      </x:c>
      <x:c r="L48" s="90" t="n">
        <x:v>19931693.03</x:v>
      </x:c>
      <x:c r="M48" s="90" t="n">
        <x:v>1391786912</x:v>
      </x:c>
      <x:c r="N48" s="90" t="n">
        <x:v>1316010061.1</x:v>
      </x:c>
      <x:c r="O48" s="90" t="n">
        <x:v>6272475634.75</x:v>
      </x:c>
      <x:c r="P48" s="90" t="n">
        <x:v>2290969186.24</x:v>
      </x:c>
      <x:c r="Q48" s="90" t="n">
        <x:v>258754407.64</x:v>
      </x:c>
      <x:c r="R48" s="90" t="n">
        <x:v>-27796.54</x:v>
      </x:c>
      <x:c r="S48" s="90" t="n">
        <x:v>19.47</x:v>
      </x:c>
      <x:c r="T48" s="90" t="n">
        <x:v>236.56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-106.9</x:v>
      </x:c>
    </x:row>
    <x:row r="49" spans="2:26" x14ac:dyDescent="0.3">
      <x:c r="E49" t="s">
        <x:v>73</x:v>
      </x:c>
      <x:c r="F49" s="90" t="n">
        <x:v>-32099.64</x:v>
      </x:c>
      <x:c r="G49" s="90" t="n">
        <x:v>-1182.8</x:v>
      </x:c>
      <x:c r="H49" s="90" t="n">
        <x:v>-661.02</x:v>
      </x:c>
      <x:c r="I49" s="90" t="n">
        <x:v>-350.52</x:v>
      </x:c>
      <x:c r="J49" s="90" t="n">
        <x:v>-6245.62</x:v>
      </x:c>
      <x:c r="K49" s="90" t="n">
        <x:v>-344.7</x:v>
      </x:c>
      <x:c r="L49" s="90" t="n">
        <x:v>0</x:v>
      </x:c>
      <x:c r="M49" s="90" t="n">
        <x:v>-3023.82</x:v>
      </x:c>
      <x:c r="N49" s="90" t="n">
        <x:v>-2892.68</x:v>
      </x:c>
      <x:c r="O49" s="90" t="n">
        <x:v>-13605.48</x:v>
      </x:c>
      <x:c r="P49" s="90" t="n">
        <x:v>-3230.56</x:v>
      </x:c>
      <x:c r="Q49" s="90" t="n">
        <x:v>-562.44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3">
      <x:c r="D50" t="s">
        <x:v>156</x:v>
      </x:c>
      <x:c r="E50" t="s">
        <x:v>70</x:v>
      </x:c>
      <x:c r="F50" s="90" t="n">
        <x:v>-32099.64</x:v>
      </x:c>
      <x:c r="G50" s="90" t="n">
        <x:v>-1182.8</x:v>
      </x:c>
      <x:c r="H50" s="90" t="n">
        <x:v>-661.02</x:v>
      </x:c>
      <x:c r="I50" s="90" t="n">
        <x:v>-350.52</x:v>
      </x:c>
      <x:c r="J50" s="90" t="n">
        <x:v>-6245.62</x:v>
      </x:c>
      <x:c r="K50" s="90" t="n">
        <x:v>-344.7</x:v>
      </x:c>
      <x:c r="L50" s="90" t="n">
        <x:v>0</x:v>
      </x:c>
      <x:c r="M50" s="90" t="n">
        <x:v>-3023.82</x:v>
      </x:c>
      <x:c r="N50" s="90" t="n">
        <x:v>-2892.68</x:v>
      </x:c>
      <x:c r="O50" s="90" t="n">
        <x:v>-13605.48</x:v>
      </x:c>
      <x:c r="P50" s="90" t="n">
        <x:v>-3230.56</x:v>
      </x:c>
      <x:c r="Q50" s="90" t="n">
        <x:v>-562.44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3">
      <x:c r="C51" s="286" t="s">
        <x:v>155</x:v>
      </x:c>
      <x:c r="D51" s="286" t="s">
        <x:v>70</x:v>
      </x:c>
      <x:c r="E51" s="229"/>
      <x:c r="F51" s="229" t="n">
        <x:v>-32099.64</x:v>
      </x:c>
      <x:c r="G51" s="230" t="n">
        <x:v>-1182.8</x:v>
      </x:c>
      <x:c r="H51" s="230" t="n">
        <x:v>-661.02</x:v>
      </x:c>
      <x:c r="I51" s="230" t="n">
        <x:v>-350.52</x:v>
      </x:c>
      <x:c r="J51" s="230" t="n">
        <x:v>-6245.62</x:v>
      </x:c>
      <x:c r="K51" s="230" t="n">
        <x:v>-344.7</x:v>
      </x:c>
      <x:c r="L51" s="230" t="n">
        <x:v>0</x:v>
      </x:c>
      <x:c r="M51" s="230" t="n">
        <x:v>-3023.82</x:v>
      </x:c>
      <x:c r="N51" s="230" t="n">
        <x:v>-2892.68</x:v>
      </x:c>
      <x:c r="O51" s="230" t="n">
        <x:v>-13605.48</x:v>
      </x:c>
      <x:c r="P51" s="230" t="n">
        <x:v>-3230.56</x:v>
      </x:c>
      <x:c r="Q51" s="230" t="n">
        <x:v>-562.44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3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3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3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3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3">
      <x:c r="E56" t="s">
        <x:v>73</x:v>
      </x:c>
      <x:c r="F56" s="90" t="n">
        <x:v>44922.57</x:v>
      </x:c>
      <x:c r="G56" s="90" t="n">
        <x:v>2812.56</x:v>
      </x:c>
      <x:c r="H56" s="90" t="n">
        <x:v>1569.13</x:v>
      </x:c>
      <x:c r="I56" s="90" t="n">
        <x:v>833.5</x:v>
      </x:c>
      <x:c r="J56" s="90" t="n">
        <x:v>10514.48</x:v>
      </x:c>
      <x:c r="K56" s="90" t="n">
        <x:v>259.46</x:v>
      </x:c>
      <x:c r="L56" s="90" t="n">
        <x:v>0</x:v>
      </x:c>
      <x:c r="M56" s="90" t="n">
        <x:v>2275.96</x:v>
      </x:c>
      <x:c r="N56" s="90" t="n">
        <x:v>3235.33</x:v>
      </x:c>
      <x:c r="O56" s="90" t="n">
        <x:v>15317.02</x:v>
      </x:c>
      <x:c r="P56" s="90" t="n">
        <x:v>7681.79</x:v>
      </x:c>
      <x:c r="Q56" s="90" t="n">
        <x:v>423.34</x:v>
      </x:c>
      <x:c r="R56" s="90" t="n">
        <x:v>0</x:v>
      </x:c>
      <x:c r="S56" s="90" t="n">
        <x:v>0</x:v>
      </x:c>
      <x:c r="T56" s="90" t="n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 t="n">
        <x:v>0</x:v>
      </x:c>
    </x:row>
    <x:row r="57" spans="2:26" x14ac:dyDescent="0.3">
      <x:c r="D57" t="s">
        <x:v>87</x:v>
      </x:c>
      <x:c r="E57" t="s">
        <x:v>70</x:v>
      </x:c>
      <x:c r="F57" s="90" t="n">
        <x:v>44922.57</x:v>
      </x:c>
      <x:c r="G57" s="90" t="n">
        <x:v>2812.56</x:v>
      </x:c>
      <x:c r="H57" s="90" t="n">
        <x:v>1569.13</x:v>
      </x:c>
      <x:c r="I57" s="90" t="n">
        <x:v>833.5</x:v>
      </x:c>
      <x:c r="J57" s="90" t="n">
        <x:v>10514.48</x:v>
      </x:c>
      <x:c r="K57" s="90" t="n">
        <x:v>259.46</x:v>
      </x:c>
      <x:c r="L57" s="90" t="n">
        <x:v>0</x:v>
      </x:c>
      <x:c r="M57" s="90" t="n">
        <x:v>2275.96</x:v>
      </x:c>
      <x:c r="N57" s="90" t="n">
        <x:v>3235.33</x:v>
      </x:c>
      <x:c r="O57" s="90" t="n">
        <x:v>15317.02</x:v>
      </x:c>
      <x:c r="P57" s="90" t="n">
        <x:v>7681.79</x:v>
      </x:c>
      <x:c r="Q57" s="90" t="n">
        <x:v>423.34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2:26" s="94" customFormat="1" ht="12.75" customHeight="1" x14ac:dyDescent="0.3">
      <x:c r="C58" s="101" t="s">
        <x:v>119</x:v>
      </x:c>
      <x:c r="D58" s="101" t="s">
        <x:v>70</x:v>
      </x:c>
      <x:c r="F58" s="93" t="n">
        <x:v>44922.57</x:v>
      </x:c>
      <x:c r="G58" s="93" t="n">
        <x:v>2812.56</x:v>
      </x:c>
      <x:c r="H58" s="93" t="n">
        <x:v>1569.13</x:v>
      </x:c>
      <x:c r="I58" s="93" t="n">
        <x:v>833.5</x:v>
      </x:c>
      <x:c r="J58" s="93" t="n">
        <x:v>10514.48</x:v>
      </x:c>
      <x:c r="K58" s="93" t="n">
        <x:v>259.46</x:v>
      </x:c>
      <x:c r="L58" s="93" t="n">
        <x:v>0</x:v>
      </x:c>
      <x:c r="M58" s="93" t="n">
        <x:v>2275.96</x:v>
      </x:c>
      <x:c r="N58" s="93" t="n">
        <x:v>3235.33</x:v>
      </x:c>
      <x:c r="O58" s="93" t="n">
        <x:v>15317.02</x:v>
      </x:c>
      <x:c r="P58" s="93" t="n">
        <x:v>7681.79</x:v>
      </x:c>
      <x:c r="Q58" s="93" t="n">
        <x:v>423.34</x:v>
      </x:c>
      <x:c r="R58" s="93" t="n">
        <x:v>0</x:v>
      </x:c>
      <x:c r="S58" s="93" t="n">
        <x:v>0</x:v>
      </x:c>
      <x:c r="T58" s="93" t="n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 t="n">
        <x:v>0</x:v>
      </x:c>
    </x:row>
    <x:row r="59" spans="2:26" s="378" customFormat="1" ht="12.75" customHeight="1" x14ac:dyDescent="0.3">
      <x:c r="B59" s="378" t="s">
        <x:v>122</x:v>
      </x:c>
      <x:c r="C59" s="378" t="s">
        <x:v>70</x:v>
      </x:c>
      <x:c r="E59" s="376"/>
      <x:c r="F59" s="710" t="n">
        <x:v>12822.93</x:v>
      </x:c>
      <x:c r="G59" s="377" t="n">
        <x:v>1629.76</x:v>
      </x:c>
      <x:c r="H59" s="377" t="n">
        <x:v>908.11</x:v>
      </x:c>
      <x:c r="I59" s="377" t="n">
        <x:v>482.98</x:v>
      </x:c>
      <x:c r="J59" s="377" t="n">
        <x:v>4268.86</x:v>
      </x:c>
      <x:c r="K59" s="377" t="n">
        <x:v>-85.24</x:v>
      </x:c>
      <x:c r="L59" s="377" t="n">
        <x:v>0</x:v>
      </x:c>
      <x:c r="M59" s="377" t="n">
        <x:v>-747.86</x:v>
      </x:c>
      <x:c r="N59" s="377" t="n">
        <x:v>342.65</x:v>
      </x:c>
      <x:c r="O59" s="377" t="n">
        <x:v>1711.54</x:v>
      </x:c>
      <x:c r="P59" s="377" t="n">
        <x:v>4451.23</x:v>
      </x:c>
      <x:c r="Q59" s="377" t="n">
        <x:v>-139.1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3">
      <x:c r="E60" s="89" t="s">
        <x:v>73</x:v>
      </x:c>
      <x:c r="F60" s="384" t="n">
        <x:v>-3253607640.54</x:v>
      </x:c>
      <x:c r="G60" s="90" t="n">
        <x:v>-91345711.13</x:v>
      </x:c>
      <x:c r="H60" s="90" t="n">
        <x:v>-50905404.25</x:v>
      </x:c>
      <x:c r="I60" s="90" t="n">
        <x:v>-27078428.51</x:v>
      </x:c>
      <x:c r="J60" s="90" t="n">
        <x:v>-964341301.81</x:v>
      </x:c>
      <x:c r="K60" s="90" t="n">
        <x:v>-31681532.86</x:v>
      </x:c>
      <x:c r="L60" s="90" t="n">
        <x:v>0</x:v>
      </x:c>
      <x:c r="M60" s="90" t="n">
        <x:v>-278071694.95</x:v>
      </x:c>
      <x:c r="N60" s="90" t="n">
        <x:v>-261997794.74</x:v>
      </x:c>
      <x:c r="O60" s="90" t="n">
        <x:v>-1250263678.55</x:v>
      </x:c>
      <x:c r="P60" s="90" t="n">
        <x:v>-246232158.99</x:v>
      </x:c>
      <x:c r="Q60" s="90" t="n">
        <x:v>-51689934.75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3">
      <x:c r="D61" t="s">
        <x:v>156</x:v>
      </x:c>
      <x:c r="E61" s="89" t="s">
        <x:v>70</x:v>
      </x:c>
      <x:c r="F61" s="384" t="n">
        <x:v>-3253607640.54</x:v>
      </x:c>
      <x:c r="G61" s="90" t="n">
        <x:v>-91345711.13</x:v>
      </x:c>
      <x:c r="H61" s="90" t="n">
        <x:v>-50905404.25</x:v>
      </x:c>
      <x:c r="I61" s="90" t="n">
        <x:v>-27078428.51</x:v>
      </x:c>
      <x:c r="J61" s="90" t="n">
        <x:v>-964341301.81</x:v>
      </x:c>
      <x:c r="K61" s="90" t="n">
        <x:v>-31681532.86</x:v>
      </x:c>
      <x:c r="L61" s="90" t="n">
        <x:v>0</x:v>
      </x:c>
      <x:c r="M61" s="90" t="n">
        <x:v>-278071694.95</x:v>
      </x:c>
      <x:c r="N61" s="90" t="n">
        <x:v>-261997794.74</x:v>
      </x:c>
      <x:c r="O61" s="90" t="n">
        <x:v>-1250263678.55</x:v>
      </x:c>
      <x:c r="P61" s="90" t="n">
        <x:v>-246232158.99</x:v>
      </x:c>
      <x:c r="Q61" s="90" t="n">
        <x:v>-51689934.75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3">
      <x:c r="C62" s="286" t="s">
        <x:v>155</x:v>
      </x:c>
      <x:c r="D62" s="286" t="s">
        <x:v>70</x:v>
      </x:c>
      <x:c r="E62" s="229"/>
      <x:c r="F62" s="229" t="n">
        <x:v>-3253607640.54</x:v>
      </x:c>
      <x:c r="G62" s="230" t="n">
        <x:v>-91345711.13</x:v>
      </x:c>
      <x:c r="H62" s="230" t="n">
        <x:v>-50905404.25</x:v>
      </x:c>
      <x:c r="I62" s="230" t="n">
        <x:v>-27078428.51</x:v>
      </x:c>
      <x:c r="J62" s="230" t="n">
        <x:v>-964341301.81</x:v>
      </x:c>
      <x:c r="K62" s="230" t="n">
        <x:v>-31681532.86</x:v>
      </x:c>
      <x:c r="L62" s="230" t="n">
        <x:v>0</x:v>
      </x:c>
      <x:c r="M62" s="230" t="n">
        <x:v>-278071694.95</x:v>
      </x:c>
      <x:c r="N62" s="230" t="n">
        <x:v>-261997794.74</x:v>
      </x:c>
      <x:c r="O62" s="230" t="n">
        <x:v>-1250263678.55</x:v>
      </x:c>
      <x:c r="P62" s="230" t="n">
        <x:v>-246232158.99</x:v>
      </x:c>
      <x:c r="Q62" s="230" t="n">
        <x:v>-51689934.75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3">
      <x:c r="D63" s="89"/>
      <x:c r="E63" s="89" t="s">
        <x:v>73</x:v>
      </x:c>
      <x:c r="F63" s="90" t="n">
        <x:v>13423599.01</x:v>
      </x:c>
      <x:c r="G63" s="90" t="n">
        <x:v>2490552.75</x:v>
      </x:c>
      <x:c r="H63" s="90" t="n">
        <x:v>1387405.41</x:v>
      </x:c>
      <x:c r="I63" s="90" t="n">
        <x:v>737634.79</x:v>
      </x:c>
      <x:c r="J63" s="90" t="n">
        <x:v>631013.34</x:v>
      </x:c>
      <x:c r="K63" s="90" t="n">
        <x:v>16984.56</x:v>
      </x:c>
      <x:c r="L63" s="90" t="n">
        <x:v>0</x:v>
      </x:c>
      <x:c r="M63" s="90" t="n">
        <x:v>150899.5</x:v>
      </x:c>
      <x:c r="N63" s="90" t="n">
        <x:v>207661.14</x:v>
      </x:c>
      <x:c r="O63" s="90" t="n">
        <x:v>966790.95</x:v>
      </x:c>
      <x:c r="P63" s="90" t="n">
        <x:v>6806944.56</x:v>
      </x:c>
      <x:c r="Q63" s="90" t="n">
        <x:v>27712.01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3">
      <x:c r="D64" t="s">
        <x:v>82</x:v>
      </x:c>
      <x:c r="E64" s="89" t="s">
        <x:v>70</x:v>
      </x:c>
      <x:c r="F64" s="90" t="n">
        <x:v>13423599.01</x:v>
      </x:c>
      <x:c r="G64" s="90" t="n">
        <x:v>2490552.75</x:v>
      </x:c>
      <x:c r="H64" s="90" t="n">
        <x:v>1387405.41</x:v>
      </x:c>
      <x:c r="I64" s="90" t="n">
        <x:v>737634.79</x:v>
      </x:c>
      <x:c r="J64" s="90" t="n">
        <x:v>631013.34</x:v>
      </x:c>
      <x:c r="K64" s="90" t="n">
        <x:v>16984.56</x:v>
      </x:c>
      <x:c r="L64" s="90" t="n">
        <x:v>0</x:v>
      </x:c>
      <x:c r="M64" s="90" t="n">
        <x:v>150899.5</x:v>
      </x:c>
      <x:c r="N64" s="90" t="n">
        <x:v>207661.14</x:v>
      </x:c>
      <x:c r="O64" s="90" t="n">
        <x:v>966790.95</x:v>
      </x:c>
      <x:c r="P64" s="90" t="n">
        <x:v>6806944.56</x:v>
      </x:c>
      <x:c r="Q64" s="90" t="n">
        <x:v>27712.01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3">
      <x:c r="D65" s="89"/>
      <x:c r="E65" s="89" t="s">
        <x:v>73</x:v>
      </x:c>
      <x:c r="F65" s="90" t="n">
        <x:v>-325150.37</x:v>
      </x:c>
      <x:c r="G65" s="90" t="n">
        <x:v>488590.2</x:v>
      </x:c>
      <x:c r="H65" s="90" t="n">
        <x:v>270618.04</x:v>
      </x:c>
      <x:c r="I65" s="90" t="n">
        <x:v>137804.15</x:v>
      </x:c>
      <x:c r="J65" s="90" t="n">
        <x:v>-905950.9</x:v>
      </x:c>
      <x:c r="K65" s="90" t="n">
        <x:v>-31107.48</x:v>
      </x:c>
      <x:c r="L65" s="90" t="n">
        <x:v>0</x:v>
      </x:c>
      <x:c r="M65" s="90" t="n">
        <x:v>-273355.91</x:v>
      </x:c>
      <x:c r="N65" s="90" t="n">
        <x:v>-212055.38</x:v>
      </x:c>
      <x:c r="O65" s="90" t="n">
        <x:v>-1075613.98</x:v>
      </x:c>
      <x:c r="P65" s="90" t="n">
        <x:v>1326676.22</x:v>
      </x:c>
      <x:c r="Q65" s="90" t="n">
        <x:v>-50755.33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3">
      <x:c r="D66" t="s">
        <x:v>86</x:v>
      </x:c>
      <x:c r="E66" s="89" t="s">
        <x:v>70</x:v>
      </x:c>
      <x:c r="F66" s="90" t="n">
        <x:v>-325150.37</x:v>
      </x:c>
      <x:c r="G66" s="90" t="n">
        <x:v>488590.2</x:v>
      </x:c>
      <x:c r="H66" s="90" t="n">
        <x:v>270618.04</x:v>
      </x:c>
      <x:c r="I66" s="90" t="n">
        <x:v>137804.15</x:v>
      </x:c>
      <x:c r="J66" s="90" t="n">
        <x:v>-905950.9</x:v>
      </x:c>
      <x:c r="K66" s="90" t="n">
        <x:v>-31107.48</x:v>
      </x:c>
      <x:c r="L66" s="90" t="n">
        <x:v>0</x:v>
      </x:c>
      <x:c r="M66" s="90" t="n">
        <x:v>-273355.91</x:v>
      </x:c>
      <x:c r="N66" s="90" t="n">
        <x:v>-212055.38</x:v>
      </x:c>
      <x:c r="O66" s="90" t="n">
        <x:v>-1075613.98</x:v>
      </x:c>
      <x:c r="P66" s="90" t="n">
        <x:v>1326676.22</x:v>
      </x:c>
      <x:c r="Q66" s="90" t="n">
        <x:v>-50755.33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3">
      <x:c r="D67" s="89"/>
      <x:c r="E67" s="89" t="s">
        <x:v>73</x:v>
      </x:c>
      <x:c r="F67" s="90" t="n">
        <x:v>50273483.36</x:v>
      </x:c>
      <x:c r="G67" s="90" t="n">
        <x:v>8795896.62</x:v>
      </x:c>
      <x:c r="H67" s="90" t="n">
        <x:v>4922970.59</x:v>
      </x:c>
      <x:c r="I67" s="90" t="n">
        <x:v>2633606.22</x:v>
      </x:c>
      <x:c r="J67" s="90" t="n">
        <x:v>2971274.25</x:v>
      </x:c>
      <x:c r="K67" s="90" t="n">
        <x:v>89779.5</x:v>
      </x:c>
      <x:c r="L67" s="90" t="n">
        <x:v>0</x:v>
      </x:c>
      <x:c r="M67" s="90" t="n">
        <x:v>777804.41</x:v>
      </x:c>
      <x:c r="N67" s="90" t="n">
        <x:v>1027778.27</x:v>
      </x:c>
      <x:c r="O67" s="90" t="n">
        <x:v>4888775.65</x:v>
      </x:c>
      <x:c r="P67" s="90" t="n">
        <x:v>24019519.45</x:v>
      </x:c>
      <x:c r="Q67" s="90" t="n">
        <x:v>146078.4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3">
      <x:c r="C68" s="89"/>
      <x:c r="D68" s="89" t="s">
        <x:v>87</x:v>
      </x:c>
      <x:c r="E68" t="s">
        <x:v>70</x:v>
      </x:c>
      <x:c r="F68" s="90" t="n">
        <x:v>50273483.36</x:v>
      </x:c>
      <x:c r="G68" s="90" t="n">
        <x:v>8795896.62</x:v>
      </x:c>
      <x:c r="H68" s="90" t="n">
        <x:v>4922970.59</x:v>
      </x:c>
      <x:c r="I68" s="90" t="n">
        <x:v>2633606.22</x:v>
      </x:c>
      <x:c r="J68" s="90" t="n">
        <x:v>2971274.25</x:v>
      </x:c>
      <x:c r="K68" s="90" t="n">
        <x:v>89779.5</x:v>
      </x:c>
      <x:c r="L68" s="90" t="n">
        <x:v>0</x:v>
      </x:c>
      <x:c r="M68" s="90" t="n">
        <x:v>777804.41</x:v>
      </x:c>
      <x:c r="N68" s="90" t="n">
        <x:v>1027778.27</x:v>
      </x:c>
      <x:c r="O68" s="90" t="n">
        <x:v>4888775.65</x:v>
      </x:c>
      <x:c r="P68" s="90" t="n">
        <x:v>24019519.45</x:v>
      </x:c>
      <x:c r="Q68" s="90" t="n">
        <x:v>146078.4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3">
      <x:c r="C69" s="101" t="s">
        <x:v>119</x:v>
      </x:c>
      <x:c r="D69" s="101" t="s">
        <x:v>70</x:v>
      </x:c>
      <x:c r="F69" s="93" t="n">
        <x:v>63371932</x:v>
      </x:c>
      <x:c r="G69" s="93" t="n">
        <x:v>11775039.57</x:v>
      </x:c>
      <x:c r="H69" s="93" t="n">
        <x:v>6580994.04</x:v>
      </x:c>
      <x:c r="I69" s="93" t="n">
        <x:v>3509045.16</x:v>
      </x:c>
      <x:c r="J69" s="93" t="n">
        <x:v>2696336.69</x:v>
      </x:c>
      <x:c r="K69" s="93" t="n">
        <x:v>75656.58</x:v>
      </x:c>
      <x:c r="L69" s="93" t="n">
        <x:v>0</x:v>
      </x:c>
      <x:c r="M69" s="93" t="n">
        <x:v>655348</x:v>
      </x:c>
      <x:c r="N69" s="93" t="n">
        <x:v>1023384.03</x:v>
      </x:c>
      <x:c r="O69" s="93" t="n">
        <x:v>4779952.62</x:v>
      </x:c>
      <x:c r="P69" s="93" t="n">
        <x:v>32153140.23</x:v>
      </x:c>
      <x:c r="Q69" s="93" t="n">
        <x:v>123035.08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3">
      <x:c r="B70" s="98" t="s">
        <x:v>112</x:v>
      </x:c>
      <x:c r="C70" s="98" t="s">
        <x:v>70</x:v>
      </x:c>
      <x:c r="F70" s="100" t="n">
        <x:v>-3190235708.54</x:v>
      </x:c>
      <x:c r="G70" s="100" t="n">
        <x:v>-79570671.56</x:v>
      </x:c>
      <x:c r="H70" s="100" t="n">
        <x:v>-44324410.21</x:v>
      </x:c>
      <x:c r="I70" s="100" t="n">
        <x:v>-23569383.35</x:v>
      </x:c>
      <x:c r="J70" s="100" t="n">
        <x:v>-961644965.12</x:v>
      </x:c>
      <x:c r="K70" s="100" t="n">
        <x:v>-31605876.28</x:v>
      </x:c>
      <x:c r="L70" s="100" t="n">
        <x:v>0</x:v>
      </x:c>
      <x:c r="M70" s="100" t="n">
        <x:v>-277416346.95</x:v>
      </x:c>
      <x:c r="N70" s="100" t="n">
        <x:v>-260974410.71</x:v>
      </x:c>
      <x:c r="O70" s="100" t="n">
        <x:v>-1245483725.93</x:v>
      </x:c>
      <x:c r="P70" s="100" t="n">
        <x:v>-214079018.76</x:v>
      </x:c>
      <x:c r="Q70" s="100" t="n">
        <x:v>-51566899.67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3">
      <x:c r="A71" s="89" t="s">
        <x:v>79</x:v>
      </x:c>
      <x:c r="B71" t="s">
        <x:v>70</x:v>
      </x:c>
      <x:c r="F71" s="90" t="n">
        <x:v>-3190222885.61</x:v>
      </x:c>
      <x:c r="G71" s="90" t="n">
        <x:v>-79569041.8</x:v>
      </x:c>
      <x:c r="H71" s="90" t="n">
        <x:v>-44323502.1</x:v>
      </x:c>
      <x:c r="I71" s="90" t="n">
        <x:v>-23568900.37</x:v>
      </x:c>
      <x:c r="J71" s="90" t="n">
        <x:v>-961640696.26</x:v>
      </x:c>
      <x:c r="K71" s="90" t="n">
        <x:v>-31605961.52</x:v>
      </x:c>
      <x:c r="L71" s="90" t="n">
        <x:v>0</x:v>
      </x:c>
      <x:c r="M71" s="90" t="n">
        <x:v>-277417094.81</x:v>
      </x:c>
      <x:c r="N71" s="90" t="n">
        <x:v>-260974068.06</x:v>
      </x:c>
      <x:c r="O71" s="90" t="n">
        <x:v>-1245482014.39</x:v>
      </x:c>
      <x:c r="P71" s="90" t="n">
        <x:v>-214074567.53</x:v>
      </x:c>
      <x:c r="Q71" s="90" t="n">
        <x:v>-51567038.77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3">
      <x:c r="A72" s="89" t="s">
        <x:v>70</x:v>
      </x:c>
      <x:c r="F72" s="90" t="n">
        <x:v>14835602537.78</x:v>
      </x:c>
      <x:c r="G72" s="90" t="n">
        <x:v>762266217.44</x:v>
      </x:c>
      <x:c r="H72" s="90" t="n">
        <x:v>424610927.88</x:v>
      </x:c>
      <x:c r="I72" s="90" t="n">
        <x:v>226096676.97</x:v>
      </x:c>
      <x:c r="J72" s="90" t="n">
        <x:v>3795346839.54</x:v>
      </x:c>
      <x:c r="K72" s="90" t="n">
        <x:v>126897837.29</x:v>
      </x:c>
      <x:c r="L72" s="90" t="n">
        <x:v>19931693.03</x:v>
      </x:c>
      <x:c r="M72" s="90" t="n">
        <x:v>1114369607.79</x:v>
      </x:c>
      <x:c r="N72" s="90" t="n">
        <x:v>1055035817.79</x:v>
      </x:c>
      <x:c r="O72" s="90" t="n">
        <x:v>5026992920.81</x:v>
      </x:c>
      <x:c r="P72" s="90" t="n">
        <x:v>2076894316.73</x:v>
      </x:c>
      <x:c r="Q72" s="90" t="n">
        <x:v>207187329.92</x:v>
      </x:c>
      <x:c r="R72" s="90" t="n">
        <x:v>-27796.54</x:v>
      </x:c>
      <x:c r="S72" s="90" t="n">
        <x:v>19.47</x:v>
      </x:c>
      <x:c r="T72" t="n">
        <x:v>236.56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-106.9</x:v>
      </x:c>
    </x:row>
    <x:row r="73" spans="1:42" ht="12.75" customHeight="1" x14ac:dyDescent="0.3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3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3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3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3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3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3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3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3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3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3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3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3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3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3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3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3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3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3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3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3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3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3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3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3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3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3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3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3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3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3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3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3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3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3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3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5" customHeight="1" x14ac:dyDescent="0.3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3">
      <x:c r="E110" t="s">
        <x:v>72</x:v>
      </x:c>
      <x:c r="F110" s="384" t="n">
        <x:v>-221284.53</x:v>
      </x:c>
      <x:c r="G110" s="89" t="n">
        <x:v>-19000.06</x:v>
      </x:c>
      <x:c r="H110" s="89" t="n">
        <x:v>-8071.66</x:v>
      </x:c>
      <x:c r="I110" s="664" t="n">
        <x:v>-3524.84</x:v>
      </x:c>
      <x:c r="J110" s="89" t="n">
        <x:v>-43884.29</x:v>
      </x:c>
      <x:c r="K110" s="89" t="n">
        <x:v>-1875.37</x:v>
      </x:c>
      <x:c r="L110" s="89" t="n">
        <x:v>0</x:v>
      </x:c>
      <x:c r="M110" s="89" t="n">
        <x:v>-16450.29</x:v>
      </x:c>
      <x:c r="N110" s="89" t="n">
        <x:v>-20625.78</x:v>
      </x:c>
      <x:c r="O110" s="89" t="n">
        <x:v>-69263.49</x:v>
      </x:c>
      <x:c r="P110" s="89" t="n">
        <x:v>-35528.63</x:v>
      </x:c>
      <x:c r="Q110" s="89" t="n">
        <x:v>-3060.12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3">
      <x:c r="D111" t="s">
        <x:v>156</x:v>
      </x:c>
      <x:c r="E111" t="s">
        <x:v>70</x:v>
      </x:c>
      <x:c r="F111" s="384" t="n">
        <x:v>-221284.53</x:v>
      </x:c>
      <x:c r="G111" s="89" t="n">
        <x:v>-19000.06</x:v>
      </x:c>
      <x:c r="H111" s="89" t="n">
        <x:v>-8071.66</x:v>
      </x:c>
      <x:c r="I111" s="664" t="n">
        <x:v>-3524.84</x:v>
      </x:c>
      <x:c r="J111" s="89" t="n">
        <x:v>-43884.29</x:v>
      </x:c>
      <x:c r="K111" s="89" t="n">
        <x:v>-1875.37</x:v>
      </x:c>
      <x:c r="L111" s="89" t="n">
        <x:v>0</x:v>
      </x:c>
      <x:c r="M111" s="89" t="n">
        <x:v>-16450.29</x:v>
      </x:c>
      <x:c r="N111" s="89" t="n">
        <x:v>-20625.78</x:v>
      </x:c>
      <x:c r="O111" s="89" t="n">
        <x:v>-69263.49</x:v>
      </x:c>
      <x:c r="P111" s="89" t="n">
        <x:v>-35528.63</x:v>
      </x:c>
      <x:c r="Q111" s="89" t="n">
        <x:v>-3060.12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3">
      <x:c r="C112" s="656" t="s">
        <x:v>155</x:v>
      </x:c>
      <x:c r="D112" s="656" t="s">
        <x:v>70</x:v>
      </x:c>
      <x:c r="F112" s="736" t="n">
        <x:v>-221284.53</x:v>
      </x:c>
      <x:c r="G112" s="657" t="n">
        <x:v>-19000.06</x:v>
      </x:c>
      <x:c r="H112" s="657" t="n">
        <x:v>-8071.66</x:v>
      </x:c>
      <x:c r="I112" s="737" t="n">
        <x:v>-3524.84</x:v>
      </x:c>
      <x:c r="J112" s="657" t="n">
        <x:v>-43884.29</x:v>
      </x:c>
      <x:c r="K112" s="657" t="n">
        <x:v>-1875.37</x:v>
      </x:c>
      <x:c r="L112" s="657" t="n">
        <x:v>0</x:v>
      </x:c>
      <x:c r="M112" s="657" t="n">
        <x:v>-16450.29</x:v>
      </x:c>
      <x:c r="N112" s="657" t="n">
        <x:v>-20625.78</x:v>
      </x:c>
      <x:c r="O112" s="657" t="n">
        <x:v>-69263.49</x:v>
      </x:c>
      <x:c r="P112" s="657" t="n">
        <x:v>-35528.63</x:v>
      </x:c>
      <x:c r="Q112" s="657" t="n">
        <x:v>-3060.12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3">
      <x:c r="E113" s="89" t="s">
        <x:v>72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3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3">
      <x:c r="E115" s="89" t="s">
        <x:v>72</x:v>
      </x:c>
      <x:c r="F115" s="371" t="n">
        <x:v>-22430.12</x:v>
      </x:c>
      <x:c r="G115" s="90" t="n">
        <x:v>-1950.96</x:v>
      </x:c>
      <x:c r="H115" s="90" t="n">
        <x:v>-828.84</x:v>
      </x:c>
      <x:c r="I115" s="90" t="n">
        <x:v>-361.97</x:v>
      </x:c>
      <x:c r="J115" s="90" t="n">
        <x:v>-4553.51</x:v>
      </x:c>
      <x:c r="K115" s="90" t="n">
        <x:v>-187.61</x:v>
      </x:c>
      <x:c r="L115" s="90" t="n">
        <x:v>0</x:v>
      </x:c>
      <x:c r="M115" s="90" t="n">
        <x:v>-1645.8</x:v>
      </x:c>
      <x:c r="N115" s="90" t="n">
        <x:v>-2063.04</x:v>
      </x:c>
      <x:c r="O115" s="90" t="n">
        <x:v>-6929.61</x:v>
      </x:c>
      <x:c r="P115" s="90" t="n">
        <x:v>-3602.61</x:v>
      </x:c>
      <x:c r="Q115" s="90" t="n">
        <x:v>-306.17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3">
      <x:c r="D116" t="s">
        <x:v>86</x:v>
      </x:c>
      <x:c r="E116" s="89" t="s">
        <x:v>70</x:v>
      </x:c>
      <x:c r="F116" s="371" t="n">
        <x:v>-22430.12</x:v>
      </x:c>
      <x:c r="G116" s="90" t="n">
        <x:v>-1950.96</x:v>
      </x:c>
      <x:c r="H116" s="90" t="n">
        <x:v>-828.84</x:v>
      </x:c>
      <x:c r="I116" s="90" t="n">
        <x:v>-361.97</x:v>
      </x:c>
      <x:c r="J116" s="90" t="n">
        <x:v>-4553.51</x:v>
      </x:c>
      <x:c r="K116" s="90" t="n">
        <x:v>-187.61</x:v>
      </x:c>
      <x:c r="L116" s="90" t="n">
        <x:v>0</x:v>
      </x:c>
      <x:c r="M116" s="90" t="n">
        <x:v>-1645.8</x:v>
      </x:c>
      <x:c r="N116" s="90" t="n">
        <x:v>-2063.04</x:v>
      </x:c>
      <x:c r="O116" s="90" t="n">
        <x:v>-6929.61</x:v>
      </x:c>
      <x:c r="P116" s="90" t="n">
        <x:v>-3602.61</x:v>
      </x:c>
      <x:c r="Q116" s="90" t="n">
        <x:v>-306.17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3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3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3">
      <x:c r="C119" s="94" t="s">
        <x:v>119</x:v>
      </x:c>
      <x:c r="D119" s="94" t="s">
        <x:v>70</x:v>
      </x:c>
      <x:c r="E119" s="101"/>
      <x:c r="F119" s="93" t="n">
        <x:v>-22430.12</x:v>
      </x:c>
      <x:c r="G119" s="93" t="n">
        <x:v>-1950.96</x:v>
      </x:c>
      <x:c r="H119" s="93" t="n">
        <x:v>-828.84</x:v>
      </x:c>
      <x:c r="I119" s="93" t="n">
        <x:v>-361.97</x:v>
      </x:c>
      <x:c r="J119" s="93" t="n">
        <x:v>-4553.51</x:v>
      </x:c>
      <x:c r="K119" s="93" t="n">
        <x:v>-187.61</x:v>
      </x:c>
      <x:c r="L119" s="93" t="n">
        <x:v>0</x:v>
      </x:c>
      <x:c r="M119" s="93" t="n">
        <x:v>-1645.8</x:v>
      </x:c>
      <x:c r="N119" s="93" t="n">
        <x:v>-2063.04</x:v>
      </x:c>
      <x:c r="O119" s="93" t="n">
        <x:v>-6929.61</x:v>
      </x:c>
      <x:c r="P119" s="93" t="n">
        <x:v>-3602.61</x:v>
      </x:c>
      <x:c r="Q119" s="93" t="n">
        <x:v>-306.17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3">
      <x:c r="B120" s="89" t="s">
        <x:v>112</x:v>
      </x:c>
      <x:c r="C120" s="89" t="s">
        <x:v>70</x:v>
      </x:c>
      <x:c r="F120" s="90" t="n">
        <x:v>-243714.65</x:v>
      </x:c>
      <x:c r="G120" s="90" t="n">
        <x:v>-20951.02</x:v>
      </x:c>
      <x:c r="H120" s="90" t="n">
        <x:v>-8900.5</x:v>
      </x:c>
      <x:c r="I120" s="90" t="n">
        <x:v>-3886.81</x:v>
      </x:c>
      <x:c r="J120" s="90" t="n">
        <x:v>-48437.8</x:v>
      </x:c>
      <x:c r="K120" s="90" t="n">
        <x:v>-2062.98</x:v>
      </x:c>
      <x:c r="L120" s="90" t="n">
        <x:v>0</x:v>
      </x:c>
      <x:c r="M120" s="90" t="n">
        <x:v>-18096.09</x:v>
      </x:c>
      <x:c r="N120" s="90" t="n">
        <x:v>-22688.82</x:v>
      </x:c>
      <x:c r="O120" s="90" t="n">
        <x:v>-76193.1</x:v>
      </x:c>
      <x:c r="P120" s="90" t="n">
        <x:v>-39131.24</x:v>
      </x:c>
      <x:c r="Q120" s="90" t="n">
        <x:v>-3366.29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3">
      <x:c r="A121" s="458" t="s">
        <x:v>186</x:v>
      </x:c>
      <x:c r="B121" s="459" t="s">
        <x:v>70</x:v>
      </x:c>
      <x:c r="C121" s="459"/>
      <x:c r="F121" s="460" t="n">
        <x:v>-243714.65</x:v>
      </x:c>
      <x:c r="G121" s="460" t="n">
        <x:v>-20951.02</x:v>
      </x:c>
      <x:c r="H121" s="460" t="n">
        <x:v>-8900.5</x:v>
      </x:c>
      <x:c r="I121" s="460" t="n">
        <x:v>-3886.81</x:v>
      </x:c>
      <x:c r="J121" s="460" t="n">
        <x:v>-48437.8</x:v>
      </x:c>
      <x:c r="K121" s="460" t="n">
        <x:v>-2062.98</x:v>
      </x:c>
      <x:c r="L121" s="460" t="n">
        <x:v>0</x:v>
      </x:c>
      <x:c r="M121" s="460" t="n">
        <x:v>-18096.09</x:v>
      </x:c>
      <x:c r="N121" s="460" t="n">
        <x:v>-22688.82</x:v>
      </x:c>
      <x:c r="O121" s="460" t="n">
        <x:v>-76193.1</x:v>
      </x:c>
      <x:c r="P121" s="460" t="n">
        <x:v>-39131.24</x:v>
      </x:c>
      <x:c r="Q121" s="460" t="n">
        <x:v>-3366.29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3">
      <x:c r="E122" s="89" t="s">
        <x:v>72</x:v>
      </x:c>
      <x:c r="F122" s="371" t="n">
        <x:v>10824948.14</x:v>
      </x:c>
      <x:c r="G122" s="90" t="n">
        <x:v>599182.03</x:v>
      </x:c>
      <x:c r="H122" s="90" t="n">
        <x:v>337540.82</x:v>
      </x:c>
      <x:c r="I122" s="90" t="n">
        <x:v>180499.34</x:v>
      </x:c>
      <x:c r="J122" s="90" t="n">
        <x:v>2716624.41</x:v>
      </x:c>
      <x:c r="K122" s="90" t="n">
        <x:v>72704.94</x:v>
      </x:c>
      <x:c r="L122" s="90" t="n">
        <x:v>0</x:v>
      </x:c>
      <x:c r="M122" s="90" t="n">
        <x:v>637761.97</x:v>
      </x:c>
      <x:c r="N122" s="90" t="n">
        <x:v>850902.17</x:v>
      </x:c>
      <x:c r="O122" s="90" t="n">
        <x:v>4118632.15</x:v>
      </x:c>
      <x:c r="P122" s="90" t="n">
        <x:v>1191361.2</x:v>
      </x:c>
      <x:c r="Q122" s="90" t="n">
        <x:v>119849.06</x:v>
      </x:c>
      <x:c r="R122" s="90" t="n">
        <x:v>-109.95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3">
      <x:c r="E123" s="89" t="s">
        <x:v>81</x:v>
      </x:c>
      <x:c r="F123" s="371" t="n">
        <x:v>262991.94</x:v>
      </x:c>
      <x:c r="G123" s="90" t="n">
        <x:v>20187.32</x:v>
      </x:c>
      <x:c r="H123" s="90" t="n">
        <x:v>11399.94</x:v>
      </x:c>
      <x:c r="I123" s="90" t="n">
        <x:v>6057.06</x:v>
      </x:c>
      <x:c r="J123" s="90" t="n">
        <x:v>60641.69</x:v>
      </x:c>
      <x:c r="K123" s="90" t="n">
        <x:v>1509.5</x:v>
      </x:c>
      <x:c r="L123" s="90" t="n">
        <x:v>0</x:v>
      </x:c>
      <x:c r="M123" s="90" t="n">
        <x:v>13242.77</x:v>
      </x:c>
      <x:c r="N123" s="90" t="n">
        <x:v>18648.2</x:v>
      </x:c>
      <x:c r="O123" s="90" t="n">
        <x:v>88493.41</x:v>
      </x:c>
      <x:c r="P123" s="90" t="n">
        <x:v>40335.12</x:v>
      </x:c>
      <x:c r="Q123" s="90" t="n">
        <x:v>2478.59</x:v>
      </x:c>
      <x:c r="R123" s="90" t="n">
        <x:v>-1.7</x:v>
      </x:c>
      <x:c r="S123" s="90" t="n">
        <x:v>0.04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3">
      <x:c r="D124" t="s">
        <x:v>156</x:v>
      </x:c>
      <x:c r="E124" t="s">
        <x:v>70</x:v>
      </x:c>
      <x:c r="F124" s="384" t="n">
        <x:v>11087940.08</x:v>
      </x:c>
      <x:c r="G124" s="89" t="n">
        <x:v>619369.35</x:v>
      </x:c>
      <x:c r="H124" s="89" t="n">
        <x:v>348940.76</x:v>
      </x:c>
      <x:c r="I124" s="664" t="n">
        <x:v>186556.4</x:v>
      </x:c>
      <x:c r="J124" s="89" t="n">
        <x:v>2777266.1</x:v>
      </x:c>
      <x:c r="K124" s="89" t="n">
        <x:v>74214.44</x:v>
      </x:c>
      <x:c r="L124" s="89" t="n">
        <x:v>0</x:v>
      </x:c>
      <x:c r="M124" s="89" t="n">
        <x:v>651004.74</x:v>
      </x:c>
      <x:c r="N124" s="89" t="n">
        <x:v>869550.37</x:v>
      </x:c>
      <x:c r="O124" s="89" t="n">
        <x:v>4207125.56</x:v>
      </x:c>
      <x:c r="P124" s="89" t="n">
        <x:v>1231696.32</x:v>
      </x:c>
      <x:c r="Q124" s="89" t="n">
        <x:v>122327.65</x:v>
      </x:c>
      <x:c r="R124" s="89" t="n">
        <x:v>-111.65</x:v>
      </x:c>
      <x:c r="S124" s="89" t="n">
        <x:v>0.04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3">
      <x:c r="C125" s="656" t="s">
        <x:v>155</x:v>
      </x:c>
      <x:c r="D125" s="656" t="s">
        <x:v>70</x:v>
      </x:c>
      <x:c r="F125" s="736" t="n">
        <x:v>11087940.08</x:v>
      </x:c>
      <x:c r="G125" s="657" t="n">
        <x:v>619369.35</x:v>
      </x:c>
      <x:c r="H125" s="657" t="n">
        <x:v>348940.76</x:v>
      </x:c>
      <x:c r="I125" s="737" t="n">
        <x:v>186556.4</x:v>
      </x:c>
      <x:c r="J125" s="657" t="n">
        <x:v>2777266.1</x:v>
      </x:c>
      <x:c r="K125" s="657" t="n">
        <x:v>74214.44</x:v>
      </x:c>
      <x:c r="L125" s="657" t="n">
        <x:v>0</x:v>
      </x:c>
      <x:c r="M125" s="657" t="n">
        <x:v>651004.74</x:v>
      </x:c>
      <x:c r="N125" s="657" t="n">
        <x:v>869550.37</x:v>
      </x:c>
      <x:c r="O125" s="657" t="n">
        <x:v>4207125.56</x:v>
      </x:c>
      <x:c r="P125" s="657" t="n">
        <x:v>1231696.32</x:v>
      </x:c>
      <x:c r="Q125" s="657" t="n">
        <x:v>122327.65</x:v>
      </x:c>
      <x:c r="R125" s="657" t="n">
        <x:v>-111.65</x:v>
      </x:c>
      <x:c r="S125" s="657" t="n">
        <x:v>0.04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3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3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3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3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3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3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3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3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3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3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3">
      <x:c r="E136" s="89" t="s">
        <x:v>72</x:v>
      </x:c>
      <x:c r="F136" s="371" t="n">
        <x:v>21770</x:v>
      </x:c>
      <x:c r="G136" s="90" t="n">
        <x:v>1004.16</x:v>
      </x:c>
      <x:c r="H136" s="90" t="n">
        <x:v>566.95</x:v>
      </x:c>
      <x:c r="I136" s="90" t="n">
        <x:v>297.5</x:v>
      </x:c>
      <x:c r="J136" s="90" t="n">
        <x:v>6117.42</x:v>
      </x:c>
      <x:c r="K136" s="90" t="n">
        <x:v>195.92</x:v>
      </x:c>
      <x:c r="L136" s="90" t="n">
        <x:v>0</x:v>
      </x:c>
      <x:c r="M136" s="90" t="n">
        <x:v>1718.59</x:v>
      </x:c>
      <x:c r="N136" s="90" t="n">
        <x:v>1666.39</x:v>
      </x:c>
      <x:c r="O136" s="90" t="n">
        <x:v>7890.73</x:v>
      </x:c>
      <x:c r="P136" s="90" t="n">
        <x:v>1993.69</x:v>
      </x:c>
      <x:c r="Q136" s="90" t="n">
        <x:v>319.65</x:v>
      </x:c>
      <x:c r="R136" s="90" t="n">
        <x:v>-1</x:v>
      </x:c>
      <x:c r="S136" s="90" t="n">
        <x:v>0</x:v>
      </x:c>
      <x:c r="T136" s="90" t="n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 t="n">
        <x:v>0</x:v>
      </x:c>
    </x:row>
    <x:row r="137" spans="3:26" ht="12.75" customHeight="1" x14ac:dyDescent="0.3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3">
      <x:c r="D138" t="s">
        <x:v>82</x:v>
      </x:c>
      <x:c r="E138" s="89" t="s">
        <x:v>70</x:v>
      </x:c>
      <x:c r="F138" s="371" t="n">
        <x:v>21770</x:v>
      </x:c>
      <x:c r="G138" s="90" t="n">
        <x:v>1004.16</x:v>
      </x:c>
      <x:c r="H138" s="90" t="n">
        <x:v>566.95</x:v>
      </x:c>
      <x:c r="I138" s="90" t="n">
        <x:v>297.5</x:v>
      </x:c>
      <x:c r="J138" s="90" t="n">
        <x:v>6117.42</x:v>
      </x:c>
      <x:c r="K138" s="90" t="n">
        <x:v>195.92</x:v>
      </x:c>
      <x:c r="L138" s="90" t="n">
        <x:v>0</x:v>
      </x:c>
      <x:c r="M138" s="90" t="n">
        <x:v>1718.59</x:v>
      </x:c>
      <x:c r="N138" s="90" t="n">
        <x:v>1666.39</x:v>
      </x:c>
      <x:c r="O138" s="90" t="n">
        <x:v>7890.73</x:v>
      </x:c>
      <x:c r="P138" s="90" t="n">
        <x:v>1993.69</x:v>
      </x:c>
      <x:c r="Q138" s="90" t="n">
        <x:v>319.65</x:v>
      </x:c>
      <x:c r="R138" s="90" t="n">
        <x:v>-1</x:v>
      </x:c>
      <x:c r="S138" s="90" t="n">
        <x:v>0</x:v>
      </x:c>
      <x:c r="T138" s="90" t="n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 t="n">
        <x:v>0</x:v>
      </x:c>
    </x:row>
    <x:row r="139" spans="3:26" ht="12.75" customHeight="1" x14ac:dyDescent="0.3">
      <x:c r="E139" s="89" t="s">
        <x:v>72</x:v>
      </x:c>
      <x:c r="F139" s="371" t="n">
        <x:v>642782.27</x:v>
      </x:c>
      <x:c r="G139" s="90" t="n">
        <x:v>31379.48</x:v>
      </x:c>
      <x:c r="H139" s="90" t="n">
        <x:v>17705.74</x:v>
      </x:c>
      <x:c r="I139" s="90" t="n">
        <x:v>9385.95</x:v>
      </x:c>
      <x:c r="J139" s="90" t="n">
        <x:v>152267.08</x:v>
      </x:c>
      <x:c r="K139" s="90" t="n">
        <x:v>4852.15</x:v>
      </x:c>
      <x:c r="L139" s="90" t="n">
        <x:v>0</x:v>
      </x:c>
      <x:c r="M139" s="90" t="n">
        <x:v>42562.72</x:v>
      </x:c>
      <x:c r="N139" s="90" t="n">
        <x:v>54528.92</x:v>
      </x:c>
      <x:c r="O139" s="90" t="n">
        <x:v>260815.06</x:v>
      </x:c>
      <x:c r="P139" s="90" t="n">
        <x:v>61357.46</x:v>
      </x:c>
      <x:c r="Q139" s="90" t="n">
        <x:v>7916.7</x:v>
      </x:c>
      <x:c r="R139" s="90" t="n">
        <x:v>11.01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3">
      <x:c r="E140" s="89" t="s">
        <x:v>81</x:v>
      </x:c>
      <x:c r="F140" s="371" t="n">
        <x:v>1590.27</x:v>
      </x:c>
      <x:c r="G140" s="90" t="n">
        <x:v>84.26</x:v>
      </x:c>
      <x:c r="H140" s="90" t="n">
        <x:v>47.65</x:v>
      </x:c>
      <x:c r="I140" s="90" t="n">
        <x:v>25.29</x:v>
      </x:c>
      <x:c r="J140" s="90" t="n">
        <x:v>415.91</x:v>
      </x:c>
      <x:c r="K140" s="90" t="n">
        <x:v>10.2</x:v>
      </x:c>
      <x:c r="L140" s="90" t="n">
        <x:v>0</x:v>
      </x:c>
      <x:c r="M140" s="90" t="n">
        <x:v>89.36</x:v>
      </x:c>
      <x:c r="N140" s="90" t="n">
        <x:v>128.29</x:v>
      </x:c>
      <x:c r="O140" s="90" t="n">
        <x:v>603.23</x:v>
      </x:c>
      <x:c r="P140" s="90" t="n">
        <x:v>169.46</x:v>
      </x:c>
      <x:c r="Q140" s="90" t="n">
        <x:v>16.61</x:v>
      </x:c>
      <x:c r="R140" s="90" t="n">
        <x:v>0.01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3:26" ht="12.75" customHeight="1" x14ac:dyDescent="0.3">
      <x:c r="D141" t="s">
        <x:v>86</x:v>
      </x:c>
      <x:c r="E141" s="89" t="s">
        <x:v>70</x:v>
      </x:c>
      <x:c r="F141" s="371" t="n">
        <x:v>644372.54</x:v>
      </x:c>
      <x:c r="G141" s="90" t="n">
        <x:v>31463.74</x:v>
      </x:c>
      <x:c r="H141" s="90" t="n">
        <x:v>17753.39</x:v>
      </x:c>
      <x:c r="I141" s="90" t="n">
        <x:v>9411.24</x:v>
      </x:c>
      <x:c r="J141" s="90" t="n">
        <x:v>152682.99</x:v>
      </x:c>
      <x:c r="K141" s="90" t="n">
        <x:v>4862.35</x:v>
      </x:c>
      <x:c r="L141" s="90" t="n">
        <x:v>0</x:v>
      </x:c>
      <x:c r="M141" s="90" t="n">
        <x:v>42652.08</x:v>
      </x:c>
      <x:c r="N141" s="90" t="n">
        <x:v>54657.21</x:v>
      </x:c>
      <x:c r="O141" s="90" t="n">
        <x:v>261418.29</x:v>
      </x:c>
      <x:c r="P141" s="90" t="n">
        <x:v>61526.92</x:v>
      </x:c>
      <x:c r="Q141" s="90" t="n">
        <x:v>7933.31</x:v>
      </x:c>
      <x:c r="R141" s="90" t="n">
        <x:v>11.02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3">
      <x:c r="E142" s="89" t="s">
        <x:v>72</x:v>
      </x:c>
      <x:c r="F142" s="371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3">
      <x:c r="E143" t="s">
        <x:v>81</x:v>
      </x:c>
      <x:c r="F143" s="90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3">
      <x:c r="D144" t="s">
        <x:v>87</x:v>
      </x:c>
      <x:c r="E144" s="89" t="s">
        <x:v>70</x:v>
      </x:c>
      <x:c r="F144" s="371">
        <x:v>0</x:v>
      </x:c>
      <x:c r="G144" s="90">
        <x:v>0</x:v>
      </x:c>
      <x:c r="H144" s="90">
        <x:v>0</x:v>
      </x:c>
      <x:c r="I144" s="90">
        <x:v>0</x:v>
      </x:c>
      <x:c r="J144" s="90">
        <x:v>0</x:v>
      </x:c>
      <x:c r="K144" s="90">
        <x:v>0</x:v>
      </x:c>
      <x:c r="L144" s="90">
        <x:v>0</x:v>
      </x:c>
      <x:c r="M144" s="90">
        <x:v>0</x:v>
      </x:c>
      <x:c r="N144" s="90">
        <x:v>0</x:v>
      </x:c>
      <x:c r="O144" s="90">
        <x:v>0</x:v>
      </x:c>
      <x:c r="P144" s="90">
        <x:v>0</x:v>
      </x:c>
      <x:c r="Q144" s="90">
        <x:v>0</x:v>
      </x:c>
      <x:c r="R144" s="90">
        <x:v>0</x:v>
      </x:c>
      <x:c r="S144" s="90">
        <x:v>0</x:v>
      </x:c>
      <x:c r="T144" s="90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>
        <x:v>0</x:v>
      </x:c>
    </x:row>
    <x:row r="145" spans="2:26" s="94" customFormat="1" ht="12.75" customHeight="1" x14ac:dyDescent="0.3">
      <x:c r="C145" s="94" t="s">
        <x:v>119</x:v>
      </x:c>
      <x:c r="D145" s="94" t="s">
        <x:v>70</x:v>
      </x:c>
      <x:c r="E145" s="101"/>
      <x:c r="F145" s="93" t="n">
        <x:v>666142.54</x:v>
      </x:c>
      <x:c r="G145" s="93" t="n">
        <x:v>32467.9</x:v>
      </x:c>
      <x:c r="H145" s="93" t="n">
        <x:v>18320.34</x:v>
      </x:c>
      <x:c r="I145" s="93" t="n">
        <x:v>9708.74</x:v>
      </x:c>
      <x:c r="J145" s="93" t="n">
        <x:v>158800.41</x:v>
      </x:c>
      <x:c r="K145" s="93" t="n">
        <x:v>5058.27</x:v>
      </x:c>
      <x:c r="L145" s="93" t="n">
        <x:v>0</x:v>
      </x:c>
      <x:c r="M145" s="93" t="n">
        <x:v>44370.67</x:v>
      </x:c>
      <x:c r="N145" s="93" t="n">
        <x:v>56323.6</x:v>
      </x:c>
      <x:c r="O145" s="93" t="n">
        <x:v>269309.02</x:v>
      </x:c>
      <x:c r="P145" s="93" t="n">
        <x:v>63520.61</x:v>
      </x:c>
      <x:c r="Q145" s="93" t="n">
        <x:v>8252.96</x:v>
      </x:c>
      <x:c r="R145" s="93" t="n">
        <x:v>10.02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3">
      <x:c r="B146" s="378" t="s">
        <x:v>122</x:v>
      </x:c>
      <x:c r="C146" s="378" t="s">
        <x:v>70</x:v>
      </x:c>
      <x:c r="E146" s="376"/>
      <x:c r="F146" s="710" t="n">
        <x:v>11754082.62</x:v>
      </x:c>
      <x:c r="G146" s="377" t="n">
        <x:v>651837.25</x:v>
      </x:c>
      <x:c r="H146" s="377" t="n">
        <x:v>367261.1</x:v>
      </x:c>
      <x:c r="I146" s="377" t="n">
        <x:v>196265.14</x:v>
      </x:c>
      <x:c r="J146" s="377" t="n">
        <x:v>2936066.51</x:v>
      </x:c>
      <x:c r="K146" s="377" t="n">
        <x:v>79272.71</x:v>
      </x:c>
      <x:c r="L146" s="377" t="n">
        <x:v>0</x:v>
      </x:c>
      <x:c r="M146" s="377" t="n">
        <x:v>695375.41</x:v>
      </x:c>
      <x:c r="N146" s="377" t="n">
        <x:v>925873.97</x:v>
      </x:c>
      <x:c r="O146" s="377" t="n">
        <x:v>4476434.58</x:v>
      </x:c>
      <x:c r="P146" s="377" t="n">
        <x:v>1295216.93</x:v>
      </x:c>
      <x:c r="Q146" s="377" t="n">
        <x:v>130580.61</x:v>
      </x:c>
      <x:c r="R146" s="377" t="n">
        <x:v>-101.63</x:v>
      </x:c>
      <x:c r="S146" s="377" t="n">
        <x:v>0.04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3">
      <x:c r="E147" s="89" t="s">
        <x:v>72</x:v>
      </x:c>
      <x:c r="F147" s="371" t="n">
        <x:v>13661750351.16</x:v>
      </x:c>
      <x:c r="G147" s="90" t="n">
        <x:v>755832638.63</x:v>
      </x:c>
      <x:c r="H147" s="90" t="n">
        <x:v>419095291.18</x:v>
      </x:c>
      <x:c r="I147" s="90" t="n">
        <x:v>222514274.02</x:v>
      </x:c>
      <x:c r="J147" s="90" t="n">
        <x:v>3449879902.66</x:v>
      </x:c>
      <x:c r="K147" s="90" t="n">
        <x:v>123342297.85</x:v>
      </x:c>
      <x:c r="L147" s="90" t="n">
        <x:v>6720393.95</x:v>
      </x:c>
      <x:c r="M147" s="90" t="n">
        <x:v>1081480634.25</x:v>
      </x:c>
      <x:c r="N147" s="90" t="n">
        <x:v>1028957638.32</x:v>
      </x:c>
      <x:c r="O147" s="90" t="n">
        <x:v>4892762286.45</x:v>
      </x:c>
      <x:c r="P147" s="90" t="n">
        <x:v>1479803087.01</x:v>
      </x:c>
      <x:c r="Q147" s="90" t="n">
        <x:v>201381222.79</x:v>
      </x:c>
      <x:c r="R147" s="90" t="n">
        <x:v>-19315.95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3">
      <x:c r="E148" s="89" t="s">
        <x:v>81</x:v>
      </x:c>
      <x:c r="F148" s="90" t="n">
        <x:v>43503310.09</x:v>
      </x:c>
      <x:c r="G148" s="90" t="n">
        <x:v>5204775.18</x:v>
      </x:c>
      <x:c r="H148" s="90" t="n">
        <x:v>2452189.26</x:v>
      </x:c>
      <x:c r="I148" s="90" t="n">
        <x:v>1088195.39</x:v>
      </x:c>
      <x:c r="J148" s="90" t="n">
        <x:v>7935008.86</x:v>
      </x:c>
      <x:c r="K148" s="90" t="n">
        <x:v>278098.06</x:v>
      </x:c>
      <x:c r="L148" s="90" t="n">
        <x:v>1669.26</x:v>
      </x:c>
      <x:c r="M148" s="90" t="n">
        <x:v>2439581.44</x:v>
      </x:c>
      <x:c r="N148" s="90" t="n">
        <x:v>2815332.62</x:v>
      </x:c>
      <x:c r="O148" s="90" t="n">
        <x:v>10614690.38</x:v>
      </x:c>
      <x:c r="P148" s="90" t="n">
        <x:v>10213915.62</x:v>
      </x:c>
      <x:c r="Q148" s="90" t="n">
        <x:v>453845.12</x:v>
      </x:c>
      <x:c r="R148" s="90" t="n">
        <x:v>6057.83</x:v>
      </x:c>
      <x:c r="S148" s="90" t="n">
        <x:v>-48.93</x:v>
      </x:c>
      <x:c r="T148" s="90" t="n">
        <x:v>0.4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-0.4</x:v>
      </x:c>
    </x:row>
    <x:row r="149" spans="2:26" ht="12.75" customHeight="1" x14ac:dyDescent="0.3">
      <x:c r="D149" t="s">
        <x:v>156</x:v>
      </x:c>
      <x:c r="E149" s="89" t="s">
        <x:v>70</x:v>
      </x:c>
      <x:c r="F149" s="90" t="n">
        <x:v>13705253661.25</x:v>
      </x:c>
      <x:c r="G149" s="90" t="n">
        <x:v>761037413.81</x:v>
      </x:c>
      <x:c r="H149" s="90" t="n">
        <x:v>421547480.44</x:v>
      </x:c>
      <x:c r="I149" s="90" t="n">
        <x:v>223602469.41</x:v>
      </x:c>
      <x:c r="J149" s="90" t="n">
        <x:v>3457814911.52</x:v>
      </x:c>
      <x:c r="K149" s="90" t="n">
        <x:v>123620395.91</x:v>
      </x:c>
      <x:c r="L149" s="90" t="n">
        <x:v>6722063.21</x:v>
      </x:c>
      <x:c r="M149" s="90" t="n">
        <x:v>1083920215.69</x:v>
      </x:c>
      <x:c r="N149" s="90" t="n">
        <x:v>1031772970.94</x:v>
      </x:c>
      <x:c r="O149" s="90" t="n">
        <x:v>4903376976.83</x:v>
      </x:c>
      <x:c r="P149" s="90" t="n">
        <x:v>1490017002.63</x:v>
      </x:c>
      <x:c r="Q149" s="90" t="n">
        <x:v>201835067.91</x:v>
      </x:c>
      <x:c r="R149" s="90" t="n">
        <x:v>-13258.12</x:v>
      </x:c>
      <x:c r="S149" s="90" t="n">
        <x:v>-48.93</x:v>
      </x:c>
      <x:c r="T149" s="90" t="n">
        <x:v>0.4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-0.4</x:v>
      </x:c>
    </x:row>
    <x:row r="150" spans="2:26" s="656" customFormat="1" ht="12.75" customHeight="1" x14ac:dyDescent="0.3">
      <x:c r="C150" s="656" t="s">
        <x:v>155</x:v>
      </x:c>
      <x:c r="D150" s="657" t="s">
        <x:v>70</x:v>
      </x:c>
      <x:c r="E150" s="657"/>
      <x:c r="F150" s="658" t="n">
        <x:v>13705253661.25</x:v>
      </x:c>
      <x:c r="G150" s="658" t="n">
        <x:v>761037413.81</x:v>
      </x:c>
      <x:c r="H150" s="658" t="n">
        <x:v>421547480.44</x:v>
      </x:c>
      <x:c r="I150" s="658" t="n">
        <x:v>223602469.41</x:v>
      </x:c>
      <x:c r="J150" s="658" t="n">
        <x:v>3457814911.52</x:v>
      </x:c>
      <x:c r="K150" s="658" t="n">
        <x:v>123620395.91</x:v>
      </x:c>
      <x:c r="L150" s="658" t="n">
        <x:v>6722063.21</x:v>
      </x:c>
      <x:c r="M150" s="658" t="n">
        <x:v>1083920215.69</x:v>
      </x:c>
      <x:c r="N150" s="658" t="n">
        <x:v>1031772970.94</x:v>
      </x:c>
      <x:c r="O150" s="658" t="n">
        <x:v>4903376976.83</x:v>
      </x:c>
      <x:c r="P150" s="658" t="n">
        <x:v>1490017002.63</x:v>
      </x:c>
      <x:c r="Q150" s="658" t="n">
        <x:v>201835067.91</x:v>
      </x:c>
      <x:c r="R150" s="658" t="n">
        <x:v>-13258.12</x:v>
      </x:c>
      <x:c r="S150" s="658" t="n">
        <x:v>-48.93</x:v>
      </x:c>
      <x:c r="T150" s="658" t="n">
        <x:v>0.4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-0.4</x:v>
      </x:c>
    </x:row>
    <x:row r="151" spans="2:26" ht="12.75" customHeight="1" x14ac:dyDescent="0.3">
      <x:c r="D151" s="89"/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2:26" ht="12.75" customHeight="1" x14ac:dyDescent="0.3">
      <x:c r="D152" s="89"/>
      <x:c r="E152" s="89" t="s">
        <x:v>81</x:v>
      </x:c>
      <x:c r="F152" s="371">
        <x:v>0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2:26" ht="12.75" customHeight="1" x14ac:dyDescent="0.3">
      <x:c r="D153" s="89" t="s">
        <x:v>115</x:v>
      </x:c>
      <x:c r="E153" s="89" t="s">
        <x:v>70</x:v>
      </x:c>
      <x:c r="F153" s="371">
        <x:v>0</x:v>
      </x:c>
      <x:c r="G153" s="90">
        <x:v>0</x:v>
      </x:c>
      <x:c r="H153" s="90">
        <x:v>0</x:v>
      </x:c>
      <x:c r="I153" s="90">
        <x:v>0</x:v>
      </x:c>
      <x:c r="J153" s="90">
        <x:v>0</x:v>
      </x:c>
      <x:c r="K153" s="90">
        <x:v>0</x:v>
      </x:c>
      <x:c r="L153" s="90">
        <x:v>0</x:v>
      </x:c>
      <x:c r="M153" s="90">
        <x:v>0</x:v>
      </x:c>
      <x:c r="N153" s="90">
        <x:v>0</x:v>
      </x:c>
      <x:c r="O153" s="90">
        <x:v>0</x:v>
      </x:c>
      <x:c r="P153" s="90">
        <x:v>0</x:v>
      </x:c>
      <x:c r="Q153" s="90">
        <x:v>0</x:v>
      </x:c>
      <x:c r="R153" s="90">
        <x:v>0</x:v>
      </x:c>
      <x:c r="S153" s="90">
        <x:v>0</x:v>
      </x:c>
      <x:c r="T153" s="90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>
        <x:v>0</x:v>
      </x:c>
    </x:row>
    <x:row r="154" spans="2:26" ht="12.75" customHeight="1" x14ac:dyDescent="0.3">
      <x:c r="D154" s="89"/>
      <x:c r="E154" s="89" t="s">
        <x:v>72</x:v>
      </x:c>
      <x:c r="F154" s="371">
        <x:v>0</x:v>
      </x:c>
      <x:c r="G154" s="90">
        <x:v>0</x:v>
      </x:c>
      <x:c r="H154" s="90">
        <x:v>0</x:v>
      </x:c>
      <x:c r="I154" s="90">
        <x:v>0</x:v>
      </x:c>
      <x:c r="J154" s="90">
        <x:v>0</x:v>
      </x:c>
      <x:c r="K154" s="90">
        <x:v>0</x:v>
      </x:c>
      <x:c r="L154" s="90">
        <x:v>0</x:v>
      </x:c>
      <x:c r="M154" s="90">
        <x:v>0</x:v>
      </x:c>
      <x:c r="N154" s="90">
        <x:v>0</x:v>
      </x:c>
      <x:c r="O154" s="90">
        <x:v>0</x:v>
      </x:c>
      <x:c r="P154" s="90">
        <x:v>0</x:v>
      </x:c>
      <x:c r="Q154" s="90">
        <x:v>0</x:v>
      </x:c>
      <x:c r="R154" s="90">
        <x:v>0</x:v>
      </x:c>
      <x:c r="S154" s="90">
        <x:v>0</x:v>
      </x:c>
      <x:c r="T154" s="90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>
        <x:v>0</x:v>
      </x:c>
    </x:row>
    <x:row r="155" spans="2:26" ht="12.75" customHeight="1" x14ac:dyDescent="0.3">
      <x:c r="D155" s="89"/>
      <x:c r="E155" s="89" t="s">
        <x:v>81</x:v>
      </x:c>
      <x:c r="F155" s="90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2:26" ht="12.75" customHeight="1" x14ac:dyDescent="0.3">
      <x:c r="D156" t="s">
        <x:v>116</x:v>
      </x:c>
      <x:c r="E156" s="89" t="s">
        <x:v>70</x:v>
      </x:c>
      <x:c r="F156" s="90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2:26" ht="12.75" customHeight="1" x14ac:dyDescent="0.3">
      <x:c r="D157" s="89"/>
      <x:c r="E157" s="89" t="s">
        <x:v>72</x:v>
      </x:c>
      <x:c r="F157" s="90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2:26" ht="12.75" customHeight="1" x14ac:dyDescent="0.3">
      <x:c r="E158" s="89" t="s">
        <x:v>81</x:v>
      </x:c>
      <x:c r="F158" s="90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2:26" ht="12.75" customHeight="1" x14ac:dyDescent="0.3">
      <x:c r="D159" t="s">
        <x:v>118</x:v>
      </x:c>
      <x:c r="E159" s="89" t="s">
        <x:v>70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2:26" s="224" customFormat="1" ht="12.75" customHeight="1" x14ac:dyDescent="0.3">
      <x:c r="C160" s="223" t="s">
        <x:v>120</x:v>
      </x:c>
      <x:c r="D160" s="223" t="s">
        <x:v>70</x:v>
      </x:c>
      <x:c r="F160" s="225">
        <x:v>0</x:v>
      </x:c>
      <x:c r="G160" s="225">
        <x:v>0</x:v>
      </x:c>
      <x:c r="H160" s="225">
        <x:v>0</x:v>
      </x:c>
      <x:c r="I160" s="225">
        <x:v>0</x:v>
      </x:c>
      <x:c r="J160" s="225">
        <x:v>0</x:v>
      </x:c>
      <x:c r="K160" s="225">
        <x:v>0</x:v>
      </x:c>
      <x:c r="L160" s="225">
        <x:v>0</x:v>
      </x:c>
      <x:c r="M160" s="225">
        <x:v>0</x:v>
      </x:c>
      <x:c r="N160" s="225">
        <x:v>0</x:v>
      </x:c>
      <x:c r="O160" s="225">
        <x:v>0</x:v>
      </x:c>
      <x:c r="P160" s="225">
        <x:v>0</x:v>
      </x:c>
      <x:c r="Q160" s="225">
        <x:v>0</x:v>
      </x:c>
      <x:c r="R160" s="225">
        <x:v>0</x:v>
      </x:c>
      <x:c r="S160" s="225">
        <x:v>0</x:v>
      </x:c>
      <x:c r="T160" s="225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>
        <x:v>0</x:v>
      </x:c>
    </x:row>
    <x:row r="161" spans="1:26" ht="12.75" customHeight="1" x14ac:dyDescent="0.3">
      <x:c r="C161" s="89"/>
      <x:c r="D161" s="89"/>
      <x:c r="E161" t="s">
        <x:v>72</x:v>
      </x:c>
      <x:c r="F161" s="90" t="n">
        <x:v>181427435.33</x:v>
      </x:c>
      <x:c r="G161" s="90" t="n">
        <x:v>10584510.26</x:v>
      </x:c>
      <x:c r="H161" s="90" t="n">
        <x:v>5916459.91</x:v>
      </x:c>
      <x:c r="I161" s="90" t="n">
        <x:v>3152733.94</x:v>
      </x:c>
      <x:c r="J161" s="90" t="n">
        <x:v>46302519.36</x:v>
      </x:c>
      <x:c r="K161" s="90" t="n">
        <x:v>1141535.98</x:v>
      </x:c>
      <x:c r="L161" s="90" t="n">
        <x:v>0</x:v>
      </x:c>
      <x:c r="M161" s="90" t="n">
        <x:v>10044923.3</x:v>
      </x:c>
      <x:c r="N161" s="90" t="n">
        <x:v>14090686.25</x:v>
      </x:c>
      <x:c r="O161" s="90" t="n">
        <x:v>67406988.81</x:v>
      </x:c>
      <x:c r="P161" s="90" t="n">
        <x:v>20914641.48</x:v>
      </x:c>
      <x:c r="Q161" s="90" t="n">
        <x:v>1872781.11</x:v>
      </x:c>
      <x:c r="R161" s="90" t="n">
        <x:v>-345.07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3">
      <x:c r="C162" s="89"/>
      <x:c r="D162" s="89"/>
      <x:c r="E162" t="s">
        <x:v>81</x:v>
      </x:c>
      <x:c r="F162" s="90" t="n">
        <x:v>1706030.45</x:v>
      </x:c>
      <x:c r="G162" s="90" t="n">
        <x:v>137098.36</x:v>
      </x:c>
      <x:c r="H162" s="90" t="n">
        <x:v>75640.07</x:v>
      </x:c>
      <x:c r="I162" s="90" t="n">
        <x:v>40699.37</x:v>
      </x:c>
      <x:c r="J162" s="90" t="n">
        <x:v>376089.2</x:v>
      </x:c>
      <x:c r="K162" s="90" t="n">
        <x:v>9777.29</x:v>
      </x:c>
      <x:c r="L162" s="90" t="n">
        <x:v>0</x:v>
      </x:c>
      <x:c r="M162" s="90" t="n">
        <x:v>85995.13</x:v>
      </x:c>
      <x:c r="N162" s="90" t="n">
        <x:v>119953.19</x:v>
      </x:c>
      <x:c r="O162" s="90" t="n">
        <x:v>571427.47</x:v>
      </x:c>
      <x:c r="P162" s="90" t="n">
        <x:v>273296.95</x:v>
      </x:c>
      <x:c r="Q162" s="90" t="n">
        <x:v>16055.78</x:v>
      </x:c>
      <x:c r="R162" s="90" t="n">
        <x:v>-2.36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0</x:v>
      </x:c>
    </x:row>
    <x:row r="163" spans="1:26" ht="12.75" customHeight="1" x14ac:dyDescent="0.3">
      <x:c r="D163" t="s">
        <x:v>82</x:v>
      </x:c>
      <x:c r="E163" s="89" t="s">
        <x:v>70</x:v>
      </x:c>
      <x:c r="F163" s="90" t="n">
        <x:v>183133465.78</x:v>
      </x:c>
      <x:c r="G163" s="90" t="n">
        <x:v>10721608.62</x:v>
      </x:c>
      <x:c r="H163" s="90" t="n">
        <x:v>5992099.98</x:v>
      </x:c>
      <x:c r="I163" s="90" t="n">
        <x:v>3193433.31</x:v>
      </x:c>
      <x:c r="J163" s="90" t="n">
        <x:v>46678608.56</x:v>
      </x:c>
      <x:c r="K163" s="90" t="n">
        <x:v>1151313.27</x:v>
      </x:c>
      <x:c r="L163" s="90" t="n">
        <x:v>0</x:v>
      </x:c>
      <x:c r="M163" s="90" t="n">
        <x:v>10130918.43</x:v>
      </x:c>
      <x:c r="N163" s="90" t="n">
        <x:v>14210639.44</x:v>
      </x:c>
      <x:c r="O163" s="90" t="n">
        <x:v>67978416.28</x:v>
      </x:c>
      <x:c r="P163" s="90" t="n">
        <x:v>21187938.43</x:v>
      </x:c>
      <x:c r="Q163" s="90" t="n">
        <x:v>1888836.89</x:v>
      </x:c>
      <x:c r="R163" s="90" t="n">
        <x:v>-347.43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0</x:v>
      </x:c>
    </x:row>
    <x:row r="164" spans="1:26" ht="12.75" customHeight="1" x14ac:dyDescent="0.3">
      <x:c r="E164" s="89" t="s">
        <x:v>72</x:v>
      </x:c>
      <x:c r="F164" s="90" t="n">
        <x:v>142761958.62</x:v>
      </x:c>
      <x:c r="G164" s="90" t="n">
        <x:v>12211948.94</x:v>
      </x:c>
      <x:c r="H164" s="90" t="n">
        <x:v>6104267.84</x:v>
      </x:c>
      <x:c r="I164" s="90" t="n">
        <x:v>3105854.09</x:v>
      </x:c>
      <x:c r="J164" s="90" t="n">
        <x:v>29450189.6</x:v>
      </x:c>
      <x:c r="K164" s="90" t="n">
        <x:v>882623.55</x:v>
      </x:c>
      <x:c r="L164" s="90" t="n">
        <x:v>153000</x:v>
      </x:c>
      <x:c r="M164" s="90" t="n">
        <x:v>8402166.12</x:v>
      </x:c>
      <x:c r="N164" s="90" t="n">
        <x:v>10201837.97</x:v>
      </x:c>
      <x:c r="O164" s="90" t="n">
        <x:v>46509870.38</x:v>
      </x:c>
      <x:c r="P164" s="90" t="n">
        <x:v>24294699.3</x:v>
      </x:c>
      <x:c r="Q164" s="90" t="n">
        <x:v>1445692.59</x:v>
      </x:c>
      <x:c r="R164" s="90" t="n">
        <x:v>-191.76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3">
      <x:c r="D165" s="89"/>
      <x:c r="E165" s="89" t="s">
        <x:v>81</x:v>
      </x:c>
      <x:c r="F165" s="90" t="n">
        <x:v>10391426.36</x:v>
      </x:c>
      <x:c r="G165" s="90" t="n">
        <x:v>1454368.35</x:v>
      </x:c>
      <x:c r="H165" s="90" t="n">
        <x:v>688820.37</x:v>
      </x:c>
      <x:c r="I165" s="90" t="n">
        <x:v>324516.98</x:v>
      </x:c>
      <x:c r="J165" s="90" t="n">
        <x:v>1671330.74</x:v>
      </x:c>
      <x:c r="K165" s="90" t="n">
        <x:v>52566.14</x:v>
      </x:c>
      <x:c r="L165" s="90" t="n">
        <x:v>3749.78</x:v>
      </x:c>
      <x:c r="M165" s="90" t="n">
        <x:v>453600.98</x:v>
      </x:c>
      <x:c r="N165" s="90" t="n">
        <x:v>558588.54</x:v>
      </x:c>
      <x:c r="O165" s="90" t="n">
        <x:v>2214574.42</x:v>
      </x:c>
      <x:c r="P165" s="90" t="n">
        <x:v>2883484.82</x:v>
      </x:c>
      <x:c r="Q165" s="90" t="n">
        <x:v>85817.21</x:v>
      </x:c>
      <x:c r="R165" s="90" t="n">
        <x:v>7.31</x:v>
      </x:c>
      <x:c r="S165" s="90" t="n">
        <x:v>0.93</x:v>
      </x:c>
      <x:c r="T165" s="90" t="n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-0.21</x:v>
      </x:c>
    </x:row>
    <x:row r="166" spans="1:26" ht="12.75" customHeight="1" x14ac:dyDescent="0.3">
      <x:c r="D166" t="s">
        <x:v>86</x:v>
      </x:c>
      <x:c r="E166" s="89" t="s">
        <x:v>70</x:v>
      </x:c>
      <x:c r="F166" s="90" t="n">
        <x:v>153153384.98</x:v>
      </x:c>
      <x:c r="G166" s="90" t="n">
        <x:v>13666317.29</x:v>
      </x:c>
      <x:c r="H166" s="90" t="n">
        <x:v>6793088.21</x:v>
      </x:c>
      <x:c r="I166" s="90" t="n">
        <x:v>3430371.07</x:v>
      </x:c>
      <x:c r="J166" s="90" t="n">
        <x:v>31121520.34</x:v>
      </x:c>
      <x:c r="K166" s="90" t="n">
        <x:v>935189.69</x:v>
      </x:c>
      <x:c r="L166" s="90" t="n">
        <x:v>156749.78</x:v>
      </x:c>
      <x:c r="M166" s="90" t="n">
        <x:v>8855767.1</x:v>
      </x:c>
      <x:c r="N166" s="90" t="n">
        <x:v>10760426.51</x:v>
      </x:c>
      <x:c r="O166" s="90" t="n">
        <x:v>48724444.8</x:v>
      </x:c>
      <x:c r="P166" s="90" t="n">
        <x:v>27178184.12</x:v>
      </x:c>
      <x:c r="Q166" s="90" t="n">
        <x:v>1531509.8</x:v>
      </x:c>
      <x:c r="R166" s="90" t="n">
        <x:v>-184.45</x:v>
      </x:c>
      <x:c r="S166" s="90" t="n">
        <x:v>0.93</x:v>
      </x:c>
      <x:c r="T166" s="90" t="n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-0.21</x:v>
      </x:c>
    </x:row>
    <x:row r="167" spans="1:26" ht="12.75" customHeight="1" x14ac:dyDescent="0.3">
      <x:c r="E167" s="89" t="s">
        <x:v>72</x:v>
      </x:c>
      <x:c r="F167" s="90" t="n">
        <x:v>431976797.82</x:v>
      </x:c>
      <x:c r="G167" s="90" t="n">
        <x:v>82660193.61</x:v>
      </x:c>
      <x:c r="H167" s="90" t="n">
        <x:v>46275318.25</x:v>
      </x:c>
      <x:c r="I167" s="90" t="n">
        <x:v>24557510.26</x:v>
      </x:c>
      <x:c r="J167" s="90" t="n">
        <x:v>36957419.27</x:v>
      </x:c>
      <x:c r="K167" s="90" t="n">
        <x:v>895809.73</x:v>
      </x:c>
      <x:c r="L167" s="90" t="n">
        <x:v>2914000</x:v>
      </x:c>
      <x:c r="M167" s="90" t="n">
        <x:v>7873505.91</x:v>
      </x:c>
      <x:c r="N167" s="90" t="n">
        <x:v>11116337.92</x:v>
      </x:c>
      <x:c r="O167" s="90" t="n">
        <x:v>53167553.16</x:v>
      </x:c>
      <x:c r="P167" s="90" t="n">
        <x:v>164093920.88</x:v>
      </x:c>
      <x:c r="Q167" s="90" t="n">
        <x:v>1465643.88</x:v>
      </x:c>
      <x:c r="R167" s="90" t="n">
        <x:v>-415.05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3">
      <x:c r="D168" s="89"/>
      <x:c r="E168" s="89" t="s">
        <x:v>81</x:v>
      </x:c>
      <x:c r="F168" s="90" t="n">
        <x:v>23157610.32</x:v>
      </x:c>
      <x:c r="G168" s="90" t="n">
        <x:v>5189724.52</x:v>
      </x:c>
      <x:c r="H168" s="90" t="n">
        <x:v>2863845.82</x:v>
      </x:c>
      <x:c r="I168" s="90" t="n">
        <x:v>1529755.86</x:v>
      </x:c>
      <x:c r="J168" s="90" t="n">
        <x:v>1096539.75</x:v>
      </x:c>
      <x:c r="K168" s="90" t="n">
        <x:v>27121.51</x:v>
      </x:c>
      <x:c r="L168" s="90" t="n">
        <x:v>41522.82</x:v>
      </x:c>
      <x:c r="M168" s="90" t="n">
        <x:v>236988.67</x:v>
      </x:c>
      <x:c r="N168" s="90" t="n">
        <x:v>318251.21</x:v>
      </x:c>
      <x:c r="O168" s="90" t="n">
        <x:v>1500767.57</x:v>
      </x:c>
      <x:c r="P168" s="90" t="n">
        <x:v>10365083.59</x:v>
      </x:c>
      <x:c r="Q168" s="90" t="n">
        <x:v>44268.21</x:v>
      </x:c>
      <x:c r="R168" s="90" t="n">
        <x:v>0.39</x:v>
      </x:c>
      <x:c r="S168" s="90" t="n">
        <x:v>-56259.6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3">
      <x:c r="D169" t="s">
        <x:v>87</x:v>
      </x:c>
      <x:c r="E169" s="89" t="s">
        <x:v>70</x:v>
      </x:c>
      <x:c r="F169" s="90" t="n">
        <x:v>455134408.14</x:v>
      </x:c>
      <x:c r="G169" s="90" t="n">
        <x:v>87849918.13</x:v>
      </x:c>
      <x:c r="H169" s="90" t="n">
        <x:v>49139164.07</x:v>
      </x:c>
      <x:c r="I169" s="90" t="n">
        <x:v>26087266.12</x:v>
      </x:c>
      <x:c r="J169" s="90" t="n">
        <x:v>38053959.02</x:v>
      </x:c>
      <x:c r="K169" s="90" t="n">
        <x:v>922931.24</x:v>
      </x:c>
      <x:c r="L169" s="90" t="n">
        <x:v>2955522.82</x:v>
      </x:c>
      <x:c r="M169" s="90" t="n">
        <x:v>8110494.58</x:v>
      </x:c>
      <x:c r="N169" s="90" t="n">
        <x:v>11434589.13</x:v>
      </x:c>
      <x:c r="O169" s="90" t="n">
        <x:v>54668320.73</x:v>
      </x:c>
      <x:c r="P169" s="90" t="n">
        <x:v>174459004.47</x:v>
      </x:c>
      <x:c r="Q169" s="90" t="n">
        <x:v>1509912.09</x:v>
      </x:c>
      <x:c r="R169" s="90" t="n">
        <x:v>-414.66</x:v>
      </x:c>
      <x:c r="S169" s="90" t="n">
        <x:v>-56259.6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3">
      <x:c r="C170" s="94" t="s">
        <x:v>119</x:v>
      </x:c>
      <x:c r="D170" s="94" t="s">
        <x:v>70</x:v>
      </x:c>
      <x:c r="E170" s="101"/>
      <x:c r="F170" s="93" t="n">
        <x:v>791421258.9</x:v>
      </x:c>
      <x:c r="G170" s="93" t="n">
        <x:v>112237844.04</x:v>
      </x:c>
      <x:c r="H170" s="93" t="n">
        <x:v>61924352.26</x:v>
      </x:c>
      <x:c r="I170" s="93" t="n">
        <x:v>32711070.5</x:v>
      </x:c>
      <x:c r="J170" s="93" t="n">
        <x:v>115854087.92</x:v>
      </x:c>
      <x:c r="K170" s="93" t="n">
        <x:v>3009434.2</x:v>
      </x:c>
      <x:c r="L170" s="93" t="n">
        <x:v>3112272.6</x:v>
      </x:c>
      <x:c r="M170" s="93" t="n">
        <x:v>27097180.11</x:v>
      </x:c>
      <x:c r="N170" s="93" t="n">
        <x:v>36405655.08</x:v>
      </x:c>
      <x:c r="O170" s="93" t="n">
        <x:v>171371181.81</x:v>
      </x:c>
      <x:c r="P170" s="93" t="n">
        <x:v>222825127.02</x:v>
      </x:c>
      <x:c r="Q170" s="93" t="n">
        <x:v>4930258.78</x:v>
      </x:c>
      <x:c r="R170" s="93" t="n">
        <x:v>-946.54</x:v>
      </x:c>
      <x:c r="S170" s="93" t="n">
        <x:v>-56258.67</x:v>
      </x:c>
      <x:c r="T170" s="93" t="n">
        <x:v>0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-0.21</x:v>
      </x:c>
    </x:row>
    <x:row r="171" spans="1:26" s="226" customFormat="1" ht="12.75" customHeight="1" x14ac:dyDescent="0.3">
      <x:c r="B171" s="98" t="s">
        <x:v>112</x:v>
      </x:c>
      <x:c r="C171" s="98" t="s">
        <x:v>70</x:v>
      </x:c>
      <x:c r="F171" s="100" t="n">
        <x:v>14496674920.15</x:v>
      </x:c>
      <x:c r="G171" s="100" t="n">
        <x:v>873275257.85</x:v>
      </x:c>
      <x:c r="H171" s="100" t="n">
        <x:v>483471832.7</x:v>
      </x:c>
      <x:c r="I171" s="100" t="n">
        <x:v>256313539.91</x:v>
      </x:c>
      <x:c r="J171" s="100" t="n">
        <x:v>3573668999.44</x:v>
      </x:c>
      <x:c r="K171" s="100" t="n">
        <x:v>126629830.11</x:v>
      </x:c>
      <x:c r="L171" s="100" t="n">
        <x:v>9834335.81</x:v>
      </x:c>
      <x:c r="M171" s="100" t="n">
        <x:v>1111017395.8</x:v>
      </x:c>
      <x:c r="N171" s="100" t="n">
        <x:v>1068178626.02</x:v>
      </x:c>
      <x:c r="O171" s="100" t="n">
        <x:v>5074748158.64</x:v>
      </x:c>
      <x:c r="P171" s="100" t="n">
        <x:v>1712842129.65</x:v>
      </x:c>
      <x:c r="Q171" s="100" t="n">
        <x:v>206765326.69</x:v>
      </x:c>
      <x:c r="R171" s="100" t="n">
        <x:v>-14204.66</x:v>
      </x:c>
      <x:c r="S171" s="100" t="n">
        <x:v>-56307.6</x:v>
      </x:c>
      <x:c r="T171" s="100" t="n">
        <x:v>0.4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-0.61</x:v>
      </x:c>
    </x:row>
    <x:row r="172" spans="1:26" ht="12.75" customHeight="1" x14ac:dyDescent="0.3">
      <x:c r="A172" t="s">
        <x:v>78</x:v>
      </x:c>
      <x:c r="B172" s="89" t="s">
        <x:v>70</x:v>
      </x:c>
      <x:c r="C172" s="89"/>
      <x:c r="F172" s="90" t="n">
        <x:v>14508429002.77</x:v>
      </x:c>
      <x:c r="G172" s="90" t="n">
        <x:v>873927095.1</x:v>
      </x:c>
      <x:c r="H172" s="90" t="n">
        <x:v>483839093.8</x:v>
      </x:c>
      <x:c r="I172" s="90" t="n">
        <x:v>256509805.05</x:v>
      </x:c>
      <x:c r="J172" s="90" t="n">
        <x:v>3576605065.95</x:v>
      </x:c>
      <x:c r="K172" s="90" t="n">
        <x:v>126709102.82</x:v>
      </x:c>
      <x:c r="L172" s="90" t="n">
        <x:v>9834335.81</x:v>
      </x:c>
      <x:c r="M172" s="90" t="n">
        <x:v>1111712771.21</x:v>
      </x:c>
      <x:c r="N172" s="90" t="n">
        <x:v>1069104499.99</x:v>
      </x:c>
      <x:c r="O172" s="90" t="n">
        <x:v>5079224593.22</x:v>
      </x:c>
      <x:c r="P172" s="90" t="n">
        <x:v>1714137346.58</x:v>
      </x:c>
      <x:c r="Q172" s="90" t="n">
        <x:v>206895907.3</x:v>
      </x:c>
      <x:c r="R172" s="90" t="n">
        <x:v>-14306.29</x:v>
      </x:c>
      <x:c r="S172" s="90" t="n">
        <x:v>-56307.56</x:v>
      </x:c>
      <x:c r="T172" s="90" t="n">
        <x:v>0.4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-0.61</x:v>
      </x:c>
    </x:row>
    <x:row r="173" spans="1:26" ht="12.75" customHeight="1" x14ac:dyDescent="0.3">
      <x:c r="B173" s="89"/>
      <x:c r="C173" s="89"/>
      <x:c r="E173" t="s">
        <x:v>73</x:v>
      </x:c>
      <x:c r="F173" s="90" t="n">
        <x:v>-1847120.08</x:v>
      </x:c>
      <x:c r="G173" s="90" t="n">
        <x:v>-41622.42</x:v>
      </x:c>
      <x:c r="H173" s="90" t="n">
        <x:v>-23430.87</x:v>
      </x:c>
      <x:c r="I173" s="90" t="n">
        <x:v>-12462.7</x:v>
      </x:c>
      <x:c r="J173" s="90" t="n">
        <x:v>-536355.47</x:v>
      </x:c>
      <x:c r="K173" s="90" t="n">
        <x:v>-14426.8</x:v>
      </x:c>
      <x:c r="L173" s="90" t="n">
        <x:v>0</x:v>
      </x:c>
      <x:c r="M173" s="90" t="n">
        <x:v>-126553.75</x:v>
      </x:c>
      <x:c r="N173" s="90" t="n">
        <x:v>-170997.82</x:v>
      </x:c>
      <x:c r="O173" s="90" t="n">
        <x:v>-815702.14</x:v>
      </x:c>
      <x:c r="P173" s="90" t="n">
        <x:v>-82029.15</x:v>
      </x:c>
      <x:c r="Q173" s="90" t="n">
        <x:v>-23538.96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3">
      <x:c r="B174" s="89"/>
      <x:c r="C174" s="89"/>
      <x:c r="D174" t="s">
        <x:v>156</x:v>
      </x:c>
      <x:c r="E174" t="s">
        <x:v>70</x:v>
      </x:c>
      <x:c r="F174" s="90" t="n">
        <x:v>-1847120.08</x:v>
      </x:c>
      <x:c r="G174" s="90" t="n">
        <x:v>-41622.42</x:v>
      </x:c>
      <x:c r="H174" s="90" t="n">
        <x:v>-23430.87</x:v>
      </x:c>
      <x:c r="I174" s="90" t="n">
        <x:v>-12462.7</x:v>
      </x:c>
      <x:c r="J174" s="90" t="n">
        <x:v>-536355.47</x:v>
      </x:c>
      <x:c r="K174" s="90" t="n">
        <x:v>-14426.8</x:v>
      </x:c>
      <x:c r="L174" s="90" t="n">
        <x:v>0</x:v>
      </x:c>
      <x:c r="M174" s="90" t="n">
        <x:v>-126553.75</x:v>
      </x:c>
      <x:c r="N174" s="90" t="n">
        <x:v>-170997.82</x:v>
      </x:c>
      <x:c r="O174" s="90" t="n">
        <x:v>-815702.14</x:v>
      </x:c>
      <x:c r="P174" s="90" t="n">
        <x:v>-82029.15</x:v>
      </x:c>
      <x:c r="Q174" s="90" t="n">
        <x:v>-23538.96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3">
      <x:c r="C175" s="656" t="s">
        <x:v>155</x:v>
      </x:c>
      <x:c r="D175" s="657" t="s">
        <x:v>70</x:v>
      </x:c>
      <x:c r="E175" s="657"/>
      <x:c r="F175" s="658" t="n">
        <x:v>-1847120.08</x:v>
      </x:c>
      <x:c r="G175" s="658" t="n">
        <x:v>-41622.42</x:v>
      </x:c>
      <x:c r="H175" s="658" t="n">
        <x:v>-23430.87</x:v>
      </x:c>
      <x:c r="I175" s="658" t="n">
        <x:v>-12462.7</x:v>
      </x:c>
      <x:c r="J175" s="658" t="n">
        <x:v>-536355.47</x:v>
      </x:c>
      <x:c r="K175" s="658" t="n">
        <x:v>-14426.8</x:v>
      </x:c>
      <x:c r="L175" s="658" t="n">
        <x:v>0</x:v>
      </x:c>
      <x:c r="M175" s="658" t="n">
        <x:v>-126553.75</x:v>
      </x:c>
      <x:c r="N175" s="658" t="n">
        <x:v>-170997.82</x:v>
      </x:c>
      <x:c r="O175" s="658" t="n">
        <x:v>-815702.14</x:v>
      </x:c>
      <x:c r="P175" s="658" t="n">
        <x:v>-82029.15</x:v>
      </x:c>
      <x:c r="Q175" s="658" t="n">
        <x:v>-23538.96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3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3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3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3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3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3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3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3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3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3">
      <x:c r="D185" s="89"/>
      <x:c r="E185" s="89" t="s">
        <x:v>73</x:v>
      </x:c>
      <x:c r="F185" s="371" t="n">
        <x:v>-201988.54</x:v>
      </x:c>
      <x:c r="G185" s="90" t="n">
        <x:v>-8468.4</x:v>
      </x:c>
      <x:c r="H185" s="90" t="n">
        <x:v>-4779.72</x:v>
      </x:c>
      <x:c r="I185" s="90" t="n">
        <x:v>-2537.71</x:v>
      </x:c>
      <x:c r="J185" s="90" t="n">
        <x:v>-48035.81</x:v>
      </x:c>
      <x:c r="K185" s="90" t="n">
        <x:v>-1399.98</x:v>
      </x:c>
      <x:c r="L185" s="90" t="n">
        <x:v>0</x:v>
      </x:c>
      <x:c r="M185" s="90" t="n">
        <x:v>-12280.41</x:v>
      </x:c>
      <x:c r="N185" s="90" t="n">
        <x:v>-18374.76</x:v>
      </x:c>
      <x:c r="O185" s="90" t="n">
        <x:v>-88315.61</x:v>
      </x:c>
      <x:c r="P185" s="90" t="n">
        <x:v>-15511.98</x:v>
      </x:c>
      <x:c r="Q185" s="90" t="n">
        <x:v>-2284.16</x:v>
      </x:c>
      <x:c r="R185" s="90" t="n">
        <x:v>0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 t="n">
        <x:v>0</x:v>
      </x:c>
    </x:row>
    <x:row r="186" spans="2:26" ht="12.75" customHeight="1" x14ac:dyDescent="0.3">
      <x:c r="D186" s="89" t="s">
        <x:v>86</x:v>
      </x:c>
      <x:c r="E186" s="89" t="s">
        <x:v>70</x:v>
      </x:c>
      <x:c r="F186" s="371" t="n">
        <x:v>-201988.54</x:v>
      </x:c>
      <x:c r="G186" s="90" t="n">
        <x:v>-8468.4</x:v>
      </x:c>
      <x:c r="H186" s="90" t="n">
        <x:v>-4779.72</x:v>
      </x:c>
      <x:c r="I186" s="90" t="n">
        <x:v>-2537.71</x:v>
      </x:c>
      <x:c r="J186" s="90" t="n">
        <x:v>-48035.81</x:v>
      </x:c>
      <x:c r="K186" s="90" t="n">
        <x:v>-1399.98</x:v>
      </x:c>
      <x:c r="L186" s="90" t="n">
        <x:v>0</x:v>
      </x:c>
      <x:c r="M186" s="90" t="n">
        <x:v>-12280.41</x:v>
      </x:c>
      <x:c r="N186" s="90" t="n">
        <x:v>-18374.76</x:v>
      </x:c>
      <x:c r="O186" s="90" t="n">
        <x:v>-88315.61</x:v>
      </x:c>
      <x:c r="P186" s="90" t="n">
        <x:v>-15511.98</x:v>
      </x:c>
      <x:c r="Q186" s="90" t="n">
        <x:v>-2284.16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3">
      <x:c r="E187" t="s">
        <x:v>73</x:v>
      </x:c>
      <x:c r="F187" s="90">
        <x:v>0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3">
      <x:c r="D188" t="s">
        <x:v>87</x:v>
      </x:c>
      <x:c r="E188" t="s">
        <x:v>70</x:v>
      </x:c>
      <x:c r="F188" s="90">
        <x:v>0</x:v>
      </x:c>
      <x:c r="G188" s="90">
        <x:v>0</x:v>
      </x:c>
      <x:c r="H188" s="90">
        <x:v>0</x:v>
      </x:c>
      <x:c r="I188" s="90">
        <x:v>0</x:v>
      </x:c>
      <x:c r="J188" s="90">
        <x:v>0</x:v>
      </x:c>
      <x:c r="K188" s="90">
        <x:v>0</x:v>
      </x:c>
      <x:c r="L188" s="90">
        <x:v>0</x:v>
      </x:c>
      <x:c r="M188" s="90">
        <x:v>0</x:v>
      </x:c>
      <x:c r="N188" s="90">
        <x:v>0</x:v>
      </x:c>
      <x:c r="O188" s="90">
        <x:v>0</x:v>
      </x:c>
      <x:c r="P188" s="90">
        <x:v>0</x:v>
      </x:c>
      <x:c r="Q188" s="90">
        <x:v>0</x:v>
      </x:c>
      <x:c r="R188" s="90">
        <x:v>0</x:v>
      </x:c>
      <x:c r="S188" s="90">
        <x:v>0</x:v>
      </x:c>
      <x:c r="T188" s="90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>
        <x:v>0</x:v>
      </x:c>
    </x:row>
    <x:row r="189" spans="2:26" s="94" customFormat="1" ht="12.75" customHeight="1" x14ac:dyDescent="0.3">
      <x:c r="C189" s="94" t="s">
        <x:v>119</x:v>
      </x:c>
      <x:c r="D189" s="94" t="s">
        <x:v>70</x:v>
      </x:c>
      <x:c r="E189" s="101"/>
      <x:c r="F189" s="93" t="n">
        <x:v>-201988.54</x:v>
      </x:c>
      <x:c r="G189" s="93" t="n">
        <x:v>-8468.4</x:v>
      </x:c>
      <x:c r="H189" s="93" t="n">
        <x:v>-4779.72</x:v>
      </x:c>
      <x:c r="I189" s="93" t="n">
        <x:v>-2537.71</x:v>
      </x:c>
      <x:c r="J189" s="93" t="n">
        <x:v>-48035.81</x:v>
      </x:c>
      <x:c r="K189" s="93" t="n">
        <x:v>-1399.98</x:v>
      </x:c>
      <x:c r="L189" s="93" t="n">
        <x:v>0</x:v>
      </x:c>
      <x:c r="M189" s="93" t="n">
        <x:v>-12280.41</x:v>
      </x:c>
      <x:c r="N189" s="93" t="n">
        <x:v>-18374.76</x:v>
      </x:c>
      <x:c r="O189" s="93" t="n">
        <x:v>-88315.61</x:v>
      </x:c>
      <x:c r="P189" s="93" t="n">
        <x:v>-15511.98</x:v>
      </x:c>
      <x:c r="Q189" s="93" t="n">
        <x:v>-2284.16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3">
      <x:c r="B190" s="378" t="s">
        <x:v>122</x:v>
      </x:c>
      <x:c r="C190" s="378" t="s">
        <x:v>70</x:v>
      </x:c>
      <x:c r="E190" s="376"/>
      <x:c r="F190" s="710" t="n">
        <x:v>-2049108.62</x:v>
      </x:c>
      <x:c r="G190" s="377" t="n">
        <x:v>-50090.82</x:v>
      </x:c>
      <x:c r="H190" s="377" t="n">
        <x:v>-28210.59</x:v>
      </x:c>
      <x:c r="I190" s="377" t="n">
        <x:v>-15000.41</x:v>
      </x:c>
      <x:c r="J190" s="377" t="n">
        <x:v>-584391.28</x:v>
      </x:c>
      <x:c r="K190" s="377" t="n">
        <x:v>-15826.78</x:v>
      </x:c>
      <x:c r="L190" s="377" t="n">
        <x:v>0</x:v>
      </x:c>
      <x:c r="M190" s="377" t="n">
        <x:v>-138834.16</x:v>
      </x:c>
      <x:c r="N190" s="377" t="n">
        <x:v>-189372.58</x:v>
      </x:c>
      <x:c r="O190" s="377" t="n">
        <x:v>-904017.75</x:v>
      </x:c>
      <x:c r="P190" s="377" t="n">
        <x:v>-97541.13</x:v>
      </x:c>
      <x:c r="Q190" s="377" t="n">
        <x:v>-25823.12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3">
      <x:c r="E191" s="89" t="s">
        <x:v>73</x:v>
      </x:c>
      <x:c r="F191" s="90" t="n">
        <x:v>-3418096950.85</x:v>
      </x:c>
      <x:c r="G191" s="90" t="n">
        <x:v>-80551589.05</x:v>
      </x:c>
      <x:c r="H191" s="90" t="n">
        <x:v>-44758246.61</x:v>
      </x:c>
      <x:c r="I191" s="90" t="n">
        <x:v>-23754776.07</x:v>
      </x:c>
      <x:c r="J191" s="90" t="n">
        <x:v>-998699664.64</x:v>
      </x:c>
      <x:c r="K191" s="90" t="n">
        <x:v>-35677156.36</x:v>
      </x:c>
      <x:c r="L191" s="90" t="n">
        <x:v>0</x:v>
      </x:c>
      <x:c r="M191" s="90" t="n">
        <x:v>-312988590.07</x:v>
      </x:c>
      <x:c r="N191" s="90" t="n">
        <x:v>-297678949.49</x:v>
      </x:c>
      <x:c r="O191" s="90" t="n">
        <x:v>-1416154010.96</x:v>
      </x:c>
      <x:c r="P191" s="90" t="n">
        <x:v>-149621658.44</x:v>
      </x:c>
      <x:c r="Q191" s="90" t="n">
        <x:v>-58212309.16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3">
      <x:c r="D192" s="89" t="s">
        <x:v>156</x:v>
      </x:c>
      <x:c r="E192" s="89" t="s">
        <x:v>70</x:v>
      </x:c>
      <x:c r="F192" s="90" t="n">
        <x:v>-3418096950.85</x:v>
      </x:c>
      <x:c r="G192" s="90" t="n">
        <x:v>-80551589.05</x:v>
      </x:c>
      <x:c r="H192" s="90" t="n">
        <x:v>-44758246.61</x:v>
      </x:c>
      <x:c r="I192" s="90" t="n">
        <x:v>-23754776.07</x:v>
      </x:c>
      <x:c r="J192" s="90" t="n">
        <x:v>-998699664.64</x:v>
      </x:c>
      <x:c r="K192" s="90" t="n">
        <x:v>-35677156.36</x:v>
      </x:c>
      <x:c r="L192" s="90" t="n">
        <x:v>0</x:v>
      </x:c>
      <x:c r="M192" s="90" t="n">
        <x:v>-312988590.07</x:v>
      </x:c>
      <x:c r="N192" s="90" t="n">
        <x:v>-297678949.49</x:v>
      </x:c>
      <x:c r="O192" s="90" t="n">
        <x:v>-1416154010.96</x:v>
      </x:c>
      <x:c r="P192" s="90" t="n">
        <x:v>-149621658.44</x:v>
      </x:c>
      <x:c r="Q192" s="90" t="n">
        <x:v>-58212309.16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3">
      <x:c r="C193" s="656" t="s">
        <x:v>155</x:v>
      </x:c>
      <x:c r="D193" s="657" t="s">
        <x:v>70</x:v>
      </x:c>
      <x:c r="E193" s="657"/>
      <x:c r="F193" s="738" t="n">
        <x:v>-3418096950.85</x:v>
      </x:c>
      <x:c r="G193" s="658" t="n">
        <x:v>-80551589.05</x:v>
      </x:c>
      <x:c r="H193" s="658" t="n">
        <x:v>-44758246.61</x:v>
      </x:c>
      <x:c r="I193" s="658" t="n">
        <x:v>-23754776.07</x:v>
      </x:c>
      <x:c r="J193" s="658" t="n">
        <x:v>-998699664.64</x:v>
      </x:c>
      <x:c r="K193" s="658" t="n">
        <x:v>-35677156.36</x:v>
      </x:c>
      <x:c r="L193" s="658" t="n">
        <x:v>0</x:v>
      </x:c>
      <x:c r="M193" s="658" t="n">
        <x:v>-312988590.07</x:v>
      </x:c>
      <x:c r="N193" s="658" t="n">
        <x:v>-297678949.49</x:v>
      </x:c>
      <x:c r="O193" s="658" t="n">
        <x:v>-1416154010.96</x:v>
      </x:c>
      <x:c r="P193" s="658" t="n">
        <x:v>-149621658.44</x:v>
      </x:c>
      <x:c r="Q193" s="658" t="n">
        <x:v>-58212309.16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3">
      <x:c r="D194" s="89"/>
      <x:c r="E194" s="89" t="s">
        <x:v>73</x:v>
      </x:c>
      <x:c r="F194" s="371">
        <x:v>0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 s="90">
        <x:v>0</x:v>
      </x:c>
      <x:c r="S194" s="90">
        <x:v>0</x:v>
      </x:c>
      <x:c r="T194" s="90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>
        <x:v>0</x:v>
      </x:c>
    </x:row>
    <x:row r="195" spans="2:26" ht="12.75" customHeight="1" x14ac:dyDescent="0.3">
      <x:c r="D195" s="89" t="s">
        <x:v>115</x:v>
      </x:c>
      <x:c r="E195" s="89" t="s">
        <x:v>70</x:v>
      </x:c>
      <x:c r="F195" s="371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 s="90">
        <x:v>0</x:v>
      </x:c>
      <x:c r="S195" s="90">
        <x:v>0</x:v>
      </x:c>
      <x:c r="T195" s="90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>
        <x:v>0</x:v>
      </x:c>
    </x:row>
    <x:row r="196" spans="2:26" ht="12.75" customHeight="1" x14ac:dyDescent="0.3">
      <x:c r="D196" s="89"/>
      <x:c r="E196" s="89" t="s">
        <x:v>73</x:v>
      </x:c>
      <x:c r="F196" s="371">
        <x:v>0</x:v>
      </x:c>
      <x:c r="G196" s="90">
        <x:v>0</x:v>
      </x:c>
      <x:c r="H196" s="90">
        <x:v>0</x:v>
      </x:c>
      <x:c r="I196" s="90">
        <x:v>0</x:v>
      </x:c>
      <x:c r="J196" s="90">
        <x:v>0</x:v>
      </x:c>
      <x:c r="K196" s="90">
        <x:v>0</x:v>
      </x:c>
      <x:c r="L196" s="90">
        <x:v>0</x:v>
      </x:c>
      <x:c r="M196" s="90">
        <x:v>0</x:v>
      </x:c>
      <x:c r="N196" s="90">
        <x:v>0</x:v>
      </x:c>
      <x:c r="O196" s="90">
        <x:v>0</x:v>
      </x:c>
      <x:c r="P196" s="90">
        <x:v>0</x:v>
      </x:c>
      <x:c r="Q196" s="90">
        <x:v>0</x:v>
      </x:c>
      <x:c r="R196" s="90">
        <x:v>0</x:v>
      </x:c>
      <x:c r="S196" s="90">
        <x:v>0</x:v>
      </x:c>
      <x:c r="T196" s="90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>
        <x:v>0</x:v>
      </x:c>
    </x:row>
    <x:row r="197" spans="2:26" ht="12.75" customHeight="1" x14ac:dyDescent="0.3">
      <x:c r="D197" s="89" t="s">
        <x:v>116</x:v>
      </x:c>
      <x:c r="E197" s="89" t="s">
        <x:v>70</x:v>
      </x:c>
      <x:c r="F197" s="371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 s="90">
        <x:v>0</x:v>
      </x:c>
      <x:c r="S197" s="90">
        <x:v>0</x:v>
      </x:c>
      <x:c r="T197" s="90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>
        <x:v>0</x:v>
      </x:c>
    </x:row>
    <x:row r="198" spans="2:26" ht="12.75" customHeight="1" x14ac:dyDescent="0.3">
      <x:c r="E198" s="89" t="s">
        <x:v>73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2:26" ht="12.75" customHeight="1" x14ac:dyDescent="0.3">
      <x:c r="D199" s="89" t="s">
        <x:v>118</x:v>
      </x:c>
      <x:c r="E199" s="89" t="s">
        <x:v>70</x:v>
      </x:c>
      <x:c r="F199" s="90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2:26" s="224" customFormat="1" ht="12.75" customHeight="1" x14ac:dyDescent="0.3">
      <x:c r="C200" s="223" t="s">
        <x:v>120</x:v>
      </x:c>
      <x:c r="D200" s="223" t="s">
        <x:v>70</x:v>
      </x:c>
      <x:c r="F200" s="225">
        <x:v>0</x:v>
      </x:c>
      <x:c r="G200" s="225">
        <x:v>0</x:v>
      </x:c>
      <x:c r="H200" s="225">
        <x:v>0</x:v>
      </x:c>
      <x:c r="I200" s="225">
        <x:v>0</x:v>
      </x:c>
      <x:c r="J200" s="225">
        <x:v>0</x:v>
      </x:c>
      <x:c r="K200" s="225">
        <x:v>0</x:v>
      </x:c>
      <x:c r="L200" s="225">
        <x:v>0</x:v>
      </x:c>
      <x:c r="M200" s="225">
        <x:v>0</x:v>
      </x:c>
      <x:c r="N200" s="225">
        <x:v>0</x:v>
      </x:c>
      <x:c r="O200" s="225">
        <x:v>0</x:v>
      </x:c>
      <x:c r="P200" s="225">
        <x:v>0</x:v>
      </x:c>
      <x:c r="Q200" s="225">
        <x:v>0</x:v>
      </x:c>
      <x:c r="R200" s="225">
        <x:v>0</x:v>
      </x:c>
      <x:c r="S200" s="225">
        <x:v>0</x:v>
      </x:c>
      <x:c r="T200" s="225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>
        <x:v>0</x:v>
      </x:c>
    </x:row>
    <x:row r="201" spans="2:26" ht="12.75" customHeight="1" x14ac:dyDescent="0.3">
      <x:c r="E201" s="89" t="s">
        <x:v>73</x:v>
      </x:c>
      <x:c r="F201" s="90" t="n">
        <x:v>-31088475.78</x:v>
      </x:c>
      <x:c r="G201" s="90" t="n">
        <x:v>-571585.5</x:v>
      </x:c>
      <x:c r="H201" s="90" t="n">
        <x:v>-323201.35</x:v>
      </x:c>
      <x:c r="I201" s="90" t="n">
        <x:v>-169745.15</x:v>
      </x:c>
      <x:c r="J201" s="90" t="n">
        <x:v>-9735003.88</x:v>
      </x:c>
      <x:c r="K201" s="90" t="n">
        <x:v>-231454.24</x:v>
      </x:c>
      <x:c r="L201" s="90" t="n">
        <x:v>0</x:v>
      </x:c>
      <x:c r="M201" s="90" t="n">
        <x:v>-2030358.96</x:v>
      </x:c>
      <x:c r="N201" s="90" t="n">
        <x:v>-2877942.98</x:v>
      </x:c>
      <x:c r="O201" s="90" t="n">
        <x:v>-13713070.22</x:v>
      </x:c>
      <x:c r="P201" s="90" t="n">
        <x:v>-1058460.35</x:v>
      </x:c>
      <x:c r="Q201" s="90" t="n">
        <x:v>-377653.15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3">
      <x:c r="D202" s="89" t="s">
        <x:v>82</x:v>
      </x:c>
      <x:c r="E202" s="89" t="s">
        <x:v>70</x:v>
      </x:c>
      <x:c r="F202" s="90" t="n">
        <x:v>-31088475.78</x:v>
      </x:c>
      <x:c r="G202" s="90" t="n">
        <x:v>-571585.5</x:v>
      </x:c>
      <x:c r="H202" s="90" t="n">
        <x:v>-323201.35</x:v>
      </x:c>
      <x:c r="I202" s="90" t="n">
        <x:v>-169745.15</x:v>
      </x:c>
      <x:c r="J202" s="90" t="n">
        <x:v>-9735003.88</x:v>
      </x:c>
      <x:c r="K202" s="90" t="n">
        <x:v>-231454.24</x:v>
      </x:c>
      <x:c r="L202" s="90" t="n">
        <x:v>0</x:v>
      </x:c>
      <x:c r="M202" s="90" t="n">
        <x:v>-2030358.96</x:v>
      </x:c>
      <x:c r="N202" s="90" t="n">
        <x:v>-2877942.98</x:v>
      </x:c>
      <x:c r="O202" s="90" t="n">
        <x:v>-13713070.22</x:v>
      </x:c>
      <x:c r="P202" s="90" t="n">
        <x:v>-1058460.35</x:v>
      </x:c>
      <x:c r="Q202" s="90" t="n">
        <x:v>-377653.15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3">
      <x:c r="E203" s="89" t="s">
        <x:v>73</x:v>
      </x:c>
      <x:c r="F203" s="90" t="n">
        <x:v>-14182098.83</x:v>
      </x:c>
      <x:c r="G203" s="90" t="n">
        <x:v>1047560.36</x:v>
      </x:c>
      <x:c r="H203" s="90" t="n">
        <x:v>426887.4</x:v>
      </x:c>
      <x:c r="I203" s="90" t="n">
        <x:v>174177.04</x:v>
      </x:c>
      <x:c r="J203" s="90" t="n">
        <x:v>-6027627.33</x:v>
      </x:c>
      <x:c r="K203" s="90" t="n">
        <x:v>-184901.07</x:v>
      </x:c>
      <x:c r="L203" s="90" t="n">
        <x:v>0</x:v>
      </x:c>
      <x:c r="M203" s="90" t="n">
        <x:v>-1611487.73</x:v>
      </x:c>
      <x:c r="N203" s="90" t="n">
        <x:v>-1961629.86</x:v>
      </x:c>
      <x:c r="O203" s="90" t="n">
        <x:v>-8029657.61</x:v>
      </x:c>
      <x:c r="P203" s="90" t="n">
        <x:v>2286263.23</x:v>
      </x:c>
      <x:c r="Q203" s="90" t="n">
        <x:v>-301683.26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3">
      <x:c r="D204" s="89" t="s">
        <x:v>86</x:v>
      </x:c>
      <x:c r="E204" s="89" t="s">
        <x:v>70</x:v>
      </x:c>
      <x:c r="F204" s="90" t="n">
        <x:v>-14182098.83</x:v>
      </x:c>
      <x:c r="G204" s="90" t="n">
        <x:v>1047560.36</x:v>
      </x:c>
      <x:c r="H204" s="90" t="n">
        <x:v>426887.4</x:v>
      </x:c>
      <x:c r="I204" s="90" t="n">
        <x:v>174177.04</x:v>
      </x:c>
      <x:c r="J204" s="90" t="n">
        <x:v>-6027627.33</x:v>
      </x:c>
      <x:c r="K204" s="90" t="n">
        <x:v>-184901.07</x:v>
      </x:c>
      <x:c r="L204" s="90" t="n">
        <x:v>0</x:v>
      </x:c>
      <x:c r="M204" s="90" t="n">
        <x:v>-1611487.73</x:v>
      </x:c>
      <x:c r="N204" s="90" t="n">
        <x:v>-1961629.86</x:v>
      </x:c>
      <x:c r="O204" s="90" t="n">
        <x:v>-8029657.61</x:v>
      </x:c>
      <x:c r="P204" s="90" t="n">
        <x:v>2286263.23</x:v>
      </x:c>
      <x:c r="Q204" s="90" t="n">
        <x:v>-301683.26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3">
      <x:c r="E205" s="89" t="s">
        <x:v>73</x:v>
      </x:c>
      <x:c r="F205" s="90" t="n">
        <x:v>195871960.86</x:v>
      </x:c>
      <x:c r="G205" s="90" t="n">
        <x:v>49845911.24</x:v>
      </x:c>
      <x:c r="H205" s="90" t="n">
        <x:v>28086644.11</x:v>
      </x:c>
      <x:c r="I205" s="90" t="n">
        <x:v>14936846.68</x:v>
      </x:c>
      <x:c r="J205" s="90" t="n">
        <x:v>1502048.34</x:v>
      </x:c>
      <x:c r="K205" s="90" t="n">
        <x:v>29601.67</x:v>
      </x:c>
      <x:c r="L205" s="90" t="n">
        <x:v>0</x:v>
      </x:c>
      <x:c r="M205" s="90" t="n">
        <x:v>250884.17</x:v>
      </x:c>
      <x:c r="N205" s="90" t="n">
        <x:v>327364.29</x:v>
      </x:c>
      <x:c r="O205" s="90" t="n">
        <x:v>1552212.7</x:v>
      </x:c>
      <x:c r="P205" s="90" t="n">
        <x:v>99292242.28</x:v>
      </x:c>
      <x:c r="Q205" s="90" t="n">
        <x:v>48205.38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3">
      <x:c r="D206" s="89" t="s">
        <x:v>87</x:v>
      </x:c>
      <x:c r="E206" s="89" t="s">
        <x:v>70</x:v>
      </x:c>
      <x:c r="F206" s="90" t="n">
        <x:v>195871960.86</x:v>
      </x:c>
      <x:c r="G206" s="90" t="n">
        <x:v>49845911.24</x:v>
      </x:c>
      <x:c r="H206" s="90" t="n">
        <x:v>28086644.11</x:v>
      </x:c>
      <x:c r="I206" s="90" t="n">
        <x:v>14936846.68</x:v>
      </x:c>
      <x:c r="J206" s="90" t="n">
        <x:v>1502048.34</x:v>
      </x:c>
      <x:c r="K206" s="90" t="n">
        <x:v>29601.67</x:v>
      </x:c>
      <x:c r="L206" s="90" t="n">
        <x:v>0</x:v>
      </x:c>
      <x:c r="M206" s="90" t="n">
        <x:v>250884.17</x:v>
      </x:c>
      <x:c r="N206" s="90" t="n">
        <x:v>327364.29</x:v>
      </x:c>
      <x:c r="O206" s="90" t="n">
        <x:v>1552212.7</x:v>
      </x:c>
      <x:c r="P206" s="90" t="n">
        <x:v>99292242.28</x:v>
      </x:c>
      <x:c r="Q206" s="90" t="n">
        <x:v>48205.38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3">
      <x:c r="C207" s="101" t="s">
        <x:v>119</x:v>
      </x:c>
      <x:c r="D207" s="101" t="s">
        <x:v>70</x:v>
      </x:c>
      <x:c r="F207" s="93" t="n">
        <x:v>150601386.25</x:v>
      </x:c>
      <x:c r="G207" s="93" t="n">
        <x:v>50321886.1</x:v>
      </x:c>
      <x:c r="H207" s="93" t="n">
        <x:v>28190330.16</x:v>
      </x:c>
      <x:c r="I207" s="93" t="n">
        <x:v>14941278.57</x:v>
      </x:c>
      <x:c r="J207" s="93" t="n">
        <x:v>-14260582.87</x:v>
      </x:c>
      <x:c r="K207" s="93" t="n">
        <x:v>-386753.64</x:v>
      </x:c>
      <x:c r="L207" s="93" t="n">
        <x:v>0</x:v>
      </x:c>
      <x:c r="M207" s="93" t="n">
        <x:v>-3390962.52</x:v>
      </x:c>
      <x:c r="N207" s="93" t="n">
        <x:v>-4512208.55</x:v>
      </x:c>
      <x:c r="O207" s="93" t="n">
        <x:v>-20190515.13</x:v>
      </x:c>
      <x:c r="P207" s="93" t="n">
        <x:v>100520045.16</x:v>
      </x:c>
      <x:c r="Q207" s="93" t="n">
        <x:v>-631131.03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3">
      <x:c r="B208" s="98" t="s">
        <x:v>112</x:v>
      </x:c>
      <x:c r="C208" s="98" t="s">
        <x:v>70</x:v>
      </x:c>
      <x:c r="F208" s="100" t="n">
        <x:v>-3267495564.6</x:v>
      </x:c>
      <x:c r="G208" s="100" t="n">
        <x:v>-30229702.95</x:v>
      </x:c>
      <x:c r="H208" s="100" t="n">
        <x:v>-16567916.45</x:v>
      </x:c>
      <x:c r="I208" s="100" t="n">
        <x:v>-8813497.5</x:v>
      </x:c>
      <x:c r="J208" s="100" t="n">
        <x:v>-1012960247.51</x:v>
      </x:c>
      <x:c r="K208" s="100" t="n">
        <x:v>-36063910</x:v>
      </x:c>
      <x:c r="L208" s="100" t="n">
        <x:v>0</x:v>
      </x:c>
      <x:c r="M208" s="100" t="n">
        <x:v>-316379552.59</x:v>
      </x:c>
      <x:c r="N208" s="100" t="n">
        <x:v>-302191158.04</x:v>
      </x:c>
      <x:c r="O208" s="100" t="n">
        <x:v>-1436344526.09</x:v>
      </x:c>
      <x:c r="P208" s="100" t="n">
        <x:v>-49101613.28</x:v>
      </x:c>
      <x:c r="Q208" s="100" t="n">
        <x:v>-58843440.19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3">
      <x:c r="A209" s="89" t="s">
        <x:v>79</x:v>
      </x:c>
      <x:c r="B209" s="89" t="s">
        <x:v>70</x:v>
      </x:c>
      <x:c r="F209" s="90" t="n">
        <x:v>-3269544673.22</x:v>
      </x:c>
      <x:c r="G209" s="90" t="n">
        <x:v>-30279793.77</x:v>
      </x:c>
      <x:c r="H209" s="90" t="n">
        <x:v>-16596127.04</x:v>
      </x:c>
      <x:c r="I209" s="90" t="n">
        <x:v>-8828497.91</x:v>
      </x:c>
      <x:c r="J209" s="90" t="n">
        <x:v>-1013544638.79</x:v>
      </x:c>
      <x:c r="K209" s="90" t="n">
        <x:v>-36079736.78</x:v>
      </x:c>
      <x:c r="L209" s="90" t="n">
        <x:v>0</x:v>
      </x:c>
      <x:c r="M209" s="90" t="n">
        <x:v>-316518386.75</x:v>
      </x:c>
      <x:c r="N209" s="90" t="n">
        <x:v>-302380530.62</x:v>
      </x:c>
      <x:c r="O209" s="90" t="n">
        <x:v>-1437248543.84</x:v>
      </x:c>
      <x:c r="P209" s="90" t="n">
        <x:v>-49199154.41</x:v>
      </x:c>
      <x:c r="Q209" s="90" t="n">
        <x:v>-58869263.31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3">
      <x:c r="A210" s="89" t="s">
        <x:v>70</x:v>
      </x:c>
      <x:c r="F210" s="90" t="n">
        <x:v>11238640614.9</x:v>
      </x:c>
      <x:c r="G210" s="90" t="n">
        <x:v>843626350.31</x:v>
      </x:c>
      <x:c r="H210" s="90" t="n">
        <x:v>467234066.26</x:v>
      </x:c>
      <x:c r="I210" s="90" t="n">
        <x:v>247677420.33</x:v>
      </x:c>
      <x:c r="J210" s="90" t="n">
        <x:v>2563011989.36</x:v>
      </x:c>
      <x:c r="K210" s="90" t="n">
        <x:v>90627303.06</x:v>
      </x:c>
      <x:c r="L210" s="90" t="n">
        <x:v>9834335.81</x:v>
      </x:c>
      <x:c r="M210" s="90" t="n">
        <x:v>795176288.37</x:v>
      </x:c>
      <x:c r="N210" s="90" t="n">
        <x:v>766701280.55</x:v>
      </x:c>
      <x:c r="O210" s="90" t="n">
        <x:v>3641899856.28</x:v>
      </x:c>
      <x:c r="P210" s="90" t="n">
        <x:v>1664899060.93</x:v>
      </x:c>
      <x:c r="Q210" s="90" t="n">
        <x:v>148023277.7</x:v>
      </x:c>
      <x:c r="R210" s="90" t="n">
        <x:v>-14306.29</x:v>
      </x:c>
      <x:c r="S210" s="90" t="n">
        <x:v>-56307.56</x:v>
      </x:c>
      <x:c r="T210" s="90" t="n">
        <x:v>0.4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-0.61</x:v>
      </x:c>
    </x:row>
    <x:row r="211" spans="1:26" ht="12.75" customHeight="1" x14ac:dyDescent="0.3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3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3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3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3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3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3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3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3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3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3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3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3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3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3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3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3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3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3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3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3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3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3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3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3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3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3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3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3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3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3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3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3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3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3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3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3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3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3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3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3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3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3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3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3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3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3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3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3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3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3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3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3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3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3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3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3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3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3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3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3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3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3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3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3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3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3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3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3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3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3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3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3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3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3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3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3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5" customHeight="1" x14ac:dyDescent="0.3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3">
      <x:c r="E289" s="89" t="s">
        <x:v>72</x:v>
      </x:c>
      <x:c r="F289" s="371" t="n">
        <x:v>-558.05</x:v>
      </x:c>
      <x:c r="G289" s="90" t="n">
        <x:v>-36.43</x:v>
      </x:c>
      <x:c r="H289" s="90" t="n">
        <x:v>-15.48</x:v>
      </x:c>
      <x:c r="I289" s="90" t="n">
        <x:v>-6.76</x:v>
      </x:c>
      <x:c r="J289" s="90" t="n">
        <x:v>-123.14</x:v>
      </x:c>
      <x:c r="K289" s="90" t="n">
        <x:v>-4.99</x:v>
      </x:c>
      <x:c r="L289" s="90" t="n">
        <x:v>0</x:v>
      </x:c>
      <x:c r="M289" s="90" t="n">
        <x:v>-43.78</x:v>
      </x:c>
      <x:c r="N289" s="90" t="n">
        <x:v>-55.99</x:v>
      </x:c>
      <x:c r="O289" s="90" t="n">
        <x:v>-184.32</x:v>
      </x:c>
      <x:c r="P289" s="90" t="n">
        <x:v>-79.02</x:v>
      </x:c>
      <x:c r="Q289" s="90" t="n">
        <x:v>-8.14</x:v>
      </x:c>
      <x:c r="R289" s="90" t="n">
        <x:v>0</x:v>
      </x:c>
      <x:c r="S289" s="90" t="n">
        <x:v>0</x:v>
      </x:c>
      <x:c r="T289" t="n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3">
      <x:c r="D290" t="s">
        <x:v>156</x:v>
      </x:c>
      <x:c r="E290" s="89" t="s">
        <x:v>70</x:v>
      </x:c>
      <x:c r="F290" s="371" t="n">
        <x:v>-558.05</x:v>
      </x:c>
      <x:c r="G290" s="90" t="n">
        <x:v>-36.43</x:v>
      </x:c>
      <x:c r="H290" s="90" t="n">
        <x:v>-15.48</x:v>
      </x:c>
      <x:c r="I290" s="90" t="n">
        <x:v>-6.76</x:v>
      </x:c>
      <x:c r="J290" s="90" t="n">
        <x:v>-123.14</x:v>
      </x:c>
      <x:c r="K290" s="90" t="n">
        <x:v>-4.99</x:v>
      </x:c>
      <x:c r="L290" s="90" t="n">
        <x:v>0</x:v>
      </x:c>
      <x:c r="M290" s="90" t="n">
        <x:v>-43.78</x:v>
      </x:c>
      <x:c r="N290" s="90" t="n">
        <x:v>-55.99</x:v>
      </x:c>
      <x:c r="O290" s="90" t="n">
        <x:v>-184.32</x:v>
      </x:c>
      <x:c r="P290" s="90" t="n">
        <x:v>-79.02</x:v>
      </x:c>
      <x:c r="Q290" s="90" t="n">
        <x:v>-8.14</x:v>
      </x:c>
      <x:c r="R290" s="90" t="n">
        <x:v>0</x:v>
      </x:c>
      <x:c r="S290" s="90" t="n">
        <x:v>0</x:v>
      </x:c>
      <x:c r="T290" t="n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3">
      <x:c r="C291" s="286" t="s">
        <x:v>155</x:v>
      </x:c>
      <x:c r="D291" s="286" t="s">
        <x:v>70</x:v>
      </x:c>
      <x:c r="E291" s="229"/>
      <x:c r="F291" s="229" t="n">
        <x:v>-558.05</x:v>
      </x:c>
      <x:c r="G291" s="230" t="n">
        <x:v>-36.43</x:v>
      </x:c>
      <x:c r="H291" s="230" t="n">
        <x:v>-15.48</x:v>
      </x:c>
      <x:c r="I291" s="230" t="n">
        <x:v>-6.76</x:v>
      </x:c>
      <x:c r="J291" s="230" t="n">
        <x:v>-123.14</x:v>
      </x:c>
      <x:c r="K291" s="230" t="n">
        <x:v>-4.99</x:v>
      </x:c>
      <x:c r="L291" s="230" t="n">
        <x:v>0</x:v>
      </x:c>
      <x:c r="M291" s="230" t="n">
        <x:v>-43.78</x:v>
      </x:c>
      <x:c r="N291" s="230" t="n">
        <x:v>-55.99</x:v>
      </x:c>
      <x:c r="O291" s="230" t="n">
        <x:v>-184.32</x:v>
      </x:c>
      <x:c r="P291" s="230" t="n">
        <x:v>-79.02</x:v>
      </x:c>
      <x:c r="Q291" s="230" t="n">
        <x:v>-8.14</x:v>
      </x:c>
      <x:c r="R291" s="230" t="n">
        <x:v>0</x:v>
      </x:c>
      <x:c r="S291" s="230" t="n">
        <x:v>0</x:v>
      </x:c>
      <x:c r="T291" s="230" t="n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3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3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3">
      <x:c r="E294" s="89" t="s">
        <x:v>72</x:v>
      </x:c>
      <x:c r="F294" s="371">
        <x:v>0</x:v>
      </x:c>
      <x:c r="G294" s="90">
        <x:v>0</x:v>
      </x:c>
      <x:c r="H294" s="90">
        <x:v>0</x:v>
      </x:c>
      <x:c r="I294" s="90">
        <x:v>0</x:v>
      </x:c>
      <x:c r="J294" s="90">
        <x:v>0</x:v>
      </x:c>
      <x:c r="K294" s="90">
        <x:v>0</x:v>
      </x:c>
      <x:c r="L294" s="90">
        <x:v>0</x:v>
      </x:c>
      <x:c r="M294" s="90">
        <x:v>0</x:v>
      </x:c>
      <x:c r="N294" s="90">
        <x:v>0</x:v>
      </x:c>
      <x:c r="O294" s="90">
        <x:v>0</x:v>
      </x:c>
      <x:c r="P294" s="90">
        <x:v>0</x:v>
      </x:c>
      <x:c r="Q294" s="90">
        <x:v>0</x:v>
      </x:c>
      <x:c r="R294" s="90">
        <x:v>0</x:v>
      </x:c>
      <x:c r="S294" s="90">
        <x:v>0</x:v>
      </x:c>
      <x:c r="T294" s="90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3">
      <x:c r="D295" t="s">
        <x:v>86</x:v>
      </x:c>
      <x:c r="E295" s="89" t="s">
        <x:v>70</x:v>
      </x:c>
      <x:c r="F295" s="371">
        <x:v>0</x:v>
      </x:c>
      <x:c r="G295" s="90">
        <x:v>0</x:v>
      </x:c>
      <x:c r="H295" s="90">
        <x:v>0</x:v>
      </x:c>
      <x:c r="I295" s="90">
        <x:v>0</x:v>
      </x:c>
      <x:c r="J295" s="90">
        <x:v>0</x:v>
      </x:c>
      <x:c r="K295" s="90">
        <x:v>0</x:v>
      </x:c>
      <x:c r="L295" s="90">
        <x:v>0</x:v>
      </x:c>
      <x:c r="M295" s="90">
        <x:v>0</x:v>
      </x:c>
      <x:c r="N295" s="90">
        <x:v>0</x:v>
      </x:c>
      <x:c r="O295" s="90">
        <x:v>0</x:v>
      </x:c>
      <x:c r="P295" s="90">
        <x:v>0</x:v>
      </x:c>
      <x:c r="Q295" s="90">
        <x:v>0</x:v>
      </x:c>
      <x:c r="R295" s="90">
        <x:v>0</x:v>
      </x:c>
      <x:c r="S295" s="90">
        <x:v>0</x:v>
      </x:c>
      <x:c r="T295" s="90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3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3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3">
      <x:c r="C298" s="101" t="s">
        <x:v>119</x:v>
      </x:c>
      <x:c r="D298" s="101" t="s">
        <x:v>70</x:v>
      </x:c>
      <x:c r="F298" s="93">
        <x:v>0</x:v>
      </x:c>
      <x:c r="G298" s="93">
        <x:v>0</x:v>
      </x:c>
      <x:c r="H298" s="93">
        <x:v>0</x:v>
      </x:c>
      <x:c r="I298" s="93">
        <x:v>0</x:v>
      </x:c>
      <x:c r="J298" s="93">
        <x:v>0</x:v>
      </x:c>
      <x:c r="K298" s="93">
        <x:v>0</x:v>
      </x:c>
      <x:c r="L298" s="93">
        <x:v>0</x:v>
      </x:c>
      <x:c r="M298" s="93">
        <x:v>0</x:v>
      </x:c>
      <x:c r="N298" s="93">
        <x:v>0</x:v>
      </x:c>
      <x:c r="O298" s="93">
        <x:v>0</x:v>
      </x:c>
      <x:c r="P298" s="93">
        <x:v>0</x:v>
      </x:c>
      <x:c r="Q298" s="93">
        <x:v>0</x:v>
      </x:c>
      <x:c r="R298" s="93">
        <x:v>0</x:v>
      </x:c>
      <x:c r="S298" s="93">
        <x:v>0</x:v>
      </x:c>
      <x:c r="T298" s="94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3">
      <x:c r="B299" t="s">
        <x:v>112</x:v>
      </x:c>
      <x:c r="C299" t="s">
        <x:v>70</x:v>
      </x:c>
      <x:c r="E299" s="89"/>
      <x:c r="F299" s="371" t="n">
        <x:v>-558.05</x:v>
      </x:c>
      <x:c r="G299" s="90" t="n">
        <x:v>-36.43</x:v>
      </x:c>
      <x:c r="H299" s="90" t="n">
        <x:v>-15.48</x:v>
      </x:c>
      <x:c r="I299" s="90" t="n">
        <x:v>-6.76</x:v>
      </x:c>
      <x:c r="J299" s="90" t="n">
        <x:v>-123.14</x:v>
      </x:c>
      <x:c r="K299" s="90" t="n">
        <x:v>-4.99</x:v>
      </x:c>
      <x:c r="L299" s="90" t="n">
        <x:v>0</x:v>
      </x:c>
      <x:c r="M299" s="90" t="n">
        <x:v>-43.78</x:v>
      </x:c>
      <x:c r="N299" s="90" t="n">
        <x:v>-55.99</x:v>
      </x:c>
      <x:c r="O299" s="90" t="n">
        <x:v>-184.32</x:v>
      </x:c>
      <x:c r="P299" s="90" t="n">
        <x:v>-79.02</x:v>
      </x:c>
      <x:c r="Q299" s="90" t="n">
        <x:v>-8.14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3">
      <x:c r="A300" s="458" t="s">
        <x:v>186</x:v>
      </x:c>
      <x:c r="B300" s="458" t="s">
        <x:v>70</x:v>
      </x:c>
      <x:c r="F300" s="458" t="n">
        <x:v>-558.05</x:v>
      </x:c>
      <x:c r="G300" s="458" t="n">
        <x:v>-36.43</x:v>
      </x:c>
      <x:c r="H300" s="458" t="n">
        <x:v>-15.48</x:v>
      </x:c>
      <x:c r="I300" s="458" t="n">
        <x:v>-6.76</x:v>
      </x:c>
      <x:c r="J300" s="458" t="n">
        <x:v>-123.14</x:v>
      </x:c>
      <x:c r="K300" s="458" t="n">
        <x:v>-4.99</x:v>
      </x:c>
      <x:c r="L300" s="458" t="n">
        <x:v>0</x:v>
      </x:c>
      <x:c r="M300" s="458" t="n">
        <x:v>-43.78</x:v>
      </x:c>
      <x:c r="N300" s="458" t="n">
        <x:v>-55.99</x:v>
      </x:c>
      <x:c r="O300" s="458" t="n">
        <x:v>-184.32</x:v>
      </x:c>
      <x:c r="P300" s="458" t="n">
        <x:v>-79.02</x:v>
      </x:c>
      <x:c r="Q300" s="458" t="n">
        <x:v>-8.14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3">
      <x:c r="E301" t="s">
        <x:v>72</x:v>
      </x:c>
      <x:c r="F301" s="90">
        <x:v>0</x:v>
      </x:c>
      <x:c r="G301" s="90">
        <x:v>0</x:v>
      </x:c>
      <x:c r="H301" s="90">
        <x:v>0</x:v>
      </x:c>
      <x:c r="I301" s="90">
        <x:v>0</x:v>
      </x:c>
      <x:c r="J301" s="90">
        <x:v>0</x:v>
      </x:c>
      <x:c r="K301" s="90">
        <x:v>0</x:v>
      </x:c>
      <x:c r="L301" s="90">
        <x:v>0</x:v>
      </x:c>
      <x:c r="M301" s="90">
        <x:v>0</x:v>
      </x:c>
      <x:c r="N301" s="90">
        <x:v>0</x:v>
      </x:c>
      <x:c r="O301" s="90">
        <x:v>0</x:v>
      </x:c>
      <x:c r="P301" s="90">
        <x:v>0</x:v>
      </x:c>
      <x:c r="Q301" s="90">
        <x:v>0</x:v>
      </x:c>
      <x:c r="R301" s="90">
        <x:v>0</x:v>
      </x:c>
      <x:c r="S301" s="90">
        <x:v>0</x:v>
      </x:c>
      <x:c r="T301" s="90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3">
      <x:c r="E302" t="s">
        <x:v>81</x:v>
      </x:c>
      <x:c r="F302" s="90">
        <x:v>0</x:v>
      </x:c>
      <x:c r="G302" s="90">
        <x:v>0</x:v>
      </x:c>
      <x:c r="H302" s="90">
        <x:v>0</x:v>
      </x:c>
      <x:c r="I302" s="90">
        <x:v>0</x:v>
      </x:c>
      <x:c r="J302" s="90">
        <x:v>0</x:v>
      </x:c>
      <x:c r="K302" s="90">
        <x:v>0</x:v>
      </x:c>
      <x:c r="L302" s="90">
        <x:v>0</x:v>
      </x:c>
      <x:c r="M302" s="90">
        <x:v>0</x:v>
      </x:c>
      <x:c r="N302" s="90">
        <x:v>0</x:v>
      </x:c>
      <x:c r="O302" s="90">
        <x:v>0</x:v>
      </x:c>
      <x:c r="P302" s="90">
        <x:v>0</x:v>
      </x:c>
      <x:c r="Q302" s="90">
        <x:v>0</x:v>
      </x:c>
      <x:c r="R302" s="90">
        <x:v>0</x:v>
      </x:c>
      <x:c r="S302" s="90">
        <x:v>0</x:v>
      </x:c>
      <x:c r="T302" s="90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3">
      <x:c r="D303" t="s">
        <x:v>156</x:v>
      </x:c>
      <x:c r="E303" t="s">
        <x:v>70</x:v>
      </x:c>
      <x:c r="F303" s="90">
        <x:v>0</x:v>
      </x:c>
      <x:c r="G303" s="90">
        <x:v>0</x:v>
      </x:c>
      <x:c r="H303" s="90">
        <x:v>0</x:v>
      </x:c>
      <x:c r="I303" s="90">
        <x:v>0</x:v>
      </x:c>
      <x:c r="J303" s="90">
        <x:v>0</x:v>
      </x:c>
      <x:c r="K303" s="90">
        <x:v>0</x:v>
      </x:c>
      <x:c r="L303" s="90">
        <x:v>0</x:v>
      </x:c>
      <x:c r="M303" s="90">
        <x:v>0</x:v>
      </x:c>
      <x:c r="N303" s="90">
        <x:v>0</x:v>
      </x:c>
      <x:c r="O303" s="90">
        <x:v>0</x:v>
      </x:c>
      <x:c r="P303" s="90">
        <x:v>0</x:v>
      </x:c>
      <x:c r="Q303" s="90">
        <x:v>0</x:v>
      </x:c>
      <x:c r="R303" s="90">
        <x:v>0</x:v>
      </x:c>
      <x:c r="S303" s="90">
        <x:v>0</x:v>
      </x:c>
      <x:c r="T303" s="90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3">
      <x:c r="C304" s="286" t="s">
        <x:v>155</x:v>
      </x:c>
      <x:c r="D304" s="286" t="s">
        <x:v>70</x:v>
      </x:c>
      <x:c r="F304" s="230">
        <x:v>0</x:v>
      </x:c>
      <x:c r="G304" s="230">
        <x:v>0</x:v>
      </x:c>
      <x:c r="H304" s="230">
        <x:v>0</x:v>
      </x:c>
      <x:c r="I304" s="230">
        <x:v>0</x:v>
      </x:c>
      <x:c r="J304" s="230">
        <x:v>0</x:v>
      </x:c>
      <x:c r="K304" s="230">
        <x:v>0</x:v>
      </x:c>
      <x:c r="L304" s="230">
        <x:v>0</x:v>
      </x:c>
      <x:c r="M304" s="230">
        <x:v>0</x:v>
      </x:c>
      <x:c r="N304" s="230">
        <x:v>0</x:v>
      </x:c>
      <x:c r="O304" s="230">
        <x:v>0</x:v>
      </x:c>
      <x:c r="P304" s="230">
        <x:v>0</x:v>
      </x:c>
      <x:c r="Q304" s="230">
        <x:v>0</x:v>
      </x:c>
      <x:c r="R304" s="230">
        <x:v>0</x:v>
      </x:c>
      <x:c r="S304" s="230">
        <x:v>0</x:v>
      </x:c>
      <x:c r="T304" s="230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3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3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3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3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3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3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3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3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3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3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3">
      <x:c r="B315" s="378" t="s">
        <x:v>122</x:v>
      </x:c>
      <x:c r="C315" s="378" t="s">
        <x:v>70</x:v>
      </x:c>
      <x:c r="E315" s="376"/>
      <x:c r="F315" s="710">
        <x:v>0</x:v>
      </x:c>
      <x:c r="G315" s="377">
        <x:v>0</x:v>
      </x:c>
      <x:c r="H315" s="377">
        <x:v>0</x:v>
      </x:c>
      <x:c r="I315" s="377">
        <x:v>0</x:v>
      </x:c>
      <x:c r="J315" s="377">
        <x:v>0</x:v>
      </x:c>
      <x:c r="K315" s="377">
        <x:v>0</x:v>
      </x:c>
      <x:c r="L315" s="377">
        <x:v>0</x:v>
      </x:c>
      <x:c r="M315" s="377">
        <x:v>0</x:v>
      </x:c>
      <x:c r="N315" s="377">
        <x:v>0</x:v>
      </x:c>
      <x:c r="O315" s="377">
        <x:v>0</x:v>
      </x:c>
      <x:c r="P315" s="377">
        <x:v>0</x:v>
      </x:c>
      <x:c r="Q315" s="377">
        <x:v>0</x:v>
      </x:c>
      <x:c r="R315" s="377">
        <x:v>0</x:v>
      </x:c>
      <x:c r="S315" s="377">
        <x:v>0</x:v>
      </x:c>
      <x:c r="T315" s="378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3">
      <x:c r="E316" s="89" t="s">
        <x:v>72</x:v>
      </x:c>
      <x:c r="F316" s="371" t="n">
        <x:v>9719750244.82</x:v>
      </x:c>
      <x:c r="G316" s="90" t="n">
        <x:v>518985297.02</x:v>
      </x:c>
      <x:c r="H316" s="90" t="n">
        <x:v>289013100.16</x:v>
      </x:c>
      <x:c r="I316" s="90" t="n">
        <x:v>153714080.84</x:v>
      </x:c>
      <x:c r="J316" s="90" t="n">
        <x:v>2405209535.55</x:v>
      </x:c>
      <x:c r="K316" s="90" t="n">
        <x:v>86280652.69</x:v>
      </x:c>
      <x:c r="L316" s="90" t="n">
        <x:v>14487413.71</x:v>
      </x:c>
      <x:c r="M316" s="90" t="n">
        <x:v>757500669.33</x:v>
      </x:c>
      <x:c r="N316" s="90" t="n">
        <x:v>717156253.17</x:v>
      </x:c>
      <x:c r="O316" s="90" t="n">
        <x:v>3407243450.51</x:v>
      </x:c>
      <x:c r="P316" s="90" t="n">
        <x:v>1229371624.98</x:v>
      </x:c>
      <x:c r="Q316" s="90" t="n">
        <x:v>140870667.74</x:v>
      </x:c>
      <x:c r="R316" s="90" t="n">
        <x:v>-82500.88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3">
      <x:c r="E317" s="89" t="s">
        <x:v>81</x:v>
      </x:c>
      <x:c r="F317" s="371" t="n">
        <x:v>6460238.3</x:v>
      </x:c>
      <x:c r="G317" s="90" t="n">
        <x:v>500475.93</x:v>
      </x:c>
      <x:c r="H317" s="90" t="n">
        <x:v>267595.04</x:v>
      </x:c>
      <x:c r="I317" s="90" t="n">
        <x:v>141148.85</x:v>
      </x:c>
      <x:c r="J317" s="90" t="n">
        <x:v>1409060.29</x:v>
      </x:c>
      <x:c r="K317" s="90" t="n">
        <x:v>52892.7</x:v>
      </x:c>
      <x:c r="L317" s="90" t="n">
        <x:v>6692.14</x:v>
      </x:c>
      <x:c r="M317" s="90" t="n">
        <x:v>464137.12</x:v>
      </x:c>
      <x:c r="N317" s="90" t="n">
        <x:v>433080.35</x:v>
      </x:c>
      <x:c r="O317" s="90" t="n">
        <x:v>1921331.41</x:v>
      </x:c>
      <x:c r="P317" s="90" t="n">
        <x:v>1177481.7</x:v>
      </x:c>
      <x:c r="Q317" s="90" t="n">
        <x:v>86340.22</x:v>
      </x:c>
      <x:c r="R317" s="90" t="n">
        <x:v>1.44</x:v>
      </x:c>
      <x:c r="S317" s="90" t="n">
        <x:v>-0.43</x:v>
      </x:c>
      <x:c r="T317" t="n">
        <x:v>1.54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3">
      <x:c r="D318" t="s">
        <x:v>156</x:v>
      </x:c>
      <x:c r="E318" s="89" t="s">
        <x:v>70</x:v>
      </x:c>
      <x:c r="F318" s="90" t="n">
        <x:v>9726210483.12</x:v>
      </x:c>
      <x:c r="G318" s="90" t="n">
        <x:v>519485772.95</x:v>
      </x:c>
      <x:c r="H318" s="90" t="n">
        <x:v>289280695.2</x:v>
      </x:c>
      <x:c r="I318" s="90" t="n">
        <x:v>153855229.69</x:v>
      </x:c>
      <x:c r="J318" s="90" t="n">
        <x:v>2406618595.84</x:v>
      </x:c>
      <x:c r="K318" s="90" t="n">
        <x:v>86333545.39</x:v>
      </x:c>
      <x:c r="L318" s="90" t="n">
        <x:v>14494105.85</x:v>
      </x:c>
      <x:c r="M318" s="90" t="n">
        <x:v>757964806.45</x:v>
      </x:c>
      <x:c r="N318" s="90" t="n">
        <x:v>717589333.52</x:v>
      </x:c>
      <x:c r="O318" s="90" t="n">
        <x:v>3409164781.92</x:v>
      </x:c>
      <x:c r="P318" s="90" t="n">
        <x:v>1230549106.68</x:v>
      </x:c>
      <x:c r="Q318" s="90" t="n">
        <x:v>140957007.96</x:v>
      </x:c>
      <x:c r="R318" s="90" t="n">
        <x:v>-82499.44</x:v>
      </x:c>
      <x:c r="S318" s="90" t="n">
        <x:v>-0.43</x:v>
      </x:c>
      <x:c r="T318" t="n">
        <x:v>1.54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3">
      <x:c r="C319" s="286" t="s">
        <x:v>155</x:v>
      </x:c>
      <x:c r="D319" s="286" t="s">
        <x:v>70</x:v>
      </x:c>
      <x:c r="E319" s="229"/>
      <x:c r="F319" s="229" t="n">
        <x:v>9726210483.12</x:v>
      </x:c>
      <x:c r="G319" s="230" t="n">
        <x:v>519485772.95</x:v>
      </x:c>
      <x:c r="H319" s="230" t="n">
        <x:v>289280695.2</x:v>
      </x:c>
      <x:c r="I319" s="230" t="n">
        <x:v>153855229.69</x:v>
      </x:c>
      <x:c r="J319" s="230" t="n">
        <x:v>2406618595.84</x:v>
      </x:c>
      <x:c r="K319" s="230" t="n">
        <x:v>86333545.39</x:v>
      </x:c>
      <x:c r="L319" s="230" t="n">
        <x:v>14494105.85</x:v>
      </x:c>
      <x:c r="M319" s="230" t="n">
        <x:v>757964806.45</x:v>
      </x:c>
      <x:c r="N319" s="230" t="n">
        <x:v>717589333.52</x:v>
      </x:c>
      <x:c r="O319" s="230" t="n">
        <x:v>3409164781.92</x:v>
      </x:c>
      <x:c r="P319" s="230" t="n">
        <x:v>1230549106.68</x:v>
      </x:c>
      <x:c r="Q319" s="230" t="n">
        <x:v>140957007.96</x:v>
      </x:c>
      <x:c r="R319" s="230" t="n">
        <x:v>-82499.44</x:v>
      </x:c>
      <x:c r="S319" s="230" t="n">
        <x:v>-0.43</x:v>
      </x:c>
      <x:c r="T319" s="230" t="n">
        <x:v>1.54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3">
      <x:c r="E320" s="89" t="s">
        <x:v>72</x:v>
      </x:c>
      <x:c r="F320" s="90" t="n">
        <x:v>27893217.32</x:v>
      </x:c>
      <x:c r="G320" s="90" t="n">
        <x:v>2081012.49</x:v>
      </x:c>
      <x:c r="H320" s="90" t="n">
        <x:v>1155536.09</x:v>
      </x:c>
      <x:c r="I320" s="90" t="n">
        <x:v>617410.02</x:v>
      </x:c>
      <x:c r="J320" s="90" t="n">
        <x:v>6000571.41</x:v>
      </x:c>
      <x:c r="K320" s="90" t="n">
        <x:v>162410.15</x:v>
      </x:c>
      <x:c r="L320" s="90" t="n">
        <x:v>120000</x:v>
      </x:c>
      <x:c r="M320" s="90" t="n">
        <x:v>1429718.63</x:v>
      </x:c>
      <x:c r="N320" s="90" t="n">
        <x:v>1933171.8</x:v>
      </x:c>
      <x:c r="O320" s="90" t="n">
        <x:v>9206584.21</x:v>
      </x:c>
      <x:c r="P320" s="90" t="n">
        <x:v>4919256.99</x:v>
      </x:c>
      <x:c r="Q320" s="90" t="n">
        <x:v>267301.82</x:v>
      </x:c>
      <x:c r="R320" s="90" t="n">
        <x:v>243.71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3">
      <x:c r="E321" s="89" t="s">
        <x:v>81</x:v>
      </x:c>
      <x:c r="F321" s="90" t="n">
        <x:v>154599.58</x:v>
      </x:c>
      <x:c r="G321" s="90" t="n">
        <x:v>10824.74</x:v>
      </x:c>
      <x:c r="H321" s="90" t="n">
        <x:v>6004.38</x:v>
      </x:c>
      <x:c r="I321" s="90" t="n">
        <x:v>3208.77</x:v>
      </x:c>
      <x:c r="J321" s="90" t="n">
        <x:v>34776.93</x:v>
      </x:c>
      <x:c r="K321" s="90" t="n">
        <x:v>950.03</x:v>
      </x:c>
      <x:c r="L321" s="90" t="n">
        <x:v>0</x:v>
      </x:c>
      <x:c r="M321" s="90" t="n">
        <x:v>8342.33</x:v>
      </x:c>
      <x:c r="N321" s="90" t="n">
        <x:v>11217.5</x:v>
      </x:c>
      <x:c r="O321" s="90" t="n">
        <x:v>52265.65</x:v>
      </x:c>
      <x:c r="P321" s="90" t="n">
        <x:v>25462.6</x:v>
      </x:c>
      <x:c r="Q321" s="90" t="n">
        <x:v>1550.04</x:v>
      </x:c>
      <x:c r="R321" s="90" t="n">
        <x:v>-3.48</x:v>
      </x:c>
      <x:c r="S321" s="90" t="n">
        <x:v>0.09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3">
      <x:c r="D322" s="89" t="s">
        <x:v>82</x:v>
      </x:c>
      <x:c r="E322" s="89" t="s">
        <x:v>70</x:v>
      </x:c>
      <x:c r="F322" s="90" t="n">
        <x:v>28047816.9</x:v>
      </x:c>
      <x:c r="G322" s="90" t="n">
        <x:v>2091837.23</x:v>
      </x:c>
      <x:c r="H322" s="90" t="n">
        <x:v>1161540.47</x:v>
      </x:c>
      <x:c r="I322" s="90" t="n">
        <x:v>620618.79</x:v>
      </x:c>
      <x:c r="J322" s="90" t="n">
        <x:v>6035348.34</x:v>
      </x:c>
      <x:c r="K322" s="90" t="n">
        <x:v>163360.18</x:v>
      </x:c>
      <x:c r="L322" s="90" t="n">
        <x:v>120000</x:v>
      </x:c>
      <x:c r="M322" s="90" t="n">
        <x:v>1438060.96</x:v>
      </x:c>
      <x:c r="N322" s="90" t="n">
        <x:v>1944389.3</x:v>
      </x:c>
      <x:c r="O322" s="90" t="n">
        <x:v>9258849.86</x:v>
      </x:c>
      <x:c r="P322" s="90" t="n">
        <x:v>4944719.59</x:v>
      </x:c>
      <x:c r="Q322" s="90" t="n">
        <x:v>268851.86</x:v>
      </x:c>
      <x:c r="R322" s="90" t="n">
        <x:v>240.23</x:v>
      </x:c>
      <x:c r="S322" s="90" t="n">
        <x:v>0.09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3">
      <x:c r="D323" s="89"/>
      <x:c r="E323" s="89" t="s">
        <x:v>72</x:v>
      </x:c>
      <x:c r="F323" s="90" t="n">
        <x:v>29974838.11</x:v>
      </x:c>
      <x:c r="G323" s="90" t="n">
        <x:v>4371957.34</x:v>
      </x:c>
      <x:c r="H323" s="90" t="n">
        <x:v>2385801.56</x:v>
      </x:c>
      <x:c r="I323" s="90" t="n">
        <x:v>1257846.1</x:v>
      </x:c>
      <x:c r="J323" s="90" t="n">
        <x:v>3214417.44</x:v>
      </x:c>
      <x:c r="K323" s="90" t="n">
        <x:v>135193.77</x:v>
      </x:c>
      <x:c r="L323" s="90" t="n">
        <x:v>535353.19</x:v>
      </x:c>
      <x:c r="M323" s="90" t="n">
        <x:v>1184512.71</x:v>
      </x:c>
      <x:c r="N323" s="90" t="n">
        <x:v>1156651.89</x:v>
      </x:c>
      <x:c r="O323" s="90" t="n">
        <x:v>5194600.59</x:v>
      </x:c>
      <x:c r="P323" s="90" t="n">
        <x:v>10318301.26</x:v>
      </x:c>
      <x:c r="Q323" s="90" t="n">
        <x:v>220225.91</x:v>
      </x:c>
      <x:c r="R323" s="90" t="n">
        <x:v>-23.65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3">
      <x:c r="E324" s="89" t="s">
        <x:v>81</x:v>
      </x:c>
      <x:c r="F324" s="90" t="n">
        <x:v>753903.19</x:v>
      </x:c>
      <x:c r="G324" s="90" t="n">
        <x:v>75688.1</x:v>
      </x:c>
      <x:c r="H324" s="90" t="n">
        <x:v>39256.08</x:v>
      </x:c>
      <x:c r="I324" s="90" t="n">
        <x:v>17189.55</x:v>
      </x:c>
      <x:c r="J324" s="90" t="n">
        <x:v>111623.91</x:v>
      </x:c>
      <x:c r="K324" s="90" t="n">
        <x:v>7618.41</x:v>
      </x:c>
      <x:c r="L324" s="90" t="n">
        <x:v>0</x:v>
      </x:c>
      <x:c r="M324" s="90" t="n">
        <x:v>66787.32</x:v>
      </x:c>
      <x:c r="N324" s="90" t="n">
        <x:v>57030.81</x:v>
      </x:c>
      <x:c r="O324" s="90" t="n">
        <x:v>195601.23</x:v>
      </x:c>
      <x:c r="P324" s="90" t="n">
        <x:v>170673.94</x:v>
      </x:c>
      <x:c r="Q324" s="90" t="n">
        <x:v>12428.53</x:v>
      </x:c>
      <x:c r="R324" s="90" t="n">
        <x:v>13.62</x:v>
      </x:c>
      <x:c r="S324" s="90" t="n">
        <x:v>-8.35</x:v>
      </x:c>
      <x:c r="T324" t="n">
        <x:v>0.04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3">
      <x:c r="D325" s="89" t="s">
        <x:v>86</x:v>
      </x:c>
      <x:c r="E325" s="89" t="s">
        <x:v>70</x:v>
      </x:c>
      <x:c r="F325" s="90" t="n">
        <x:v>30728741.3</x:v>
      </x:c>
      <x:c r="G325" s="90" t="n">
        <x:v>4447645.44</x:v>
      </x:c>
      <x:c r="H325" s="90" t="n">
        <x:v>2425057.64</x:v>
      </x:c>
      <x:c r="I325" s="90" t="n">
        <x:v>1275035.65</x:v>
      </x:c>
      <x:c r="J325" s="90" t="n">
        <x:v>3326041.35</x:v>
      </x:c>
      <x:c r="K325" s="90" t="n">
        <x:v>142812.18</x:v>
      </x:c>
      <x:c r="L325" s="90" t="n">
        <x:v>535353.19</x:v>
      </x:c>
      <x:c r="M325" s="90" t="n">
        <x:v>1251300.03</x:v>
      </x:c>
      <x:c r="N325" s="90" t="n">
        <x:v>1213682.7</x:v>
      </x:c>
      <x:c r="O325" s="90" t="n">
        <x:v>5390201.82</x:v>
      </x:c>
      <x:c r="P325" s="90" t="n">
        <x:v>10488975.2</x:v>
      </x:c>
      <x:c r="Q325" s="90" t="n">
        <x:v>232654.44</x:v>
      </x:c>
      <x:c r="R325" s="90" t="n">
        <x:v>-10.03</x:v>
      </x:c>
      <x:c r="S325" s="90" t="n">
        <x:v>-8.35</x:v>
      </x:c>
      <x:c r="T325" t="n">
        <x:v>0.04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3">
      <x:c r="E326" s="89" t="s">
        <x:v>72</x:v>
      </x:c>
      <x:c r="F326" s="90" t="n">
        <x:v>226728731.7</x:v>
      </x:c>
      <x:c r="G326" s="90" t="n">
        <x:v>42828311.23</x:v>
      </x:c>
      <x:c r="H326" s="90" t="n">
        <x:v>24273629.1</x:v>
      </x:c>
      <x:c r="I326" s="90" t="n">
        <x:v>12708424.33</x:v>
      </x:c>
      <x:c r="J326" s="90" t="n">
        <x:v>12928902.76</x:v>
      </x:c>
      <x:c r="K326" s="90" t="n">
        <x:v>341568.52</x:v>
      </x:c>
      <x:c r="L326" s="90" t="n">
        <x:v>4088350.02</x:v>
      </x:c>
      <x:c r="M326" s="90" t="n">
        <x:v>3004870.82</x:v>
      </x:c>
      <x:c r="N326" s="90" t="n">
        <x:v>4237775.21</x:v>
      </x:c>
      <x:c r="O326" s="90" t="n">
        <x:v>20284611.45</x:v>
      </x:c>
      <x:c r="P326" s="90" t="n">
        <x:v>101468705.94</x:v>
      </x:c>
      <x:c r="Q326" s="90" t="n">
        <x:v>563016.39</x:v>
      </x:c>
      <x:c r="R326" s="90" t="n">
        <x:v>565.93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3">
      <x:c r="E327" s="89" t="s">
        <x:v>81</x:v>
      </x:c>
      <x:c r="F327" s="90" t="n">
        <x:v>1206617.63</x:v>
      </x:c>
      <x:c r="G327" s="90" t="n">
        <x:v>195527.8</x:v>
      </x:c>
      <x:c r="H327" s="90" t="n">
        <x:v>126581.95</x:v>
      </x:c>
      <x:c r="I327" s="90" t="n">
        <x:v>58497.16</x:v>
      </x:c>
      <x:c r="J327" s="90" t="n">
        <x:v>112774.52</x:v>
      </x:c>
      <x:c r="K327" s="90" t="n">
        <x:v>2729.26</x:v>
      </x:c>
      <x:c r="L327" s="90" t="n">
        <x:v>67908.6</x:v>
      </x:c>
      <x:c r="M327" s="90" t="n">
        <x:v>23708.58</x:v>
      </x:c>
      <x:c r="N327" s="90" t="n">
        <x:v>33699.53</x:v>
      </x:c>
      <x:c r="O327" s="90" t="n">
        <x:v>157605.82</x:v>
      </x:c>
      <x:c r="P327" s="90" t="n">
        <x:v>464745.83</x:v>
      </x:c>
      <x:c r="Q327" s="90" t="n">
        <x:v>4452.93</x:v>
      </x:c>
      <x:c r="R327" s="90" t="n">
        <x:v>-1.56</x:v>
      </x:c>
      <x:c r="S327" s="90" t="n">
        <x:v>-41612.79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3">
      <x:c r="D328" s="89" t="s">
        <x:v>87</x:v>
      </x:c>
      <x:c r="E328" s="89" t="s">
        <x:v>70</x:v>
      </x:c>
      <x:c r="F328" s="90" t="n">
        <x:v>227935349.33</x:v>
      </x:c>
      <x:c r="G328" s="90" t="n">
        <x:v>43023839.03</x:v>
      </x:c>
      <x:c r="H328" s="90" t="n">
        <x:v>24400211.05</x:v>
      </x:c>
      <x:c r="I328" s="90" t="n">
        <x:v>12766921.49</x:v>
      </x:c>
      <x:c r="J328" s="90" t="n">
        <x:v>13041677.28</x:v>
      </x:c>
      <x:c r="K328" s="90" t="n">
        <x:v>344297.78</x:v>
      </x:c>
      <x:c r="L328" s="90" t="n">
        <x:v>4156258.62</x:v>
      </x:c>
      <x:c r="M328" s="90" t="n">
        <x:v>3028579.4</x:v>
      </x:c>
      <x:c r="N328" s="90" t="n">
        <x:v>4271474.74</x:v>
      </x:c>
      <x:c r="O328" s="90" t="n">
        <x:v>20442217.27</x:v>
      </x:c>
      <x:c r="P328" s="90" t="n">
        <x:v>101933451.77</x:v>
      </x:c>
      <x:c r="Q328" s="90" t="n">
        <x:v>567469.32</x:v>
      </x:c>
      <x:c r="R328" s="90" t="n">
        <x:v>564.37</x:v>
      </x:c>
      <x:c r="S328" s="90" t="n">
        <x:v>-41612.79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3">
      <x:c r="C329" s="101" t="s">
        <x:v>119</x:v>
      </x:c>
      <x:c r="D329" s="101" t="s">
        <x:v>70</x:v>
      </x:c>
      <x:c r="F329" s="93" t="n">
        <x:v>286711907.53</x:v>
      </x:c>
      <x:c r="G329" s="93" t="n">
        <x:v>49563321.7</x:v>
      </x:c>
      <x:c r="H329" s="93" t="n">
        <x:v>27986809.16</x:v>
      </x:c>
      <x:c r="I329" s="93" t="n">
        <x:v>14662575.93</x:v>
      </x:c>
      <x:c r="J329" s="93" t="n">
        <x:v>22403066.97</x:v>
      </x:c>
      <x:c r="K329" s="93" t="n">
        <x:v>650470.14</x:v>
      </x:c>
      <x:c r="L329" s="93" t="n">
        <x:v>4811611.81</x:v>
      </x:c>
      <x:c r="M329" s="93" t="n">
        <x:v>5717940.39</x:v>
      </x:c>
      <x:c r="N329" s="93" t="n">
        <x:v>7429546.74</x:v>
      </x:c>
      <x:c r="O329" s="93" t="n">
        <x:v>35091268.95</x:v>
      </x:c>
      <x:c r="P329" s="93" t="n">
        <x:v>117367146.56</x:v>
      </x:c>
      <x:c r="Q329" s="93" t="n">
        <x:v>1068975.62</x:v>
      </x:c>
      <x:c r="R329" s="93" t="n">
        <x:v>794.57</x:v>
      </x:c>
      <x:c r="S329" s="93" t="n">
        <x:v>-41621.05</x:v>
      </x:c>
      <x:c r="T329" s="94" t="n">
        <x:v>0.04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3">
      <x:c r="B330" s="98" t="s">
        <x:v>112</x:v>
      </x:c>
      <x:c r="C330" s="98" t="s">
        <x:v>70</x:v>
      </x:c>
      <x:c r="F330" s="100" t="n">
        <x:v>10012922390.65</x:v>
      </x:c>
      <x:c r="G330" s="100" t="n">
        <x:v>569049094.65</x:v>
      </x:c>
      <x:c r="H330" s="100" t="n">
        <x:v>317267504.36</x:v>
      </x:c>
      <x:c r="I330" s="100" t="n">
        <x:v>168517805.62</x:v>
      </x:c>
      <x:c r="J330" s="100" t="n">
        <x:v>2429021662.81</x:v>
      </x:c>
      <x:c r="K330" s="100" t="n">
        <x:v>86984015.53</x:v>
      </x:c>
      <x:c r="L330" s="100" t="n">
        <x:v>19305717.66</x:v>
      </x:c>
      <x:c r="M330" s="100" t="n">
        <x:v>763682746.84</x:v>
      </x:c>
      <x:c r="N330" s="100" t="n">
        <x:v>725018880.26</x:v>
      </x:c>
      <x:c r="O330" s="100" t="n">
        <x:v>3444256050.87</x:v>
      </x:c>
      <x:c r="P330" s="100" t="n">
        <x:v>1347916253.24</x:v>
      </x:c>
      <x:c r="Q330" s="100" t="n">
        <x:v>142025983.58</x:v>
      </x:c>
      <x:c r="R330" s="100" t="n">
        <x:v>-81704.87</x:v>
      </x:c>
      <x:c r="S330" s="100" t="n">
        <x:v>-41621.48</x:v>
      </x:c>
      <x:c r="T330" s="226" t="n">
        <x:v>1.58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3">
      <x:c r="A331" s="89" t="s">
        <x:v>78</x:v>
      </x:c>
      <x:c r="B331" s="89" t="s">
        <x:v>70</x:v>
      </x:c>
      <x:c r="F331" s="90" t="n">
        <x:v>10012922390.65</x:v>
      </x:c>
      <x:c r="G331" s="90" t="n">
        <x:v>569049094.65</x:v>
      </x:c>
      <x:c r="H331" s="90" t="n">
        <x:v>317267504.36</x:v>
      </x:c>
      <x:c r="I331" s="90" t="n">
        <x:v>168517805.62</x:v>
      </x:c>
      <x:c r="J331" s="90" t="n">
        <x:v>2429021662.81</x:v>
      </x:c>
      <x:c r="K331" s="90" t="n">
        <x:v>86984015.53</x:v>
      </x:c>
      <x:c r="L331" s="90" t="n">
        <x:v>19305717.66</x:v>
      </x:c>
      <x:c r="M331" s="90" t="n">
        <x:v>763682746.84</x:v>
      </x:c>
      <x:c r="N331" s="90" t="n">
        <x:v>725018880.26</x:v>
      </x:c>
      <x:c r="O331" s="90" t="n">
        <x:v>3444256050.87</x:v>
      </x:c>
      <x:c r="P331" s="90" t="n">
        <x:v>1347916253.24</x:v>
      </x:c>
      <x:c r="Q331" s="90" t="n">
        <x:v>142025983.58</x:v>
      </x:c>
      <x:c r="R331" s="90" t="n">
        <x:v>-81704.87</x:v>
      </x:c>
      <x:c r="S331" s="90" t="n">
        <x:v>-41621.48</x:v>
      </x:c>
      <x:c r="T331" t="n">
        <x:v>1.58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3">
      <x:c r="E332" t="s">
        <x:v>73</x:v>
      </x:c>
      <x:c r="F332" s="90">
        <x:v>0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 s="90">
        <x:v>0</x:v>
      </x:c>
      <x:c r="S332" s="90">
        <x:v>0</x:v>
      </x:c>
      <x:c r="T332" s="90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3">
      <x:c r="D333" t="s">
        <x:v>156</x:v>
      </x:c>
      <x:c r="E333" t="s">
        <x:v>70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 s="90">
        <x:v>0</x:v>
      </x:c>
      <x:c r="S333" s="90">
        <x:v>0</x:v>
      </x:c>
      <x:c r="T333" s="90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3">
      <x:c r="C334" s="286" t="s">
        <x:v>155</x:v>
      </x:c>
      <x:c r="D334" s="286" t="s">
        <x:v>70</x:v>
      </x:c>
      <x:c r="E334" s="229"/>
      <x:c r="F334" s="229">
        <x:v>0</x:v>
      </x:c>
      <x:c r="G334" s="230">
        <x:v>0</x:v>
      </x:c>
      <x:c r="H334" s="230">
        <x:v>0</x:v>
      </x:c>
      <x:c r="I334" s="230">
        <x:v>0</x:v>
      </x:c>
      <x:c r="J334" s="230">
        <x:v>0</x:v>
      </x:c>
      <x:c r="K334" s="230">
        <x:v>0</x:v>
      </x:c>
      <x:c r="L334" s="230">
        <x:v>0</x:v>
      </x:c>
      <x:c r="M334" s="230">
        <x:v>0</x:v>
      </x:c>
      <x:c r="N334" s="230">
        <x:v>0</x:v>
      </x:c>
      <x:c r="O334" s="230">
        <x:v>0</x:v>
      </x:c>
      <x:c r="P334" s="230">
        <x:v>0</x:v>
      </x:c>
      <x:c r="Q334" s="230">
        <x:v>0</x:v>
      </x:c>
      <x:c r="R334" s="230">
        <x:v>0</x:v>
      </x:c>
      <x:c r="S334" s="230">
        <x:v>0</x:v>
      </x:c>
      <x:c r="T334" s="230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3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3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3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3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3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3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3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5" customHeight="1" x14ac:dyDescent="0.3">
      <x:c r="B342" s="378" t="s">
        <x:v>122</x:v>
      </x:c>
      <x:c r="C342" s="378" t="s">
        <x:v>70</x:v>
      </x:c>
      <x:c r="E342" s="376"/>
      <x:c r="F342" s="710">
        <x:v>0</x:v>
      </x:c>
      <x:c r="G342" s="377">
        <x:v>0</x:v>
      </x:c>
      <x:c r="H342" s="377">
        <x:v>0</x:v>
      </x:c>
      <x:c r="I342" s="377">
        <x:v>0</x:v>
      </x:c>
      <x:c r="J342" s="377">
        <x:v>0</x:v>
      </x:c>
      <x:c r="K342" s="377">
        <x:v>0</x:v>
      </x:c>
      <x:c r="L342" s="377">
        <x:v>0</x:v>
      </x:c>
      <x:c r="M342" s="377">
        <x:v>0</x:v>
      </x:c>
      <x:c r="N342" s="377">
        <x:v>0</x:v>
      </x:c>
      <x:c r="O342" s="377">
        <x:v>0</x:v>
      </x:c>
      <x:c r="P342" s="377">
        <x:v>0</x:v>
      </x:c>
      <x:c r="Q342" s="377">
        <x:v>0</x:v>
      </x:c>
      <x:c r="R342" s="377">
        <x:v>0</x:v>
      </x:c>
      <x:c r="S342" s="377">
        <x:v>0</x:v>
      </x:c>
      <x:c r="T342" s="378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5" customHeight="1" x14ac:dyDescent="0.3">
      <x:c r="E343" s="89" t="s">
        <x:v>73</x:v>
      </x:c>
      <x:c r="F343" s="371" t="n">
        <x:v>-1327632993.07</x:v>
      </x:c>
      <x:c r="G343" s="90" t="n">
        <x:v>-8564985.77</x:v>
      </x:c>
      <x:c r="H343" s="90" t="n">
        <x:v>-4774987.63</x:v>
      </x:c>
      <x:c r="I343" s="90" t="n">
        <x:v>-2523218.82</x:v>
      </x:c>
      <x:c r="J343" s="90" t="n">
        <x:v>-408268306.71</x:v>
      </x:c>
      <x:c r="K343" s="90" t="n">
        <x:v>-14887976.7</x:v>
      </x:c>
      <x:c r="L343" s="90" t="n">
        <x:v>0</x:v>
      </x:c>
      <x:c r="M343" s="90" t="n">
        <x:v>-130597681.34</x:v>
      </x:c>
      <x:c r="N343" s="90" t="n">
        <x:v>-124131146.83</x:v>
      </x:c>
      <x:c r="O343" s="90" t="n">
        <x:v>-589163703.42</x:v>
      </x:c>
      <x:c r="P343" s="90" t="n">
        <x:v>-20430834.86</x:v>
      </x:c>
      <x:c r="Q343" s="90" t="n">
        <x:v>-24290150.99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3">
      <x:c r="D344" t="s">
        <x:v>156</x:v>
      </x:c>
      <x:c r="E344" s="89" t="s">
        <x:v>70</x:v>
      </x:c>
      <x:c r="F344" s="371" t="n">
        <x:v>-1327632993.07</x:v>
      </x:c>
      <x:c r="G344" s="90" t="n">
        <x:v>-8564985.77</x:v>
      </x:c>
      <x:c r="H344" s="90" t="n">
        <x:v>-4774987.63</x:v>
      </x:c>
      <x:c r="I344" s="90" t="n">
        <x:v>-2523218.82</x:v>
      </x:c>
      <x:c r="J344" s="90" t="n">
        <x:v>-408268306.71</x:v>
      </x:c>
      <x:c r="K344" s="90" t="n">
        <x:v>-14887976.7</x:v>
      </x:c>
      <x:c r="L344" s="90" t="n">
        <x:v>0</x:v>
      </x:c>
      <x:c r="M344" s="90" t="n">
        <x:v>-130597681.34</x:v>
      </x:c>
      <x:c r="N344" s="90" t="n">
        <x:v>-124131146.83</x:v>
      </x:c>
      <x:c r="O344" s="90" t="n">
        <x:v>-589163703.42</x:v>
      </x:c>
      <x:c r="P344" s="90" t="n">
        <x:v>-20430834.86</x:v>
      </x:c>
      <x:c r="Q344" s="90" t="n">
        <x:v>-24290150.99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3">
      <x:c r="C345" s="286" t="s">
        <x:v>155</x:v>
      </x:c>
      <x:c r="D345" s="286" t="s">
        <x:v>70</x:v>
      </x:c>
      <x:c r="E345" s="229"/>
      <x:c r="F345" s="229" t="n">
        <x:v>-1327632993.07</x:v>
      </x:c>
      <x:c r="G345" s="230" t="n">
        <x:v>-8564985.77</x:v>
      </x:c>
      <x:c r="H345" s="230" t="n">
        <x:v>-4774987.63</x:v>
      </x:c>
      <x:c r="I345" s="230" t="n">
        <x:v>-2523218.82</x:v>
      </x:c>
      <x:c r="J345" s="230" t="n">
        <x:v>-408268306.71</x:v>
      </x:c>
      <x:c r="K345" s="230" t="n">
        <x:v>-14887976.7</x:v>
      </x:c>
      <x:c r="L345" s="230" t="n">
        <x:v>0</x:v>
      </x:c>
      <x:c r="M345" s="230" t="n">
        <x:v>-130597681.34</x:v>
      </x:c>
      <x:c r="N345" s="230" t="n">
        <x:v>-124131146.83</x:v>
      </x:c>
      <x:c r="O345" s="230" t="n">
        <x:v>-589163703.42</x:v>
      </x:c>
      <x:c r="P345" s="230" t="n">
        <x:v>-20430834.86</x:v>
      </x:c>
      <x:c r="Q345" s="230" t="n">
        <x:v>-24290150.99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3">
      <x:c r="D346" s="89"/>
      <x:c r="E346" s="89" t="s">
        <x:v>73</x:v>
      </x:c>
      <x:c r="F346" s="90" t="n">
        <x:v>2828333.1</x:v>
      </x:c>
      <x:c r="G346" s="90" t="n">
        <x:v>743180.49</x:v>
      </x:c>
      <x:c r="H346" s="90" t="n">
        <x:v>414441.74</x:v>
      </x:c>
      <x:c r="I346" s="90" t="n">
        <x:v>221023.81</x:v>
      </x:c>
      <x:c r="J346" s="90" t="n">
        <x:v>-139031.15</x:v>
      </x:c>
      <x:c r="K346" s="90" t="n">
        <x:v>-2208.44</x:v>
      </x:c>
      <x:c r="L346" s="90" t="n">
        <x:v>0</x:v>
      </x:c>
      <x:c r="M346" s="90" t="n">
        <x:v>-20313.72</x:v>
      </x:c>
      <x:c r="N346" s="90" t="n">
        <x:v>-24977.48</x:v>
      </x:c>
      <x:c r="O346" s="90" t="n">
        <x:v>-121230.75</x:v>
      </x:c>
      <x:c r="P346" s="90" t="n">
        <x:v>1761052.74</x:v>
      </x:c>
      <x:c r="Q346" s="90" t="n">
        <x:v>-3604.14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3">
      <x:c r="D347" t="s">
        <x:v>82</x:v>
      </x:c>
      <x:c r="E347" s="89" t="s">
        <x:v>70</x:v>
      </x:c>
      <x:c r="F347" s="90" t="n">
        <x:v>2828333.1</x:v>
      </x:c>
      <x:c r="G347" s="90" t="n">
        <x:v>743180.49</x:v>
      </x:c>
      <x:c r="H347" s="90" t="n">
        <x:v>414441.74</x:v>
      </x:c>
      <x:c r="I347" s="90" t="n">
        <x:v>221023.81</x:v>
      </x:c>
      <x:c r="J347" s="90" t="n">
        <x:v>-139031.15</x:v>
      </x:c>
      <x:c r="K347" s="90" t="n">
        <x:v>-2208.44</x:v>
      </x:c>
      <x:c r="L347" s="90" t="n">
        <x:v>0</x:v>
      </x:c>
      <x:c r="M347" s="90" t="n">
        <x:v>-20313.72</x:v>
      </x:c>
      <x:c r="N347" s="90" t="n">
        <x:v>-24977.48</x:v>
      </x:c>
      <x:c r="O347" s="90" t="n">
        <x:v>-121230.75</x:v>
      </x:c>
      <x:c r="P347" s="90" t="n">
        <x:v>1761052.74</x:v>
      </x:c>
      <x:c r="Q347" s="90" t="n">
        <x:v>-3604.14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3">
      <x:c r="D348" s="89"/>
      <x:c r="E348" s="89" t="s">
        <x:v>73</x:v>
      </x:c>
      <x:c r="F348" s="90" t="n">
        <x:v>10204619.7</x:v>
      </x:c>
      <x:c r="G348" s="90" t="n">
        <x:v>2328991.14</x:v>
      </x:c>
      <x:c r="H348" s="90" t="n">
        <x:v>1287297.82</x:v>
      </x:c>
      <x:c r="I348" s="90" t="n">
        <x:v>679570.49</x:v>
      </x:c>
      <x:c r="J348" s="90" t="n">
        <x:v>102278.14</x:v>
      </x:c>
      <x:c r="K348" s="90" t="n">
        <x:v>4415.71</x:v>
      </x:c>
      <x:c r="L348" s="90" t="n">
        <x:v>0</x:v>
      </x:c>
      <x:c r="M348" s="90" t="n">
        <x:v>39056.98</x:v>
      </x:c>
      <x:c r="N348" s="90" t="n">
        <x:v>58210.36</x:v>
      </x:c>
      <x:c r="O348" s="90" t="n">
        <x:v>188950.98</x:v>
      </x:c>
      <x:c r="P348" s="90" t="n">
        <x:v>5508643.75</x:v>
      </x:c>
      <x:c r="Q348" s="90" t="n">
        <x:v>7204.33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3">
      <x:c r="D349" t="s">
        <x:v>86</x:v>
      </x:c>
      <x:c r="E349" s="89" t="s">
        <x:v>70</x:v>
      </x:c>
      <x:c r="F349" s="90" t="n">
        <x:v>10204619.7</x:v>
      </x:c>
      <x:c r="G349" s="90" t="n">
        <x:v>2328991.14</x:v>
      </x:c>
      <x:c r="H349" s="90" t="n">
        <x:v>1287297.82</x:v>
      </x:c>
      <x:c r="I349" s="90" t="n">
        <x:v>679570.49</x:v>
      </x:c>
      <x:c r="J349" s="90" t="n">
        <x:v>102278.14</x:v>
      </x:c>
      <x:c r="K349" s="90" t="n">
        <x:v>4415.71</x:v>
      </x:c>
      <x:c r="L349" s="90" t="n">
        <x:v>0</x:v>
      </x:c>
      <x:c r="M349" s="90" t="n">
        <x:v>39056.98</x:v>
      </x:c>
      <x:c r="N349" s="90" t="n">
        <x:v>58210.36</x:v>
      </x:c>
      <x:c r="O349" s="90" t="n">
        <x:v>188950.98</x:v>
      </x:c>
      <x:c r="P349" s="90" t="n">
        <x:v>5508643.75</x:v>
      </x:c>
      <x:c r="Q349" s="90" t="n">
        <x:v>7204.33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3">
      <x:c r="D350" s="89"/>
      <x:c r="E350" s="89" t="s">
        <x:v>73</x:v>
      </x:c>
      <x:c r="F350" s="90" t="n">
        <x:v>132456085.67</x:v>
      </x:c>
      <x:c r="G350" s="90" t="n">
        <x:v>30585428.24</x:v>
      </x:c>
      <x:c r="H350" s="90" t="n">
        <x:v>17048992.6</x:v>
      </x:c>
      <x:c r="I350" s="90" t="n">
        <x:v>9062837.04</x:v>
      </x:c>
      <x:c r="J350" s="90" t="n">
        <x:v>1058444.68</x:v>
      </x:c>
      <x:c r="K350" s="90" t="n">
        <x:v>25732.85</x:v>
      </x:c>
      <x:c r="L350" s="90" t="n">
        <x:v>0</x:v>
      </x:c>
      <x:c r="M350" s="90" t="n">
        <x:v>227727.21</x:v>
      </x:c>
      <x:c r="N350" s="90" t="n">
        <x:v>319819.04</x:v>
      </x:c>
      <x:c r="O350" s="90" t="n">
        <x:v>1520655.55</x:v>
      </x:c>
      <x:c r="P350" s="90" t="n">
        <x:v>72564464.72</x:v>
      </x:c>
      <x:c r="Q350" s="90" t="n">
        <x:v>41983.74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3">
      <x:c r="C351" s="89"/>
      <x:c r="D351" s="89" t="s">
        <x:v>87</x:v>
      </x:c>
      <x:c r="E351" t="s">
        <x:v>70</x:v>
      </x:c>
      <x:c r="F351" s="90" t="n">
        <x:v>132456085.67</x:v>
      </x:c>
      <x:c r="G351" s="90" t="n">
        <x:v>30585428.24</x:v>
      </x:c>
      <x:c r="H351" s="90" t="n">
        <x:v>17048992.6</x:v>
      </x:c>
      <x:c r="I351" s="90" t="n">
        <x:v>9062837.04</x:v>
      </x:c>
      <x:c r="J351" s="90" t="n">
        <x:v>1058444.68</x:v>
      </x:c>
      <x:c r="K351" s="90" t="n">
        <x:v>25732.85</x:v>
      </x:c>
      <x:c r="L351" s="90" t="n">
        <x:v>0</x:v>
      </x:c>
      <x:c r="M351" s="90" t="n">
        <x:v>227727.21</x:v>
      </x:c>
      <x:c r="N351" s="90" t="n">
        <x:v>319819.04</x:v>
      </x:c>
      <x:c r="O351" s="90" t="n">
        <x:v>1520655.55</x:v>
      </x:c>
      <x:c r="P351" s="90" t="n">
        <x:v>72564464.72</x:v>
      </x:c>
      <x:c r="Q351" s="90" t="n">
        <x:v>41983.74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3">
      <x:c r="C352" s="101" t="s">
        <x:v>119</x:v>
      </x:c>
      <x:c r="D352" s="101" t="s">
        <x:v>70</x:v>
      </x:c>
      <x:c r="F352" s="93" t="n">
        <x:v>145489038.47</x:v>
      </x:c>
      <x:c r="G352" s="93" t="n">
        <x:v>33657599.87</x:v>
      </x:c>
      <x:c r="H352" s="93" t="n">
        <x:v>18750732.16</x:v>
      </x:c>
      <x:c r="I352" s="93" t="n">
        <x:v>9963431.34</x:v>
      </x:c>
      <x:c r="J352" s="93" t="n">
        <x:v>1021691.67</x:v>
      </x:c>
      <x:c r="K352" s="93" t="n">
        <x:v>27940.12</x:v>
      </x:c>
      <x:c r="L352" s="93" t="n">
        <x:v>0</x:v>
      </x:c>
      <x:c r="M352" s="93" t="n">
        <x:v>246470.47</x:v>
      </x:c>
      <x:c r="N352" s="93" t="n">
        <x:v>353051.92</x:v>
      </x:c>
      <x:c r="O352" s="93" t="n">
        <x:v>1588375.78</x:v>
      </x:c>
      <x:c r="P352" s="93" t="n">
        <x:v>79834161.21</x:v>
      </x:c>
      <x:c r="Q352" s="93" t="n">
        <x:v>45583.93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3">
      <x:c r="A353" s="98"/>
      <x:c r="B353" s="98" t="s">
        <x:v>112</x:v>
      </x:c>
      <x:c r="C353" s="226" t="s">
        <x:v>70</x:v>
      </x:c>
      <x:c r="F353" s="100" t="n">
        <x:v>-1182143954.6</x:v>
      </x:c>
      <x:c r="G353" s="100" t="n">
        <x:v>25092614.1</x:v>
      </x:c>
      <x:c r="H353" s="100" t="n">
        <x:v>13975744.53</x:v>
      </x:c>
      <x:c r="I353" s="100" t="n">
        <x:v>7440212.52</x:v>
      </x:c>
      <x:c r="J353" s="100" t="n">
        <x:v>-407246615.04</x:v>
      </x:c>
      <x:c r="K353" s="100" t="n">
        <x:v>-14860036.58</x:v>
      </x:c>
      <x:c r="L353" s="100" t="n">
        <x:v>0</x:v>
      </x:c>
      <x:c r="M353" s="100" t="n">
        <x:v>-130351210.87</x:v>
      </x:c>
      <x:c r="N353" s="100" t="n">
        <x:v>-123778094.91</x:v>
      </x:c>
      <x:c r="O353" s="100" t="n">
        <x:v>-587575327.64</x:v>
      </x:c>
      <x:c r="P353" s="100" t="n">
        <x:v>59403326.35</x:v>
      </x:c>
      <x:c r="Q353" s="100" t="n">
        <x:v>-24244567.06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3">
      <x:c r="A354" s="89" t="s">
        <x:v>79</x:v>
      </x:c>
      <x:c r="B354" t="s">
        <x:v>70</x:v>
      </x:c>
      <x:c r="F354" s="90" t="n">
        <x:v>-1182143954.6</x:v>
      </x:c>
      <x:c r="G354" s="90" t="n">
        <x:v>25092614.1</x:v>
      </x:c>
      <x:c r="H354" s="90" t="n">
        <x:v>13975744.53</x:v>
      </x:c>
      <x:c r="I354" s="90" t="n">
        <x:v>7440212.52</x:v>
      </x:c>
      <x:c r="J354" s="90" t="n">
        <x:v>-407246615.04</x:v>
      </x:c>
      <x:c r="K354" s="90" t="n">
        <x:v>-14860036.58</x:v>
      </x:c>
      <x:c r="L354" s="90" t="n">
        <x:v>0</x:v>
      </x:c>
      <x:c r="M354" s="90" t="n">
        <x:v>-130351210.87</x:v>
      </x:c>
      <x:c r="N354" s="90" t="n">
        <x:v>-123778094.91</x:v>
      </x:c>
      <x:c r="O354" s="90" t="n">
        <x:v>-587575327.64</x:v>
      </x:c>
      <x:c r="P354" s="90" t="n">
        <x:v>59403326.35</x:v>
      </x:c>
      <x:c r="Q354" s="90" t="n">
        <x:v>-24244567.06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3">
      <x:c r="A355" t="s">
        <x:v>70</x:v>
      </x:c>
      <x:c r="E355" s="89"/>
      <x:c r="F355" s="90" t="n">
        <x:v>8830777878</x:v>
      </x:c>
      <x:c r="G355" s="90" t="n">
        <x:v>594141672.32</x:v>
      </x:c>
      <x:c r="H355" s="90" t="n">
        <x:v>331243233.41</x:v>
      </x:c>
      <x:c r="I355" s="90" t="n">
        <x:v>175958011.38</x:v>
      </x:c>
      <x:c r="J355" s="90" t="n">
        <x:v>2021774924.63</x:v>
      </x:c>
      <x:c r="K355" s="90" t="n">
        <x:v>72123973.96</x:v>
      </x:c>
      <x:c r="L355" s="90" t="n">
        <x:v>19305717.66</x:v>
      </x:c>
      <x:c r="M355" s="90" t="n">
        <x:v>633331492.19</x:v>
      </x:c>
      <x:c r="N355" s="90" t="n">
        <x:v>601240729.36</x:v>
      </x:c>
      <x:c r="O355" s="90" t="n">
        <x:v>2856680538.91</x:v>
      </x:c>
      <x:c r="P355" s="90" t="n">
        <x:v>1407319500.57</x:v>
      </x:c>
      <x:c r="Q355" s="90" t="n">
        <x:v>117781408.38</x:v>
      </x:c>
      <x:c r="R355" s="90" t="n">
        <x:v>-81704.87</x:v>
      </x:c>
      <x:c r="S355" s="90" t="n">
        <x:v>-41621.48</x:v>
      </x:c>
      <x:c r="T355" s="150" t="n">
        <x:v>1.58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3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3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3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3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3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3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3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3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3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3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3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3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3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3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3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3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3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3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3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3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3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3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3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3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3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3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3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3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3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3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3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3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3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3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3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3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3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3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3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3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3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3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3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3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3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3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3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3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3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3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3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3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3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3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3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3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3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3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3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3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3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3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3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3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3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3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3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3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3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3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3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3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3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3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3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3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3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3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3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3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3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3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3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3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3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3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3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3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3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3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3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3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3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3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3">
      <x:c r="E450" s="89" t="s">
        <x:v>72</x:v>
      </x:c>
      <x:c r="F450" s="371" t="n">
        <x:v>-10060.29</x:v>
      </x:c>
      <x:c r="G450" s="90" t="n">
        <x:v>-815.13</x:v>
      </x:c>
      <x:c r="H450" s="90" t="n">
        <x:v>-346.29</x:v>
      </x:c>
      <x:c r="I450" s="90" t="n">
        <x:v>-151.23</x:v>
      </x:c>
      <x:c r="J450" s="90" t="n">
        <x:v>-1859.88</x:v>
      </x:c>
      <x:c r="K450" s="90" t="n">
        <x:v>-75.75</x:v>
      </x:c>
      <x:c r="L450" s="90" t="n">
        <x:v>0</x:v>
      </x:c>
      <x:c r="M450" s="90" t="n">
        <x:v>-664.38</x:v>
      </x:c>
      <x:c r="N450" s="90" t="n">
        <x:v>-844.83</x:v>
      </x:c>
      <x:c r="O450" s="90" t="n">
        <x:v>-3102.12</x:v>
      </x:c>
      <x:c r="P450" s="90" t="n">
        <x:v>-2077.08</x:v>
      </x:c>
      <x:c r="Q450" s="90" t="n">
        <x:v>-123.6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>
        <x:v>0</x:v>
      </x:c>
    </x:row>
    <x:row r="451" spans="1:26" ht="12.75" customHeight="1" x14ac:dyDescent="0.3">
      <x:c r="D451" t="s">
        <x:v>156</x:v>
      </x:c>
      <x:c r="E451" s="89" t="s">
        <x:v>70</x:v>
      </x:c>
      <x:c r="F451" s="371" t="n">
        <x:v>-10060.29</x:v>
      </x:c>
      <x:c r="G451" s="90" t="n">
        <x:v>-815.13</x:v>
      </x:c>
      <x:c r="H451" s="90" t="n">
        <x:v>-346.29</x:v>
      </x:c>
      <x:c r="I451" s="90" t="n">
        <x:v>-151.23</x:v>
      </x:c>
      <x:c r="J451" s="90" t="n">
        <x:v>-1859.88</x:v>
      </x:c>
      <x:c r="K451" s="90" t="n">
        <x:v>-75.75</x:v>
      </x:c>
      <x:c r="L451" s="90" t="n">
        <x:v>0</x:v>
      </x:c>
      <x:c r="M451" s="90" t="n">
        <x:v>-664.38</x:v>
      </x:c>
      <x:c r="N451" s="90" t="n">
        <x:v>-844.83</x:v>
      </x:c>
      <x:c r="O451" s="90" t="n">
        <x:v>-3102.12</x:v>
      </x:c>
      <x:c r="P451" s="90" t="n">
        <x:v>-2077.08</x:v>
      </x:c>
      <x:c r="Q451" s="90" t="n">
        <x:v>-123.6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>
        <x:v>0</x:v>
      </x:c>
    </x:row>
    <x:row r="452" spans="1:26" s="656" customFormat="1" ht="12.75" customHeight="1" x14ac:dyDescent="0.3">
      <x:c r="C452" s="656" t="s">
        <x:v>155</x:v>
      </x:c>
      <x:c r="D452" s="657" t="s">
        <x:v>70</x:v>
      </x:c>
      <x:c r="E452" s="657"/>
      <x:c r="F452" s="658" t="n">
        <x:v>-10060.29</x:v>
      </x:c>
      <x:c r="G452" s="658" t="n">
        <x:v>-815.13</x:v>
      </x:c>
      <x:c r="H452" s="658" t="n">
        <x:v>-346.29</x:v>
      </x:c>
      <x:c r="I452" s="658" t="n">
        <x:v>-151.23</x:v>
      </x:c>
      <x:c r="J452" s="658" t="n">
        <x:v>-1859.88</x:v>
      </x:c>
      <x:c r="K452" s="658" t="n">
        <x:v>-75.75</x:v>
      </x:c>
      <x:c r="L452" s="658" t="n">
        <x:v>0</x:v>
      </x:c>
      <x:c r="M452" s="658" t="n">
        <x:v>-664.38</x:v>
      </x:c>
      <x:c r="N452" s="658" t="n">
        <x:v>-844.83</x:v>
      </x:c>
      <x:c r="O452" s="658" t="n">
        <x:v>-3102.12</x:v>
      </x:c>
      <x:c r="P452" s="658" t="n">
        <x:v>-2077.08</x:v>
      </x:c>
      <x:c r="Q452" s="658" t="n">
        <x:v>-123.6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>
        <x:v>0</x:v>
      </x:c>
    </x:row>
    <x:row r="453" spans="1:26" ht="12.75" customHeight="1" x14ac:dyDescent="0.3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3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3">
      <x:c r="E455" s="89" t="s">
        <x:v>72</x:v>
      </x:c>
      <x:c r="F455" s="371" t="n">
        <x:v>-20120.65</x:v>
      </x:c>
      <x:c r="G455" s="90" t="n">
        <x:v>-1630.32</x:v>
      </x:c>
      <x:c r="H455" s="90" t="n">
        <x:v>-692.62</x:v>
      </x:c>
      <x:c r="I455" s="90" t="n">
        <x:v>-302.46</x:v>
      </x:c>
      <x:c r="J455" s="90" t="n">
        <x:v>-3719.74</x:v>
      </x:c>
      <x:c r="K455" s="90" t="n">
        <x:v>-151.47</x:v>
      </x:c>
      <x:c r="L455" s="90" t="n">
        <x:v>0</x:v>
      </x:c>
      <x:c r="M455" s="90" t="n">
        <x:v>-1328.8</x:v>
      </x:c>
      <x:c r="N455" s="90" t="n">
        <x:v>-1689.69</x:v>
      </x:c>
      <x:c r="O455" s="90" t="n">
        <x:v>-6204.18</x:v>
      </x:c>
      <x:c r="P455" s="90" t="n">
        <x:v>-4154.22</x:v>
      </x:c>
      <x:c r="Q455" s="90" t="n">
        <x:v>-247.15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>
        <x:v>0</x:v>
      </x:c>
    </x:row>
    <x:row r="456" spans="1:26" ht="12.75" customHeight="1" x14ac:dyDescent="0.3">
      <x:c r="D456" t="s">
        <x:v>86</x:v>
      </x:c>
      <x:c r="E456" s="89" t="s">
        <x:v>70</x:v>
      </x:c>
      <x:c r="F456" s="371" t="n">
        <x:v>-20120.65</x:v>
      </x:c>
      <x:c r="G456" s="90" t="n">
        <x:v>-1630.32</x:v>
      </x:c>
      <x:c r="H456" s="90" t="n">
        <x:v>-692.62</x:v>
      </x:c>
      <x:c r="I456" s="90" t="n">
        <x:v>-302.46</x:v>
      </x:c>
      <x:c r="J456" s="90" t="n">
        <x:v>-3719.74</x:v>
      </x:c>
      <x:c r="K456" s="90" t="n">
        <x:v>-151.47</x:v>
      </x:c>
      <x:c r="L456" s="90" t="n">
        <x:v>0</x:v>
      </x:c>
      <x:c r="M456" s="90" t="n">
        <x:v>-1328.8</x:v>
      </x:c>
      <x:c r="N456" s="90" t="n">
        <x:v>-1689.69</x:v>
      </x:c>
      <x:c r="O456" s="90" t="n">
        <x:v>-6204.18</x:v>
      </x:c>
      <x:c r="P456" s="90" t="n">
        <x:v>-4154.22</x:v>
      </x:c>
      <x:c r="Q456" s="90" t="n">
        <x:v>-247.15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>
        <x:v>0</x:v>
      </x:c>
    </x:row>
    <x:row r="457" spans="1:26" ht="12.75" customHeight="1" x14ac:dyDescent="0.3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3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3">
      <x:c r="C459" s="101" t="s">
        <x:v>119</x:v>
      </x:c>
      <x:c r="D459" s="101" t="s">
        <x:v>70</x:v>
      </x:c>
      <x:c r="F459" s="93" t="n">
        <x:v>-20120.65</x:v>
      </x:c>
      <x:c r="G459" s="93" t="n">
        <x:v>-1630.32</x:v>
      </x:c>
      <x:c r="H459" s="93" t="n">
        <x:v>-692.62</x:v>
      </x:c>
      <x:c r="I459" s="93" t="n">
        <x:v>-302.46</x:v>
      </x:c>
      <x:c r="J459" s="93" t="n">
        <x:v>-3719.74</x:v>
      </x:c>
      <x:c r="K459" s="93" t="n">
        <x:v>-151.47</x:v>
      </x:c>
      <x:c r="L459" s="93" t="n">
        <x:v>0</x:v>
      </x:c>
      <x:c r="M459" s="93" t="n">
        <x:v>-1328.8</x:v>
      </x:c>
      <x:c r="N459" s="93" t="n">
        <x:v>-1689.69</x:v>
      </x:c>
      <x:c r="O459" s="93" t="n">
        <x:v>-6204.18</x:v>
      </x:c>
      <x:c r="P459" s="93" t="n">
        <x:v>-4154.22</x:v>
      </x:c>
      <x:c r="Q459" s="93" t="n">
        <x:v>-247.15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>
        <x:v>0</x:v>
      </x:c>
    </x:row>
    <x:row r="460" spans="1:26" ht="12.75" customHeight="1" x14ac:dyDescent="0.3">
      <x:c r="B460" t="s">
        <x:v>112</x:v>
      </x:c>
      <x:c r="C460" t="s">
        <x:v>70</x:v>
      </x:c>
      <x:c r="E460" s="89"/>
      <x:c r="F460" s="371" t="n">
        <x:v>-30180.94</x:v>
      </x:c>
      <x:c r="G460" s="90" t="n">
        <x:v>-2445.45</x:v>
      </x:c>
      <x:c r="H460" s="90" t="n">
        <x:v>-1038.91</x:v>
      </x:c>
      <x:c r="I460" s="90" t="n">
        <x:v>-453.69</x:v>
      </x:c>
      <x:c r="J460" s="90" t="n">
        <x:v>-5579.62</x:v>
      </x:c>
      <x:c r="K460" s="90" t="n">
        <x:v>-227.22</x:v>
      </x:c>
      <x:c r="L460" s="90" t="n">
        <x:v>0</x:v>
      </x:c>
      <x:c r="M460" s="90" t="n">
        <x:v>-1993.18</x:v>
      </x:c>
      <x:c r="N460" s="90" t="n">
        <x:v>-2534.52</x:v>
      </x:c>
      <x:c r="O460" s="90" t="n">
        <x:v>-9306.3</x:v>
      </x:c>
      <x:c r="P460" s="90" t="n">
        <x:v>-6231.3</x:v>
      </x:c>
      <x:c r="Q460" s="90" t="n">
        <x:v>-370.75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>
        <x:v>0</x:v>
      </x:c>
    </x:row>
    <x:row r="461" spans="1:26" s="458" customFormat="1" x14ac:dyDescent="0.3">
      <x:c r="A461" s="458" t="s">
        <x:v>186</x:v>
      </x:c>
      <x:c r="B461" s="459" t="s">
        <x:v>70</x:v>
      </x:c>
      <x:c r="C461" s="459"/>
      <x:c r="F461" s="460" t="n">
        <x:v>-30180.94</x:v>
      </x:c>
      <x:c r="G461" s="460" t="n">
        <x:v>-2445.45</x:v>
      </x:c>
      <x:c r="H461" s="460" t="n">
        <x:v>-1038.91</x:v>
      </x:c>
      <x:c r="I461" s="460" t="n">
        <x:v>-453.69</x:v>
      </x:c>
      <x:c r="J461" s="460" t="n">
        <x:v>-5579.62</x:v>
      </x:c>
      <x:c r="K461" s="460" t="n">
        <x:v>-227.22</x:v>
      </x:c>
      <x:c r="L461" s="460" t="n">
        <x:v>0</x:v>
      </x:c>
      <x:c r="M461" s="460" t="n">
        <x:v>-1993.18</x:v>
      </x:c>
      <x:c r="N461" s="460" t="n">
        <x:v>-2534.52</x:v>
      </x:c>
      <x:c r="O461" s="460" t="n">
        <x:v>-9306.3</x:v>
      </x:c>
      <x:c r="P461" s="460" t="n">
        <x:v>-6231.3</x:v>
      </x:c>
      <x:c r="Q461" s="460" t="n">
        <x:v>-370.75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>
        <x:v>0</x:v>
      </x:c>
    </x:row>
    <x:row r="462" spans="1:26" ht="12.75" customHeight="1" x14ac:dyDescent="0.3">
      <x:c r="E462" s="89" t="s">
        <x:v>72</x:v>
      </x:c>
      <x:c r="F462" s="90" t="n">
        <x:v>21516420.77</x:v>
      </x:c>
      <x:c r="G462" s="90" t="n">
        <x:v>1187856.9</x:v>
      </x:c>
      <x:c r="H462" s="90" t="n">
        <x:v>672668.72</x:v>
      </x:c>
      <x:c r="I462" s="90" t="n">
        <x:v>361871.85</x:v>
      </x:c>
      <x:c r="J462" s="90" t="n">
        <x:v>4876831.81</x:v>
      </x:c>
      <x:c r="K462" s="90" t="n">
        <x:v>142932.11</x:v>
      </x:c>
      <x:c r="L462" s="90" t="n">
        <x:v>0</x:v>
      </x:c>
      <x:c r="M462" s="90" t="n">
        <x:v>1245557.08</x:v>
      </x:c>
      <x:c r="N462" s="90" t="n">
        <x:v>1552579.42</x:v>
      </x:c>
      <x:c r="O462" s="90" t="n">
        <x:v>8062220.2</x:v>
      </x:c>
      <x:c r="P462" s="90" t="n">
        <x:v>3179277.73</x:v>
      </x:c>
      <x:c r="Q462" s="90" t="n">
        <x:v>234628.28</x:v>
      </x:c>
      <x:c r="R462" s="90" t="n">
        <x:v>-3.33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>
        <x:v>0</x:v>
      </x:c>
    </x:row>
    <x:row r="463" spans="1:26" ht="12.75" customHeight="1" x14ac:dyDescent="0.3">
      <x:c r="E463" s="89" t="s">
        <x:v>81</x:v>
      </x:c>
      <x:c r="F463" s="90" t="n">
        <x:v>441546.2</x:v>
      </x:c>
      <x:c r="G463" s="90" t="n">
        <x:v>39387.96</x:v>
      </x:c>
      <x:c r="H463" s="90" t="n">
        <x:v>18717.47</x:v>
      </x:c>
      <x:c r="I463" s="90" t="n">
        <x:v>7974.72</x:v>
      </x:c>
      <x:c r="J463" s="90" t="n">
        <x:v>82320.37</x:v>
      </x:c>
      <x:c r="K463" s="90" t="n">
        <x:v>3080.74</x:v>
      </x:c>
      <x:c r="L463" s="90" t="n">
        <x:v>0</x:v>
      </x:c>
      <x:c r="M463" s="90" t="n">
        <x:v>27025.34</x:v>
      </x:c>
      <x:c r="N463" s="90" t="n">
        <x:v>34166.4</x:v>
      </x:c>
      <x:c r="O463" s="90" t="n">
        <x:v>122337.49</x:v>
      </x:c>
      <x:c r="P463" s="90" t="n">
        <x:v>101507.62</x:v>
      </x:c>
      <x:c r="Q463" s="90" t="n">
        <x:v>5028.05</x:v>
      </x:c>
      <x:c r="R463" s="90" t="n">
        <x:v>0.04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>
        <x:v>0</x:v>
      </x:c>
    </x:row>
    <x:row r="464" spans="1:26" ht="12.75" customHeight="1" x14ac:dyDescent="0.3">
      <x:c r="D464" t="s">
        <x:v>156</x:v>
      </x:c>
      <x:c r="E464" s="89" t="s">
        <x:v>70</x:v>
      </x:c>
      <x:c r="F464" s="90" t="n">
        <x:v>21957966.97</x:v>
      </x:c>
      <x:c r="G464" s="90" t="n">
        <x:v>1227244.86</x:v>
      </x:c>
      <x:c r="H464" s="90" t="n">
        <x:v>691386.19</x:v>
      </x:c>
      <x:c r="I464" s="90" t="n">
        <x:v>369846.57</x:v>
      </x:c>
      <x:c r="J464" s="90" t="n">
        <x:v>4959152.18</x:v>
      </x:c>
      <x:c r="K464" s="90" t="n">
        <x:v>146012.85</x:v>
      </x:c>
      <x:c r="L464" s="90" t="n">
        <x:v>0</x:v>
      </x:c>
      <x:c r="M464" s="90" t="n">
        <x:v>1272582.42</x:v>
      </x:c>
      <x:c r="N464" s="90" t="n">
        <x:v>1586745.82</x:v>
      </x:c>
      <x:c r="O464" s="90" t="n">
        <x:v>8184557.69</x:v>
      </x:c>
      <x:c r="P464" s="90" t="n">
        <x:v>3280785.35</x:v>
      </x:c>
      <x:c r="Q464" s="90" t="n">
        <x:v>239656.33</x:v>
      </x:c>
      <x:c r="R464" s="90" t="n">
        <x:v>-3.29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>
        <x:v>0</x:v>
      </x:c>
    </x:row>
    <x:row r="465" spans="3:26" s="656" customFormat="1" ht="12.75" customHeight="1" x14ac:dyDescent="0.3">
      <x:c r="C465" s="656" t="s">
        <x:v>155</x:v>
      </x:c>
      <x:c r="D465" s="657" t="s">
        <x:v>70</x:v>
      </x:c>
      <x:c r="E465" s="657"/>
      <x:c r="F465" s="658" t="n">
        <x:v>21957966.97</x:v>
      </x:c>
      <x:c r="G465" s="658" t="n">
        <x:v>1227244.86</x:v>
      </x:c>
      <x:c r="H465" s="658" t="n">
        <x:v>691386.19</x:v>
      </x:c>
      <x:c r="I465" s="658" t="n">
        <x:v>369846.57</x:v>
      </x:c>
      <x:c r="J465" s="658" t="n">
        <x:v>4959152.18</x:v>
      </x:c>
      <x:c r="K465" s="658" t="n">
        <x:v>146012.85</x:v>
      </x:c>
      <x:c r="L465" s="658" t="n">
        <x:v>0</x:v>
      </x:c>
      <x:c r="M465" s="658" t="n">
        <x:v>1272582.42</x:v>
      </x:c>
      <x:c r="N465" s="658" t="n">
        <x:v>1586745.82</x:v>
      </x:c>
      <x:c r="O465" s="658" t="n">
        <x:v>8184557.69</x:v>
      </x:c>
      <x:c r="P465" s="658" t="n">
        <x:v>3280785.35</x:v>
      </x:c>
      <x:c r="Q465" s="658" t="n">
        <x:v>239656.33</x:v>
      </x:c>
      <x:c r="R465" s="658" t="n">
        <x:v>-3.29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>
        <x:v>0</x:v>
      </x:c>
    </x:row>
    <x:row r="466" spans="3:26" ht="12.75" customHeight="1" x14ac:dyDescent="0.3">
      <x:c r="D466" s="89"/>
      <x:c r="E466" s="89" t="s">
        <x:v>72</x:v>
      </x:c>
      <x:c r="F466" s="371" t="n">
        <x:v>269250.42</x:v>
      </x:c>
      <x:c r="G466" s="90" t="n">
        <x:v>11640.67</x:v>
      </x:c>
      <x:c r="H466" s="90" t="n">
        <x:v>6539.65</x:v>
      </x:c>
      <x:c r="I466" s="90" t="n">
        <x:v>3462.31</x:v>
      </x:c>
      <x:c r="J466" s="90" t="n">
        <x:v>34147.99</x:v>
      </x:c>
      <x:c r="K466" s="90" t="n">
        <x:v>2728.6</x:v>
      </x:c>
      <x:c r="L466" s="90" t="n">
        <x:v>0</x:v>
      </x:c>
      <x:c r="M466" s="90" t="n">
        <x:v>23935.17</x:v>
      </x:c>
      <x:c r="N466" s="90" t="n">
        <x:v>24673.09</x:v>
      </x:c>
      <x:c r="O466" s="90" t="n">
        <x:v>126745.31</x:v>
      </x:c>
      <x:c r="P466" s="90" t="n">
        <x:v>30932.12</x:v>
      </x:c>
      <x:c r="Q466" s="90" t="n">
        <x:v>4451.93</x:v>
      </x:c>
      <x:c r="R466" s="90" t="n">
        <x:v>-6.42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>
        <x:v>0</x:v>
      </x:c>
    </x:row>
    <x:row r="467" spans="3:26" ht="12.75" customHeight="1" x14ac:dyDescent="0.3">
      <x:c r="D467" s="89"/>
      <x:c r="E467" s="89" t="s">
        <x:v>81</x:v>
      </x:c>
      <x:c r="F467" s="371" t="n">
        <x:v>2364.25</x:v>
      </x:c>
      <x:c r="G467" s="90" t="n">
        <x:v>134.94</x:v>
      </x:c>
      <x:c r="H467" s="90" t="n">
        <x:v>75.89</x:v>
      </x:c>
      <x:c r="I467" s="90" t="n">
        <x:v>40.21</x:v>
      </x:c>
      <x:c r="J467" s="90" t="n">
        <x:v>655.11</x:v>
      </x:c>
      <x:c r="K467" s="90" t="n">
        <x:v>17.62</x:v>
      </x:c>
      <x:c r="L467" s="90" t="n">
        <x:v>0</x:v>
      </x:c>
      <x:c r="M467" s="90" t="n">
        <x:v>154.5</x:v>
      </x:c>
      <x:c r="N467" s="90" t="n">
        <x:v>202.63</x:v>
      </x:c>
      <x:c r="O467" s="90" t="n">
        <x:v>695.36</x:v>
      </x:c>
      <x:c r="P467" s="90" t="n">
        <x:v>359.29</x:v>
      </x:c>
      <x:c r="Q467" s="90" t="n">
        <x:v>28.76</x:v>
      </x:c>
      <x:c r="R467" s="90" t="n">
        <x:v>-0.06</x:v>
      </x:c>
      <x:c r="S467" s="90" t="n">
        <x:v>0</x:v>
      </x:c>
      <x:c r="T467" s="90" t="n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3">
      <x:c r="D468" s="89" t="s">
        <x:v>115</x:v>
      </x:c>
      <x:c r="E468" s="89" t="s">
        <x:v>70</x:v>
      </x:c>
      <x:c r="F468" s="371" t="n">
        <x:v>271614.67</x:v>
      </x:c>
      <x:c r="G468" s="90" t="n">
        <x:v>11775.61</x:v>
      </x:c>
      <x:c r="H468" s="90" t="n">
        <x:v>6615.54</x:v>
      </x:c>
      <x:c r="I468" s="90" t="n">
        <x:v>3502.52</x:v>
      </x:c>
      <x:c r="J468" s="90" t="n">
        <x:v>34803.1</x:v>
      </x:c>
      <x:c r="K468" s="90" t="n">
        <x:v>2746.22</x:v>
      </x:c>
      <x:c r="L468" s="90" t="n">
        <x:v>0</x:v>
      </x:c>
      <x:c r="M468" s="90" t="n">
        <x:v>24089.67</x:v>
      </x:c>
      <x:c r="N468" s="90" t="n">
        <x:v>24875.72</x:v>
      </x:c>
      <x:c r="O468" s="90" t="n">
        <x:v>127440.67</x:v>
      </x:c>
      <x:c r="P468" s="90" t="n">
        <x:v>31291.41</x:v>
      </x:c>
      <x:c r="Q468" s="90" t="n">
        <x:v>4480.69</x:v>
      </x:c>
      <x:c r="R468" s="90" t="n">
        <x:v>-6.48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>
        <x:v>0</x:v>
      </x:c>
    </x:row>
    <x:row r="469" spans="3:26" ht="12.75" customHeight="1" x14ac:dyDescent="0.3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3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3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3">
      <x:c r="D472" s="89"/>
      <x:c r="E472" s="89" t="s">
        <x:v>72</x:v>
      </x:c>
      <x:c r="F472" s="90" t="n">
        <x:v>84970</x:v>
      </x:c>
      <x:c r="G472" s="90" t="n">
        <x:v>2339.92</x:v>
      </x:c>
      <x:c r="H472" s="90" t="n">
        <x:v>1244.84</x:v>
      </x:c>
      <x:c r="I472" s="90" t="n">
        <x:v>1230.9</x:v>
      </x:c>
      <x:c r="J472" s="90" t="n">
        <x:v>18888.68</x:v>
      </x:c>
      <x:c r="K472" s="90" t="n">
        <x:v>959</x:v>
      </x:c>
      <x:c r="L472" s="90" t="n">
        <x:v>0</x:v>
      </x:c>
      <x:c r="M472" s="90" t="n">
        <x:v>3672.68</x:v>
      </x:c>
      <x:c r="N472" s="90" t="n">
        <x:v>6952.02</x:v>
      </x:c>
      <x:c r="O472" s="90" t="n">
        <x:v>42280.75</x:v>
      </x:c>
      <x:c r="P472" s="90" t="n">
        <x:v>5836.55</x:v>
      </x:c>
      <x:c r="Q472" s="90" t="n">
        <x:v>1564.66</x:v>
      </x:c>
      <x:c r="R472" s="90" t="n">
        <x:v>0</x:v>
      </x:c>
      <x:c r="S472" s="90" t="n">
        <x:v>0</x:v>
      </x:c>
      <x:c r="T472" s="90" t="n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3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3">
      <x:c r="D474" t="s">
        <x:v>118</x:v>
      </x:c>
      <x:c r="E474" s="89" t="s">
        <x:v>70</x:v>
      </x:c>
      <x:c r="F474" s="90" t="n">
        <x:v>84970</x:v>
      </x:c>
      <x:c r="G474" s="90" t="n">
        <x:v>2339.92</x:v>
      </x:c>
      <x:c r="H474" s="90" t="n">
        <x:v>1244.84</x:v>
      </x:c>
      <x:c r="I474" s="90" t="n">
        <x:v>1230.9</x:v>
      </x:c>
      <x:c r="J474" s="90" t="n">
        <x:v>18888.68</x:v>
      </x:c>
      <x:c r="K474" s="90" t="n">
        <x:v>959</x:v>
      </x:c>
      <x:c r="L474" s="90" t="n">
        <x:v>0</x:v>
      </x:c>
      <x:c r="M474" s="90" t="n">
        <x:v>3672.68</x:v>
      </x:c>
      <x:c r="N474" s="90" t="n">
        <x:v>6952.02</x:v>
      </x:c>
      <x:c r="O474" s="90" t="n">
        <x:v>42280.75</x:v>
      </x:c>
      <x:c r="P474" s="90" t="n">
        <x:v>5836.55</x:v>
      </x:c>
      <x:c r="Q474" s="90" t="n">
        <x:v>1564.66</x:v>
      </x:c>
      <x:c r="R474" s="90" t="n">
        <x:v>0</x:v>
      </x:c>
      <x:c r="S474" s="90" t="n">
        <x:v>0</x:v>
      </x:c>
      <x:c r="T474" s="90" t="n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3">
      <x:c r="C475" s="223" t="s">
        <x:v>120</x:v>
      </x:c>
      <x:c r="D475" s="223" t="s">
        <x:v>70</x:v>
      </x:c>
      <x:c r="F475" s="225" t="n">
        <x:v>356584.67</x:v>
      </x:c>
      <x:c r="G475" s="225" t="n">
        <x:v>14115.53</x:v>
      </x:c>
      <x:c r="H475" s="225" t="n">
        <x:v>7860.38</x:v>
      </x:c>
      <x:c r="I475" s="225" t="n">
        <x:v>4733.42</x:v>
      </x:c>
      <x:c r="J475" s="225" t="n">
        <x:v>53691.78</x:v>
      </x:c>
      <x:c r="K475" s="225" t="n">
        <x:v>3705.22</x:v>
      </x:c>
      <x:c r="L475" s="225" t="n">
        <x:v>0</x:v>
      </x:c>
      <x:c r="M475" s="225" t="n">
        <x:v>27762.35</x:v>
      </x:c>
      <x:c r="N475" s="225" t="n">
        <x:v>31827.74</x:v>
      </x:c>
      <x:c r="O475" s="225" t="n">
        <x:v>169721.42</x:v>
      </x:c>
      <x:c r="P475" s="225" t="n">
        <x:v>37127.96</x:v>
      </x:c>
      <x:c r="Q475" s="225" t="n">
        <x:v>6045.35</x:v>
      </x:c>
      <x:c r="R475" s="225" t="n">
        <x:v>-6.48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>
        <x:v>0</x:v>
      </x:c>
    </x:row>
    <x:row r="476" spans="3:26" ht="12.75" customHeight="1" x14ac:dyDescent="0.3">
      <x:c r="E476" s="89" t="s">
        <x:v>72</x:v>
      </x:c>
      <x:c r="F476" s="371" t="n">
        <x:v>463014.86</x:v>
      </x:c>
      <x:c r="G476" s="90" t="n">
        <x:v>25280.16</x:v>
      </x:c>
      <x:c r="H476" s="90" t="n">
        <x:v>14101.02</x:v>
      </x:c>
      <x:c r="I476" s="90" t="n">
        <x:v>7491.65</x:v>
      </x:c>
      <x:c r="J476" s="90" t="n">
        <x:v>106488.08</x:v>
      </x:c>
      <x:c r="K476" s="90" t="n">
        <x:v>3860.16</x:v>
      </x:c>
      <x:c r="L476" s="90" t="n">
        <x:v>0</x:v>
      </x:c>
      <x:c r="M476" s="90" t="n">
        <x:v>33861.06</x:v>
      </x:c>
      <x:c r="N476" s="90" t="n">
        <x:v>32145.55</x:v>
      </x:c>
      <x:c r="O476" s="90" t="n">
        <x:v>166557.78</x:v>
      </x:c>
      <x:c r="P476" s="90" t="n">
        <x:v>66934.6</x:v>
      </x:c>
      <x:c r="Q476" s="90" t="n">
        <x:v>6298.09</x:v>
      </x:c>
      <x:c r="R476" s="90" t="n">
        <x:v>-3.29</x:v>
      </x:c>
      <x:c r="S476" s="90" t="n">
        <x:v>0</x:v>
      </x:c>
      <x:c r="T476" s="90" t="n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3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3">
      <x:c r="D478" t="s">
        <x:v>82</x:v>
      </x:c>
      <x:c r="E478" s="89" t="s">
        <x:v>70</x:v>
      </x:c>
      <x:c r="F478" s="371" t="n">
        <x:v>463014.86</x:v>
      </x:c>
      <x:c r="G478" s="90" t="n">
        <x:v>25280.16</x:v>
      </x:c>
      <x:c r="H478" s="90" t="n">
        <x:v>14101.02</x:v>
      </x:c>
      <x:c r="I478" s="90" t="n">
        <x:v>7491.65</x:v>
      </x:c>
      <x:c r="J478" s="90" t="n">
        <x:v>106488.08</x:v>
      </x:c>
      <x:c r="K478" s="90" t="n">
        <x:v>3860.16</x:v>
      </x:c>
      <x:c r="L478" s="90" t="n">
        <x:v>0</x:v>
      </x:c>
      <x:c r="M478" s="90" t="n">
        <x:v>33861.06</x:v>
      </x:c>
      <x:c r="N478" s="90" t="n">
        <x:v>32145.55</x:v>
      </x:c>
      <x:c r="O478" s="90" t="n">
        <x:v>166557.78</x:v>
      </x:c>
      <x:c r="P478" s="90" t="n">
        <x:v>66934.6</x:v>
      </x:c>
      <x:c r="Q478" s="90" t="n">
        <x:v>6298.09</x:v>
      </x:c>
      <x:c r="R478" s="90" t="n">
        <x:v>-3.29</x:v>
      </x:c>
      <x:c r="S478" s="90" t="n">
        <x:v>0</x:v>
      </x:c>
      <x:c r="T478" s="90" t="n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3">
      <x:c r="E479" s="89" t="s">
        <x:v>72</x:v>
      </x:c>
      <x:c r="F479" s="371" t="n">
        <x:v>246993.84</x:v>
      </x:c>
      <x:c r="G479" s="90" t="n">
        <x:v>11800.76</x:v>
      </x:c>
      <x:c r="H479" s="90" t="n">
        <x:v>6274.55</x:v>
      </x:c>
      <x:c r="I479" s="90" t="n">
        <x:v>3485.2</x:v>
      </x:c>
      <x:c r="J479" s="90" t="n">
        <x:v>60372.89</x:v>
      </x:c>
      <x:c r="K479" s="90" t="n">
        <x:v>1884.56</x:v>
      </x:c>
      <x:c r="L479" s="90" t="n">
        <x:v>0</x:v>
      </x:c>
      <x:c r="M479" s="90" t="n">
        <x:v>16531.35</x:v>
      </x:c>
      <x:c r="N479" s="90" t="n">
        <x:v>18311.72</x:v>
      </x:c>
      <x:c r="O479" s="90" t="n">
        <x:v>93908.52</x:v>
      </x:c>
      <x:c r="P479" s="90" t="n">
        <x:v>31345.47</x:v>
      </x:c>
      <x:c r="Q479" s="90" t="n">
        <x:v>3074.81</x:v>
      </x:c>
      <x:c r="R479" s="90" t="n">
        <x:v>4.01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>
        <x:v>0</x:v>
      </x:c>
    </x:row>
    <x:row r="480" spans="3:26" ht="12.75" customHeight="1" x14ac:dyDescent="0.3">
      <x:c r="E480" s="89" t="s">
        <x:v>81</x:v>
      </x:c>
      <x:c r="F480" s="371" t="n">
        <x:v>182</x:v>
      </x:c>
      <x:c r="G480" s="90" t="n">
        <x:v>10.86</x:v>
      </x:c>
      <x:c r="H480" s="90" t="n">
        <x:v>6.08</x:v>
      </x:c>
      <x:c r="I480" s="90" t="n">
        <x:v>3.22</x:v>
      </x:c>
      <x:c r="J480" s="90" t="n">
        <x:v>42.07</x:v>
      </x:c>
      <x:c r="K480" s="90" t="n">
        <x:v>1.43</x:v>
      </x:c>
      <x:c r="L480" s="90" t="n">
        <x:v>0</x:v>
      </x:c>
      <x:c r="M480" s="90" t="n">
        <x:v>12.51</x:v>
      </x:c>
      <x:c r="N480" s="90" t="n">
        <x:v>12.16</x:v>
      </x:c>
      <x:c r="O480" s="90" t="n">
        <x:v>62.61</x:v>
      </x:c>
      <x:c r="P480" s="90" t="n">
        <x:v>28.74</x:v>
      </x:c>
      <x:c r="Q480" s="90" t="n">
        <x:v>2.32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>
        <x:v>0</x:v>
      </x:c>
    </x:row>
    <x:row r="481" spans="2:26" ht="12.75" customHeight="1" x14ac:dyDescent="0.3">
      <x:c r="D481" t="s">
        <x:v>86</x:v>
      </x:c>
      <x:c r="E481" s="89" t="s">
        <x:v>70</x:v>
      </x:c>
      <x:c r="F481" s="371" t="n">
        <x:v>247175.84</x:v>
      </x:c>
      <x:c r="G481" s="90" t="n">
        <x:v>11811.62</x:v>
      </x:c>
      <x:c r="H481" s="90" t="n">
        <x:v>6280.63</x:v>
      </x:c>
      <x:c r="I481" s="90" t="n">
        <x:v>3488.42</x:v>
      </x:c>
      <x:c r="J481" s="90" t="n">
        <x:v>60414.96</x:v>
      </x:c>
      <x:c r="K481" s="90" t="n">
        <x:v>1885.99</x:v>
      </x:c>
      <x:c r="L481" s="90" t="n">
        <x:v>0</x:v>
      </x:c>
      <x:c r="M481" s="90" t="n">
        <x:v>16543.86</x:v>
      </x:c>
      <x:c r="N481" s="90" t="n">
        <x:v>18323.88</x:v>
      </x:c>
      <x:c r="O481" s="90" t="n">
        <x:v>93971.13</x:v>
      </x:c>
      <x:c r="P481" s="90" t="n">
        <x:v>31374.21</x:v>
      </x:c>
      <x:c r="Q481" s="90" t="n">
        <x:v>3077.13</x:v>
      </x:c>
      <x:c r="R481" s="90" t="n">
        <x:v>4.01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>
        <x:v>0</x:v>
      </x:c>
    </x:row>
    <x:row r="482" spans="2:26" ht="12.75" customHeight="1" x14ac:dyDescent="0.3">
      <x:c r="E482" s="89" t="s">
        <x:v>72</x:v>
      </x:c>
      <x:c r="F482" s="371" t="n">
        <x:v>6840</x:v>
      </x:c>
      <x:c r="G482" s="90" t="n">
        <x:v>305.47</x:v>
      </x:c>
      <x:c r="H482" s="90" t="n">
        <x:v>170.21</x:v>
      </x:c>
      <x:c r="I482" s="90" t="n">
        <x:v>90.52</x:v>
      </x:c>
      <x:c r="J482" s="90" t="n">
        <x:v>1618.16</x:v>
      </x:c>
      <x:c r="K482" s="90" t="n">
        <x:v>61.86</x:v>
      </x:c>
      <x:c r="L482" s="90" t="n">
        <x:v>0</x:v>
      </x:c>
      <x:c r="M482" s="90" t="n">
        <x:v>542.61</x:v>
      </x:c>
      <x:c r="N482" s="90" t="n">
        <x:v>505.61</x:v>
      </x:c>
      <x:c r="O482" s="90" t="n">
        <x:v>2635.85</x:v>
      </x:c>
      <x:c r="P482" s="90" t="n">
        <x:v>808.79</x:v>
      </x:c>
      <x:c r="Q482" s="90" t="n">
        <x:v>100.92</x:v>
      </x:c>
      <x:c r="R482" s="90" t="n">
        <x:v>0</x:v>
      </x:c>
      <x:c r="S482" s="90" t="n">
        <x:v>0</x:v>
      </x:c>
      <x:c r="T482" s="90" t="n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3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3">
      <x:c r="D484" t="s">
        <x:v>87</x:v>
      </x:c>
      <x:c r="E484" s="89" t="s">
        <x:v>70</x:v>
      </x:c>
      <x:c r="F484" s="371" t="n">
        <x:v>6840</x:v>
      </x:c>
      <x:c r="G484" s="90" t="n">
        <x:v>305.47</x:v>
      </x:c>
      <x:c r="H484" s="90" t="n">
        <x:v>170.21</x:v>
      </x:c>
      <x:c r="I484" s="90" t="n">
        <x:v>90.52</x:v>
      </x:c>
      <x:c r="J484" s="90" t="n">
        <x:v>1618.16</x:v>
      </x:c>
      <x:c r="K484" s="90" t="n">
        <x:v>61.86</x:v>
      </x:c>
      <x:c r="L484" s="90" t="n">
        <x:v>0</x:v>
      </x:c>
      <x:c r="M484" s="90" t="n">
        <x:v>542.61</x:v>
      </x:c>
      <x:c r="N484" s="90" t="n">
        <x:v>505.61</x:v>
      </x:c>
      <x:c r="O484" s="90" t="n">
        <x:v>2635.85</x:v>
      </x:c>
      <x:c r="P484" s="90" t="n">
        <x:v>808.79</x:v>
      </x:c>
      <x:c r="Q484" s="90" t="n">
        <x:v>100.92</x:v>
      </x:c>
      <x:c r="R484" s="90" t="n">
        <x:v>0</x:v>
      </x:c>
      <x:c r="S484" s="90" t="n">
        <x:v>0</x:v>
      </x:c>
      <x:c r="T484" s="90" t="n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3">
      <x:c r="C485" s="94" t="s">
        <x:v>119</x:v>
      </x:c>
      <x:c r="D485" s="94" t="s">
        <x:v>70</x:v>
      </x:c>
      <x:c r="E485" s="101"/>
      <x:c r="F485" s="93" t="n">
        <x:v>717030.7</x:v>
      </x:c>
      <x:c r="G485" s="93" t="n">
        <x:v>37397.25</x:v>
      </x:c>
      <x:c r="H485" s="93" t="n">
        <x:v>20551.86</x:v>
      </x:c>
      <x:c r="I485" s="93" t="n">
        <x:v>11070.59</x:v>
      </x:c>
      <x:c r="J485" s="93" t="n">
        <x:v>168521.2</x:v>
      </x:c>
      <x:c r="K485" s="93" t="n">
        <x:v>5808.01</x:v>
      </x:c>
      <x:c r="L485" s="93" t="n">
        <x:v>0</x:v>
      </x:c>
      <x:c r="M485" s="93" t="n">
        <x:v>50947.53</x:v>
      </x:c>
      <x:c r="N485" s="93" t="n">
        <x:v>50975.04</x:v>
      </x:c>
      <x:c r="O485" s="93" t="n">
        <x:v>263164.76</x:v>
      </x:c>
      <x:c r="P485" s="93" t="n">
        <x:v>99117.6</x:v>
      </x:c>
      <x:c r="Q485" s="93" t="n">
        <x:v>9476.14</x:v>
      </x:c>
      <x:c r="R485" s="93" t="n">
        <x:v>0.72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>
        <x:v>0</x:v>
      </x:c>
    </x:row>
    <x:row r="486" spans="2:26" s="378" customFormat="1" ht="12.75" customHeight="1" x14ac:dyDescent="0.3">
      <x:c r="B486" s="378" t="s">
        <x:v>122</x:v>
      </x:c>
      <x:c r="C486" s="378" t="s">
        <x:v>70</x:v>
      </x:c>
      <x:c r="E486" s="376"/>
      <x:c r="F486" s="377" t="n">
        <x:v>23031582.34</x:v>
      </x:c>
      <x:c r="G486" s="377" t="n">
        <x:v>1278757.64</x:v>
      </x:c>
      <x:c r="H486" s="377" t="n">
        <x:v>719798.43</x:v>
      </x:c>
      <x:c r="I486" s="377" t="n">
        <x:v>385650.58</x:v>
      </x:c>
      <x:c r="J486" s="377" t="n">
        <x:v>5181365.16</x:v>
      </x:c>
      <x:c r="K486" s="377" t="n">
        <x:v>155526.08</x:v>
      </x:c>
      <x:c r="L486" s="377" t="n">
        <x:v>0</x:v>
      </x:c>
      <x:c r="M486" s="377" t="n">
        <x:v>1351292.3</x:v>
      </x:c>
      <x:c r="N486" s="377" t="n">
        <x:v>1669548.6</x:v>
      </x:c>
      <x:c r="O486" s="377" t="n">
        <x:v>8617443.87</x:v>
      </x:c>
      <x:c r="P486" s="377" t="n">
        <x:v>3417030.91</x:v>
      </x:c>
      <x:c r="Q486" s="377" t="n">
        <x:v>255177.82</x:v>
      </x:c>
      <x:c r="R486" s="377" t="n">
        <x:v>-9.05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>
        <x:v>0</x:v>
      </x:c>
    </x:row>
    <x:row r="487" spans="2:26" ht="12.75" customHeight="1" x14ac:dyDescent="0.3">
      <x:c r="E487" s="89" t="s">
        <x:v>72</x:v>
      </x:c>
      <x:c r="F487" s="90" t="n">
        <x:v>10316487786.87</x:v>
      </x:c>
      <x:c r="G487" s="90" t="n">
        <x:v>551410765.36</x:v>
      </x:c>
      <x:c r="H487" s="90" t="n">
        <x:v>306071016.32</x:v>
      </x:c>
      <x:c r="I487" s="90" t="n">
        <x:v>162886184.73</x:v>
      </x:c>
      <x:c r="J487" s="90" t="n">
        <x:v>2329299417.88</x:v>
      </x:c>
      <x:c r="K487" s="90" t="n">
        <x:v>87707938.07</x:v>
      </x:c>
      <x:c r="L487" s="90" t="n">
        <x:v>7966940.68</x:v>
      </x:c>
      <x:c r="M487" s="90" t="n">
        <x:v>768910877</x:v>
      </x:c>
      <x:c r="N487" s="90" t="n">
        <x:v>728042856.78</x:v>
      </x:c>
      <x:c r="O487" s="90" t="n">
        <x:v>3771216101</x:v>
      </x:c>
      <x:c r="P487" s="90" t="n">
        <x:v>1459609708.27</x:v>
      </x:c>
      <x:c r="Q487" s="90" t="n">
        <x:v>143334380.06</x:v>
      </x:c>
      <x:c r="R487" s="90" t="n">
        <x:v>31600.72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>
        <x:v>0</x:v>
      </x:c>
    </x:row>
    <x:row r="488" spans="2:26" ht="12.75" customHeight="1" x14ac:dyDescent="0.3">
      <x:c r="E488" s="89" t="s">
        <x:v>81</x:v>
      </x:c>
      <x:c r="F488" s="371" t="n">
        <x:v>14880353.09</x:v>
      </x:c>
      <x:c r="G488" s="90" t="n">
        <x:v>1291438.86</x:v>
      </x:c>
      <x:c r="H488" s="90" t="n">
        <x:v>568599.13</x:v>
      </x:c>
      <x:c r="I488" s="90" t="n">
        <x:v>235313.36</x:v>
      </x:c>
      <x:c r="J488" s="90" t="n">
        <x:v>3045375.22</x:v>
      </x:c>
      <x:c r="K488" s="90" t="n">
        <x:v>110392.5</x:v>
      </x:c>
      <x:c r="L488" s="90" t="n">
        <x:v>5432.15</x:v>
      </x:c>
      <x:c r="M488" s="90" t="n">
        <x:v>965801.91</x:v>
      </x:c>
      <x:c r="N488" s="90" t="n">
        <x:v>1108998.81</x:v>
      </x:c>
      <x:c r="O488" s="90" t="n">
        <x:v>3895953.74</x:v>
      </x:c>
      <x:c r="P488" s="90" t="n">
        <x:v>3472640.95</x:v>
      </x:c>
      <x:c r="Q488" s="90" t="n">
        <x:v>180195.77</x:v>
      </x:c>
      <x:c r="R488" s="90" t="n">
        <x:v>21.46</x:v>
      </x:c>
      <x:c r="S488" s="90" t="n">
        <x:v>10.26</x:v>
      </x:c>
      <x:c r="T488" t="n">
        <x:v>178.97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>
        <x:v>0</x:v>
      </x:c>
    </x:row>
    <x:row r="489" spans="2:26" ht="12.75" customHeight="1" x14ac:dyDescent="0.3">
      <x:c r="D489" t="s">
        <x:v>156</x:v>
      </x:c>
      <x:c r="E489" s="89" t="s">
        <x:v>70</x:v>
      </x:c>
      <x:c r="F489" s="90" t="n">
        <x:v>10331368139.96</x:v>
      </x:c>
      <x:c r="G489" s="90" t="n">
        <x:v>552702204.22</x:v>
      </x:c>
      <x:c r="H489" s="90" t="n">
        <x:v>306639615.45</x:v>
      </x:c>
      <x:c r="I489" s="90" t="n">
        <x:v>163121498.09</x:v>
      </x:c>
      <x:c r="J489" s="90" t="n">
        <x:v>2332344793.1</x:v>
      </x:c>
      <x:c r="K489" s="90" t="n">
        <x:v>87818330.57</x:v>
      </x:c>
      <x:c r="L489" s="90" t="n">
        <x:v>7972372.83</x:v>
      </x:c>
      <x:c r="M489" s="90" t="n">
        <x:v>769876678.91</x:v>
      </x:c>
      <x:c r="N489" s="90" t="n">
        <x:v>729151855.59</x:v>
      </x:c>
      <x:c r="O489" s="90" t="n">
        <x:v>3775112054.74</x:v>
      </x:c>
      <x:c r="P489" s="90" t="n">
        <x:v>1463082349.22</x:v>
      </x:c>
      <x:c r="Q489" s="90" t="n">
        <x:v>143514575.83</x:v>
      </x:c>
      <x:c r="R489" s="90" t="n">
        <x:v>31622.18</x:v>
      </x:c>
      <x:c r="S489" s="90" t="n">
        <x:v>10.26</x:v>
      </x:c>
      <x:c r="T489" t="n">
        <x:v>178.97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>
        <x:v>0</x:v>
      </x:c>
    </x:row>
    <x:row r="490" spans="2:26" s="656" customFormat="1" ht="12.75" customHeight="1" x14ac:dyDescent="0.3">
      <x:c r="C490" s="656" t="s">
        <x:v>155</x:v>
      </x:c>
      <x:c r="D490" s="657" t="s">
        <x:v>70</x:v>
      </x:c>
      <x:c r="E490" s="657"/>
      <x:c r="F490" s="658" t="n">
        <x:v>10331368139.96</x:v>
      </x:c>
      <x:c r="G490" s="658" t="n">
        <x:v>552702204.22</x:v>
      </x:c>
      <x:c r="H490" s="658" t="n">
        <x:v>306639615.45</x:v>
      </x:c>
      <x:c r="I490" s="658" t="n">
        <x:v>163121498.09</x:v>
      </x:c>
      <x:c r="J490" s="658" t="n">
        <x:v>2332344793.1</x:v>
      </x:c>
      <x:c r="K490" s="658" t="n">
        <x:v>87818330.57</x:v>
      </x:c>
      <x:c r="L490" s="658" t="n">
        <x:v>7972372.83</x:v>
      </x:c>
      <x:c r="M490" s="658" t="n">
        <x:v>769876678.91</x:v>
      </x:c>
      <x:c r="N490" s="658" t="n">
        <x:v>729151855.59</x:v>
      </x:c>
      <x:c r="O490" s="658" t="n">
        <x:v>3775112054.74</x:v>
      </x:c>
      <x:c r="P490" s="658" t="n">
        <x:v>1463082349.22</x:v>
      </x:c>
      <x:c r="Q490" s="658" t="n">
        <x:v>143514575.83</x:v>
      </x:c>
      <x:c r="R490" s="658" t="n">
        <x:v>31622.18</x:v>
      </x:c>
      <x:c r="S490" s="658" t="n">
        <x:v>10.26</x:v>
      </x:c>
      <x:c r="T490" s="656" t="n">
        <x:v>178.97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>
        <x:v>0</x:v>
      </x:c>
    </x:row>
    <x:row r="491" spans="2:26" ht="12.75" customHeight="1" x14ac:dyDescent="0.3">
      <x:c r="D491" s="89"/>
      <x:c r="E491" s="89" t="s">
        <x:v>72</x:v>
      </x:c>
      <x:c r="F491" s="371">
        <x:v>0</x:v>
      </x:c>
      <x:c r="G491" s="90">
        <x:v>0</x:v>
      </x:c>
      <x:c r="H491" s="90">
        <x:v>0</x:v>
      </x:c>
      <x:c r="I491" s="90">
        <x:v>0</x:v>
      </x:c>
      <x:c r="J491" s="90">
        <x:v>0</x:v>
      </x:c>
      <x:c r="K491" s="90">
        <x:v>0</x:v>
      </x:c>
      <x:c r="L491" s="90">
        <x:v>0</x:v>
      </x:c>
      <x:c r="M491" s="90">
        <x:v>0</x:v>
      </x:c>
      <x:c r="N491" s="90">
        <x:v>0</x:v>
      </x:c>
      <x:c r="O491" s="90">
        <x:v>0</x:v>
      </x:c>
      <x:c r="P491" s="90">
        <x:v>0</x:v>
      </x:c>
      <x:c r="Q491" s="90">
        <x:v>0</x:v>
      </x:c>
      <x:c r="R491" s="90">
        <x:v>0</x:v>
      </x:c>
      <x:c r="S491" s="90">
        <x:v>0</x:v>
      </x:c>
      <x:c r="T491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>
        <x:v>0</x:v>
      </x:c>
    </x:row>
    <x:row r="492" spans="2:26" ht="12.75" customHeight="1" x14ac:dyDescent="0.3">
      <x:c r="D492" s="89"/>
      <x:c r="E492" s="89" t="s">
        <x:v>81</x:v>
      </x:c>
      <x:c r="F492" s="371">
        <x:v>0</x:v>
      </x:c>
      <x:c r="G492" s="90">
        <x:v>0</x:v>
      </x:c>
      <x:c r="H492" s="90">
        <x:v>0</x:v>
      </x:c>
      <x:c r="I492" s="90">
        <x:v>0</x:v>
      </x:c>
      <x:c r="J492" s="90">
        <x:v>0</x:v>
      </x:c>
      <x:c r="K492" s="90">
        <x:v>0</x:v>
      </x:c>
      <x:c r="L492" s="90">
        <x:v>0</x:v>
      </x:c>
      <x:c r="M492" s="90">
        <x:v>0</x:v>
      </x:c>
      <x:c r="N492" s="90">
        <x:v>0</x:v>
      </x:c>
      <x:c r="O492" s="90">
        <x:v>0</x:v>
      </x:c>
      <x:c r="P492" s="90">
        <x:v>0</x:v>
      </x:c>
      <x:c r="Q492" s="90">
        <x:v>0</x:v>
      </x:c>
      <x:c r="R492" s="90">
        <x:v>0</x:v>
      </x:c>
      <x:c r="S492" s="90">
        <x:v>0</x:v>
      </x:c>
      <x:c r="T492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>
        <x:v>0</x:v>
      </x:c>
    </x:row>
    <x:row r="493" spans="2:26" ht="12.75" customHeight="1" x14ac:dyDescent="0.3">
      <x:c r="D493" s="89" t="s">
        <x:v>115</x:v>
      </x:c>
      <x:c r="E493" s="89" t="s">
        <x:v>70</x:v>
      </x:c>
      <x:c r="F493" s="371">
        <x:v>0</x:v>
      </x:c>
      <x:c r="G493" s="90">
        <x:v>0</x:v>
      </x:c>
      <x:c r="H493" s="90">
        <x:v>0</x:v>
      </x:c>
      <x:c r="I493" s="90">
        <x:v>0</x:v>
      </x:c>
      <x:c r="J493" s="90">
        <x:v>0</x:v>
      </x:c>
      <x:c r="K493" s="90">
        <x:v>0</x:v>
      </x:c>
      <x:c r="L493" s="90">
        <x:v>0</x:v>
      </x:c>
      <x:c r="M493" s="90">
        <x:v>0</x:v>
      </x:c>
      <x:c r="N493" s="90">
        <x:v>0</x:v>
      </x:c>
      <x:c r="O493" s="90">
        <x:v>0</x:v>
      </x:c>
      <x:c r="P493" s="90">
        <x:v>0</x:v>
      </x:c>
      <x:c r="Q493" s="90">
        <x:v>0</x:v>
      </x:c>
      <x:c r="R493" s="90">
        <x:v>0</x:v>
      </x:c>
      <x:c r="S493" s="90">
        <x:v>0</x:v>
      </x:c>
      <x:c r="T493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>
        <x:v>0</x:v>
      </x:c>
    </x:row>
    <x:row r="494" spans="2:26" ht="12.75" customHeight="1" x14ac:dyDescent="0.3">
      <x:c r="C494" s="89"/>
      <x:c r="D494" s="89"/>
      <x:c r="E494" t="s">
        <x:v>72</x:v>
      </x:c>
      <x:c r="F494" s="90">
        <x:v>0</x:v>
      </x:c>
      <x:c r="G494" s="90">
        <x:v>0</x:v>
      </x:c>
      <x:c r="H494" s="90">
        <x:v>0</x:v>
      </x:c>
      <x:c r="I494" s="90">
        <x:v>0</x:v>
      </x:c>
      <x:c r="J494" s="90">
        <x:v>0</x:v>
      </x:c>
      <x:c r="K494" s="90">
        <x:v>0</x:v>
      </x:c>
      <x:c r="L494" s="90">
        <x:v>0</x:v>
      </x:c>
      <x:c r="M494" s="90">
        <x:v>0</x:v>
      </x:c>
      <x:c r="N494" s="90">
        <x:v>0</x:v>
      </x:c>
      <x:c r="O494" s="90">
        <x:v>0</x:v>
      </x:c>
      <x:c r="P494" s="90">
        <x:v>0</x:v>
      </x:c>
      <x:c r="Q494" s="90">
        <x:v>0</x:v>
      </x:c>
      <x:c r="R494" s="90">
        <x:v>0</x:v>
      </x:c>
      <x:c r="S494" s="90">
        <x:v>0</x:v>
      </x:c>
      <x:c r="T494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>
        <x:v>0</x:v>
      </x:c>
    </x:row>
    <x:row r="495" spans="2:26" ht="12.75" customHeight="1" x14ac:dyDescent="0.3">
      <x:c r="E495" s="89" t="s">
        <x:v>81</x:v>
      </x:c>
      <x:c r="F495" s="90">
        <x:v>0</x:v>
      </x:c>
      <x:c r="G495" s="90">
        <x:v>0</x:v>
      </x:c>
      <x:c r="H495" s="90">
        <x:v>0</x:v>
      </x:c>
      <x:c r="I495" s="90">
        <x:v>0</x:v>
      </x:c>
      <x:c r="J495" s="90">
        <x:v>0</x:v>
      </x:c>
      <x:c r="K495" s="90">
        <x:v>0</x:v>
      </x:c>
      <x:c r="L495" s="90">
        <x:v>0</x:v>
      </x:c>
      <x:c r="M495" s="90">
        <x:v>0</x:v>
      </x:c>
      <x:c r="N495" s="90">
        <x:v>0</x:v>
      </x:c>
      <x:c r="O495" s="90">
        <x:v>0</x:v>
      </x:c>
      <x:c r="P495" s="90">
        <x:v>0</x:v>
      </x:c>
      <x:c r="Q495" s="90">
        <x:v>0</x:v>
      </x:c>
      <x:c r="R495" s="90">
        <x:v>0</x:v>
      </x:c>
      <x:c r="S495" s="90">
        <x:v>0</x:v>
      </x:c>
      <x:c r="T495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>
        <x:v>0</x:v>
      </x:c>
    </x:row>
    <x:row r="496" spans="2:26" ht="12.75" customHeight="1" x14ac:dyDescent="0.3">
      <x:c r="D496" s="773">
        <x:v>2</x:v>
      </x:c>
      <x:c r="E496" s="89" t="s">
        <x:v>70</x:v>
      </x:c>
      <x:c r="F496" s="90">
        <x:v>0</x:v>
      </x:c>
      <x:c r="G496" s="90">
        <x:v>0</x:v>
      </x:c>
      <x:c r="H496" s="90">
        <x:v>0</x:v>
      </x:c>
      <x:c r="I496" s="90">
        <x:v>0</x:v>
      </x:c>
      <x:c r="J496" s="90">
        <x:v>0</x:v>
      </x:c>
      <x:c r="K496" s="90">
        <x:v>0</x:v>
      </x:c>
      <x:c r="L496" s="90">
        <x:v>0</x:v>
      </x:c>
      <x:c r="M496" s="90">
        <x:v>0</x:v>
      </x:c>
      <x:c r="N496" s="90">
        <x:v>0</x:v>
      </x:c>
      <x:c r="O496" s="90">
        <x:v>0</x:v>
      </x:c>
      <x:c r="P496" s="90">
        <x:v>0</x:v>
      </x:c>
      <x:c r="Q496" s="90">
        <x:v>0</x:v>
      </x:c>
      <x:c r="R496" s="90">
        <x:v>0</x:v>
      </x:c>
      <x:c r="S496" s="90">
        <x:v>0</x:v>
      </x:c>
      <x:c r="T496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>
        <x:v>0</x:v>
      </x:c>
    </x:row>
    <x:row r="497" spans="1:26" ht="12.75" customHeight="1" x14ac:dyDescent="0.3">
      <x:c r="C497" s="89"/>
      <x:c r="D497" s="89"/>
      <x:c r="E497" t="s">
        <x:v>72</x:v>
      </x:c>
      <x:c r="F497" s="90">
        <x:v>0</x:v>
      </x:c>
      <x:c r="G497" s="90">
        <x:v>0</x:v>
      </x:c>
      <x:c r="H497" s="90">
        <x:v>0</x:v>
      </x:c>
      <x:c r="I497" s="90">
        <x:v>0</x:v>
      </x:c>
      <x:c r="J497" s="90">
        <x:v>0</x:v>
      </x:c>
      <x:c r="K497" s="90">
        <x:v>0</x:v>
      </x:c>
      <x:c r="L497" s="90">
        <x:v>0</x:v>
      </x:c>
      <x:c r="M497" s="90">
        <x:v>0</x:v>
      </x:c>
      <x:c r="N497" s="90">
        <x:v>0</x:v>
      </x:c>
      <x:c r="O497" s="90">
        <x:v>0</x:v>
      </x:c>
      <x:c r="P497" s="90">
        <x:v>0</x:v>
      </x:c>
      <x:c r="Q497" s="90">
        <x:v>0</x:v>
      </x:c>
      <x:c r="R497" s="90">
        <x:v>0</x:v>
      </x:c>
      <x:c r="S497" s="90">
        <x:v>0</x:v>
      </x:c>
      <x:c r="T497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>
        <x:v>0</x:v>
      </x:c>
    </x:row>
    <x:row r="498" spans="1:26" ht="12.75" customHeight="1" x14ac:dyDescent="0.3">
      <x:c r="E498" s="89" t="s">
        <x:v>81</x:v>
      </x:c>
      <x:c r="F498" s="90">
        <x:v>0</x:v>
      </x:c>
      <x:c r="G498" s="90">
        <x:v>0</x:v>
      </x:c>
      <x:c r="H498" s="90">
        <x:v>0</x:v>
      </x:c>
      <x:c r="I498" s="90">
        <x:v>0</x:v>
      </x:c>
      <x:c r="J498" s="90">
        <x:v>0</x:v>
      </x:c>
      <x:c r="K498" s="90">
        <x:v>0</x:v>
      </x:c>
      <x:c r="L498" s="90">
        <x:v>0</x:v>
      </x:c>
      <x:c r="M498" s="90">
        <x:v>0</x:v>
      </x:c>
      <x:c r="N498" s="90">
        <x:v>0</x:v>
      </x:c>
      <x:c r="O498" s="90">
        <x:v>0</x:v>
      </x:c>
      <x:c r="P498" s="90">
        <x:v>0</x:v>
      </x:c>
      <x:c r="Q498" s="90">
        <x:v>0</x:v>
      </x:c>
      <x:c r="R498" s="90">
        <x:v>0</x:v>
      </x:c>
      <x:c r="S498" s="90">
        <x:v>0</x:v>
      </x:c>
      <x:c r="T498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>
        <x:v>0</x:v>
      </x:c>
    </x:row>
    <x:row r="499" spans="1:26" ht="12.75" customHeight="1" x14ac:dyDescent="0.3">
      <x:c r="D499" t="s">
        <x:v>118</x:v>
      </x:c>
      <x:c r="E499" s="89" t="s">
        <x:v>70</x:v>
      </x:c>
      <x:c r="F499" s="90">
        <x:v>0</x:v>
      </x:c>
      <x:c r="G499" s="90">
        <x:v>0</x:v>
      </x:c>
      <x:c r="H499" s="90">
        <x:v>0</x:v>
      </x:c>
      <x:c r="I499" s="90">
        <x:v>0</x:v>
      </x:c>
      <x:c r="J499" s="90">
        <x:v>0</x:v>
      </x:c>
      <x:c r="K499" s="90">
        <x:v>0</x:v>
      </x:c>
      <x:c r="L499" s="90">
        <x:v>0</x:v>
      </x:c>
      <x:c r="M499" s="90">
        <x:v>0</x:v>
      </x:c>
      <x:c r="N499" s="90">
        <x:v>0</x:v>
      </x:c>
      <x:c r="O499" s="90">
        <x:v>0</x:v>
      </x:c>
      <x:c r="P499" s="90">
        <x:v>0</x:v>
      </x:c>
      <x:c r="Q499" s="90">
        <x:v>0</x:v>
      </x:c>
      <x:c r="R499" s="90">
        <x:v>0</x:v>
      </x:c>
      <x:c r="S499" s="90">
        <x:v>0</x:v>
      </x:c>
      <x:c r="T499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>
        <x:v>0</x:v>
      </x:c>
    </x:row>
    <x:row r="500" spans="1:26" s="224" customFormat="1" ht="12.75" customHeight="1" x14ac:dyDescent="0.3">
      <x:c r="C500" s="223" t="s">
        <x:v>120</x:v>
      </x:c>
      <x:c r="D500" s="223" t="s">
        <x:v>70</x:v>
      </x:c>
      <x:c r="F500" s="225">
        <x:v>0</x:v>
      </x:c>
      <x:c r="G500" s="225">
        <x:v>0</x:v>
      </x:c>
      <x:c r="H500" s="225">
        <x:v>0</x:v>
      </x:c>
      <x:c r="I500" s="225">
        <x:v>0</x:v>
      </x:c>
      <x:c r="J500" s="225">
        <x:v>0</x:v>
      </x:c>
      <x:c r="K500" s="225">
        <x:v>0</x:v>
      </x:c>
      <x:c r="L500" s="225">
        <x:v>0</x:v>
      </x:c>
      <x:c r="M500" s="225">
        <x:v>0</x:v>
      </x:c>
      <x:c r="N500" s="225">
        <x:v>0</x:v>
      </x:c>
      <x:c r="O500" s="225">
        <x:v>0</x:v>
      </x:c>
      <x:c r="P500" s="225">
        <x:v>0</x:v>
      </x:c>
      <x:c r="Q500" s="225">
        <x:v>0</x:v>
      </x:c>
      <x:c r="R500" s="225">
        <x:v>0</x:v>
      </x:c>
      <x:c r="S500" s="225">
        <x:v>0</x:v>
      </x:c>
      <x:c r="T500" s="224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>
        <x:v>0</x:v>
      </x:c>
    </x:row>
    <x:row r="501" spans="1:26" ht="12.75" customHeight="1" x14ac:dyDescent="0.3">
      <x:c r="E501" s="89" t="s">
        <x:v>72</x:v>
      </x:c>
      <x:c r="F501" s="90" t="n">
        <x:v>81379741.22</x:v>
      </x:c>
      <x:c r="G501" s="90" t="n">
        <x:v>4722303.37</x:v>
      </x:c>
      <x:c r="H501" s="90" t="n">
        <x:v>2646611.7</x:v>
      </x:c>
      <x:c r="I501" s="90" t="n">
        <x:v>1407817.53</x:v>
      </x:c>
      <x:c r="J501" s="90" t="n">
        <x:v>18853588.34</x:v>
      </x:c>
      <x:c r="K501" s="90" t="n">
        <x:v>467107.75</x:v>
      </x:c>
      <x:c r="L501" s="90" t="n">
        <x:v>0</x:v>
      </x:c>
      <x:c r="M501" s="90" t="n">
        <x:v>4106797.95</x:v>
      </x:c>
      <x:c r="N501" s="90" t="n">
        <x:v>5801684.7</x:v>
      </x:c>
      <x:c r="O501" s="90" t="n">
        <x:v>30089094.29</x:v>
      </x:c>
      <x:c r="P501" s="90" t="n">
        <x:v>12512820.2</x:v>
      </x:c>
      <x:c r="Q501" s="90" t="n">
        <x:v>771613.08</x:v>
      </x:c>
      <x:c r="R501" s="90" t="n">
        <x:v>302.31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>
        <x:v>0</x:v>
      </x:c>
    </x:row>
    <x:row r="502" spans="1:26" ht="12.75" customHeight="1" x14ac:dyDescent="0.3">
      <x:c r="D502" s="89"/>
      <x:c r="E502" s="89" t="s">
        <x:v>81</x:v>
      </x:c>
      <x:c r="F502" s="90" t="n">
        <x:v>237061.36</x:v>
      </x:c>
      <x:c r="G502" s="90" t="n">
        <x:v>14686.74</x:v>
      </x:c>
      <x:c r="H502" s="90" t="n">
        <x:v>8302.62</x:v>
      </x:c>
      <x:c r="I502" s="90" t="n">
        <x:v>4392.62</x:v>
      </x:c>
      <x:c r="J502" s="90" t="n">
        <x:v>59679.69</x:v>
      </x:c>
      <x:c r="K502" s="90" t="n">
        <x:v>1483.67</x:v>
      </x:c>
      <x:c r="L502" s="90" t="n">
        <x:v>0</x:v>
      </x:c>
      <x:c r="M502" s="90" t="n">
        <x:v>13041.16</x:v>
      </x:c>
      <x:c r="N502" s="90" t="n">
        <x:v>18748.86</x:v>
      </x:c>
      <x:c r="O502" s="90" t="n">
        <x:v>75101.78</x:v>
      </x:c>
      <x:c r="P502" s="90" t="n">
        <x:v>39197.67</x:v>
      </x:c>
      <x:c r="Q502" s="90" t="n">
        <x:v>2426.36</x:v>
      </x:c>
      <x:c r="R502" s="90" t="n">
        <x:v>0.19</x:v>
      </x:c>
      <x:c r="S502" s="90" t="n">
        <x:v>0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>
        <x:v>0</x:v>
      </x:c>
    </x:row>
    <x:row r="503" spans="1:26" ht="12.75" customHeight="1" x14ac:dyDescent="0.3">
      <x:c r="D503" t="s">
        <x:v>82</x:v>
      </x:c>
      <x:c r="E503" s="89" t="s">
        <x:v>70</x:v>
      </x:c>
      <x:c r="F503" s="90" t="n">
        <x:v>81616802.58</x:v>
      </x:c>
      <x:c r="G503" s="90" t="n">
        <x:v>4736990.11</x:v>
      </x:c>
      <x:c r="H503" s="90" t="n">
        <x:v>2654914.32</x:v>
      </x:c>
      <x:c r="I503" s="90" t="n">
        <x:v>1412210.15</x:v>
      </x:c>
      <x:c r="J503" s="90" t="n">
        <x:v>18913268.03</x:v>
      </x:c>
      <x:c r="K503" s="90" t="n">
        <x:v>468591.42</x:v>
      </x:c>
      <x:c r="L503" s="90" t="n">
        <x:v>0</x:v>
      </x:c>
      <x:c r="M503" s="90" t="n">
        <x:v>4119839.11</x:v>
      </x:c>
      <x:c r="N503" s="90" t="n">
        <x:v>5820433.56</x:v>
      </x:c>
      <x:c r="O503" s="90" t="n">
        <x:v>30164196.07</x:v>
      </x:c>
      <x:c r="P503" s="90" t="n">
        <x:v>12552017.87</x:v>
      </x:c>
      <x:c r="Q503" s="90" t="n">
        <x:v>774039.44</x:v>
      </x:c>
      <x:c r="R503" s="90" t="n">
        <x:v>302.5</x:v>
      </x:c>
      <x:c r="S503" s="90" t="n">
        <x:v>0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>
        <x:v>0</x:v>
      </x:c>
    </x:row>
    <x:row r="504" spans="1:26" ht="12.75" customHeight="1" x14ac:dyDescent="0.3">
      <x:c r="E504" s="89" t="s">
        <x:v>72</x:v>
      </x:c>
      <x:c r="F504" s="90" t="n">
        <x:v>123815339.8</x:v>
      </x:c>
      <x:c r="G504" s="90" t="n">
        <x:v>13083650.44</x:v>
      </x:c>
      <x:c r="H504" s="90" t="n">
        <x:v>6977296.52</x:v>
      </x:c>
      <x:c r="I504" s="90" t="n">
        <x:v>3555256.33</x:v>
      </x:c>
      <x:c r="J504" s="90" t="n">
        <x:v>18058334.6</x:v>
      </x:c>
      <x:c r="K504" s="90" t="n">
        <x:v>677891.2</x:v>
      </x:c>
      <x:c r="L504" s="90" t="n">
        <x:v>143000</x:v>
      </x:c>
      <x:c r="M504" s="90" t="n">
        <x:v>5823200.06</x:v>
      </x:c>
      <x:c r="N504" s="90" t="n">
        <x:v>6623739.14</x:v>
      </x:c>
      <x:c r="O504" s="90" t="n">
        <x:v>33350465.38</x:v>
      </x:c>
      <x:c r="P504" s="90" t="n">
        <x:v>34405951.42</x:v>
      </x:c>
      <x:c r="Q504" s="90" t="n">
        <x:v>1116521.45</x:v>
      </x:c>
      <x:c r="R504" s="90" t="n">
        <x:v>33.26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>
        <x:v>0</x:v>
      </x:c>
    </x:row>
    <x:row r="505" spans="1:26" ht="12.75" customHeight="1" x14ac:dyDescent="0.3">
      <x:c r="D505" s="89"/>
      <x:c r="E505" s="89" t="s">
        <x:v>81</x:v>
      </x:c>
      <x:c r="F505" s="90" t="n">
        <x:v>11888953.22</x:v>
      </x:c>
      <x:c r="G505" s="90" t="n">
        <x:v>1382334.62</x:v>
      </x:c>
      <x:c r="H505" s="90" t="n">
        <x:v>599210.32</x:v>
      </x:c>
      <x:c r="I505" s="90" t="n">
        <x:v>234416.44</x:v>
      </x:c>
      <x:c r="J505" s="90" t="n">
        <x:v>1808866.08</x:v>
      </x:c>
      <x:c r="K505" s="90" t="n">
        <x:v>73046.04</x:v>
      </x:c>
      <x:c r="L505" s="90" t="n">
        <x:v>3054.63</x:v>
      </x:c>
      <x:c r="M505" s="90" t="n">
        <x:v>638850.88</x:v>
      </x:c>
      <x:c r="N505" s="90" t="n">
        <x:v>745059.17</x:v>
      </x:c>
      <x:c r="O505" s="90" t="n">
        <x:v>2600585.61</x:v>
      </x:c>
      <x:c r="P505" s="90" t="n">
        <x:v>3684297.02</x:v>
      </x:c>
      <x:c r="Q505" s="90" t="n">
        <x:v>119221.63</x:v>
      </x:c>
      <x:c r="R505" s="90" t="n">
        <x:v>10.58</x:v>
      </x:c>
      <x:c r="S505" s="90" t="n">
        <x:v>-0.04</x:v>
      </x:c>
      <x:c r="T505" t="n">
        <x:v>0.24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>
        <x:v>0</x:v>
      </x:c>
    </x:row>
    <x:row r="506" spans="1:26" ht="12.75" customHeight="1" x14ac:dyDescent="0.3">
      <x:c r="C506" s="89"/>
      <x:c r="D506" s="89" t="s">
        <x:v>86</x:v>
      </x:c>
      <x:c r="E506" t="s">
        <x:v>70</x:v>
      </x:c>
      <x:c r="F506" s="90" t="n">
        <x:v>135704293.02</x:v>
      </x:c>
      <x:c r="G506" s="90" t="n">
        <x:v>14465985.06</x:v>
      </x:c>
      <x:c r="H506" s="90" t="n">
        <x:v>7576506.84</x:v>
      </x:c>
      <x:c r="I506" s="90" t="n">
        <x:v>3789672.77</x:v>
      </x:c>
      <x:c r="J506" s="90" t="n">
        <x:v>19867200.68</x:v>
      </x:c>
      <x:c r="K506" s="90" t="n">
        <x:v>750937.24</x:v>
      </x:c>
      <x:c r="L506" s="90" t="n">
        <x:v>146054.63</x:v>
      </x:c>
      <x:c r="M506" s="90" t="n">
        <x:v>6462050.94</x:v>
      </x:c>
      <x:c r="N506" s="90" t="n">
        <x:v>7368798.31</x:v>
      </x:c>
      <x:c r="O506" s="90" t="n">
        <x:v>35951050.99</x:v>
      </x:c>
      <x:c r="P506" s="90" t="n">
        <x:v>38090248.44</x:v>
      </x:c>
      <x:c r="Q506" s="90" t="n">
        <x:v>1235743.08</x:v>
      </x:c>
      <x:c r="R506" s="90" t="n">
        <x:v>43.84</x:v>
      </x:c>
      <x:c r="S506" s="90" t="n">
        <x:v>-0.04</x:v>
      </x:c>
      <x:c r="T506" t="n">
        <x:v>0.24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>
        <x:v>0</x:v>
      </x:c>
    </x:row>
    <x:row r="507" spans="1:26" ht="12.75" customHeight="1" x14ac:dyDescent="0.3">
      <x:c r="B507" s="89"/>
      <x:c r="C507" s="89"/>
      <x:c r="E507" t="s">
        <x:v>72</x:v>
      </x:c>
      <x:c r="F507" s="90" t="n">
        <x:v>225325086.64</x:v>
      </x:c>
      <x:c r="G507" s="90" t="n">
        <x:v>32280074.97</x:v>
      </x:c>
      <x:c r="H507" s="90" t="n">
        <x:v>18033624.83</x:v>
      </x:c>
      <x:c r="I507" s="90" t="n">
        <x:v>10242953.2</x:v>
      </x:c>
      <x:c r="J507" s="90" t="n">
        <x:v>24927907.39</x:v>
      </x:c>
      <x:c r="K507" s="90" t="n">
        <x:v>611466.27</x:v>
      </x:c>
      <x:c r="L507" s="90" t="n">
        <x:v>523000</x:v>
      </x:c>
      <x:c r="M507" s="90" t="n">
        <x:v>5328219.47</x:v>
      </x:c>
      <x:c r="N507" s="90" t="n">
        <x:v>7544034.57</x:v>
      </x:c>
      <x:c r="O507" s="90" t="n">
        <x:v>39147230.22</x:v>
      </x:c>
      <x:c r="P507" s="90" t="n">
        <x:v>85688215.91</x:v>
      </x:c>
      <x:c r="Q507" s="90" t="n">
        <x:v>998385.79</x:v>
      </x:c>
      <x:c r="R507" s="90" t="n">
        <x:v>-25.98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>
        <x:v>0</x:v>
      </x:c>
    </x:row>
    <x:row r="508" spans="1:26" ht="12.75" customHeight="1" x14ac:dyDescent="0.3">
      <x:c r="A508" s="89"/>
      <x:c r="B508" s="89"/>
      <x:c r="E508" t="s">
        <x:v>81</x:v>
      </x:c>
      <x:c r="F508" s="90" t="n">
        <x:v>2618329.01</x:v>
      </x:c>
      <x:c r="G508" s="90" t="n">
        <x:v>487188.88</x:v>
      </x:c>
      <x:c r="H508" s="90" t="n">
        <x:v>271849.21</x:v>
      </x:c>
      <x:c r="I508" s="90" t="n">
        <x:v>157080.72</x:v>
      </x:c>
      <x:c r="J508" s="90" t="n">
        <x:v>137850.53</x:v>
      </x:c>
      <x:c r="K508" s="90" t="n">
        <x:v>3387.41</x:v>
      </x:c>
      <x:c r="L508" s="90" t="n">
        <x:v>1708.12</x:v>
      </x:c>
      <x:c r="M508" s="90" t="n">
        <x:v>29672.42</x:v>
      </x:c>
      <x:c r="N508" s="90" t="n">
        <x:v>41675.72</x:v>
      </x:c>
      <x:c r="O508" s="90" t="n">
        <x:v>181009.44</x:v>
      </x:c>
      <x:c r="P508" s="90" t="n">
        <x:v>1301375.06</x:v>
      </x:c>
      <x:c r="Q508" s="90" t="n">
        <x:v>5531.69</x:v>
      </x:c>
      <x:c r="R508" s="90" t="n">
        <x:v>-0.19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>
        <x:v>0</x:v>
      </x:c>
    </x:row>
    <x:row r="509" spans="1:26" ht="12.75" customHeight="1" x14ac:dyDescent="0.3">
      <x:c r="A509" s="89"/>
      <x:c r="B509" s="89"/>
      <x:c r="D509" t="s">
        <x:v>87</x:v>
      </x:c>
      <x:c r="E509" t="s">
        <x:v>70</x:v>
      </x:c>
      <x:c r="F509" s="371" t="n">
        <x:v>227943415.65</x:v>
      </x:c>
      <x:c r="G509" s="90" t="n">
        <x:v>32767263.85</x:v>
      </x:c>
      <x:c r="H509" s="90" t="n">
        <x:v>18305474.04</x:v>
      </x:c>
      <x:c r="I509" s="90" t="n">
        <x:v>10400033.92</x:v>
      </x:c>
      <x:c r="J509" s="90" t="n">
        <x:v>25065757.92</x:v>
      </x:c>
      <x:c r="K509" s="90" t="n">
        <x:v>614853.68</x:v>
      </x:c>
      <x:c r="L509" s="90" t="n">
        <x:v>524708.12</x:v>
      </x:c>
      <x:c r="M509" s="90" t="n">
        <x:v>5357891.89</x:v>
      </x:c>
      <x:c r="N509" s="90" t="n">
        <x:v>7585710.29</x:v>
      </x:c>
      <x:c r="O509" s="90" t="n">
        <x:v>39328239.66</x:v>
      </x:c>
      <x:c r="P509" s="90" t="n">
        <x:v>86989590.97</x:v>
      </x:c>
      <x:c r="Q509" s="90" t="n">
        <x:v>1003917.48</x:v>
      </x:c>
      <x:c r="R509" s="90" t="n">
        <x:v>-26.17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>
        <x:v>0</x:v>
      </x:c>
    </x:row>
    <x:row r="510" spans="1:26" s="94" customFormat="1" ht="12.75" customHeight="1" x14ac:dyDescent="0.3">
      <x:c r="C510" s="101" t="s">
        <x:v>119</x:v>
      </x:c>
      <x:c r="D510" s="101" t="s">
        <x:v>70</x:v>
      </x:c>
      <x:c r="F510" s="93" t="n">
        <x:v>445264511.25</x:v>
      </x:c>
      <x:c r="G510" s="93" t="n">
        <x:v>51970239.02</x:v>
      </x:c>
      <x:c r="H510" s="93" t="n">
        <x:v>28536895.2</x:v>
      </x:c>
      <x:c r="I510" s="93" t="n">
        <x:v>15601916.84</x:v>
      </x:c>
      <x:c r="J510" s="93" t="n">
        <x:v>63846226.63</x:v>
      </x:c>
      <x:c r="K510" s="93" t="n">
        <x:v>1834382.34</x:v>
      </x:c>
      <x:c r="L510" s="93" t="n">
        <x:v>670762.75</x:v>
      </x:c>
      <x:c r="M510" s="93" t="n">
        <x:v>15939781.94</x:v>
      </x:c>
      <x:c r="N510" s="93" t="n">
        <x:v>20774942.16</x:v>
      </x:c>
      <x:c r="O510" s="93" t="n">
        <x:v>105443486.72</x:v>
      </x:c>
      <x:c r="P510" s="93" t="n">
        <x:v>137631857.28</x:v>
      </x:c>
      <x:c r="Q510" s="93" t="n">
        <x:v>3013700</x:v>
      </x:c>
      <x:c r="R510" s="93" t="n">
        <x:v>320.17</x:v>
      </x:c>
      <x:c r="S510" s="93" t="n">
        <x:v>-0.04</x:v>
      </x:c>
      <x:c r="T510" s="94" t="n">
        <x:v>0.24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>
        <x:v>0</x:v>
      </x:c>
    </x:row>
    <x:row r="511" spans="1:26" s="226" customFormat="1" ht="12.75" customHeight="1" x14ac:dyDescent="0.3">
      <x:c r="B511" s="98" t="s">
        <x:v>112</x:v>
      </x:c>
      <x:c r="C511" s="98" t="s">
        <x:v>70</x:v>
      </x:c>
      <x:c r="F511" s="100" t="n">
        <x:v>10776632651.21</x:v>
      </x:c>
      <x:c r="G511" s="100" t="n">
        <x:v>604672443.24</x:v>
      </x:c>
      <x:c r="H511" s="100" t="n">
        <x:v>335176510.65</x:v>
      </x:c>
      <x:c r="I511" s="100" t="n">
        <x:v>178723414.93</x:v>
      </x:c>
      <x:c r="J511" s="100" t="n">
        <x:v>2396191019.73</x:v>
      </x:c>
      <x:c r="K511" s="100" t="n">
        <x:v>89652712.91</x:v>
      </x:c>
      <x:c r="L511" s="100" t="n">
        <x:v>8643135.58</x:v>
      </x:c>
      <x:c r="M511" s="100" t="n">
        <x:v>785816460.85</x:v>
      </x:c>
      <x:c r="N511" s="100" t="n">
        <x:v>749926797.75</x:v>
      </x:c>
      <x:c r="O511" s="100" t="n">
        <x:v>3880555541.46</x:v>
      </x:c>
      <x:c r="P511" s="100" t="n">
        <x:v>1600714206.5</x:v>
      </x:c>
      <x:c r="Q511" s="100" t="n">
        <x:v>146528275.83</x:v>
      </x:c>
      <x:c r="R511" s="100" t="n">
        <x:v>31942.35</x:v>
      </x:c>
      <x:c r="S511" s="100" t="n">
        <x:v>10.22</x:v>
      </x:c>
      <x:c r="T511" s="226" t="n">
        <x:v>179.21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>
        <x:v>0</x:v>
      </x:c>
    </x:row>
    <x:row r="512" spans="1:26" ht="12" customHeight="1" x14ac:dyDescent="0.3">
      <x:c r="A512" s="89" t="s">
        <x:v>78</x:v>
      </x:c>
      <x:c r="B512" s="89" t="s">
        <x:v>70</x:v>
      </x:c>
      <x:c r="F512" s="371" t="n">
        <x:v>10799664233.55</x:v>
      </x:c>
      <x:c r="G512" s="90" t="n">
        <x:v>605951200.88</x:v>
      </x:c>
      <x:c r="H512" s="90" t="n">
        <x:v>335896309.08</x:v>
      </x:c>
      <x:c r="I512" s="90" t="n">
        <x:v>179109065.51</x:v>
      </x:c>
      <x:c r="J512" s="90" t="n">
        <x:v>2401372384.89</x:v>
      </x:c>
      <x:c r="K512" s="90" t="n">
        <x:v>89808238.99</x:v>
      </x:c>
      <x:c r="L512" s="90" t="n">
        <x:v>8643135.58</x:v>
      </x:c>
      <x:c r="M512" s="90" t="n">
        <x:v>787167753.15</x:v>
      </x:c>
      <x:c r="N512" s="90" t="n">
        <x:v>751596346.35</x:v>
      </x:c>
      <x:c r="O512" s="90" t="n">
        <x:v>3889172985.33</x:v>
      </x:c>
      <x:c r="P512" s="90" t="n">
        <x:v>1604131237.41</x:v>
      </x:c>
      <x:c r="Q512" s="90" t="n">
        <x:v>146783453.65</x:v>
      </x:c>
      <x:c r="R512" s="90" t="n">
        <x:v>31933.3</x:v>
      </x:c>
      <x:c r="S512" s="90" t="n">
        <x:v>10.22</x:v>
      </x:c>
      <x:c r="T512" t="n">
        <x:v>179.21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>
        <x:v>0</x:v>
      </x:c>
    </x:row>
    <x:row r="513" spans="2:26" ht="12.75" customHeight="1" x14ac:dyDescent="0.3">
      <x:c r="B513" s="89"/>
      <x:c r="C513" s="89"/>
      <x:c r="E513" t="s">
        <x:v>73</x:v>
      </x:c>
      <x:c r="F513" s="90" t="n">
        <x:v>-1560876.97</x:v>
      </x:c>
      <x:c r="G513" s="90" t="n">
        <x:v>53550.42</x:v>
      </x:c>
      <x:c r="H513" s="90" t="n">
        <x:v>32933.96</x:v>
      </x:c>
      <x:c r="I513" s="90" t="n">
        <x:v>16175.09</x:v>
      </x:c>
      <x:c r="J513" s="90" t="n">
        <x:v>-562935.2</x:v>
      </x:c>
      <x:c r="K513" s="90" t="n">
        <x:v>-14226.03</x:v>
      </x:c>
      <x:c r="L513" s="90" t="n">
        <x:v>0</x:v>
      </x:c>
      <x:c r="M513" s="90" t="n">
        <x:v>-124687.29</x:v>
      </x:c>
      <x:c r="N513" s="90" t="n">
        <x:v>-176501.79</x:v>
      </x:c>
      <x:c r="O513" s="90" t="n">
        <x:v>-906716.15</x:v>
      </x:c>
      <x:c r="P513" s="90" t="n">
        <x:v>144859.4</x:v>
      </x:c>
      <x:c r="Q513" s="90" t="n">
        <x:v>-23329.38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>
        <x:v>0</x:v>
      </x:c>
    </x:row>
    <x:row r="514" spans="2:26" ht="12.75" customHeight="1" x14ac:dyDescent="0.3">
      <x:c r="B514" s="89"/>
      <x:c r="C514" s="89"/>
      <x:c r="D514" t="s">
        <x:v>156</x:v>
      </x:c>
      <x:c r="E514" t="s">
        <x:v>70</x:v>
      </x:c>
      <x:c r="F514" s="90" t="n">
        <x:v>-1560876.97</x:v>
      </x:c>
      <x:c r="G514" s="90" t="n">
        <x:v>53550.42</x:v>
      </x:c>
      <x:c r="H514" s="90" t="n">
        <x:v>32933.96</x:v>
      </x:c>
      <x:c r="I514" s="90" t="n">
        <x:v>16175.09</x:v>
      </x:c>
      <x:c r="J514" s="90" t="n">
        <x:v>-562935.2</x:v>
      </x:c>
      <x:c r="K514" s="90" t="n">
        <x:v>-14226.03</x:v>
      </x:c>
      <x:c r="L514" s="90" t="n">
        <x:v>0</x:v>
      </x:c>
      <x:c r="M514" s="90" t="n">
        <x:v>-124687.29</x:v>
      </x:c>
      <x:c r="N514" s="90" t="n">
        <x:v>-176501.79</x:v>
      </x:c>
      <x:c r="O514" s="90" t="n">
        <x:v>-906716.15</x:v>
      </x:c>
      <x:c r="P514" s="90" t="n">
        <x:v>144859.4</x:v>
      </x:c>
      <x:c r="Q514" s="90" t="n">
        <x:v>-23329.38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>
        <x:v>0</x:v>
      </x:c>
    </x:row>
    <x:row r="515" spans="2:26" s="656" customFormat="1" ht="12.75" customHeight="1" x14ac:dyDescent="0.3">
      <x:c r="C515" s="656" t="s">
        <x:v>155</x:v>
      </x:c>
      <x:c r="D515" s="657" t="s">
        <x:v>70</x:v>
      </x:c>
      <x:c r="E515" s="657"/>
      <x:c r="F515" s="658" t="n">
        <x:v>-1560876.97</x:v>
      </x:c>
      <x:c r="G515" s="658" t="n">
        <x:v>53550.42</x:v>
      </x:c>
      <x:c r="H515" s="658" t="n">
        <x:v>32933.96</x:v>
      </x:c>
      <x:c r="I515" s="658" t="n">
        <x:v>16175.09</x:v>
      </x:c>
      <x:c r="J515" s="658" t="n">
        <x:v>-562935.2</x:v>
      </x:c>
      <x:c r="K515" s="658" t="n">
        <x:v>-14226.03</x:v>
      </x:c>
      <x:c r="L515" s="658" t="n">
        <x:v>0</x:v>
      </x:c>
      <x:c r="M515" s="658" t="n">
        <x:v>-124687.29</x:v>
      </x:c>
      <x:c r="N515" s="658" t="n">
        <x:v>-176501.79</x:v>
      </x:c>
      <x:c r="O515" s="658" t="n">
        <x:v>-906716.15</x:v>
      </x:c>
      <x:c r="P515" s="658" t="n">
        <x:v>144859.4</x:v>
      </x:c>
      <x:c r="Q515" s="658" t="n">
        <x:v>-23329.38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>
        <x:v>0</x:v>
      </x:c>
    </x:row>
    <x:row r="516" spans="2:26" ht="12.75" customHeight="1" x14ac:dyDescent="0.3">
      <x:c r="E516" s="89" t="s">
        <x:v>73</x:v>
      </x:c>
      <x:c r="F516" s="90" t="n">
        <x:v>-47234.67</x:v>
      </x:c>
      <x:c r="G516" s="90" t="n">
        <x:v>-1088.25</x:v>
      </x:c>
      <x:c r="H516" s="90" t="n">
        <x:v>-614.85</x:v>
      </x:c>
      <x:c r="I516" s="90" t="n">
        <x:v>-324.42</x:v>
      </x:c>
      <x:c r="J516" s="90" t="n">
        <x:v>-8085.25</x:v>
      </x:c>
      <x:c r="K516" s="90" t="n">
        <x:v>-505.96</x:v>
      </x:c>
      <x:c r="L516" s="90" t="n">
        <x:v>0</x:v>
      </x:c>
      <x:c r="M516" s="90" t="n">
        <x:v>-4438.23</x:v>
      </x:c>
      <x:c r="N516" s="90" t="n">
        <x:v>-4643.52</x:v>
      </x:c>
      <x:c r="O516" s="90" t="n">
        <x:v>-23810.72</x:v>
      </x:c>
      <x:c r="P516" s="90" t="n">
        <x:v>-2897.96</x:v>
      </x:c>
      <x:c r="Q516" s="90" t="n">
        <x:v>-825.51</x:v>
      </x:c>
      <x:c r="R516" s="90" t="n">
        <x:v>0</x:v>
      </x:c>
      <x:c r="S516" s="90" t="n">
        <x:v>0</x:v>
      </x:c>
      <x:c r="T516" t="n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3">
      <x:c r="D517" t="s">
        <x:v>115</x:v>
      </x:c>
      <x:c r="E517" s="89" t="s">
        <x:v>70</x:v>
      </x:c>
      <x:c r="F517" s="371" t="n">
        <x:v>-47234.67</x:v>
      </x:c>
      <x:c r="G517" s="90" t="n">
        <x:v>-1088.25</x:v>
      </x:c>
      <x:c r="H517" s="90" t="n">
        <x:v>-614.85</x:v>
      </x:c>
      <x:c r="I517" s="90" t="n">
        <x:v>-324.42</x:v>
      </x:c>
      <x:c r="J517" s="90" t="n">
        <x:v>-8085.25</x:v>
      </x:c>
      <x:c r="K517" s="90" t="n">
        <x:v>-505.96</x:v>
      </x:c>
      <x:c r="L517" s="90" t="n">
        <x:v>0</x:v>
      </x:c>
      <x:c r="M517" s="90" t="n">
        <x:v>-4438.23</x:v>
      </x:c>
      <x:c r="N517" s="90" t="n">
        <x:v>-4643.52</x:v>
      </x:c>
      <x:c r="O517" s="90" t="n">
        <x:v>-23810.72</x:v>
      </x:c>
      <x:c r="P517" s="90" t="n">
        <x:v>-2897.96</x:v>
      </x:c>
      <x:c r="Q517" s="90" t="n">
        <x:v>-825.51</x:v>
      </x:c>
      <x:c r="R517" s="90" t="n">
        <x:v>0</x:v>
      </x:c>
      <x:c r="S517" s="90" t="n">
        <x:v>0</x:v>
      </x:c>
      <x:c r="T517" t="n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3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3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3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3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3">
      <x:c r="C522" s="223" t="s">
        <x:v>120</x:v>
      </x:c>
      <x:c r="D522" s="223" t="s">
        <x:v>70</x:v>
      </x:c>
      <x:c r="F522" s="225" t="n">
        <x:v>-47234.67</x:v>
      </x:c>
      <x:c r="G522" s="225" t="n">
        <x:v>-1088.25</x:v>
      </x:c>
      <x:c r="H522" s="225" t="n">
        <x:v>-614.85</x:v>
      </x:c>
      <x:c r="I522" s="225" t="n">
        <x:v>-324.42</x:v>
      </x:c>
      <x:c r="J522" s="225" t="n">
        <x:v>-8085.25</x:v>
      </x:c>
      <x:c r="K522" s="225" t="n">
        <x:v>-505.96</x:v>
      </x:c>
      <x:c r="L522" s="225" t="n">
        <x:v>0</x:v>
      </x:c>
      <x:c r="M522" s="225" t="n">
        <x:v>-4438.23</x:v>
      </x:c>
      <x:c r="N522" s="225" t="n">
        <x:v>-4643.52</x:v>
      </x:c>
      <x:c r="O522" s="225" t="n">
        <x:v>-23810.72</x:v>
      </x:c>
      <x:c r="P522" s="225" t="n">
        <x:v>-2897.96</x:v>
      </x:c>
      <x:c r="Q522" s="225" t="n">
        <x:v>-825.51</x:v>
      </x:c>
      <x:c r="R522" s="225" t="n">
        <x:v>0</x:v>
      </x:c>
      <x:c r="S522" s="225" t="n">
        <x:v>0</x:v>
      </x:c>
      <x:c r="T522" s="224" t="n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3">
      <x:c r="D523" s="89"/>
      <x:c r="E523" s="89" t="s">
        <x:v>73</x:v>
      </x:c>
      <x:c r="F523" s="371" t="n">
        <x:v>37555.14</x:v>
      </x:c>
      <x:c r="G523" s="90" t="n">
        <x:v>4039.08</x:v>
      </x:c>
      <x:c r="H523" s="90" t="n">
        <x:v>2258.1</x:v>
      </x:c>
      <x:c r="I523" s="90" t="n">
        <x:v>1196.98</x:v>
      </x:c>
      <x:c r="J523" s="90" t="n">
        <x:v>6201.71</x:v>
      </x:c>
      <x:c r="K523" s="90" t="n">
        <x:v>205</x:v>
      </x:c>
      <x:c r="L523" s="90" t="n">
        <x:v>0</x:v>
      </x:c>
      <x:c r="M523" s="90" t="n">
        <x:v>1798.22</x:v>
      </x:c>
      <x:c r="N523" s="90" t="n">
        <x:v>1765.23</x:v>
      </x:c>
      <x:c r="O523" s="90" t="n">
        <x:v>9062.01</x:v>
      </x:c>
      <x:c r="P523" s="90" t="n">
        <x:v>10694.35</x:v>
      </x:c>
      <x:c r="Q523" s="90" t="n">
        <x:v>334.46</x:v>
      </x:c>
      <x:c r="R523" s="90" t="n">
        <x:v>0</x:v>
      </x:c>
      <x:c r="S523" s="90" t="n">
        <x:v>0</x:v>
      </x:c>
      <x:c r="T523" s="90" t="n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3">
      <x:c r="D524" s="89" t="s">
        <x:v>82</x:v>
      </x:c>
      <x:c r="E524" s="89" t="s">
        <x:v>70</x:v>
      </x:c>
      <x:c r="F524" s="371" t="n">
        <x:v>37555.14</x:v>
      </x:c>
      <x:c r="G524" s="90" t="n">
        <x:v>4039.08</x:v>
      </x:c>
      <x:c r="H524" s="90" t="n">
        <x:v>2258.1</x:v>
      </x:c>
      <x:c r="I524" s="90" t="n">
        <x:v>1196.98</x:v>
      </x:c>
      <x:c r="J524" s="90" t="n">
        <x:v>6201.71</x:v>
      </x:c>
      <x:c r="K524" s="90" t="n">
        <x:v>205</x:v>
      </x:c>
      <x:c r="L524" s="90" t="n">
        <x:v>0</x:v>
      </x:c>
      <x:c r="M524" s="90" t="n">
        <x:v>1798.22</x:v>
      </x:c>
      <x:c r="N524" s="90" t="n">
        <x:v>1765.23</x:v>
      </x:c>
      <x:c r="O524" s="90" t="n">
        <x:v>9062.01</x:v>
      </x:c>
      <x:c r="P524" s="90" t="n">
        <x:v>10694.35</x:v>
      </x:c>
      <x:c r="Q524" s="90" t="n">
        <x:v>334.46</x:v>
      </x:c>
      <x:c r="R524" s="90" t="n">
        <x:v>0</x:v>
      </x:c>
      <x:c r="S524" s="90" t="n">
        <x:v>0</x:v>
      </x:c>
      <x:c r="T524" s="90" t="n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3">
      <x:c r="D525" s="89"/>
      <x:c r="E525" s="89" t="s">
        <x:v>73</x:v>
      </x:c>
      <x:c r="F525" s="371" t="n">
        <x:v>96151.16</x:v>
      </x:c>
      <x:c r="G525" s="90" t="n">
        <x:v>6725.46</x:v>
      </x:c>
      <x:c r="H525" s="90" t="n">
        <x:v>3475.84</x:v>
      </x:c>
      <x:c r="I525" s="90" t="n">
        <x:v>1916.48</x:v>
      </x:c>
      <x:c r="J525" s="90" t="n">
        <x:v>21986.42</x:v>
      </x:c>
      <x:c r="K525" s="90" t="n">
        <x:v>512.83</x:v>
      </x:c>
      <x:c r="L525" s="90" t="n">
        <x:v>0</x:v>
      </x:c>
      <x:c r="M525" s="90" t="n">
        <x:v>4498.28</x:v>
      </x:c>
      <x:c r="N525" s="90" t="n">
        <x:v>6333.74</x:v>
      </x:c>
      <x:c r="O525" s="90" t="n">
        <x:v>31922.75</x:v>
      </x:c>
      <x:c r="P525" s="90" t="n">
        <x:v>17942.67</x:v>
      </x:c>
      <x:c r="Q525" s="90" t="n">
        <x:v>836.69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2:26" ht="12.75" customHeight="1" x14ac:dyDescent="0.3">
      <x:c r="D526" s="89" t="s">
        <x:v>86</x:v>
      </x:c>
      <x:c r="E526" s="89" t="s">
        <x:v>70</x:v>
      </x:c>
      <x:c r="F526" s="371" t="n">
        <x:v>96151.16</x:v>
      </x:c>
      <x:c r="G526" s="90" t="n">
        <x:v>6725.46</x:v>
      </x:c>
      <x:c r="H526" s="90" t="n">
        <x:v>3475.84</x:v>
      </x:c>
      <x:c r="I526" s="90" t="n">
        <x:v>1916.48</x:v>
      </x:c>
      <x:c r="J526" s="90" t="n">
        <x:v>21986.42</x:v>
      </x:c>
      <x:c r="K526" s="90" t="n">
        <x:v>512.83</x:v>
      </x:c>
      <x:c r="L526" s="90" t="n">
        <x:v>0</x:v>
      </x:c>
      <x:c r="M526" s="90" t="n">
        <x:v>4498.28</x:v>
      </x:c>
      <x:c r="N526" s="90" t="n">
        <x:v>6333.74</x:v>
      </x:c>
      <x:c r="O526" s="90" t="n">
        <x:v>31922.75</x:v>
      </x:c>
      <x:c r="P526" s="90" t="n">
        <x:v>17942.67</x:v>
      </x:c>
      <x:c r="Q526" s="90" t="n">
        <x:v>836.69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2:26" x14ac:dyDescent="0.3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3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3">
      <x:c r="C529" s="94" t="s">
        <x:v>119</x:v>
      </x:c>
      <x:c r="D529" s="94" t="s">
        <x:v>70</x:v>
      </x:c>
      <x:c r="E529" s="101"/>
      <x:c r="F529" s="93" t="n">
        <x:v>133706.3</x:v>
      </x:c>
      <x:c r="G529" s="93" t="n">
        <x:v>10764.54</x:v>
      </x:c>
      <x:c r="H529" s="93" t="n">
        <x:v>5733.94</x:v>
      </x:c>
      <x:c r="I529" s="93" t="n">
        <x:v>3113.46</x:v>
      </x:c>
      <x:c r="J529" s="93" t="n">
        <x:v>28188.13</x:v>
      </x:c>
      <x:c r="K529" s="93" t="n">
        <x:v>717.83</x:v>
      </x:c>
      <x:c r="L529" s="93" t="n">
        <x:v>0</x:v>
      </x:c>
      <x:c r="M529" s="93" t="n">
        <x:v>6296.5</x:v>
      </x:c>
      <x:c r="N529" s="93" t="n">
        <x:v>8098.97</x:v>
      </x:c>
      <x:c r="O529" s="93" t="n">
        <x:v>40984.76</x:v>
      </x:c>
      <x:c r="P529" s="93" t="n">
        <x:v>28637.02</x:v>
      </x:c>
      <x:c r="Q529" s="93" t="n">
        <x:v>1171.15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>
        <x:v>0</x:v>
      </x:c>
    </x:row>
    <x:row r="530" spans="2:26" s="378" customFormat="1" ht="12.75" customHeight="1" x14ac:dyDescent="0.3">
      <x:c r="B530" s="378" t="s">
        <x:v>122</x:v>
      </x:c>
      <x:c r="C530" s="378" t="s">
        <x:v>70</x:v>
      </x:c>
      <x:c r="E530" s="376"/>
      <x:c r="F530" s="377" t="n">
        <x:v>-1474405.34</x:v>
      </x:c>
      <x:c r="G530" s="377" t="n">
        <x:v>63226.71</x:v>
      </x:c>
      <x:c r="H530" s="377" t="n">
        <x:v>38053.05</x:v>
      </x:c>
      <x:c r="I530" s="377" t="n">
        <x:v>18964.13</x:v>
      </x:c>
      <x:c r="J530" s="377" t="n">
        <x:v>-542832.32</x:v>
      </x:c>
      <x:c r="K530" s="377" t="n">
        <x:v>-14014.16</x:v>
      </x:c>
      <x:c r="L530" s="377" t="n">
        <x:v>0</x:v>
      </x:c>
      <x:c r="M530" s="377" t="n">
        <x:v>-122829.02</x:v>
      </x:c>
      <x:c r="N530" s="377" t="n">
        <x:v>-173046.34</x:v>
      </x:c>
      <x:c r="O530" s="377" t="n">
        <x:v>-889542.11</x:v>
      </x:c>
      <x:c r="P530" s="377" t="n">
        <x:v>170598.46</x:v>
      </x:c>
      <x:c r="Q530" s="377" t="n">
        <x:v>-22983.74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>
        <x:v>0</x:v>
      </x:c>
    </x:row>
    <x:row r="531" spans="2:26" ht="12.75" customHeight="1" x14ac:dyDescent="0.3">
      <x:c r="E531" s="89" t="s">
        <x:v>73</x:v>
      </x:c>
      <x:c r="F531" s="90" t="n">
        <x:v>-440994165.67</x:v>
      </x:c>
      <x:c r="G531" s="90" t="n">
        <x:v>45083745.57</x:v>
      </x:c>
      <x:c r="H531" s="90" t="n">
        <x:v>24726150.07</x:v>
      </x:c>
      <x:c r="I531" s="90" t="n">
        <x:v>13138151.8</x:v>
      </x:c>
      <x:c r="J531" s="90" t="n">
        <x:v>-190606036.38</x:v>
      </x:c>
      <x:c r="K531" s="90" t="n">
        <x:v>-7297920.08</x:v>
      </x:c>
      <x:c r="L531" s="90" t="n">
        <x:v>0</x:v>
      </x:c>
      <x:c r="M531" s="90" t="n">
        <x:v>-64042151.81</x:v>
      </x:c>
      <x:c r="N531" s="90" t="n">
        <x:v>-59277978.76</x:v>
      </x:c>
      <x:c r="O531" s="90" t="n">
        <x:v>-310255229.8</x:v>
      </x:c>
      <x:c r="P531" s="90" t="n">
        <x:v>119446638.11</x:v>
      </x:c>
      <x:c r="Q531" s="90" t="n">
        <x:v>-11909534.39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>
        <x:v>0</x:v>
      </x:c>
    </x:row>
    <x:row r="532" spans="2:26" ht="12.75" customHeight="1" x14ac:dyDescent="0.3">
      <x:c r="D532" s="89" t="s">
        <x:v>156</x:v>
      </x:c>
      <x:c r="E532" s="89" t="s">
        <x:v>70</x:v>
      </x:c>
      <x:c r="F532" s="90" t="n">
        <x:v>-440994165.67</x:v>
      </x:c>
      <x:c r="G532" s="90" t="n">
        <x:v>45083745.57</x:v>
      </x:c>
      <x:c r="H532" s="90" t="n">
        <x:v>24726150.07</x:v>
      </x:c>
      <x:c r="I532" s="90" t="n">
        <x:v>13138151.8</x:v>
      </x:c>
      <x:c r="J532" s="90" t="n">
        <x:v>-190606036.38</x:v>
      </x:c>
      <x:c r="K532" s="90" t="n">
        <x:v>-7297920.08</x:v>
      </x:c>
      <x:c r="L532" s="90" t="n">
        <x:v>0</x:v>
      </x:c>
      <x:c r="M532" s="90" t="n">
        <x:v>-64042151.81</x:v>
      </x:c>
      <x:c r="N532" s="90" t="n">
        <x:v>-59277978.76</x:v>
      </x:c>
      <x:c r="O532" s="90" t="n">
        <x:v>-310255229.8</x:v>
      </x:c>
      <x:c r="P532" s="90" t="n">
        <x:v>119446638.11</x:v>
      </x:c>
      <x:c r="Q532" s="90" t="n">
        <x:v>-11909534.39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>
        <x:v>0</x:v>
      </x:c>
    </x:row>
    <x:row r="533" spans="2:26" s="656" customFormat="1" ht="12.75" customHeight="1" x14ac:dyDescent="0.3">
      <x:c r="C533" s="656" t="s">
        <x:v>155</x:v>
      </x:c>
      <x:c r="D533" s="657" t="s">
        <x:v>70</x:v>
      </x:c>
      <x:c r="E533" s="657"/>
      <x:c r="F533" s="738" t="n">
        <x:v>-440994165.67</x:v>
      </x:c>
      <x:c r="G533" s="658" t="n">
        <x:v>45083745.57</x:v>
      </x:c>
      <x:c r="H533" s="658" t="n">
        <x:v>24726150.07</x:v>
      </x:c>
      <x:c r="I533" s="658" t="n">
        <x:v>13138151.8</x:v>
      </x:c>
      <x:c r="J533" s="658" t="n">
        <x:v>-190606036.38</x:v>
      </x:c>
      <x:c r="K533" s="658" t="n">
        <x:v>-7297920.08</x:v>
      </x:c>
      <x:c r="L533" s="658" t="n">
        <x:v>0</x:v>
      </x:c>
      <x:c r="M533" s="658" t="n">
        <x:v>-64042151.81</x:v>
      </x:c>
      <x:c r="N533" s="658" t="n">
        <x:v>-59277978.76</x:v>
      </x:c>
      <x:c r="O533" s="658" t="n">
        <x:v>-310255229.8</x:v>
      </x:c>
      <x:c r="P533" s="658" t="n">
        <x:v>119446638.11</x:v>
      </x:c>
      <x:c r="Q533" s="658" t="n">
        <x:v>-11909534.39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>
        <x:v>0</x:v>
      </x:c>
    </x:row>
    <x:row r="534" spans="2:26" ht="12.75" customHeight="1" x14ac:dyDescent="0.3">
      <x:c r="D534" s="89"/>
      <x:c r="E534" s="89" t="s">
        <x:v>73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>
        <x:v>0</x:v>
      </x:c>
    </x:row>
    <x:row r="535" spans="2:26" ht="12.65" customHeight="1" x14ac:dyDescent="0.3">
      <x:c r="D535" s="89" t="s">
        <x:v>115</x:v>
      </x:c>
      <x:c r="E535" s="89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>
        <x:v>0</x:v>
      </x:c>
    </x:row>
    <x:row r="536" spans="2:26" ht="12.75" customHeight="1" x14ac:dyDescent="0.3">
      <x:c r="E536" s="89" t="s">
        <x:v>73</x:v>
      </x:c>
      <x:c r="F536" s="90">
        <x:v>0</x:v>
      </x:c>
      <x:c r="G536" s="90">
        <x:v>0</x:v>
      </x:c>
      <x:c r="H536" s="90">
        <x:v>0</x:v>
      </x:c>
      <x:c r="I536" s="90">
        <x:v>0</x:v>
      </x:c>
      <x:c r="J536" s="90">
        <x:v>0</x:v>
      </x:c>
      <x:c r="K536" s="90">
        <x:v>0</x:v>
      </x:c>
      <x:c r="L536" s="90">
        <x:v>0</x:v>
      </x:c>
      <x:c r="M536" s="90">
        <x:v>0</x:v>
      </x:c>
      <x:c r="N536" s="90">
        <x:v>0</x:v>
      </x:c>
      <x:c r="O536" s="90">
        <x:v>0</x:v>
      </x:c>
      <x:c r="P536" s="90">
        <x:v>0</x:v>
      </x:c>
      <x:c r="Q536" s="90">
        <x:v>0</x:v>
      </x:c>
      <x:c r="R536" s="90">
        <x:v>0</x:v>
      </x:c>
      <x:c r="S536" s="90">
        <x:v>0</x:v>
      </x:c>
      <x:c r="T536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>
        <x:v>0</x:v>
      </x:c>
    </x:row>
    <x:row r="537" spans="2:26" ht="12.75" customHeight="1" x14ac:dyDescent="0.3">
      <x:c r="D537" s="773">
        <x:v>2</x:v>
      </x:c>
      <x:c r="E537" s="89" t="s">
        <x:v>70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>
        <x:v>0</x:v>
      </x:c>
    </x:row>
    <x:row r="538" spans="2:26" ht="12.75" customHeight="1" x14ac:dyDescent="0.3">
      <x:c r="E538" s="89" t="s">
        <x:v>73</x:v>
      </x:c>
      <x:c r="F538" s="90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>
        <x:v>0</x:v>
      </x:c>
    </x:row>
    <x:row r="539" spans="2:26" ht="12.75" customHeight="1" x14ac:dyDescent="0.3">
      <x:c r="D539" s="89" t="s">
        <x:v>118</x:v>
      </x:c>
      <x:c r="E539" s="89" t="s">
        <x:v>70</x:v>
      </x:c>
      <x:c r="F539" s="90">
        <x:v>0</x:v>
      </x:c>
      <x:c r="G539" s="90">
        <x:v>0</x:v>
      </x:c>
      <x:c r="H539" s="90">
        <x:v>0</x:v>
      </x:c>
      <x:c r="I539" s="90">
        <x:v>0</x:v>
      </x:c>
      <x:c r="J539" s="90">
        <x:v>0</x:v>
      </x:c>
      <x:c r="K539" s="90">
        <x:v>0</x:v>
      </x:c>
      <x:c r="L539" s="90">
        <x:v>0</x:v>
      </x:c>
      <x:c r="M539" s="90">
        <x:v>0</x:v>
      </x:c>
      <x:c r="N539" s="90">
        <x:v>0</x:v>
      </x:c>
      <x:c r="O539" s="90">
        <x:v>0</x:v>
      </x:c>
      <x:c r="P539" s="90">
        <x:v>0</x:v>
      </x:c>
      <x:c r="Q539" s="90">
        <x:v>0</x:v>
      </x:c>
      <x:c r="R539" s="90">
        <x:v>0</x:v>
      </x:c>
      <x:c r="S539" s="90">
        <x:v>0</x:v>
      </x:c>
      <x:c r="T539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>
        <x:v>0</x:v>
      </x:c>
    </x:row>
    <x:row r="540" spans="2:26" s="224" customFormat="1" ht="12.75" customHeight="1" x14ac:dyDescent="0.3">
      <x:c r="C540" s="223" t="s">
        <x:v>120</x:v>
      </x:c>
      <x:c r="D540" s="223" t="s">
        <x:v>70</x:v>
      </x:c>
      <x:c r="F540" s="225">
        <x:v>0</x:v>
      </x:c>
      <x:c r="G540" s="225">
        <x:v>0</x:v>
      </x:c>
      <x:c r="H540" s="225">
        <x:v>0</x:v>
      </x:c>
      <x:c r="I540" s="225">
        <x:v>0</x:v>
      </x:c>
      <x:c r="J540" s="225">
        <x:v>0</x:v>
      </x:c>
      <x:c r="K540" s="225">
        <x:v>0</x:v>
      </x:c>
      <x:c r="L540" s="225">
        <x:v>0</x:v>
      </x:c>
      <x:c r="M540" s="225">
        <x:v>0</x:v>
      </x:c>
      <x:c r="N540" s="225">
        <x:v>0</x:v>
      </x:c>
      <x:c r="O540" s="225">
        <x:v>0</x:v>
      </x:c>
      <x:c r="P540" s="225">
        <x:v>0</x:v>
      </x:c>
      <x:c r="Q540" s="225">
        <x:v>0</x:v>
      </x:c>
      <x:c r="R540" s="225">
        <x:v>0</x:v>
      </x:c>
      <x:c r="S540" s="225">
        <x:v>0</x:v>
      </x:c>
      <x:c r="T540" s="224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>
        <x:v>0</x:v>
      </x:c>
    </x:row>
    <x:row r="541" spans="2:26" ht="12.75" customHeight="1" x14ac:dyDescent="0.3">
      <x:c r="E541" s="89" t="s">
        <x:v>73</x:v>
      </x:c>
      <x:c r="F541" s="90" t="n">
        <x:v>621387.42</x:v>
      </x:c>
      <x:c r="G541" s="90" t="n">
        <x:v>852609.88</x:v>
      </x:c>
      <x:c r="H541" s="90" t="n">
        <x:v>474811.81</x:v>
      </x:c>
      <x:c r="I541" s="90" t="n">
        <x:v>246061.62</x:v>
      </x:c>
      <x:c r="J541" s="90" t="n">
        <x:v>-1032983.4</x:v>
      </x:c>
      <x:c r="K541" s="90" t="n">
        <x:v>-23653.6</x:v>
      </x:c>
      <x:c r="L541" s="90" t="n">
        <x:v>0</x:v>
      </x:c>
      <x:c r="M541" s="90" t="n">
        <x:v>-207515.15</x:v>
      </x:c>
      <x:c r="N541" s="90" t="n">
        <x:v>-305567</x:v>
      </x:c>
      <x:c r="O541" s="90" t="n">
        <x:v>-1602885.5</x:v>
      </x:c>
      <x:c r="P541" s="90" t="n">
        <x:v>2259043.41</x:v>
      </x:c>
      <x:c r="Q541" s="90" t="n">
        <x:v>-38534.65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>
        <x:v>0</x:v>
      </x:c>
    </x:row>
    <x:row r="542" spans="2:26" ht="12.75" customHeight="1" x14ac:dyDescent="0.3">
      <x:c r="D542" s="89" t="s">
        <x:v>82</x:v>
      </x:c>
      <x:c r="E542" s="89" t="s">
        <x:v>70</x:v>
      </x:c>
      <x:c r="F542" s="90" t="n">
        <x:v>621387.42</x:v>
      </x:c>
      <x:c r="G542" s="90" t="n">
        <x:v>852609.88</x:v>
      </x:c>
      <x:c r="H542" s="90" t="n">
        <x:v>474811.81</x:v>
      </x:c>
      <x:c r="I542" s="90" t="n">
        <x:v>246061.62</x:v>
      </x:c>
      <x:c r="J542" s="90" t="n">
        <x:v>-1032983.4</x:v>
      </x:c>
      <x:c r="K542" s="90" t="n">
        <x:v>-23653.6</x:v>
      </x:c>
      <x:c r="L542" s="90" t="n">
        <x:v>0</x:v>
      </x:c>
      <x:c r="M542" s="90" t="n">
        <x:v>-207515.15</x:v>
      </x:c>
      <x:c r="N542" s="90" t="n">
        <x:v>-305567</x:v>
      </x:c>
      <x:c r="O542" s="90" t="n">
        <x:v>-1602885.5</x:v>
      </x:c>
      <x:c r="P542" s="90" t="n">
        <x:v>2259043.41</x:v>
      </x:c>
      <x:c r="Q542" s="90" t="n">
        <x:v>-38534.65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>
        <x:v>0</x:v>
      </x:c>
    </x:row>
    <x:row r="543" spans="2:26" ht="12.75" customHeight="1" x14ac:dyDescent="0.3">
      <x:c r="E543" s="89" t="s">
        <x:v>73</x:v>
      </x:c>
      <x:c r="F543" s="90" t="n">
        <x:v>33034294.63</x:v>
      </x:c>
      <x:c r="G543" s="90" t="n">
        <x:v>7469715.15</x:v>
      </x:c>
      <x:c r="H543" s="90" t="n">
        <x:v>4000414.05</x:v>
      </x:c>
      <x:c r="I543" s="90" t="n">
        <x:v>2027029.51</x:v>
      </x:c>
      <x:c r="J543" s="90" t="n">
        <x:v>-213628.61</x:v>
      </x:c>
      <x:c r="K543" s="90" t="n">
        <x:v>-892.04</x:v>
      </x:c>
      <x:c r="L543" s="90" t="n">
        <x:v>0</x:v>
      </x:c>
      <x:c r="M543" s="90" t="n">
        <x:v>-8871.71</x:v>
      </x:c>
      <x:c r="N543" s="90" t="n">
        <x:v>16891.87</x:v>
      </x:c>
      <x:c r="O543" s="90" t="n">
        <x:v>-15808.99</x:v>
      </x:c>
      <x:c r="P543" s="90" t="n">
        <x:v>19760866.23</x:v>
      </x:c>
      <x:c r="Q543" s="90" t="n">
        <x:v>-1420.83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>
        <x:v>0</x:v>
      </x:c>
    </x:row>
    <x:row r="544" spans="2:26" ht="12.75" customHeight="1" x14ac:dyDescent="0.3">
      <x:c r="D544" s="89" t="s">
        <x:v>86</x:v>
      </x:c>
      <x:c r="E544" s="89" t="s">
        <x:v>70</x:v>
      </x:c>
      <x:c r="F544" s="90" t="n">
        <x:v>33034294.63</x:v>
      </x:c>
      <x:c r="G544" s="90" t="n">
        <x:v>7469715.15</x:v>
      </x:c>
      <x:c r="H544" s="90" t="n">
        <x:v>4000414.05</x:v>
      </x:c>
      <x:c r="I544" s="90" t="n">
        <x:v>2027029.51</x:v>
      </x:c>
      <x:c r="J544" s="90" t="n">
        <x:v>-213628.61</x:v>
      </x:c>
      <x:c r="K544" s="90" t="n">
        <x:v>-892.04</x:v>
      </x:c>
      <x:c r="L544" s="90" t="n">
        <x:v>0</x:v>
      </x:c>
      <x:c r="M544" s="90" t="n">
        <x:v>-8871.71</x:v>
      </x:c>
      <x:c r="N544" s="90" t="n">
        <x:v>16891.87</x:v>
      </x:c>
      <x:c r="O544" s="90" t="n">
        <x:v>-15808.99</x:v>
      </x:c>
      <x:c r="P544" s="90" t="n">
        <x:v>19760866.23</x:v>
      </x:c>
      <x:c r="Q544" s="90" t="n">
        <x:v>-1420.83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ht="12.75" customHeight="1" x14ac:dyDescent="0.3">
      <x:c r="E545" s="89" t="s">
        <x:v>73</x:v>
      </x:c>
      <x:c r="F545" s="90" t="n">
        <x:v>113346962.35</x:v>
      </x:c>
      <x:c r="G545" s="90" t="n">
        <x:v>23417221.89</x:v>
      </x:c>
      <x:c r="H545" s="90" t="n">
        <x:v>13112318.44</x:v>
      </x:c>
      <x:c r="I545" s="90" t="n">
        <x:v>6940407.51</x:v>
      </x:c>
      <x:c r="J545" s="90" t="n">
        <x:v>2390566.06</x:v>
      </x:c>
      <x:c r="K545" s="90" t="n">
        <x:v>61583.13</x:v>
      </x:c>
      <x:c r="L545" s="90" t="n">
        <x:v>0</x:v>
      </x:c>
      <x:c r="M545" s="90" t="n">
        <x:v>539287.8</x:v>
      </x:c>
      <x:c r="N545" s="90" t="n">
        <x:v>727371.22</x:v>
      </x:c>
      <x:c r="O545" s="90" t="n">
        <x:v>3723280.44</x:v>
      </x:c>
      <x:c r="P545" s="90" t="n">
        <x:v>62334424.08</x:v>
      </x:c>
      <x:c r="Q545" s="90" t="n">
        <x:v>100501.78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>
        <x:v>0</x:v>
      </x:c>
    </x:row>
    <x:row r="546" spans="1:26" ht="12.75" customHeight="1" x14ac:dyDescent="0.3">
      <x:c r="D546" s="89" t="s">
        <x:v>87</x:v>
      </x:c>
      <x:c r="E546" s="89" t="s">
        <x:v>70</x:v>
      </x:c>
      <x:c r="F546" s="90" t="n">
        <x:v>113346962.35</x:v>
      </x:c>
      <x:c r="G546" s="90" t="n">
        <x:v>23417221.89</x:v>
      </x:c>
      <x:c r="H546" s="90" t="n">
        <x:v>13112318.44</x:v>
      </x:c>
      <x:c r="I546" s="90" t="n">
        <x:v>6940407.51</x:v>
      </x:c>
      <x:c r="J546" s="90" t="n">
        <x:v>2390566.06</x:v>
      </x:c>
      <x:c r="K546" s="90" t="n">
        <x:v>61583.13</x:v>
      </x:c>
      <x:c r="L546" s="90" t="n">
        <x:v>0</x:v>
      </x:c>
      <x:c r="M546" s="90" t="n">
        <x:v>539287.8</x:v>
      </x:c>
      <x:c r="N546" s="90" t="n">
        <x:v>727371.22</x:v>
      </x:c>
      <x:c r="O546" s="90" t="n">
        <x:v>3723280.44</x:v>
      </x:c>
      <x:c r="P546" s="90" t="n">
        <x:v>62334424.08</x:v>
      </x:c>
      <x:c r="Q546" s="90" t="n">
        <x:v>100501.78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s="94" customFormat="1" ht="12.75" customHeight="1" x14ac:dyDescent="0.3">
      <x:c r="C547" s="101" t="s">
        <x:v>119</x:v>
      </x:c>
      <x:c r="D547" s="101" t="s">
        <x:v>70</x:v>
      </x:c>
      <x:c r="F547" s="93" t="n">
        <x:v>147002644.4</x:v>
      </x:c>
      <x:c r="G547" s="93" t="n">
        <x:v>31739546.92</x:v>
      </x:c>
      <x:c r="H547" s="93" t="n">
        <x:v>17587544.3</x:v>
      </x:c>
      <x:c r="I547" s="93" t="n">
        <x:v>9213498.64</x:v>
      </x:c>
      <x:c r="J547" s="93" t="n">
        <x:v>1143954.05</x:v>
      </x:c>
      <x:c r="K547" s="93" t="n">
        <x:v>37037.49</x:v>
      </x:c>
      <x:c r="L547" s="93" t="n">
        <x:v>0</x:v>
      </x:c>
      <x:c r="M547" s="93" t="n">
        <x:v>322900.94</x:v>
      </x:c>
      <x:c r="N547" s="93" t="n">
        <x:v>438696.09</x:v>
      </x:c>
      <x:c r="O547" s="93" t="n">
        <x:v>2104585.95</x:v>
      </x:c>
      <x:c r="P547" s="93" t="n">
        <x:v>84354333.72</x:v>
      </x:c>
      <x:c r="Q547" s="93" t="n">
        <x:v>60546.3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>
        <x:v>0</x:v>
      </x:c>
    </x:row>
    <x:row r="548" spans="1:26" s="226" customFormat="1" ht="12.75" customHeight="1" x14ac:dyDescent="0.3">
      <x:c r="B548" s="98" t="s">
        <x:v>112</x:v>
      </x:c>
      <x:c r="C548" s="98" t="s">
        <x:v>70</x:v>
      </x:c>
      <x:c r="F548" s="100" t="n">
        <x:v>-293991521.27</x:v>
      </x:c>
      <x:c r="G548" s="100" t="n">
        <x:v>76823292.49</x:v>
      </x:c>
      <x:c r="H548" s="100" t="n">
        <x:v>42313694.37</x:v>
      </x:c>
      <x:c r="I548" s="100" t="n">
        <x:v>22351650.44</x:v>
      </x:c>
      <x:c r="J548" s="100" t="n">
        <x:v>-189462082.33</x:v>
      </x:c>
      <x:c r="K548" s="100" t="n">
        <x:v>-7260882.59</x:v>
      </x:c>
      <x:c r="L548" s="100" t="n">
        <x:v>0</x:v>
      </x:c>
      <x:c r="M548" s="100" t="n">
        <x:v>-63719250.87</x:v>
      </x:c>
      <x:c r="N548" s="100" t="n">
        <x:v>-58839282.67</x:v>
      </x:c>
      <x:c r="O548" s="100" t="n">
        <x:v>-308150643.85</x:v>
      </x:c>
      <x:c r="P548" s="100" t="n">
        <x:v>203800971.83</x:v>
      </x:c>
      <x:c r="Q548" s="100" t="n">
        <x:v>-11848988.09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>
        <x:v>0</x:v>
      </x:c>
    </x:row>
    <x:row r="549" spans="1:26" ht="12.75" customHeight="1" x14ac:dyDescent="0.3">
      <x:c r="A549" s="89" t="s">
        <x:v>79</x:v>
      </x:c>
      <x:c r="B549" s="89" t="s">
        <x:v>70</x:v>
      </x:c>
      <x:c r="F549" s="90" t="n">
        <x:v>-295465926.61</x:v>
      </x:c>
      <x:c r="G549" s="90" t="n">
        <x:v>76886519.2</x:v>
      </x:c>
      <x:c r="H549" s="90" t="n">
        <x:v>42351747.42</x:v>
      </x:c>
      <x:c r="I549" s="90" t="n">
        <x:v>22370614.57</x:v>
      </x:c>
      <x:c r="J549" s="90" t="n">
        <x:v>-190004914.65</x:v>
      </x:c>
      <x:c r="K549" s="90" t="n">
        <x:v>-7274896.75</x:v>
      </x:c>
      <x:c r="L549" s="90" t="n">
        <x:v>0</x:v>
      </x:c>
      <x:c r="M549" s="90" t="n">
        <x:v>-63842079.89</x:v>
      </x:c>
      <x:c r="N549" s="90" t="n">
        <x:v>-59012329.01</x:v>
      </x:c>
      <x:c r="O549" s="90" t="n">
        <x:v>-309040185.96</x:v>
      </x:c>
      <x:c r="P549" s="90" t="n">
        <x:v>203971570.29</x:v>
      </x:c>
      <x:c r="Q549" s="90" t="n">
        <x:v>-11871971.83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>
        <x:v>0</x:v>
      </x:c>
    </x:row>
    <x:row r="550" spans="1:26" ht="12.75" customHeight="1" x14ac:dyDescent="0.3">
      <x:c r="A550" s="89" t="s">
        <x:v>70</x:v>
      </x:c>
      <x:c r="F550" s="90" t="n">
        <x:v>10504168126</x:v>
      </x:c>
      <x:c r="G550" s="90" t="n">
        <x:v>682835274.63</x:v>
      </x:c>
      <x:c r="H550" s="90" t="n">
        <x:v>378247017.59</x:v>
      </x:c>
      <x:c r="I550" s="90" t="n">
        <x:v>201479226.39</x:v>
      </x:c>
      <x:c r="J550" s="90" t="n">
        <x:v>2211361890.62</x:v>
      </x:c>
      <x:c r="K550" s="90" t="n">
        <x:v>82533115.02</x:v>
      </x:c>
      <x:c r="L550" s="90" t="n">
        <x:v>8643135.58</x:v>
      </x:c>
      <x:c r="M550" s="90" t="n">
        <x:v>723323680.08</x:v>
      </x:c>
      <x:c r="N550" s="90" t="n">
        <x:v>692581482.82</x:v>
      </x:c>
      <x:c r="O550" s="90" t="n">
        <x:v>3580123493.07</x:v>
      </x:c>
      <x:c r="P550" s="90" t="n">
        <x:v>1808096576.4</x:v>
      </x:c>
      <x:c r="Q550" s="90" t="n">
        <x:v>134911111.07</x:v>
      </x:c>
      <x:c r="R550" s="90" t="n">
        <x:v>31933.3</x:v>
      </x:c>
      <x:c r="S550" s="90" t="n">
        <x:v>10.22</x:v>
      </x:c>
      <x:c r="T550" t="n">
        <x:v>179.21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>
        <x:v>0</x:v>
      </x:c>
    </x:row>
    <x:row r="551" spans="1:26" ht="12.75" customHeight="1" x14ac:dyDescent="0.3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3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3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3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3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3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3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3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3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3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3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3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3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3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3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3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3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3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3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3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3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3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3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3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3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3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3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3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3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3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3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3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3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3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3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3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3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3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3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3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3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3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3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3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3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3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3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3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3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3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5" customHeight="1" x14ac:dyDescent="0.3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3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3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3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3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3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3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3">
      <x:c r="E608" s="89" t="s">
        <x:v>72</x:v>
      </x:c>
      <x:c r="F608" s="371">
        <x:v>0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3">
      <x:c r="D609" t="s">
        <x:v>86</x:v>
      </x:c>
      <x:c r="E609" s="89" t="s">
        <x:v>70</x:v>
      </x:c>
      <x:c r="F609" s="371">
        <x:v>0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3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3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3">
      <x:c r="C612" s="101" t="s">
        <x:v>119</x:v>
      </x:c>
      <x:c r="D612" s="101" t="s">
        <x:v>70</x:v>
      </x:c>
      <x:c r="F612" s="93">
        <x:v>0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3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3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3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3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3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3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3">
      <x:c r="E619" t="s">
        <x:v>72</x:v>
      </x:c>
      <x:c r="F619" s="90">
        <x:v>0</x:v>
      </x:c>
      <x:c r="G619" s="90">
        <x:v>0</x:v>
      </x:c>
      <x:c r="H619" s="90">
        <x:v>0</x:v>
      </x:c>
      <x:c r="I619" s="90">
        <x:v>0</x:v>
      </x:c>
      <x:c r="J619" s="90">
        <x:v>0</x:v>
      </x:c>
      <x:c r="K619" s="90">
        <x:v>0</x:v>
      </x:c>
      <x:c r="L619" s="90">
        <x:v>0</x:v>
      </x:c>
      <x:c r="M619" s="90">
        <x:v>0</x:v>
      </x:c>
      <x:c r="N619" s="90">
        <x:v>0</x:v>
      </x:c>
      <x:c r="O619" s="90">
        <x:v>0</x:v>
      </x:c>
      <x:c r="P619" s="90">
        <x:v>0</x:v>
      </x:c>
      <x:c r="Q619" s="90">
        <x:v>370.08</x:v>
      </x:c>
      <x:c r="R619" s="90">
        <x:v>-1.95</x:v>
      </x:c>
      <x:c r="S619" s="90">
        <x:v>0</x:v>
      </x:c>
      <x:c r="T619" s="90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>
        <x:v>0</x:v>
      </x:c>
    </x:row>
    <x:row r="620" spans="1:26" x14ac:dyDescent="0.3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3">
      <x:c r="D621" t="s">
        <x:v>82</x:v>
      </x:c>
      <x:c r="E621" t="s">
        <x:v>70</x:v>
      </x:c>
      <x:c r="F621" s="90">
        <x:v>0</x:v>
      </x:c>
      <x:c r="G621" s="90">
        <x:v>0</x:v>
      </x:c>
      <x:c r="H621" s="90">
        <x:v>0</x:v>
      </x:c>
      <x:c r="I621" s="90">
        <x:v>0</x:v>
      </x:c>
      <x:c r="J621" s="90">
        <x:v>0</x:v>
      </x:c>
      <x:c r="K621" s="90">
        <x:v>0</x:v>
      </x:c>
      <x:c r="L621" s="90">
        <x:v>0</x:v>
      </x:c>
      <x:c r="M621" s="90">
        <x:v>0</x:v>
      </x:c>
      <x:c r="N621" s="90">
        <x:v>0</x:v>
      </x:c>
      <x:c r="O621" s="90">
        <x:v>0</x:v>
      </x:c>
      <x:c r="P621" s="90">
        <x:v>0</x:v>
      </x:c>
      <x:c r="Q621" s="90">
        <x:v>370.15</x:v>
      </x:c>
      <x:c r="R621" s="90">
        <x:v>-1.95</x:v>
      </x:c>
      <x:c r="S621" s="90">
        <x:v>0</x:v>
      </x:c>
      <x:c r="T621" s="90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>
        <x:v>0</x:v>
      </x:c>
    </x:row>
    <x:row r="622" spans="1:26" x14ac:dyDescent="0.3">
      <x:c r="E622" t="s">
        <x:v>72</x:v>
      </x:c>
      <x:c r="F622" s="90">
        <x:v>0</x:v>
      </x:c>
      <x:c r="G622" s="90">
        <x:v>0</x:v>
      </x:c>
      <x:c r="H622" s="90">
        <x:v>0</x:v>
      </x:c>
      <x:c r="I622" s="90">
        <x:v>0</x:v>
      </x:c>
      <x:c r="J622" s="90">
        <x:v>0</x:v>
      </x:c>
      <x:c r="K622" s="90">
        <x:v>0</x:v>
      </x:c>
      <x:c r="L622" s="90">
        <x:v>0</x:v>
      </x:c>
      <x:c r="M622" s="90">
        <x:v>0</x:v>
      </x:c>
      <x:c r="N622" s="90">
        <x:v>0</x:v>
      </x:c>
      <x:c r="O622" s="90">
        <x:v>0</x:v>
      </x:c>
      <x:c r="P622" s="90">
        <x:v>0</x:v>
      </x:c>
      <x:c r="Q622" s="90">
        <x:v>370.08</x:v>
      </x:c>
      <x:c r="R622" s="90">
        <x:v>-1.95</x:v>
      </x:c>
      <x:c r="S622" s="90">
        <x:v>0</x:v>
      </x:c>
      <x:c r="T622" s="90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>
        <x:v>0</x:v>
      </x:c>
    </x:row>
    <x:row r="623" spans="1:26" x14ac:dyDescent="0.3">
      <x:c r="E623" t="s">
        <x:v>81</x:v>
      </x:c>
      <x:c r="F623" s="90">
        <x:v>0</x:v>
      </x:c>
      <x:c r="G623" s="90">
        <x:v>0</x:v>
      </x:c>
      <x:c r="H623" s="90">
        <x:v>0</x:v>
      </x:c>
      <x:c r="I623" s="90">
        <x:v>0</x:v>
      </x:c>
      <x:c r="J623" s="90">
        <x:v>0</x:v>
      </x:c>
      <x:c r="K623" s="90">
        <x:v>0</x:v>
      </x:c>
      <x:c r="L623" s="90">
        <x:v>0</x:v>
      </x:c>
      <x:c r="M623" s="90">
        <x:v>0</x:v>
      </x:c>
      <x:c r="N623" s="90">
        <x:v>0</x:v>
      </x:c>
      <x:c r="O623" s="90">
        <x:v>0</x:v>
      </x:c>
      <x:c r="P623" s="90">
        <x:v>0</x:v>
      </x:c>
      <x:c r="Q623" s="90">
        <x:v>7.0000000000000007E-2</x:v>
      </x:c>
      <x:c r="R623" s="90">
        <x:v>0</x:v>
      </x:c>
      <x:c r="S623" s="90">
        <x:v>0</x:v>
      </x:c>
      <x:c r="T623" s="90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>
        <x:v>0</x:v>
      </x:c>
    </x:row>
    <x:row r="624" spans="1:26" x14ac:dyDescent="0.3">
      <x:c r="D624" t="s">
        <x:v>86</x:v>
      </x:c>
      <x:c r="E624" t="s">
        <x:v>70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370.15</x:v>
      </x:c>
      <x:c r="R624" s="90">
        <x:v>-1.95</x:v>
      </x:c>
      <x:c r="S624" s="90">
        <x:v>0</x:v>
      </x:c>
      <x:c r="T624" s="90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>
        <x:v>0</x:v>
      </x:c>
    </x:row>
    <x:row r="625" spans="1:26" ht="12.75" customHeight="1" x14ac:dyDescent="0.3">
      <x:c r="E625" s="89" t="s">
        <x:v>72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 s="90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>
        <x:v>0</x:v>
      </x:c>
    </x:row>
    <x:row r="626" spans="1:26" x14ac:dyDescent="0.3">
      <x:c r="E626" t="s">
        <x:v>81</x:v>
      </x:c>
      <x:c r="F626" s="90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 s="90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>
        <x:v>0</x:v>
      </x:c>
    </x:row>
    <x:row r="627" spans="1:26" ht="12.75" customHeight="1" x14ac:dyDescent="0.3">
      <x:c r="D627" t="s">
        <x:v>87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 s="90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>
        <x:v>0</x:v>
      </x:c>
    </x:row>
    <x:row r="628" spans="1:26" s="94" customFormat="1" ht="12.75" customHeight="1" x14ac:dyDescent="0.3">
      <x:c r="C628" s="101" t="s">
        <x:v>119</x:v>
      </x:c>
      <x:c r="D628" s="101" t="s">
        <x:v>70</x:v>
      </x:c>
      <x:c r="F628" s="93">
        <x:v>0</x:v>
      </x:c>
      <x:c r="G628" s="93">
        <x:v>0</x:v>
      </x:c>
      <x:c r="H628" s="93">
        <x:v>0</x:v>
      </x:c>
      <x:c r="I628" s="93">
        <x:v>0</x:v>
      </x:c>
      <x:c r="J628" s="93">
        <x:v>0</x:v>
      </x:c>
      <x:c r="K628" s="93">
        <x:v>0</x:v>
      </x:c>
      <x:c r="L628" s="93">
        <x:v>0</x:v>
      </x:c>
      <x:c r="M628" s="93">
        <x:v>0</x:v>
      </x:c>
      <x:c r="N628" s="93">
        <x:v>0</x:v>
      </x:c>
      <x:c r="O628" s="93">
        <x:v>0</x:v>
      </x:c>
      <x:c r="P628" s="93">
        <x:v>0</x:v>
      </x:c>
      <x:c r="Q628" s="93">
        <x:v>0</x:v>
      </x:c>
      <x:c r="R628" s="93">
        <x:v>0</x:v>
      </x:c>
      <x:c r="S628" s="93">
        <x:v>0</x:v>
      </x:c>
      <x:c r="T628" s="93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>
        <x:v>0</x:v>
      </x:c>
    </x:row>
    <x:row r="629" spans="1:26" s="378" customFormat="1" ht="12.75" customHeight="1" x14ac:dyDescent="0.3">
      <x:c r="B629" s="378" t="s">
        <x:v>122</x:v>
      </x:c>
      <x:c r="C629" s="378" t="s">
        <x:v>70</x:v>
      </x:c>
      <x:c r="E629" s="376"/>
      <x:c r="F629" s="710">
        <x:v>0</x:v>
      </x:c>
      <x:c r="G629" s="377">
        <x:v>0</x:v>
      </x:c>
      <x:c r="H629" s="377">
        <x:v>0</x:v>
      </x:c>
      <x:c r="I629" s="377">
        <x:v>0</x:v>
      </x:c>
      <x:c r="J629" s="377">
        <x:v>0</x:v>
      </x:c>
      <x:c r="K629" s="377">
        <x:v>0</x:v>
      </x:c>
      <x:c r="L629" s="377">
        <x:v>0</x:v>
      </x:c>
      <x:c r="M629" s="377">
        <x:v>0</x:v>
      </x:c>
      <x:c r="N629" s="377">
        <x:v>0</x:v>
      </x:c>
      <x:c r="O629" s="377">
        <x:v>0</x:v>
      </x:c>
      <x:c r="P629" s="377">
        <x:v>0</x:v>
      </x:c>
      <x:c r="Q629" s="377">
        <x:v>0</x:v>
      </x:c>
      <x:c r="R629" s="377">
        <x:v>0</x:v>
      </x:c>
      <x:c r="S629" s="377">
        <x:v>0</x:v>
      </x:c>
      <x:c r="T629" s="377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>
        <x:v>0</x:v>
      </x:c>
    </x:row>
    <x:row r="630" spans="1:26" ht="12.75" customHeight="1" x14ac:dyDescent="0.3">
      <x:c r="C630" s="89"/>
      <x:c r="D630" s="89"/>
      <x:c r="E630" t="s">
        <x:v>72</x:v>
      </x:c>
      <x:c r="F630" s="371" t="n">
        <x:v>7406462788.36</x:v>
      </x:c>
      <x:c r="G630" s="90" t="n">
        <x:v>382434611.91</x:v>
      </x:c>
      <x:c r="H630" s="90" t="n">
        <x:v>213001567.09</x:v>
      </x:c>
      <x:c r="I630" s="90" t="n">
        <x:v>113293730.21</x:v>
      </x:c>
      <x:c r="J630" s="90" t="n">
        <x:v>1811930655.26</x:v>
      </x:c>
      <x:c r="K630" s="90" t="n">
        <x:v>60228423.32</x:v>
      </x:c>
      <x:c r="L630" s="90" t="n">
        <x:v>10471100</x:v>
      </x:c>
      <x:c r="M630" s="90" t="n">
        <x:v>528408998.82</x:v>
      </x:c>
      <x:c r="N630" s="90" t="n">
        <x:v>496404846.02</x:v>
      </x:c>
      <x:c r="O630" s="90" t="n">
        <x:v>2553943335.3</x:v>
      </x:c>
      <x:c r="P630" s="90" t="n">
        <x:v>1138056820.87</x:v>
      </x:c>
      <x:c r="Q630" s="90" t="n">
        <x:v>98277123.38</x:v>
      </x:c>
      <x:c r="R630" s="90" t="n">
        <x:v>11576.18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>
        <x:v>0</x:v>
      </x:c>
    </x:row>
    <x:row r="631" spans="1:26" ht="12.75" customHeight="1" x14ac:dyDescent="0.3">
      <x:c r="C631" s="89"/>
      <x:c r="D631" s="89"/>
      <x:c r="E631" t="s">
        <x:v>81</x:v>
      </x:c>
      <x:c r="F631" s="90" t="n">
        <x:v>7748156.53</x:v>
      </x:c>
      <x:c r="G631" s="90" t="n">
        <x:v>791632.88</x:v>
      </x:c>
      <x:c r="H631" s="90" t="n">
        <x:v>397564.53</x:v>
      </x:c>
      <x:c r="I631" s="90" t="n">
        <x:v>193425.46</x:v>
      </x:c>
      <x:c r="J631" s="90" t="n">
        <x:v>1228265.81</x:v>
      </x:c>
      <x:c r="K631" s="90" t="n">
        <x:v>52113.98</x:v>
      </x:c>
      <x:c r="L631" s="90" t="n">
        <x:v>596.87</x:v>
      </x:c>
      <x:c r="M631" s="90" t="n">
        <x:v>456961.78</x:v>
      </x:c>
      <x:c r="N631" s="90" t="n">
        <x:v>383739.51</x:v>
      </x:c>
      <x:c r="O631" s="90" t="n">
        <x:v>1862264.3</x:v>
      </x:c>
      <x:c r="P631" s="90" t="n">
        <x:v>2296530.82</x:v>
      </x:c>
      <x:c r="Q631" s="90" t="n">
        <x:v>85033.38</x:v>
      </x:c>
      <x:c r="R631" s="90" t="n">
        <x:v>22.39</x:v>
      </x:c>
      <x:c r="S631" s="90" t="n">
        <x:v>0</x:v>
      </x:c>
      <x:c r="T631" t="n">
        <x:v>4.82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>
        <x:v>0</x:v>
      </x:c>
    </x:row>
    <x:row r="632" spans="1:26" ht="12.75" customHeight="1" x14ac:dyDescent="0.3">
      <x:c r="D632" t="s">
        <x:v>156</x:v>
      </x:c>
      <x:c r="E632" s="89" t="s">
        <x:v>70</x:v>
      </x:c>
      <x:c r="F632" s="90" t="n">
        <x:v>7414210944.89</x:v>
      </x:c>
      <x:c r="G632" s="90" t="n">
        <x:v>383226244.79</x:v>
      </x:c>
      <x:c r="H632" s="90" t="n">
        <x:v>213399131.62</x:v>
      </x:c>
      <x:c r="I632" s="90" t="n">
        <x:v>113487155.67</x:v>
      </x:c>
      <x:c r="J632" s="90" t="n">
        <x:v>1813158921.07</x:v>
      </x:c>
      <x:c r="K632" s="90" t="n">
        <x:v>60280537.3</x:v>
      </x:c>
      <x:c r="L632" s="90" t="n">
        <x:v>10471696.87</x:v>
      </x:c>
      <x:c r="M632" s="90" t="n">
        <x:v>528865960.6</x:v>
      </x:c>
      <x:c r="N632" s="90" t="n">
        <x:v>496788585.53</x:v>
      </x:c>
      <x:c r="O632" s="90" t="n">
        <x:v>2555805599.6</x:v>
      </x:c>
      <x:c r="P632" s="90" t="n">
        <x:v>1140353351.69</x:v>
      </x:c>
      <x:c r="Q632" s="90" t="n">
        <x:v>98362156.76</x:v>
      </x:c>
      <x:c r="R632" s="90" t="n">
        <x:v>11598.57</x:v>
      </x:c>
      <x:c r="S632" s="90" t="n">
        <x:v>0</x:v>
      </x:c>
      <x:c r="T632" t="n">
        <x:v>4.82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>
        <x:v>0</x:v>
      </x:c>
    </x:row>
    <x:row r="633" spans="1:26" s="656" customFormat="1" ht="12.75" customHeight="1" x14ac:dyDescent="0.3">
      <x:c r="A633" s="657"/>
      <x:c r="B633" s="657"/>
      <x:c r="C633" s="656" t="s">
        <x:v>155</x:v>
      </x:c>
      <x:c r="D633" s="656" t="s">
        <x:v>70</x:v>
      </x:c>
      <x:c r="F633" s="658" t="n">
        <x:v>7414210944.89</x:v>
      </x:c>
      <x:c r="G633" s="658" t="n">
        <x:v>383226244.79</x:v>
      </x:c>
      <x:c r="H633" s="658" t="n">
        <x:v>213399131.62</x:v>
      </x:c>
      <x:c r="I633" s="658" t="n">
        <x:v>113487155.67</x:v>
      </x:c>
      <x:c r="J633" s="658" t="n">
        <x:v>1813158921.07</x:v>
      </x:c>
      <x:c r="K633" s="658" t="n">
        <x:v>60280537.3</x:v>
      </x:c>
      <x:c r="L633" s="658" t="n">
        <x:v>10471696.87</x:v>
      </x:c>
      <x:c r="M633" s="658" t="n">
        <x:v>528865960.6</x:v>
      </x:c>
      <x:c r="N633" s="658" t="n">
        <x:v>496788585.53</x:v>
      </x:c>
      <x:c r="O633" s="658" t="n">
        <x:v>2555805599.6</x:v>
      </x:c>
      <x:c r="P633" s="658" t="n">
        <x:v>1140353351.69</x:v>
      </x:c>
      <x:c r="Q633" s="658" t="n">
        <x:v>98362156.76</x:v>
      </x:c>
      <x:c r="R633" s="658" t="n">
        <x:v>11598.57</x:v>
      </x:c>
      <x:c r="S633" s="658" t="n">
        <x:v>0</x:v>
      </x:c>
      <x:c r="T633" s="656" t="n">
        <x:v>4.82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>
        <x:v>0</x:v>
      </x:c>
    </x:row>
    <x:row r="634" spans="1:26" ht="12.75" customHeight="1" x14ac:dyDescent="0.3">
      <x:c r="E634" s="89" t="s">
        <x:v>72</x:v>
      </x:c>
      <x:c r="F634" s="90" t="n">
        <x:v>160092177.14</x:v>
      </x:c>
      <x:c r="G634" s="90" t="n">
        <x:v>8661080.1</x:v>
      </x:c>
      <x:c r="H634" s="90" t="n">
        <x:v>4833415.13</x:v>
      </x:c>
      <x:c r="I634" s="90" t="n">
        <x:v>2582595.52</x:v>
      </x:c>
      <x:c r="J634" s="90" t="n">
        <x:v>38399519.4</x:v>
      </x:c>
      <x:c r="K634" s="90" t="n">
        <x:v>1268377.67</x:v>
      </x:c>
      <x:c r="L634" s="90" t="n">
        <x:v>0</x:v>
      </x:c>
      <x:c r="M634" s="90" t="n">
        <x:v>11140054.55</x:v>
      </x:c>
      <x:c r="N634" s="90" t="n">
        <x:v>10558954.77</x:v>
      </x:c>
      <x:c r="O634" s="90" t="n">
        <x:v>54651229.02</x:v>
      </x:c>
      <x:c r="P634" s="90" t="n">
        <x:v>25928014.94</x:v>
      </x:c>
      <x:c r="Q634" s="90" t="n">
        <x:v>2069142.02</x:v>
      </x:c>
      <x:c r="R634" s="90" t="n">
        <x:v>-205.98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>
        <x:v>0</x:v>
      </x:c>
    </x:row>
    <x:row r="635" spans="1:26" ht="12.75" customHeight="1" x14ac:dyDescent="0.3">
      <x:c r="E635" s="89" t="s">
        <x:v>81</x:v>
      </x:c>
      <x:c r="F635" s="371" t="n">
        <x:v>94709.83</x:v>
      </x:c>
      <x:c r="G635" s="90" t="n">
        <x:v>5210.34</x:v>
      </x:c>
      <x:c r="H635" s="90" t="n">
        <x:v>2882.65</x:v>
      </x:c>
      <x:c r="I635" s="90" t="n">
        <x:v>1569</x:v>
      </x:c>
      <x:c r="J635" s="90" t="n">
        <x:v>20323.64</x:v>
      </x:c>
      <x:c r="K635" s="90" t="n">
        <x:v>720.72</x:v>
      </x:c>
      <x:c r="L635" s="90" t="n">
        <x:v>0</x:v>
      </x:c>
      <x:c r="M635" s="90" t="n">
        <x:v>6347.52</x:v>
      </x:c>
      <x:c r="N635" s="90" t="n">
        <x:v>6686</x:v>
      </x:c>
      <x:c r="O635" s="90" t="n">
        <x:v>34170.61</x:v>
      </x:c>
      <x:c r="P635" s="90" t="n">
        <x:v>15601.5</x:v>
      </x:c>
      <x:c r="Q635" s="90" t="n">
        <x:v>1198.34</x:v>
      </x:c>
      <x:c r="R635" s="90" t="n">
        <x:v>-0.48</x:v>
      </x:c>
      <x:c r="S635" s="90" t="n">
        <x:v>-0.01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>
        <x:v>0</x:v>
      </x:c>
    </x:row>
    <x:row r="636" spans="1:26" ht="12.75" customHeight="1" x14ac:dyDescent="0.3">
      <x:c r="D636" t="s">
        <x:v>156</x:v>
      </x:c>
      <x:c r="E636" s="89" t="s">
        <x:v>70</x:v>
      </x:c>
      <x:c r="F636" s="371" t="n">
        <x:v>160186886.97</x:v>
      </x:c>
      <x:c r="G636" s="90" t="n">
        <x:v>8666290.44</x:v>
      </x:c>
      <x:c r="H636" s="90" t="n">
        <x:v>4836297.78</x:v>
      </x:c>
      <x:c r="I636" s="90" t="n">
        <x:v>2584164.52</x:v>
      </x:c>
      <x:c r="J636" s="90" t="n">
        <x:v>38419843.04</x:v>
      </x:c>
      <x:c r="K636" s="90" t="n">
        <x:v>1269098.39</x:v>
      </x:c>
      <x:c r="L636" s="90" t="n">
        <x:v>0</x:v>
      </x:c>
      <x:c r="M636" s="90" t="n">
        <x:v>11146402.07</x:v>
      </x:c>
      <x:c r="N636" s="90" t="n">
        <x:v>10565640.77</x:v>
      </x:c>
      <x:c r="O636" s="90" t="n">
        <x:v>54685399.63</x:v>
      </x:c>
      <x:c r="P636" s="90" t="n">
        <x:v>25943616.44</x:v>
      </x:c>
      <x:c r="Q636" s="90" t="n">
        <x:v>2070340.36</x:v>
      </x:c>
      <x:c r="R636" s="90" t="n">
        <x:v>-206.46</x:v>
      </x:c>
      <x:c r="S636" s="90" t="n">
        <x:v>-0.01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>
        <x:v>0</x:v>
      </x:c>
    </x:row>
    <x:row r="637" spans="1:26" s="739" customFormat="1" ht="12.75" customHeight="1" x14ac:dyDescent="0.3">
      <x:c r="C637" s="739" t="s">
        <x:v>326</x:v>
      </x:c>
      <x:c r="D637" s="739" t="s">
        <x:v>70</x:v>
      </x:c>
      <x:c r="E637" s="231"/>
      <x:c r="F637" s="740" t="n">
        <x:v>160186886.97</x:v>
      </x:c>
      <x:c r="G637" s="232" t="n">
        <x:v>8666290.44</x:v>
      </x:c>
      <x:c r="H637" s="232" t="n">
        <x:v>4836297.78</x:v>
      </x:c>
      <x:c r="I637" s="232" t="n">
        <x:v>2584164.52</x:v>
      </x:c>
      <x:c r="J637" s="232" t="n">
        <x:v>38419843.04</x:v>
      </x:c>
      <x:c r="K637" s="232" t="n">
        <x:v>1269098.39</x:v>
      </x:c>
      <x:c r="L637" s="232" t="n">
        <x:v>0</x:v>
      </x:c>
      <x:c r="M637" s="232" t="n">
        <x:v>11146402.07</x:v>
      </x:c>
      <x:c r="N637" s="232" t="n">
        <x:v>10565640.77</x:v>
      </x:c>
      <x:c r="O637" s="232" t="n">
        <x:v>54685399.63</x:v>
      </x:c>
      <x:c r="P637" s="232" t="n">
        <x:v>25943616.44</x:v>
      </x:c>
      <x:c r="Q637" s="232" t="n">
        <x:v>2070340.36</x:v>
      </x:c>
      <x:c r="R637" s="232" t="n">
        <x:v>-206.46</x:v>
      </x:c>
      <x:c r="S637" s="232" t="n">
        <x:v>-0.01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>
        <x:v>0</x:v>
      </x:c>
    </x:row>
    <x:row r="638" spans="1:26" ht="12.75" customHeight="1" x14ac:dyDescent="0.3">
      <x:c r="E638" s="89" t="s">
        <x:v>72</x:v>
      </x:c>
      <x:c r="F638" s="371" t="n">
        <x:v>18917966.41</x:v>
      </x:c>
      <x:c r="G638" s="90" t="n">
        <x:v>988150.54</x:v>
      </x:c>
      <x:c r="H638" s="90" t="n">
        <x:v>548361.94</x:v>
      </x:c>
      <x:c r="I638" s="90" t="n">
        <x:v>294164.36</x:v>
      </x:c>
      <x:c r="J638" s="90" t="n">
        <x:v>3136320.25</x:v>
      </x:c>
      <x:c r="K638" s="90" t="n">
        <x:v>134782.33</x:v>
      </x:c>
      <x:c r="L638" s="90" t="n">
        <x:v>0</x:v>
      </x:c>
      <x:c r="M638" s="90" t="n">
        <x:v>1191960.92</x:v>
      </x:c>
      <x:c r="N638" s="90" t="n">
        <x:v>1455905.71</x:v>
      </x:c>
      <x:c r="O638" s="90" t="n">
        <x:v>7986093.3</x:v>
      </x:c>
      <x:c r="P638" s="90" t="n">
        <x:v>2960122.74</x:v>
      </x:c>
      <x:c r="Q638" s="90" t="n">
        <x:v>222255.94</x:v>
      </x:c>
      <x:c r="R638" s="90" t="n">
        <x:v>-151.62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>
        <x:v>0</x:v>
      </x:c>
    </x:row>
    <x:row r="639" spans="1:26" ht="12.75" customHeight="1" x14ac:dyDescent="0.3">
      <x:c r="E639" s="89" t="s">
        <x:v>81</x:v>
      </x:c>
      <x:c r="F639" s="90" t="n">
        <x:v>126929.22</x:v>
      </x:c>
      <x:c r="G639" s="90" t="n">
        <x:v>7200.68</x:v>
      </x:c>
      <x:c r="H639" s="90" t="n">
        <x:v>3836.23</x:v>
      </x:c>
      <x:c r="I639" s="90" t="n">
        <x:v>2053.48</x:v>
      </x:c>
      <x:c r="J639" s="90" t="n">
        <x:v>21877.84</x:v>
      </x:c>
      <x:c r="K639" s="90" t="n">
        <x:v>960.57</x:v>
      </x:c>
      <x:c r="L639" s="90" t="n">
        <x:v>0</x:v>
      </x:c>
      <x:c r="M639" s="90" t="n">
        <x:v>8419.79</x:v>
      </x:c>
      <x:c r="N639" s="90" t="n">
        <x:v>9443.19</x:v>
      </x:c>
      <x:c r="O639" s="90" t="n">
        <x:v>50077.47</x:v>
      </x:c>
      <x:c r="P639" s="90" t="n">
        <x:v>21452.68</x:v>
      </x:c>
      <x:c r="Q639" s="90" t="n">
        <x:v>1607.37</x:v>
      </x:c>
      <x:c r="R639" s="90" t="n">
        <x:v>-0.12</x:v>
      </x:c>
      <x:c r="S639" s="90" t="n">
        <x:v>-0.02</x:v>
      </x:c>
      <x:c r="T639" t="n">
        <x:v>0.06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>
        <x:v>0</x:v>
      </x:c>
    </x:row>
    <x:row r="640" spans="1:26" ht="12.75" customHeight="1" x14ac:dyDescent="0.3">
      <x:c r="D640" s="89" t="s">
        <x:v>82</x:v>
      </x:c>
      <x:c r="E640" s="89" t="s">
        <x:v>70</x:v>
      </x:c>
      <x:c r="F640" s="90" t="n">
        <x:v>19044895.63</x:v>
      </x:c>
      <x:c r="G640" s="90" t="n">
        <x:v>995351.22</x:v>
      </x:c>
      <x:c r="H640" s="90" t="n">
        <x:v>552198.17</x:v>
      </x:c>
      <x:c r="I640" s="90" t="n">
        <x:v>296217.84</x:v>
      </x:c>
      <x:c r="J640" s="90" t="n">
        <x:v>3158198.09</x:v>
      </x:c>
      <x:c r="K640" s="90" t="n">
        <x:v>135742.9</x:v>
      </x:c>
      <x:c r="L640" s="90" t="n">
        <x:v>0</x:v>
      </x:c>
      <x:c r="M640" s="90" t="n">
        <x:v>1200380.71</x:v>
      </x:c>
      <x:c r="N640" s="90" t="n">
        <x:v>1465348.9</x:v>
      </x:c>
      <x:c r="O640" s="90" t="n">
        <x:v>8036170.77</x:v>
      </x:c>
      <x:c r="P640" s="90" t="n">
        <x:v>2981575.42</x:v>
      </x:c>
      <x:c r="Q640" s="90" t="n">
        <x:v>223863.31</x:v>
      </x:c>
      <x:c r="R640" s="90" t="n">
        <x:v>-151.74</x:v>
      </x:c>
      <x:c r="S640" s="90" t="n">
        <x:v>-0.02</x:v>
      </x:c>
      <x:c r="T640" t="n">
        <x:v>0.06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>
        <x:v>0</x:v>
      </x:c>
    </x:row>
    <x:row r="641" spans="1:26" ht="12.75" customHeight="1" x14ac:dyDescent="0.3">
      <x:c r="C641" s="89"/>
      <x:c r="D641" s="89"/>
      <x:c r="E641" t="s">
        <x:v>72</x:v>
      </x:c>
      <x:c r="F641" s="90" t="n">
        <x:v>16231726.5</x:v>
      </x:c>
      <x:c r="G641" s="90" t="n">
        <x:v>898028.7</x:v>
      </x:c>
      <x:c r="H641" s="90" t="n">
        <x:v>469286.58</x:v>
      </x:c>
      <x:c r="I641" s="90" t="n">
        <x:v>261201.9</x:v>
      </x:c>
      <x:c r="J641" s="90" t="n">
        <x:v>1931111.49</x:v>
      </x:c>
      <x:c r="K641" s="90" t="n">
        <x:v>149676.92</x:v>
      </x:c>
      <x:c r="L641" s="90" t="n">
        <x:v>0</x:v>
      </x:c>
      <x:c r="M641" s="90" t="n">
        <x:v>1372648.24</x:v>
      </x:c>
      <x:c r="N641" s="90" t="n">
        <x:v>1260202.22</x:v>
      </x:c>
      <x:c r="O641" s="90" t="n">
        <x:v>6967779.84</x:v>
      </x:c>
      <x:c r="P641" s="90" t="n">
        <x:v>2678122.74</x:v>
      </x:c>
      <x:c r="Q641" s="90" t="n">
        <x:v>243826.32</x:v>
      </x:c>
      <x:c r="R641" s="90" t="n">
        <x:v>-158.45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>
        <x:v>0</x:v>
      </x:c>
    </x:row>
    <x:row r="642" spans="1:26" ht="12.75" customHeight="1" x14ac:dyDescent="0.3">
      <x:c r="B642" s="89"/>
      <x:c r="C642" s="89"/>
      <x:c r="E642" t="s">
        <x:v>81</x:v>
      </x:c>
      <x:c r="F642" s="90" t="n">
        <x:v>585509.71</x:v>
      </x:c>
      <x:c r="G642" s="90" t="n">
        <x:v>37135.1</x:v>
      </x:c>
      <x:c r="H642" s="90" t="n">
        <x:v>18090.99</x:v>
      </x:c>
      <x:c r="I642" s="90" t="n">
        <x:v>9334.49</x:v>
      </x:c>
      <x:c r="J642" s="90" t="n">
        <x:v>118479.91</x:v>
      </x:c>
      <x:c r="K642" s="90" t="n">
        <x:v>5190.29</x:v>
      </x:c>
      <x:c r="L642" s="90" t="n">
        <x:v>0</x:v>
      </x:c>
      <x:c r="M642" s="90" t="n">
        <x:v>46884.97</x:v>
      </x:c>
      <x:c r="N642" s="90" t="n">
        <x:v>41453.95</x:v>
      </x:c>
      <x:c r="O642" s="90" t="n">
        <x:v>190269.04</x:v>
      </x:c>
      <x:c r="P642" s="90" t="n">
        <x:v>110198.84</x:v>
      </x:c>
      <x:c r="Q642" s="90" t="n">
        <x:v>8468.46</x:v>
      </x:c>
      <x:c r="R642" s="90" t="n">
        <x:v>3.64</x:v>
      </x:c>
      <x:c r="S642" s="90" t="n">
        <x:v>0</x:v>
      </x:c>
      <x:c r="T642" t="n">
        <x:v>0.03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>
        <x:v>0</x:v>
      </x:c>
    </x:row>
    <x:row r="643" spans="1:26" ht="12.75" customHeight="1" x14ac:dyDescent="0.3">
      <x:c r="A643" s="89"/>
      <x:c r="B643" s="89"/>
      <x:c r="D643" t="s">
        <x:v>86</x:v>
      </x:c>
      <x:c r="E643" t="s">
        <x:v>70</x:v>
      </x:c>
      <x:c r="F643" s="90" t="n">
        <x:v>16817236.21</x:v>
      </x:c>
      <x:c r="G643" s="90" t="n">
        <x:v>935163.8</x:v>
      </x:c>
      <x:c r="H643" s="90" t="n">
        <x:v>487377.57</x:v>
      </x:c>
      <x:c r="I643" s="90" t="n">
        <x:v>270536.39</x:v>
      </x:c>
      <x:c r="J643" s="90" t="n">
        <x:v>2049591.4</x:v>
      </x:c>
      <x:c r="K643" s="90" t="n">
        <x:v>154867.21</x:v>
      </x:c>
      <x:c r="L643" s="90" t="n">
        <x:v>0</x:v>
      </x:c>
      <x:c r="M643" s="90" t="n">
        <x:v>1419533.21</x:v>
      </x:c>
      <x:c r="N643" s="90" t="n">
        <x:v>1301656.17</x:v>
      </x:c>
      <x:c r="O643" s="90" t="n">
        <x:v>7158048.88</x:v>
      </x:c>
      <x:c r="P643" s="90" t="n">
        <x:v>2788321.58</x:v>
      </x:c>
      <x:c r="Q643" s="90" t="n">
        <x:v>252294.78</x:v>
      </x:c>
      <x:c r="R643" s="90" t="n">
        <x:v>-154.81</x:v>
      </x:c>
      <x:c r="S643" s="90" t="n">
        <x:v>0</x:v>
      </x:c>
      <x:c r="T643" t="n">
        <x:v>0.03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>
        <x:v>0</x:v>
      </x:c>
    </x:row>
    <x:row r="644" spans="1:26" ht="12.75" customHeight="1" x14ac:dyDescent="0.3">
      <x:c r="E644" s="89" t="s">
        <x:v>72</x:v>
      </x:c>
      <x:c r="F644" s="90" t="n">
        <x:v>95111405.43</x:v>
      </x:c>
      <x:c r="G644" s="90" t="n">
        <x:v>13716794.96</x:v>
      </x:c>
      <x:c r="H644" s="90" t="n">
        <x:v>7538723.1</x:v>
      </x:c>
      <x:c r="I644" s="90" t="n">
        <x:v>4037358.33</x:v>
      </x:c>
      <x:c r="J644" s="90" t="n">
        <x:v>7300355.76</x:v>
      </x:c>
      <x:c r="K644" s="90" t="n">
        <x:v>227689.37</x:v>
      </x:c>
      <x:c r="L644" s="90" t="n">
        <x:v>1725000</x:v>
      </x:c>
      <x:c r="M644" s="90" t="n">
        <x:v>2006777.02</x:v>
      </x:c>
      <x:c r="N644" s="90" t="n">
        <x:v>2777643.4</x:v>
      </x:c>
      <x:c r="O644" s="90" t="n">
        <x:v>14591870.9</x:v>
      </x:c>
      <x:c r="P644" s="90" t="n">
        <x:v>40814334.9</x:v>
      </x:c>
      <x:c r="Q644" s="90" t="n">
        <x:v>375261.73</x:v>
      </x:c>
      <x:c r="R644" s="90" t="n">
        <x:v>-404.04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>
        <x:v>0</x:v>
      </x:c>
    </x:row>
    <x:row r="645" spans="1:26" ht="12.75" customHeight="1" x14ac:dyDescent="0.3">
      <x:c r="A645" s="89"/>
      <x:c r="B645" s="89"/>
      <x:c r="E645" t="s">
        <x:v>81</x:v>
      </x:c>
      <x:c r="F645" s="90" t="n">
        <x:v>3638579.87</x:v>
      </x:c>
      <x:c r="G645" s="90" t="n">
        <x:v>605626.59</x:v>
      </x:c>
      <x:c r="H645" s="90" t="n">
        <x:v>304312.49</x:v>
      </x:c>
      <x:c r="I645" s="90" t="n">
        <x:v>165596.28</x:v>
      </x:c>
      <x:c r="J645" s="90" t="n">
        <x:v>180985.28</x:v>
      </x:c>
      <x:c r="K645" s="90" t="n">
        <x:v>5191.66</x:v>
      </x:c>
      <x:c r="L645" s="90" t="n">
        <x:v>183241.19</x:v>
      </x:c>
      <x:c r="M645" s="90" t="n">
        <x:v>45282.16</x:v>
      </x:c>
      <x:c r="N645" s="90" t="n">
        <x:v>59930.97</x:v>
      </x:c>
      <x:c r="O645" s="90" t="n">
        <x:v>283354.87</x:v>
      </x:c>
      <x:c r="P645" s="90" t="n">
        <x:v>1796526.34</x:v>
      </x:c>
      <x:c r="Q645" s="90" t="n">
        <x:v>8534.06</x:v>
      </x:c>
      <x:c r="R645" s="90" t="n">
        <x:v>-2</x:v>
      </x:c>
      <x:c r="S645" s="90" t="n">
        <x:v>-0.02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>
        <x:v>0</x:v>
      </x:c>
    </x:row>
    <x:row r="646" spans="1:26" ht="12.75" customHeight="1" x14ac:dyDescent="0.3">
      <x:c r="D646" t="s">
        <x:v>87</x:v>
      </x:c>
      <x:c r="E646" s="89" t="s">
        <x:v>70</x:v>
      </x:c>
      <x:c r="F646" s="90" t="n">
        <x:v>98749985.3</x:v>
      </x:c>
      <x:c r="G646" s="90" t="n">
        <x:v>14322421.55</x:v>
      </x:c>
      <x:c r="H646" s="90" t="n">
        <x:v>7843035.59</x:v>
      </x:c>
      <x:c r="I646" s="90" t="n">
        <x:v>4202954.61</x:v>
      </x:c>
      <x:c r="J646" s="90" t="n">
        <x:v>7481341.04</x:v>
      </x:c>
      <x:c r="K646" s="90" t="n">
        <x:v>232881.03</x:v>
      </x:c>
      <x:c r="L646" s="90" t="n">
        <x:v>1908241.19</x:v>
      </x:c>
      <x:c r="M646" s="90" t="n">
        <x:v>2052059.18</x:v>
      </x:c>
      <x:c r="N646" s="90" t="n">
        <x:v>2837574.37</x:v>
      </x:c>
      <x:c r="O646" s="90" t="n">
        <x:v>14875225.77</x:v>
      </x:c>
      <x:c r="P646" s="90" t="n">
        <x:v>42610861.24</x:v>
      </x:c>
      <x:c r="Q646" s="90" t="n">
        <x:v>383795.79</x:v>
      </x:c>
      <x:c r="R646" s="90" t="n">
        <x:v>-406.04</x:v>
      </x:c>
      <x:c r="S646" s="90" t="n">
        <x:v>-0.02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>
        <x:v>0</x:v>
      </x:c>
    </x:row>
    <x:row r="647" spans="1:26" s="94" customFormat="1" ht="12.75" customHeight="1" x14ac:dyDescent="0.3">
      <x:c r="A647" s="101"/>
      <x:c r="B647" s="101"/>
      <x:c r="C647" s="94" t="s">
        <x:v>119</x:v>
      </x:c>
      <x:c r="D647" s="94" t="s">
        <x:v>70</x:v>
      </x:c>
      <x:c r="F647" s="93" t="n">
        <x:v>134612117.14</x:v>
      </x:c>
      <x:c r="G647" s="93" t="n">
        <x:v>16252936.57</x:v>
      </x:c>
      <x:c r="H647" s="93" t="n">
        <x:v>8882611.33</x:v>
      </x:c>
      <x:c r="I647" s="93" t="n">
        <x:v>4769708.84</x:v>
      </x:c>
      <x:c r="J647" s="93" t="n">
        <x:v>12689130.53</x:v>
      </x:c>
      <x:c r="K647" s="93" t="n">
        <x:v>523491.14</x:v>
      </x:c>
      <x:c r="L647" s="93" t="n">
        <x:v>1908241.19</x:v>
      </x:c>
      <x:c r="M647" s="93" t="n">
        <x:v>4671973.1</x:v>
      </x:c>
      <x:c r="N647" s="93" t="n">
        <x:v>5604579.44</x:v>
      </x:c>
      <x:c r="O647" s="93" t="n">
        <x:v>30069445.42</x:v>
      </x:c>
      <x:c r="P647" s="93" t="n">
        <x:v>48380758.24</x:v>
      </x:c>
      <x:c r="Q647" s="93" t="n">
        <x:v>859953.88</x:v>
      </x:c>
      <x:c r="R647" s="93" t="n">
        <x:v>-712.59</x:v>
      </x:c>
      <x:c r="S647" s="93" t="n">
        <x:v>-0.04</x:v>
      </x:c>
      <x:c r="T647" s="94" t="n">
        <x:v>0.09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>
        <x:v>0</x:v>
      </x:c>
    </x:row>
    <x:row r="648" spans="1:26" s="226" customFormat="1" ht="12.75" customHeight="1" x14ac:dyDescent="0.3">
      <x:c r="B648" s="226" t="s">
        <x:v>112</x:v>
      </x:c>
      <x:c r="C648" s="226" t="s">
        <x:v>70</x:v>
      </x:c>
      <x:c r="E648" s="98"/>
      <x:c r="F648" s="100" t="n">
        <x:v>7709009949</x:v>
      </x:c>
      <x:c r="G648" s="100" t="n">
        <x:v>408145471.8</x:v>
      </x:c>
      <x:c r="H648" s="100" t="n">
        <x:v>227118040.73</x:v>
      </x:c>
      <x:c r="I648" s="100" t="n">
        <x:v>120841029.03</x:v>
      </x:c>
      <x:c r="J648" s="100" t="n">
        <x:v>1864267894.64</x:v>
      </x:c>
      <x:c r="K648" s="100" t="n">
        <x:v>62073126.83</x:v>
      </x:c>
      <x:c r="L648" s="100" t="n">
        <x:v>12379938.06</x:v>
      </x:c>
      <x:c r="M648" s="100" t="n">
        <x:v>544684335.77</x:v>
      </x:c>
      <x:c r="N648" s="100" t="n">
        <x:v>512958805.74</x:v>
      </x:c>
      <x:c r="O648" s="100" t="n">
        <x:v>2640560444.65</x:v>
      </x:c>
      <x:c r="P648" s="100" t="n">
        <x:v>1214677726.37</x:v>
      </x:c>
      <x:c r="Q648" s="100" t="n">
        <x:v>101292451</x:v>
      </x:c>
      <x:c r="R648" s="100" t="n">
        <x:v>10679.52</x:v>
      </x:c>
      <x:c r="S648" s="100" t="n">
        <x:v>-0.05</x:v>
      </x:c>
      <x:c r="T648" s="226" t="n">
        <x:v>4.91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>
        <x:v>0</x:v>
      </x:c>
    </x:row>
    <x:row r="649" spans="1:26" ht="13.5" customHeight="1" x14ac:dyDescent="0.3">
      <x:c r="A649" t="s">
        <x:v>78</x:v>
      </x:c>
      <x:c r="B649" t="s">
        <x:v>70</x:v>
      </x:c>
      <x:c r="E649" s="89"/>
      <x:c r="F649" s="90" t="n">
        <x:v>7709009949</x:v>
      </x:c>
      <x:c r="G649" s="90" t="n">
        <x:v>408145471.8</x:v>
      </x:c>
      <x:c r="H649" s="90" t="n">
        <x:v>227118040.73</x:v>
      </x:c>
      <x:c r="I649" s="90" t="n">
        <x:v>120841029.03</x:v>
      </x:c>
      <x:c r="J649" s="90" t="n">
        <x:v>1864267894.64</x:v>
      </x:c>
      <x:c r="K649" s="90" t="n">
        <x:v>62073126.83</x:v>
      </x:c>
      <x:c r="L649" s="90" t="n">
        <x:v>12379938.06</x:v>
      </x:c>
      <x:c r="M649" s="90" t="n">
        <x:v>544684335.77</x:v>
      </x:c>
      <x:c r="N649" s="90" t="n">
        <x:v>512958805.74</x:v>
      </x:c>
      <x:c r="O649" s="90" t="n">
        <x:v>2640560444.65</x:v>
      </x:c>
      <x:c r="P649" s="90" t="n">
        <x:v>1214677726.37</x:v>
      </x:c>
      <x:c r="Q649" s="90" t="n">
        <x:v>101292451</x:v>
      </x:c>
      <x:c r="R649" s="90" t="n">
        <x:v>10679.52</x:v>
      </x:c>
      <x:c r="S649" s="90" t="n">
        <x:v>-0.05</x:v>
      </x:c>
      <x:c r="T649" t="n">
        <x:v>4.91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>
        <x:v>0</x:v>
      </x:c>
    </x:row>
    <x:row r="650" spans="1:26" x14ac:dyDescent="0.3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3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3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3">
      <x:c r="E653" t="s">
        <x:v>73</x:v>
      </x:c>
      <x:c r="F653" s="90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>
        <x:v>0</x:v>
      </x:c>
    </x:row>
    <x:row r="654" spans="1:26" x14ac:dyDescent="0.3">
      <x:c r="D654" t="s">
        <x:v>82</x:v>
      </x:c>
      <x:c r="E654" t="s">
        <x:v>70</x:v>
      </x:c>
      <x:c r="F654" s="90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>
        <x:v>0</x:v>
      </x:c>
    </x:row>
    <x:row r="655" spans="1:26" x14ac:dyDescent="0.3">
      <x:c r="E655" t="s">
        <x:v>73</x:v>
      </x:c>
      <x:c r="F655" s="90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>
        <x:v>0</x:v>
      </x:c>
    </x:row>
    <x:row r="656" spans="1:26" x14ac:dyDescent="0.3">
      <x:c r="D656" t="s">
        <x:v>86</x:v>
      </x:c>
      <x:c r="E656" t="s">
        <x:v>70</x:v>
      </x:c>
      <x:c r="F656" s="90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>
        <x:v>0</x:v>
      </x:c>
    </x:row>
    <x:row r="657" spans="1:26" x14ac:dyDescent="0.3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3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3">
      <x:c r="C659" s="101" t="s">
        <x:v>119</x:v>
      </x:c>
      <x:c r="D659" s="101" t="s">
        <x:v>70</x:v>
      </x:c>
      <x:c r="F659" s="93">
        <x:v>0</x:v>
      </x:c>
      <x:c r="G659" s="93">
        <x:v>0</x:v>
      </x:c>
      <x:c r="H659" s="93">
        <x:v>0</x:v>
      </x:c>
      <x:c r="I659" s="93">
        <x:v>0</x:v>
      </x:c>
      <x:c r="J659" s="93">
        <x:v>0</x:v>
      </x:c>
      <x:c r="K659" s="93">
        <x:v>0</x:v>
      </x:c>
      <x:c r="L659" s="93">
        <x:v>0</x:v>
      </x:c>
      <x:c r="M659" s="93">
        <x:v>0</x:v>
      </x:c>
      <x:c r="N659" s="93">
        <x:v>0</x:v>
      </x:c>
      <x:c r="O659" s="93">
        <x:v>0</x:v>
      </x:c>
      <x:c r="P659" s="93">
        <x:v>0</x:v>
      </x:c>
      <x:c r="Q659" s="93">
        <x:v>0</x:v>
      </x:c>
      <x:c r="R659" s="93">
        <x:v>0</x:v>
      </x:c>
      <x:c r="S659" s="93">
        <x:v>0</x:v>
      </x:c>
      <x:c r="T659" s="93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>
        <x:v>0</x:v>
      </x:c>
    </x:row>
    <x:row r="660" spans="1:26" s="378" customFormat="1" ht="12.75" customHeight="1" x14ac:dyDescent="0.3">
      <x:c r="B660" s="378" t="s">
        <x:v>122</x:v>
      </x:c>
      <x:c r="C660" s="378" t="s">
        <x:v>70</x:v>
      </x:c>
      <x:c r="E660" s="376"/>
      <x:c r="F660" s="710">
        <x:v>0</x:v>
      </x:c>
      <x:c r="G660" s="377">
        <x:v>0</x:v>
      </x:c>
      <x:c r="H660" s="377">
        <x:v>0</x:v>
      </x:c>
      <x:c r="I660" s="377">
        <x:v>0</x:v>
      </x:c>
      <x:c r="J660" s="377">
        <x:v>0</x:v>
      </x:c>
      <x:c r="K660" s="377">
        <x:v>0</x:v>
      </x:c>
      <x:c r="L660" s="377">
        <x:v>0</x:v>
      </x:c>
      <x:c r="M660" s="377">
        <x:v>0</x:v>
      </x:c>
      <x:c r="N660" s="377">
        <x:v>0</x:v>
      </x:c>
      <x:c r="O660" s="377">
        <x:v>0</x:v>
      </x:c>
      <x:c r="P660" s="377">
        <x:v>0</x:v>
      </x:c>
      <x:c r="Q660" s="377">
        <x:v>0</x:v>
      </x:c>
      <x:c r="R660" s="377">
        <x:v>0</x:v>
      </x:c>
      <x:c r="S660" s="377">
        <x:v>0</x:v>
      </x:c>
      <x:c r="T660" s="377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>
        <x:v>0</x:v>
      </x:c>
    </x:row>
    <x:row r="661" spans="1:26" ht="12.75" customHeight="1" x14ac:dyDescent="0.3">
      <x:c r="E661" s="89" t="s">
        <x:v>73</x:v>
      </x:c>
      <x:c r="F661" s="371" t="n">
        <x:v>-170561819.89</x:v>
      </x:c>
      <x:c r="G661" s="90" t="n">
        <x:v>10753191.92</x:v>
      </x:c>
      <x:c r="H661" s="90" t="n">
        <x:v>5971219.08</x:v>
      </x:c>
      <x:c r="I661" s="90" t="n">
        <x:v>3173606.36</x:v>
      </x:c>
      <x:c r="J661" s="90" t="n">
        <x:v>-72995240.97</x:v>
      </x:c>
      <x:c r="K661" s="90" t="n">
        <x:v>-2462189.9</x:v>
      </x:c>
      <x:c r="L661" s="90" t="n">
        <x:v>0</x:v>
      </x:c>
      <x:c r="M661" s="90" t="n">
        <x:v>-21620596.43</x:v>
      </x:c>
      <x:c r="N661" s="90" t="n">
        <x:v>-20865967.76</x:v>
      </x:c>
      <x:c r="O661" s="90" t="n">
        <x:v>-100905954.38</x:v>
      </x:c>
      <x:c r="P661" s="90" t="n">
        <x:v>32409631.54</x:v>
      </x:c>
      <x:c r="Q661" s="90" t="n">
        <x:v>-4019519.35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>
        <x:v>0</x:v>
      </x:c>
    </x:row>
    <x:row r="662" spans="1:26" ht="12.75" customHeight="1" x14ac:dyDescent="0.3">
      <x:c r="D662" t="s">
        <x:v>156</x:v>
      </x:c>
      <x:c r="E662" s="89" t="s">
        <x:v>70</x:v>
      </x:c>
      <x:c r="F662" s="371" t="n">
        <x:v>-170561819.89</x:v>
      </x:c>
      <x:c r="G662" s="90" t="n">
        <x:v>10753191.92</x:v>
      </x:c>
      <x:c r="H662" s="90" t="n">
        <x:v>5971219.08</x:v>
      </x:c>
      <x:c r="I662" s="90" t="n">
        <x:v>3173606.36</x:v>
      </x:c>
      <x:c r="J662" s="90" t="n">
        <x:v>-72995240.97</x:v>
      </x:c>
      <x:c r="K662" s="90" t="n">
        <x:v>-2462189.9</x:v>
      </x:c>
      <x:c r="L662" s="90" t="n">
        <x:v>0</x:v>
      </x:c>
      <x:c r="M662" s="90" t="n">
        <x:v>-21620596.43</x:v>
      </x:c>
      <x:c r="N662" s="90" t="n">
        <x:v>-20865967.76</x:v>
      </x:c>
      <x:c r="O662" s="90" t="n">
        <x:v>-100905954.38</x:v>
      </x:c>
      <x:c r="P662" s="90" t="n">
        <x:v>32409631.54</x:v>
      </x:c>
      <x:c r="Q662" s="90" t="n">
        <x:v>-4019519.35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>
        <x:v>0</x:v>
      </x:c>
    </x:row>
    <x:row r="663" spans="1:26" s="656" customFormat="1" ht="12.75" customHeight="1" x14ac:dyDescent="0.3">
      <x:c r="A663" s="657"/>
      <x:c r="B663" s="657"/>
      <x:c r="C663" s="656" t="s">
        <x:v>155</x:v>
      </x:c>
      <x:c r="D663" s="656" t="s">
        <x:v>70</x:v>
      </x:c>
      <x:c r="F663" s="658" t="n">
        <x:v>-170561819.89</x:v>
      </x:c>
      <x:c r="G663" s="658" t="n">
        <x:v>10753191.92</x:v>
      </x:c>
      <x:c r="H663" s="658" t="n">
        <x:v>5971219.08</x:v>
      </x:c>
      <x:c r="I663" s="658" t="n">
        <x:v>3173606.36</x:v>
      </x:c>
      <x:c r="J663" s="658" t="n">
        <x:v>-72995240.97</x:v>
      </x:c>
      <x:c r="K663" s="658" t="n">
        <x:v>-2462189.9</x:v>
      </x:c>
      <x:c r="L663" s="658" t="n">
        <x:v>0</x:v>
      </x:c>
      <x:c r="M663" s="658" t="n">
        <x:v>-21620596.43</x:v>
      </x:c>
      <x:c r="N663" s="658" t="n">
        <x:v>-20865967.76</x:v>
      </x:c>
      <x:c r="O663" s="658" t="n">
        <x:v>-100905954.38</x:v>
      </x:c>
      <x:c r="P663" s="658" t="n">
        <x:v>32409631.54</x:v>
      </x:c>
      <x:c r="Q663" s="658" t="n">
        <x:v>-4019519.35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>
        <x:v>0</x:v>
      </x:c>
    </x:row>
    <x:row r="664" spans="1:26" ht="12.75" customHeight="1" x14ac:dyDescent="0.3">
      <x:c r="E664" s="89" t="s">
        <x:v>73</x:v>
      </x:c>
      <x:c r="F664" s="371" t="n">
        <x:v>-20676306.97</x:v>
      </x:c>
      <x:c r="G664" s="90" t="n">
        <x:v>-1030955.54</x:v>
      </x:c>
      <x:c r="H664" s="90" t="n">
        <x:v>-574040.59</x:v>
      </x:c>
      <x:c r="I664" s="90" t="n">
        <x:v>-305319.3</x:v>
      </x:c>
      <x:c r="J664" s="90" t="n">
        <x:v>-5151792.1</x:v>
      </x:c>
      <x:c r="K664" s="90" t="n">
        <x:v>-169399.72</x:v>
      </x:c>
      <x:c r="L664" s="90" t="n">
        <x:v>0</x:v>
      </x:c>
      <x:c r="M664" s="90" t="n">
        <x:v>-1485911.9</x:v>
      </x:c>
      <x:c r="N664" s="90" t="n">
        <x:v>-1420513.45</x:v>
      </x:c>
      <x:c r="O664" s="90" t="n">
        <x:v>-7189457.94</x:v>
      </x:c>
      <x:c r="P664" s="90" t="n">
        <x:v>-3072537.16</x:v>
      </x:c>
      <x:c r="Q664" s="90" t="n">
        <x:v>-276379.27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>
        <x:v>0</x:v>
      </x:c>
    </x:row>
    <x:row r="665" spans="1:26" ht="12.75" customHeight="1" x14ac:dyDescent="0.3">
      <x:c r="D665" t="s">
        <x:v>156</x:v>
      </x:c>
      <x:c r="E665" s="89" t="s">
        <x:v>70</x:v>
      </x:c>
      <x:c r="F665" s="371" t="n">
        <x:v>-20676306.97</x:v>
      </x:c>
      <x:c r="G665" s="90" t="n">
        <x:v>-1030955.54</x:v>
      </x:c>
      <x:c r="H665" s="90" t="n">
        <x:v>-574040.59</x:v>
      </x:c>
      <x:c r="I665" s="90" t="n">
        <x:v>-305319.3</x:v>
      </x:c>
      <x:c r="J665" s="90" t="n">
        <x:v>-5151792.1</x:v>
      </x:c>
      <x:c r="K665" s="90" t="n">
        <x:v>-169399.72</x:v>
      </x:c>
      <x:c r="L665" s="90" t="n">
        <x:v>0</x:v>
      </x:c>
      <x:c r="M665" s="90" t="n">
        <x:v>-1485911.9</x:v>
      </x:c>
      <x:c r="N665" s="90" t="n">
        <x:v>-1420513.45</x:v>
      </x:c>
      <x:c r="O665" s="90" t="n">
        <x:v>-7189457.94</x:v>
      </x:c>
      <x:c r="P665" s="90" t="n">
        <x:v>-3072537.16</x:v>
      </x:c>
      <x:c r="Q665" s="90" t="n">
        <x:v>-276379.27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>
        <x:v>0</x:v>
      </x:c>
    </x:row>
    <x:row r="666" spans="1:26" s="739" customFormat="1" ht="12.75" customHeight="1" x14ac:dyDescent="0.3">
      <x:c r="C666" s="739" t="s">
        <x:v>326</x:v>
      </x:c>
      <x:c r="D666" s="739" t="s">
        <x:v>70</x:v>
      </x:c>
      <x:c r="E666" s="231"/>
      <x:c r="F666" s="740" t="n">
        <x:v>-20676306.97</x:v>
      </x:c>
      <x:c r="G666" s="232" t="n">
        <x:v>-1030955.54</x:v>
      </x:c>
      <x:c r="H666" s="232" t="n">
        <x:v>-574040.59</x:v>
      </x:c>
      <x:c r="I666" s="232" t="n">
        <x:v>-305319.3</x:v>
      </x:c>
      <x:c r="J666" s="232" t="n">
        <x:v>-5151792.1</x:v>
      </x:c>
      <x:c r="K666" s="232" t="n">
        <x:v>-169399.72</x:v>
      </x:c>
      <x:c r="L666" s="232" t="n">
        <x:v>0</x:v>
      </x:c>
      <x:c r="M666" s="232" t="n">
        <x:v>-1485911.9</x:v>
      </x:c>
      <x:c r="N666" s="232" t="n">
        <x:v>-1420513.45</x:v>
      </x:c>
      <x:c r="O666" s="232" t="n">
        <x:v>-7189457.94</x:v>
      </x:c>
      <x:c r="P666" s="232" t="n">
        <x:v>-3072537.16</x:v>
      </x:c>
      <x:c r="Q666" s="232" t="n">
        <x:v>-276379.27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>
        <x:v>0</x:v>
      </x:c>
    </x:row>
    <x:row r="667" spans="1:26" ht="12.75" customHeight="1" x14ac:dyDescent="0.3">
      <x:c r="E667" s="89" t="s">
        <x:v>73</x:v>
      </x:c>
      <x:c r="F667" s="371" t="n">
        <x:v>191228.37</x:v>
      </x:c>
      <x:c r="G667" s="90" t="n">
        <x:v>133039.57</x:v>
      </x:c>
      <x:c r="H667" s="90" t="n">
        <x:v>75310.73</x:v>
      </x:c>
      <x:c r="I667" s="90" t="n">
        <x:v>39747.31</x:v>
      </x:c>
      <x:c r="J667" s="90" t="n">
        <x:v>-39777.11</x:v>
      </x:c>
      <x:c r="K667" s="90" t="n">
        <x:v>-4210.01</x:v>
      </x:c>
      <x:c r="L667" s="90" t="n">
        <x:v>0</x:v>
      </x:c>
      <x:c r="M667" s="90" t="n">
        <x:v>-36921.14</x:v>
      </x:c>
      <x:c r="N667" s="90" t="n">
        <x:v>-53891.47</x:v>
      </x:c>
      <x:c r="O667" s="90" t="n">
        <x:v>-311814.94</x:v>
      </x:c>
      <x:c r="P667" s="90" t="n">
        <x:v>396614.53</x:v>
      </x:c>
      <x:c r="Q667" s="90" t="n">
        <x:v>-6869.1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>
        <x:v>0</x:v>
      </x:c>
    </x:row>
    <x:row r="668" spans="1:26" ht="12.75" customHeight="1" x14ac:dyDescent="0.3">
      <x:c r="D668" s="89" t="s">
        <x:v>82</x:v>
      </x:c>
      <x:c r="E668" s="89" t="s">
        <x:v>70</x:v>
      </x:c>
      <x:c r="F668" s="90" t="n">
        <x:v>191228.37</x:v>
      </x:c>
      <x:c r="G668" s="90" t="n">
        <x:v>133039.57</x:v>
      </x:c>
      <x:c r="H668" s="90" t="n">
        <x:v>75310.73</x:v>
      </x:c>
      <x:c r="I668" s="90" t="n">
        <x:v>39747.31</x:v>
      </x:c>
      <x:c r="J668" s="90" t="n">
        <x:v>-39777.11</x:v>
      </x:c>
      <x:c r="K668" s="90" t="n">
        <x:v>-4210.01</x:v>
      </x:c>
      <x:c r="L668" s="90" t="n">
        <x:v>0</x:v>
      </x:c>
      <x:c r="M668" s="90" t="n">
        <x:v>-36921.14</x:v>
      </x:c>
      <x:c r="N668" s="90" t="n">
        <x:v>-53891.47</x:v>
      </x:c>
      <x:c r="O668" s="90" t="n">
        <x:v>-311814.94</x:v>
      </x:c>
      <x:c r="P668" s="90" t="n">
        <x:v>396614.53</x:v>
      </x:c>
      <x:c r="Q668" s="90" t="n">
        <x:v>-6869.1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>
        <x:v>0</x:v>
      </x:c>
    </x:row>
    <x:row r="669" spans="1:26" ht="12.75" customHeight="1" x14ac:dyDescent="0.3">
      <x:c r="E669" s="89" t="s">
        <x:v>73</x:v>
      </x:c>
      <x:c r="F669" s="90" t="n">
        <x:v>2399773.79</x:v>
      </x:c>
      <x:c r="G669" s="90" t="n">
        <x:v>316955.67</x:v>
      </x:c>
      <x:c r="H669" s="90" t="n">
        <x:v>175303.8</x:v>
      </x:c>
      <x:c r="I669" s="90" t="n">
        <x:v>93368.94</x:v>
      </x:c>
      <x:c r="J669" s="90" t="n">
        <x:v>185831.99</x:v>
      </x:c>
      <x:c r="K669" s="90" t="n">
        <x:v>9144.51</x:v>
      </x:c>
      <x:c r="L669" s="90" t="n">
        <x:v>0</x:v>
      </x:c>
      <x:c r="M669" s="90" t="n">
        <x:v>84275.12</x:v>
      </x:c>
      <x:c r="N669" s="90" t="n">
        <x:v>94151.17</x:v>
      </x:c>
      <x:c r="O669" s="90" t="n">
        <x:v>470643.7</x:v>
      </x:c>
      <x:c r="P669" s="90" t="n">
        <x:v>955178.9</x:v>
      </x:c>
      <x:c r="Q669" s="90" t="n">
        <x:v>14919.99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>
        <x:v>0</x:v>
      </x:c>
    </x:row>
    <x:row r="670" spans="1:26" ht="12.75" customHeight="1" x14ac:dyDescent="0.3">
      <x:c r="D670" s="89" t="s">
        <x:v>86</x:v>
      </x:c>
      <x:c r="E670" s="89" t="s">
        <x:v>70</x:v>
      </x:c>
      <x:c r="F670" s="90" t="n">
        <x:v>2399773.79</x:v>
      </x:c>
      <x:c r="G670" s="90" t="n">
        <x:v>316955.67</x:v>
      </x:c>
      <x:c r="H670" s="90" t="n">
        <x:v>175303.8</x:v>
      </x:c>
      <x:c r="I670" s="90" t="n">
        <x:v>93368.94</x:v>
      </x:c>
      <x:c r="J670" s="90" t="n">
        <x:v>185831.99</x:v>
      </x:c>
      <x:c r="K670" s="90" t="n">
        <x:v>9144.51</x:v>
      </x:c>
      <x:c r="L670" s="90" t="n">
        <x:v>0</x:v>
      </x:c>
      <x:c r="M670" s="90" t="n">
        <x:v>84275.12</x:v>
      </x:c>
      <x:c r="N670" s="90" t="n">
        <x:v>94151.17</x:v>
      </x:c>
      <x:c r="O670" s="90" t="n">
        <x:v>470643.7</x:v>
      </x:c>
      <x:c r="P670" s="90" t="n">
        <x:v>955178.9</x:v>
      </x:c>
      <x:c r="Q670" s="90" t="n">
        <x:v>14919.99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>
        <x:v>0</x:v>
      </x:c>
    </x:row>
    <x:row r="671" spans="1:26" ht="12.75" customHeight="1" x14ac:dyDescent="0.3">
      <x:c r="E671" s="89" t="s">
        <x:v>73</x:v>
      </x:c>
      <x:c r="F671" s="90" t="n">
        <x:v>36270393.7</x:v>
      </x:c>
      <x:c r="G671" s="90" t="n">
        <x:v>7294256.55</x:v>
      </x:c>
      <x:c r="H671" s="90" t="n">
        <x:v>4030099.58</x:v>
      </x:c>
      <x:c r="I671" s="90" t="n">
        <x:v>2148240.97</x:v>
      </x:c>
      <x:c r="J671" s="90" t="n">
        <x:v>592932.37</x:v>
      </x:c>
      <x:c r="K671" s="90" t="n">
        <x:v>5598.69</x:v>
      </x:c>
      <x:c r="L671" s="90" t="n">
        <x:v>0</x:v>
      </x:c>
      <x:c r="M671" s="90" t="n">
        <x:v>50827.4</x:v>
      </x:c>
      <x:c r="N671" s="90" t="n">
        <x:v>53449.52</x:v>
      </x:c>
      <x:c r="O671" s="90" t="n">
        <x:v>301085.35</x:v>
      </x:c>
      <x:c r="P671" s="90" t="n">
        <x:v>21784768.38</x:v>
      </x:c>
      <x:c r="Q671" s="90" t="n">
        <x:v>9134.89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>
        <x:v>0</x:v>
      </x:c>
    </x:row>
    <x:row r="672" spans="1:26" ht="12.75" customHeight="1" x14ac:dyDescent="0.3">
      <x:c r="D672" s="89" t="s">
        <x:v>87</x:v>
      </x:c>
      <x:c r="E672" s="89" t="s">
        <x:v>70</x:v>
      </x:c>
      <x:c r="F672" s="90" t="n">
        <x:v>36270393.7</x:v>
      </x:c>
      <x:c r="G672" s="90" t="n">
        <x:v>7294256.55</x:v>
      </x:c>
      <x:c r="H672" s="90" t="n">
        <x:v>4030099.58</x:v>
      </x:c>
      <x:c r="I672" s="90" t="n">
        <x:v>2148240.97</x:v>
      </x:c>
      <x:c r="J672" s="90" t="n">
        <x:v>592932.37</x:v>
      </x:c>
      <x:c r="K672" s="90" t="n">
        <x:v>5598.69</x:v>
      </x:c>
      <x:c r="L672" s="90" t="n">
        <x:v>0</x:v>
      </x:c>
      <x:c r="M672" s="90" t="n">
        <x:v>50827.4</x:v>
      </x:c>
      <x:c r="N672" s="90" t="n">
        <x:v>53449.52</x:v>
      </x:c>
      <x:c r="O672" s="90" t="n">
        <x:v>301085.35</x:v>
      </x:c>
      <x:c r="P672" s="90" t="n">
        <x:v>21784768.38</x:v>
      </x:c>
      <x:c r="Q672" s="90" t="n">
        <x:v>9134.89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>
        <x:v>0</x:v>
      </x:c>
    </x:row>
    <x:row r="673" spans="1:41" s="94" customFormat="1" ht="12.75" customHeight="1" x14ac:dyDescent="0.3">
      <x:c r="C673" s="94" t="s">
        <x:v>119</x:v>
      </x:c>
      <x:c r="D673" s="94" t="s">
        <x:v>70</x:v>
      </x:c>
      <x:c r="E673" s="101"/>
      <x:c r="F673" s="93" t="n">
        <x:v>38861395.86</x:v>
      </x:c>
      <x:c r="G673" s="93" t="n">
        <x:v>7744251.79</x:v>
      </x:c>
      <x:c r="H673" s="93" t="n">
        <x:v>4280714.11</x:v>
      </x:c>
      <x:c r="I673" s="93" t="n">
        <x:v>2281357.22</x:v>
      </x:c>
      <x:c r="J673" s="93" t="n">
        <x:v>738987.25</x:v>
      </x:c>
      <x:c r="K673" s="93" t="n">
        <x:v>10533.19</x:v>
      </x:c>
      <x:c r="L673" s="93" t="n">
        <x:v>0</x:v>
      </x:c>
      <x:c r="M673" s="93" t="n">
        <x:v>98181.38</x:v>
      </x:c>
      <x:c r="N673" s="93" t="n">
        <x:v>93709.22</x:v>
      </x:c>
      <x:c r="O673" s="93" t="n">
        <x:v>459914.11</x:v>
      </x:c>
      <x:c r="P673" s="93" t="n">
        <x:v>23136561.81</x:v>
      </x:c>
      <x:c r="Q673" s="93" t="n">
        <x:v>17185.78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>
        <x:v>0</x:v>
      </x:c>
    </x:row>
    <x:row r="674" spans="1:41" s="226" customFormat="1" ht="12.75" customHeight="1" x14ac:dyDescent="0.3">
      <x:c r="B674" s="98" t="s">
        <x:v>112</x:v>
      </x:c>
      <x:c r="C674" s="98" t="s">
        <x:v>70</x:v>
      </x:c>
      <x:c r="F674" s="100" t="n">
        <x:v>-152376731</x:v>
      </x:c>
      <x:c r="G674" s="100" t="n">
        <x:v>17466488.17</x:v>
      </x:c>
      <x:c r="H674" s="100" t="n">
        <x:v>9677892.6</x:v>
      </x:c>
      <x:c r="I674" s="100" t="n">
        <x:v>5149644.28</x:v>
      </x:c>
      <x:c r="J674" s="100" t="n">
        <x:v>-77408045.82</x:v>
      </x:c>
      <x:c r="K674" s="100" t="n">
        <x:v>-2621056.43</x:v>
      </x:c>
      <x:c r="L674" s="100" t="n">
        <x:v>0</x:v>
      </x:c>
      <x:c r="M674" s="100" t="n">
        <x:v>-23008326.95</x:v>
      </x:c>
      <x:c r="N674" s="100" t="n">
        <x:v>-22192771.99</x:v>
      </x:c>
      <x:c r="O674" s="100" t="n">
        <x:v>-107635498.21</x:v>
      </x:c>
      <x:c r="P674" s="100" t="n">
        <x:v>52473656.19</x:v>
      </x:c>
      <x:c r="Q674" s="100" t="n">
        <x:v>-4278712.84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>
        <x:v>0</x:v>
      </x:c>
    </x:row>
    <x:row r="675" spans="1:41" ht="12.75" customHeight="1" x14ac:dyDescent="0.3">
      <x:c r="A675" s="89" t="s">
        <x:v>79</x:v>
      </x:c>
      <x:c r="B675" s="89" t="s">
        <x:v>70</x:v>
      </x:c>
      <x:c r="F675" s="90" t="n">
        <x:v>-152376731</x:v>
      </x:c>
      <x:c r="G675" s="90" t="n">
        <x:v>17466488.17</x:v>
      </x:c>
      <x:c r="H675" s="90" t="n">
        <x:v>9677892.6</x:v>
      </x:c>
      <x:c r="I675" s="90" t="n">
        <x:v>5149644.28</x:v>
      </x:c>
      <x:c r="J675" s="90" t="n">
        <x:v>-77408045.82</x:v>
      </x:c>
      <x:c r="K675" s="90" t="n">
        <x:v>-2621056.43</x:v>
      </x:c>
      <x:c r="L675" s="90" t="n">
        <x:v>0</x:v>
      </x:c>
      <x:c r="M675" s="90" t="n">
        <x:v>-23008326.95</x:v>
      </x:c>
      <x:c r="N675" s="90" t="n">
        <x:v>-22192771.99</x:v>
      </x:c>
      <x:c r="O675" s="90" t="n">
        <x:v>-107635498.21</x:v>
      </x:c>
      <x:c r="P675" s="90" t="n">
        <x:v>52473656.19</x:v>
      </x:c>
      <x:c r="Q675" s="90" t="n">
        <x:v>-4278712.84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>
        <x:v>0</x:v>
      </x:c>
    </x:row>
    <x:row r="676" spans="1:41" ht="12.75" customHeight="1" x14ac:dyDescent="0.3">
      <x:c r="A676" s="89" t="s">
        <x:v>70</x:v>
      </x:c>
      <x:c r="F676" s="90" t="n">
        <x:v>7556633218</x:v>
      </x:c>
      <x:c r="G676" s="90" t="n">
        <x:v>425611959.97</x:v>
      </x:c>
      <x:c r="H676" s="90" t="n">
        <x:v>236795933.33</x:v>
      </x:c>
      <x:c r="I676" s="90" t="n">
        <x:v>125990673.31</x:v>
      </x:c>
      <x:c r="J676" s="90" t="n">
        <x:v>1786859848.82</x:v>
      </x:c>
      <x:c r="K676" s="90" t="n">
        <x:v>59452070.4</x:v>
      </x:c>
      <x:c r="L676" s="90" t="n">
        <x:v>12379938.06</x:v>
      </x:c>
      <x:c r="M676" s="90" t="n">
        <x:v>521676008.82</x:v>
      </x:c>
      <x:c r="N676" s="90" t="n">
        <x:v>490766033.75</x:v>
      </x:c>
      <x:c r="O676" s="90" t="n">
        <x:v>2532924946.44</x:v>
      </x:c>
      <x:c r="P676" s="90" t="n">
        <x:v>1267151382.56</x:v>
      </x:c>
      <x:c r="Q676" s="90" t="n">
        <x:v>97013738.16</x:v>
      </x:c>
      <x:c r="R676" s="90" t="n">
        <x:v>10679.52</x:v>
      </x:c>
      <x:c r="S676" s="90" t="n">
        <x:v>-0.05</x:v>
      </x:c>
      <x:c r="T676" t="n">
        <x:v>4.91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>
        <x:v>0</x:v>
      </x:c>
    </x:row>
    <x:row r="677" spans="1:41" ht="12.75" customHeight="1" x14ac:dyDescent="0.3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3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3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3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3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3">
      <x:c r="C682" s="777"/>
      <x:c r="D682" s="775" t="s">
        <x:v>133</x:v>
      </x:c>
      <x:c r="E682" s="233" t="s">
        <x:v>70</x:v>
      </x:c>
      <x:c r="F682" s="234">
        <x:f>F660+F629-L629</x:f>
        <x:v>0</x:v>
      </x:c>
      <x:c r="G682" s="234">
        <x:f>G629</x:f>
        <x:v>0</x:v>
      </x:c>
      <x:c r="H682" s="234">
        <x:f t="shared" ref="H682:AO682" si="33">H629</x:f>
        <x:v>0</x:v>
      </x:c>
      <x:c r="I682" s="234">
        <x:f t="shared" si="33"/>
        <x:v>0</x:v>
      </x:c>
      <x:c r="J682" s="234">
        <x:f t="shared" si="33"/>
        <x:v>0</x:v>
      </x:c>
      <x:c r="K682" s="234">
        <x:f t="shared" si="33"/>
        <x:v>0</x:v>
      </x:c>
      <x:c r="L682" s="234">
        <x:f t="shared" si="33"/>
        <x:v>0</x:v>
      </x:c>
      <x:c r="M682" s="234">
        <x:f t="shared" si="33"/>
        <x:v>0</x:v>
      </x:c>
      <x:c r="N682" s="234">
        <x:f t="shared" si="33"/>
        <x:v>0</x:v>
      </x:c>
      <x:c r="O682" s="234">
        <x:f t="shared" si="33"/>
        <x:v>0</x:v>
      </x:c>
      <x:c r="P682" s="234">
        <x:f t="shared" si="33"/>
        <x:v>0</x:v>
      </x:c>
      <x:c r="Q682" s="234">
        <x:f t="shared" si="33"/>
        <x:v>0</x:v>
      </x:c>
      <x:c r="R682" s="234">
        <x:f t="shared" si="33"/>
        <x:v>0</x:v>
      </x:c>
      <x:c r="S682" s="234">
        <x:f t="shared" si="33"/>
        <x:v>0</x:v>
      </x:c>
      <x:c r="T682" s="234">
        <x:f t="shared" si="33"/>
        <x:v>0</x:v>
      </x:c>
      <x:c r="U682" s="234">
        <x:f t="shared" si="33"/>
        <x:v>0</x:v>
      </x:c>
      <x:c r="V682" s="234">
        <x:f t="shared" si="33"/>
        <x:v>0</x:v>
      </x:c>
      <x:c r="W682" s="234">
        <x:f t="shared" si="33"/>
        <x:v>0</x:v>
      </x:c>
      <x:c r="X682" s="234">
        <x:f t="shared" si="33"/>
        <x:v>0</x:v>
      </x:c>
      <x:c r="Y682" s="234">
        <x:f t="shared" si="33"/>
        <x:v>0</x:v>
      </x:c>
      <x:c r="Z682" s="234">
        <x:f t="shared" si="33"/>
        <x:v>0</x:v>
      </x:c>
      <x:c r="AA682" s="234">
        <x:f t="shared" si="33"/>
        <x:v>0</x:v>
      </x:c>
      <x:c r="AB682" s="234">
        <x:f t="shared" si="33"/>
        <x:v>0</x:v>
      </x:c>
      <x:c r="AC682" s="234">
        <x:f t="shared" si="33"/>
        <x:v>0</x:v>
      </x:c>
      <x:c r="AD682" s="234">
        <x:f t="shared" si="33"/>
        <x:v>0</x:v>
      </x:c>
      <x:c r="AE682" s="234">
        <x:f t="shared" si="33"/>
        <x:v>0</x:v>
      </x:c>
      <x:c r="AF682" s="234">
        <x:f t="shared" si="33"/>
        <x:v>0</x:v>
      </x:c>
      <x:c r="AG682" s="234">
        <x:f t="shared" si="33"/>
        <x:v>0</x:v>
      </x:c>
      <x:c r="AH682" s="234">
        <x:f t="shared" si="33"/>
        <x:v>0</x:v>
      </x:c>
      <x:c r="AI682" s="234">
        <x:f t="shared" si="33"/>
        <x:v>0</x:v>
      </x:c>
      <x:c r="AJ682" s="234">
        <x:f t="shared" si="33"/>
        <x:v>0</x:v>
      </x:c>
      <x:c r="AK682" s="234">
        <x:f t="shared" si="33"/>
        <x:v>0</x:v>
      </x:c>
      <x:c r="AL682" s="234">
        <x:f t="shared" si="33"/>
        <x:v>0</x:v>
      </x:c>
      <x:c r="AM682" s="234">
        <x:f t="shared" si="33"/>
        <x:v>0</x:v>
      </x:c>
      <x:c r="AN682" s="234">
        <x:f t="shared" si="33"/>
        <x:v>0</x:v>
      </x:c>
      <x:c r="AO682" s="234">
        <x:f t="shared" si="33"/>
        <x:v>0</x:v>
      </x:c>
    </x:row>
    <x:row r="683" spans="1:41" ht="12.75" customHeight="1" x14ac:dyDescent="0.3">
      <x:c r="C683" s="777"/>
      <x:c r="D683" s="775"/>
      <x:c r="E683" s="233" t="s">
        <x:v>73</x:v>
      </x:c>
      <x:c r="F683" s="234">
        <x:f>F660</x:f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3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3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3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3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3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3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3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4">H633</x:f>
        <x:v>0</x:v>
      </x:c>
      <x:c r="I690" s="222">
        <x:f t="shared" si="34"/>
        <x:v>0</x:v>
      </x:c>
      <x:c r="J690" s="222">
        <x:f t="shared" si="34"/>
        <x:v>0</x:v>
      </x:c>
      <x:c r="K690" s="222">
        <x:f t="shared" si="34"/>
        <x:v>0</x:v>
      </x:c>
      <x:c r="L690" s="222">
        <x:f t="shared" si="34"/>
        <x:v>0</x:v>
      </x:c>
      <x:c r="M690" s="222">
        <x:f t="shared" si="34"/>
        <x:v>0</x:v>
      </x:c>
      <x:c r="N690" s="222">
        <x:f t="shared" si="34"/>
        <x:v>0</x:v>
      </x:c>
      <x:c r="O690" s="222">
        <x:f t="shared" si="34"/>
        <x:v>0</x:v>
      </x:c>
      <x:c r="P690" s="222">
        <x:f t="shared" si="34"/>
        <x:v>0</x:v>
      </x:c>
      <x:c r="Q690" s="222">
        <x:f t="shared" si="34"/>
        <x:v>0</x:v>
      </x:c>
      <x:c r="R690" s="222">
        <x:f t="shared" si="34"/>
        <x:v>0</x:v>
      </x:c>
      <x:c r="S690" s="222">
        <x:f t="shared" si="34"/>
        <x:v>0</x:v>
      </x:c>
      <x:c r="T690" s="222">
        <x:f t="shared" si="34"/>
        <x:v>0</x:v>
      </x:c>
      <x:c r="U690" s="222">
        <x:f t="shared" si="34"/>
        <x:v>0</x:v>
      </x:c>
      <x:c r="V690" s="222">
        <x:f t="shared" si="34"/>
        <x:v>0</x:v>
      </x:c>
      <x:c r="W690" s="222">
        <x:f t="shared" si="34"/>
        <x:v>0</x:v>
      </x:c>
      <x:c r="X690" s="222">
        <x:f t="shared" si="34"/>
        <x:v>0</x:v>
      </x:c>
      <x:c r="Y690" s="222">
        <x:f t="shared" si="34"/>
        <x:v>0</x:v>
      </x:c>
      <x:c r="Z690" s="222">
        <x:f t="shared" si="34"/>
        <x:v>0</x:v>
      </x:c>
      <x:c r="AA690" s="222">
        <x:f t="shared" si="34"/>
        <x:v>0</x:v>
      </x:c>
      <x:c r="AB690" s="222">
        <x:f t="shared" si="34"/>
        <x:v>0</x:v>
      </x:c>
      <x:c r="AC690" s="222">
        <x:f t="shared" si="34"/>
        <x:v>0</x:v>
      </x:c>
      <x:c r="AD690" s="222">
        <x:f t="shared" si="34"/>
        <x:v>0</x:v>
      </x:c>
      <x:c r="AE690" s="222">
        <x:f t="shared" si="34"/>
        <x:v>0</x:v>
      </x:c>
      <x:c r="AF690" s="222">
        <x:f t="shared" si="34"/>
        <x:v>0</x:v>
      </x:c>
      <x:c r="AG690" s="222">
        <x:f t="shared" si="34"/>
        <x:v>0</x:v>
      </x:c>
      <x:c r="AH690" s="222">
        <x:f t="shared" si="34"/>
        <x:v>0</x:v>
      </x:c>
      <x:c r="AI690" s="222">
        <x:f t="shared" si="34"/>
        <x:v>0</x:v>
      </x:c>
      <x:c r="AJ690" s="222">
        <x:f t="shared" si="34"/>
        <x:v>0</x:v>
      </x:c>
      <x:c r="AK690" s="222">
        <x:f t="shared" si="34"/>
        <x:v>0</x:v>
      </x:c>
      <x:c r="AL690" s="222">
        <x:f t="shared" si="34"/>
        <x:v>0</x:v>
      </x:c>
      <x:c r="AM690" s="222">
        <x:f t="shared" si="34"/>
        <x:v>0</x:v>
      </x:c>
      <x:c r="AN690" s="222">
        <x:f t="shared" si="34"/>
        <x:v>0</x:v>
      </x:c>
      <x:c r="AO690" s="222">
        <x:f t="shared" si="34"/>
        <x:v>0</x:v>
      </x:c>
    </x:row>
    <x:row r="691" spans="1:41" ht="12.75" customHeight="1" x14ac:dyDescent="0.3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3">
      <x:c r="C692" s="777"/>
      <x:c r="D692" s="775" t="s">
        <x:v>133</x:v>
      </x:c>
      <x:c r="E692" s="242" t="s">
        <x:v>70</x:v>
      </x:c>
      <x:c r="F692" s="243">
        <x:f>F652+F618-L618</x:f>
        <x:v>0</x:v>
      </x:c>
      <x:c r="G692" s="243">
        <x:f>G618</x:f>
        <x:v>0</x:v>
      </x:c>
      <x:c r="H692" s="243">
        <x:f t="shared" ref="H692:AO692" si="35">H618</x:f>
        <x:v>0</x:v>
      </x:c>
      <x:c r="I692" s="243">
        <x:f t="shared" si="35"/>
        <x:v>0</x:v>
      </x:c>
      <x:c r="J692" s="243">
        <x:f t="shared" si="35"/>
        <x:v>0</x:v>
      </x:c>
      <x:c r="K692" s="243">
        <x:f t="shared" si="35"/>
        <x:v>0</x:v>
      </x:c>
      <x:c r="L692" s="243">
        <x:f t="shared" si="35"/>
        <x:v>0</x:v>
      </x:c>
      <x:c r="M692" s="243">
        <x:f t="shared" si="35"/>
        <x:v>0</x:v>
      </x:c>
      <x:c r="N692" s="243">
        <x:f t="shared" si="35"/>
        <x:v>0</x:v>
      </x:c>
      <x:c r="O692" s="243">
        <x:f t="shared" si="35"/>
        <x:v>0</x:v>
      </x:c>
      <x:c r="P692" s="243">
        <x:f t="shared" si="35"/>
        <x:v>0</x:v>
      </x:c>
      <x:c r="Q692" s="243">
        <x:f t="shared" si="35"/>
        <x:v>0</x:v>
      </x:c>
      <x:c r="R692" s="243">
        <x:f t="shared" si="35"/>
        <x:v>0</x:v>
      </x:c>
      <x:c r="S692" s="243">
        <x:f t="shared" si="35"/>
        <x:v>0</x:v>
      </x:c>
      <x:c r="T692" s="243">
        <x:f t="shared" si="35"/>
        <x:v>0</x:v>
      </x:c>
      <x:c r="U692" s="243">
        <x:f t="shared" si="35"/>
        <x:v>0</x:v>
      </x:c>
      <x:c r="V692" s="243">
        <x:f t="shared" si="35"/>
        <x:v>0</x:v>
      </x:c>
      <x:c r="W692" s="243">
        <x:f t="shared" si="35"/>
        <x:v>0</x:v>
      </x:c>
      <x:c r="X692" s="243">
        <x:f t="shared" si="35"/>
        <x:v>0</x:v>
      </x:c>
      <x:c r="Y692" s="243">
        <x:f t="shared" si="35"/>
        <x:v>0</x:v>
      </x:c>
      <x:c r="Z692" s="243">
        <x:f t="shared" si="35"/>
        <x:v>0</x:v>
      </x:c>
      <x:c r="AA692" s="243">
        <x:f t="shared" si="35"/>
        <x:v>0</x:v>
      </x:c>
      <x:c r="AB692" s="243">
        <x:f t="shared" si="35"/>
        <x:v>0</x:v>
      </x:c>
      <x:c r="AC692" s="243">
        <x:f t="shared" si="35"/>
        <x:v>0</x:v>
      </x:c>
      <x:c r="AD692" s="243">
        <x:f t="shared" si="35"/>
        <x:v>0</x:v>
      </x:c>
      <x:c r="AE692" s="243">
        <x:f t="shared" si="35"/>
        <x:v>0</x:v>
      </x:c>
      <x:c r="AF692" s="243">
        <x:f t="shared" si="35"/>
        <x:v>0</x:v>
      </x:c>
      <x:c r="AG692" s="243">
        <x:f t="shared" si="35"/>
        <x:v>0</x:v>
      </x:c>
      <x:c r="AH692" s="243">
        <x:f t="shared" si="35"/>
        <x:v>0</x:v>
      </x:c>
      <x:c r="AI692" s="243">
        <x:f t="shared" si="35"/>
        <x:v>0</x:v>
      </x:c>
      <x:c r="AJ692" s="243">
        <x:f t="shared" si="35"/>
        <x:v>0</x:v>
      </x:c>
      <x:c r="AK692" s="243">
        <x:f t="shared" si="35"/>
        <x:v>0</x:v>
      </x:c>
      <x:c r="AL692" s="243">
        <x:f t="shared" si="35"/>
        <x:v>0</x:v>
      </x:c>
      <x:c r="AM692" s="243">
        <x:f t="shared" si="35"/>
        <x:v>0</x:v>
      </x:c>
      <x:c r="AN692" s="243">
        <x:f t="shared" si="35"/>
        <x:v>0</x:v>
      </x:c>
      <x:c r="AO692" s="243">
        <x:f t="shared" si="35"/>
        <x:v>0</x:v>
      </x:c>
    </x:row>
    <x:row r="693" spans="1:41" ht="12.75" customHeight="1" x14ac:dyDescent="0.3">
      <x:c r="C693" s="777"/>
      <x:c r="D693" s="775"/>
      <x:c r="E693" s="242" t="s">
        <x:v>73</x:v>
      </x:c>
      <x:c r="F693" s="243">
        <x:f>F652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3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3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6">H637</x:f>
        <x:v>0</x:v>
      </x:c>
      <x:c r="I695" s="374">
        <x:f t="shared" si="36"/>
        <x:v>0</x:v>
      </x:c>
      <x:c r="J695" s="374">
        <x:f t="shared" si="36"/>
        <x:v>0</x:v>
      </x:c>
      <x:c r="K695" s="374">
        <x:f t="shared" si="36"/>
        <x:v>0</x:v>
      </x:c>
      <x:c r="L695" s="374">
        <x:f>L637</x:f>
        <x:v>0</x:v>
      </x:c>
      <x:c r="M695" s="374">
        <x:f t="shared" si="36"/>
        <x:v>0</x:v>
      </x:c>
      <x:c r="N695" s="374">
        <x:f t="shared" si="36"/>
        <x:v>0</x:v>
      </x:c>
      <x:c r="O695" s="374">
        <x:f t="shared" si="36"/>
        <x:v>0</x:v>
      </x:c>
      <x:c r="P695" s="374">
        <x:f t="shared" si="36"/>
        <x:v>0</x:v>
      </x:c>
      <x:c r="Q695" s="374">
        <x:f t="shared" si="36"/>
        <x:v>0</x:v>
      </x:c>
      <x:c r="R695" s="374">
        <x:f t="shared" si="36"/>
        <x:v>0</x:v>
      </x:c>
      <x:c r="S695" s="374">
        <x:f t="shared" si="36"/>
        <x:v>0</x:v>
      </x:c>
      <x:c r="T695" s="374">
        <x:f t="shared" si="36"/>
        <x:v>0</x:v>
      </x:c>
      <x:c r="U695" s="374">
        <x:f t="shared" si="36"/>
        <x:v>0</x:v>
      </x:c>
      <x:c r="V695" s="374">
        <x:f t="shared" si="36"/>
        <x:v>0</x:v>
      </x:c>
      <x:c r="W695" s="374">
        <x:f t="shared" si="36"/>
        <x:v>0</x:v>
      </x:c>
      <x:c r="X695" s="374">
        <x:f t="shared" si="36"/>
        <x:v>0</x:v>
      </x:c>
      <x:c r="Y695" s="374">
        <x:f t="shared" si="36"/>
        <x:v>0</x:v>
      </x:c>
      <x:c r="Z695" s="374">
        <x:f t="shared" si="36"/>
        <x:v>0</x:v>
      </x:c>
      <x:c r="AA695" s="374">
        <x:f t="shared" si="36"/>
        <x:v>0</x:v>
      </x:c>
      <x:c r="AB695" s="374">
        <x:f t="shared" si="36"/>
        <x:v>0</x:v>
      </x:c>
      <x:c r="AC695" s="374">
        <x:f t="shared" si="36"/>
        <x:v>0</x:v>
      </x:c>
      <x:c r="AD695" s="374">
        <x:f t="shared" si="36"/>
        <x:v>0</x:v>
      </x:c>
      <x:c r="AE695" s="374">
        <x:f t="shared" si="36"/>
        <x:v>0</x:v>
      </x:c>
      <x:c r="AF695" s="374">
        <x:f t="shared" si="36"/>
        <x:v>0</x:v>
      </x:c>
      <x:c r="AG695" s="374">
        <x:f t="shared" si="36"/>
        <x:v>0</x:v>
      </x:c>
      <x:c r="AH695" s="374">
        <x:f t="shared" si="36"/>
        <x:v>0</x:v>
      </x:c>
      <x:c r="AI695" s="374">
        <x:f t="shared" si="36"/>
        <x:v>0</x:v>
      </x:c>
      <x:c r="AJ695" s="374">
        <x:f t="shared" si="36"/>
        <x:v>0</x:v>
      </x:c>
      <x:c r="AK695" s="374">
        <x:f t="shared" si="36"/>
        <x:v>0</x:v>
      </x:c>
      <x:c r="AL695" s="374">
        <x:f t="shared" si="36"/>
        <x:v>0</x:v>
      </x:c>
      <x:c r="AM695" s="374">
        <x:f t="shared" si="36"/>
        <x:v>0</x:v>
      </x:c>
      <x:c r="AN695" s="374">
        <x:f t="shared" si="36"/>
        <x:v>0</x:v>
      </x:c>
      <x:c r="AO695" s="374">
        <x:f t="shared" si="36"/>
        <x:v>0</x:v>
      </x:c>
    </x:row>
    <x:row r="696" spans="1:41" ht="12.75" customHeight="1" x14ac:dyDescent="0.3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3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3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3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3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7">G647+G612</x:f>
        <x:v>0</x:v>
      </x:c>
      <x:c r="H700" s="93">
        <x:f t="shared" si="37"/>
        <x:v>0</x:v>
      </x:c>
      <x:c r="I700" s="93">
        <x:f t="shared" si="37"/>
        <x:v>0</x:v>
      </x:c>
      <x:c r="J700" s="93">
        <x:f t="shared" si="37"/>
        <x:v>0</x:v>
      </x:c>
      <x:c r="K700" s="93">
        <x:f t="shared" si="37"/>
        <x:v>0</x:v>
      </x:c>
      <x:c r="L700" s="93">
        <x:f t="shared" si="37"/>
        <x:v>0</x:v>
      </x:c>
      <x:c r="M700" s="93">
        <x:f t="shared" si="37"/>
        <x:v>0</x:v>
      </x:c>
      <x:c r="N700" s="93">
        <x:f t="shared" si="37"/>
        <x:v>0</x:v>
      </x:c>
      <x:c r="O700" s="93">
        <x:f t="shared" si="37"/>
        <x:v>0</x:v>
      </x:c>
      <x:c r="P700" s="93">
        <x:f t="shared" si="37"/>
        <x:v>0</x:v>
      </x:c>
      <x:c r="Q700" s="93">
        <x:f t="shared" si="37"/>
        <x:v>0</x:v>
      </x:c>
      <x:c r="R700" s="93">
        <x:f t="shared" si="37"/>
        <x:v>0</x:v>
      </x:c>
      <x:c r="S700" s="93">
        <x:f t="shared" si="37"/>
        <x:v>0</x:v>
      </x:c>
      <x:c r="T700" s="93">
        <x:f t="shared" si="37"/>
        <x:v>0</x:v>
      </x:c>
      <x:c r="U700" s="93">
        <x:f t="shared" si="37"/>
        <x:v>0</x:v>
      </x:c>
      <x:c r="V700" s="93">
        <x:f t="shared" si="37"/>
        <x:v>0</x:v>
      </x:c>
      <x:c r="W700" s="93">
        <x:f t="shared" si="37"/>
        <x:v>0</x:v>
      </x:c>
      <x:c r="X700" s="93">
        <x:f t="shared" si="37"/>
        <x:v>0</x:v>
      </x:c>
      <x:c r="Y700" s="93">
        <x:f t="shared" si="37"/>
        <x:v>0</x:v>
      </x:c>
      <x:c r="Z700" s="93">
        <x:f t="shared" si="37"/>
        <x:v>0</x:v>
      </x:c>
      <x:c r="AA700" s="93">
        <x:f t="shared" si="37"/>
        <x:v>0</x:v>
      </x:c>
      <x:c r="AB700" s="93">
        <x:f t="shared" si="37"/>
        <x:v>0</x:v>
      </x:c>
      <x:c r="AC700" s="93">
        <x:f t="shared" si="37"/>
        <x:v>0</x:v>
      </x:c>
      <x:c r="AD700" s="93">
        <x:f t="shared" si="37"/>
        <x:v>0</x:v>
      </x:c>
      <x:c r="AE700" s="93">
        <x:f t="shared" si="37"/>
        <x:v>0</x:v>
      </x:c>
      <x:c r="AF700" s="93">
        <x:f t="shared" si="37"/>
        <x:v>0</x:v>
      </x:c>
      <x:c r="AG700" s="93">
        <x:f t="shared" si="37"/>
        <x:v>0</x:v>
      </x:c>
      <x:c r="AH700" s="93">
        <x:f t="shared" si="37"/>
        <x:v>0</x:v>
      </x:c>
      <x:c r="AI700" s="93">
        <x:f t="shared" si="37"/>
        <x:v>0</x:v>
      </x:c>
      <x:c r="AJ700" s="93">
        <x:f t="shared" si="37"/>
        <x:v>0</x:v>
      </x:c>
      <x:c r="AK700" s="93">
        <x:f t="shared" si="37"/>
        <x:v>0</x:v>
      </x:c>
      <x:c r="AL700" s="93">
        <x:f t="shared" si="37"/>
        <x:v>0</x:v>
      </x:c>
      <x:c r="AM700" s="93">
        <x:f t="shared" si="37"/>
        <x:v>0</x:v>
      </x:c>
      <x:c r="AN700" s="93">
        <x:f t="shared" si="37"/>
        <x:v>0</x:v>
      </x:c>
      <x:c r="AO700" s="93">
        <x:f t="shared" si="37"/>
        <x:v>0</x:v>
      </x:c>
    </x:row>
    <x:row r="701" spans="1:41" ht="12.75" customHeight="1" x14ac:dyDescent="0.3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3">
      <x:c r="C702" s="777"/>
      <x:c r="D702" s="775" t="s">
        <x:v>133</x:v>
      </x:c>
      <x:c r="E702" s="235" t="s">
        <x:v>70</x:v>
      </x:c>
      <x:c r="F702" s="236">
        <x:f>F659+F628-L628</x:f>
        <x:v>0</x:v>
      </x:c>
      <x:c r="G702" s="236">
        <x:f>G628</x:f>
        <x:v>0</x:v>
      </x:c>
      <x:c r="H702" s="236">
        <x:f t="shared" ref="H702:AO702" si="38">H628</x:f>
        <x:v>0</x:v>
      </x:c>
      <x:c r="I702" s="236">
        <x:f t="shared" si="38"/>
        <x:v>0</x:v>
      </x:c>
      <x:c r="J702" s="236">
        <x:f t="shared" si="38"/>
        <x:v>0</x:v>
      </x:c>
      <x:c r="K702" s="236">
        <x:f t="shared" si="38"/>
        <x:v>0</x:v>
      </x:c>
      <x:c r="L702" s="236">
        <x:f t="shared" si="38"/>
        <x:v>0</x:v>
      </x:c>
      <x:c r="M702" s="236">
        <x:f t="shared" si="38"/>
        <x:v>0</x:v>
      </x:c>
      <x:c r="N702" s="236">
        <x:f t="shared" si="38"/>
        <x:v>0</x:v>
      </x:c>
      <x:c r="O702" s="236">
        <x:f t="shared" si="38"/>
        <x:v>0</x:v>
      </x:c>
      <x:c r="P702" s="236">
        <x:f t="shared" si="38"/>
        <x:v>0</x:v>
      </x:c>
      <x:c r="Q702" s="236">
        <x:f t="shared" si="38"/>
        <x:v>0</x:v>
      </x:c>
      <x:c r="R702" s="236">
        <x:f t="shared" si="38"/>
        <x:v>0</x:v>
      </x:c>
      <x:c r="S702" s="236">
        <x:f t="shared" si="38"/>
        <x:v>0</x:v>
      </x:c>
      <x:c r="T702" s="236">
        <x:f t="shared" si="38"/>
        <x:v>0</x:v>
      </x:c>
      <x:c r="U702" s="236">
        <x:f t="shared" si="38"/>
        <x:v>0</x:v>
      </x:c>
      <x:c r="V702" s="236">
        <x:f t="shared" si="38"/>
        <x:v>0</x:v>
      </x:c>
      <x:c r="W702" s="236">
        <x:f t="shared" si="38"/>
        <x:v>0</x:v>
      </x:c>
      <x:c r="X702" s="236">
        <x:f t="shared" si="38"/>
        <x:v>0</x:v>
      </x:c>
      <x:c r="Y702" s="236">
        <x:f t="shared" si="38"/>
        <x:v>0</x:v>
      </x:c>
      <x:c r="Z702" s="236">
        <x:f t="shared" si="38"/>
        <x:v>0</x:v>
      </x:c>
      <x:c r="AA702" s="236">
        <x:f t="shared" si="38"/>
        <x:v>0</x:v>
      </x:c>
      <x:c r="AB702" s="236">
        <x:f t="shared" si="38"/>
        <x:v>0</x:v>
      </x:c>
      <x:c r="AC702" s="236">
        <x:f t="shared" si="38"/>
        <x:v>0</x:v>
      </x:c>
      <x:c r="AD702" s="236">
        <x:f t="shared" si="38"/>
        <x:v>0</x:v>
      </x:c>
      <x:c r="AE702" s="236">
        <x:f t="shared" si="38"/>
        <x:v>0</x:v>
      </x:c>
      <x:c r="AF702" s="236">
        <x:f t="shared" si="38"/>
        <x:v>0</x:v>
      </x:c>
      <x:c r="AG702" s="236">
        <x:f t="shared" si="38"/>
        <x:v>0</x:v>
      </x:c>
      <x:c r="AH702" s="236">
        <x:f t="shared" si="38"/>
        <x:v>0</x:v>
      </x:c>
      <x:c r="AI702" s="236">
        <x:f t="shared" si="38"/>
        <x:v>0</x:v>
      </x:c>
      <x:c r="AJ702" s="236">
        <x:f t="shared" si="38"/>
        <x:v>0</x:v>
      </x:c>
      <x:c r="AK702" s="236">
        <x:f t="shared" si="38"/>
        <x:v>0</x:v>
      </x:c>
      <x:c r="AL702" s="236">
        <x:f t="shared" si="38"/>
        <x:v>0</x:v>
      </x:c>
      <x:c r="AM702" s="236">
        <x:f t="shared" si="38"/>
        <x:v>0</x:v>
      </x:c>
      <x:c r="AN702" s="236">
        <x:f t="shared" si="38"/>
        <x:v>0</x:v>
      </x:c>
      <x:c r="AO702" s="236">
        <x:f t="shared" si="38"/>
        <x:v>0</x:v>
      </x:c>
    </x:row>
    <x:row r="703" spans="1:41" ht="12.75" customHeight="1" x14ac:dyDescent="0.3">
      <x:c r="C703" s="777"/>
      <x:c r="D703" s="775"/>
      <x:c r="E703" s="235" t="s">
        <x:v>73</x:v>
      </x:c>
      <x:c r="F703" s="236">
        <x:f>F659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3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3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3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3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3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3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3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9">G614</x:f>
        <x:v>0</x:v>
      </x:c>
      <x:c r="H710" s="460">
        <x:f t="shared" si="39"/>
        <x:v>0</x:v>
      </x:c>
      <x:c r="I710" s="460">
        <x:f t="shared" si="39"/>
        <x:v>0</x:v>
      </x:c>
      <x:c r="J710" s="460">
        <x:f t="shared" si="39"/>
        <x:v>0</x:v>
      </x:c>
      <x:c r="K710" s="460">
        <x:f t="shared" si="39"/>
        <x:v>0</x:v>
      </x:c>
      <x:c r="L710" s="460">
        <x:f t="shared" si="39"/>
        <x:v>0</x:v>
      </x:c>
      <x:c r="M710" s="460">
        <x:f t="shared" si="39"/>
        <x:v>0</x:v>
      </x:c>
      <x:c r="N710" s="460">
        <x:f t="shared" si="39"/>
        <x:v>0</x:v>
      </x:c>
      <x:c r="O710" s="460">
        <x:f t="shared" si="39"/>
        <x:v>0</x:v>
      </x:c>
      <x:c r="P710" s="460">
        <x:f t="shared" si="39"/>
        <x:v>0</x:v>
      </x:c>
      <x:c r="Q710" s="460">
        <x:f t="shared" si="39"/>
        <x:v>0</x:v>
      </x:c>
      <x:c r="R710" s="460">
        <x:f t="shared" si="39"/>
        <x:v>0</x:v>
      </x:c>
      <x:c r="S710" s="460">
        <x:f t="shared" si="39"/>
        <x:v>0</x:v>
      </x:c>
      <x:c r="T710" s="460">
        <x:f t="shared" si="39"/>
        <x:v>0</x:v>
      </x:c>
      <x:c r="U710" s="460">
        <x:f t="shared" si="39"/>
        <x:v>0</x:v>
      </x:c>
      <x:c r="V710" s="460">
        <x:f t="shared" si="39"/>
        <x:v>0</x:v>
      </x:c>
      <x:c r="W710" s="460">
        <x:f t="shared" si="39"/>
        <x:v>0</x:v>
      </x:c>
      <x:c r="X710" s="460">
        <x:f t="shared" si="39"/>
        <x:v>0</x:v>
      </x:c>
      <x:c r="Y710" s="460">
        <x:f t="shared" si="39"/>
        <x:v>0</x:v>
      </x:c>
      <x:c r="Z710" s="460">
        <x:f t="shared" si="39"/>
        <x:v>0</x:v>
      </x:c>
      <x:c r="AA710" s="460">
        <x:f t="shared" si="39"/>
        <x:v>0</x:v>
      </x:c>
    </x:row>
    <x:row r="711" spans="3:41" ht="12.75" customHeight="1" x14ac:dyDescent="0.3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3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85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45" x14ac:dyDescent="0.3"/>
  <x:cols>
    <x:col min="2" max="2" width="22.3828125" bestFit="1" customWidth="1"/>
    <x:col min="3" max="3" width="18.84375" customWidth="1"/>
    <x:col min="4" max="4" width="23.15234375" bestFit="1" customWidth="1"/>
    <x:col min="5" max="5" width="15.15234375" bestFit="1" customWidth="1"/>
    <x:col min="6" max="6" width="15.3828125" bestFit="1" customWidth="1"/>
    <x:col min="7" max="8" width="16.15234375" bestFit="1" customWidth="1"/>
    <x:col min="9" max="9" width="15.15234375" bestFit="1" customWidth="1"/>
    <x:col min="10" max="10" width="17" bestFit="1" customWidth="1"/>
    <x:col min="11" max="11" width="13.53515625" bestFit="1" customWidth="1"/>
    <x:col min="12" max="12" width="15.53515625" bestFit="1" customWidth="1"/>
    <x:col min="13" max="15" width="15.15234375" bestFit="1" customWidth="1"/>
    <x:col min="16" max="16" width="20.3828125" bestFit="1" customWidth="1"/>
    <x:col min="17" max="17" width="11.53515625" customWidth="1"/>
    <x:col min="18" max="18" width="13.53515625" bestFit="1" customWidth="1"/>
  </x:cols>
  <x:sheetData>
    <x:row r="1" spans="2:18" x14ac:dyDescent="0.3">
      <x:c r="B1" s="97" t="s">
        <x:v>74</x:v>
      </x:c>
    </x:row>
    <x:row r="2" spans="2:18" ht="12.75" customHeight="1" x14ac:dyDescent="0.3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3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8" ht="12.75" customHeight="1" x14ac:dyDescent="0.3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8" ht="12.75" customHeight="1" x14ac:dyDescent="0.3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3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3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3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3">
      <x:c r="C9" t="s">
        <x:v>156</x:v>
      </x:c>
      <x:c r="D9" t="s">
        <x:v>70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  <x:c r="L9">
        <x:v>0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</x:row>
    <x:row r="10" spans="2:18" s="286" customFormat="1" ht="12.75" customHeight="1" x14ac:dyDescent="0.3">
      <x:c r="B10" s="286" t="s">
        <x:v>155</x:v>
      </x:c>
      <x:c r="C10" s="286" t="s">
        <x:v>70</x:v>
      </x:c>
      <x:c r="E10" s="286" t="n">
        <x:v>28281218.77</x:v>
      </x:c>
      <x:c r="F10" s="286">
        <x:v>0</x:v>
      </x:c>
      <x:c r="G10" s="286">
        <x:v>0</x:v>
      </x:c>
      <x:c r="H10" s="286">
        <x:v>0</x:v>
      </x:c>
      <x:c r="I10" s="286">
        <x:v>0</x:v>
      </x:c>
      <x:c r="J10" s="286">
        <x:v>0</x:v>
      </x:c>
      <x:c r="K10" s="286" t="n">
        <x:v>0</x:v>
      </x:c>
      <x:c r="L10" s="286">
        <x:v>0</x:v>
      </x:c>
      <x:c r="M10" s="286">
        <x:v>0</x:v>
      </x:c>
      <x:c r="N10" s="286">
        <x:v>0</x:v>
      </x:c>
      <x:c r="O10" s="286">
        <x:v>0</x:v>
      </x:c>
      <x:c r="P10" s="286">
        <x:v>0</x:v>
      </x:c>
      <x:c r="Q10" s="286">
        <x:v>0</x:v>
      </x:c>
      <x:c r="R10" s="286">
        <x:v>0</x:v>
      </x:c>
    </x:row>
    <x:row r="11" spans="2:18" ht="12.75" customHeight="1" x14ac:dyDescent="0.3">
      <x:c r="B11" s="142"/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8" ht="12.75" customHeight="1" x14ac:dyDescent="0.3">
      <x:c r="B12" s="142"/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8" ht="12.75" customHeight="1" x14ac:dyDescent="0.3">
      <x:c r="B13" s="142"/>
      <x:c r="C13" t="s">
        <x:v>82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8" ht="12.75" customHeight="1" x14ac:dyDescent="0.3">
      <x:c r="B14" s="142"/>
      <x:c r="D14" t="s">
        <x:v>72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  <x:c r="L14">
        <x:v>0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</x:row>
    <x:row r="15" spans="2:18" ht="12.75" customHeight="1" x14ac:dyDescent="0.3">
      <x:c r="B15" s="142"/>
      <x:c r="D15" t="s">
        <x:v>81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  <x:c r="L15">
        <x:v>0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</x:row>
    <x:row r="16" spans="2:18" ht="12.75" customHeight="1" x14ac:dyDescent="0.3">
      <x:c r="B16" s="142"/>
      <x:c r="C16" t="s">
        <x:v>86</x:v>
      </x:c>
      <x:c r="D16" t="s">
        <x:v>70</x:v>
      </x:c>
      <x:c r="E16" s="142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  <x:c r="L16">
        <x:v>0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</x:row>
    <x:row r="17" spans="1:18" ht="12.75" customHeight="1" x14ac:dyDescent="0.3">
      <x:c r="B17" s="142"/>
      <x:c r="D17" t="s">
        <x:v>72</x:v>
      </x:c>
      <x:c r="E17" s="142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  <x:c r="L17">
        <x:v>0</x:v>
      </x:c>
      <x:c r="M17">
        <x:v>0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</x:row>
    <x:row r="18" spans="1:18" ht="12.75" customHeight="1" x14ac:dyDescent="0.3">
      <x:c r="B18" s="142"/>
      <x:c r="D18" t="s">
        <x:v>81</x:v>
      </x:c>
      <x:c r="E18" s="142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  <x:c r="L18">
        <x:v>0</x:v>
      </x:c>
      <x:c r="M18">
        <x:v>0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</x:row>
    <x:row r="19" spans="1:18" ht="12.75" customHeight="1" x14ac:dyDescent="0.3">
      <x:c r="B19" s="142"/>
      <x:c r="C19" s="89" t="s">
        <x:v>87</x:v>
      </x:c>
      <x:c r="D19" s="89" t="s">
        <x:v>70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>
        <x:v>0</x:v>
      </x:c>
    </x:row>
    <x:row r="20" spans="1:18" s="94" customFormat="1" ht="12.75" customHeight="1" x14ac:dyDescent="0.3">
      <x:c r="B20" s="101" t="s">
        <x:v>119</x:v>
      </x:c>
      <x:c r="C20" s="101" t="s">
        <x:v>70</x:v>
      </x:c>
      <x:c r="E20" s="93" t="n">
        <x:v>2995523.65</x:v>
      </x:c>
      <x:c r="F20" s="93">
        <x:v>0</x:v>
      </x:c>
      <x:c r="G20" s="93">
        <x:v>0</x:v>
      </x:c>
      <x:c r="H20" s="93">
        <x:v>0</x:v>
      </x:c>
      <x:c r="I20" s="93">
        <x:v>0</x:v>
      </x:c>
      <x:c r="J20" s="93">
        <x:v>0</x:v>
      </x:c>
      <x:c r="K20" s="93" t="n">
        <x:v>0</x:v>
      </x:c>
      <x:c r="L20" s="93">
        <x:v>0</x:v>
      </x:c>
      <x:c r="M20" s="93">
        <x:v>0</x:v>
      </x:c>
      <x:c r="N20" s="93">
        <x:v>0</x:v>
      </x:c>
      <x:c r="O20" s="93">
        <x:v>0</x:v>
      </x:c>
      <x:c r="P20" s="93">
        <x:v>0</x:v>
      </x:c>
      <x:c r="Q20" s="93">
        <x:v>0</x:v>
      </x:c>
      <x:c r="R20" s="94">
        <x:v>0</x:v>
      </x:c>
    </x:row>
    <x:row r="21" spans="1:18" s="226" customFormat="1" ht="12.75" customHeight="1" x14ac:dyDescent="0.3">
      <x:c r="A21" s="98" t="s">
        <x:v>78</x:v>
      </x:c>
      <x:c r="B21" s="98" t="s">
        <x:v>70</x:v>
      </x:c>
      <x:c r="E21" s="100" t="n">
        <x:v>31276742.42</x:v>
      </x:c>
      <x:c r="F21" s="100">
        <x:v>0</x:v>
      </x:c>
      <x:c r="G21" s="100">
        <x:v>0</x:v>
      </x:c>
      <x:c r="H21" s="100">
        <x:v>0</x:v>
      </x:c>
      <x:c r="I21" s="100">
        <x:v>0</x:v>
      </x:c>
      <x:c r="J21" s="100">
        <x:v>0</x:v>
      </x:c>
      <x:c r="K21" s="100" t="n">
        <x:v>0</x:v>
      </x:c>
      <x:c r="L21" s="100">
        <x:v>0</x:v>
      </x:c>
      <x:c r="M21" s="100">
        <x:v>0</x:v>
      </x:c>
      <x:c r="N21" s="100">
        <x:v>0</x:v>
      </x:c>
      <x:c r="O21" s="100">
        <x:v>0</x:v>
      </x:c>
      <x:c r="P21" s="100">
        <x:v>0</x:v>
      </x:c>
      <x:c r="Q21" s="100">
        <x:v>0</x:v>
      </x:c>
      <x:c r="R21" s="226">
        <x:v>0</x:v>
      </x:c>
    </x:row>
    <x:row r="22" spans="1:18" ht="12.75" customHeight="1" x14ac:dyDescent="0.3">
      <x:c r="D22" s="89" t="s">
        <x:v>73</x:v>
      </x:c>
      <x:c r="E22" s="371">
        <x:v>0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>
        <x:v>0</x:v>
      </x:c>
    </x:row>
    <x:row r="23" spans="1:18" ht="12.75" customHeight="1" x14ac:dyDescent="0.3">
      <x:c r="C23" s="89" t="s">
        <x:v>156</x:v>
      </x:c>
      <x:c r="D23" s="89" t="s">
        <x:v>70</x:v>
      </x:c>
      <x:c r="E23" s="90">
        <x:v>0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>
        <x:v>0</x:v>
      </x:c>
    </x:row>
    <x:row r="24" spans="1:18" s="286" customFormat="1" ht="12.75" customHeight="1" x14ac:dyDescent="0.3">
      <x:c r="B24" s="286" t="s">
        <x:v>155</x:v>
      </x:c>
      <x:c r="C24" s="286" t="s">
        <x:v>70</x:v>
      </x:c>
      <x:c r="E24" s="286" t="n">
        <x:v>-1549869.38</x:v>
      </x:c>
      <x:c r="F24" s="286">
        <x:v>0</x:v>
      </x:c>
      <x:c r="G24" s="286">
        <x:v>0</x:v>
      </x:c>
      <x:c r="H24" s="286">
        <x:v>0</x:v>
      </x:c>
      <x:c r="I24" s="286">
        <x:v>0</x:v>
      </x:c>
      <x:c r="J24" s="286">
        <x:v>0</x:v>
      </x:c>
      <x:c r="K24" s="286">
        <x:v>0</x:v>
      </x:c>
      <x:c r="L24" s="286">
        <x:v>0</x:v>
      </x:c>
      <x:c r="M24" s="286">
        <x:v>0</x:v>
      </x:c>
      <x:c r="N24" s="286">
        <x:v>0</x:v>
      </x:c>
      <x:c r="O24" s="286">
        <x:v>0</x:v>
      </x:c>
      <x:c r="P24" s="286">
        <x:v>0</x:v>
      </x:c>
      <x:c r="Q24" s="286">
        <x:v>0</x:v>
      </x:c>
      <x:c r="R24" s="286">
        <x:v>0</x:v>
      </x:c>
    </x:row>
    <x:row r="25" spans="1:18" ht="12.75" customHeight="1" x14ac:dyDescent="0.3">
      <x:c r="D25" s="89" t="s">
        <x:v>73</x:v>
      </x:c>
      <x:c r="E25" s="371">
        <x:v>0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0</x:v>
      </x:c>
      <x:c r="R25">
        <x:v>0</x:v>
      </x:c>
    </x:row>
    <x:row r="26" spans="1:18" ht="12.75" customHeight="1" x14ac:dyDescent="0.3">
      <x:c r="C26" s="89" t="s">
        <x:v>82</x:v>
      </x:c>
      <x:c r="D26" s="89" t="s">
        <x:v>70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3">
      <x:c r="D27" s="89" t="s">
        <x:v>73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ht="12.75" customHeight="1" x14ac:dyDescent="0.3">
      <x:c r="C28" s="89" t="s">
        <x:v>86</x:v>
      </x:c>
      <x:c r="D28" s="89" t="s">
        <x:v>70</x:v>
      </x:c>
      <x:c r="E28" s="90">
        <x:v>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>
        <x:v>0</x:v>
      </x:c>
    </x:row>
    <x:row r="29" spans="1:18" ht="12.75" customHeight="1" x14ac:dyDescent="0.3">
      <x:c r="D29" s="89" t="s">
        <x:v>73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>
        <x:v>0</x:v>
      </x:c>
    </x:row>
    <x:row r="30" spans="1:18" ht="12.75" customHeight="1" x14ac:dyDescent="0.3">
      <x:c r="C30" s="89" t="s">
        <x:v>87</x:v>
      </x:c>
      <x:c r="D30" s="89" t="s">
        <x:v>70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>
        <x:v>0</x:v>
      </x:c>
    </x:row>
    <x:row r="31" spans="1:18" s="94" customFormat="1" ht="12.75" customHeight="1" x14ac:dyDescent="0.3">
      <x:c r="B31" s="101" t="s">
        <x:v>119</x:v>
      </x:c>
      <x:c r="C31" s="101" t="s">
        <x:v>70</x:v>
      </x:c>
      <x:c r="E31" s="93" t="n">
        <x:v>861197.98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4">
        <x:v>0</x:v>
      </x:c>
    </x:row>
    <x:row r="32" spans="1:18" s="226" customFormat="1" ht="12.75" customHeight="1" x14ac:dyDescent="0.3">
      <x:c r="A32" s="98" t="s">
        <x:v>79</x:v>
      </x:c>
      <x:c r="B32" s="98" t="s">
        <x:v>70</x:v>
      </x:c>
      <x:c r="E32" s="100" t="n">
        <x:v>-688671.4</x:v>
      </x:c>
      <x:c r="F32" s="100">
        <x:v>0</x:v>
      </x:c>
      <x:c r="G32" s="100">
        <x:v>0</x:v>
      </x:c>
      <x:c r="H32" s="100">
        <x:v>0</x:v>
      </x:c>
      <x:c r="I32" s="100">
        <x:v>0</x:v>
      </x:c>
      <x:c r="J32" s="100">
        <x:v>0</x:v>
      </x:c>
      <x:c r="K32" s="100">
        <x:v>0</x:v>
      </x:c>
      <x:c r="L32" s="100">
        <x:v>0</x:v>
      </x:c>
      <x:c r="M32" s="100">
        <x:v>0</x:v>
      </x:c>
      <x:c r="N32" s="100">
        <x:v>0</x:v>
      </x:c>
      <x:c r="O32" s="100">
        <x:v>0</x:v>
      </x:c>
      <x:c r="P32" s="100">
        <x:v>0</x:v>
      </x:c>
      <x:c r="Q32" s="100">
        <x:v>0</x:v>
      </x:c>
      <x:c r="R32" s="226">
        <x:v>0</x:v>
      </x:c>
    </x:row>
    <x:row r="33" spans="1:19" ht="12.75" customHeight="1" x14ac:dyDescent="0.3">
      <x:c r="A33" s="89" t="s">
        <x:v>70</x:v>
      </x:c>
      <x:c r="E33" s="90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144">
        <x:v>0</x:v>
      </x:c>
    </x:row>
    <x:row r="34" spans="1:19" ht="12.75" customHeight="1" x14ac:dyDescent="0.3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3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3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3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3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3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3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3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3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3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3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3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3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3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3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3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3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3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3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3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3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3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3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3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3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3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3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3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3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3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3"/>
    <x:row r="65" spans="2:18" x14ac:dyDescent="0.3">
      <x:c r="B65" s="97" t="s">
        <x:v>75</x:v>
      </x:c>
    </x:row>
    <x:row r="66" spans="2:18" ht="12.75" customHeight="1" x14ac:dyDescent="0.3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3">
      <x:c r="D67" s="89" t="s">
        <x:v>72</x:v>
      </x:c>
      <x:c r="E67" s="371">
        <x:v>0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>
        <x:v>0</x:v>
      </x:c>
    </x:row>
    <x:row r="68" spans="2:18" ht="12.75" customHeight="1" x14ac:dyDescent="0.3">
      <x:c r="D68" t="s">
        <x:v>81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</x:row>
    <x:row r="69" spans="2:18" ht="12.75" customHeight="1" x14ac:dyDescent="0.3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3">
      <x:c r="B70" s="739" t="s">
        <x:v>85</x:v>
      </x:c>
      <x:c r="C70" s="739" t="s">
        <x:v>70</x:v>
      </x:c>
      <x:c r="D70" s="231"/>
      <x:c r="E70" s="740" t="n">
        <x:v>149137.87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 t="n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3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3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3">
      <x:c r="B73" s="142"/>
      <x:c r="C73" t="s">
        <x:v>156</x:v>
      </x:c>
      <x:c r="D73" s="89" t="s">
        <x:v>70</x:v>
      </x:c>
      <x:c r="E73" s="371">
        <x:v>0</x:v>
      </x:c>
      <x:c r="F73" s="90">
        <x:v>0</x:v>
      </x:c>
      <x:c r="G73" s="90">
        <x:v>0</x:v>
      </x:c>
      <x:c r="H73" s="90">
        <x:v>0</x:v>
      </x:c>
      <x:c r="I73" s="90">
        <x:v>0</x:v>
      </x:c>
      <x:c r="J73" s="90">
        <x:v>0</x:v>
      </x:c>
      <x:c r="K73" s="90">
        <x:v>0</x:v>
      </x:c>
      <x:c r="L73" s="90">
        <x:v>0</x:v>
      </x:c>
      <x:c r="M73" s="90">
        <x:v>0</x:v>
      </x:c>
      <x:c r="N73" s="90">
        <x:v>0</x:v>
      </x:c>
      <x:c r="O73" s="90">
        <x:v>0</x:v>
      </x:c>
      <x:c r="P73" s="90">
        <x:v>0</x:v>
      </x:c>
      <x:c r="Q73" s="90">
        <x:v>0</x:v>
      </x:c>
      <x:c r="R73">
        <x:v>0</x:v>
      </x:c>
    </x:row>
    <x:row r="74" spans="2:18" s="286" customFormat="1" ht="12.75" customHeight="1" x14ac:dyDescent="0.3">
      <x:c r="B74" s="751" t="s">
        <x:v>155</x:v>
      </x:c>
      <x:c r="C74" s="286" t="s">
        <x:v>70</x:v>
      </x:c>
      <x:c r="D74" s="229"/>
      <x:c r="E74" s="752" t="n">
        <x:v>58544042.33</x:v>
      </x:c>
      <x:c r="F74" s="230">
        <x:v>0</x:v>
      </x:c>
      <x:c r="G74" s="230">
        <x:v>0</x:v>
      </x:c>
      <x:c r="H74" s="230">
        <x:v>0</x:v>
      </x:c>
      <x:c r="I74" s="230">
        <x:v>0</x:v>
      </x:c>
      <x:c r="J74" s="230">
        <x:v>0</x:v>
      </x:c>
      <x:c r="K74" s="230" t="n">
        <x:v>70736.95</x:v>
      </x:c>
      <x:c r="L74" s="230">
        <x:v>0</x:v>
      </x:c>
      <x:c r="M74" s="230">
        <x:v>0</x:v>
      </x:c>
      <x:c r="N74" s="230">
        <x:v>0</x:v>
      </x:c>
      <x:c r="O74" s="230">
        <x:v>0</x:v>
      </x:c>
      <x:c r="P74" s="230">
        <x:v>0</x:v>
      </x:c>
      <x:c r="Q74" s="230">
        <x:v>0</x:v>
      </x:c>
      <x:c r="R74" s="286">
        <x:v>0</x:v>
      </x:c>
    </x:row>
    <x:row r="75" spans="2:18" ht="12.65" customHeight="1" x14ac:dyDescent="0.3">
      <x:c r="B75" s="142"/>
      <x:c r="D75" s="89" t="s">
        <x:v>72</x:v>
      </x:c>
      <x:c r="E75" s="371">
        <x:v>0</x:v>
      </x:c>
      <x:c r="F75" s="90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>
        <x:v>0</x:v>
      </x:c>
    </x:row>
    <x:row r="76" spans="2:18" ht="12.75" customHeight="1" x14ac:dyDescent="0.3">
      <x:c r="B76" s="142"/>
      <x:c r="D76" s="89" t="s">
        <x:v>81</x:v>
      </x:c>
      <x:c r="E76" s="371">
        <x:v>0</x:v>
      </x:c>
      <x:c r="F76" s="90">
        <x:v>0</x:v>
      </x:c>
      <x:c r="G76" s="90">
        <x:v>0</x:v>
      </x:c>
      <x:c r="H76" s="90">
        <x:v>0</x:v>
      </x:c>
      <x:c r="I76" s="90">
        <x:v>0</x:v>
      </x:c>
      <x:c r="J76" s="90">
        <x:v>0</x:v>
      </x:c>
      <x:c r="K76" s="90">
        <x:v>0</x:v>
      </x:c>
      <x:c r="L76" s="90">
        <x:v>0</x:v>
      </x:c>
      <x:c r="M76" s="90">
        <x:v>0</x:v>
      </x:c>
      <x:c r="N76" s="90">
        <x:v>0</x:v>
      </x:c>
      <x:c r="O76" s="90">
        <x:v>0</x:v>
      </x:c>
      <x:c r="P76" s="90">
        <x:v>0</x:v>
      </x:c>
      <x:c r="Q76" s="90">
        <x:v>0</x:v>
      </x:c>
      <x:c r="R76">
        <x:v>0</x:v>
      </x:c>
    </x:row>
    <x:row r="77" spans="2:18" ht="12.75" customHeight="1" x14ac:dyDescent="0.3">
      <x:c r="B77" s="142"/>
      <x:c r="C77" t="s">
        <x:v>115</x:v>
      </x:c>
      <x:c r="D77" s="89" t="s">
        <x:v>70</x:v>
      </x:c>
      <x:c r="E77" s="90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2:18" ht="12.75" customHeight="1" x14ac:dyDescent="0.3">
      <x:c r="B78" s="142"/>
      <x:c r="C78" s="89"/>
      <x:c r="D78" s="89" t="s">
        <x:v>72</x:v>
      </x:c>
      <x:c r="E78" s="371">
        <x:v>0</x:v>
      </x:c>
      <x:c r="F78" s="90">
        <x:v>0</x:v>
      </x:c>
      <x:c r="G78" s="90">
        <x:v>0</x:v>
      </x:c>
      <x:c r="H78" s="90">
        <x:v>0</x:v>
      </x:c>
      <x:c r="I78" s="90">
        <x:v>0</x:v>
      </x:c>
      <x:c r="J78" s="90">
        <x:v>0</x:v>
      </x:c>
      <x:c r="K78" s="90">
        <x:v>0</x:v>
      </x:c>
      <x:c r="L78" s="90">
        <x:v>0</x:v>
      </x:c>
      <x:c r="M78" s="90">
        <x:v>0</x:v>
      </x:c>
      <x:c r="N78" s="90">
        <x:v>0</x:v>
      </x:c>
      <x:c r="O78" s="90">
        <x:v>0</x:v>
      </x:c>
      <x:c r="P78" s="90">
        <x:v>0</x:v>
      </x:c>
      <x:c r="Q78" s="90">
        <x:v>0</x:v>
      </x:c>
      <x:c r="R78">
        <x:v>0</x:v>
      </x:c>
    </x:row>
    <x:row r="79" spans="2:18" ht="12.75" customHeight="1" x14ac:dyDescent="0.3">
      <x:c r="B79" s="142"/>
      <x:c r="D79" s="89" t="s">
        <x:v>81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2:18" ht="12.75" customHeight="1" x14ac:dyDescent="0.3">
      <x:c r="B80" s="142"/>
      <x:c r="C80" s="89" t="s">
        <x:v>116</x:v>
      </x:c>
      <x:c r="D80" s="89" t="s">
        <x:v>70</x:v>
      </x:c>
      <x:c r="E80" s="371">
        <x:v>0</x:v>
      </x:c>
      <x:c r="F80" s="90">
        <x:v>0</x:v>
      </x:c>
      <x:c r="G80" s="90">
        <x:v>0</x:v>
      </x:c>
      <x:c r="H80" s="90">
        <x:v>0</x:v>
      </x:c>
      <x:c r="I80" s="90">
        <x:v>0</x:v>
      </x:c>
      <x:c r="J80" s="90">
        <x:v>0</x:v>
      </x:c>
      <x:c r="K80" s="90">
        <x:v>0</x:v>
      </x:c>
      <x:c r="L80" s="90">
        <x:v>0</x:v>
      </x:c>
      <x:c r="M80" s="90">
        <x:v>0</x:v>
      </x:c>
      <x:c r="N80" s="90">
        <x:v>0</x:v>
      </x:c>
      <x:c r="O80" s="90">
        <x:v>0</x:v>
      </x:c>
      <x:c r="P80" s="90">
        <x:v>0</x:v>
      </x:c>
      <x:c r="Q80" s="90">
        <x:v>0</x:v>
      </x:c>
      <x:c r="R80">
        <x:v>0</x:v>
      </x:c>
    </x:row>
    <x:row r="81" spans="2:18" ht="12.75" customHeight="1" x14ac:dyDescent="0.3">
      <x:c r="B81" s="142"/>
      <x:c r="C81" s="89"/>
      <x:c r="D81" s="89" t="s">
        <x:v>72</x:v>
      </x:c>
      <x:c r="E81" s="371">
        <x:v>0</x:v>
      </x:c>
      <x:c r="F81" s="90">
        <x:v>0</x:v>
      </x:c>
      <x:c r="G81" s="90">
        <x:v>0</x:v>
      </x:c>
      <x:c r="H81" s="90">
        <x:v>0</x:v>
      </x:c>
      <x:c r="I81" s="90">
        <x:v>0</x:v>
      </x:c>
      <x:c r="J81" s="90">
        <x:v>0</x:v>
      </x:c>
      <x:c r="K81" s="90">
        <x:v>0</x:v>
      </x:c>
      <x:c r="L81" s="90">
        <x:v>0</x:v>
      </x:c>
      <x:c r="M81" s="90">
        <x:v>0</x:v>
      </x:c>
      <x:c r="N81" s="90">
        <x:v>0</x:v>
      </x:c>
      <x:c r="O81" s="90">
        <x:v>0</x:v>
      </x:c>
      <x:c r="P81" s="90">
        <x:v>0</x:v>
      </x:c>
      <x:c r="Q81" s="90">
        <x:v>0</x:v>
      </x:c>
      <x:c r="R81">
        <x:v>0</x:v>
      </x:c>
    </x:row>
    <x:row r="82" spans="2:18" ht="12.75" customHeight="1" x14ac:dyDescent="0.3">
      <x:c r="B82" s="142"/>
      <x:c r="C82" s="89"/>
      <x:c r="D82" s="89" t="s">
        <x:v>81</x:v>
      </x:c>
      <x:c r="E82" s="371">
        <x:v>0</x:v>
      </x:c>
      <x:c r="F82" s="90">
        <x:v>0</x:v>
      </x:c>
      <x:c r="G82" s="90">
        <x:v>0</x:v>
      </x:c>
      <x:c r="H82" s="90">
        <x:v>0</x:v>
      </x:c>
      <x:c r="I82" s="90">
        <x:v>0</x:v>
      </x:c>
      <x:c r="J82" s="90">
        <x:v>0</x:v>
      </x:c>
      <x:c r="K82" s="90">
        <x:v>0</x:v>
      </x:c>
      <x:c r="L82" s="90">
        <x:v>0</x:v>
      </x:c>
      <x:c r="M82" s="90">
        <x:v>0</x:v>
      </x:c>
      <x:c r="N82" s="90">
        <x:v>0</x:v>
      </x:c>
      <x:c r="O82" s="90">
        <x:v>0</x:v>
      </x:c>
      <x:c r="P82" s="90">
        <x:v>0</x:v>
      </x:c>
      <x:c r="Q82" s="90">
        <x:v>0</x:v>
      </x:c>
      <x:c r="R82">
        <x:v>0</x:v>
      </x:c>
    </x:row>
    <x:row r="83" spans="2:18" ht="12.75" customHeight="1" x14ac:dyDescent="0.3">
      <x:c r="B83" s="142"/>
      <x:c r="C83" s="773">
        <x:v>3</x:v>
      </x:c>
      <x:c r="D83" s="89" t="s">
        <x:v>70</x:v>
      </x:c>
      <x:c r="E83" s="371">
        <x:v>0</x:v>
      </x:c>
      <x:c r="F83" s="90">
        <x:v>0</x:v>
      </x:c>
      <x:c r="G83" s="90">
        <x:v>0</x:v>
      </x:c>
      <x:c r="H83" s="90">
        <x:v>0</x:v>
      </x:c>
      <x:c r="I83" s="90">
        <x:v>0</x:v>
      </x:c>
      <x:c r="J83" s="90">
        <x:v>0</x:v>
      </x:c>
      <x:c r="K83" s="90">
        <x:v>0</x:v>
      </x:c>
      <x:c r="L83" s="90">
        <x:v>0</x:v>
      </x:c>
      <x:c r="M83" s="90">
        <x:v>0</x:v>
      </x:c>
      <x:c r="N83" s="90">
        <x:v>0</x:v>
      </x:c>
      <x:c r="O83" s="90">
        <x:v>0</x:v>
      </x:c>
      <x:c r="P83" s="90">
        <x:v>0</x:v>
      </x:c>
      <x:c r="Q83" s="90">
        <x:v>0</x:v>
      </x:c>
      <x:c r="R83">
        <x:v>0</x:v>
      </x:c>
    </x:row>
    <x:row r="84" spans="2:18" ht="12.75" customHeight="1" x14ac:dyDescent="0.3">
      <x:c r="B84" s="142"/>
      <x:c r="C84" s="89"/>
      <x:c r="D84" s="89" t="s">
        <x:v>72</x:v>
      </x:c>
      <x:c r="E84" s="371">
        <x:v>0</x:v>
      </x:c>
      <x:c r="F84" s="90">
        <x:v>0</x:v>
      </x:c>
      <x:c r="G84" s="90">
        <x:v>0</x:v>
      </x:c>
      <x:c r="H84" s="90">
        <x:v>0</x:v>
      </x:c>
      <x:c r="I84" s="90">
        <x:v>0</x:v>
      </x:c>
      <x:c r="J84" s="90">
        <x:v>0</x:v>
      </x:c>
      <x:c r="K84" s="90">
        <x:v>0</x:v>
      </x:c>
      <x:c r="L84" s="90">
        <x:v>0</x:v>
      </x:c>
      <x:c r="M84" s="90">
        <x:v>0</x:v>
      </x:c>
      <x:c r="N84" s="90">
        <x:v>0</x:v>
      </x:c>
      <x:c r="O84" s="90">
        <x:v>0</x:v>
      </x:c>
      <x:c r="P84" s="90">
        <x:v>0</x:v>
      </x:c>
      <x:c r="Q84" s="90">
        <x:v>0</x:v>
      </x:c>
      <x:c r="R84">
        <x:v>0</x:v>
      </x:c>
    </x:row>
    <x:row r="85" spans="2:18" ht="12.75" customHeight="1" x14ac:dyDescent="0.3">
      <x:c r="B85" s="142"/>
      <x:c r="C85" s="89"/>
      <x:c r="D85" s="89" t="s">
        <x:v>81</x:v>
      </x:c>
      <x:c r="E85" s="371">
        <x:v>0</x:v>
      </x:c>
      <x:c r="F85" s="90">
        <x:v>0</x:v>
      </x:c>
      <x:c r="G85" s="90">
        <x:v>0</x:v>
      </x:c>
      <x:c r="H85" s="90">
        <x:v>0</x:v>
      </x:c>
      <x:c r="I85" s="90">
        <x:v>0</x:v>
      </x:c>
      <x:c r="J85" s="90">
        <x:v>0</x:v>
      </x:c>
      <x:c r="K85" s="90">
        <x:v>0</x:v>
      </x:c>
      <x:c r="L85" s="90">
        <x:v>0</x:v>
      </x:c>
      <x:c r="M85" s="90">
        <x:v>0</x:v>
      </x:c>
      <x:c r="N85" s="90">
        <x:v>0</x:v>
      </x:c>
      <x:c r="O85" s="90">
        <x:v>0</x:v>
      </x:c>
      <x:c r="P85" s="90">
        <x:v>0</x:v>
      </x:c>
      <x:c r="Q85" s="90">
        <x:v>0</x:v>
      </x:c>
      <x:c r="R85">
        <x:v>0</x:v>
      </x:c>
    </x:row>
    <x:row r="86" spans="2:18" ht="12.75" customHeight="1" x14ac:dyDescent="0.3">
      <x:c r="B86" s="142"/>
      <x:c r="C86" s="89" t="s">
        <x:v>118</x:v>
      </x:c>
      <x:c r="D86" s="89" t="s">
        <x:v>70</x:v>
      </x:c>
      <x:c r="E86" s="371">
        <x:v>0</x:v>
      </x:c>
      <x:c r="F86" s="90">
        <x:v>0</x:v>
      </x:c>
      <x:c r="G86" s="90">
        <x:v>0</x:v>
      </x:c>
      <x:c r="H86" s="90">
        <x:v>0</x:v>
      </x:c>
      <x:c r="I86" s="90">
        <x:v>0</x:v>
      </x:c>
      <x:c r="J86" s="90">
        <x:v>0</x:v>
      </x:c>
      <x:c r="K86" s="90">
        <x:v>0</x:v>
      </x:c>
      <x:c r="L86" s="90">
        <x:v>0</x:v>
      </x:c>
      <x:c r="M86" s="90">
        <x:v>0</x:v>
      </x:c>
      <x:c r="N86" s="90">
        <x:v>0</x:v>
      </x:c>
      <x:c r="O86" s="90">
        <x:v>0</x:v>
      </x:c>
      <x:c r="P86" s="90">
        <x:v>0</x:v>
      </x:c>
      <x:c r="Q86" s="90">
        <x:v>0</x:v>
      </x:c>
      <x:c r="R86">
        <x:v>0</x:v>
      </x:c>
    </x:row>
    <x:row r="87" spans="2:18" ht="12.75" customHeight="1" x14ac:dyDescent="0.3">
      <x:c r="B87" s="142"/>
      <x:c r="C87" s="89"/>
      <x:c r="D87" s="89" t="s">
        <x:v>72</x:v>
      </x:c>
      <x:c r="E87" s="371">
        <x:v>0</x:v>
      </x:c>
      <x:c r="F87" s="90">
        <x:v>0</x:v>
      </x:c>
      <x:c r="G87" s="90">
        <x:v>0</x:v>
      </x:c>
      <x:c r="H87" s="90">
        <x:v>0</x:v>
      </x:c>
      <x:c r="I87" s="90">
        <x:v>0</x:v>
      </x:c>
      <x:c r="J87" s="90">
        <x:v>0</x:v>
      </x:c>
      <x:c r="K87" s="90">
        <x:v>0</x:v>
      </x:c>
      <x:c r="L87" s="90">
        <x:v>0</x:v>
      </x:c>
      <x:c r="M87" s="90">
        <x:v>0</x:v>
      </x:c>
      <x:c r="N87" s="90">
        <x:v>0</x:v>
      </x:c>
      <x:c r="O87" s="90">
        <x:v>0</x:v>
      </x:c>
      <x:c r="P87" s="90">
        <x:v>0</x:v>
      </x:c>
      <x:c r="Q87" s="90">
        <x:v>0</x:v>
      </x:c>
      <x:c r="R87">
        <x:v>0</x:v>
      </x:c>
    </x:row>
    <x:row r="88" spans="2:18" ht="12.75" customHeight="1" x14ac:dyDescent="0.3">
      <x:c r="B88" s="142"/>
      <x:c r="C88" s="89"/>
      <x:c r="D88" s="89" t="s">
        <x:v>81</x:v>
      </x:c>
      <x:c r="E88" s="371">
        <x:v>0</x:v>
      </x:c>
      <x:c r="F88" s="90">
        <x:v>0</x:v>
      </x:c>
      <x:c r="G88" s="90">
        <x:v>0</x:v>
      </x:c>
      <x:c r="H88" s="90">
        <x:v>0</x:v>
      </x:c>
      <x:c r="I88" s="90">
        <x:v>0</x:v>
      </x:c>
      <x:c r="J88" s="90">
        <x:v>0</x:v>
      </x:c>
      <x:c r="K88" s="90">
        <x:v>0</x:v>
      </x:c>
      <x:c r="L88" s="90">
        <x:v>0</x:v>
      </x:c>
      <x:c r="M88" s="90">
        <x:v>0</x:v>
      </x:c>
      <x:c r="N88" s="90">
        <x:v>0</x:v>
      </x:c>
      <x:c r="O88" s="90">
        <x:v>0</x:v>
      </x:c>
      <x:c r="P88" s="90">
        <x:v>0</x:v>
      </x:c>
      <x:c r="Q88" s="90">
        <x:v>0</x:v>
      </x:c>
      <x:c r="R88">
        <x:v>0</x:v>
      </x:c>
    </x:row>
    <x:row r="89" spans="2:18" ht="12.75" customHeight="1" x14ac:dyDescent="0.3">
      <x:c r="B89" s="142"/>
      <x:c r="C89" s="773">
        <x:v>9</x:v>
      </x:c>
      <x:c r="D89" s="89" t="s">
        <x:v>70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s="224" customFormat="1" ht="12.75" customHeight="1" x14ac:dyDescent="0.3">
      <x:c r="B90" s="224" t="s">
        <x:v>120</x:v>
      </x:c>
      <x:c r="C90" s="224" t="s">
        <x:v>70</x:v>
      </x:c>
      <x:c r="E90" s="224" t="n">
        <x:v>16015076.93</x:v>
      </x:c>
      <x:c r="F90" s="224">
        <x:v>0</x:v>
      </x:c>
      <x:c r="G90" s="224">
        <x:v>0</x:v>
      </x:c>
      <x:c r="H90" s="224">
        <x:v>0</x:v>
      </x:c>
      <x:c r="I90" s="224">
        <x:v>0</x:v>
      </x:c>
      <x:c r="J90" s="224">
        <x:v>0</x:v>
      </x:c>
      <x:c r="K90" s="224" t="n">
        <x:v>0</x:v>
      </x:c>
      <x:c r="L90" s="224">
        <x:v>0</x:v>
      </x:c>
      <x:c r="M90" s="224">
        <x:v>0</x:v>
      </x:c>
      <x:c r="N90" s="224">
        <x:v>0</x:v>
      </x:c>
      <x:c r="O90" s="224">
        <x:v>0</x:v>
      </x:c>
      <x:c r="P90" s="224">
        <x:v>0</x:v>
      </x:c>
      <x:c r="Q90" s="224">
        <x:v>0</x:v>
      </x:c>
      <x:c r="R90" s="224">
        <x:v>0</x:v>
      </x:c>
    </x:row>
    <x:row r="91" spans="2:18" ht="12.75" customHeight="1" x14ac:dyDescent="0.3">
      <x:c r="D91" t="s">
        <x:v>72</x:v>
      </x:c>
      <x:c r="E91" s="142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</x:row>
    <x:row r="92" spans="2:18" ht="12.75" customHeight="1" x14ac:dyDescent="0.3">
      <x:c r="D92" t="s">
        <x:v>81</x:v>
      </x:c>
      <x:c r="E92" s="14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</x:row>
    <x:row r="93" spans="2:18" ht="12.75" customHeight="1" x14ac:dyDescent="0.3">
      <x:c r="C93" t="s">
        <x:v>82</x:v>
      </x:c>
      <x:c r="D93" t="s">
        <x:v>70</x:v>
      </x:c>
      <x:c r="E93" s="142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  <x:c r="L93">
        <x:v>0</x:v>
      </x:c>
      <x:c r="M93">
        <x:v>0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</x:row>
    <x:row r="94" spans="2:18" ht="12.75" customHeight="1" x14ac:dyDescent="0.3">
      <x:c r="D94" t="s">
        <x:v>72</x:v>
      </x:c>
      <x:c r="E94" s="142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</x:row>
    <x:row r="95" spans="2:18" ht="12.75" customHeight="1" x14ac:dyDescent="0.3">
      <x:c r="D95" t="s">
        <x:v>81</x:v>
      </x:c>
      <x:c r="E95" s="142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</x:row>
    <x:row r="96" spans="2:18" ht="12.75" customHeight="1" x14ac:dyDescent="0.3">
      <x:c r="C96" t="s">
        <x:v>86</x:v>
      </x:c>
      <x:c r="D96" t="s">
        <x:v>70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  <x:c r="L96">
        <x:v>0</x:v>
      </x:c>
      <x:c r="M96">
        <x:v>0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</x:row>
    <x:row r="97" spans="1:18" ht="12.75" customHeight="1" x14ac:dyDescent="0.3">
      <x:c r="D97" t="s">
        <x:v>72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  <x:c r="L97">
        <x:v>0</x:v>
      </x:c>
      <x:c r="M97">
        <x:v>0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</x:row>
    <x:row r="98" spans="1:18" ht="12.75" customHeight="1" x14ac:dyDescent="0.3">
      <x:c r="D98" t="s">
        <x:v>81</x:v>
      </x:c>
      <x:c r="E98" s="142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  <x:c r="L98">
        <x:v>0</x:v>
      </x:c>
      <x:c r="M98">
        <x:v>0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</x:row>
    <x:row r="99" spans="1:18" ht="12.75" customHeight="1" x14ac:dyDescent="0.3">
      <x:c r="C99" s="89" t="s">
        <x:v>87</x:v>
      </x:c>
      <x:c r="D99" s="89" t="s">
        <x:v>70</x:v>
      </x:c>
      <x:c r="E99" s="90">
        <x:v>0</x:v>
      </x:c>
      <x:c r="F99" s="90">
        <x:v>0</x:v>
      </x:c>
      <x:c r="G99" s="90">
        <x:v>0</x:v>
      </x:c>
      <x:c r="H99" s="90">
        <x:v>0</x:v>
      </x:c>
      <x:c r="I99" s="90">
        <x:v>0</x:v>
      </x:c>
      <x:c r="J99" s="90">
        <x:v>0</x:v>
      </x:c>
      <x:c r="K99" s="90">
        <x:v>0</x:v>
      </x:c>
      <x:c r="L99" s="90">
        <x:v>0</x:v>
      </x:c>
      <x:c r="M99" s="90">
        <x:v>0</x:v>
      </x:c>
      <x:c r="N99" s="90">
        <x:v>0</x:v>
      </x:c>
      <x:c r="O99" s="90">
        <x:v>0</x:v>
      </x:c>
      <x:c r="P99" s="90">
        <x:v>0</x:v>
      </x:c>
      <x:c r="Q99" s="90">
        <x:v>0</x:v>
      </x:c>
      <x:c r="R99">
        <x:v>0</x:v>
      </x:c>
    </x:row>
    <x:row r="100" spans="1:18" s="94" customFormat="1" ht="12.75" customHeight="1" x14ac:dyDescent="0.3">
      <x:c r="B100" s="94" t="s">
        <x:v>119</x:v>
      </x:c>
      <x:c r="C100" s="101" t="s">
        <x:v>70</x:v>
      </x:c>
      <x:c r="D100" s="101"/>
      <x:c r="E100" s="93" t="n">
        <x:v>41702163.54</x:v>
      </x:c>
      <x:c r="F100" s="93">
        <x:v>0</x:v>
      </x:c>
      <x:c r="G100" s="93">
        <x:v>0</x:v>
      </x:c>
      <x:c r="H100" s="93">
        <x:v>0</x:v>
      </x:c>
      <x:c r="I100" s="93">
        <x:v>0</x:v>
      </x:c>
      <x:c r="J100" s="93">
        <x:v>0</x:v>
      </x:c>
      <x:c r="K100" s="93" t="n">
        <x:v>0</x:v>
      </x:c>
      <x:c r="L100" s="93">
        <x:v>0</x:v>
      </x:c>
      <x:c r="M100" s="93">
        <x:v>0</x:v>
      </x:c>
      <x:c r="N100" s="93">
        <x:v>0</x:v>
      </x:c>
      <x:c r="O100" s="93">
        <x:v>0</x:v>
      </x:c>
      <x:c r="P100" s="93">
        <x:v>0</x:v>
      </x:c>
      <x:c r="Q100" s="93">
        <x:v>0</x:v>
      </x:c>
      <x:c r="R100" s="94">
        <x:v>0</x:v>
      </x:c>
    </x:row>
    <x:row r="101" spans="1:18" s="226" customFormat="1" ht="12.75" customHeight="1" x14ac:dyDescent="0.3">
      <x:c r="A101" s="98" t="s">
        <x:v>78</x:v>
      </x:c>
      <x:c r="B101" s="98" t="s">
        <x:v>70</x:v>
      </x:c>
      <x:c r="E101" s="100" t="n">
        <x:v>116410420.67</x:v>
      </x:c>
      <x:c r="F101" s="100">
        <x:v>0</x:v>
      </x:c>
      <x:c r="G101" s="100">
        <x:v>0</x:v>
      </x:c>
      <x:c r="H101" s="100">
        <x:v>0</x:v>
      </x:c>
      <x:c r="I101" s="100">
        <x:v>0</x:v>
      </x:c>
      <x:c r="J101" s="100">
        <x:v>0</x:v>
      </x:c>
      <x:c r="K101" s="100" t="n">
        <x:v>70736.95</x:v>
      </x:c>
      <x:c r="L101" s="100">
        <x:v>0</x:v>
      </x:c>
      <x:c r="M101" s="100">
        <x:v>0</x:v>
      </x:c>
      <x:c r="N101" s="100">
        <x:v>0</x:v>
      </x:c>
      <x:c r="O101" s="100">
        <x:v>0</x:v>
      </x:c>
      <x:c r="P101" s="100">
        <x:v>0</x:v>
      </x:c>
      <x:c r="Q101" s="100">
        <x:v>0</x:v>
      </x:c>
      <x:c r="R101" s="226">
        <x:v>0</x:v>
      </x:c>
    </x:row>
    <x:row r="102" spans="1:18" ht="12.75" customHeight="1" x14ac:dyDescent="0.3">
      <x:c r="C102" s="89"/>
      <x:c r="D102" s="89" t="s">
        <x:v>73</x:v>
      </x:c>
      <x:c r="E102" s="90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1:18" ht="12.75" customHeight="1" x14ac:dyDescent="0.3">
      <x:c r="C103" s="89" t="s">
        <x:v>156</x:v>
      </x:c>
      <x:c r="D103" s="89" t="s">
        <x:v>70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1:18" s="286" customFormat="1" ht="12.75" customHeight="1" x14ac:dyDescent="0.3">
      <x:c r="B104" s="286" t="s">
        <x:v>155</x:v>
      </x:c>
      <x:c r="C104" s="229" t="s">
        <x:v>70</x:v>
      </x:c>
      <x:c r="D104" s="229"/>
      <x:c r="E104" s="752" t="n">
        <x:v>-19130403.64</x:v>
      </x:c>
      <x:c r="F104" s="230">
        <x:v>0</x:v>
      </x:c>
      <x:c r="G104" s="230">
        <x:v>0</x:v>
      </x:c>
      <x:c r="H104" s="230">
        <x:v>0</x:v>
      </x:c>
      <x:c r="I104" s="230">
        <x:v>0</x:v>
      </x:c>
      <x:c r="J104" s="230">
        <x:v>0</x:v>
      </x:c>
      <x:c r="K104" s="230">
        <x:v>0</x:v>
      </x:c>
      <x:c r="L104" s="230">
        <x:v>0</x:v>
      </x:c>
      <x:c r="M104" s="230">
        <x:v>0</x:v>
      </x:c>
      <x:c r="N104" s="230">
        <x:v>0</x:v>
      </x:c>
      <x:c r="O104" s="230">
        <x:v>0</x:v>
      </x:c>
      <x:c r="P104" s="230">
        <x:v>0</x:v>
      </x:c>
      <x:c r="Q104" s="230">
        <x:v>0</x:v>
      </x:c>
      <x:c r="R104" s="286">
        <x:v>0</x:v>
      </x:c>
    </x:row>
    <x:row r="105" spans="1:18" ht="12.75" customHeight="1" x14ac:dyDescent="0.3">
      <x:c r="C105" s="89"/>
      <x:c r="D105" s="89" t="s">
        <x:v>73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1:18" ht="12.75" customHeight="1" x14ac:dyDescent="0.3">
      <x:c r="C106" s="89" t="s">
        <x:v>115</x:v>
      </x:c>
      <x:c r="D106" s="89" t="s">
        <x:v>70</x:v>
      </x:c>
      <x:c r="E106" s="90">
        <x:v>0</x:v>
      </x:c>
      <x:c r="F106" s="90">
        <x:v>0</x:v>
      </x:c>
      <x:c r="G106" s="90">
        <x:v>0</x:v>
      </x:c>
      <x:c r="H106" s="90">
        <x:v>0</x:v>
      </x:c>
      <x:c r="I106" s="90">
        <x:v>0</x:v>
      </x:c>
      <x:c r="J106" s="90">
        <x:v>0</x:v>
      </x:c>
      <x:c r="K106" s="90">
        <x:v>0</x:v>
      </x:c>
      <x:c r="L106" s="90">
        <x:v>0</x:v>
      </x:c>
      <x:c r="M106" s="90">
        <x:v>0</x:v>
      </x:c>
      <x:c r="N106" s="90">
        <x:v>0</x:v>
      </x:c>
      <x:c r="O106" s="90">
        <x:v>0</x:v>
      </x:c>
      <x:c r="P106" s="90">
        <x:v>0</x:v>
      </x:c>
      <x:c r="Q106" s="90">
        <x:v>0</x:v>
      </x:c>
      <x:c r="R106">
        <x:v>0</x:v>
      </x:c>
    </x:row>
    <x:row r="107" spans="1:18" ht="12.75" customHeight="1" x14ac:dyDescent="0.3">
      <x:c r="C107" s="89"/>
      <x:c r="D107" s="89" t="s">
        <x:v>73</x:v>
      </x:c>
      <x:c r="E107" s="371">
        <x:v>0</x:v>
      </x:c>
      <x:c r="F107" s="90">
        <x:v>0</x:v>
      </x:c>
      <x:c r="G107" s="90">
        <x:v>0</x:v>
      </x:c>
      <x:c r="H107" s="90">
        <x:v>0</x:v>
      </x:c>
      <x:c r="I107" s="90">
        <x:v>0</x:v>
      </x:c>
      <x:c r="J107" s="90">
        <x:v>0</x:v>
      </x:c>
      <x:c r="K107" s="90">
        <x:v>0</x:v>
      </x:c>
      <x:c r="L107" s="90">
        <x:v>0</x:v>
      </x:c>
      <x:c r="M107" s="90">
        <x:v>0</x:v>
      </x:c>
      <x:c r="N107" s="90">
        <x:v>0</x:v>
      </x:c>
      <x:c r="O107" s="90">
        <x:v>0</x:v>
      </x:c>
      <x:c r="P107" s="90">
        <x:v>0</x:v>
      </x:c>
      <x:c r="Q107" s="90">
        <x:v>0</x:v>
      </x:c>
      <x:c r="R107">
        <x:v>0</x:v>
      </x:c>
    </x:row>
    <x:row r="108" spans="1:18" ht="12.75" customHeight="1" x14ac:dyDescent="0.3">
      <x:c r="C108" s="89" t="s">
        <x:v>116</x:v>
      </x:c>
      <x:c r="D108" s="89" t="s">
        <x:v>70</x:v>
      </x:c>
      <x:c r="E108" s="90">
        <x:v>0</x:v>
      </x:c>
      <x:c r="F108" s="90">
        <x:v>0</x:v>
      </x:c>
      <x:c r="G108" s="90">
        <x:v>0</x:v>
      </x:c>
      <x:c r="H108" s="90">
        <x:v>0</x:v>
      </x:c>
      <x:c r="I108" s="90">
        <x:v>0</x:v>
      </x:c>
      <x:c r="J108" s="90">
        <x:v>0</x:v>
      </x:c>
      <x:c r="K108" s="90">
        <x:v>0</x:v>
      </x:c>
      <x:c r="L108" s="90">
        <x:v>0</x:v>
      </x:c>
      <x:c r="M108" s="90">
        <x:v>0</x:v>
      </x:c>
      <x:c r="N108" s="90">
        <x:v>0</x:v>
      </x:c>
      <x:c r="O108" s="90">
        <x:v>0</x:v>
      </x:c>
      <x:c r="P108" s="90">
        <x:v>0</x:v>
      </x:c>
      <x:c r="Q108" s="90">
        <x:v>0</x:v>
      </x:c>
      <x:c r="R108">
        <x:v>0</x:v>
      </x:c>
    </x:row>
    <x:row r="109" spans="1:18" ht="12.75" customHeight="1" x14ac:dyDescent="0.3">
      <x:c r="C109" s="89"/>
      <x:c r="D109" s="89" t="s">
        <x:v>73</x:v>
      </x:c>
      <x:c r="E109" s="371">
        <x:v>0</x:v>
      </x:c>
      <x:c r="F109" s="90">
        <x:v>0</x:v>
      </x:c>
      <x:c r="G109" s="90">
        <x:v>0</x:v>
      </x:c>
      <x:c r="H109" s="90">
        <x:v>0</x:v>
      </x:c>
      <x:c r="I109" s="90">
        <x:v>0</x:v>
      </x:c>
      <x:c r="J109" s="90">
        <x:v>0</x:v>
      </x:c>
      <x:c r="K109" s="90">
        <x:v>0</x:v>
      </x:c>
      <x:c r="L109" s="90">
        <x:v>0</x:v>
      </x:c>
      <x:c r="M109" s="90">
        <x:v>0</x:v>
      </x:c>
      <x:c r="N109" s="90">
        <x:v>0</x:v>
      </x:c>
      <x:c r="O109" s="90">
        <x:v>0</x:v>
      </x:c>
      <x:c r="P109" s="90">
        <x:v>0</x:v>
      </x:c>
      <x:c r="Q109" s="90">
        <x:v>0</x:v>
      </x:c>
      <x:c r="R109">
        <x:v>0</x:v>
      </x:c>
    </x:row>
    <x:row r="110" spans="1:18" ht="12.75" customHeight="1" x14ac:dyDescent="0.3">
      <x:c r="C110" s="773">
        <x:v>3</x:v>
      </x:c>
      <x:c r="D110" s="89" t="s">
        <x:v>70</x:v>
      </x:c>
      <x:c r="E110" s="90">
        <x:v>0</x:v>
      </x:c>
      <x:c r="F110" s="90">
        <x:v>0</x:v>
      </x:c>
      <x:c r="G110" s="90">
        <x:v>0</x:v>
      </x:c>
      <x:c r="H110" s="90">
        <x:v>0</x:v>
      </x:c>
      <x:c r="I110" s="90">
        <x:v>0</x:v>
      </x:c>
      <x:c r="J110" s="90">
        <x:v>0</x:v>
      </x:c>
      <x:c r="K110" s="90">
        <x:v>0</x:v>
      </x:c>
      <x:c r="L110" s="90">
        <x:v>0</x:v>
      </x:c>
      <x:c r="M110" s="90">
        <x:v>0</x:v>
      </x:c>
      <x:c r="N110" s="90">
        <x:v>0</x:v>
      </x:c>
      <x:c r="O110" s="90">
        <x:v>0</x:v>
      </x:c>
      <x:c r="P110" s="90">
        <x:v>0</x:v>
      </x:c>
      <x:c r="Q110" s="90">
        <x:v>0</x:v>
      </x:c>
      <x:c r="R110">
        <x:v>0</x:v>
      </x:c>
    </x:row>
    <x:row r="111" spans="1:18" ht="12.75" customHeight="1" x14ac:dyDescent="0.3">
      <x:c r="C111" s="89"/>
      <x:c r="D111" s="89" t="s">
        <x:v>73</x:v>
      </x:c>
      <x:c r="E111" s="371">
        <x:v>0</x:v>
      </x:c>
      <x:c r="F111" s="90">
        <x:v>0</x:v>
      </x:c>
      <x:c r="G111" s="90">
        <x:v>0</x:v>
      </x:c>
      <x:c r="H111" s="90">
        <x:v>0</x:v>
      </x:c>
      <x:c r="I111" s="90">
        <x:v>0</x:v>
      </x:c>
      <x:c r="J111" s="90">
        <x:v>0</x:v>
      </x:c>
      <x:c r="K111" s="90">
        <x:v>0</x:v>
      </x:c>
      <x:c r="L111" s="90">
        <x:v>0</x:v>
      </x:c>
      <x:c r="M111" s="90">
        <x:v>0</x:v>
      </x:c>
      <x:c r="N111" s="90">
        <x:v>0</x:v>
      </x:c>
      <x:c r="O111" s="90">
        <x:v>0</x:v>
      </x:c>
      <x:c r="P111" s="90">
        <x:v>0</x:v>
      </x:c>
      <x:c r="Q111" s="90">
        <x:v>0</x:v>
      </x:c>
      <x:c r="R111">
        <x:v>0</x:v>
      </x:c>
    </x:row>
    <x:row r="112" spans="1:18" ht="12.75" customHeight="1" x14ac:dyDescent="0.3">
      <x:c r="C112" s="89" t="s">
        <x:v>118</x:v>
      </x:c>
      <x:c r="D112" s="89" t="s">
        <x:v>70</x:v>
      </x:c>
      <x:c r="E112" s="371">
        <x:v>0</x:v>
      </x:c>
      <x:c r="F112" s="90">
        <x:v>0</x:v>
      </x:c>
      <x:c r="G112" s="90">
        <x:v>0</x:v>
      </x:c>
      <x:c r="H112" s="90">
        <x:v>0</x:v>
      </x:c>
      <x:c r="I112" s="90">
        <x:v>0</x:v>
      </x:c>
      <x:c r="J112" s="90">
        <x:v>0</x:v>
      </x:c>
      <x:c r="K112" s="90">
        <x:v>0</x:v>
      </x:c>
      <x:c r="L112" s="90">
        <x:v>0</x:v>
      </x:c>
      <x:c r="M112" s="90">
        <x:v>0</x:v>
      </x:c>
      <x:c r="N112" s="90">
        <x:v>0</x:v>
      </x:c>
      <x:c r="O112" s="90">
        <x:v>0</x:v>
      </x:c>
      <x:c r="P112" s="90">
        <x:v>0</x:v>
      </x:c>
      <x:c r="Q112" s="90">
        <x:v>0</x:v>
      </x:c>
      <x:c r="R112">
        <x:v>0</x:v>
      </x:c>
    </x:row>
    <x:row r="113" spans="1:19" ht="12.75" customHeight="1" x14ac:dyDescent="0.3">
      <x:c r="C113" s="89"/>
      <x:c r="D113" s="89" t="s">
        <x:v>73</x:v>
      </x:c>
      <x:c r="E113" s="371">
        <x:v>0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>
        <x:v>0</x:v>
      </x:c>
    </x:row>
    <x:row r="114" spans="1:19" ht="12.75" customHeight="1" x14ac:dyDescent="0.3">
      <x:c r="C114" s="773">
        <x:v>9</x:v>
      </x:c>
      <x:c r="D114" s="89" t="s">
        <x:v>70</x:v>
      </x:c>
      <x:c r="E114" s="371">
        <x:v>0</x:v>
      </x:c>
      <x:c r="F114" s="90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>
        <x:v>0</x:v>
      </x:c>
    </x:row>
    <x:row r="115" spans="1:19" s="224" customFormat="1" ht="12.75" customHeight="1" x14ac:dyDescent="0.3">
      <x:c r="B115" s="223" t="s">
        <x:v>120</x:v>
      </x:c>
      <x:c r="C115" s="223" t="s">
        <x:v>70</x:v>
      </x:c>
      <x:c r="E115" s="225" t="n">
        <x:v>-4383219.66</x:v>
      </x:c>
      <x:c r="F115" s="225">
        <x:v>0</x:v>
      </x:c>
      <x:c r="G115" s="225">
        <x:v>0</x:v>
      </x:c>
      <x:c r="H115" s="225">
        <x:v>0</x:v>
      </x:c>
      <x:c r="I115" s="225">
        <x:v>0</x:v>
      </x:c>
      <x:c r="J115" s="225">
        <x:v>0</x:v>
      </x:c>
      <x:c r="K115" s="225">
        <x:v>0</x:v>
      </x:c>
      <x:c r="L115" s="225">
        <x:v>0</x:v>
      </x:c>
      <x:c r="M115" s="225">
        <x:v>0</x:v>
      </x:c>
      <x:c r="N115" s="225">
        <x:v>0</x:v>
      </x:c>
      <x:c r="O115" s="225">
        <x:v>0</x:v>
      </x:c>
      <x:c r="P115" s="225">
        <x:v>0</x:v>
      </x:c>
      <x:c r="Q115" s="225">
        <x:v>0</x:v>
      </x:c>
      <x:c r="R115" s="224">
        <x:v>0</x:v>
      </x:c>
    </x:row>
    <x:row r="116" spans="1:19" ht="12.75" customHeight="1" x14ac:dyDescent="0.3">
      <x:c r="D116" s="89" t="s">
        <x:v>73</x:v>
      </x:c>
      <x:c r="E116" s="371">
        <x:v>0</x:v>
      </x:c>
      <x:c r="F116" s="90">
        <x:v>0</x:v>
      </x:c>
      <x:c r="G116" s="90">
        <x:v>0</x:v>
      </x:c>
      <x:c r="H116" s="90">
        <x:v>0</x:v>
      </x:c>
      <x:c r="I116" s="90">
        <x:v>0</x:v>
      </x:c>
      <x:c r="J116" s="90">
        <x:v>0</x:v>
      </x:c>
      <x:c r="K116" s="90">
        <x:v>0</x:v>
      </x:c>
      <x:c r="L116" s="90">
        <x:v>0</x:v>
      </x:c>
      <x:c r="M116" s="90">
        <x:v>0</x:v>
      </x:c>
      <x:c r="N116" s="90">
        <x:v>0</x:v>
      </x:c>
      <x:c r="O116" s="90">
        <x:v>0</x:v>
      </x:c>
      <x:c r="P116" s="90">
        <x:v>0</x:v>
      </x:c>
      <x:c r="Q116" s="90">
        <x:v>0</x:v>
      </x:c>
      <x:c r="R116">
        <x:v>0</x:v>
      </x:c>
    </x:row>
    <x:row r="117" spans="1:19" ht="12.75" customHeight="1" x14ac:dyDescent="0.3">
      <x:c r="C117" t="s">
        <x:v>82</x:v>
      </x:c>
      <x:c r="D117" s="89" t="s">
        <x:v>70</x:v>
      </x:c>
      <x:c r="E117" s="371">
        <x:v>0</x:v>
      </x:c>
      <x:c r="F117" s="90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>
        <x:v>0</x:v>
      </x:c>
    </x:row>
    <x:row r="118" spans="1:19" ht="12.75" customHeight="1" x14ac:dyDescent="0.3">
      <x:c r="D118" s="89" t="s">
        <x:v>73</x:v>
      </x:c>
      <x:c r="E118" s="371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9" ht="12.75" customHeight="1" x14ac:dyDescent="0.3">
      <x:c r="C119" t="s">
        <x:v>86</x:v>
      </x:c>
      <x:c r="D119" s="89" t="s">
        <x:v>70</x:v>
      </x:c>
      <x:c r="E119" s="371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9" ht="12.75" customHeight="1" x14ac:dyDescent="0.3">
      <x:c r="D120" s="89" t="s">
        <x:v>73</x:v>
      </x:c>
      <x:c r="E120" s="371">
        <x:v>0</x:v>
      </x:c>
      <x:c r="F120" s="90">
        <x:v>0</x:v>
      </x:c>
      <x:c r="G120" s="90">
        <x:v>0</x:v>
      </x:c>
      <x:c r="H120" s="90">
        <x:v>0</x:v>
      </x:c>
      <x:c r="I120" s="90">
        <x:v>0</x:v>
      </x:c>
      <x:c r="J120" s="90">
        <x:v>0</x:v>
      </x:c>
      <x:c r="K120" s="90">
        <x:v>0</x:v>
      </x:c>
      <x:c r="L120" s="90">
        <x:v>0</x:v>
      </x:c>
      <x:c r="M120" s="90">
        <x:v>0</x:v>
      </x:c>
      <x:c r="N120" s="90">
        <x:v>0</x:v>
      </x:c>
      <x:c r="O120" s="90">
        <x:v>0</x:v>
      </x:c>
      <x:c r="P120" s="90">
        <x:v>0</x:v>
      </x:c>
      <x:c r="Q120" s="90">
        <x:v>0</x:v>
      </x:c>
      <x:c r="R120">
        <x:v>0</x:v>
      </x:c>
    </x:row>
    <x:row r="121" spans="1:19" ht="12.75" customHeight="1" x14ac:dyDescent="0.3">
      <x:c r="C121" t="s">
        <x:v>87</x:v>
      </x:c>
      <x:c r="D121" s="89" t="s">
        <x:v>70</x:v>
      </x:c>
      <x:c r="E121" s="90">
        <x:v>0</x:v>
      </x:c>
      <x:c r="F121" s="90">
        <x:v>0</x:v>
      </x:c>
      <x:c r="G121" s="90">
        <x:v>0</x:v>
      </x:c>
      <x:c r="H121" s="90">
        <x:v>0</x:v>
      </x:c>
      <x:c r="I121" s="90">
        <x:v>0</x:v>
      </x:c>
      <x:c r="J121" s="90">
        <x:v>0</x:v>
      </x:c>
      <x:c r="K121" s="90">
        <x:v>0</x:v>
      </x:c>
      <x:c r="L121" s="90">
        <x:v>0</x:v>
      </x:c>
      <x:c r="M121" s="90">
        <x:v>0</x:v>
      </x:c>
      <x:c r="N121" s="90">
        <x:v>0</x:v>
      </x:c>
      <x:c r="O121" s="90">
        <x:v>0</x:v>
      </x:c>
      <x:c r="P121" s="90">
        <x:v>0</x:v>
      </x:c>
      <x:c r="Q121" s="90">
        <x:v>0</x:v>
      </x:c>
      <x:c r="R121">
        <x:v>0</x:v>
      </x:c>
    </x:row>
    <x:row r="122" spans="1:19" s="94" customFormat="1" ht="12.75" customHeight="1" x14ac:dyDescent="0.3">
      <x:c r="B122" s="101" t="s">
        <x:v>119</x:v>
      </x:c>
      <x:c r="C122" s="101" t="s">
        <x:v>70</x:v>
      </x:c>
      <x:c r="E122" s="93" t="n">
        <x:v>2827527.77</x:v>
      </x:c>
      <x:c r="F122" s="93">
        <x:v>0</x:v>
      </x:c>
      <x:c r="G122" s="93">
        <x:v>0</x:v>
      </x:c>
      <x:c r="H122" s="93">
        <x:v>0</x:v>
      </x:c>
      <x:c r="I122" s="93">
        <x:v>0</x:v>
      </x:c>
      <x:c r="J122" s="93">
        <x:v>0</x:v>
      </x:c>
      <x:c r="K122" s="93">
        <x:v>0</x:v>
      </x:c>
      <x:c r="L122" s="93">
        <x:v>0</x:v>
      </x:c>
      <x:c r="M122" s="93">
        <x:v>0</x:v>
      </x:c>
      <x:c r="N122" s="93">
        <x:v>0</x:v>
      </x:c>
      <x:c r="O122" s="93">
        <x:v>0</x:v>
      </x:c>
      <x:c r="P122" s="93">
        <x:v>0</x:v>
      </x:c>
      <x:c r="Q122" s="93">
        <x:v>0</x:v>
      </x:c>
      <x:c r="R122" s="94">
        <x:v>0</x:v>
      </x:c>
    </x:row>
    <x:row r="123" spans="1:19" s="226" customFormat="1" ht="12.75" customHeight="1" x14ac:dyDescent="0.3">
      <x:c r="A123" s="98" t="s">
        <x:v>79</x:v>
      </x:c>
      <x:c r="B123" s="98" t="s">
        <x:v>70</x:v>
      </x:c>
      <x:c r="E123" s="100" t="n">
        <x:v>-20704709.4</x:v>
      </x:c>
      <x:c r="F123" s="100">
        <x:v>0</x:v>
      </x:c>
      <x:c r="G123" s="100">
        <x:v>0</x:v>
      </x:c>
      <x:c r="H123" s="100">
        <x:v>0</x:v>
      </x:c>
      <x:c r="I123" s="100">
        <x:v>0</x:v>
      </x:c>
      <x:c r="J123" s="100">
        <x:v>0</x:v>
      </x:c>
      <x:c r="K123" s="100">
        <x:v>0</x:v>
      </x:c>
      <x:c r="L123" s="100">
        <x:v>0</x:v>
      </x:c>
      <x:c r="M123" s="100">
        <x:v>0</x:v>
      </x:c>
      <x:c r="N123" s="100">
        <x:v>0</x:v>
      </x:c>
      <x:c r="O123" s="100">
        <x:v>0</x:v>
      </x:c>
      <x:c r="P123" s="100">
        <x:v>0</x:v>
      </x:c>
      <x:c r="Q123" s="100">
        <x:v>0</x:v>
      </x:c>
      <x:c r="R123" s="226">
        <x:v>0</x:v>
      </x:c>
    </x:row>
    <x:row r="124" spans="1:19" ht="12.75" customHeight="1" x14ac:dyDescent="0.3">
      <x:c r="A124" s="89" t="s">
        <x:v>70</x:v>
      </x:c>
      <x:c r="E124" s="90">
        <x:v>0</x:v>
      </x:c>
      <x:c r="F124" s="90">
        <x:v>0</x:v>
      </x:c>
      <x:c r="G124" s="90">
        <x:v>0</x:v>
      </x:c>
      <x:c r="H124" s="90">
        <x:v>0</x:v>
      </x:c>
      <x:c r="I124" s="90">
        <x:v>0</x:v>
      </x:c>
      <x:c r="J124" s="90">
        <x:v>0</x:v>
      </x:c>
      <x:c r="K124" s="90">
        <x:v>0</x:v>
      </x:c>
      <x:c r="L124" s="90">
        <x:v>0</x:v>
      </x:c>
      <x:c r="M124" s="90">
        <x:v>0</x:v>
      </x:c>
      <x:c r="N124" s="90">
        <x:v>0</x:v>
      </x:c>
      <x:c r="O124" s="90">
        <x:v>0</x:v>
      </x:c>
      <x:c r="P124" s="90">
        <x:v>0</x:v>
      </x:c>
      <x:c r="Q124" s="90">
        <x:v>0</x:v>
      </x:c>
      <x:c r="R124">
        <x:v>0</x:v>
      </x:c>
    </x:row>
    <x:row r="125" spans="1:19" ht="12.75" customHeight="1" x14ac:dyDescent="0.3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3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3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3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3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3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3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3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3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3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3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3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3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3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3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3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3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3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hidden="1" customHeight="1" x14ac:dyDescent="0.3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hidden="1" customHeight="1" x14ac:dyDescent="0.3">
      <x:c r="A144" s="89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</x:row>
    <x:row r="145" spans="1:19" ht="12.75" hidden="1" customHeight="1" x14ac:dyDescent="0.3">
      <x:c r="A145" s="89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</x:row>
    <x:row r="146" spans="1:19" ht="12.75" hidden="1" customHeight="1" x14ac:dyDescent="0.3">
      <x:c r="A146" s="89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</x:row>
    <x:row r="147" spans="1:19" ht="12.75" hidden="1" customHeight="1" x14ac:dyDescent="0.3">
      <x:c r="A147" s="89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</x:row>
    <x:row r="148" spans="1:19" ht="12.75" hidden="1" customHeight="1" x14ac:dyDescent="0.3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3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3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3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3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3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customHeight="1" x14ac:dyDescent="0.3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customHeight="1" x14ac:dyDescent="0.3">
      <x:c r="B155" s="777" t="s">
        <x:v>2</x:v>
      </x:c>
      <x:c r="C155" s="775" t="s">
        <x:v>132</x:v>
      </x:c>
      <x:c r="D155" s="98" t="s">
        <x:v>70</x:v>
      </x:c>
      <x:c r="E155" s="100">
        <x:f>E101+E123-K101</x:f>
        <x:v>0</x:v>
      </x:c>
      <x:c r="F155" s="100">
        <x:f t="shared" ref="F155:R155" si="3">F101</x:f>
        <x:v>0</x:v>
      </x:c>
      <x:c r="G155" s="100">
        <x:f t="shared" si="3"/>
        <x:v>0</x:v>
      </x:c>
      <x:c r="H155" s="100">
        <x:f t="shared" si="3"/>
        <x:v>0</x:v>
      </x:c>
      <x:c r="I155" s="100">
        <x:f t="shared" si="3"/>
        <x:v>0</x:v>
      </x:c>
      <x:c r="J155" s="100">
        <x:f t="shared" si="3"/>
        <x:v>0</x:v>
      </x:c>
      <x:c r="K155" s="100">
        <x:f t="shared" si="3"/>
        <x:v>0</x:v>
      </x:c>
      <x:c r="L155" s="100">
        <x:f t="shared" si="3"/>
        <x:v>0</x:v>
      </x:c>
      <x:c r="M155" s="100">
        <x:f t="shared" si="3"/>
        <x:v>0</x:v>
      </x:c>
      <x:c r="N155" s="100">
        <x:f t="shared" si="3"/>
        <x:v>0</x:v>
      </x:c>
      <x:c r="O155" s="100">
        <x:f t="shared" si="3"/>
        <x:v>0</x:v>
      </x:c>
      <x:c r="P155" s="100">
        <x:f t="shared" si="3"/>
        <x:v>0</x:v>
      </x:c>
      <x:c r="Q155" s="100">
        <x:f t="shared" si="3"/>
        <x:v>0</x:v>
      </x:c>
      <x:c r="R155" s="100">
        <x:f t="shared" si="3"/>
        <x:v>0</x:v>
      </x:c>
    </x:row>
    <x:row r="156" spans="1:19" ht="12.75" customHeight="1" x14ac:dyDescent="0.3">
      <x:c r="B156" s="777"/>
      <x:c r="C156" s="775"/>
      <x:c r="D156" s="98" t="s">
        <x:v>73</x:v>
      </x:c>
      <x:c r="E156" s="100">
        <x:f>E123</x:f>
        <x:v>0</x:v>
      </x:c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</x:row>
    <x:row r="157" spans="1:19" ht="12.75" customHeight="1" x14ac:dyDescent="0.3">
      <x:c r="A157" s="89"/>
      <x:c r="B157" s="97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9" ht="12.75" customHeight="1" x14ac:dyDescent="0.3">
      <x:c r="B158" s="777" t="s">
        <x:v>160</x:v>
      </x:c>
      <x:c r="C158" s="775" t="s">
        <x:v>132</x:v>
      </x:c>
      <x:c r="D158" s="223" t="s">
        <x:v>70</x:v>
      </x:c>
      <x:c r="E158" s="225">
        <x:f>E115+E90+E70-K70-K90</x:f>
        <x:v>0</x:v>
      </x:c>
      <x:c r="F158" s="225">
        <x:f>F90+F70</x:f>
        <x:v>0</x:v>
      </x:c>
      <x:c r="G158" s="225">
        <x:f t="shared" ref="G158:R158" si="4">G90+G70</x:f>
        <x:v>0</x:v>
      </x:c>
      <x:c r="H158" s="225">
        <x:f t="shared" si="4"/>
        <x:v>0</x:v>
      </x:c>
      <x:c r="I158" s="225">
        <x:f t="shared" si="4"/>
        <x:v>0</x:v>
      </x:c>
      <x:c r="J158" s="225">
        <x:f t="shared" si="4"/>
        <x:v>0</x:v>
      </x:c>
      <x:c r="K158" s="225">
        <x:f t="shared" si="4"/>
        <x:v>0</x:v>
      </x:c>
      <x:c r="L158" s="225">
        <x:f t="shared" si="4"/>
        <x:v>0</x:v>
      </x:c>
      <x:c r="M158" s="225">
        <x:f t="shared" si="4"/>
        <x:v>0</x:v>
      </x:c>
      <x:c r="N158" s="225">
        <x:f t="shared" si="4"/>
        <x:v>0</x:v>
      </x:c>
      <x:c r="O158" s="225">
        <x:f t="shared" si="4"/>
        <x:v>0</x:v>
      </x:c>
      <x:c r="P158" s="225">
        <x:f t="shared" si="4"/>
        <x:v>0</x:v>
      </x:c>
      <x:c r="Q158" s="225">
        <x:f t="shared" si="4"/>
        <x:v>0</x:v>
      </x:c>
      <x:c r="R158" s="225">
        <x:f t="shared" si="4"/>
        <x:v>0</x:v>
      </x:c>
    </x:row>
    <x:row r="159" spans="1:19" ht="12.75" customHeight="1" x14ac:dyDescent="0.3">
      <x:c r="B159" s="777"/>
      <x:c r="C159" s="775"/>
      <x:c r="D159" s="223" t="s">
        <x:v>73</x:v>
      </x:c>
      <x:c r="E159" s="225">
        <x:f>E115</x:f>
        <x:v>0</x:v>
      </x:c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</x:row>
    <x:row r="160" spans="1:19" ht="12.65" customHeight="1" x14ac:dyDescent="0.3">
      <x:c r="A160" s="89"/>
      <x:c r="B160" s="97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1:18" ht="12.75" customHeight="1" x14ac:dyDescent="0.3">
      <x:c r="B161" s="777" t="s">
        <x:v>155</x:v>
      </x:c>
      <x:c r="C161" s="775" t="s">
        <x:v>132</x:v>
      </x:c>
      <x:c r="D161" s="221" t="s">
        <x:v>70</x:v>
      </x:c>
      <x:c r="E161" s="222">
        <x:f>E104+E74-K74</x:f>
        <x:v>0</x:v>
      </x:c>
      <x:c r="F161" s="222">
        <x:f t="shared" ref="F161:R161" si="5">F74</x:f>
        <x:v>0</x:v>
      </x:c>
      <x:c r="G161" s="222">
        <x:f t="shared" si="5"/>
        <x:v>0</x:v>
      </x:c>
      <x:c r="H161" s="222">
        <x:f t="shared" si="5"/>
        <x:v>0</x:v>
      </x:c>
      <x:c r="I161" s="222">
        <x:f t="shared" si="5"/>
        <x:v>0</x:v>
      </x:c>
      <x:c r="J161" s="222">
        <x:f t="shared" si="5"/>
        <x:v>0</x:v>
      </x:c>
      <x:c r="K161" s="222">
        <x:f t="shared" si="5"/>
        <x:v>0</x:v>
      </x:c>
      <x:c r="L161" s="222">
        <x:f t="shared" si="5"/>
        <x:v>0</x:v>
      </x:c>
      <x:c r="M161" s="222">
        <x:f t="shared" si="5"/>
        <x:v>0</x:v>
      </x:c>
      <x:c r="N161" s="222">
        <x:f t="shared" si="5"/>
        <x:v>0</x:v>
      </x:c>
      <x:c r="O161" s="222">
        <x:f t="shared" si="5"/>
        <x:v>0</x:v>
      </x:c>
      <x:c r="P161" s="222">
        <x:f t="shared" si="5"/>
        <x:v>0</x:v>
      </x:c>
      <x:c r="Q161" s="222">
        <x:f t="shared" si="5"/>
        <x:v>0</x:v>
      </x:c>
      <x:c r="R161" s="222">
        <x:f t="shared" si="5"/>
        <x:v>0</x:v>
      </x:c>
    </x:row>
    <x:row r="162" spans="1:18" ht="12.75" customHeight="1" x14ac:dyDescent="0.3">
      <x:c r="B162" s="777"/>
      <x:c r="C162" s="775"/>
      <x:c r="D162" s="221" t="s">
        <x:v>73</x:v>
      </x:c>
      <x:c r="E162" s="222">
        <x:f>E104</x:f>
        <x:v>0</x:v>
      </x:c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</x:row>
    <x:row r="163" spans="1:18" ht="12.75" customHeight="1" x14ac:dyDescent="0.3">
      <x:c r="A163" s="89"/>
      <x:c r="B163" s="97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</x:row>
    <x:row r="164" spans="1:18" ht="12.75" customHeight="1" x14ac:dyDescent="0.3">
      <x:c r="B164" s="778" t="s">
        <x:v>326</x:v>
      </x:c>
      <x:c r="C164" s="775" t="s">
        <x:v>132</x:v>
      </x:c>
      <x:c r="D164" s="373" t="s">
        <x:v>70</x:v>
      </x:c>
      <x:c r="E164" s="374">
        <x:v>0</x:v>
      </x:c>
      <x:c r="F164" s="374">
        <x:v>0</x:v>
      </x:c>
      <x:c r="G164" s="374">
        <x:v>0</x:v>
      </x:c>
      <x:c r="H164" s="374">
        <x:v>0</x:v>
      </x:c>
      <x:c r="I164" s="374">
        <x:v>0</x:v>
      </x:c>
      <x:c r="J164" s="374">
        <x:v>0</x:v>
      </x:c>
      <x:c r="K164" s="374">
        <x:v>0</x:v>
      </x:c>
      <x:c r="L164" s="374">
        <x:v>0</x:v>
      </x:c>
      <x:c r="M164" s="374">
        <x:v>0</x:v>
      </x:c>
      <x:c r="N164" s="374">
        <x:v>0</x:v>
      </x:c>
      <x:c r="O164" s="374">
        <x:v>0</x:v>
      </x:c>
      <x:c r="P164" s="374">
        <x:v>0</x:v>
      </x:c>
      <x:c r="Q164" s="374">
        <x:v>0</x:v>
      </x:c>
      <x:c r="R164" s="374">
        <x:v>0</x:v>
      </x:c>
    </x:row>
    <x:row r="165" spans="1:18" ht="12.75" customHeight="1" x14ac:dyDescent="0.3">
      <x:c r="B165" s="778"/>
      <x:c r="C165" s="775"/>
      <x:c r="D165" s="373" t="s">
        <x:v>73</x:v>
      </x:c>
      <x:c r="E165" s="374">
        <x:v>0</x:v>
      </x:c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</x:row>
    <x:row r="166" spans="1:18" ht="12.75" customHeight="1" x14ac:dyDescent="0.3">
      <x:c r="A166" s="89"/>
      <x:c r="B166" s="97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</x:row>
    <x:row r="167" spans="1:18" ht="12.75" customHeight="1" x14ac:dyDescent="0.3">
      <x:c r="B167" s="777" t="s">
        <x:v>119</x:v>
      </x:c>
      <x:c r="C167" s="775" t="s">
        <x:v>132</x:v>
      </x:c>
      <x:c r="D167" s="101" t="s">
        <x:v>70</x:v>
      </x:c>
      <x:c r="E167" s="93">
        <x:f>E100+E122-K100</x:f>
        <x:v>0</x:v>
      </x:c>
      <x:c r="F167" s="93">
        <x:f t="shared" ref="F167:R167" si="6">F100</x:f>
        <x:v>0</x:v>
      </x:c>
      <x:c r="G167" s="93">
        <x:f t="shared" si="6"/>
        <x:v>0</x:v>
      </x:c>
      <x:c r="H167" s="93">
        <x:f t="shared" si="6"/>
        <x:v>0</x:v>
      </x:c>
      <x:c r="I167" s="93">
        <x:f t="shared" si="6"/>
        <x:v>0</x:v>
      </x:c>
      <x:c r="J167" s="93">
        <x:f t="shared" si="6"/>
        <x:v>0</x:v>
      </x:c>
      <x:c r="K167" s="93">
        <x:f t="shared" si="6"/>
        <x:v>0</x:v>
      </x:c>
      <x:c r="L167" s="93">
        <x:f t="shared" si="6"/>
        <x:v>0</x:v>
      </x:c>
      <x:c r="M167" s="93">
        <x:f t="shared" si="6"/>
        <x:v>0</x:v>
      </x:c>
      <x:c r="N167" s="93">
        <x:f t="shared" si="6"/>
        <x:v>0</x:v>
      </x:c>
      <x:c r="O167" s="93">
        <x:f t="shared" si="6"/>
        <x:v>0</x:v>
      </x:c>
      <x:c r="P167" s="93">
        <x:f t="shared" si="6"/>
        <x:v>0</x:v>
      </x:c>
      <x:c r="Q167" s="93">
        <x:f t="shared" si="6"/>
        <x:v>0</x:v>
      </x:c>
      <x:c r="R167" s="93">
        <x:f t="shared" si="6"/>
        <x:v>0</x:v>
      </x:c>
    </x:row>
    <x:row r="168" spans="1:18" ht="12.75" customHeight="1" x14ac:dyDescent="0.3">
      <x:c r="B168" s="777"/>
      <x:c r="C168" s="775"/>
      <x:c r="D168" s="101" t="s">
        <x:v>73</x:v>
      </x:c>
      <x:c r="E168" s="93">
        <x:f>E122</x:f>
        <x:v>0</x:v>
      </x:c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</x:row>
    <x:row r="169" spans="1:18" ht="12.75" customHeight="1" x14ac:dyDescent="0.3">
      <x:c r="A169" s="89"/>
      <x:c r="B169" s="97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</x:row>
    <x:row r="170" spans="1:18" ht="12.75" customHeight="1" x14ac:dyDescent="0.3">
      <x:c r="B170" s="776" t="s">
        <x:v>161</x:v>
      </x:c>
      <x:c r="C170" s="775" t="s">
        <x:v>132</x:v>
      </x:c>
      <x:c r="D170" s="231" t="s">
        <x:v>70</x:v>
      </x:c>
      <x:c r="E170" s="232">
        <x:v>0</x:v>
      </x:c>
      <x:c r="F170" s="232">
        <x:v>0</x:v>
      </x:c>
      <x:c r="G170" s="232">
        <x:v>0</x:v>
      </x:c>
      <x:c r="H170" s="232">
        <x:v>0</x:v>
      </x:c>
      <x:c r="I170" s="232">
        <x:v>0</x:v>
      </x:c>
      <x:c r="J170" s="232">
        <x:v>0</x:v>
      </x:c>
      <x:c r="K170" s="232">
        <x:v>0</x:v>
      </x:c>
      <x:c r="L170" s="232">
        <x:v>0</x:v>
      </x:c>
      <x:c r="M170" s="232">
        <x:v>0</x:v>
      </x:c>
      <x:c r="N170" s="232">
        <x:v>0</x:v>
      </x:c>
      <x:c r="O170" s="232">
        <x:v>0</x:v>
      </x:c>
      <x:c r="P170" s="232">
        <x:v>0</x:v>
      </x:c>
      <x:c r="Q170" s="232">
        <x:v>0</x:v>
      </x:c>
      <x:c r="R170" s="232">
        <x:v>0</x:v>
      </x:c>
    </x:row>
    <x:row r="171" spans="1:18" ht="12.75" customHeight="1" x14ac:dyDescent="0.3">
      <x:c r="B171" s="776"/>
      <x:c r="C171" s="775"/>
      <x:c r="D171" s="231" t="s">
        <x:v>73</x:v>
      </x:c>
      <x:c r="E171" s="232">
        <x:v>0</x:v>
      </x:c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</x:row>
    <x:row r="172" spans="1:18" s="238" customFormat="1" x14ac:dyDescent="0.3"/>
    <x:row r="173" spans="1:18" x14ac:dyDescent="0.3">
      <x:c r="B173" s="97" t="s">
        <x:v>76</x:v>
      </x:c>
    </x:row>
    <x:row r="174" spans="1:18" ht="12.65" customHeight="1" x14ac:dyDescent="0.3">
      <x:c r="E174" s="89" t="s">
        <x:v>70</x:v>
      </x:c>
      <x:c r="F174" s="89" t="s">
        <x:v>64</x:v>
      </x:c>
      <x:c r="G174" s="89" t="s">
        <x:v>65</x:v>
      </x:c>
      <x:c r="H174" s="219" t="s">
        <x:v>164</x:v>
      </x:c>
      <x:c r="I174" s="89" t="s">
        <x:v>69</x:v>
      </x:c>
      <x:c r="J174" s="89" t="s">
        <x:v>68</x:v>
      </x:c>
      <x:c r="K174" s="89" t="s">
        <x:v>83</x:v>
      </x:c>
      <x:c r="L174" s="89" t="s">
        <x:v>66</x:v>
      </x:c>
      <x:c r="M174" s="89" t="s">
        <x:v>63</x:v>
      </x:c>
      <x:c r="N174" s="89" t="s">
        <x:v>61</x:v>
      </x:c>
      <x:c r="O174" s="89" t="s">
        <x:v>62</x:v>
      </x:c>
      <x:c r="P174" s="89" t="s">
        <x:v>67</x:v>
      </x:c>
      <x:c r="Q174" s="89" t="s">
        <x:v>84</x:v>
      </x:c>
      <x:c r="R174" s="384" t="s">
        <x:v>225</x:v>
      </x:c>
    </x:row>
    <x:row r="175" spans="1:18" ht="12.75" customHeight="1" x14ac:dyDescent="0.3">
      <x:c r="D175" s="89" t="s">
        <x:v>72</x:v>
      </x:c>
      <x:c r="E175" s="371">
        <x:v>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>
        <x:v>0</x:v>
      </x:c>
    </x:row>
    <x:row r="176" spans="1:18" ht="12.75" customHeight="1" x14ac:dyDescent="0.3">
      <x:c r="D176" t="s">
        <x:v>81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</x:row>
    <x:row r="177" spans="1:18" ht="12.75" customHeight="1" x14ac:dyDescent="0.3">
      <x:c r="C177" t="s">
        <x:v>332</x:v>
      </x:c>
      <x:c r="D177" s="89" t="s">
        <x:v>70</x:v>
      </x:c>
      <x:c r="E177" s="371">
        <x:v>0</x:v>
      </x:c>
      <x:c r="F177" s="90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>
        <x:v>0</x:v>
      </x:c>
    </x:row>
    <x:row r="178" spans="1:18" s="739" customFormat="1" ht="12.75" customHeight="1" x14ac:dyDescent="0.3">
      <x:c r="B178" s="739" t="s">
        <x:v>85</x:v>
      </x:c>
      <x:c r="C178" s="739" t="s">
        <x:v>70</x:v>
      </x:c>
      <x:c r="D178" s="231"/>
      <x:c r="E178" s="740">
        <x:v>0</x:v>
      </x:c>
      <x:c r="F178" s="232">
        <x:v>0</x:v>
      </x:c>
      <x:c r="G178" s="232">
        <x:v>0</x:v>
      </x:c>
      <x:c r="H178" s="232">
        <x:v>0</x:v>
      </x:c>
      <x:c r="I178" s="232">
        <x:v>0</x:v>
      </x:c>
      <x:c r="J178" s="232">
        <x:v>0</x:v>
      </x:c>
      <x:c r="K178" s="232">
        <x:v>0</x:v>
      </x:c>
      <x:c r="L178" s="232">
        <x:v>0</x:v>
      </x:c>
      <x:c r="M178" s="232">
        <x:v>0</x:v>
      </x:c>
      <x:c r="N178" s="232">
        <x:v>0</x:v>
      </x:c>
      <x:c r="O178" s="232">
        <x:v>0</x:v>
      </x:c>
      <x:c r="P178" s="232">
        <x:v>0</x:v>
      </x:c>
      <x:c r="Q178" s="232">
        <x:v>0</x:v>
      </x:c>
      <x:c r="R178" s="739">
        <x:v>0</x:v>
      </x:c>
    </x:row>
    <x:row r="179" spans="1:18" ht="12.65" customHeight="1" x14ac:dyDescent="0.3">
      <x:c r="D179" t="s">
        <x:v>72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  <x:c r="L179">
        <x:v>0</x:v>
      </x:c>
      <x:c r="M179">
        <x:v>0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</x:row>
    <x:row r="180" spans="1:18" ht="12.75" customHeight="1" x14ac:dyDescent="0.3">
      <x:c r="D180" t="s">
        <x:v>81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  <x:c r="L180">
        <x:v>0</x:v>
      </x:c>
      <x:c r="M180">
        <x:v>0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</x:row>
    <x:row r="181" spans="1:18" ht="12.75" customHeight="1" x14ac:dyDescent="0.3">
      <x:c r="C181" t="s">
        <x:v>156</x:v>
      </x:c>
      <x:c r="D181" s="89" t="s">
        <x:v>70</x:v>
      </x:c>
      <x:c r="E181" s="371">
        <x:v>0</x:v>
      </x:c>
      <x:c r="F181" s="90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>
        <x:v>0</x:v>
      </x:c>
    </x:row>
    <x:row r="182" spans="1:18" s="656" customFormat="1" ht="12.75" customHeight="1" x14ac:dyDescent="0.3">
      <x:c r="B182" s="656" t="s">
        <x:v>155</x:v>
      </x:c>
      <x:c r="C182" s="656" t="s">
        <x:v>70</x:v>
      </x:c>
      <x:c r="E182" s="741" t="n">
        <x:v>16818069.86</x:v>
      </x:c>
      <x:c r="F182" s="656">
        <x:v>0</x:v>
      </x:c>
      <x:c r="G182" s="656">
        <x:v>0</x:v>
      </x:c>
      <x:c r="H182" s="656">
        <x:v>0</x:v>
      </x:c>
      <x:c r="I182" s="656">
        <x:v>0</x:v>
      </x:c>
      <x:c r="J182" s="656">
        <x:v>0</x:v>
      </x:c>
      <x:c r="K182" s="656" t="n">
        <x:v>16082.29</x:v>
      </x:c>
      <x:c r="L182" s="656">
        <x:v>0</x:v>
      </x:c>
      <x:c r="M182" s="656">
        <x:v>0</x:v>
      </x:c>
      <x:c r="N182" s="656">
        <x:v>0</x:v>
      </x:c>
      <x:c r="O182" s="656">
        <x:v>0</x:v>
      </x:c>
      <x:c r="P182" s="656">
        <x:v>0</x:v>
      </x:c>
      <x:c r="Q182" s="656">
        <x:v>0</x:v>
      </x:c>
      <x:c r="R182" s="656">
        <x:v>0</x:v>
      </x:c>
    </x:row>
    <x:row r="183" spans="1:18" ht="12.75" customHeight="1" x14ac:dyDescent="0.3">
      <x:c r="D183" t="s">
        <x:v>72</x:v>
      </x:c>
      <x:c r="E183" s="142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  <x:c r="L183">
        <x:v>0</x:v>
      </x:c>
      <x:c r="M183">
        <x:v>0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</x:row>
    <x:row r="184" spans="1:18" ht="12.75" customHeight="1" x14ac:dyDescent="0.3">
      <x:c r="D184" t="s">
        <x:v>81</x:v>
      </x:c>
      <x:c r="E184" s="142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  <x:c r="L184">
        <x:v>0</x:v>
      </x:c>
      <x:c r="M184">
        <x:v>0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</x:row>
    <x:row r="185" spans="1:18" ht="12.75" customHeight="1" x14ac:dyDescent="0.3">
      <x:c r="C185" t="s">
        <x:v>82</x:v>
      </x:c>
      <x:c r="D185" t="s">
        <x:v>70</x:v>
      </x:c>
      <x:c r="E185" s="142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  <x:c r="L185">
        <x:v>0</x:v>
      </x:c>
      <x:c r="M185">
        <x:v>0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</x:row>
    <x:row r="186" spans="1:18" ht="12.75" customHeight="1" x14ac:dyDescent="0.3">
      <x:c r="D186" t="s">
        <x:v>72</x:v>
      </x:c>
      <x:c r="E186" s="142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  <x:c r="L186">
        <x:v>0</x:v>
      </x:c>
      <x:c r="M186">
        <x:v>0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</x:row>
    <x:row r="187" spans="1:18" ht="12.75" customHeight="1" x14ac:dyDescent="0.3">
      <x:c r="D187" t="s">
        <x:v>81</x:v>
      </x:c>
      <x:c r="E187" s="142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  <x:c r="L187">
        <x:v>0</x:v>
      </x:c>
      <x:c r="M187">
        <x:v>0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</x:row>
    <x:row r="188" spans="1:18" ht="12.75" customHeight="1" x14ac:dyDescent="0.3">
      <x:c r="C188" t="s">
        <x:v>86</x:v>
      </x:c>
      <x:c r="D188" t="s">
        <x:v>70</x:v>
      </x:c>
      <x:c r="E188" s="142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  <x:c r="L188">
        <x:v>0</x:v>
      </x:c>
      <x:c r="M188">
        <x:v>0</x:v>
      </x:c>
      <x:c r="N188">
        <x:v>0</x:v>
      </x:c>
      <x:c r="O188">
        <x:v>0</x:v>
      </x:c>
      <x:c r="P188">
        <x:v>0</x:v>
      </x:c>
      <x:c r="Q188">
        <x:v>0</x:v>
      </x:c>
      <x:c r="R188">
        <x:v>0</x:v>
      </x:c>
    </x:row>
    <x:row r="189" spans="1:18" ht="12.75" customHeight="1" x14ac:dyDescent="0.3">
      <x:c r="D189" t="s">
        <x:v>72</x:v>
      </x:c>
      <x:c r="E189" s="142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  <x:c r="L189">
        <x:v>0</x:v>
      </x:c>
      <x:c r="M189">
        <x:v>0</x:v>
      </x:c>
      <x:c r="N189">
        <x:v>0</x:v>
      </x:c>
      <x:c r="O189">
        <x:v>0</x:v>
      </x:c>
      <x:c r="P189">
        <x:v>0</x:v>
      </x:c>
      <x:c r="Q189">
        <x:v>0</x:v>
      </x:c>
      <x:c r="R189">
        <x:v>0</x:v>
      </x:c>
    </x:row>
    <x:row r="190" spans="1:18" ht="12.75" customHeight="1" x14ac:dyDescent="0.3">
      <x:c r="D190" t="s">
        <x:v>81</x:v>
      </x:c>
      <x:c r="E190" s="142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  <x:c r="L190">
        <x:v>0</x:v>
      </x:c>
      <x:c r="M190">
        <x:v>0</x:v>
      </x:c>
      <x:c r="N190">
        <x:v>0</x:v>
      </x:c>
      <x:c r="O190">
        <x:v>0</x:v>
      </x:c>
      <x:c r="P190">
        <x:v>0</x:v>
      </x:c>
      <x:c r="Q190">
        <x:v>0</x:v>
      </x:c>
      <x:c r="R190">
        <x:v>0</x:v>
      </x:c>
    </x:row>
    <x:row r="191" spans="1:18" ht="12.75" customHeight="1" x14ac:dyDescent="0.3">
      <x:c r="A191" s="89"/>
      <x:c r="B191" s="89"/>
      <x:c r="C191" t="s">
        <x:v>87</x:v>
      </x:c>
      <x:c r="D191" t="s">
        <x:v>70</x:v>
      </x:c>
      <x:c r="E191" s="90">
        <x:v>0</x:v>
      </x:c>
      <x:c r="F191" s="90">
        <x:v>0</x:v>
      </x:c>
      <x:c r="G191" s="90">
        <x:v>0</x:v>
      </x:c>
      <x:c r="H191" s="90">
        <x:v>0</x:v>
      </x:c>
      <x:c r="I191" s="90">
        <x:v>0</x:v>
      </x:c>
      <x:c r="J191" s="90">
        <x:v>0</x:v>
      </x:c>
      <x:c r="K191" s="90">
        <x:v>0</x:v>
      </x:c>
      <x:c r="L191" s="90">
        <x:v>0</x:v>
      </x:c>
      <x:c r="M191" s="90">
        <x:v>0</x:v>
      </x:c>
      <x:c r="N191" s="90">
        <x:v>0</x:v>
      </x:c>
      <x:c r="O191" s="90">
        <x:v>0</x:v>
      </x:c>
      <x:c r="P191" s="90">
        <x:v>0</x:v>
      </x:c>
      <x:c r="Q191" s="90">
        <x:v>0</x:v>
      </x:c>
      <x:c r="R191">
        <x:v>0</x:v>
      </x:c>
    </x:row>
    <x:row r="192" spans="1:18" s="94" customFormat="1" ht="12.75" customHeight="1" x14ac:dyDescent="0.3">
      <x:c r="A192" s="101"/>
      <x:c r="B192" s="101" t="s">
        <x:v>119</x:v>
      </x:c>
      <x:c r="C192" s="94" t="s">
        <x:v>70</x:v>
      </x:c>
      <x:c r="E192" s="93" t="n">
        <x:v>1639770.22</x:v>
      </x:c>
      <x:c r="F192" s="93">
        <x:v>0</x:v>
      </x:c>
      <x:c r="G192" s="93">
        <x:v>0</x:v>
      </x:c>
      <x:c r="H192" s="93">
        <x:v>0</x:v>
      </x:c>
      <x:c r="I192" s="93">
        <x:v>0</x:v>
      </x:c>
      <x:c r="J192" s="93">
        <x:v>0</x:v>
      </x:c>
      <x:c r="K192" s="93" t="n">
        <x:v>0</x:v>
      </x:c>
      <x:c r="L192" s="93">
        <x:v>0</x:v>
      </x:c>
      <x:c r="M192" s="93">
        <x:v>0</x:v>
      </x:c>
      <x:c r="N192" s="93">
        <x:v>0</x:v>
      </x:c>
      <x:c r="O192" s="93">
        <x:v>0</x:v>
      </x:c>
      <x:c r="P192" s="93">
        <x:v>0</x:v>
      </x:c>
      <x:c r="Q192" s="93">
        <x:v>0</x:v>
      </x:c>
      <x:c r="R192" s="94">
        <x:v>0</x:v>
      </x:c>
    </x:row>
    <x:row r="193" spans="1:18" s="226" customFormat="1" ht="12.75" customHeight="1" x14ac:dyDescent="0.3">
      <x:c r="A193" s="226" t="s">
        <x:v>78</x:v>
      </x:c>
      <x:c r="B193" s="226" t="s">
        <x:v>70</x:v>
      </x:c>
      <x:c r="D193" s="98"/>
      <x:c r="E193" s="100" t="n">
        <x:v>18457840.08</x:v>
      </x:c>
      <x:c r="F193" s="100">
        <x:v>0</x:v>
      </x:c>
      <x:c r="G193" s="100">
        <x:v>0</x:v>
      </x:c>
      <x:c r="H193" s="100">
        <x:v>0</x:v>
      </x:c>
      <x:c r="I193" s="100">
        <x:v>0</x:v>
      </x:c>
      <x:c r="J193" s="100">
        <x:v>0</x:v>
      </x:c>
      <x:c r="K193" s="100" t="n">
        <x:v>16082.29</x:v>
      </x:c>
      <x:c r="L193" s="100">
        <x:v>0</x:v>
      </x:c>
      <x:c r="M193" s="100">
        <x:v>0</x:v>
      </x:c>
      <x:c r="N193" s="100">
        <x:v>0</x:v>
      </x:c>
      <x:c r="O193" s="100">
        <x:v>0</x:v>
      </x:c>
      <x:c r="P193" s="100">
        <x:v>0</x:v>
      </x:c>
      <x:c r="Q193" s="100">
        <x:v>0</x:v>
      </x:c>
      <x:c r="R193" s="226">
        <x:v>0</x:v>
      </x:c>
    </x:row>
    <x:row r="194" spans="1:18" ht="12.75" customHeight="1" x14ac:dyDescent="0.3">
      <x:c r="C194" s="89"/>
      <x:c r="D194" s="89" t="s">
        <x:v>73</x:v>
      </x:c>
      <x:c r="E194" s="371">
        <x:v>0</x:v>
      </x:c>
      <x:c r="F194" s="90">
        <x:v>0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>
        <x:v>0</x:v>
      </x:c>
    </x:row>
    <x:row r="195" spans="1:18" ht="12.75" customHeight="1" x14ac:dyDescent="0.3">
      <x:c r="C195" s="89" t="s">
        <x:v>156</x:v>
      </x:c>
      <x:c r="D195" s="89" t="s">
        <x:v>70</x:v>
      </x:c>
      <x:c r="E195" s="371">
        <x:v>0</x:v>
      </x:c>
      <x:c r="F195" s="90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>
        <x:v>0</x:v>
      </x:c>
    </x:row>
    <x:row r="196" spans="1:18" s="237" customFormat="1" ht="12.75" customHeight="1" x14ac:dyDescent="0.3">
      <x:c r="B196" s="237" t="s">
        <x:v>155</x:v>
      </x:c>
      <x:c r="C196" s="221" t="s">
        <x:v>70</x:v>
      </x:c>
      <x:c r="D196" s="221"/>
      <x:c r="E196" s="566" t="n">
        <x:v>-4432926.82</x:v>
      </x:c>
      <x:c r="F196" s="222">
        <x:v>0</x:v>
      </x:c>
      <x:c r="G196" s="222">
        <x:v>0</x:v>
      </x:c>
      <x:c r="H196" s="222">
        <x:v>0</x:v>
      </x:c>
      <x:c r="I196" s="222">
        <x:v>0</x:v>
      </x:c>
      <x:c r="J196" s="222">
        <x:v>0</x:v>
      </x:c>
      <x:c r="K196" s="222">
        <x:v>0</x:v>
      </x:c>
      <x:c r="L196" s="222">
        <x:v>0</x:v>
      </x:c>
      <x:c r="M196" s="222">
        <x:v>0</x:v>
      </x:c>
      <x:c r="N196" s="222">
        <x:v>0</x:v>
      </x:c>
      <x:c r="O196" s="222">
        <x:v>0</x:v>
      </x:c>
      <x:c r="P196" s="222">
        <x:v>0</x:v>
      </x:c>
      <x:c r="Q196" s="222">
        <x:v>0</x:v>
      </x:c>
      <x:c r="R196" s="237">
        <x:v>0</x:v>
      </x:c>
    </x:row>
    <x:row r="197" spans="1:18" ht="12.75" customHeight="1" x14ac:dyDescent="0.3">
      <x:c r="C197" s="89"/>
      <x:c r="D197" s="89" t="s">
        <x:v>73</x:v>
      </x:c>
      <x:c r="E197" s="371">
        <x:v>0</x:v>
      </x:c>
      <x:c r="F197" s="90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>
        <x:v>0</x:v>
      </x:c>
    </x:row>
    <x:row r="198" spans="1:18" ht="12.75" customHeight="1" x14ac:dyDescent="0.3">
      <x:c r="C198" t="s">
        <x:v>82</x:v>
      </x:c>
      <x:c r="D198" t="s">
        <x:v>70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  <x:c r="L198">
        <x:v>0</x:v>
      </x:c>
      <x:c r="M198">
        <x:v>0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</x:row>
    <x:row r="199" spans="1:18" ht="12.75" customHeight="1" x14ac:dyDescent="0.3">
      <x:c r="D199" t="s">
        <x:v>73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1:18" ht="12.75" customHeight="1" x14ac:dyDescent="0.3">
      <x:c r="C200" t="s">
        <x:v>86</x:v>
      </x:c>
      <x:c r="D200" t="s">
        <x:v>70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  <x:c r="L200">
        <x:v>0</x:v>
      </x:c>
      <x:c r="M200">
        <x:v>0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</x:row>
    <x:row r="201" spans="1:18" ht="12.75" customHeight="1" x14ac:dyDescent="0.3">
      <x:c r="D201" s="89" t="s">
        <x:v>73</x:v>
      </x:c>
      <x:c r="E201" s="90">
        <x:v>0</x:v>
      </x:c>
      <x:c r="F201" s="90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>
        <x:v>0</x:v>
      </x:c>
    </x:row>
    <x:row r="202" spans="1:18" ht="12.75" customHeight="1" x14ac:dyDescent="0.3">
      <x:c r="C202" t="s">
        <x:v>87</x:v>
      </x:c>
      <x:c r="D202" s="89" t="s">
        <x:v>70</x:v>
      </x:c>
      <x:c r="E202" s="90">
        <x:v>0</x:v>
      </x:c>
      <x:c r="F202" s="90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>
        <x:v>0</x:v>
      </x:c>
    </x:row>
    <x:row r="203" spans="1:18" s="94" customFormat="1" ht="12.75" customHeight="1" x14ac:dyDescent="0.3">
      <x:c r="B203" s="101" t="s">
        <x:v>119</x:v>
      </x:c>
      <x:c r="C203" s="101" t="s">
        <x:v>70</x:v>
      </x:c>
      <x:c r="E203" s="93" t="n">
        <x:v>565581.06</x:v>
      </x:c>
      <x:c r="F203" s="93">
        <x:v>0</x:v>
      </x:c>
      <x:c r="G203" s="93">
        <x:v>0</x:v>
      </x:c>
      <x:c r="H203" s="93">
        <x:v>0</x:v>
      </x:c>
      <x:c r="I203" s="93">
        <x:v>0</x:v>
      </x:c>
      <x:c r="J203" s="93">
        <x:v>0</x:v>
      </x:c>
      <x:c r="K203" s="93">
        <x:v>0</x:v>
      </x:c>
      <x:c r="L203" s="93">
        <x:v>0</x:v>
      </x:c>
      <x:c r="M203" s="93">
        <x:v>0</x:v>
      </x:c>
      <x:c r="N203" s="93">
        <x:v>0</x:v>
      </x:c>
      <x:c r="O203" s="93">
        <x:v>0</x:v>
      </x:c>
      <x:c r="P203" s="93">
        <x:v>0</x:v>
      </x:c>
      <x:c r="Q203" s="93">
        <x:v>0</x:v>
      </x:c>
      <x:c r="R203" s="94">
        <x:v>0</x:v>
      </x:c>
    </x:row>
    <x:row r="204" spans="1:18" s="226" customFormat="1" ht="12.75" customHeight="1" x14ac:dyDescent="0.3">
      <x:c r="A204" s="98" t="s">
        <x:v>79</x:v>
      </x:c>
      <x:c r="B204" s="98" t="s">
        <x:v>70</x:v>
      </x:c>
      <x:c r="E204" s="100" t="n">
        <x:v>-3867345.76</x:v>
      </x:c>
      <x:c r="F204" s="100">
        <x:v>0</x:v>
      </x:c>
      <x:c r="G204" s="100">
        <x:v>0</x:v>
      </x:c>
      <x:c r="H204" s="100">
        <x:v>0</x:v>
      </x:c>
      <x:c r="I204" s="100">
        <x:v>0</x:v>
      </x:c>
      <x:c r="J204" s="100">
        <x:v>0</x:v>
      </x:c>
      <x:c r="K204" s="100">
        <x:v>0</x:v>
      </x:c>
      <x:c r="L204" s="100">
        <x:v>0</x:v>
      </x:c>
      <x:c r="M204" s="100">
        <x:v>0</x:v>
      </x:c>
      <x:c r="N204" s="100">
        <x:v>0</x:v>
      </x:c>
      <x:c r="O204" s="100">
        <x:v>0</x:v>
      </x:c>
      <x:c r="P204" s="100">
        <x:v>0</x:v>
      </x:c>
      <x:c r="Q204" s="100">
        <x:v>0</x:v>
      </x:c>
      <x:c r="R204" s="226">
        <x:v>0</x:v>
      </x:c>
    </x:row>
    <x:row r="205" spans="1:18" ht="12.75" customHeight="1" x14ac:dyDescent="0.3">
      <x:c r="A205" s="89" t="s">
        <x:v>70</x:v>
      </x:c>
      <x:c r="E205" s="90">
        <x:v>0</x:v>
      </x:c>
      <x:c r="F205" s="90">
        <x:v>0</x:v>
      </x:c>
      <x:c r="G205" s="90">
        <x:v>0</x:v>
      </x:c>
      <x:c r="H205" s="90">
        <x:v>0</x:v>
      </x:c>
      <x:c r="I205" s="90">
        <x:v>0</x:v>
      </x:c>
      <x:c r="J205" s="90">
        <x:v>0</x:v>
      </x:c>
      <x:c r="K205" s="90">
        <x:v>0</x:v>
      </x:c>
      <x:c r="L205" s="90">
        <x:v>0</x:v>
      </x:c>
      <x:c r="M205" s="90">
        <x:v>0</x:v>
      </x:c>
      <x:c r="N205" s="90">
        <x:v>0</x:v>
      </x:c>
      <x:c r="O205" s="90">
        <x:v>0</x:v>
      </x:c>
      <x:c r="P205" s="90">
        <x:v>0</x:v>
      </x:c>
      <x:c r="Q205" s="90">
        <x:v>0</x:v>
      </x:c>
      <x:c r="R205">
        <x:v>0</x:v>
      </x:c>
    </x:row>
    <x:row r="206" spans="1:18" ht="12.75" customHeight="1" x14ac:dyDescent="0.3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3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3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3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3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3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3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3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3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3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3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3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3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3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3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3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3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3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3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3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hidden="1" customHeight="1" x14ac:dyDescent="0.3">
      <x:c r="A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</x:row>
    <x:row r="227" spans="1:18" ht="12.75" hidden="1" customHeight="1" x14ac:dyDescent="0.3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18" ht="12.75" hidden="1" customHeight="1" x14ac:dyDescent="0.3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3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3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3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3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3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3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3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3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customHeight="1" x14ac:dyDescent="0.3">
      <x:c r="C237" s="89"/>
      <x:c r="D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</x:row>
    <x:row r="238" spans="1:18" ht="12.75" hidden="1" customHeight="1" x14ac:dyDescent="0.3">
      <x:c r="D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</x:row>
    <x:row r="239" spans="1:18" ht="12.75" hidden="1" customHeight="1" x14ac:dyDescent="0.3">
      <x:c r="C239" s="89"/>
      <x:c r="D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</x:row>
    <x:row r="240" spans="1:18" ht="12.75" hidden="1" customHeight="1" x14ac:dyDescent="0.3">
      <x:c r="D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</x:row>
    <x:row r="241" spans="1:18" ht="12.75" hidden="1" customHeight="1" x14ac:dyDescent="0.3">
      <x:c r="C241" s="89"/>
      <x:c r="D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</x:row>
    <x:row r="242" spans="1:18" ht="12.75" hidden="1" customHeight="1" x14ac:dyDescent="0.3">
      <x:c r="B242" s="89"/>
      <x:c r="C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</x:row>
    <x:row r="243" spans="1:18" ht="12.75" hidden="1" customHeight="1" x14ac:dyDescent="0.3">
      <x:c r="A243" s="89"/>
      <x:c r="B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</x:row>
    <x:row r="244" spans="1:18" ht="12.75" hidden="1" customHeight="1" x14ac:dyDescent="0.3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</x:row>
    <x:row r="245" spans="1:18" ht="12.75" hidden="1" customHeight="1" x14ac:dyDescent="0.3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3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3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3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3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3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3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3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3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3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hidden="1" customHeight="1" x14ac:dyDescent="0.3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hidden="1" customHeight="1" x14ac:dyDescent="0.3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7" ht="12.75" hidden="1" customHeight="1" x14ac:dyDescent="0.3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7" ht="12.75" hidden="1" customHeight="1" x14ac:dyDescent="0.3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7" ht="12.75" hidden="1" customHeight="1" x14ac:dyDescent="0.3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7" ht="12.75" hidden="1" customHeight="1" x14ac:dyDescent="0.3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7" ht="12.75" hidden="1" customHeight="1" x14ac:dyDescent="0.3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7" ht="12.75" hidden="1" customHeight="1" x14ac:dyDescent="0.3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7" ht="12.75" hidden="1" customHeight="1" x14ac:dyDescent="0.3">
      <x:c r="A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</x:row>
    <x:row r="264" spans="1:17" ht="12.75" hidden="1" customHeight="1" x14ac:dyDescent="0.3">
      <x:c r="A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</x:row>
    <x:row r="265" spans="1:17" ht="12.75" hidden="1" customHeight="1" x14ac:dyDescent="0.3">
      <x:c r="A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</x:row>
    <x:row r="266" spans="1:17" ht="12.75" hidden="1" customHeight="1" x14ac:dyDescent="0.3">
      <x:c r="A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</x:row>
    <x:row r="267" spans="1:17" ht="12.75" hidden="1" customHeight="1" x14ac:dyDescent="0.3">
      <x:c r="A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</x:row>
    <x:row r="268" spans="1:17" ht="12.75" hidden="1" customHeight="1" x14ac:dyDescent="0.3">
      <x:c r="A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</x:row>
    <x:row r="269" spans="1:17" ht="12.75" hidden="1" customHeight="1" x14ac:dyDescent="0.3">
      <x:c r="A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</x:row>
    <x:row r="270" spans="1:17" ht="12.75" hidden="1" customHeight="1" x14ac:dyDescent="0.3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</x:row>
    <x:row r="271" spans="1:17" ht="12.75" hidden="1" customHeight="1" x14ac:dyDescent="0.3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7" ht="12.75" customHeight="1" x14ac:dyDescent="0.3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8" ht="12.75" customHeight="1" x14ac:dyDescent="0.3">
      <x:c r="B273" s="777" t="s">
        <x:v>2</x:v>
      </x:c>
      <x:c r="C273" s="775" t="s">
        <x:v>132</x:v>
      </x:c>
      <x:c r="D273" s="98" t="s">
        <x:v>70</x:v>
      </x:c>
      <x:c r="E273" s="100">
        <x:f>E193+E204-K193</x:f>
        <x:v>0</x:v>
      </x:c>
      <x:c r="F273" s="100">
        <x:f>F193</x:f>
        <x:v>0</x:v>
      </x:c>
      <x:c r="G273" s="100">
        <x:f t="shared" ref="G273:R273" si="7">G193</x:f>
        <x:v>0</x:v>
      </x:c>
      <x:c r="H273" s="100">
        <x:f t="shared" si="7"/>
        <x:v>0</x:v>
      </x:c>
      <x:c r="I273" s="100">
        <x:f t="shared" si="7"/>
        <x:v>0</x:v>
      </x:c>
      <x:c r="J273" s="100">
        <x:f t="shared" si="7"/>
        <x:v>0</x:v>
      </x:c>
      <x:c r="K273" s="100">
        <x:f t="shared" si="7"/>
        <x:v>0</x:v>
      </x:c>
      <x:c r="L273" s="100">
        <x:f t="shared" si="7"/>
        <x:v>0</x:v>
      </x:c>
      <x:c r="M273" s="100">
        <x:f t="shared" si="7"/>
        <x:v>0</x:v>
      </x:c>
      <x:c r="N273" s="100">
        <x:f t="shared" si="7"/>
        <x:v>0</x:v>
      </x:c>
      <x:c r="O273" s="100">
        <x:f t="shared" si="7"/>
        <x:v>0</x:v>
      </x:c>
      <x:c r="P273" s="100">
        <x:f t="shared" si="7"/>
        <x:v>0</x:v>
      </x:c>
      <x:c r="Q273" s="100">
        <x:f t="shared" si="7"/>
        <x:v>0</x:v>
      </x:c>
      <x:c r="R273" s="100">
        <x:f t="shared" si="7"/>
        <x:v>0</x:v>
      </x:c>
    </x:row>
    <x:row r="274" spans="1:18" ht="12.75" customHeight="1" x14ac:dyDescent="0.3">
      <x:c r="B274" s="777"/>
      <x:c r="C274" s="775"/>
      <x:c r="D274" s="98" t="s">
        <x:v>73</x:v>
      </x:c>
      <x:c r="E274" s="100">
        <x:f>E204</x:f>
        <x:v>0</x:v>
      </x:c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</x:row>
    <x:row r="275" spans="1:18" ht="12.75" customHeight="1" x14ac:dyDescent="0.3">
      <x:c r="A275" s="89"/>
      <x:c r="B275" s="97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3">
      <x:c r="B276" s="777" t="s">
        <x:v>160</x:v>
      </x:c>
      <x:c r="C276" s="775" t="s">
        <x:v>132</x:v>
      </x:c>
      <x:c r="D276" s="223" t="s">
        <x:v>70</x:v>
      </x:c>
      <x:c r="E276" s="225">
        <x:v>0</x:v>
      </x:c>
      <x:c r="F276" s="225">
        <x:v>0</x:v>
      </x:c>
      <x:c r="G276" s="225">
        <x:v>0</x:v>
      </x:c>
      <x:c r="H276" s="225">
        <x:v>0</x:v>
      </x:c>
      <x:c r="I276" s="225">
        <x:v>0</x:v>
      </x:c>
      <x:c r="J276" s="225">
        <x:v>0</x:v>
      </x:c>
      <x:c r="K276" s="225">
        <x:v>0</x:v>
      </x:c>
      <x:c r="L276" s="225">
        <x:v>0</x:v>
      </x:c>
      <x:c r="M276" s="225">
        <x:v>0</x:v>
      </x:c>
      <x:c r="N276" s="225">
        <x:v>0</x:v>
      </x:c>
      <x:c r="O276" s="225">
        <x:v>0</x:v>
      </x:c>
      <x:c r="P276" s="225">
        <x:v>0</x:v>
      </x:c>
      <x:c r="Q276" s="225">
        <x:v>0</x:v>
      </x:c>
      <x:c r="R276" s="225">
        <x:v>0</x:v>
      </x:c>
    </x:row>
    <x:row r="277" spans="1:18" ht="12.75" customHeight="1" x14ac:dyDescent="0.3">
      <x:c r="B277" s="777"/>
      <x:c r="C277" s="775"/>
      <x:c r="D277" s="223" t="s">
        <x:v>73</x:v>
      </x:c>
      <x:c r="E277" s="225">
        <x:v>0</x:v>
      </x:c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18" ht="12.75" customHeight="1" x14ac:dyDescent="0.3">
      <x:c r="A278" s="89"/>
      <x:c r="B278" s="97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ht="12.75" customHeight="1" x14ac:dyDescent="0.3">
      <x:c r="B279" s="777" t="s">
        <x:v>155</x:v>
      </x:c>
      <x:c r="C279" s="775" t="s">
        <x:v>132</x:v>
      </x:c>
      <x:c r="D279" s="221" t="s">
        <x:v>70</x:v>
      </x:c>
      <x:c r="E279" s="222">
        <x:f>E196+E182+E178-K182-K178</x:f>
        <x:v>0</x:v>
      </x:c>
      <x:c r="F279" s="222">
        <x:f>F178+F182</x:f>
        <x:v>0</x:v>
      </x:c>
      <x:c r="G279" s="222">
        <x:f t="shared" ref="G279:R279" si="8">G178+G182</x:f>
        <x:v>0</x:v>
      </x:c>
      <x:c r="H279" s="222">
        <x:f t="shared" si="8"/>
        <x:v>0</x:v>
      </x:c>
      <x:c r="I279" s="222">
        <x:f t="shared" si="8"/>
        <x:v>0</x:v>
      </x:c>
      <x:c r="J279" s="222">
        <x:f t="shared" si="8"/>
        <x:v>0</x:v>
      </x:c>
      <x:c r="K279" s="222">
        <x:f t="shared" si="8"/>
        <x:v>0</x:v>
      </x:c>
      <x:c r="L279" s="222">
        <x:f t="shared" si="8"/>
        <x:v>0</x:v>
      </x:c>
      <x:c r="M279" s="222">
        <x:f t="shared" si="8"/>
        <x:v>0</x:v>
      </x:c>
      <x:c r="N279" s="222">
        <x:f t="shared" si="8"/>
        <x:v>0</x:v>
      </x:c>
      <x:c r="O279" s="222">
        <x:f t="shared" si="8"/>
        <x:v>0</x:v>
      </x:c>
      <x:c r="P279" s="222">
        <x:f t="shared" si="8"/>
        <x:v>0</x:v>
      </x:c>
      <x:c r="Q279" s="222">
        <x:f t="shared" si="8"/>
        <x:v>0</x:v>
      </x:c>
      <x:c r="R279" s="222">
        <x:f t="shared" si="8"/>
        <x:v>0</x:v>
      </x:c>
    </x:row>
    <x:row r="280" spans="1:18" ht="12.75" customHeight="1" x14ac:dyDescent="0.3">
      <x:c r="B280" s="777"/>
      <x:c r="C280" s="775"/>
      <x:c r="D280" s="221" t="s">
        <x:v>73</x:v>
      </x:c>
      <x:c r="E280" s="222">
        <x:f>E196</x:f>
        <x:v>0</x:v>
      </x:c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</x:row>
    <x:row r="281" spans="1:18" ht="12.75" customHeight="1" x14ac:dyDescent="0.3">
      <x:c r="B281" s="719"/>
      <x:c r="C281" s="220"/>
      <x:c r="D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</x:row>
    <x:row r="282" spans="1:18" ht="12.75" customHeight="1" x14ac:dyDescent="0.3">
      <x:c r="B282" s="778" t="s">
        <x:v>326</x:v>
      </x:c>
      <x:c r="C282" s="775" t="s">
        <x:v>132</x:v>
      </x:c>
      <x:c r="D282" s="373" t="s">
        <x:v>70</x:v>
      </x:c>
      <x:c r="E282" s="374">
        <x:v>0</x:v>
      </x:c>
      <x:c r="F282" s="374">
        <x:v>0</x:v>
      </x:c>
      <x:c r="G282" s="374">
        <x:v>0</x:v>
      </x:c>
      <x:c r="H282" s="374">
        <x:v>0</x:v>
      </x:c>
      <x:c r="I282" s="374">
        <x:v>0</x:v>
      </x:c>
      <x:c r="J282" s="374">
        <x:v>0</x:v>
      </x:c>
      <x:c r="K282" s="374">
        <x:v>0</x:v>
      </x:c>
      <x:c r="L282" s="374">
        <x:v>0</x:v>
      </x:c>
      <x:c r="M282" s="374">
        <x:v>0</x:v>
      </x:c>
      <x:c r="N282" s="374">
        <x:v>0</x:v>
      </x:c>
      <x:c r="O282" s="374">
        <x:v>0</x:v>
      </x:c>
      <x:c r="P282" s="374">
        <x:v>0</x:v>
      </x:c>
      <x:c r="Q282" s="374">
        <x:v>0</x:v>
      </x:c>
      <x:c r="R282" s="374">
        <x:v>0</x:v>
      </x:c>
    </x:row>
    <x:row r="283" spans="1:18" ht="12.75" customHeight="1" x14ac:dyDescent="0.3">
      <x:c r="B283" s="778"/>
      <x:c r="C283" s="775"/>
      <x:c r="D283" s="373" t="s">
        <x:v>73</x:v>
      </x:c>
      <x:c r="E283" s="374">
        <x:v>0</x:v>
      </x:c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18" ht="12.75" customHeight="1" x14ac:dyDescent="0.3">
      <x:c r="B284" s="719"/>
      <x:c r="C284" s="220"/>
      <x:c r="D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</x:row>
    <x:row r="285" spans="1:18" ht="12.75" customHeight="1" x14ac:dyDescent="0.3">
      <x:c r="B285" s="777" t="s">
        <x:v>119</x:v>
      </x:c>
      <x:c r="C285" s="775" t="s">
        <x:v>132</x:v>
      </x:c>
      <x:c r="D285" s="101" t="s">
        <x:v>70</x:v>
      </x:c>
      <x:c r="E285" s="93">
        <x:f>E192+E203-K192</x:f>
        <x:v>0</x:v>
      </x:c>
      <x:c r="F285" s="93">
        <x:f>F192</x:f>
        <x:v>0</x:v>
      </x:c>
      <x:c r="G285" s="93">
        <x:f t="shared" ref="G285:R285" si="9">G192</x:f>
        <x:v>0</x:v>
      </x:c>
      <x:c r="H285" s="93">
        <x:f t="shared" si="9"/>
        <x:v>0</x:v>
      </x:c>
      <x:c r="I285" s="93">
        <x:f t="shared" si="9"/>
        <x:v>0</x:v>
      </x:c>
      <x:c r="J285" s="93">
        <x:f t="shared" si="9"/>
        <x:v>0</x:v>
      </x:c>
      <x:c r="K285" s="93">
        <x:f t="shared" si="9"/>
        <x:v>0</x:v>
      </x:c>
      <x:c r="L285" s="93">
        <x:f t="shared" si="9"/>
        <x:v>0</x:v>
      </x:c>
      <x:c r="M285" s="93">
        <x:f t="shared" si="9"/>
        <x:v>0</x:v>
      </x:c>
      <x:c r="N285" s="93">
        <x:f t="shared" si="9"/>
        <x:v>0</x:v>
      </x:c>
      <x:c r="O285" s="93">
        <x:f t="shared" si="9"/>
        <x:v>0</x:v>
      </x:c>
      <x:c r="P285" s="93">
        <x:f t="shared" si="9"/>
        <x:v>0</x:v>
      </x:c>
      <x:c r="Q285" s="93">
        <x:f t="shared" si="9"/>
        <x:v>0</x:v>
      </x:c>
      <x:c r="R285" s="93">
        <x:f t="shared" si="9"/>
        <x:v>0</x:v>
      </x:c>
    </x:row>
    <x:row r="286" spans="1:18" ht="12.75" customHeight="1" x14ac:dyDescent="0.3">
      <x:c r="B286" s="777"/>
      <x:c r="C286" s="775"/>
      <x:c r="D286" s="101" t="s">
        <x:v>73</x:v>
      </x:c>
      <x:c r="E286" s="93">
        <x:f>E203</x:f>
        <x:v>0</x:v>
      </x:c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</x:row>
    <x:row r="287" spans="1:18" ht="12.75" customHeight="1" x14ac:dyDescent="0.3">
      <x:c r="A287" s="89"/>
      <x:c r="B287" s="97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</x:row>
    <x:row r="288" spans="1:18" ht="12.75" customHeight="1" x14ac:dyDescent="0.3">
      <x:c r="B288" s="776" t="s">
        <x:v>161</x:v>
      </x:c>
      <x:c r="C288" s="775" t="s">
        <x:v>132</x:v>
      </x:c>
      <x:c r="D288" s="231" t="s">
        <x:v>70</x:v>
      </x:c>
      <x:c r="E288" s="232">
        <x:v>0</x:v>
      </x:c>
      <x:c r="F288" s="232">
        <x:v>0</x:v>
      </x:c>
      <x:c r="G288" s="232">
        <x:v>0</x:v>
      </x:c>
      <x:c r="H288" s="232">
        <x:v>0</x:v>
      </x:c>
      <x:c r="I288" s="232">
        <x:v>0</x:v>
      </x:c>
      <x:c r="J288" s="232">
        <x:v>0</x:v>
      </x:c>
      <x:c r="K288" s="232">
        <x:v>0</x:v>
      </x:c>
      <x:c r="L288" s="232">
        <x:v>0</x:v>
      </x:c>
      <x:c r="M288" s="232">
        <x:v>0</x:v>
      </x:c>
      <x:c r="N288" s="232">
        <x:v>0</x:v>
      </x:c>
      <x:c r="O288" s="232">
        <x:v>0</x:v>
      </x:c>
      <x:c r="P288" s="232">
        <x:v>0</x:v>
      </x:c>
      <x:c r="Q288" s="232">
        <x:v>0</x:v>
      </x:c>
      <x:c r="R288" s="232">
        <x:v>0</x:v>
      </x:c>
    </x:row>
    <x:row r="289" spans="2:18" ht="12.75" customHeight="1" x14ac:dyDescent="0.3">
      <x:c r="B289" s="776"/>
      <x:c r="C289" s="775"/>
      <x:c r="D289" s="231" t="s">
        <x:v>73</x:v>
      </x:c>
      <x:c r="E289" s="232">
        <x:v>0</x:v>
      </x:c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</x:row>
    <x:row r="290" spans="2:18" s="238" customFormat="1" x14ac:dyDescent="0.3"/>
    <x:row r="291" spans="2:18" ht="15" customHeight="1" x14ac:dyDescent="0.3">
      <x:c r="B291" s="97" t="s">
        <x:v>88</x:v>
      </x:c>
    </x:row>
    <x:row r="292" spans="2:18" ht="11.5" customHeight="1" x14ac:dyDescent="0.3">
      <x:c r="E292" s="89" t="s">
        <x:v>70</x:v>
      </x:c>
      <x:c r="F292" s="89" t="s">
        <x:v>64</x:v>
      </x:c>
      <x:c r="G292" s="89" t="s">
        <x:v>65</x:v>
      </x:c>
      <x:c r="H292" s="219" t="s">
        <x:v>164</x:v>
      </x:c>
      <x:c r="I292" s="89" t="s">
        <x:v>69</x:v>
      </x:c>
      <x:c r="J292" s="89" t="s">
        <x:v>68</x:v>
      </x:c>
      <x:c r="K292" s="89" t="s">
        <x:v>83</x:v>
      </x:c>
      <x:c r="L292" s="89" t="s">
        <x:v>66</x:v>
      </x:c>
      <x:c r="M292" s="89" t="s">
        <x:v>63</x:v>
      </x:c>
      <x:c r="N292" s="89" t="s">
        <x:v>61</x:v>
      </x:c>
      <x:c r="O292" s="89" t="s">
        <x:v>62</x:v>
      </x:c>
      <x:c r="P292" s="89" t="s">
        <x:v>67</x:v>
      </x:c>
      <x:c r="Q292" s="89" t="s">
        <x:v>84</x:v>
      </x:c>
      <x:c r="R292" s="384" t="s">
        <x:v>225</x:v>
      </x:c>
    </x:row>
    <x:row r="293" spans="2:18" ht="11.5" customHeight="1" x14ac:dyDescent="0.3">
      <x:c r="D293" t="s">
        <x:v>72</x:v>
      </x:c>
      <x:c r="E293" s="89">
        <x:v>0</x:v>
      </x:c>
      <x:c r="F293" s="89">
        <x:v>0</x:v>
      </x:c>
      <x:c r="G293" s="89">
        <x:v>0</x:v>
      </x:c>
      <x:c r="H293" s="384">
        <x:v>0</x:v>
      </x:c>
      <x:c r="I293" s="89">
        <x:v>0</x:v>
      </x:c>
      <x:c r="J293" s="89">
        <x:v>0</x:v>
      </x:c>
      <x:c r="K293" s="89">
        <x:v>0</x:v>
      </x:c>
      <x:c r="L293" s="89">
        <x:v>0</x:v>
      </x:c>
      <x:c r="M293" s="89">
        <x:v>0</x:v>
      </x:c>
      <x:c r="N293" s="89">
        <x:v>0</x:v>
      </x:c>
      <x:c r="O293" s="89">
        <x:v>0</x:v>
      </x:c>
      <x:c r="P293" s="89">
        <x:v>0</x:v>
      </x:c>
      <x:c r="Q293" s="89">
        <x:v>0</x:v>
      </x:c>
      <x:c r="R293" s="384">
        <x:v>0</x:v>
      </x:c>
    </x:row>
    <x:row r="294" spans="2:18" ht="12.75" customHeight="1" x14ac:dyDescent="0.3">
      <x:c r="D294" t="s">
        <x:v>81</x:v>
      </x:c>
      <x:c r="E294" s="384">
        <x:v>0</x:v>
      </x:c>
      <x:c r="F294" s="89">
        <x:v>0</x:v>
      </x:c>
      <x:c r="G294" s="89">
        <x:v>0</x:v>
      </x:c>
      <x:c r="H294" s="384">
        <x:v>0</x:v>
      </x:c>
      <x:c r="I294" s="89">
        <x:v>0</x:v>
      </x:c>
      <x:c r="J294" s="89">
        <x:v>0</x:v>
      </x:c>
      <x:c r="K294" s="89">
        <x:v>0</x:v>
      </x:c>
      <x:c r="L294" s="89">
        <x:v>0</x:v>
      </x:c>
      <x:c r="M294" s="89">
        <x:v>0</x:v>
      </x:c>
      <x:c r="N294" s="89">
        <x:v>0</x:v>
      </x:c>
      <x:c r="O294" s="89">
        <x:v>0</x:v>
      </x:c>
      <x:c r="P294" s="89">
        <x:v>0</x:v>
      </x:c>
      <x:c r="Q294" s="89">
        <x:v>0</x:v>
      </x:c>
      <x:c r="R294" s="384">
        <x:v>0</x:v>
      </x:c>
    </x:row>
    <x:row r="295" spans="2:18" ht="11.5" customHeight="1" x14ac:dyDescent="0.3">
      <x:c r="C295" t="s">
        <x:v>332</x:v>
      </x:c>
      <x:c r="D295" t="s">
        <x:v>70</x:v>
      </x:c>
      <x:c r="E295" s="384">
        <x:v>0</x:v>
      </x:c>
      <x:c r="F295" s="89">
        <x:v>0</x:v>
      </x:c>
      <x:c r="G295" s="89">
        <x:v>0</x:v>
      </x:c>
      <x:c r="H295" s="384">
        <x:v>0</x:v>
      </x:c>
      <x:c r="I295" s="89">
        <x:v>0</x:v>
      </x:c>
      <x:c r="J295" s="89">
        <x:v>0</x:v>
      </x:c>
      <x:c r="K295" s="89">
        <x:v>0</x:v>
      </x:c>
      <x:c r="L295" s="89">
        <x:v>0</x:v>
      </x:c>
      <x:c r="M295" s="89">
        <x:v>0</x:v>
      </x:c>
      <x:c r="N295" s="89">
        <x:v>0</x:v>
      </x:c>
      <x:c r="O295" s="89">
        <x:v>0</x:v>
      </x:c>
      <x:c r="P295" s="89">
        <x:v>0</x:v>
      </x:c>
      <x:c r="Q295" s="89">
        <x:v>0</x:v>
      </x:c>
      <x:c r="R295" s="384">
        <x:v>0</x:v>
      </x:c>
    </x:row>
    <x:row r="296" spans="2:18" s="739" customFormat="1" ht="11.5" customHeight="1" x14ac:dyDescent="0.3">
      <x:c r="B296" s="739" t="s">
        <x:v>85</x:v>
      </x:c>
      <x:c r="C296" s="739" t="s">
        <x:v>70</x:v>
      </x:c>
      <x:c r="E296" s="769">
        <x:v>0</x:v>
      </x:c>
      <x:c r="F296" s="231">
        <x:v>0</x:v>
      </x:c>
      <x:c r="G296" s="231">
        <x:v>0</x:v>
      </x:c>
      <x:c r="H296" s="769">
        <x:v>0</x:v>
      </x:c>
      <x:c r="I296" s="231">
        <x:v>0</x:v>
      </x:c>
      <x:c r="J296" s="231">
        <x:v>0</x:v>
      </x:c>
      <x:c r="K296" s="231">
        <x:v>0</x:v>
      </x:c>
      <x:c r="L296" s="231">
        <x:v>0</x:v>
      </x:c>
      <x:c r="M296" s="231">
        <x:v>0</x:v>
      </x:c>
      <x:c r="N296" s="231">
        <x:v>0</x:v>
      </x:c>
      <x:c r="O296" s="231">
        <x:v>0</x:v>
      </x:c>
      <x:c r="P296" s="231">
        <x:v>0</x:v>
      </x:c>
      <x:c r="Q296" s="231">
        <x:v>0</x:v>
      </x:c>
      <x:c r="R296" s="769">
        <x:v>0</x:v>
      </x:c>
    </x:row>
    <x:row r="297" spans="2:18" ht="11.5" customHeight="1" x14ac:dyDescent="0.3">
      <x:c r="D297" t="s">
        <x:v>72</x:v>
      </x:c>
      <x:c r="E297" s="384">
        <x:v>0</x:v>
      </x:c>
      <x:c r="F297" s="89">
        <x:v>0</x:v>
      </x:c>
      <x:c r="G297" s="89">
        <x:v>0</x:v>
      </x:c>
      <x:c r="H297" s="384">
        <x:v>0</x:v>
      </x:c>
      <x:c r="I297" s="89">
        <x:v>0</x:v>
      </x:c>
      <x:c r="J297" s="89">
        <x:v>0</x:v>
      </x:c>
      <x:c r="K297" s="89">
        <x:v>0</x:v>
      </x:c>
      <x:c r="L297" s="89">
        <x:v>0</x:v>
      </x:c>
      <x:c r="M297" s="89">
        <x:v>0</x:v>
      </x:c>
      <x:c r="N297" s="89">
        <x:v>0</x:v>
      </x:c>
      <x:c r="O297" s="89">
        <x:v>0</x:v>
      </x:c>
      <x:c r="P297" s="89">
        <x:v>0</x:v>
      </x:c>
      <x:c r="Q297" s="89">
        <x:v>0</x:v>
      </x:c>
      <x:c r="R297" s="384">
        <x:v>0</x:v>
      </x:c>
    </x:row>
    <x:row r="298" spans="2:18" ht="12.75" customHeight="1" x14ac:dyDescent="0.3">
      <x:c r="D298" t="s">
        <x:v>81</x:v>
      </x:c>
      <x:c r="E298" s="384">
        <x:v>0</x:v>
      </x:c>
      <x:c r="F298" s="89">
        <x:v>0</x:v>
      </x:c>
      <x:c r="G298" s="89">
        <x:v>0</x:v>
      </x:c>
      <x:c r="H298" s="384">
        <x:v>0</x:v>
      </x:c>
      <x:c r="I298" s="89">
        <x:v>0</x:v>
      </x:c>
      <x:c r="J298" s="89">
        <x:v>0</x:v>
      </x:c>
      <x:c r="K298" s="89">
        <x:v>0</x:v>
      </x:c>
      <x:c r="L298" s="89">
        <x:v>0</x:v>
      </x:c>
      <x:c r="M298" s="89">
        <x:v>0</x:v>
      </x:c>
      <x:c r="N298" s="89">
        <x:v>0</x:v>
      </x:c>
      <x:c r="O298" s="89">
        <x:v>0</x:v>
      </x:c>
      <x:c r="P298" s="89">
        <x:v>0</x:v>
      </x:c>
      <x:c r="Q298" s="89">
        <x:v>0</x:v>
      </x:c>
      <x:c r="R298" s="384">
        <x:v>0</x:v>
      </x:c>
    </x:row>
    <x:row r="299" spans="2:18" ht="12.75" customHeight="1" x14ac:dyDescent="0.3">
      <x:c r="C299" t="s">
        <x:v>156</x:v>
      </x:c>
      <x:c r="D299" t="s">
        <x:v>70</x:v>
      </x:c>
      <x:c r="E299" s="384">
        <x:v>0</x:v>
      </x:c>
      <x:c r="F299" s="89">
        <x:v>0</x:v>
      </x:c>
      <x:c r="G299" s="89">
        <x:v>0</x:v>
      </x:c>
      <x:c r="H299" s="384">
        <x:v>0</x:v>
      </x:c>
      <x:c r="I299" s="89">
        <x:v>0</x:v>
      </x:c>
      <x:c r="J299" s="89">
        <x:v>0</x:v>
      </x:c>
      <x:c r="K299" s="89">
        <x:v>0</x:v>
      </x:c>
      <x:c r="L299" s="89">
        <x:v>0</x:v>
      </x:c>
      <x:c r="M299" s="89">
        <x:v>0</x:v>
      </x:c>
      <x:c r="N299" s="89">
        <x:v>0</x:v>
      </x:c>
      <x:c r="O299" s="89">
        <x:v>0</x:v>
      </x:c>
      <x:c r="P299" s="89">
        <x:v>0</x:v>
      </x:c>
      <x:c r="Q299" s="89">
        <x:v>0</x:v>
      </x:c>
      <x:c r="R299">
        <x:v>0</x:v>
      </x:c>
    </x:row>
    <x:row r="300" spans="2:18" s="286" customFormat="1" ht="12.75" customHeight="1" x14ac:dyDescent="0.3">
      <x:c r="B300" s="286" t="s">
        <x:v>155</x:v>
      </x:c>
      <x:c r="C300" s="286" t="s">
        <x:v>70</x:v>
      </x:c>
      <x:c r="E300" s="753" t="n">
        <x:v>23658250.32</x:v>
      </x:c>
      <x:c r="F300" s="229">
        <x:v>0</x:v>
      </x:c>
      <x:c r="G300" s="229">
        <x:v>0</x:v>
      </x:c>
      <x:c r="H300" s="753">
        <x:v>0</x:v>
      </x:c>
      <x:c r="I300" s="229">
        <x:v>0</x:v>
      </x:c>
      <x:c r="J300" s="229">
        <x:v>0</x:v>
      </x:c>
      <x:c r="K300" s="229" t="n">
        <x:v>0</x:v>
      </x:c>
      <x:c r="L300" s="229">
        <x:v>0</x:v>
      </x:c>
      <x:c r="M300" s="229">
        <x:v>0</x:v>
      </x:c>
      <x:c r="N300" s="229">
        <x:v>0</x:v>
      </x:c>
      <x:c r="O300" s="229">
        <x:v>0</x:v>
      </x:c>
      <x:c r="P300" s="229">
        <x:v>0</x:v>
      </x:c>
      <x:c r="Q300" s="229">
        <x:v>0</x:v>
      </x:c>
      <x:c r="R300" s="286">
        <x:v>0</x:v>
      </x:c>
    </x:row>
    <x:row r="301" spans="2:18" ht="12.75" customHeight="1" x14ac:dyDescent="0.3">
      <x:c r="D301" t="s">
        <x:v>72</x:v>
      </x:c>
      <x:c r="E301" s="384">
        <x:v>0</x:v>
      </x:c>
      <x:c r="F301" s="89">
        <x:v>0</x:v>
      </x:c>
      <x:c r="G301" s="89">
        <x:v>0</x:v>
      </x:c>
      <x:c r="H301" s="384">
        <x:v>0</x:v>
      </x:c>
      <x:c r="I301" s="89">
        <x:v>0</x:v>
      </x:c>
      <x:c r="J301" s="89">
        <x:v>0</x:v>
      </x:c>
      <x:c r="K301" s="89">
        <x:v>0</x:v>
      </x:c>
      <x:c r="L301" s="89">
        <x:v>0</x:v>
      </x:c>
      <x:c r="M301" s="89">
        <x:v>0</x:v>
      </x:c>
      <x:c r="N301" s="89">
        <x:v>0</x:v>
      </x:c>
      <x:c r="O301" s="89">
        <x:v>0</x:v>
      </x:c>
      <x:c r="P301" s="89">
        <x:v>0</x:v>
      </x:c>
      <x:c r="Q301" s="89">
        <x:v>0</x:v>
      </x:c>
      <x:c r="R301">
        <x:v>0</x:v>
      </x:c>
    </x:row>
    <x:row r="302" spans="2:18" ht="12.75" customHeight="1" x14ac:dyDescent="0.3">
      <x:c r="D302" t="s">
        <x:v>81</x:v>
      </x:c>
      <x:c r="E302" s="384">
        <x:v>0</x:v>
      </x:c>
      <x:c r="F302" s="89">
        <x:v>0</x:v>
      </x:c>
      <x:c r="G302" s="89">
        <x:v>0</x:v>
      </x:c>
      <x:c r="H302" s="384">
        <x:v>0</x:v>
      </x:c>
      <x:c r="I302" s="89">
        <x:v>0</x:v>
      </x:c>
      <x:c r="J302" s="89">
        <x:v>0</x:v>
      </x:c>
      <x:c r="K302" s="89">
        <x:v>0</x:v>
      </x:c>
      <x:c r="L302" s="89">
        <x:v>0</x:v>
      </x:c>
      <x:c r="M302" s="89">
        <x:v>0</x:v>
      </x:c>
      <x:c r="N302" s="89">
        <x:v>0</x:v>
      </x:c>
      <x:c r="O302" s="89">
        <x:v>0</x:v>
      </x:c>
      <x:c r="P302" s="89">
        <x:v>0</x:v>
      </x:c>
      <x:c r="Q302" s="89">
        <x:v>0</x:v>
      </x:c>
      <x:c r="R302">
        <x:v>0</x:v>
      </x:c>
    </x:row>
    <x:row r="303" spans="2:18" ht="12.75" customHeight="1" x14ac:dyDescent="0.3">
      <x:c r="C303" t="s">
        <x:v>115</x:v>
      </x:c>
      <x:c r="D303" t="s">
        <x:v>70</x:v>
      </x:c>
      <x:c r="E303" s="384">
        <x:v>0</x:v>
      </x:c>
      <x:c r="F303" s="89">
        <x:v>0</x:v>
      </x:c>
      <x:c r="G303" s="89">
        <x:v>0</x:v>
      </x:c>
      <x:c r="H303" s="384">
        <x:v>0</x:v>
      </x:c>
      <x:c r="I303" s="89">
        <x:v>0</x:v>
      </x:c>
      <x:c r="J303" s="89">
        <x:v>0</x:v>
      </x:c>
      <x:c r="K303" s="89">
        <x:v>0</x:v>
      </x:c>
      <x:c r="L303" s="89">
        <x:v>0</x:v>
      </x:c>
      <x:c r="M303" s="89">
        <x:v>0</x:v>
      </x:c>
      <x:c r="N303" s="89">
        <x:v>0</x:v>
      </x:c>
      <x:c r="O303" s="89">
        <x:v>0</x:v>
      </x:c>
      <x:c r="P303" s="89">
        <x:v>0</x:v>
      </x:c>
      <x:c r="Q303" s="89">
        <x:v>0</x:v>
      </x:c>
      <x:c r="R303">
        <x:v>0</x:v>
      </x:c>
    </x:row>
    <x:row r="304" spans="2:18" ht="12.75" customHeight="1" x14ac:dyDescent="0.3">
      <x:c r="D304" t="s">
        <x:v>72</x:v>
      </x:c>
      <x:c r="E304" s="384">
        <x:v>0</x:v>
      </x:c>
      <x:c r="F304" s="89">
        <x:v>0</x:v>
      </x:c>
      <x:c r="G304" s="89">
        <x:v>0</x:v>
      </x:c>
      <x:c r="H304" s="384">
        <x:v>0</x:v>
      </x:c>
      <x:c r="I304" s="89">
        <x:v>0</x:v>
      </x:c>
      <x:c r="J304" s="89">
        <x:v>0</x:v>
      </x:c>
      <x:c r="K304" s="89">
        <x:v>0</x:v>
      </x:c>
      <x:c r="L304" s="89">
        <x:v>0</x:v>
      </x:c>
      <x:c r="M304" s="89">
        <x:v>0</x:v>
      </x:c>
      <x:c r="N304" s="89">
        <x:v>0</x:v>
      </x:c>
      <x:c r="O304" s="89">
        <x:v>0</x:v>
      </x:c>
      <x:c r="P304" s="89">
        <x:v>0</x:v>
      </x:c>
      <x:c r="Q304" s="89">
        <x:v>0</x:v>
      </x:c>
      <x:c r="R304">
        <x:v>0</x:v>
      </x:c>
    </x:row>
    <x:row r="305" spans="2:18" ht="12.75" customHeight="1" x14ac:dyDescent="0.3">
      <x:c r="D305" t="s">
        <x:v>81</x:v>
      </x:c>
      <x:c r="E305" s="384">
        <x:v>0</x:v>
      </x:c>
      <x:c r="F305" s="89">
        <x:v>0</x:v>
      </x:c>
      <x:c r="G305" s="89">
        <x:v>0</x:v>
      </x:c>
      <x:c r="H305" s="384">
        <x:v>0</x:v>
      </x:c>
      <x:c r="I305" s="89">
        <x:v>0</x:v>
      </x:c>
      <x:c r="J305" s="89">
        <x:v>0</x:v>
      </x:c>
      <x:c r="K305" s="89">
        <x:v>0</x:v>
      </x:c>
      <x:c r="L305" s="89">
        <x:v>0</x:v>
      </x:c>
      <x:c r="M305" s="89">
        <x:v>0</x:v>
      </x:c>
      <x:c r="N305" s="89">
        <x:v>0</x:v>
      </x:c>
      <x:c r="O305" s="89">
        <x:v>0</x:v>
      </x:c>
      <x:c r="P305" s="89">
        <x:v>0</x:v>
      </x:c>
      <x:c r="Q305" s="89">
        <x:v>0</x:v>
      </x:c>
      <x:c r="R305">
        <x:v>0</x:v>
      </x:c>
    </x:row>
    <x:row r="306" spans="2:18" ht="12.75" customHeight="1" x14ac:dyDescent="0.3">
      <x:c r="C306" t="s">
        <x:v>116</x:v>
      </x:c>
      <x:c r="D306" t="s">
        <x:v>70</x:v>
      </x:c>
      <x:c r="E306" s="384">
        <x:v>0</x:v>
      </x:c>
      <x:c r="F306" s="89">
        <x:v>0</x:v>
      </x:c>
      <x:c r="G306" s="89">
        <x:v>0</x:v>
      </x:c>
      <x:c r="H306" s="384">
        <x:v>0</x:v>
      </x:c>
      <x:c r="I306" s="89">
        <x:v>0</x:v>
      </x:c>
      <x:c r="J306" s="89">
        <x:v>0</x:v>
      </x:c>
      <x:c r="K306" s="89">
        <x:v>0</x:v>
      </x:c>
      <x:c r="L306" s="89">
        <x:v>0</x:v>
      </x:c>
      <x:c r="M306" s="89">
        <x:v>0</x:v>
      </x:c>
      <x:c r="N306" s="89">
        <x:v>0</x:v>
      </x:c>
      <x:c r="O306" s="89">
        <x:v>0</x:v>
      </x:c>
      <x:c r="P306" s="89">
        <x:v>0</x:v>
      </x:c>
      <x:c r="Q306" s="89">
        <x:v>0</x:v>
      </x:c>
      <x:c r="R306">
        <x:v>0</x:v>
      </x:c>
    </x:row>
    <x:row r="307" spans="2:18" ht="12.75" customHeight="1" x14ac:dyDescent="0.3">
      <x:c r="D307" t="s">
        <x:v>72</x:v>
      </x:c>
      <x:c r="E307" s="384">
        <x:v>0</x:v>
      </x:c>
      <x:c r="F307" s="89">
        <x:v>0</x:v>
      </x:c>
      <x:c r="G307" s="89">
        <x:v>0</x:v>
      </x:c>
      <x:c r="H307" s="384">
        <x:v>0</x:v>
      </x:c>
      <x:c r="I307" s="89">
        <x:v>0</x:v>
      </x:c>
      <x:c r="J307" s="89">
        <x:v>0</x:v>
      </x:c>
      <x:c r="K307" s="89">
        <x:v>0</x:v>
      </x:c>
      <x:c r="L307" s="89">
        <x:v>0</x:v>
      </x:c>
      <x:c r="M307" s="89">
        <x:v>0</x:v>
      </x:c>
      <x:c r="N307" s="89">
        <x:v>0</x:v>
      </x:c>
      <x:c r="O307" s="89">
        <x:v>0</x:v>
      </x:c>
      <x:c r="P307" s="89">
        <x:v>0</x:v>
      </x:c>
      <x:c r="Q307" s="89">
        <x:v>0</x:v>
      </x:c>
      <x:c r="R307">
        <x:v>0</x:v>
      </x:c>
    </x:row>
    <x:row r="308" spans="2:18" ht="12.75" customHeight="1" x14ac:dyDescent="0.3">
      <x:c r="D308" t="s">
        <x:v>81</x:v>
      </x:c>
      <x:c r="E308" s="384">
        <x:v>0</x:v>
      </x:c>
      <x:c r="F308" s="89">
        <x:v>0</x:v>
      </x:c>
      <x:c r="G308" s="89">
        <x:v>0</x:v>
      </x:c>
      <x:c r="H308" s="384">
        <x:v>0</x:v>
      </x:c>
      <x:c r="I308" s="89">
        <x:v>0</x:v>
      </x:c>
      <x:c r="J308" s="89">
        <x:v>0</x:v>
      </x:c>
      <x:c r="K308" s="89">
        <x:v>0</x:v>
      </x:c>
      <x:c r="L308" s="89">
        <x:v>0</x:v>
      </x:c>
      <x:c r="M308" s="89">
        <x:v>0</x:v>
      </x:c>
      <x:c r="N308" s="89">
        <x:v>0</x:v>
      </x:c>
      <x:c r="O308" s="89">
        <x:v>0</x:v>
      </x:c>
      <x:c r="P308" s="89">
        <x:v>0</x:v>
      </x:c>
      <x:c r="Q308" s="89">
        <x:v>0</x:v>
      </x:c>
      <x:c r="R308">
        <x:v>0</x:v>
      </x:c>
    </x:row>
    <x:row r="309" spans="2:18" ht="12.75" customHeight="1" x14ac:dyDescent="0.3">
      <x:c r="C309" s="772">
        <x:v>3</x:v>
      </x:c>
      <x:c r="D309" t="s">
        <x:v>70</x:v>
      </x:c>
      <x:c r="E309" s="384">
        <x:v>0</x:v>
      </x:c>
      <x:c r="F309" s="89">
        <x:v>0</x:v>
      </x:c>
      <x:c r="G309" s="89">
        <x:v>0</x:v>
      </x:c>
      <x:c r="H309" s="384">
        <x:v>0</x:v>
      </x:c>
      <x:c r="I309" s="89">
        <x:v>0</x:v>
      </x:c>
      <x:c r="J309" s="89">
        <x:v>0</x:v>
      </x:c>
      <x:c r="K309" s="89">
        <x:v>0</x:v>
      </x:c>
      <x:c r="L309" s="89">
        <x:v>0</x:v>
      </x:c>
      <x:c r="M309" s="89">
        <x:v>0</x:v>
      </x:c>
      <x:c r="N309" s="89">
        <x:v>0</x:v>
      </x:c>
      <x:c r="O309" s="89">
        <x:v>0</x:v>
      </x:c>
      <x:c r="P309" s="89">
        <x:v>0</x:v>
      </x:c>
      <x:c r="Q309" s="89">
        <x:v>0</x:v>
      </x:c>
      <x:c r="R309">
        <x:v>0</x:v>
      </x:c>
    </x:row>
    <x:row r="310" spans="2:18" ht="12.75" customHeight="1" x14ac:dyDescent="0.3">
      <x:c r="B310" s="89"/>
      <x:c r="C310" s="89"/>
      <x:c r="D310" t="s">
        <x:v>72</x:v>
      </x:c>
      <x:c r="E310" s="371">
        <x:v>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0</x:v>
      </x:c>
      <x:c r="R310">
        <x:v>0</x:v>
      </x:c>
    </x:row>
    <x:row r="311" spans="2:18" ht="12.75" customHeight="1" x14ac:dyDescent="0.3">
      <x:c r="B311" s="89"/>
      <x:c r="C311" s="89"/>
      <x:c r="D311" t="s">
        <x:v>81</x:v>
      </x:c>
      <x:c r="E311" s="371">
        <x:v>0</x:v>
      </x:c>
      <x:c r="F311" s="90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>
        <x:v>0</x:v>
      </x:c>
    </x:row>
    <x:row r="312" spans="2:18" ht="12.75" customHeight="1" x14ac:dyDescent="0.3">
      <x:c r="B312" s="89"/>
      <x:c r="C312" s="89" t="s">
        <x:v>118</x:v>
      </x:c>
      <x:c r="D312" t="s">
        <x:v>70</x:v>
      </x:c>
      <x:c r="E312" s="371">
        <x:v>0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>
        <x:v>0</x:v>
      </x:c>
    </x:row>
    <x:row r="313" spans="2:18" ht="12.75" customHeight="1" x14ac:dyDescent="0.3">
      <x:c r="B313" s="89"/>
      <x:c r="C313" s="89"/>
      <x:c r="D313" t="s">
        <x:v>72</x:v>
      </x:c>
      <x:c r="E313" s="371">
        <x:v>0</x:v>
      </x:c>
      <x:c r="F313" s="90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>
        <x:v>0</x:v>
      </x:c>
    </x:row>
    <x:row r="314" spans="2:18" ht="12.75" customHeight="1" x14ac:dyDescent="0.3">
      <x:c r="B314" s="89"/>
      <x:c r="C314" s="89"/>
      <x:c r="D314" t="s">
        <x:v>81</x:v>
      </x:c>
      <x:c r="E314" s="371">
        <x:v>0</x:v>
      </x:c>
      <x:c r="F314" s="90">
        <x:v>0</x:v>
      </x:c>
      <x:c r="G314" s="90">
        <x:v>0</x:v>
      </x:c>
      <x:c r="H314" s="90">
        <x:v>0</x:v>
      </x:c>
      <x:c r="I314" s="90">
        <x:v>0</x:v>
      </x:c>
      <x:c r="J314" s="90">
        <x:v>0</x:v>
      </x:c>
      <x:c r="K314" s="90">
        <x:v>0</x:v>
      </x:c>
      <x:c r="L314" s="90">
        <x:v>0</x:v>
      </x:c>
      <x:c r="M314" s="90">
        <x:v>0</x:v>
      </x:c>
      <x:c r="N314" s="90">
        <x:v>0</x:v>
      </x:c>
      <x:c r="O314" s="90">
        <x:v>0</x:v>
      </x:c>
      <x:c r="P314" s="90">
        <x:v>0</x:v>
      </x:c>
      <x:c r="Q314" s="90">
        <x:v>0</x:v>
      </x:c>
      <x:c r="R314">
        <x:v>0</x:v>
      </x:c>
    </x:row>
    <x:row r="315" spans="2:18" ht="12.75" customHeight="1" x14ac:dyDescent="0.3">
      <x:c r="B315" s="89"/>
      <x:c r="C315" s="773">
        <x:v>9</x:v>
      </x:c>
      <x:c r="D315" t="s">
        <x:v>70</x:v>
      </x:c>
      <x:c r="E315" s="371">
        <x:v>0</x:v>
      </x:c>
      <x:c r="F315" s="90">
        <x:v>0</x:v>
      </x:c>
      <x:c r="G315" s="90">
        <x:v>0</x:v>
      </x:c>
      <x:c r="H315" s="90">
        <x:v>0</x:v>
      </x:c>
      <x:c r="I315" s="90">
        <x:v>0</x:v>
      </x:c>
      <x:c r="J315" s="90">
        <x:v>0</x:v>
      </x:c>
      <x:c r="K315" s="90">
        <x:v>0</x:v>
      </x:c>
      <x:c r="L315" s="90">
        <x:v>0</x:v>
      </x:c>
      <x:c r="M315" s="90">
        <x:v>0</x:v>
      </x:c>
      <x:c r="N315" s="90">
        <x:v>0</x:v>
      </x:c>
      <x:c r="O315" s="90">
        <x:v>0</x:v>
      </x:c>
      <x:c r="P315" s="90">
        <x:v>0</x:v>
      </x:c>
      <x:c r="Q315" s="90">
        <x:v>0</x:v>
      </x:c>
      <x:c r="R315">
        <x:v>0</x:v>
      </x:c>
    </x:row>
    <x:row r="316" spans="2:18" s="224" customFormat="1" ht="12.75" customHeight="1" x14ac:dyDescent="0.3">
      <x:c r="B316" s="224" t="s">
        <x:v>120</x:v>
      </x:c>
      <x:c r="C316" s="223" t="s">
        <x:v>70</x:v>
      </x:c>
      <x:c r="D316" s="223"/>
      <x:c r="E316" s="225" t="n">
        <x:v>2047537.6</x:v>
      </x:c>
      <x:c r="F316" s="225">
        <x:v>0</x:v>
      </x:c>
      <x:c r="G316" s="225">
        <x:v>0</x:v>
      </x:c>
      <x:c r="H316" s="225">
        <x:v>0</x:v>
      </x:c>
      <x:c r="I316" s="225">
        <x:v>0</x:v>
      </x:c>
      <x:c r="J316" s="225">
        <x:v>0</x:v>
      </x:c>
      <x:c r="K316" s="225" t="n">
        <x:v>0</x:v>
      </x:c>
      <x:c r="L316" s="225">
        <x:v>0</x:v>
      </x:c>
      <x:c r="M316" s="225">
        <x:v>0</x:v>
      </x:c>
      <x:c r="N316" s="225">
        <x:v>0</x:v>
      </x:c>
      <x:c r="O316" s="225">
        <x:v>0</x:v>
      </x:c>
      <x:c r="P316" s="225">
        <x:v>0</x:v>
      </x:c>
      <x:c r="Q316" s="225">
        <x:v>0</x:v>
      </x:c>
      <x:c r="R316" s="224">
        <x:v>0</x:v>
      </x:c>
    </x:row>
    <x:row r="317" spans="2:18" ht="12.75" customHeight="1" x14ac:dyDescent="0.3">
      <x:c r="C317" s="89"/>
      <x:c r="D317" s="89" t="s">
        <x:v>72</x:v>
      </x:c>
      <x:c r="E317" s="371">
        <x:v>0</x:v>
      </x:c>
      <x:c r="F317" s="90">
        <x:v>0</x:v>
      </x:c>
      <x:c r="G317" s="90">
        <x:v>0</x:v>
      </x:c>
      <x:c r="H317" s="90">
        <x:v>0</x:v>
      </x:c>
      <x:c r="I317" s="90">
        <x:v>0</x:v>
      </x:c>
      <x:c r="J317" s="90">
        <x:v>0</x:v>
      </x:c>
      <x:c r="K317" s="90">
        <x:v>0</x:v>
      </x:c>
      <x:c r="L317" s="90">
        <x:v>0</x:v>
      </x:c>
      <x:c r="M317" s="90">
        <x:v>0</x:v>
      </x:c>
      <x:c r="N317" s="90">
        <x:v>0</x:v>
      </x:c>
      <x:c r="O317" s="90">
        <x:v>0</x:v>
      </x:c>
      <x:c r="P317" s="90">
        <x:v>0</x:v>
      </x:c>
      <x:c r="Q317" s="90">
        <x:v>0</x:v>
      </x:c>
      <x:c r="R317">
        <x:v>0</x:v>
      </x:c>
    </x:row>
    <x:row r="318" spans="2:18" ht="12.75" customHeight="1" x14ac:dyDescent="0.3">
      <x:c r="C318" s="89"/>
      <x:c r="D318" s="89" t="s">
        <x:v>81</x:v>
      </x:c>
      <x:c r="E318" s="371">
        <x:v>0</x:v>
      </x:c>
      <x:c r="F318" s="90">
        <x:v>0</x:v>
      </x:c>
      <x:c r="G318" s="90">
        <x:v>0</x:v>
      </x:c>
      <x:c r="H318" s="90">
        <x:v>0</x:v>
      </x:c>
      <x:c r="I318" s="90">
        <x:v>0</x:v>
      </x:c>
      <x:c r="J318" s="90">
        <x:v>0</x:v>
      </x:c>
      <x:c r="K318" s="90">
        <x:v>0</x:v>
      </x:c>
      <x:c r="L318" s="90">
        <x:v>0</x:v>
      </x:c>
      <x:c r="M318" s="90">
        <x:v>0</x:v>
      </x:c>
      <x:c r="N318" s="90">
        <x:v>0</x:v>
      </x:c>
      <x:c r="O318" s="90">
        <x:v>0</x:v>
      </x:c>
      <x:c r="P318" s="90">
        <x:v>0</x:v>
      </x:c>
      <x:c r="Q318" s="90">
        <x:v>0</x:v>
      </x:c>
      <x:c r="R318">
        <x:v>0</x:v>
      </x:c>
    </x:row>
    <x:row r="319" spans="2:18" ht="12.75" customHeight="1" x14ac:dyDescent="0.3">
      <x:c r="C319" s="89" t="s">
        <x:v>82</x:v>
      </x:c>
      <x:c r="D319" s="89" t="s">
        <x:v>70</x:v>
      </x:c>
      <x:c r="E319" s="371">
        <x:v>0</x:v>
      </x:c>
      <x:c r="F319" s="90">
        <x:v>0</x:v>
      </x:c>
      <x:c r="G319" s="90">
        <x:v>0</x:v>
      </x:c>
      <x:c r="H319" s="90">
        <x:v>0</x:v>
      </x:c>
      <x:c r="I319" s="90">
        <x:v>0</x:v>
      </x:c>
      <x:c r="J319" s="90">
        <x:v>0</x:v>
      </x:c>
      <x:c r="K319" s="90">
        <x:v>0</x:v>
      </x:c>
      <x:c r="L319" s="90">
        <x:v>0</x:v>
      </x:c>
      <x:c r="M319" s="90">
        <x:v>0</x:v>
      </x:c>
      <x:c r="N319" s="90">
        <x:v>0</x:v>
      </x:c>
      <x:c r="O319" s="90">
        <x:v>0</x:v>
      </x:c>
      <x:c r="P319" s="90">
        <x:v>0</x:v>
      </x:c>
      <x:c r="Q319" s="90">
        <x:v>0</x:v>
      </x:c>
      <x:c r="R319">
        <x:v>0</x:v>
      </x:c>
    </x:row>
    <x:row r="320" spans="2:18" ht="12.75" customHeight="1" x14ac:dyDescent="0.3">
      <x:c r="C320" s="89"/>
      <x:c r="D320" s="89" t="s">
        <x:v>72</x:v>
      </x:c>
      <x:c r="E320" s="371">
        <x:v>0</x:v>
      </x:c>
      <x:c r="F320" s="90">
        <x:v>0</x:v>
      </x:c>
      <x:c r="G320" s="90">
        <x:v>0</x:v>
      </x:c>
      <x:c r="H320" s="90">
        <x:v>0</x:v>
      </x:c>
      <x:c r="I320" s="90">
        <x:v>0</x:v>
      </x:c>
      <x:c r="J320" s="90">
        <x:v>0</x:v>
      </x:c>
      <x:c r="K320" s="90">
        <x:v>0</x:v>
      </x:c>
      <x:c r="L320" s="90">
        <x:v>0</x:v>
      </x:c>
      <x:c r="M320" s="90">
        <x:v>0</x:v>
      </x:c>
      <x:c r="N320" s="90">
        <x:v>0</x:v>
      </x:c>
      <x:c r="O320" s="90">
        <x:v>0</x:v>
      </x:c>
      <x:c r="P320" s="90">
        <x:v>0</x:v>
      </x:c>
      <x:c r="Q320" s="90">
        <x:v>0</x:v>
      </x:c>
      <x:c r="R320">
        <x:v>0</x:v>
      </x:c>
    </x:row>
    <x:row r="321" spans="1:18" ht="12.75" customHeight="1" x14ac:dyDescent="0.3">
      <x:c r="C321" s="89"/>
      <x:c r="D321" s="89" t="s">
        <x:v>81</x:v>
      </x:c>
      <x:c r="E321" s="371">
        <x:v>0</x:v>
      </x:c>
      <x:c r="F321" s="90">
        <x:v>0</x:v>
      </x:c>
      <x:c r="G321" s="90">
        <x:v>0</x:v>
      </x:c>
      <x:c r="H321" s="90">
        <x:v>0</x:v>
      </x:c>
      <x:c r="I321" s="90">
        <x:v>0</x:v>
      </x:c>
      <x:c r="J321" s="90">
        <x:v>0</x:v>
      </x:c>
      <x:c r="K321" s="90">
        <x:v>0</x:v>
      </x:c>
      <x:c r="L321" s="90">
        <x:v>0</x:v>
      </x:c>
      <x:c r="M321" s="90">
        <x:v>0</x:v>
      </x:c>
      <x:c r="N321" s="90">
        <x:v>0</x:v>
      </x:c>
      <x:c r="O321" s="90">
        <x:v>0</x:v>
      </x:c>
      <x:c r="P321" s="90">
        <x:v>0</x:v>
      </x:c>
      <x:c r="Q321" s="90">
        <x:v>0</x:v>
      </x:c>
      <x:c r="R321">
        <x:v>0</x:v>
      </x:c>
    </x:row>
    <x:row r="322" spans="1:18" ht="12.75" customHeight="1" x14ac:dyDescent="0.3">
      <x:c r="C322" s="89" t="s">
        <x:v>86</x:v>
      </x:c>
      <x:c r="D322" s="89" t="s">
        <x:v>70</x:v>
      </x:c>
      <x:c r="E322" s="371">
        <x:v>0</x:v>
      </x:c>
      <x:c r="F322" s="90">
        <x:v>0</x:v>
      </x:c>
      <x:c r="G322" s="90">
        <x:v>0</x:v>
      </x:c>
      <x:c r="H322" s="90">
        <x:v>0</x:v>
      </x:c>
      <x:c r="I322" s="90">
        <x:v>0</x:v>
      </x:c>
      <x:c r="J322" s="90">
        <x:v>0</x:v>
      </x:c>
      <x:c r="K322" s="90">
        <x:v>0</x:v>
      </x:c>
      <x:c r="L322" s="90">
        <x:v>0</x:v>
      </x:c>
      <x:c r="M322" s="90">
        <x:v>0</x:v>
      </x:c>
      <x:c r="N322" s="90">
        <x:v>0</x:v>
      </x:c>
      <x:c r="O322" s="90">
        <x:v>0</x:v>
      </x:c>
      <x:c r="P322" s="90">
        <x:v>0</x:v>
      </x:c>
      <x:c r="Q322" s="90">
        <x:v>0</x:v>
      </x:c>
      <x:c r="R322">
        <x:v>0</x:v>
      </x:c>
    </x:row>
    <x:row r="323" spans="1:18" ht="12.75" customHeight="1" x14ac:dyDescent="0.3">
      <x:c r="C323" s="89"/>
      <x:c r="D323" s="89" t="s">
        <x:v>72</x:v>
      </x:c>
      <x:c r="E323" s="371">
        <x:v>0</x:v>
      </x:c>
      <x:c r="F323" s="90">
        <x:v>0</x:v>
      </x:c>
      <x:c r="G323" s="90">
        <x:v>0</x:v>
      </x:c>
      <x:c r="H323" s="90">
        <x:v>0</x:v>
      </x:c>
      <x:c r="I323" s="90">
        <x:v>0</x:v>
      </x:c>
      <x:c r="J323" s="90">
        <x:v>0</x:v>
      </x:c>
      <x:c r="K323" s="90">
        <x:v>0</x:v>
      </x:c>
      <x:c r="L323" s="90">
        <x:v>0</x:v>
      </x:c>
      <x:c r="M323" s="90">
        <x:v>0</x:v>
      </x:c>
      <x:c r="N323" s="90">
        <x:v>0</x:v>
      </x:c>
      <x:c r="O323" s="90">
        <x:v>0</x:v>
      </x:c>
      <x:c r="P323" s="90">
        <x:v>0</x:v>
      </x:c>
      <x:c r="Q323" s="90">
        <x:v>0</x:v>
      </x:c>
      <x:c r="R323">
        <x:v>0</x:v>
      </x:c>
    </x:row>
    <x:row r="324" spans="1:18" ht="12.75" customHeight="1" x14ac:dyDescent="0.3">
      <x:c r="C324" s="89"/>
      <x:c r="D324" s="89" t="s">
        <x:v>81</x:v>
      </x:c>
      <x:c r="E324" s="371">
        <x:v>0</x:v>
      </x:c>
      <x:c r="F324" s="90">
        <x:v>0</x:v>
      </x:c>
      <x:c r="G324" s="90">
        <x:v>0</x:v>
      </x:c>
      <x:c r="H324" s="90">
        <x:v>0</x:v>
      </x:c>
      <x:c r="I324" s="90">
        <x:v>0</x:v>
      </x:c>
      <x:c r="J324" s="90">
        <x:v>0</x:v>
      </x:c>
      <x:c r="K324" s="90">
        <x:v>0</x:v>
      </x:c>
      <x:c r="L324" s="90">
        <x:v>0</x:v>
      </x:c>
      <x:c r="M324" s="90">
        <x:v>0</x:v>
      </x:c>
      <x:c r="N324" s="90">
        <x:v>0</x:v>
      </x:c>
      <x:c r="O324" s="90">
        <x:v>0</x:v>
      </x:c>
      <x:c r="P324" s="90">
        <x:v>0</x:v>
      </x:c>
      <x:c r="Q324" s="90">
        <x:v>0</x:v>
      </x:c>
      <x:c r="R324">
        <x:v>0</x:v>
      </x:c>
    </x:row>
    <x:row r="325" spans="1:18" ht="12.75" customHeight="1" x14ac:dyDescent="0.3">
      <x:c r="A325" s="89"/>
      <x:c r="B325" s="89"/>
      <x:c r="C325" t="s">
        <x:v>87</x:v>
      </x:c>
      <x:c r="D325" t="s">
        <x:v>70</x:v>
      </x:c>
      <x:c r="E325" s="90">
        <x:v>0</x:v>
      </x:c>
      <x:c r="F325" s="90">
        <x:v>0</x:v>
      </x:c>
      <x:c r="G325" s="90">
        <x:v>0</x:v>
      </x:c>
      <x:c r="H325" s="90">
        <x:v>0</x:v>
      </x:c>
      <x:c r="I325" s="90">
        <x:v>0</x:v>
      </x:c>
      <x:c r="J325" s="90">
        <x:v>0</x:v>
      </x:c>
      <x:c r="K325" s="90">
        <x:v>0</x:v>
      </x:c>
      <x:c r="L325" s="90">
        <x:v>0</x:v>
      </x:c>
      <x:c r="M325" s="90">
        <x:v>0</x:v>
      </x:c>
      <x:c r="N325" s="90">
        <x:v>0</x:v>
      </x:c>
      <x:c r="O325" s="90">
        <x:v>0</x:v>
      </x:c>
      <x:c r="P325" s="90">
        <x:v>0</x:v>
      </x:c>
      <x:c r="Q325" s="90">
        <x:v>0</x:v>
      </x:c>
      <x:c r="R325">
        <x:v>0</x:v>
      </x:c>
    </x:row>
    <x:row r="326" spans="1:18" s="94" customFormat="1" ht="12.75" customHeight="1" x14ac:dyDescent="0.3">
      <x:c r="B326" s="101" t="s">
        <x:v>119</x:v>
      </x:c>
      <x:c r="C326" s="101" t="s">
        <x:v>70</x:v>
      </x:c>
      <x:c r="E326" s="93" t="n">
        <x:v>3117968.95</x:v>
      </x:c>
      <x:c r="F326" s="93">
        <x:v>0</x:v>
      </x:c>
      <x:c r="G326" s="93">
        <x:v>0</x:v>
      </x:c>
      <x:c r="H326" s="93">
        <x:v>0</x:v>
      </x:c>
      <x:c r="I326" s="93">
        <x:v>0</x:v>
      </x:c>
      <x:c r="J326" s="93">
        <x:v>0</x:v>
      </x:c>
      <x:c r="K326" s="93" t="n">
        <x:v>0</x:v>
      </x:c>
      <x:c r="L326" s="93">
        <x:v>0</x:v>
      </x:c>
      <x:c r="M326" s="93">
        <x:v>0</x:v>
      </x:c>
      <x:c r="N326" s="93">
        <x:v>0</x:v>
      </x:c>
      <x:c r="O326" s="93">
        <x:v>0</x:v>
      </x:c>
      <x:c r="P326" s="93">
        <x:v>0</x:v>
      </x:c>
      <x:c r="Q326" s="93">
        <x:v>0</x:v>
      </x:c>
      <x:c r="R326" s="94">
        <x:v>0</x:v>
      </x:c>
    </x:row>
    <x:row r="327" spans="1:18" s="226" customFormat="1" ht="12.75" customHeight="1" x14ac:dyDescent="0.3">
      <x:c r="A327" s="98" t="s">
        <x:v>78</x:v>
      </x:c>
      <x:c r="B327" s="98" t="s">
        <x:v>70</x:v>
      </x:c>
      <x:c r="E327" s="100" t="n">
        <x:v>28823756.87</x:v>
      </x:c>
      <x:c r="F327" s="100">
        <x:v>0</x:v>
      </x:c>
      <x:c r="G327" s="100">
        <x:v>0</x:v>
      </x:c>
      <x:c r="H327" s="100">
        <x:v>0</x:v>
      </x:c>
      <x:c r="I327" s="100">
        <x:v>0</x:v>
      </x:c>
      <x:c r="J327" s="100">
        <x:v>0</x:v>
      </x:c>
      <x:c r="K327" s="100" t="n">
        <x:v>0</x:v>
      </x:c>
      <x:c r="L327" s="100">
        <x:v>0</x:v>
      </x:c>
      <x:c r="M327" s="100">
        <x:v>0</x:v>
      </x:c>
      <x:c r="N327" s="100">
        <x:v>0</x:v>
      </x:c>
      <x:c r="O327" s="100">
        <x:v>0</x:v>
      </x:c>
      <x:c r="P327" s="100">
        <x:v>0</x:v>
      </x:c>
      <x:c r="Q327" s="100">
        <x:v>0</x:v>
      </x:c>
      <x:c r="R327" s="226">
        <x:v>0</x:v>
      </x:c>
    </x:row>
    <x:row r="328" spans="1:18" ht="12.75" customHeight="1" x14ac:dyDescent="0.3">
      <x:c r="B328" s="89"/>
      <x:c r="C328" s="89"/>
      <x:c r="D328" t="s">
        <x:v>73</x:v>
      </x:c>
      <x:c r="E328" s="371">
        <x:v>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>
        <x:v>0</x:v>
      </x:c>
    </x:row>
    <x:row r="329" spans="1:18" ht="12.75" customHeight="1" x14ac:dyDescent="0.3">
      <x:c r="B329" s="89"/>
      <x:c r="C329" s="89" t="s">
        <x:v>156</x:v>
      </x:c>
      <x:c r="D329" t="s">
        <x:v>70</x:v>
      </x:c>
      <x:c r="E329" s="371">
        <x:v>0</x:v>
      </x:c>
      <x:c r="F329" s="90">
        <x:v>0</x:v>
      </x:c>
      <x:c r="G329" s="90">
        <x:v>0</x:v>
      </x:c>
      <x:c r="H329" s="90">
        <x:v>0</x:v>
      </x:c>
      <x:c r="I329" s="90">
        <x:v>0</x:v>
      </x:c>
      <x:c r="J329" s="90">
        <x:v>0</x:v>
      </x:c>
      <x:c r="K329" s="90">
        <x:v>0</x:v>
      </x:c>
      <x:c r="L329" s="90">
        <x:v>0</x:v>
      </x:c>
      <x:c r="M329" s="90">
        <x:v>0</x:v>
      </x:c>
      <x:c r="N329" s="90">
        <x:v>0</x:v>
      </x:c>
      <x:c r="O329" s="90">
        <x:v>0</x:v>
      </x:c>
      <x:c r="P329" s="90">
        <x:v>0</x:v>
      </x:c>
      <x:c r="Q329" s="90">
        <x:v>0</x:v>
      </x:c>
      <x:c r="R329">
        <x:v>0</x:v>
      </x:c>
    </x:row>
    <x:row r="330" spans="1:18" s="286" customFormat="1" ht="12.75" customHeight="1" x14ac:dyDescent="0.3">
      <x:c r="B330" s="229" t="s">
        <x:v>155</x:v>
      </x:c>
      <x:c r="C330" s="229" t="s">
        <x:v>70</x:v>
      </x:c>
      <x:c r="E330" s="752" t="n">
        <x:v>84110.96</x:v>
      </x:c>
      <x:c r="F330" s="230">
        <x:v>0</x:v>
      </x:c>
      <x:c r="G330" s="230">
        <x:v>0</x:v>
      </x:c>
      <x:c r="H330" s="230">
        <x:v>0</x:v>
      </x:c>
      <x:c r="I330" s="230">
        <x:v>0</x:v>
      </x:c>
      <x:c r="J330" s="230">
        <x:v>0</x:v>
      </x:c>
      <x:c r="K330" s="230">
        <x:v>0</x:v>
      </x:c>
      <x:c r="L330" s="230">
        <x:v>0</x:v>
      </x:c>
      <x:c r="M330" s="230">
        <x:v>0</x:v>
      </x:c>
      <x:c r="N330" s="230">
        <x:v>0</x:v>
      </x:c>
      <x:c r="O330" s="230">
        <x:v>0</x:v>
      </x:c>
      <x:c r="P330" s="230">
        <x:v>0</x:v>
      </x:c>
      <x:c r="Q330" s="230">
        <x:v>0</x:v>
      </x:c>
      <x:c r="R330" s="286">
        <x:v>0</x:v>
      </x:c>
    </x:row>
    <x:row r="331" spans="1:18" ht="12.75" customHeight="1" x14ac:dyDescent="0.3">
      <x:c r="B331" s="89"/>
      <x:c r="C331" s="89"/>
      <x:c r="D331" t="s">
        <x:v>73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1:18" ht="12.75" customHeight="1" x14ac:dyDescent="0.3">
      <x:c r="B332" s="89"/>
      <x:c r="C332" s="89" t="s">
        <x:v>115</x:v>
      </x:c>
      <x:c r="D332" t="s">
        <x:v>70</x:v>
      </x:c>
      <x:c r="E332" s="371">
        <x:v>0</x:v>
      </x:c>
      <x:c r="F332" s="90">
        <x:v>0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>
        <x:v>0</x:v>
      </x:c>
    </x:row>
    <x:row r="333" spans="1:18" ht="12.75" customHeight="1" x14ac:dyDescent="0.3">
      <x:c r="B333" s="89"/>
      <x:c r="C333" s="89"/>
      <x:c r="D333" t="s">
        <x:v>73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1:18" ht="12.75" customHeight="1" x14ac:dyDescent="0.3">
      <x:c r="B334" s="89"/>
      <x:c r="C334" s="89" t="s">
        <x:v>116</x:v>
      </x:c>
      <x:c r="D334" t="s">
        <x:v>70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1:18" ht="12.75" customHeight="1" x14ac:dyDescent="0.3">
      <x:c r="B335" s="89"/>
      <x:c r="C335" s="89"/>
      <x:c r="D335" t="s">
        <x:v>73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1:18" ht="12.75" customHeight="1" x14ac:dyDescent="0.3">
      <x:c r="B336" s="89"/>
      <x:c r="C336" s="773">
        <x:v>3</x:v>
      </x:c>
      <x:c r="D336" t="s">
        <x:v>70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1:18" ht="12.75" customHeight="1" x14ac:dyDescent="0.3">
      <x:c r="B337" s="89"/>
      <x:c r="C337" s="89"/>
      <x:c r="D337" t="s">
        <x:v>73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1:18" ht="12.75" customHeight="1" x14ac:dyDescent="0.3">
      <x:c r="B338" s="89"/>
      <x:c r="C338" s="89" t="s">
        <x:v>118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1:18" ht="12.75" customHeight="1" x14ac:dyDescent="0.3">
      <x:c r="B339" s="89"/>
      <x:c r="C339" s="89"/>
      <x:c r="D339" t="s">
        <x:v>73</x:v>
      </x:c>
      <x:c r="E339" s="371">
        <x:v>0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>
        <x:v>0</x:v>
      </x:c>
    </x:row>
    <x:row r="340" spans="1:18" ht="12.75" customHeight="1" x14ac:dyDescent="0.3">
      <x:c r="B340" s="89"/>
      <x:c r="C340" s="773">
        <x:v>9</x:v>
      </x:c>
      <x:c r="D340" t="s">
        <x:v>70</x:v>
      </x:c>
      <x:c r="E340" s="371">
        <x:v>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>
        <x:v>0</x:v>
      </x:c>
    </x:row>
    <x:row r="341" spans="1:18" s="224" customFormat="1" ht="12.75" customHeight="1" x14ac:dyDescent="0.3">
      <x:c r="B341" s="224" t="s">
        <x:v>120</x:v>
      </x:c>
      <x:c r="C341" s="224" t="s">
        <x:v>70</x:v>
      </x:c>
      <x:c r="D341" s="223"/>
      <x:c r="E341" s="225" t="n">
        <x:v>41645.74</x:v>
      </x:c>
      <x:c r="F341" s="225">
        <x:v>0</x:v>
      </x:c>
      <x:c r="G341" s="225">
        <x:v>0</x:v>
      </x:c>
      <x:c r="H341" s="225">
        <x:v>0</x:v>
      </x:c>
      <x:c r="I341" s="225">
        <x:v>0</x:v>
      </x:c>
      <x:c r="J341" s="225">
        <x:v>0</x:v>
      </x:c>
      <x:c r="K341" s="225">
        <x:v>0</x:v>
      </x:c>
      <x:c r="L341" s="225">
        <x:v>0</x:v>
      </x:c>
      <x:c r="M341" s="225">
        <x:v>0</x:v>
      </x:c>
      <x:c r="N341" s="225">
        <x:v>0</x:v>
      </x:c>
      <x:c r="O341" s="225">
        <x:v>0</x:v>
      </x:c>
      <x:c r="P341" s="225">
        <x:v>0</x:v>
      </x:c>
      <x:c r="Q341" s="225">
        <x:v>0</x:v>
      </x:c>
      <x:c r="R341" s="224">
        <x:v>0</x:v>
      </x:c>
    </x:row>
    <x:row r="342" spans="1:18" ht="12.75" customHeight="1" x14ac:dyDescent="0.3">
      <x:c r="D342" s="89" t="s">
        <x:v>73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1:18" ht="12.75" customHeight="1" x14ac:dyDescent="0.3">
      <x:c r="C343" t="s">
        <x:v>82</x:v>
      </x:c>
      <x:c r="D343" s="89" t="s">
        <x:v>70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1:18" ht="12.75" customHeight="1" x14ac:dyDescent="0.3">
      <x:c r="D344" s="89" t="s">
        <x:v>73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1:18" ht="12.75" customHeight="1" x14ac:dyDescent="0.3">
      <x:c r="C345" t="s">
        <x:v>86</x:v>
      </x:c>
      <x:c r="D345" s="89" t="s">
        <x:v>70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1:18" ht="12.75" customHeight="1" x14ac:dyDescent="0.3">
      <x:c r="C346" s="89"/>
      <x:c r="D346" s="89" t="s">
        <x:v>73</x:v>
      </x:c>
      <x:c r="E346" s="90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1:18" ht="12.75" customHeight="1" x14ac:dyDescent="0.3">
      <x:c r="B347" s="89"/>
      <x:c r="C347" s="89" t="s">
        <x:v>87</x:v>
      </x:c>
      <x:c r="D347" t="s">
        <x:v>70</x:v>
      </x:c>
      <x:c r="E347" s="90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1:18" s="94" customFormat="1" ht="12.75" customHeight="1" x14ac:dyDescent="0.3">
      <x:c r="B348" s="101" t="s">
        <x:v>119</x:v>
      </x:c>
      <x:c r="C348" s="101" t="s">
        <x:v>70</x:v>
      </x:c>
      <x:c r="E348" s="93" t="n">
        <x:v>256843.5</x:v>
      </x:c>
      <x:c r="F348" s="93">
        <x:v>0</x:v>
      </x:c>
      <x:c r="G348" s="93">
        <x:v>0</x:v>
      </x:c>
      <x:c r="H348" s="93">
        <x:v>0</x:v>
      </x:c>
      <x:c r="I348" s="93">
        <x:v>0</x:v>
      </x:c>
      <x:c r="J348" s="93">
        <x:v>0</x:v>
      </x:c>
      <x:c r="K348" s="93">
        <x:v>0</x:v>
      </x:c>
      <x:c r="L348" s="93">
        <x:v>0</x:v>
      </x:c>
      <x:c r="M348" s="93">
        <x:v>0</x:v>
      </x:c>
      <x:c r="N348" s="93">
        <x:v>0</x:v>
      </x:c>
      <x:c r="O348" s="93">
        <x:v>0</x:v>
      </x:c>
      <x:c r="P348" s="93">
        <x:v>0</x:v>
      </x:c>
      <x:c r="Q348" s="93">
        <x:v>0</x:v>
      </x:c>
      <x:c r="R348" s="94">
        <x:v>0</x:v>
      </x:c>
    </x:row>
    <x:row r="349" spans="1:18" s="226" customFormat="1" ht="12.75" customHeight="1" x14ac:dyDescent="0.3">
      <x:c r="A349" s="98" t="s">
        <x:v>79</x:v>
      </x:c>
      <x:c r="B349" s="98" t="s">
        <x:v>70</x:v>
      </x:c>
      <x:c r="E349" s="100" t="n">
        <x:v>382600.2</x:v>
      </x:c>
      <x:c r="F349" s="100">
        <x:v>0</x:v>
      </x:c>
      <x:c r="G349" s="100">
        <x:v>0</x:v>
      </x:c>
      <x:c r="H349" s="100">
        <x:v>0</x:v>
      </x:c>
      <x:c r="I349" s="100">
        <x:v>0</x:v>
      </x:c>
      <x:c r="J349" s="100">
        <x:v>0</x:v>
      </x:c>
      <x:c r="K349" s="100">
        <x:v>0</x:v>
      </x:c>
      <x:c r="L349" s="100">
        <x:v>0</x:v>
      </x:c>
      <x:c r="M349" s="100">
        <x:v>0</x:v>
      </x:c>
      <x:c r="N349" s="100">
        <x:v>0</x:v>
      </x:c>
      <x:c r="O349" s="100">
        <x:v>0</x:v>
      </x:c>
      <x:c r="P349" s="100">
        <x:v>0</x:v>
      </x:c>
      <x:c r="Q349" s="100">
        <x:v>0</x:v>
      </x:c>
      <x:c r="R349" s="226">
        <x:v>0</x:v>
      </x:c>
    </x:row>
    <x:row r="350" spans="1:18" ht="12.75" customHeight="1" x14ac:dyDescent="0.3">
      <x:c r="A350" s="89" t="s">
        <x:v>70</x:v>
      </x:c>
      <x:c r="E350" s="90">
        <x:v>0</x:v>
      </x:c>
      <x:c r="F350" s="90">
        <x:v>0</x:v>
      </x:c>
      <x:c r="G350" s="90">
        <x:v>0</x:v>
      </x:c>
      <x:c r="H350" s="90">
        <x:v>0</x:v>
      </x:c>
      <x:c r="I350" s="90">
        <x:v>0</x:v>
      </x:c>
      <x:c r="J350" s="90">
        <x:v>0</x:v>
      </x:c>
      <x:c r="K350" s="90">
        <x:v>0</x:v>
      </x:c>
      <x:c r="L350" s="90">
        <x:v>0</x:v>
      </x:c>
      <x:c r="M350" s="90">
        <x:v>0</x:v>
      </x:c>
      <x:c r="N350" s="90">
        <x:v>0</x:v>
      </x:c>
      <x:c r="O350" s="90">
        <x:v>0</x:v>
      </x:c>
      <x:c r="P350" s="90">
        <x:v>0</x:v>
      </x:c>
      <x:c r="Q350" s="90">
        <x:v>0</x:v>
      </x:c>
      <x:c r="R350">
        <x:v>0</x:v>
      </x:c>
    </x:row>
    <x:row r="351" spans="1:18" ht="12.75" customHeight="1" x14ac:dyDescent="0.3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1:18" ht="12.75" customHeight="1" x14ac:dyDescent="0.3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3:17" ht="12.75" hidden="1" customHeight="1" x14ac:dyDescent="0.3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3:17" ht="12.75" hidden="1" customHeight="1" x14ac:dyDescent="0.3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3:17" ht="12.75" hidden="1" customHeight="1" x14ac:dyDescent="0.3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3:17" ht="12.75" hidden="1" customHeight="1" x14ac:dyDescent="0.3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3:17" ht="12.75" hidden="1" customHeight="1" x14ac:dyDescent="0.3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3:17" ht="12.75" hidden="1" customHeight="1" x14ac:dyDescent="0.3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3:17" ht="12.75" hidden="1" customHeight="1" x14ac:dyDescent="0.3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3:17" ht="12.75" hidden="1" customHeight="1" x14ac:dyDescent="0.3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3:17" ht="12.75" hidden="1" customHeight="1" x14ac:dyDescent="0.3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3:17" ht="12.75" hidden="1" customHeight="1" x14ac:dyDescent="0.3">
      <x:c r="C362" s="89"/>
      <x:c r="D362" s="89"/>
      <x:c r="E362" s="90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</x:row>
    <x:row r="363" spans="3:17" ht="12.75" hidden="1" customHeight="1" x14ac:dyDescent="0.3">
      <x:c r="C363" s="89"/>
      <x:c r="D363" s="89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</x:row>
    <x:row r="364" spans="3:17" ht="12.75" hidden="1" customHeight="1" x14ac:dyDescent="0.3">
      <x:c r="C364" s="89"/>
      <x:c r="D364" s="89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</x:row>
    <x:row r="365" spans="3:17" ht="12.75" hidden="1" customHeight="1" x14ac:dyDescent="0.3">
      <x:c r="C365" s="89"/>
      <x:c r="D365" s="89"/>
      <x:c r="E365" s="90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</x:row>
    <x:row r="366" spans="3:17" ht="12.75" hidden="1" customHeight="1" x14ac:dyDescent="0.3">
      <x:c r="C366" s="89"/>
      <x:c r="D366" s="89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</x:row>
    <x:row r="367" spans="3:17" ht="12.75" hidden="1" customHeight="1" x14ac:dyDescent="0.3">
      <x:c r="C367" s="89"/>
      <x:c r="D367" s="89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</x:row>
    <x:row r="368" spans="3:17" ht="12.75" hidden="1" customHeight="1" x14ac:dyDescent="0.3">
      <x:c r="C368" s="89"/>
      <x:c r="D368" s="89"/>
      <x:c r="E368" s="90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</x:row>
    <x:row r="369" spans="2:18" ht="12.75" hidden="1" customHeight="1" x14ac:dyDescent="0.3">
      <x:c r="C369" s="89"/>
      <x:c r="D369" s="89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</x:row>
    <x:row r="370" spans="2:18" ht="12.75" hidden="1" customHeight="1" x14ac:dyDescent="0.3">
      <x:c r="C370" s="89"/>
      <x:c r="D370" s="89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</x:row>
    <x:row r="371" spans="2:18" ht="12.75" hidden="1" customHeight="1" x14ac:dyDescent="0.3">
      <x:c r="C371" s="89"/>
      <x:c r="D371" s="89"/>
      <x:c r="E371" s="90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</x:row>
    <x:row r="372" spans="2:18" ht="12.75" hidden="1" customHeight="1" x14ac:dyDescent="0.3">
      <x:c r="C372" s="89"/>
      <x:c r="D372" s="89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</x:row>
    <x:row r="373" spans="2:18" ht="12.75" hidden="1" customHeight="1" x14ac:dyDescent="0.3">
      <x:c r="C373" s="89"/>
      <x:c r="D373" s="89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</x:row>
    <x:row r="374" spans="2:18" ht="12.75" hidden="1" customHeight="1" x14ac:dyDescent="0.3">
      <x:c r="C374" s="89"/>
      <x:c r="D374" s="89"/>
      <x:c r="E374" s="90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</x:row>
    <x:row r="375" spans="2:18" ht="12.75" hidden="1" customHeight="1" x14ac:dyDescent="0.3">
      <x:c r="C375" s="89"/>
      <x:c r="D375" s="89"/>
      <x:c r="E375" s="90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</x:row>
    <x:row r="376" spans="2:18" ht="12.75" hidden="1" customHeight="1" x14ac:dyDescent="0.3">
      <x:c r="C376" s="89"/>
      <x:c r="D376" s="89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</x:row>
    <x:row r="377" spans="2:18" ht="12.75" hidden="1" customHeight="1" x14ac:dyDescent="0.3">
      <x:c r="C377" s="89"/>
      <x:c r="D377" s="89"/>
      <x:c r="E377" s="90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</x:row>
    <x:row r="378" spans="2:18" ht="12.75" hidden="1" customHeight="1" x14ac:dyDescent="0.3">
      <x:c r="C378" s="89"/>
      <x:c r="D378" s="89"/>
      <x:c r="E378" s="90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</x:row>
    <x:row r="379" spans="2:18" ht="12.75" hidden="1" customHeight="1" x14ac:dyDescent="0.3">
      <x:c r="C379" s="89"/>
      <x:c r="D379" s="89"/>
      <x:c r="E379" s="90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</x:row>
    <x:row r="380" spans="2:18" ht="12.75" hidden="1" customHeight="1" x14ac:dyDescent="0.3">
      <x:c r="C380" s="89"/>
      <x:c r="D380" s="89"/>
      <x:c r="E380" s="90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</x:row>
    <x:row r="381" spans="2:18" ht="12.75" hidden="1" customHeight="1" x14ac:dyDescent="0.3">
      <x:c r="C381" s="89"/>
      <x:c r="D381" s="89"/>
      <x:c r="E381" s="90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</x:row>
    <x:row r="382" spans="2:18" ht="12.75" hidden="1" customHeight="1" x14ac:dyDescent="0.3">
      <x:c r="C382" s="89"/>
      <x:c r="D382" s="89"/>
      <x:c r="E382" s="90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</x:row>
    <x:row r="383" spans="2:18" ht="12.75" customHeight="1" x14ac:dyDescent="0.3">
      <x:c r="C383" s="89"/>
      <x:c r="D383" s="89"/>
      <x:c r="E383" s="90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</x:row>
    <x:row r="384" spans="2:18" ht="12.75" customHeight="1" x14ac:dyDescent="0.3">
      <x:c r="B384" s="777" t="s">
        <x:v>2</x:v>
      </x:c>
      <x:c r="C384" s="775" t="s">
        <x:v>132</x:v>
      </x:c>
      <x:c r="D384" s="98" t="s">
        <x:v>70</x:v>
      </x:c>
      <x:c r="E384" s="100">
        <x:f>E327+E349-K327</x:f>
        <x:v>0</x:v>
      </x:c>
      <x:c r="F384" s="100">
        <x:f t="shared" ref="F384:R384" si="10">F327</x:f>
        <x:v>0</x:v>
      </x:c>
      <x:c r="G384" s="100">
        <x:f t="shared" si="10"/>
        <x:v>0</x:v>
      </x:c>
      <x:c r="H384" s="100">
        <x:f t="shared" si="10"/>
        <x:v>0</x:v>
      </x:c>
      <x:c r="I384" s="100">
        <x:f t="shared" si="10"/>
        <x:v>0</x:v>
      </x:c>
      <x:c r="J384" s="100">
        <x:f t="shared" si="10"/>
        <x:v>0</x:v>
      </x:c>
      <x:c r="K384" s="100">
        <x:f t="shared" si="10"/>
        <x:v>0</x:v>
      </x:c>
      <x:c r="L384" s="100">
        <x:f t="shared" si="10"/>
        <x:v>0</x:v>
      </x:c>
      <x:c r="M384" s="100">
        <x:f t="shared" si="10"/>
        <x:v>0</x:v>
      </x:c>
      <x:c r="N384" s="100">
        <x:f t="shared" si="10"/>
        <x:v>0</x:v>
      </x:c>
      <x:c r="O384" s="100">
        <x:f t="shared" si="10"/>
        <x:v>0</x:v>
      </x:c>
      <x:c r="P384" s="100">
        <x:f t="shared" si="10"/>
        <x:v>0</x:v>
      </x:c>
      <x:c r="Q384" s="100">
        <x:f t="shared" si="10"/>
        <x:v>0</x:v>
      </x:c>
      <x:c r="R384" s="100">
        <x:f t="shared" si="10"/>
        <x:v>0</x:v>
      </x:c>
    </x:row>
    <x:row r="385" spans="1:18" ht="12.75" customHeight="1" x14ac:dyDescent="0.3">
      <x:c r="B385" s="777"/>
      <x:c r="C385" s="775"/>
      <x:c r="D385" s="98" t="s">
        <x:v>73</x:v>
      </x:c>
      <x:c r="E385" s="100">
        <x:f>E349</x:f>
        <x:v>0</x:v>
      </x:c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</x:row>
    <x:row r="386" spans="1:18" ht="12.75" customHeight="1" x14ac:dyDescent="0.3">
      <x:c r="A386" s="89"/>
      <x:c r="B386" s="97"/>
      <x:c r="E386" s="90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</x:row>
    <x:row r="387" spans="1:18" ht="12.75" customHeight="1" x14ac:dyDescent="0.3">
      <x:c r="B387" s="777" t="s">
        <x:v>160</x:v>
      </x:c>
      <x:c r="C387" s="775" t="s">
        <x:v>132</x:v>
      </x:c>
      <x:c r="D387" s="223" t="s">
        <x:v>70</x:v>
      </x:c>
      <x:c r="E387" s="225">
        <x:f>E341+E316+E296-K296-K316</x:f>
        <x:v>0</x:v>
      </x:c>
      <x:c r="F387" s="225">
        <x:f t="shared" ref="F387:R387" si="11">F316+F296</x:f>
        <x:v>0</x:v>
      </x:c>
      <x:c r="G387" s="225">
        <x:f t="shared" si="11"/>
        <x:v>0</x:v>
      </x:c>
      <x:c r="H387" s="225">
        <x:f t="shared" si="11"/>
        <x:v>0</x:v>
      </x:c>
      <x:c r="I387" s="225">
        <x:f t="shared" si="11"/>
        <x:v>0</x:v>
      </x:c>
      <x:c r="J387" s="225">
        <x:f t="shared" si="11"/>
        <x:v>0</x:v>
      </x:c>
      <x:c r="K387" s="225">
        <x:f t="shared" si="11"/>
        <x:v>0</x:v>
      </x:c>
      <x:c r="L387" s="225">
        <x:f t="shared" si="11"/>
        <x:v>0</x:v>
      </x:c>
      <x:c r="M387" s="225">
        <x:f t="shared" si="11"/>
        <x:v>0</x:v>
      </x:c>
      <x:c r="N387" s="225">
        <x:f t="shared" si="11"/>
        <x:v>0</x:v>
      </x:c>
      <x:c r="O387" s="225">
        <x:f t="shared" si="11"/>
        <x:v>0</x:v>
      </x:c>
      <x:c r="P387" s="225">
        <x:f t="shared" si="11"/>
        <x:v>0</x:v>
      </x:c>
      <x:c r="Q387" s="225">
        <x:f t="shared" si="11"/>
        <x:v>0</x:v>
      </x:c>
      <x:c r="R387" s="225">
        <x:f t="shared" si="11"/>
        <x:v>0</x:v>
      </x:c>
    </x:row>
    <x:row r="388" spans="1:18" ht="12.75" customHeight="1" x14ac:dyDescent="0.3">
      <x:c r="B388" s="777"/>
      <x:c r="C388" s="775"/>
      <x:c r="D388" s="223" t="s">
        <x:v>73</x:v>
      </x:c>
      <x:c r="E388" s="225">
        <x:f>E341</x:f>
        <x:v>0</x:v>
      </x:c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</x:row>
    <x:row r="389" spans="1:18" ht="12.75" customHeight="1" x14ac:dyDescent="0.3">
      <x:c r="A389" s="89"/>
      <x:c r="B389" s="97"/>
      <x:c r="E389" s="90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</x:row>
    <x:row r="390" spans="1:18" ht="12.75" customHeight="1" x14ac:dyDescent="0.3">
      <x:c r="B390" s="777" t="s">
        <x:v>155</x:v>
      </x:c>
      <x:c r="C390" s="775" t="s">
        <x:v>132</x:v>
      </x:c>
      <x:c r="D390" s="221" t="s">
        <x:v>70</x:v>
      </x:c>
      <x:c r="E390" s="222">
        <x:f>E330+E300-K300</x:f>
        <x:v>0</x:v>
      </x:c>
      <x:c r="F390" s="222">
        <x:f t="shared" ref="F390:R390" si="12">F300</x:f>
        <x:v>0</x:v>
      </x:c>
      <x:c r="G390" s="222">
        <x:f t="shared" si="12"/>
        <x:v>0</x:v>
      </x:c>
      <x:c r="H390" s="222">
        <x:f t="shared" si="12"/>
        <x:v>0</x:v>
      </x:c>
      <x:c r="I390" s="222">
        <x:f t="shared" si="12"/>
        <x:v>0</x:v>
      </x:c>
      <x:c r="J390" s="222">
        <x:f t="shared" si="12"/>
        <x:v>0</x:v>
      </x:c>
      <x:c r="K390" s="222">
        <x:f t="shared" si="12"/>
        <x:v>0</x:v>
      </x:c>
      <x:c r="L390" s="222">
        <x:f t="shared" si="12"/>
        <x:v>0</x:v>
      </x:c>
      <x:c r="M390" s="222">
        <x:f t="shared" si="12"/>
        <x:v>0</x:v>
      </x:c>
      <x:c r="N390" s="222">
        <x:f t="shared" si="12"/>
        <x:v>0</x:v>
      </x:c>
      <x:c r="O390" s="222">
        <x:f t="shared" si="12"/>
        <x:v>0</x:v>
      </x:c>
      <x:c r="P390" s="222">
        <x:f t="shared" si="12"/>
        <x:v>0</x:v>
      </x:c>
      <x:c r="Q390" s="222">
        <x:f t="shared" si="12"/>
        <x:v>0</x:v>
      </x:c>
      <x:c r="R390" s="222">
        <x:f t="shared" si="12"/>
        <x:v>0</x:v>
      </x:c>
    </x:row>
    <x:row r="391" spans="1:18" ht="12.75" customHeight="1" x14ac:dyDescent="0.3">
      <x:c r="B391" s="777"/>
      <x:c r="C391" s="775"/>
      <x:c r="D391" s="221" t="s">
        <x:v>73</x:v>
      </x:c>
      <x:c r="E391" s="222">
        <x:f>E330</x:f>
        <x:v>0</x:v>
      </x:c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</x:row>
    <x:row r="392" spans="1:18" ht="12.75" customHeight="1" x14ac:dyDescent="0.3">
      <x:c r="A392" s="89"/>
      <x:c r="B392" s="97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</x:row>
    <x:row r="393" spans="1:18" ht="12.75" customHeight="1" x14ac:dyDescent="0.3">
      <x:c r="B393" s="778" t="s">
        <x:v>326</x:v>
      </x:c>
      <x:c r="C393" s="775" t="s">
        <x:v>132</x:v>
      </x:c>
      <x:c r="D393" s="373" t="s">
        <x:v>70</x:v>
      </x:c>
      <x:c r="E393" s="374">
        <x:v>0</x:v>
      </x:c>
      <x:c r="F393" s="374">
        <x:v>0</x:v>
      </x:c>
      <x:c r="G393" s="374">
        <x:v>0</x:v>
      </x:c>
      <x:c r="H393" s="374">
        <x:v>0</x:v>
      </x:c>
      <x:c r="I393" s="374">
        <x:v>0</x:v>
      </x:c>
      <x:c r="J393" s="374">
        <x:v>0</x:v>
      </x:c>
      <x:c r="K393" s="374">
        <x:v>0</x:v>
      </x:c>
      <x:c r="L393" s="374">
        <x:v>0</x:v>
      </x:c>
      <x:c r="M393" s="374">
        <x:v>0</x:v>
      </x:c>
      <x:c r="N393" s="374">
        <x:v>0</x:v>
      </x:c>
      <x:c r="O393" s="374">
        <x:v>0</x:v>
      </x:c>
      <x:c r="P393" s="374">
        <x:v>0</x:v>
      </x:c>
      <x:c r="Q393" s="374">
        <x:v>0</x:v>
      </x:c>
      <x:c r="R393" s="374">
        <x:v>0</x:v>
      </x:c>
    </x:row>
    <x:row r="394" spans="1:18" ht="12.75" customHeight="1" x14ac:dyDescent="0.3">
      <x:c r="B394" s="778"/>
      <x:c r="C394" s="775"/>
      <x:c r="D394" s="373" t="s">
        <x:v>73</x:v>
      </x:c>
      <x:c r="E394" s="374">
        <x:v>0</x:v>
      </x:c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</x:row>
    <x:row r="395" spans="1:18" ht="12.75" customHeight="1" x14ac:dyDescent="0.3">
      <x:c r="A395" s="89"/>
      <x:c r="B395" s="97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</x:row>
    <x:row r="396" spans="1:18" ht="12.75" customHeight="1" x14ac:dyDescent="0.3">
      <x:c r="A396" s="142" t="s">
        <x:v>226</x:v>
      </x:c>
      <x:c r="B396" s="777" t="s">
        <x:v>119</x:v>
      </x:c>
      <x:c r="C396" s="775" t="s">
        <x:v>132</x:v>
      </x:c>
      <x:c r="D396" s="101" t="s">
        <x:v>70</x:v>
      </x:c>
      <x:c r="E396" s="93">
        <x:f>E326+E348-K326</x:f>
        <x:v>0</x:v>
      </x:c>
      <x:c r="F396" s="93">
        <x:f t="shared" ref="F396:R396" si="13">F326</x:f>
        <x:v>0</x:v>
      </x:c>
      <x:c r="G396" s="93">
        <x:f t="shared" si="13"/>
        <x:v>0</x:v>
      </x:c>
      <x:c r="H396" s="93">
        <x:f t="shared" si="13"/>
        <x:v>0</x:v>
      </x:c>
      <x:c r="I396" s="93">
        <x:f t="shared" si="13"/>
        <x:v>0</x:v>
      </x:c>
      <x:c r="J396" s="93">
        <x:f t="shared" si="13"/>
        <x:v>0</x:v>
      </x:c>
      <x:c r="K396" s="93">
        <x:f t="shared" si="13"/>
        <x:v>0</x:v>
      </x:c>
      <x:c r="L396" s="93">
        <x:f t="shared" si="13"/>
        <x:v>0</x:v>
      </x:c>
      <x:c r="M396" s="93">
        <x:f t="shared" si="13"/>
        <x:v>0</x:v>
      </x:c>
      <x:c r="N396" s="93">
        <x:f t="shared" si="13"/>
        <x:v>0</x:v>
      </x:c>
      <x:c r="O396" s="93">
        <x:f t="shared" si="13"/>
        <x:v>0</x:v>
      </x:c>
      <x:c r="P396" s="93">
        <x:f t="shared" si="13"/>
        <x:v>0</x:v>
      </x:c>
      <x:c r="Q396" s="93">
        <x:f t="shared" si="13"/>
        <x:v>0</x:v>
      </x:c>
      <x:c r="R396" s="93">
        <x:f t="shared" si="13"/>
        <x:v>0</x:v>
      </x:c>
    </x:row>
    <x:row r="397" spans="1:18" ht="12.75" customHeight="1" x14ac:dyDescent="0.3">
      <x:c r="B397" s="777"/>
      <x:c r="C397" s="775"/>
      <x:c r="D397" s="101" t="s">
        <x:v>73</x:v>
      </x:c>
      <x:c r="E397" s="93">
        <x:f>E348</x:f>
        <x:v>0</x:v>
      </x:c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</x:row>
    <x:row r="398" spans="1:18" ht="12.75" customHeight="1" x14ac:dyDescent="0.3">
      <x:c r="A398" s="89"/>
      <x:c r="B398" s="97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</x:row>
    <x:row r="399" spans="1:18" ht="12.75" customHeight="1" x14ac:dyDescent="0.3">
      <x:c r="B399" s="776" t="s">
        <x:v>161</x:v>
      </x:c>
      <x:c r="C399" s="775" t="s">
        <x:v>132</x:v>
      </x:c>
      <x:c r="D399" s="231" t="s">
        <x:v>70</x:v>
      </x:c>
      <x:c r="E399" s="232">
        <x:v>0</x:v>
      </x:c>
      <x:c r="F399" s="232">
        <x:v>0</x:v>
      </x:c>
      <x:c r="G399" s="232">
        <x:v>0</x:v>
      </x:c>
      <x:c r="H399" s="232">
        <x:v>0</x:v>
      </x:c>
      <x:c r="I399" s="232">
        <x:v>0</x:v>
      </x:c>
      <x:c r="J399" s="232">
        <x:v>0</x:v>
      </x:c>
      <x:c r="K399" s="232">
        <x:v>0</x:v>
      </x:c>
      <x:c r="L399" s="232">
        <x:v>0</x:v>
      </x:c>
      <x:c r="M399" s="232">
        <x:v>0</x:v>
      </x:c>
      <x:c r="N399" s="232">
        <x:v>0</x:v>
      </x:c>
      <x:c r="O399" s="232">
        <x:v>0</x:v>
      </x:c>
      <x:c r="P399" s="232">
        <x:v>0</x:v>
      </x:c>
      <x:c r="Q399" s="232">
        <x:v>0</x:v>
      </x:c>
      <x:c r="R399" s="232">
        <x:v>0</x:v>
      </x:c>
    </x:row>
    <x:row r="400" spans="1:18" ht="12.75" customHeight="1" x14ac:dyDescent="0.3">
      <x:c r="B400" s="776"/>
      <x:c r="C400" s="775"/>
      <x:c r="D400" s="231" t="s">
        <x:v>73</x:v>
      </x:c>
      <x:c r="E400" s="232">
        <x:v>0</x:v>
      </x:c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</x:row>
    <x:row r="401" spans="2:19" s="238" customFormat="1" x14ac:dyDescent="0.3"/>
    <x:row r="402" spans="2:19" x14ac:dyDescent="0.3">
      <x:c r="B402" s="97" t="s">
        <x:v>93</x:v>
      </x:c>
    </x:row>
    <x:row r="403" spans="2:19" x14ac:dyDescent="0.3">
      <x:c r="E403" s="89" t="s">
        <x:v>70</x:v>
      </x:c>
      <x:c r="F403" s="89" t="s">
        <x:v>64</x:v>
      </x:c>
      <x:c r="G403" s="89" t="s">
        <x:v>65</x:v>
      </x:c>
      <x:c r="H403" s="219" t="s">
        <x:v>164</x:v>
      </x:c>
      <x:c r="I403" s="89" t="s">
        <x:v>69</x:v>
      </x:c>
      <x:c r="J403" s="89" t="s">
        <x:v>68</x:v>
      </x:c>
      <x:c r="K403" s="89" t="s">
        <x:v>83</x:v>
      </x:c>
      <x:c r="L403" s="89" t="s">
        <x:v>66</x:v>
      </x:c>
      <x:c r="M403" s="89" t="s">
        <x:v>63</x:v>
      </x:c>
      <x:c r="N403" s="89" t="s">
        <x:v>61</x:v>
      </x:c>
      <x:c r="O403" s="89" t="s">
        <x:v>62</x:v>
      </x:c>
      <x:c r="P403" s="89" t="s">
        <x:v>67</x:v>
      </x:c>
      <x:c r="Q403" s="89" t="s">
        <x:v>84</x:v>
      </x:c>
      <x:c r="R403" s="384" t="s">
        <x:v>225</x:v>
      </x:c>
    </x:row>
    <x:row r="404" spans="2:19" ht="11.5" customHeight="1" x14ac:dyDescent="0.3">
      <x:c r="D404" t="s">
        <x:v>72</x:v>
      </x:c>
      <x:c r="E404" s="89">
        <x:v>0</x:v>
      </x:c>
      <x:c r="F404" s="89">
        <x:v>0</x:v>
      </x:c>
      <x:c r="G404" s="89">
        <x:v>0</x:v>
      </x:c>
      <x:c r="H404" s="384">
        <x:v>0</x:v>
      </x:c>
      <x:c r="I404" s="89">
        <x:v>0</x:v>
      </x:c>
      <x:c r="J404" s="89">
        <x:v>0</x:v>
      </x:c>
      <x:c r="K404" s="89">
        <x:v>0</x:v>
      </x:c>
      <x:c r="L404" s="89">
        <x:v>0</x:v>
      </x:c>
      <x:c r="M404" s="89">
        <x:v>0</x:v>
      </x:c>
      <x:c r="N404" s="89">
        <x:v>0</x:v>
      </x:c>
      <x:c r="O404" s="89">
        <x:v>0</x:v>
      </x:c>
      <x:c r="P404" s="89">
        <x:v>0</x:v>
      </x:c>
      <x:c r="Q404" s="89">
        <x:v>0</x:v>
      </x:c>
      <x:c r="R404" s="384">
        <x:v>0</x:v>
      </x:c>
    </x:row>
    <x:row r="405" spans="2:19" ht="12.75" customHeight="1" x14ac:dyDescent="0.3">
      <x:c r="D405" t="s">
        <x:v>81</x:v>
      </x:c>
      <x:c r="E405" s="384">
        <x:v>0</x:v>
      </x:c>
      <x:c r="F405" s="89">
        <x:v>0</x:v>
      </x:c>
      <x:c r="G405" s="89">
        <x:v>0</x:v>
      </x:c>
      <x:c r="H405" s="384">
        <x:v>0</x:v>
      </x:c>
      <x:c r="I405" s="89">
        <x:v>0</x:v>
      </x:c>
      <x:c r="J405" s="89">
        <x:v>0</x:v>
      </x:c>
      <x:c r="K405" s="89">
        <x:v>0</x:v>
      </x:c>
      <x:c r="L405" s="89">
        <x:v>0</x:v>
      </x:c>
      <x:c r="M405" s="89">
        <x:v>0</x:v>
      </x:c>
      <x:c r="N405" s="89">
        <x:v>0</x:v>
      </x:c>
      <x:c r="O405" s="89">
        <x:v>0</x:v>
      </x:c>
      <x:c r="P405" s="89">
        <x:v>0</x:v>
      </x:c>
      <x:c r="Q405" s="89">
        <x:v>0</x:v>
      </x:c>
      <x:c r="R405" s="384">
        <x:v>0</x:v>
      </x:c>
    </x:row>
    <x:row r="406" spans="2:19" ht="11.5" customHeight="1" x14ac:dyDescent="0.3">
      <x:c r="C406" t="s">
        <x:v>332</x:v>
      </x:c>
      <x:c r="D406" t="s">
        <x:v>70</x:v>
      </x:c>
      <x:c r="E406" s="384">
        <x:v>0</x:v>
      </x:c>
      <x:c r="F406" s="89">
        <x:v>0</x:v>
      </x:c>
      <x:c r="G406" s="89">
        <x:v>0</x:v>
      </x:c>
      <x:c r="H406" s="384">
        <x:v>0</x:v>
      </x:c>
      <x:c r="I406" s="89">
        <x:v>0</x:v>
      </x:c>
      <x:c r="J406" s="89">
        <x:v>0</x:v>
      </x:c>
      <x:c r="K406" s="89">
        <x:v>0</x:v>
      </x:c>
      <x:c r="L406" s="89">
        <x:v>0</x:v>
      </x:c>
      <x:c r="M406" s="89">
        <x:v>0</x:v>
      </x:c>
      <x:c r="N406" s="89">
        <x:v>0</x:v>
      </x:c>
      <x:c r="O406" s="89">
        <x:v>0</x:v>
      </x:c>
      <x:c r="P406" s="89">
        <x:v>0</x:v>
      </x:c>
      <x:c r="Q406" s="89">
        <x:v>0</x:v>
      </x:c>
      <x:c r="R406" s="384">
        <x:v>0</x:v>
      </x:c>
    </x:row>
    <x:row r="407" spans="2:19" s="739" customFormat="1" ht="11.5" customHeight="1" x14ac:dyDescent="0.3">
      <x:c r="B407" s="739" t="s">
        <x:v>85</x:v>
      </x:c>
      <x:c r="C407" s="739" t="s">
        <x:v>70</x:v>
      </x:c>
      <x:c r="E407" s="769">
        <x:v>0</x:v>
      </x:c>
      <x:c r="F407" s="231">
        <x:v>0</x:v>
      </x:c>
      <x:c r="G407" s="231">
        <x:v>0</x:v>
      </x:c>
      <x:c r="H407" s="769">
        <x:v>0</x:v>
      </x:c>
      <x:c r="I407" s="231">
        <x:v>0</x:v>
      </x:c>
      <x:c r="J407" s="231">
        <x:v>0</x:v>
      </x:c>
      <x:c r="K407" s="231">
        <x:v>0</x:v>
      </x:c>
      <x:c r="L407" s="231">
        <x:v>0</x:v>
      </x:c>
      <x:c r="M407" s="231">
        <x:v>0</x:v>
      </x:c>
      <x:c r="N407" s="231">
        <x:v>0</x:v>
      </x:c>
      <x:c r="O407" s="231">
        <x:v>0</x:v>
      </x:c>
      <x:c r="P407" s="231">
        <x:v>0</x:v>
      </x:c>
      <x:c r="Q407" s="231">
        <x:v>0</x:v>
      </x:c>
      <x:c r="R407" s="769">
        <x:v>0</x:v>
      </x:c>
    </x:row>
    <x:row r="408" spans="2:19" ht="12.75" customHeight="1" x14ac:dyDescent="0.3">
      <x:c r="D408" s="89" t="s">
        <x:v>72</x:v>
      </x:c>
      <x:c r="E408" s="90">
        <x:v>0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>
        <x:v>0</x:v>
      </x:c>
    </x:row>
    <x:row r="409" spans="2:19" ht="12.75" customHeight="1" x14ac:dyDescent="0.3">
      <x:c r="D409" s="89" t="s">
        <x:v>81</x:v>
      </x:c>
      <x:c r="E409" s="90">
        <x:v>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>
        <x:v>0</x:v>
      </x:c>
    </x:row>
    <x:row r="410" spans="2:19" ht="12.75" customHeight="1" x14ac:dyDescent="0.3">
      <x:c r="B410" s="89"/>
      <x:c r="C410" s="89" t="s">
        <x:v>156</x:v>
      </x:c>
      <x:c r="D410" t="s">
        <x:v>70</x:v>
      </x:c>
      <x:c r="E410" s="90">
        <x:v>0</x:v>
      </x:c>
      <x:c r="F410" s="90">
        <x:v>0</x:v>
      </x:c>
      <x:c r="G410" s="90">
        <x:v>0</x:v>
      </x:c>
      <x:c r="H410" s="90">
        <x:v>0</x:v>
      </x:c>
      <x:c r="I410" s="90">
        <x:v>0</x:v>
      </x:c>
      <x:c r="J410" s="90">
        <x:v>0</x:v>
      </x:c>
      <x:c r="K410" s="90">
        <x:v>0</x:v>
      </x:c>
      <x:c r="L410" s="90">
        <x:v>0</x:v>
      </x:c>
      <x:c r="M410" s="90">
        <x:v>0</x:v>
      </x:c>
      <x:c r="N410" s="90">
        <x:v>0</x:v>
      </x:c>
      <x:c r="O410" s="90">
        <x:v>0</x:v>
      </x:c>
      <x:c r="P410" s="90">
        <x:v>0</x:v>
      </x:c>
      <x:c r="Q410" s="90">
        <x:v>0</x:v>
      </x:c>
      <x:c r="R410">
        <x:v>0</x:v>
      </x:c>
    </x:row>
    <x:row r="411" spans="2:19" s="237" customFormat="1" ht="12.75" customHeight="1" x14ac:dyDescent="0.3">
      <x:c r="B411" s="221" t="s">
        <x:v>155</x:v>
      </x:c>
      <x:c r="C411" s="221" t="s">
        <x:v>70</x:v>
      </x:c>
      <x:c r="E411" s="222" t="n">
        <x:v>9143888.56</x:v>
      </x:c>
      <x:c r="F411" s="222">
        <x:v>0</x:v>
      </x:c>
      <x:c r="G411" s="222">
        <x:v>0</x:v>
      </x:c>
      <x:c r="H411" s="222">
        <x:v>0</x:v>
      </x:c>
      <x:c r="I411" s="222">
        <x:v>0</x:v>
      </x:c>
      <x:c r="J411" s="222">
        <x:v>0</x:v>
      </x:c>
      <x:c r="K411" s="222" t="n">
        <x:v>0</x:v>
      </x:c>
      <x:c r="L411" s="222">
        <x:v>0</x:v>
      </x:c>
      <x:c r="M411" s="222">
        <x:v>0</x:v>
      </x:c>
      <x:c r="N411" s="222">
        <x:v>0</x:v>
      </x:c>
      <x:c r="O411" s="222">
        <x:v>0</x:v>
      </x:c>
      <x:c r="P411" s="222">
        <x:v>0</x:v>
      </x:c>
      <x:c r="Q411" s="222">
        <x:v>0</x:v>
      </x:c>
      <x:c r="R411" s="237">
        <x:v>0</x:v>
      </x:c>
    </x:row>
    <x:row r="412" spans="2:19" ht="12.75" customHeight="1" x14ac:dyDescent="0.3">
      <x:c r="D412" t="s">
        <x:v>72</x:v>
      </x:c>
      <x:c r="E412" s="14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  <x:c r="P412">
        <x:v>0</x:v>
      </x:c>
      <x:c r="Q412">
        <x:v>0</x:v>
      </x:c>
      <x:c r="R412">
        <x:v>0</x:v>
      </x:c>
    </x:row>
    <x:row r="413" spans="2:19" ht="12.75" customHeight="1" x14ac:dyDescent="0.3">
      <x:c r="D413" t="s">
        <x:v>81</x:v>
      </x:c>
      <x:c r="E413" s="142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  <x:c r="L413">
        <x:v>0</x:v>
      </x:c>
      <x:c r="M413">
        <x:v>0</x:v>
      </x:c>
      <x:c r="N413">
        <x:v>0</x:v>
      </x:c>
      <x:c r="O413">
        <x:v>0</x:v>
      </x:c>
      <x:c r="P413">
        <x:v>0</x:v>
      </x:c>
      <x:c r="Q413">
        <x:v>0</x:v>
      </x:c>
      <x:c r="R413">
        <x:v>0</x:v>
      </x:c>
    </x:row>
    <x:row r="414" spans="2:19" ht="12.75" customHeight="1" x14ac:dyDescent="0.3">
      <x:c r="C414" t="s">
        <x:v>156</x:v>
      </x:c>
      <x:c r="D414" t="s">
        <x:v>70</x:v>
      </x:c>
      <x:c r="E414" s="142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  <x:c r="P414">
        <x:v>0</x:v>
      </x:c>
      <x:c r="Q414">
        <x:v>0</x:v>
      </x:c>
      <x:c r="R414">
        <x:v>0</x:v>
      </x:c>
    </x:row>
    <x:row r="415" spans="2:19" s="739" customFormat="1" ht="12.75" customHeight="1" x14ac:dyDescent="0.3">
      <x:c r="B415" s="739" t="s">
        <x:v>326</x:v>
      </x:c>
      <x:c r="C415" s="739" t="s">
        <x:v>70</x:v>
      </x:c>
      <x:c r="E415" s="231">
        <x:v>0</x:v>
      </x:c>
      <x:c r="F415" s="740">
        <x:v>0</x:v>
      </x:c>
      <x:c r="G415" s="232">
        <x:v>0</x:v>
      </x:c>
      <x:c r="H415" s="232">
        <x:v>0</x:v>
      </x:c>
      <x:c r="I415" s="232">
        <x:v>0</x:v>
      </x:c>
      <x:c r="J415" s="232">
        <x:v>0</x:v>
      </x:c>
      <x:c r="K415" s="232">
        <x:v>0</x:v>
      </x:c>
      <x:c r="L415" s="232">
        <x:v>0</x:v>
      </x:c>
      <x:c r="M415" s="232">
        <x:v>0</x:v>
      </x:c>
      <x:c r="N415" s="232">
        <x:v>0</x:v>
      </x:c>
      <x:c r="O415" s="232">
        <x:v>0</x:v>
      </x:c>
      <x:c r="P415" s="232">
        <x:v>0</x:v>
      </x:c>
      <x:c r="Q415" s="232">
        <x:v>0</x:v>
      </x:c>
      <x:c r="R415" s="232">
        <x:v>0</x:v>
      </x:c>
      <x:c r="S415" s="232"/>
    </x:row>
    <x:row r="416" spans="2:19" ht="12.75" customHeight="1" x14ac:dyDescent="0.3">
      <x:c r="D416" t="s">
        <x:v>72</x:v>
      </x:c>
      <x:c r="E416" s="142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  <x:c r="L416">
        <x:v>0</x:v>
      </x:c>
      <x:c r="M416">
        <x:v>0</x:v>
      </x:c>
      <x:c r="N416">
        <x:v>0</x:v>
      </x:c>
      <x:c r="O416">
        <x:v>0</x:v>
      </x:c>
      <x:c r="P416">
        <x:v>0</x:v>
      </x:c>
      <x:c r="Q416">
        <x:v>0</x:v>
      </x:c>
      <x:c r="R416">
        <x:v>0</x:v>
      </x:c>
    </x:row>
    <x:row r="417" spans="1:19" ht="12.75" customHeight="1" x14ac:dyDescent="0.3">
      <x:c r="D417" t="s">
        <x:v>81</x:v>
      </x:c>
      <x:c r="E417" s="142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  <x:c r="L417">
        <x:v>0</x:v>
      </x:c>
      <x:c r="M417">
        <x:v>0</x:v>
      </x:c>
      <x:c r="N417">
        <x:v>0</x:v>
      </x:c>
      <x:c r="O417">
        <x:v>0</x:v>
      </x:c>
      <x:c r="P417">
        <x:v>0</x:v>
      </x:c>
      <x:c r="Q417">
        <x:v>0</x:v>
      </x:c>
      <x:c r="R417">
        <x:v>0</x:v>
      </x:c>
    </x:row>
    <x:row r="418" spans="1:19" ht="12.75" customHeight="1" x14ac:dyDescent="0.3">
      <x:c r="C418" t="s">
        <x:v>82</x:v>
      </x:c>
      <x:c r="D418" t="s">
        <x:v>70</x:v>
      </x:c>
      <x:c r="E418" s="142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  <x:c r="L418">
        <x:v>0</x:v>
      </x:c>
      <x:c r="M418">
        <x:v>0</x:v>
      </x:c>
      <x:c r="N418">
        <x:v>0</x:v>
      </x:c>
      <x:c r="O418">
        <x:v>0</x:v>
      </x:c>
      <x:c r="P418">
        <x:v>0</x:v>
      </x:c>
      <x:c r="Q418">
        <x:v>0</x:v>
      </x:c>
      <x:c r="R418">
        <x:v>0</x:v>
      </x:c>
    </x:row>
    <x:row r="419" spans="1:19" ht="12.75" customHeight="1" x14ac:dyDescent="0.3">
      <x:c r="D419" t="s">
        <x:v>72</x:v>
      </x:c>
      <x:c r="E419" s="142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  <x:c r="L419">
        <x:v>0</x:v>
      </x:c>
      <x:c r="M419">
        <x:v>0</x:v>
      </x:c>
      <x:c r="N419">
        <x:v>0</x:v>
      </x:c>
      <x:c r="O419">
        <x:v>0</x:v>
      </x:c>
      <x:c r="P419">
        <x:v>0</x:v>
      </x:c>
      <x:c r="Q419">
        <x:v>0</x:v>
      </x:c>
      <x:c r="R419">
        <x:v>0</x:v>
      </x:c>
    </x:row>
    <x:row r="420" spans="1:19" ht="12.75" customHeight="1" x14ac:dyDescent="0.3">
      <x:c r="D420" t="s">
        <x:v>81</x:v>
      </x:c>
      <x:c r="E420" s="142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  <x:c r="L420">
        <x:v>0</x:v>
      </x:c>
      <x:c r="M420">
        <x:v>0</x:v>
      </x:c>
      <x:c r="N420">
        <x:v>0</x:v>
      </x:c>
      <x:c r="O420">
        <x:v>0</x:v>
      </x:c>
      <x:c r="P420">
        <x:v>0</x:v>
      </x:c>
      <x:c r="Q420">
        <x:v>0</x:v>
      </x:c>
      <x:c r="R420">
        <x:v>0</x:v>
      </x:c>
    </x:row>
    <x:row r="421" spans="1:19" ht="12.75" customHeight="1" x14ac:dyDescent="0.3">
      <x:c r="C421" t="s">
        <x:v>86</x:v>
      </x:c>
      <x:c r="D421" t="s">
        <x:v>70</x:v>
      </x:c>
      <x:c r="E421" s="142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  <x:c r="L421">
        <x:v>0</x:v>
      </x:c>
      <x:c r="M421">
        <x:v>0</x:v>
      </x:c>
      <x:c r="N421">
        <x:v>0</x:v>
      </x:c>
      <x:c r="O421">
        <x:v>0</x:v>
      </x:c>
      <x:c r="P421">
        <x:v>0</x:v>
      </x:c>
      <x:c r="Q421">
        <x:v>0</x:v>
      </x:c>
      <x:c r="R421">
        <x:v>0</x:v>
      </x:c>
    </x:row>
    <x:row r="422" spans="1:19" ht="12.75" customHeight="1" x14ac:dyDescent="0.3">
      <x:c r="D422" t="s">
        <x:v>72</x:v>
      </x:c>
      <x:c r="E422" s="14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  <x:c r="L422">
        <x:v>0</x:v>
      </x:c>
      <x:c r="M422">
        <x:v>0</x:v>
      </x:c>
      <x:c r="N422">
        <x:v>0</x:v>
      </x:c>
      <x:c r="O422">
        <x:v>0</x:v>
      </x:c>
      <x:c r="P422">
        <x:v>0</x:v>
      </x:c>
      <x:c r="Q422">
        <x:v>0</x:v>
      </x:c>
      <x:c r="R422">
        <x:v>0</x:v>
      </x:c>
    </x:row>
    <x:row r="423" spans="1:19" ht="12.75" customHeight="1" x14ac:dyDescent="0.3">
      <x:c r="B423" s="142"/>
      <x:c r="D423" t="s">
        <x:v>81</x:v>
      </x:c>
      <x:c r="E423" s="142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  <x:c r="P423">
        <x:v>0</x:v>
      </x:c>
      <x:c r="Q423">
        <x:v>0</x:v>
      </x:c>
      <x:c r="R423">
        <x:v>0</x:v>
      </x:c>
    </x:row>
    <x:row r="424" spans="1:19" ht="12.75" customHeight="1" x14ac:dyDescent="0.3">
      <x:c r="B424" s="142"/>
      <x:c r="C424" t="s">
        <x:v>87</x:v>
      </x:c>
      <x:c r="D424" t="s">
        <x:v>70</x:v>
      </x:c>
      <x:c r="E424" s="142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  <x:c r="L424">
        <x:v>0</x:v>
      </x:c>
      <x:c r="M424">
        <x:v>0</x:v>
      </x:c>
      <x:c r="N424">
        <x:v>0</x:v>
      </x:c>
      <x:c r="O424">
        <x:v>0</x:v>
      </x:c>
      <x:c r="P424">
        <x:v>0</x:v>
      </x:c>
      <x:c r="Q424">
        <x:v>0</x:v>
      </x:c>
      <x:c r="R424">
        <x:v>0</x:v>
      </x:c>
    </x:row>
    <x:row r="425" spans="1:19" s="94" customFormat="1" ht="12.75" customHeight="1" x14ac:dyDescent="0.3">
      <x:c r="B425" s="101" t="s">
        <x:v>119</x:v>
      </x:c>
      <x:c r="C425" s="101" t="s">
        <x:v>70</x:v>
      </x:c>
      <x:c r="E425" s="93" t="n">
        <x:v>1268977.57</x:v>
      </x:c>
      <x:c r="F425" s="93">
        <x:v>0</x:v>
      </x:c>
      <x:c r="G425" s="93">
        <x:v>0</x:v>
      </x:c>
      <x:c r="H425" s="93">
        <x:v>0</x:v>
      </x:c>
      <x:c r="I425" s="93">
        <x:v>0</x:v>
      </x:c>
      <x:c r="J425" s="93">
        <x:v>0</x:v>
      </x:c>
      <x:c r="K425" s="93" t="n">
        <x:v>0</x:v>
      </x:c>
      <x:c r="L425" s="93">
        <x:v>0</x:v>
      </x:c>
      <x:c r="M425" s="93">
        <x:v>0</x:v>
      </x:c>
      <x:c r="N425" s="93">
        <x:v>0</x:v>
      </x:c>
      <x:c r="O425" s="93">
        <x:v>0</x:v>
      </x:c>
      <x:c r="P425" s="93">
        <x:v>0</x:v>
      </x:c>
      <x:c r="Q425" s="93">
        <x:v>0</x:v>
      </x:c>
      <x:c r="R425" s="94">
        <x:v>0</x:v>
      </x:c>
    </x:row>
    <x:row r="426" spans="1:19" s="226" customFormat="1" ht="12.75" customHeight="1" x14ac:dyDescent="0.3">
      <x:c r="A426" s="98" t="s">
        <x:v>78</x:v>
      </x:c>
      <x:c r="B426" s="98" t="s">
        <x:v>70</x:v>
      </x:c>
      <x:c r="E426" s="100" t="n">
        <x:v>10412866.13</x:v>
      </x:c>
      <x:c r="F426" s="100">
        <x:v>0</x:v>
      </x:c>
      <x:c r="G426" s="100">
        <x:v>0</x:v>
      </x:c>
      <x:c r="H426" s="100">
        <x:v>0</x:v>
      </x:c>
      <x:c r="I426" s="100">
        <x:v>0</x:v>
      </x:c>
      <x:c r="J426" s="100">
        <x:v>0</x:v>
      </x:c>
      <x:c r="K426" s="100" t="n">
        <x:v>0</x:v>
      </x:c>
      <x:c r="L426" s="100">
        <x:v>0</x:v>
      </x:c>
      <x:c r="M426" s="100">
        <x:v>0</x:v>
      </x:c>
      <x:c r="N426" s="100">
        <x:v>0</x:v>
      </x:c>
      <x:c r="O426" s="100">
        <x:v>0</x:v>
      </x:c>
      <x:c r="P426" s="100">
        <x:v>0</x:v>
      </x:c>
      <x:c r="Q426" s="100">
        <x:v>0</x:v>
      </x:c>
      <x:c r="R426" s="226">
        <x:v>0</x:v>
      </x:c>
    </x:row>
    <x:row r="427" spans="1:19" ht="12.75" customHeight="1" x14ac:dyDescent="0.3">
      <x:c r="C427" s="89"/>
      <x:c r="D427" s="89" t="s">
        <x:v>73</x:v>
      </x:c>
      <x:c r="E427" s="90">
        <x:v>0</x:v>
      </x:c>
      <x:c r="F427" s="90">
        <x:v>0</x:v>
      </x:c>
      <x:c r="G427" s="90">
        <x:v>0</x:v>
      </x:c>
      <x:c r="H427" s="90">
        <x:v>0</x:v>
      </x:c>
      <x:c r="I427" s="90">
        <x:v>0</x:v>
      </x:c>
      <x:c r="J427" s="90">
        <x:v>0</x:v>
      </x:c>
      <x:c r="K427" s="90">
        <x:v>0</x:v>
      </x:c>
      <x:c r="L427" s="90">
        <x:v>0</x:v>
      </x:c>
      <x:c r="M427" s="90">
        <x:v>0</x:v>
      </x:c>
      <x:c r="N427" s="90">
        <x:v>0</x:v>
      </x:c>
      <x:c r="O427" s="90">
        <x:v>0</x:v>
      </x:c>
      <x:c r="P427" s="90">
        <x:v>0</x:v>
      </x:c>
      <x:c r="Q427" s="90">
        <x:v>0</x:v>
      </x:c>
      <x:c r="R427">
        <x:v>0</x:v>
      </x:c>
    </x:row>
    <x:row r="428" spans="1:19" ht="12.75" customHeight="1" x14ac:dyDescent="0.3">
      <x:c r="B428" s="89"/>
      <x:c r="C428" s="89" t="s">
        <x:v>156</x:v>
      </x:c>
      <x:c r="D428" t="s">
        <x:v>70</x:v>
      </x:c>
      <x:c r="E428" s="90">
        <x:v>0</x:v>
      </x:c>
      <x:c r="F428" s="90">
        <x:v>0</x:v>
      </x:c>
      <x:c r="G428" s="90">
        <x:v>0</x:v>
      </x:c>
      <x:c r="H428" s="90">
        <x:v>0</x:v>
      </x:c>
      <x:c r="I428" s="90">
        <x:v>0</x:v>
      </x:c>
      <x:c r="J428" s="90">
        <x:v>0</x:v>
      </x:c>
      <x:c r="K428" s="90">
        <x:v>0</x:v>
      </x:c>
      <x:c r="L428" s="90">
        <x:v>0</x:v>
      </x:c>
      <x:c r="M428" s="90">
        <x:v>0</x:v>
      </x:c>
      <x:c r="N428" s="90">
        <x:v>0</x:v>
      </x:c>
      <x:c r="O428" s="90">
        <x:v>0</x:v>
      </x:c>
      <x:c r="P428" s="90">
        <x:v>0</x:v>
      </x:c>
      <x:c r="Q428" s="90">
        <x:v>0</x:v>
      </x:c>
      <x:c r="R428">
        <x:v>0</x:v>
      </x:c>
    </x:row>
    <x:row r="429" spans="1:19" s="237" customFormat="1" ht="12.75" customHeight="1" x14ac:dyDescent="0.3">
      <x:c r="B429" s="221" t="s">
        <x:v>155</x:v>
      </x:c>
      <x:c r="C429" s="221" t="s">
        <x:v>70</x:v>
      </x:c>
      <x:c r="E429" s="222" t="n">
        <x:v>48766.77</x:v>
      </x:c>
      <x:c r="F429" s="222">
        <x:v>0</x:v>
      </x:c>
      <x:c r="G429" s="222">
        <x:v>0</x:v>
      </x:c>
      <x:c r="H429" s="222">
        <x:v>0</x:v>
      </x:c>
      <x:c r="I429" s="222">
        <x:v>0</x:v>
      </x:c>
      <x:c r="J429" s="222">
        <x:v>0</x:v>
      </x:c>
      <x:c r="K429" s="222">
        <x:v>0</x:v>
      </x:c>
      <x:c r="L429" s="222">
        <x:v>0</x:v>
      </x:c>
      <x:c r="M429" s="222">
        <x:v>0</x:v>
      </x:c>
      <x:c r="N429" s="222">
        <x:v>0</x:v>
      </x:c>
      <x:c r="O429" s="222">
        <x:v>0</x:v>
      </x:c>
      <x:c r="P429" s="222">
        <x:v>0</x:v>
      </x:c>
      <x:c r="Q429" s="222">
        <x:v>0</x:v>
      </x:c>
      <x:c r="R429" s="237">
        <x:v>0</x:v>
      </x:c>
    </x:row>
    <x:row r="430" spans="1:19" ht="12.75" customHeight="1" x14ac:dyDescent="0.3">
      <x:c r="B430" s="142"/>
      <x:c r="C430" s="89"/>
      <x:c r="D430" s="89" t="s">
        <x:v>73</x:v>
      </x:c>
      <x:c r="E430" s="371">
        <x:v>0</x:v>
      </x:c>
      <x:c r="F430" s="90">
        <x:v>0</x:v>
      </x:c>
      <x:c r="G430" s="90">
        <x:v>0</x:v>
      </x:c>
      <x:c r="H430" s="90">
        <x:v>0</x:v>
      </x:c>
      <x:c r="I430" s="90">
        <x:v>0</x:v>
      </x:c>
      <x:c r="J430" s="90">
        <x:v>0</x:v>
      </x:c>
      <x:c r="K430" s="90">
        <x:v>0</x:v>
      </x:c>
      <x:c r="L430" s="90">
        <x:v>0</x:v>
      </x:c>
      <x:c r="M430" s="90">
        <x:v>0</x:v>
      </x:c>
      <x:c r="N430" s="90">
        <x:v>0</x:v>
      </x:c>
      <x:c r="O430" s="90">
        <x:v>0</x:v>
      </x:c>
      <x:c r="P430" s="90">
        <x:v>0</x:v>
      </x:c>
      <x:c r="Q430" s="90">
        <x:v>0</x:v>
      </x:c>
      <x:c r="R430">
        <x:v>0</x:v>
      </x:c>
    </x:row>
    <x:row r="431" spans="1:19" ht="12.75" customHeight="1" x14ac:dyDescent="0.3">
      <x:c r="B431" s="142"/>
      <x:c r="C431" s="89" t="s">
        <x:v>156</x:v>
      </x:c>
      <x:c r="D431" s="89" t="s">
        <x:v>70</x:v>
      </x:c>
      <x:c r="E431" s="371">
        <x:v>0</x:v>
      </x:c>
      <x:c r="F431" s="90">
        <x:v>0</x:v>
      </x:c>
      <x:c r="G431" s="90">
        <x:v>0</x:v>
      </x:c>
      <x:c r="H431" s="90">
        <x:v>0</x:v>
      </x:c>
      <x:c r="I431" s="90">
        <x:v>0</x:v>
      </x:c>
      <x:c r="J431" s="90">
        <x:v>0</x:v>
      </x:c>
      <x:c r="K431" s="90">
        <x:v>0</x:v>
      </x:c>
      <x:c r="L431" s="90">
        <x:v>0</x:v>
      </x:c>
      <x:c r="M431" s="90">
        <x:v>0</x:v>
      </x:c>
      <x:c r="N431" s="90">
        <x:v>0</x:v>
      </x:c>
      <x:c r="O431" s="90">
        <x:v>0</x:v>
      </x:c>
      <x:c r="P431" s="90">
        <x:v>0</x:v>
      </x:c>
      <x:c r="Q431" s="90">
        <x:v>0</x:v>
      </x:c>
      <x:c r="R431">
        <x:v>0</x:v>
      </x:c>
    </x:row>
    <x:row r="432" spans="1:19" s="739" customFormat="1" ht="12.75" customHeight="1" x14ac:dyDescent="0.3">
      <x:c r="B432" s="739" t="s">
        <x:v>326</x:v>
      </x:c>
      <x:c r="C432" s="739" t="s">
        <x:v>70</x:v>
      </x:c>
      <x:c r="E432" s="231">
        <x:v>0</x:v>
      </x:c>
      <x:c r="F432" s="740">
        <x:v>0</x:v>
      </x:c>
      <x:c r="G432" s="232">
        <x:v>0</x:v>
      </x:c>
      <x:c r="H432" s="232">
        <x:v>0</x:v>
      </x:c>
      <x:c r="I432" s="232">
        <x:v>0</x:v>
      </x:c>
      <x:c r="J432" s="232">
        <x:v>0</x:v>
      </x:c>
      <x:c r="K432" s="232">
        <x:v>0</x:v>
      </x:c>
      <x:c r="L432" s="232">
        <x:v>0</x:v>
      </x:c>
      <x:c r="M432" s="232">
        <x:v>0</x:v>
      </x:c>
      <x:c r="N432" s="232">
        <x:v>0</x:v>
      </x:c>
      <x:c r="O432" s="232">
        <x:v>0</x:v>
      </x:c>
      <x:c r="P432" s="232">
        <x:v>0</x:v>
      </x:c>
      <x:c r="Q432" s="232">
        <x:v>0</x:v>
      </x:c>
      <x:c r="R432" s="232">
        <x:v>0</x:v>
      </x:c>
      <x:c r="S432" s="232"/>
    </x:row>
    <x:row r="433" spans="1:18" ht="12.75" customHeight="1" x14ac:dyDescent="0.3">
      <x:c r="B433" s="142"/>
      <x:c r="C433" s="89"/>
      <x:c r="D433" s="89" t="s">
        <x:v>73</x:v>
      </x:c>
      <x:c r="E433" s="371">
        <x:v>0</x:v>
      </x:c>
      <x:c r="F433" s="90">
        <x:v>0</x:v>
      </x:c>
      <x:c r="G433" s="90">
        <x:v>0</x:v>
      </x:c>
      <x:c r="H433" s="90">
        <x:v>0</x:v>
      </x:c>
      <x:c r="I433" s="90">
        <x:v>0</x:v>
      </x:c>
      <x:c r="J433" s="90">
        <x:v>0</x:v>
      </x:c>
      <x:c r="K433" s="90">
        <x:v>0</x:v>
      </x:c>
      <x:c r="L433" s="90">
        <x:v>0</x:v>
      </x:c>
      <x:c r="M433" s="90">
        <x:v>0</x:v>
      </x:c>
      <x:c r="N433" s="90">
        <x:v>0</x:v>
      </x:c>
      <x:c r="O433" s="90">
        <x:v>0</x:v>
      </x:c>
      <x:c r="P433" s="90">
        <x:v>0</x:v>
      </x:c>
      <x:c r="Q433" s="90">
        <x:v>0</x:v>
      </x:c>
      <x:c r="R433">
        <x:v>0</x:v>
      </x:c>
    </x:row>
    <x:row r="434" spans="1:18" ht="12.75" customHeight="1" x14ac:dyDescent="0.3">
      <x:c r="B434" s="142"/>
      <x:c r="C434" s="89" t="s">
        <x:v>82</x:v>
      </x:c>
      <x:c r="D434" s="89" t="s">
        <x:v>70</x:v>
      </x:c>
      <x:c r="E434" s="371">
        <x:v>0</x:v>
      </x:c>
      <x:c r="F434" s="90">
        <x:v>0</x:v>
      </x:c>
      <x:c r="G434" s="90">
        <x:v>0</x:v>
      </x:c>
      <x:c r="H434" s="90">
        <x:v>0</x:v>
      </x:c>
      <x:c r="I434" s="90">
        <x:v>0</x:v>
      </x:c>
      <x:c r="J434" s="90">
        <x:v>0</x:v>
      </x:c>
      <x:c r="K434" s="90">
        <x:v>0</x:v>
      </x:c>
      <x:c r="L434" s="90">
        <x:v>0</x:v>
      </x:c>
      <x:c r="M434" s="90">
        <x:v>0</x:v>
      </x:c>
      <x:c r="N434" s="90">
        <x:v>0</x:v>
      </x:c>
      <x:c r="O434" s="90">
        <x:v>0</x:v>
      </x:c>
      <x:c r="P434" s="90">
        <x:v>0</x:v>
      </x:c>
      <x:c r="Q434" s="90">
        <x:v>0</x:v>
      </x:c>
      <x:c r="R434">
        <x:v>0</x:v>
      </x:c>
    </x:row>
    <x:row r="435" spans="1:18" ht="12.75" customHeight="1" x14ac:dyDescent="0.3">
      <x:c r="B435" s="142"/>
      <x:c r="C435" s="89"/>
      <x:c r="D435" s="89" t="s">
        <x:v>73</x:v>
      </x:c>
      <x:c r="E435" s="371">
        <x:v>0</x:v>
      </x:c>
      <x:c r="F435" s="90">
        <x:v>0</x:v>
      </x:c>
      <x:c r="G435" s="90">
        <x:v>0</x:v>
      </x:c>
      <x:c r="H435" s="90">
        <x:v>0</x:v>
      </x:c>
      <x:c r="I435" s="90">
        <x:v>0</x:v>
      </x:c>
      <x:c r="J435" s="90">
        <x:v>0</x:v>
      </x:c>
      <x:c r="K435" s="90">
        <x:v>0</x:v>
      </x:c>
      <x:c r="L435" s="90">
        <x:v>0</x:v>
      </x:c>
      <x:c r="M435" s="90">
        <x:v>0</x:v>
      </x:c>
      <x:c r="N435" s="90">
        <x:v>0</x:v>
      </x:c>
      <x:c r="O435" s="90">
        <x:v>0</x:v>
      </x:c>
      <x:c r="P435" s="90">
        <x:v>0</x:v>
      </x:c>
      <x:c r="Q435" s="90">
        <x:v>0</x:v>
      </x:c>
      <x:c r="R435">
        <x:v>0</x:v>
      </x:c>
    </x:row>
    <x:row r="436" spans="1:18" ht="12.75" customHeight="1" x14ac:dyDescent="0.3">
      <x:c r="B436" s="142"/>
      <x:c r="C436" s="89" t="s">
        <x:v>86</x:v>
      </x:c>
      <x:c r="D436" s="89" t="s">
        <x:v>70</x:v>
      </x:c>
      <x:c r="E436" s="371">
        <x:v>0</x:v>
      </x:c>
      <x:c r="F436" s="90">
        <x:v>0</x:v>
      </x:c>
      <x:c r="G436" s="90">
        <x:v>0</x:v>
      </x:c>
      <x:c r="H436" s="90">
        <x:v>0</x:v>
      </x:c>
      <x:c r="I436" s="90">
        <x:v>0</x:v>
      </x:c>
      <x:c r="J436" s="90">
        <x:v>0</x:v>
      </x:c>
      <x:c r="K436" s="90">
        <x:v>0</x:v>
      </x:c>
      <x:c r="L436" s="90">
        <x:v>0</x:v>
      </x:c>
      <x:c r="M436" s="90">
        <x:v>0</x:v>
      </x:c>
      <x:c r="N436" s="90">
        <x:v>0</x:v>
      </x:c>
      <x:c r="O436" s="90">
        <x:v>0</x:v>
      </x:c>
      <x:c r="P436" s="90">
        <x:v>0</x:v>
      </x:c>
      <x:c r="Q436" s="90">
        <x:v>0</x:v>
      </x:c>
      <x:c r="R436">
        <x:v>0</x:v>
      </x:c>
    </x:row>
    <x:row r="437" spans="1:18" ht="12.75" customHeight="1" x14ac:dyDescent="0.3">
      <x:c r="B437" s="142"/>
      <x:c r="C437" s="89"/>
      <x:c r="D437" s="89" t="s">
        <x:v>73</x:v>
      </x:c>
      <x:c r="E437" s="371">
        <x:v>0</x:v>
      </x:c>
      <x:c r="F437" s="90">
        <x:v>0</x:v>
      </x:c>
      <x:c r="G437" s="90">
        <x:v>0</x:v>
      </x:c>
      <x:c r="H437" s="90">
        <x:v>0</x:v>
      </x:c>
      <x:c r="I437" s="90">
        <x:v>0</x:v>
      </x:c>
      <x:c r="J437" s="90">
        <x:v>0</x:v>
      </x:c>
      <x:c r="K437" s="90">
        <x:v>0</x:v>
      </x:c>
      <x:c r="L437" s="90">
        <x:v>0</x:v>
      </x:c>
      <x:c r="M437" s="90">
        <x:v>0</x:v>
      </x:c>
      <x:c r="N437" s="90">
        <x:v>0</x:v>
      </x:c>
      <x:c r="O437" s="90">
        <x:v>0</x:v>
      </x:c>
      <x:c r="P437" s="90">
        <x:v>0</x:v>
      </x:c>
      <x:c r="Q437" s="90">
        <x:v>0</x:v>
      </x:c>
      <x:c r="R437">
        <x:v>0</x:v>
      </x:c>
    </x:row>
    <x:row r="438" spans="1:18" ht="12.75" customHeight="1" x14ac:dyDescent="0.3">
      <x:c r="B438" s="142"/>
      <x:c r="C438" s="89" t="s">
        <x:v>87</x:v>
      </x:c>
      <x:c r="D438" s="89" t="s">
        <x:v>70</x:v>
      </x:c>
      <x:c r="E438" s="371">
        <x:v>0</x:v>
      </x:c>
      <x:c r="F438" s="90">
        <x:v>0</x:v>
      </x:c>
      <x:c r="G438" s="90">
        <x:v>0</x:v>
      </x:c>
      <x:c r="H438" s="90">
        <x:v>0</x:v>
      </x:c>
      <x:c r="I438" s="90">
        <x:v>0</x:v>
      </x:c>
      <x:c r="J438" s="90">
        <x:v>0</x:v>
      </x:c>
      <x:c r="K438" s="90">
        <x:v>0</x:v>
      </x:c>
      <x:c r="L438" s="90">
        <x:v>0</x:v>
      </x:c>
      <x:c r="M438" s="90">
        <x:v>0</x:v>
      </x:c>
      <x:c r="N438" s="90">
        <x:v>0</x:v>
      </x:c>
      <x:c r="O438" s="90">
        <x:v>0</x:v>
      </x:c>
      <x:c r="P438" s="90">
        <x:v>0</x:v>
      </x:c>
      <x:c r="Q438" s="90">
        <x:v>0</x:v>
      </x:c>
      <x:c r="R438">
        <x:v>0</x:v>
      </x:c>
    </x:row>
    <x:row r="439" spans="1:18" s="94" customFormat="1" ht="12.75" customHeight="1" x14ac:dyDescent="0.3">
      <x:c r="B439" s="101" t="s">
        <x:v>119</x:v>
      </x:c>
      <x:c r="C439" s="101" t="s">
        <x:v>70</x:v>
      </x:c>
      <x:c r="E439" s="93" t="n">
        <x:v>-82090.85</x:v>
      </x:c>
      <x:c r="F439" s="93">
        <x:v>0</x:v>
      </x:c>
      <x:c r="G439" s="93">
        <x:v>0</x:v>
      </x:c>
      <x:c r="H439" s="93">
        <x:v>0</x:v>
      </x:c>
      <x:c r="I439" s="93">
        <x:v>0</x:v>
      </x:c>
      <x:c r="J439" s="93">
        <x:v>0</x:v>
      </x:c>
      <x:c r="K439" s="93">
        <x:v>0</x:v>
      </x:c>
      <x:c r="L439" s="93">
        <x:v>0</x:v>
      </x:c>
      <x:c r="M439" s="93">
        <x:v>0</x:v>
      </x:c>
      <x:c r="N439" s="93">
        <x:v>0</x:v>
      </x:c>
      <x:c r="O439" s="93">
        <x:v>0</x:v>
      </x:c>
      <x:c r="P439" s="93">
        <x:v>0</x:v>
      </x:c>
      <x:c r="Q439" s="93">
        <x:v>0</x:v>
      </x:c>
      <x:c r="R439" s="94">
        <x:v>0</x:v>
      </x:c>
    </x:row>
    <x:row r="440" spans="1:18" s="226" customFormat="1" ht="12.75" customHeight="1" x14ac:dyDescent="0.3">
      <x:c r="A440" s="98" t="s">
        <x:v>79</x:v>
      </x:c>
      <x:c r="B440" s="98" t="s">
        <x:v>70</x:v>
      </x:c>
      <x:c r="E440" s="100" t="n">
        <x:v>-33324.08</x:v>
      </x:c>
      <x:c r="F440" s="100">
        <x:v>0</x:v>
      </x:c>
      <x:c r="G440" s="100">
        <x:v>0</x:v>
      </x:c>
      <x:c r="H440" s="100">
        <x:v>0</x:v>
      </x:c>
      <x:c r="I440" s="100">
        <x:v>0</x:v>
      </x:c>
      <x:c r="J440" s="100">
        <x:v>0</x:v>
      </x:c>
      <x:c r="K440" s="100">
        <x:v>0</x:v>
      </x:c>
      <x:c r="L440" s="100">
        <x:v>0</x:v>
      </x:c>
      <x:c r="M440" s="100">
        <x:v>0</x:v>
      </x:c>
      <x:c r="N440" s="100">
        <x:v>0</x:v>
      </x:c>
      <x:c r="O440" s="100">
        <x:v>0</x:v>
      </x:c>
      <x:c r="P440" s="100">
        <x:v>0</x:v>
      </x:c>
      <x:c r="Q440" s="100">
        <x:v>0</x:v>
      </x:c>
      <x:c r="R440" s="226">
        <x:v>0</x:v>
      </x:c>
    </x:row>
    <x:row r="441" spans="1:18" ht="12.75" customHeight="1" x14ac:dyDescent="0.3">
      <x:c r="A441" s="89" t="s">
        <x:v>70</x:v>
      </x:c>
      <x:c r="E441" s="90">
        <x:v>0</x:v>
      </x:c>
      <x:c r="F441" s="90">
        <x:v>0</x:v>
      </x:c>
      <x:c r="G441" s="90">
        <x:v>0</x:v>
      </x:c>
      <x:c r="H441" s="90">
        <x:v>0</x:v>
      </x:c>
      <x:c r="I441" s="90">
        <x:v>0</x:v>
      </x:c>
      <x:c r="J441" s="90">
        <x:v>0</x:v>
      </x:c>
      <x:c r="K441" s="90">
        <x:v>0</x:v>
      </x:c>
      <x:c r="L441" s="90">
        <x:v>0</x:v>
      </x:c>
      <x:c r="M441" s="90">
        <x:v>0</x:v>
      </x:c>
      <x:c r="N441" s="90">
        <x:v>0</x:v>
      </x:c>
      <x:c r="O441" s="90">
        <x:v>0</x:v>
      </x:c>
      <x:c r="P441" s="90">
        <x:v>0</x:v>
      </x:c>
      <x:c r="Q441" s="90">
        <x:v>0</x:v>
      </x:c>
      <x:c r="R441" s="90">
        <x:v>0</x:v>
      </x:c>
    </x:row>
    <x:row r="442" spans="1:18" ht="12.75" hidden="1" customHeight="1" x14ac:dyDescent="0.3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3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hidden="1" customHeight="1" x14ac:dyDescent="0.3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hidden="1" customHeight="1" x14ac:dyDescent="0.3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hidden="1" customHeight="1" x14ac:dyDescent="0.3">
      <x:c r="A446" s="89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hidden="1" customHeight="1" x14ac:dyDescent="0.3">
      <x:c r="A447" s="89"/>
      <x:c r="E447" s="90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hidden="1" customHeight="1" x14ac:dyDescent="0.3">
      <x:c r="A448" s="89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hidden="1" customHeight="1" x14ac:dyDescent="0.3">
      <x:c r="A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hidden="1" customHeight="1" x14ac:dyDescent="0.3">
      <x:c r="A450" s="89"/>
      <x:c r="E450" s="90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hidden="1" customHeight="1" x14ac:dyDescent="0.3">
      <x:c r="A451" s="89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hidden="1" customHeight="1" x14ac:dyDescent="0.3">
      <x:c r="A452" s="89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hidden="1" customHeight="1" x14ac:dyDescent="0.3">
      <x:c r="A453" s="89"/>
      <x:c r="E453" s="90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hidden="1" customHeight="1" x14ac:dyDescent="0.3">
      <x:c r="A454" s="89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hidden="1" customHeight="1" x14ac:dyDescent="0.3">
      <x:c r="A455" s="89"/>
      <x:c r="E455" s="90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</x:row>
    <x:row r="456" spans="1:18" ht="12.75" hidden="1" customHeight="1" x14ac:dyDescent="0.3">
      <x:c r="A456" s="89"/>
      <x:c r="E456" s="90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hidden="1" customHeight="1" x14ac:dyDescent="0.3">
      <x:c r="A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hidden="1" customHeight="1" x14ac:dyDescent="0.3">
      <x:c r="A458" s="89"/>
      <x:c r="E458" s="90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</x:row>
    <x:row r="459" spans="1:18" ht="12.75" hidden="1" customHeight="1" x14ac:dyDescent="0.3">
      <x:c r="A459" s="89"/>
      <x:c r="E459" s="90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hidden="1" customHeight="1" x14ac:dyDescent="0.3">
      <x:c r="A460" s="89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hidden="1" customHeight="1" x14ac:dyDescent="0.3">
      <x:c r="A461" s="89"/>
      <x:c r="E461" s="90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</x:row>
    <x:row r="462" spans="1:18" ht="12.75" hidden="1" customHeight="1" x14ac:dyDescent="0.3">
      <x:c r="A462" s="89"/>
      <x:c r="E462" s="90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ht="12.75" hidden="1" customHeight="1" x14ac:dyDescent="0.3">
      <x:c r="A463" s="89"/>
      <x:c r="E463" s="90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</x:row>
    <x:row r="464" spans="1:18" ht="12.75" hidden="1" customHeight="1" x14ac:dyDescent="0.3">
      <x:c r="A464" s="89"/>
      <x:c r="E464" s="90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18" ht="12.75" hidden="1" customHeight="1" x14ac:dyDescent="0.3">
      <x:c r="A465" s="89"/>
      <x:c r="E465" s="90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</x:row>
    <x:row r="466" spans="1:18" ht="12.75" customHeight="1" x14ac:dyDescent="0.3">
      <x:c r="A466" s="89"/>
      <x:c r="E466" s="90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</x:row>
    <x:row r="467" spans="1:18" ht="12.75" customHeight="1" x14ac:dyDescent="0.3">
      <x:c r="A467" s="89"/>
      <x:c r="E467" s="90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</x:row>
    <x:row r="468" spans="1:18" ht="12.75" customHeight="1" x14ac:dyDescent="0.3">
      <x:c r="B468" s="777" t="s">
        <x:v>2</x:v>
      </x:c>
      <x:c r="C468" s="775" t="s">
        <x:v>132</x:v>
      </x:c>
      <x:c r="D468" s="98" t="s">
        <x:v>70</x:v>
      </x:c>
      <x:c r="E468" s="100">
        <x:f>E440+E426-K426</x:f>
        <x:v>0</x:v>
      </x:c>
      <x:c r="F468" s="100">
        <x:f>F426</x:f>
        <x:v>0</x:v>
      </x:c>
      <x:c r="G468" s="100">
        <x:f t="shared" ref="G468:R468" si="14">G426</x:f>
        <x:v>0</x:v>
      </x:c>
      <x:c r="H468" s="100">
        <x:f t="shared" si="14"/>
        <x:v>0</x:v>
      </x:c>
      <x:c r="I468" s="100">
        <x:f t="shared" si="14"/>
        <x:v>0</x:v>
      </x:c>
      <x:c r="J468" s="100">
        <x:f t="shared" si="14"/>
        <x:v>0</x:v>
      </x:c>
      <x:c r="K468" s="100">
        <x:f t="shared" si="14"/>
        <x:v>0</x:v>
      </x:c>
      <x:c r="L468" s="100">
        <x:f t="shared" si="14"/>
        <x:v>0</x:v>
      </x:c>
      <x:c r="M468" s="100">
        <x:f t="shared" si="14"/>
        <x:v>0</x:v>
      </x:c>
      <x:c r="N468" s="100">
        <x:f t="shared" si="14"/>
        <x:v>0</x:v>
      </x:c>
      <x:c r="O468" s="100">
        <x:f t="shared" si="14"/>
        <x:v>0</x:v>
      </x:c>
      <x:c r="P468" s="100">
        <x:f>P426</x:f>
        <x:v>0</x:v>
      </x:c>
      <x:c r="Q468" s="100">
        <x:f t="shared" si="14"/>
        <x:v>0</x:v>
      </x:c>
      <x:c r="R468" s="100">
        <x:f t="shared" si="14"/>
        <x:v>0</x:v>
      </x:c>
    </x:row>
    <x:row r="469" spans="1:18" ht="12.75" customHeight="1" x14ac:dyDescent="0.3">
      <x:c r="B469" s="777"/>
      <x:c r="C469" s="775"/>
      <x:c r="D469" s="98" t="s">
        <x:v>73</x:v>
      </x:c>
      <x:c r="E469" s="100">
        <x:f>E440</x:f>
        <x:v>0</x:v>
      </x:c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18" ht="12.75" customHeight="1" x14ac:dyDescent="0.3">
      <x:c r="A470" s="89"/>
      <x:c r="B470" s="97"/>
      <x:c r="E470" s="90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</x:row>
    <x:row r="471" spans="1:18" ht="12.75" customHeight="1" x14ac:dyDescent="0.3">
      <x:c r="B471" s="777" t="s">
        <x:v>160</x:v>
      </x:c>
      <x:c r="C471" s="775" t="s">
        <x:v>132</x:v>
      </x:c>
      <x:c r="D471" s="223" t="s">
        <x:v>70</x:v>
      </x:c>
      <x:c r="E471" s="225">
        <x:v>0</x:v>
      </x:c>
      <x:c r="F471" s="225">
        <x:v>0</x:v>
      </x:c>
      <x:c r="G471" s="225">
        <x:v>0</x:v>
      </x:c>
      <x:c r="H471" s="225">
        <x:v>0</x:v>
      </x:c>
      <x:c r="I471" s="225">
        <x:v>0</x:v>
      </x:c>
      <x:c r="J471" s="225">
        <x:v>0</x:v>
      </x:c>
      <x:c r="K471" s="225">
        <x:v>0</x:v>
      </x:c>
      <x:c r="L471" s="225">
        <x:v>0</x:v>
      </x:c>
      <x:c r="M471" s="225">
        <x:v>0</x:v>
      </x:c>
      <x:c r="N471" s="225">
        <x:v>0</x:v>
      </x:c>
      <x:c r="O471" s="225">
        <x:v>0</x:v>
      </x:c>
      <x:c r="P471" s="225">
        <x:v>0</x:v>
      </x:c>
      <x:c r="Q471" s="225">
        <x:v>0</x:v>
      </x:c>
      <x:c r="R471" s="225">
        <x:v>0</x:v>
      </x:c>
    </x:row>
    <x:row r="472" spans="1:18" ht="12.75" customHeight="1" x14ac:dyDescent="0.3">
      <x:c r="B472" s="777"/>
      <x:c r="C472" s="775"/>
      <x:c r="D472" s="223" t="s">
        <x:v>73</x:v>
      </x:c>
      <x:c r="E472" s="225">
        <x:v>0</x:v>
      </x:c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</x:row>
    <x:row r="473" spans="1:18" ht="12.75" customHeight="1" x14ac:dyDescent="0.3">
      <x:c r="A473" s="89"/>
      <x:c r="B473" s="97"/>
      <x:c r="E473" s="90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</x:row>
    <x:row r="474" spans="1:18" ht="12.75" customHeight="1" x14ac:dyDescent="0.3">
      <x:c r="B474" s="777" t="s">
        <x:v>155</x:v>
      </x:c>
      <x:c r="C474" s="775" t="s">
        <x:v>132</x:v>
      </x:c>
      <x:c r="D474" s="221" t="s">
        <x:v>70</x:v>
      </x:c>
      <x:c r="E474" s="222">
        <x:f>E429+E411+E407-K407-K411</x:f>
        <x:v>0</x:v>
      </x:c>
      <x:c r="F474" s="222">
        <x:f>F411+F407</x:f>
        <x:v>0</x:v>
      </x:c>
      <x:c r="G474" s="222">
        <x:f t="shared" ref="G474:R474" si="15">G411+G407</x:f>
        <x:v>0</x:v>
      </x:c>
      <x:c r="H474" s="222">
        <x:f t="shared" si="15"/>
        <x:v>0</x:v>
      </x:c>
      <x:c r="I474" s="222">
        <x:f t="shared" si="15"/>
        <x:v>0</x:v>
      </x:c>
      <x:c r="J474" s="222">
        <x:f t="shared" si="15"/>
        <x:v>0</x:v>
      </x:c>
      <x:c r="K474" s="222">
        <x:f t="shared" si="15"/>
        <x:v>0</x:v>
      </x:c>
      <x:c r="L474" s="222">
        <x:f t="shared" si="15"/>
        <x:v>0</x:v>
      </x:c>
      <x:c r="M474" s="222">
        <x:f t="shared" si="15"/>
        <x:v>0</x:v>
      </x:c>
      <x:c r="N474" s="222">
        <x:f t="shared" si="15"/>
        <x:v>0</x:v>
      </x:c>
      <x:c r="O474" s="222">
        <x:f t="shared" si="15"/>
        <x:v>0</x:v>
      </x:c>
      <x:c r="P474" s="222">
        <x:f t="shared" si="15"/>
        <x:v>0</x:v>
      </x:c>
      <x:c r="Q474" s="222">
        <x:f t="shared" si="15"/>
        <x:v>0</x:v>
      </x:c>
      <x:c r="R474" s="222">
        <x:f t="shared" si="15"/>
        <x:v>0</x:v>
      </x:c>
    </x:row>
    <x:row r="475" spans="1:18" ht="12.75" customHeight="1" x14ac:dyDescent="0.3">
      <x:c r="B475" s="777"/>
      <x:c r="C475" s="775"/>
      <x:c r="D475" s="221" t="s">
        <x:v>73</x:v>
      </x:c>
      <x:c r="E475" s="222">
        <x:f>E429</x:f>
        <x:v>0</x:v>
      </x:c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</x:row>
    <x:row r="476" spans="1:18" ht="12.75" customHeight="1" x14ac:dyDescent="0.3">
      <x:c r="A476" s="89"/>
      <x:c r="B476" s="97"/>
      <x:c r="E476" s="90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</x:row>
    <x:row r="477" spans="1:18" ht="12.75" customHeight="1" x14ac:dyDescent="0.3">
      <x:c r="B477" s="778" t="s">
        <x:v>326</x:v>
      </x:c>
      <x:c r="C477" s="775" t="s">
        <x:v>132</x:v>
      </x:c>
      <x:c r="D477" s="373" t="s">
        <x:v>70</x:v>
      </x:c>
      <x:c r="E477" s="374">
        <x:f>E432+E415-K415</x:f>
        <x:v>0</x:v>
      </x:c>
      <x:c r="F477" s="374">
        <x:f>F415</x:f>
        <x:v>0</x:v>
      </x:c>
      <x:c r="G477" s="374">
        <x:f t="shared" ref="G477:R477" si="16">G415</x:f>
        <x:v>0</x:v>
      </x:c>
      <x:c r="H477" s="374">
        <x:f t="shared" si="16"/>
        <x:v>0</x:v>
      </x:c>
      <x:c r="I477" s="374">
        <x:f t="shared" si="16"/>
        <x:v>0</x:v>
      </x:c>
      <x:c r="J477" s="374">
        <x:f t="shared" si="16"/>
        <x:v>0</x:v>
      </x:c>
      <x:c r="K477" s="374">
        <x:f t="shared" si="16"/>
        <x:v>0</x:v>
      </x:c>
      <x:c r="L477" s="374">
        <x:f t="shared" si="16"/>
        <x:v>0</x:v>
      </x:c>
      <x:c r="M477" s="374">
        <x:f t="shared" si="16"/>
        <x:v>0</x:v>
      </x:c>
      <x:c r="N477" s="374">
        <x:f t="shared" si="16"/>
        <x:v>0</x:v>
      </x:c>
      <x:c r="O477" s="374">
        <x:f t="shared" si="16"/>
        <x:v>0</x:v>
      </x:c>
      <x:c r="P477" s="374">
        <x:f t="shared" si="16"/>
        <x:v>0</x:v>
      </x:c>
      <x:c r="Q477" s="374">
        <x:f t="shared" si="16"/>
        <x:v>0</x:v>
      </x:c>
      <x:c r="R477" s="374">
        <x:f t="shared" si="16"/>
        <x:v>0</x:v>
      </x:c>
    </x:row>
    <x:row r="478" spans="1:18" ht="12.75" customHeight="1" x14ac:dyDescent="0.3">
      <x:c r="B478" s="778"/>
      <x:c r="C478" s="775"/>
      <x:c r="D478" s="373" t="s">
        <x:v>73</x:v>
      </x:c>
      <x:c r="E478" s="374">
        <x:f>E432</x:f>
        <x:v>0</x:v>
      </x:c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</x:row>
    <x:row r="479" spans="1:18" ht="12.75" customHeight="1" x14ac:dyDescent="0.3">
      <x:c r="B479" s="719"/>
      <x:c r="C479" s="220"/>
      <x:c r="D479" s="89"/>
      <x:c r="E479" s="90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18" ht="12.75" customHeight="1" x14ac:dyDescent="0.3">
      <x:c r="B480" s="777" t="s">
        <x:v>119</x:v>
      </x:c>
      <x:c r="C480" s="775" t="s">
        <x:v>132</x:v>
      </x:c>
      <x:c r="D480" s="101" t="s">
        <x:v>70</x:v>
      </x:c>
      <x:c r="E480" s="93">
        <x:f>E425+E439-K425</x:f>
        <x:v>0</x:v>
      </x:c>
      <x:c r="F480" s="93">
        <x:f>F425</x:f>
        <x:v>0</x:v>
      </x:c>
      <x:c r="G480" s="93">
        <x:f t="shared" ref="G480:R480" si="17">G425</x:f>
        <x:v>0</x:v>
      </x:c>
      <x:c r="H480" s="93">
        <x:f t="shared" si="17"/>
        <x:v>0</x:v>
      </x:c>
      <x:c r="I480" s="93">
        <x:f t="shared" si="17"/>
        <x:v>0</x:v>
      </x:c>
      <x:c r="J480" s="93">
        <x:f t="shared" si="17"/>
        <x:v>0</x:v>
      </x:c>
      <x:c r="K480" s="93">
        <x:f t="shared" si="17"/>
        <x:v>0</x:v>
      </x:c>
      <x:c r="L480" s="93">
        <x:f t="shared" si="17"/>
        <x:v>0</x:v>
      </x:c>
      <x:c r="M480" s="93">
        <x:f t="shared" si="17"/>
        <x:v>0</x:v>
      </x:c>
      <x:c r="N480" s="93">
        <x:f t="shared" si="17"/>
        <x:v>0</x:v>
      </x:c>
      <x:c r="O480" s="93">
        <x:f t="shared" si="17"/>
        <x:v>0</x:v>
      </x:c>
      <x:c r="P480" s="93">
        <x:f t="shared" si="17"/>
        <x:v>0</x:v>
      </x:c>
      <x:c r="Q480" s="93">
        <x:f t="shared" si="17"/>
        <x:v>0</x:v>
      </x:c>
      <x:c r="R480" s="93">
        <x:f t="shared" si="17"/>
        <x:v>0</x:v>
      </x:c>
    </x:row>
    <x:row r="481" spans="1:18" ht="12.75" customHeight="1" x14ac:dyDescent="0.3">
      <x:c r="B481" s="777"/>
      <x:c r="C481" s="775"/>
      <x:c r="D481" s="101" t="s">
        <x:v>73</x:v>
      </x:c>
      <x:c r="E481" s="93">
        <x:f>E439</x:f>
        <x:v>0</x:v>
      </x:c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</x:row>
    <x:row r="482" spans="1:18" ht="12.75" customHeight="1" x14ac:dyDescent="0.3">
      <x:c r="A482" s="89"/>
      <x:c r="B482" s="97"/>
      <x:c r="E482" s="90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</x:row>
    <x:row r="483" spans="1:18" ht="12.75" customHeight="1" x14ac:dyDescent="0.3">
      <x:c r="B483" s="776" t="s">
        <x:v>161</x:v>
      </x:c>
      <x:c r="C483" s="775" t="s">
        <x:v>132</x:v>
      </x:c>
      <x:c r="D483" s="231" t="s">
        <x:v>70</x:v>
      </x:c>
      <x:c r="E483" s="232">
        <x:v>0</x:v>
      </x:c>
      <x:c r="F483" s="232">
        <x:v>0</x:v>
      </x:c>
      <x:c r="G483" s="232">
        <x:v>0</x:v>
      </x:c>
      <x:c r="H483" s="232">
        <x:v>0</x:v>
      </x:c>
      <x:c r="I483" s="232">
        <x:v>0</x:v>
      </x:c>
      <x:c r="J483" s="232">
        <x:v>0</x:v>
      </x:c>
      <x:c r="K483" s="232">
        <x:v>0</x:v>
      </x:c>
      <x:c r="L483" s="232">
        <x:v>0</x:v>
      </x:c>
      <x:c r="M483" s="232">
        <x:v>0</x:v>
      </x:c>
      <x:c r="N483" s="232">
        <x:v>0</x:v>
      </x:c>
      <x:c r="O483" s="232">
        <x:v>0</x:v>
      </x:c>
      <x:c r="P483" s="232">
        <x:v>0</x:v>
      </x:c>
      <x:c r="Q483" s="232">
        <x:v>0</x:v>
      </x:c>
      <x:c r="R483" s="232">
        <x:v>0</x:v>
      </x:c>
    </x:row>
    <x:row r="484" spans="1:18" ht="12.75" customHeight="1" x14ac:dyDescent="0.3">
      <x:c r="B484" s="776"/>
      <x:c r="C484" s="775"/>
      <x:c r="D484" s="231" t="s">
        <x:v>73</x:v>
      </x:c>
      <x:c r="E484" s="232">
        <x:v>0</x:v>
      </x:c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s="238" customFormat="1" x14ac:dyDescent="0.3"/>
  </x:sheetData>
  <x:mergeCells count="60">
    <x:mergeCell ref="B480:B481"/>
    <x:mergeCell ref="C480:C481"/>
    <x:mergeCell ref="B483:B484"/>
    <x:mergeCell ref="C483:C484"/>
    <x:mergeCell ref="B477:B478"/>
    <x:mergeCell ref="C477:C478"/>
    <x:mergeCell ref="B468:B469"/>
    <x:mergeCell ref="C468:C469"/>
    <x:mergeCell ref="B471:B472"/>
    <x:mergeCell ref="C471:C472"/>
    <x:mergeCell ref="B474:B475"/>
    <x:mergeCell ref="C474:C475"/>
    <x:mergeCell ref="B396:B397"/>
    <x:mergeCell ref="C396:C397"/>
    <x:mergeCell ref="B399:B400"/>
    <x:mergeCell ref="C399:C400"/>
    <x:mergeCell ref="B393:B394"/>
    <x:mergeCell ref="C393:C394"/>
    <x:mergeCell ref="B384:B385"/>
    <x:mergeCell ref="C384:C385"/>
    <x:mergeCell ref="B387:B388"/>
    <x:mergeCell ref="C387:C388"/>
    <x:mergeCell ref="B390:B391"/>
    <x:mergeCell ref="C390:C391"/>
    <x:mergeCell ref="B285:B286"/>
    <x:mergeCell ref="C285:C286"/>
    <x:mergeCell ref="B282:B283"/>
    <x:mergeCell ref="C282:C283"/>
    <x:mergeCell ref="B288:B289"/>
    <x:mergeCell ref="C288:C289"/>
    <x:mergeCell ref="B273:B274"/>
    <x:mergeCell ref="C273:C274"/>
    <x:mergeCell ref="B276:B277"/>
    <x:mergeCell ref="C276:C277"/>
    <x:mergeCell ref="B279:B280"/>
    <x:mergeCell ref="C279:C280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70:B171"/>
    <x:mergeCell ref="C170:C171"/>
    <x:mergeCell ref="B62:B63"/>
    <x:mergeCell ref="C62:C63"/>
    <x:mergeCell ref="B155:B156"/>
    <x:mergeCell ref="C155:C156"/>
    <x:mergeCell ref="B158:B159"/>
    <x:mergeCell ref="C158:C159"/>
    <x:mergeCell ref="B161:B162"/>
    <x:mergeCell ref="C161:C162"/>
    <x:mergeCell ref="B167:B168"/>
    <x:mergeCell ref="C167:C168"/>
    <x:mergeCell ref="B164:B165"/>
    <x:mergeCell ref="C164:C165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3828125" defaultRowHeight="12.45" x14ac:dyDescent="0.3"/>
  <x:cols>
    <x:col min="1" max="1" width="21.15234375" style="616" customWidth="1"/>
    <x:col min="2" max="2" width="19.84375" style="616" bestFit="1" customWidth="1"/>
    <x:col min="3" max="3" width="24.84375" style="616" bestFit="1" customWidth="1"/>
    <x:col min="4" max="4" width="23.15234375" style="616" bestFit="1" customWidth="1"/>
    <x:col min="5" max="5" width="15.84375" style="616" bestFit="1" customWidth="1"/>
    <x:col min="6" max="6" width="15.3828125" style="616" bestFit="1" customWidth="1"/>
    <x:col min="7" max="7" width="15.3828125" style="616" customWidth="1"/>
    <x:col min="8" max="8" width="16.3828125" style="616" bestFit="1" customWidth="1"/>
    <x:col min="9" max="9" width="18" style="616" bestFit="1" customWidth="1"/>
    <x:col min="10" max="10" width="17" style="616" bestFit="1" customWidth="1"/>
    <x:col min="11" max="11" width="15.53515625" style="616" bestFit="1" customWidth="1"/>
    <x:col min="12" max="13" width="15.84375" style="616" bestFit="1" customWidth="1"/>
    <x:col min="14" max="14" width="21.3828125" style="616" bestFit="1" customWidth="1"/>
    <x:col min="15" max="16" width="20.3828125" style="616" bestFit="1" customWidth="1"/>
    <x:col min="17" max="17" width="20" style="616" bestFit="1" customWidth="1"/>
    <x:col min="18" max="16384" width="11.3828125" style="616"/>
  </x:cols>
  <x:sheetData>
    <x:row r="1" spans="1:18" x14ac:dyDescent="0.3">
      <x:c r="B1" s="617" t="s">
        <x:v>74</x:v>
      </x:c>
    </x:row>
    <x:row r="2" spans="1:18" ht="12.75" customHeight="1" x14ac:dyDescent="0.3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5" customHeight="1" x14ac:dyDescent="0.3">
      <x:c r="C3" s="616" t="s">
        <x:v>72</x:v>
      </x:c>
      <x:c r="D3" s="618">
        <x:v>0</x:v>
      </x:c>
      <x:c r="E3" s="618">
        <x:v>0</x:v>
      </x:c>
      <x:c r="F3" s="618">
        <x:v>0</x:v>
      </x:c>
      <x:c r="G3" s="620">
        <x:v>0</x:v>
      </x:c>
      <x:c r="H3" s="618">
        <x:v>0</x:v>
      </x:c>
      <x:c r="I3" s="618">
        <x:v>0</x:v>
      </x:c>
      <x:c r="J3" s="618">
        <x:v>0</x:v>
      </x:c>
      <x:c r="K3" s="618">
        <x:v>0</x:v>
      </x:c>
      <x:c r="L3" s="618">
        <x:v>0</x:v>
      </x:c>
      <x:c r="M3" s="618">
        <x:v>0</x:v>
      </x:c>
      <x:c r="N3" s="618">
        <x:v>0</x:v>
      </x:c>
      <x:c r="O3" s="618">
        <x:v>0</x:v>
      </x:c>
      <x:c r="P3" s="618">
        <x:v>0</x:v>
      </x:c>
      <x:c r="Q3" s="618">
        <x:v>0</x:v>
      </x:c>
      <x:c r="R3" s="616">
        <x:v>0</x:v>
      </x:c>
    </x:row>
    <x:row r="4" spans="1:18" ht="12.65" customHeight="1" x14ac:dyDescent="0.3">
      <x:c r="C4" s="616" t="s">
        <x:v>81</x:v>
      </x:c>
      <x:c r="D4" s="618">
        <x:v>0</x:v>
      </x:c>
      <x:c r="E4" s="618">
        <x:v>0</x:v>
      </x:c>
      <x:c r="F4" s="618">
        <x:v>0</x:v>
      </x:c>
      <x:c r="G4" s="620">
        <x:v>0</x:v>
      </x:c>
      <x:c r="H4" s="618">
        <x:v>0</x:v>
      </x:c>
      <x:c r="I4" s="618">
        <x:v>0</x:v>
      </x:c>
      <x:c r="J4" s="618">
        <x:v>0</x:v>
      </x:c>
      <x:c r="K4" s="618">
        <x:v>0</x:v>
      </x:c>
      <x:c r="L4" s="618">
        <x:v>0</x:v>
      </x:c>
      <x:c r="M4" s="618">
        <x:v>0</x:v>
      </x:c>
      <x:c r="N4" s="618">
        <x:v>0</x:v>
      </x:c>
      <x:c r="O4" s="618">
        <x:v>0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3">
      <x:c r="B5" s="622" t="s">
        <x:v>78</x:v>
      </x:c>
      <x:c r="C5" s="622" t="s">
        <x:v>70</x:v>
      </x:c>
      <x:c r="D5" s="622">
        <x:v>0</x:v>
      </x:c>
      <x:c r="E5" s="622">
        <x:v>0</x:v>
      </x:c>
      <x:c r="F5" s="622">
        <x:v>0</x:v>
      </x:c>
      <x:c r="G5" s="622">
        <x:v>0</x:v>
      </x:c>
      <x:c r="H5" s="622">
        <x:v>0</x:v>
      </x:c>
      <x:c r="I5" s="622">
        <x:v>0</x:v>
      </x:c>
      <x:c r="J5" s="622">
        <x:v>0</x:v>
      </x:c>
      <x:c r="K5" s="622">
        <x:v>0</x:v>
      </x:c>
      <x:c r="L5" s="622">
        <x:v>0</x:v>
      </x:c>
      <x:c r="M5" s="622">
        <x:v>0</x:v>
      </x:c>
      <x:c r="N5" s="622">
        <x:v>0</x:v>
      </x:c>
      <x:c r="O5" s="622">
        <x:v>0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3">
      <x:c r="C6" s="616" t="s">
        <x:v>73</x:v>
      </x:c>
      <x:c r="D6" s="618">
        <x:v>0</x:v>
      </x:c>
      <x:c r="E6" s="618">
        <x:v>0</x:v>
      </x:c>
      <x:c r="F6" s="618">
        <x:v>0</x:v>
      </x:c>
      <x:c r="G6" s="620">
        <x:v>0</x:v>
      </x:c>
      <x:c r="H6" s="618">
        <x:v>0</x:v>
      </x:c>
      <x:c r="I6" s="618">
        <x:v>0</x:v>
      </x:c>
      <x:c r="J6" s="618">
        <x:v>0</x:v>
      </x:c>
      <x:c r="K6" s="618">
        <x:v>0</x:v>
      </x:c>
      <x:c r="L6" s="618">
        <x:v>0</x:v>
      </x:c>
      <x:c r="M6" s="618">
        <x:v>0</x:v>
      </x:c>
      <x:c r="N6" s="618">
        <x:v>0</x:v>
      </x:c>
      <x:c r="O6" s="618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3">
      <x:c r="B7" s="624" t="s">
        <x:v>79</x:v>
      </x:c>
      <x:c r="C7" s="624" t="s">
        <x:v>70</x:v>
      </x:c>
      <x:c r="D7" s="624">
        <x:v>0</x:v>
      </x:c>
      <x:c r="E7" s="624">
        <x:v>0</x:v>
      </x:c>
      <x:c r="F7" s="624">
        <x:v>0</x:v>
      </x:c>
      <x:c r="G7" s="624">
        <x:v>0</x:v>
      </x:c>
      <x:c r="H7" s="624">
        <x:v>0</x:v>
      </x:c>
      <x:c r="I7" s="624">
        <x:v>0</x:v>
      </x:c>
      <x:c r="J7" s="624">
        <x:v>0</x:v>
      </x:c>
      <x:c r="K7" s="624">
        <x:v>0</x:v>
      </x:c>
      <x:c r="L7" s="624">
        <x:v>0</x:v>
      </x:c>
      <x:c r="M7" s="624">
        <x:v>0</x:v>
      </x:c>
      <x:c r="N7" s="624">
        <x:v>0</x:v>
      </x:c>
      <x:c r="O7" s="624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3">
      <x:c r="A8" s="625" t="s">
        <x:v>155</x:v>
      </x:c>
      <x:c r="B8" s="625" t="s">
        <x:v>70</x:v>
      </x:c>
      <x:c r="D8" s="626" t="n">
        <x:v>-3698870</x:v>
      </x:c>
      <x:c r="E8" s="626">
        <x:v>0</x:v>
      </x:c>
      <x:c r="F8" s="626">
        <x:v>0</x:v>
      </x:c>
      <x:c r="G8" s="627">
        <x:v>0</x:v>
      </x:c>
      <x:c r="H8" s="626">
        <x:v>0</x:v>
      </x:c>
      <x:c r="I8" s="626">
        <x:v>0</x:v>
      </x:c>
      <x:c r="J8" s="626">
        <x:v>0</x:v>
      </x:c>
      <x:c r="K8" s="626">
        <x:v>0</x:v>
      </x:c>
      <x:c r="L8" s="626">
        <x:v>0</x:v>
      </x:c>
      <x:c r="M8" s="626">
        <x:v>0</x:v>
      </x:c>
      <x:c r="N8" s="626">
        <x:v>0</x:v>
      </x:c>
      <x:c r="O8" s="626">
        <x:v>0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3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5" customHeight="1" x14ac:dyDescent="0.3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3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3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3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3">
      <x:c r="A14" s="628" t="s">
        <x:v>119</x:v>
      </x:c>
      <x:c r="B14" s="628" t="s">
        <x:v>70</x:v>
      </x:c>
      <x:c r="D14" s="628" t="n">
        <x:v>-134910</x:v>
      </x:c>
      <x:c r="E14" s="628">
        <x:v>0</x:v>
      </x:c>
      <x:c r="F14" s="628">
        <x:v>0</x:v>
      </x:c>
      <x:c r="G14" s="628">
        <x:v>0</x:v>
      </x:c>
      <x:c r="H14" s="628">
        <x:v>0</x:v>
      </x:c>
      <x:c r="I14" s="628">
        <x:v>0</x:v>
      </x:c>
      <x:c r="J14" s="628">
        <x:v>0</x:v>
      </x:c>
      <x:c r="K14" s="628">
        <x:v>0</x:v>
      </x:c>
      <x:c r="L14" s="628">
        <x:v>0</x:v>
      </x:c>
      <x:c r="M14" s="628">
        <x:v>0</x:v>
      </x:c>
      <x:c r="N14" s="628">
        <x:v>0</x:v>
      </x:c>
      <x:c r="O14" s="628">
        <x:v>0</x:v>
      </x:c>
      <x:c r="P14" s="628" t="n">
        <x:v>0</x:v>
      </x:c>
      <x:c r="Q14" s="628">
        <x:v>0</x:v>
      </x:c>
      <x:c r="R14" s="628">
        <x:v>0</x:v>
      </x:c>
    </x:row>
    <x:row r="15" spans="1:18" s="631" customFormat="1" ht="12.75" customHeight="1" x14ac:dyDescent="0.3">
      <x:c r="A15" s="630" t="s">
        <x:v>70</x:v>
      </x:c>
      <x:c r="D15" s="630" t="n">
        <x:v>-3833780</x:v>
      </x:c>
      <x:c r="E15" s="630">
        <x:v>0</x:v>
      </x:c>
      <x:c r="F15" s="630">
        <x:v>0</x:v>
      </x:c>
      <x:c r="G15" s="630">
        <x:v>0</x:v>
      </x:c>
      <x:c r="H15" s="630">
        <x:v>0</x:v>
      </x:c>
      <x:c r="I15" s="630">
        <x:v>0</x:v>
      </x:c>
      <x:c r="J15" s="630">
        <x:v>0</x:v>
      </x:c>
      <x:c r="K15" s="630">
        <x:v>0</x:v>
      </x:c>
      <x:c r="L15" s="630">
        <x:v>0</x:v>
      </x:c>
      <x:c r="M15" s="630">
        <x:v>0</x:v>
      </x:c>
      <x:c r="N15" s="630">
        <x:v>0</x:v>
      </x:c>
      <x:c r="O15" s="630">
        <x:v>0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3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3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3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3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3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3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3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3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3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3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3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3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3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3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3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3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3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3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3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3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3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3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3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3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3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3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3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3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3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3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3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3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3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3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3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3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3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3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3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3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3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3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3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3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3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3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3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3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3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3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3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3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3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3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3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3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3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3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3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3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3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3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3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3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3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3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3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3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3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3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3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3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3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3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3"/>
    <x:row r="91" spans="1:18" x14ac:dyDescent="0.3">
      <x:c r="B91" s="617" t="s">
        <x:v>75</x:v>
      </x:c>
    </x:row>
    <x:row r="92" spans="1:18" ht="12.65" customHeight="1" x14ac:dyDescent="0.3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3">
      <x:c r="C93" s="616" t="s">
        <x:v>72</x:v>
      </x:c>
      <x:c r="D93" s="618">
        <x:v>0</x:v>
      </x:c>
      <x:c r="E93" s="618">
        <x:v>0</x:v>
      </x:c>
      <x:c r="F93" s="618">
        <x:v>0</x:v>
      </x:c>
      <x:c r="G93" s="620">
        <x:v>0</x:v>
      </x:c>
      <x:c r="H93" s="618">
        <x:v>0</x:v>
      </x:c>
      <x:c r="I93" s="618">
        <x:v>0</x:v>
      </x:c>
      <x:c r="J93" s="618">
        <x:v>0</x:v>
      </x:c>
      <x:c r="K93" s="618">
        <x:v>0</x:v>
      </x:c>
      <x:c r="L93" s="618">
        <x:v>0</x:v>
      </x:c>
      <x:c r="M93" s="618">
        <x:v>0</x:v>
      </x:c>
      <x:c r="N93" s="618">
        <x:v>0</x:v>
      </x:c>
      <x:c r="O93" s="618">
        <x:v>0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3">
      <x:c r="C94" s="616" t="s">
        <x:v>81</x:v>
      </x:c>
      <x:c r="D94" s="618">
        <x:v>0</x:v>
      </x:c>
      <x:c r="E94" s="618">
        <x:v>0</x:v>
      </x:c>
      <x:c r="F94" s="618">
        <x:v>0</x:v>
      </x:c>
      <x:c r="G94" s="620">
        <x:v>0</x:v>
      </x:c>
      <x:c r="H94" s="618">
        <x:v>0</x:v>
      </x:c>
      <x:c r="I94" s="618">
        <x:v>0</x:v>
      </x:c>
      <x:c r="J94" s="618">
        <x:v>0</x:v>
      </x:c>
      <x:c r="K94" s="618">
        <x:v>0</x:v>
      </x:c>
      <x:c r="L94" s="618">
        <x:v>0</x:v>
      </x:c>
      <x:c r="M94" s="618">
        <x:v>0</x:v>
      </x:c>
      <x:c r="N94" s="618">
        <x:v>0</x:v>
      </x:c>
      <x:c r="O94" s="618">
        <x:v>0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3">
      <x:c r="B95" s="622" t="s">
        <x:v>78</x:v>
      </x:c>
      <x:c r="C95" s="622" t="s">
        <x:v>70</x:v>
      </x:c>
      <x:c r="D95" s="622">
        <x:v>0</x:v>
      </x:c>
      <x:c r="E95" s="622">
        <x:v>0</x:v>
      </x:c>
      <x:c r="F95" s="622">
        <x:v>0</x:v>
      </x:c>
      <x:c r="G95" s="622">
        <x:v>0</x:v>
      </x:c>
      <x:c r="H95" s="622">
        <x:v>0</x:v>
      </x:c>
      <x:c r="I95" s="622">
        <x:v>0</x:v>
      </x:c>
      <x:c r="J95" s="622">
        <x:v>0</x:v>
      </x:c>
      <x:c r="K95" s="622">
        <x:v>0</x:v>
      </x:c>
      <x:c r="L95" s="622">
        <x:v>0</x:v>
      </x:c>
      <x:c r="M95" s="622">
        <x:v>0</x:v>
      </x:c>
      <x:c r="N95" s="622">
        <x:v>0</x:v>
      </x:c>
      <x:c r="O95" s="622">
        <x:v>0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3">
      <x:c r="C96" s="616" t="s">
        <x:v>73</x:v>
      </x:c>
      <x:c r="D96" s="618">
        <x:v>0</x:v>
      </x:c>
      <x:c r="E96" s="618">
        <x:v>0</x:v>
      </x:c>
      <x:c r="F96" s="618">
        <x:v>0</x:v>
      </x:c>
      <x:c r="G96" s="620">
        <x:v>0</x:v>
      </x:c>
      <x:c r="H96" s="618">
        <x:v>0</x:v>
      </x:c>
      <x:c r="I96" s="618">
        <x:v>0</x:v>
      </x:c>
      <x:c r="J96" s="618">
        <x:v>0</x:v>
      </x:c>
      <x:c r="K96" s="618">
        <x:v>0</x:v>
      </x:c>
      <x:c r="L96" s="618">
        <x:v>0</x:v>
      </x:c>
      <x:c r="M96" s="618">
        <x:v>0</x:v>
      </x:c>
      <x:c r="N96" s="618">
        <x:v>0</x:v>
      </x:c>
      <x:c r="O96" s="618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3">
      <x:c r="B97" s="623" t="s">
        <x:v>79</x:v>
      </x:c>
      <x:c r="C97" s="623" t="s">
        <x:v>70</x:v>
      </x:c>
      <x:c r="D97" s="636">
        <x:v>0</x:v>
      </x:c>
      <x:c r="E97" s="624">
        <x:v>0</x:v>
      </x:c>
      <x:c r="F97" s="624">
        <x:v>0</x:v>
      </x:c>
      <x:c r="G97" s="636">
        <x:v>0</x:v>
      </x:c>
      <x:c r="H97" s="624">
        <x:v>0</x:v>
      </x:c>
      <x:c r="I97" s="624">
        <x:v>0</x:v>
      </x:c>
      <x:c r="J97" s="624">
        <x:v>0</x:v>
      </x:c>
      <x:c r="K97" s="624">
        <x:v>0</x:v>
      </x:c>
      <x:c r="L97" s="624">
        <x:v>0</x:v>
      </x:c>
      <x:c r="M97" s="624">
        <x:v>0</x:v>
      </x:c>
      <x:c r="N97" s="624">
        <x:v>0</x:v>
      </x:c>
      <x:c r="O97" s="624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3">
      <x:c r="A98" s="625" t="s">
        <x:v>155</x:v>
      </x:c>
      <x:c r="B98" s="625" t="s">
        <x:v>70</x:v>
      </x:c>
      <x:c r="D98" s="626" t="n">
        <x:v>-20858585.45</x:v>
      </x:c>
      <x:c r="E98" s="626">
        <x:v>0</x:v>
      </x:c>
      <x:c r="F98" s="626">
        <x:v>0</x:v>
      </x:c>
      <x:c r="G98" s="627">
        <x:v>0</x:v>
      </x:c>
      <x:c r="H98" s="626">
        <x:v>0</x:v>
      </x:c>
      <x:c r="I98" s="626">
        <x:v>0</x:v>
      </x:c>
      <x:c r="J98" s="626">
        <x:v>0</x:v>
      </x:c>
      <x:c r="K98" s="626">
        <x:v>0</x:v>
      </x:c>
      <x:c r="L98" s="626">
        <x:v>0</x:v>
      </x:c>
      <x:c r="M98" s="626">
        <x:v>0</x:v>
      </x:c>
      <x:c r="N98" s="626">
        <x:v>0</x:v>
      </x:c>
      <x:c r="O98" s="626">
        <x:v>0</x:v>
      </x:c>
      <x:c r="P98" s="625" t="n">
        <x:v>0</x:v>
      </x:c>
      <x:c r="Q98" s="626">
        <x:v>0</x:v>
      </x:c>
      <x:c r="R98" s="625">
        <x:v>0</x:v>
      </x:c>
    </x:row>
    <x:row r="99" spans="1:18" ht="12.75" customHeight="1" x14ac:dyDescent="0.3">
      <x:c r="C99" s="616" t="s">
        <x:v>72</x:v>
      </x:c>
      <x:c r="D99" s="620">
        <x:v>0</x:v>
      </x:c>
      <x:c r="E99" s="618">
        <x:v>0</x:v>
      </x:c>
      <x:c r="F99" s="618">
        <x:v>0</x:v>
      </x:c>
      <x:c r="G99" s="620">
        <x:v>0</x:v>
      </x:c>
      <x:c r="H99" s="618">
        <x:v>0</x:v>
      </x:c>
      <x:c r="I99" s="618">
        <x:v>0</x:v>
      </x:c>
      <x:c r="J99" s="618">
        <x:v>0</x:v>
      </x:c>
      <x:c r="K99" s="618">
        <x:v>0</x:v>
      </x:c>
      <x:c r="L99" s="618">
        <x:v>0</x:v>
      </x:c>
      <x:c r="M99" s="618">
        <x:v>0</x:v>
      </x:c>
      <x:c r="N99" s="618">
        <x:v>0</x:v>
      </x:c>
      <x:c r="O99" s="618">
        <x:v>0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3">
      <x:c r="C100" s="616" t="s">
        <x:v>81</x:v>
      </x:c>
      <x:c r="D100" s="618">
        <x:v>0</x:v>
      </x:c>
      <x:c r="E100" s="618">
        <x:v>0</x:v>
      </x:c>
      <x:c r="F100" s="618">
        <x:v>0</x:v>
      </x:c>
      <x:c r="G100" s="620">
        <x:v>0</x:v>
      </x:c>
      <x:c r="H100" s="618">
        <x:v>0</x:v>
      </x:c>
      <x:c r="I100" s="618">
        <x:v>0</x:v>
      </x:c>
      <x:c r="J100" s="618">
        <x:v>0</x:v>
      </x:c>
      <x:c r="K100" s="618">
        <x:v>0</x:v>
      </x:c>
      <x:c r="L100" s="618">
        <x:v>0</x:v>
      </x:c>
      <x:c r="M100" s="618">
        <x:v>0</x:v>
      </x:c>
      <x:c r="N100" s="618">
        <x:v>0</x:v>
      </x:c>
      <x:c r="O100" s="618">
        <x:v>0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3">
      <x:c r="B101" s="622" t="s">
        <x:v>78</x:v>
      </x:c>
      <x:c r="C101" s="622" t="s">
        <x:v>70</x:v>
      </x:c>
      <x:c r="D101" s="622">
        <x:v>0</x:v>
      </x:c>
      <x:c r="E101" s="622">
        <x:v>0</x:v>
      </x:c>
      <x:c r="F101" s="622">
        <x:v>0</x:v>
      </x:c>
      <x:c r="G101" s="622">
        <x:v>0</x:v>
      </x:c>
      <x:c r="H101" s="622">
        <x:v>0</x:v>
      </x:c>
      <x:c r="I101" s="622">
        <x:v>0</x:v>
      </x:c>
      <x:c r="J101" s="622">
        <x:v>0</x:v>
      </x:c>
      <x:c r="K101" s="622">
        <x:v>0</x:v>
      </x:c>
      <x:c r="L101" s="622">
        <x:v>0</x:v>
      </x:c>
      <x:c r="M101" s="622">
        <x:v>0</x:v>
      </x:c>
      <x:c r="N101" s="622">
        <x:v>0</x:v>
      </x:c>
      <x:c r="O101" s="622">
        <x:v>0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3">
      <x:c r="C102" s="616" t="s">
        <x:v>73</x:v>
      </x:c>
      <x:c r="D102" s="620">
        <x:v>0</x:v>
      </x:c>
      <x:c r="E102" s="618">
        <x:v>0</x:v>
      </x:c>
      <x:c r="F102" s="618">
        <x:v>0</x:v>
      </x:c>
      <x:c r="G102" s="620">
        <x:v>0</x:v>
      </x:c>
      <x:c r="H102" s="618">
        <x:v>0</x:v>
      </x:c>
      <x:c r="I102" s="618">
        <x:v>0</x:v>
      </x:c>
      <x:c r="J102" s="618">
        <x:v>0</x:v>
      </x:c>
      <x:c r="K102" s="618">
        <x:v>0</x:v>
      </x:c>
      <x:c r="L102" s="618">
        <x:v>0</x:v>
      </x:c>
      <x:c r="M102" s="618">
        <x:v>0</x:v>
      </x:c>
      <x:c r="N102" s="618">
        <x:v>0</x:v>
      </x:c>
      <x:c r="O102" s="618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3">
      <x:c r="B103" s="623" t="s">
        <x:v>79</x:v>
      </x:c>
      <x:c r="C103" s="623" t="s">
        <x:v>70</x:v>
      </x:c>
      <x:c r="D103" s="636">
        <x:v>0</x:v>
      </x:c>
      <x:c r="E103" s="624">
        <x:v>0</x:v>
      </x:c>
      <x:c r="F103" s="624">
        <x:v>0</x:v>
      </x:c>
      <x:c r="G103" s="636">
        <x:v>0</x:v>
      </x:c>
      <x:c r="H103" s="624">
        <x:v>0</x:v>
      </x:c>
      <x:c r="I103" s="624">
        <x:v>0</x:v>
      </x:c>
      <x:c r="J103" s="624">
        <x:v>0</x:v>
      </x:c>
      <x:c r="K103" s="624">
        <x:v>0</x:v>
      </x:c>
      <x:c r="L103" s="624">
        <x:v>0</x:v>
      </x:c>
      <x:c r="M103" s="624">
        <x:v>0</x:v>
      </x:c>
      <x:c r="N103" s="624">
        <x:v>0</x:v>
      </x:c>
      <x:c r="O103" s="624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3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5" customHeight="1" x14ac:dyDescent="0.3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3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3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3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3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3">
      <x:c r="A110" s="628" t="s">
        <x:v>119</x:v>
      </x:c>
      <x:c r="B110" s="628" t="s">
        <x:v>70</x:v>
      </x:c>
      <x:c r="D110" s="628" t="n">
        <x:v>-945063</x:v>
      </x:c>
      <x:c r="E110" s="628">
        <x:v>0</x:v>
      </x:c>
      <x:c r="F110" s="628">
        <x:v>0</x:v>
      </x:c>
      <x:c r="G110" s="628">
        <x:v>0</x:v>
      </x:c>
      <x:c r="H110" s="628">
        <x:v>0</x:v>
      </x:c>
      <x:c r="I110" s="628">
        <x:v>0</x:v>
      </x:c>
      <x:c r="J110" s="628">
        <x:v>0</x:v>
      </x:c>
      <x:c r="K110" s="628">
        <x:v>0</x:v>
      </x:c>
      <x:c r="L110" s="628">
        <x:v>0</x:v>
      </x:c>
      <x:c r="M110" s="628">
        <x:v>0</x:v>
      </x:c>
      <x:c r="N110" s="628">
        <x:v>0</x:v>
      </x:c>
      <x:c r="O110" s="628">
        <x:v>0</x:v>
      </x:c>
      <x:c r="P110" s="628" t="n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3">
      <x:c r="A111" s="630" t="s">
        <x:v>70</x:v>
      </x:c>
      <x:c r="D111" s="630" t="n">
        <x:v>-21803648.45</x:v>
      </x:c>
      <x:c r="E111" s="630">
        <x:v>0</x:v>
      </x:c>
      <x:c r="F111" s="630">
        <x:v>0</x:v>
      </x:c>
      <x:c r="G111" s="630">
        <x:v>0</x:v>
      </x:c>
      <x:c r="H111" s="630">
        <x:v>0</x:v>
      </x:c>
      <x:c r="I111" s="630">
        <x:v>0</x:v>
      </x:c>
      <x:c r="J111" s="630">
        <x:v>0</x:v>
      </x:c>
      <x:c r="K111" s="630">
        <x:v>0</x:v>
      </x:c>
      <x:c r="L111" s="630">
        <x:v>0</x:v>
      </x:c>
      <x:c r="M111" s="630">
        <x:v>0</x:v>
      </x:c>
      <x:c r="N111" s="630">
        <x:v>0</x:v>
      </x:c>
      <x:c r="O111" s="630">
        <x:v>0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3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3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3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3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3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3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3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3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3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3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3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3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3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3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3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3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3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3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3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3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3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3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3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3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3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3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3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3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3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3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3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3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3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3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3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3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3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3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3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3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3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3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3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3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3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3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3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3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3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3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3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3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3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3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3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3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3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3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3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3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3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3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3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3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3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3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3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3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3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3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3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3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3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3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3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3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3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3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3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3"/>
    <x:row r="192" spans="1:18" x14ac:dyDescent="0.3">
      <x:c r="B192" s="617" t="s">
        <x:v>76</x:v>
      </x:c>
    </x:row>
    <x:row r="193" spans="1:18" x14ac:dyDescent="0.3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3">
      <x:c r="B194" s="618"/>
      <x:c r="C194" s="618" t="s">
        <x:v>72</x:v>
      </x:c>
      <x:c r="D194" s="618">
        <x:v>0</x:v>
      </x:c>
      <x:c r="E194" s="618">
        <x:v>0</x:v>
      </x:c>
      <x:c r="F194" s="618">
        <x:v>0</x:v>
      </x:c>
      <x:c r="G194" s="618">
        <x:v>0</x:v>
      </x:c>
      <x:c r="H194" s="618">
        <x:v>0</x:v>
      </x:c>
      <x:c r="I194" s="618">
        <x:v>0</x:v>
      </x:c>
      <x:c r="J194" s="618">
        <x:v>0</x:v>
      </x:c>
      <x:c r="K194" s="618">
        <x:v>0</x:v>
      </x:c>
      <x:c r="L194" s="618">
        <x:v>0</x:v>
      </x:c>
      <x:c r="M194" s="618">
        <x:v>0</x:v>
      </x:c>
      <x:c r="N194" s="618">
        <x:v>0</x:v>
      </x:c>
      <x:c r="O194" s="618">
        <x:v>0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3">
      <x:c r="B195" s="618"/>
      <x:c r="C195" s="618" t="s">
        <x:v>81</x:v>
      </x:c>
      <x:c r="D195" s="618">
        <x:v>0</x:v>
      </x:c>
      <x:c r="E195" s="618">
        <x:v>0</x:v>
      </x:c>
      <x:c r="F195" s="618">
        <x:v>0</x:v>
      </x:c>
      <x:c r="G195" s="618">
        <x:v>0</x:v>
      </x:c>
      <x:c r="H195" s="618">
        <x:v>0</x:v>
      </x:c>
      <x:c r="I195" s="618">
        <x:v>0</x:v>
      </x:c>
      <x:c r="J195" s="618">
        <x:v>0</x:v>
      </x:c>
      <x:c r="K195" s="618">
        <x:v>0</x:v>
      </x:c>
      <x:c r="L195" s="618">
        <x:v>0</x:v>
      </x:c>
      <x:c r="M195" s="618">
        <x:v>0</x:v>
      </x:c>
      <x:c r="N195" s="618">
        <x:v>0</x:v>
      </x:c>
      <x:c r="O195" s="618">
        <x:v>0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3">
      <x:c r="B196" s="622" t="s">
        <x:v>78</x:v>
      </x:c>
      <x:c r="C196" s="622" t="s">
        <x:v>70</x:v>
      </x:c>
      <x:c r="D196" s="622">
        <x:v>0</x:v>
      </x:c>
      <x:c r="E196" s="622">
        <x:v>0</x:v>
      </x:c>
      <x:c r="F196" s="622">
        <x:v>0</x:v>
      </x:c>
      <x:c r="G196" s="622">
        <x:v>0</x:v>
      </x:c>
      <x:c r="H196" s="622">
        <x:v>0</x:v>
      </x:c>
      <x:c r="I196" s="622">
        <x:v>0</x:v>
      </x:c>
      <x:c r="J196" s="622">
        <x:v>0</x:v>
      </x:c>
      <x:c r="K196" s="622">
        <x:v>0</x:v>
      </x:c>
      <x:c r="L196" s="622">
        <x:v>0</x:v>
      </x:c>
      <x:c r="M196" s="622">
        <x:v>0</x:v>
      </x:c>
      <x:c r="N196" s="622">
        <x:v>0</x:v>
      </x:c>
      <x:c r="O196" s="622">
        <x:v>0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3">
      <x:c r="B197" s="618"/>
      <x:c r="C197" s="618" t="s">
        <x:v>73</x:v>
      </x:c>
      <x:c r="D197" s="618">
        <x:v>0</x:v>
      </x:c>
      <x:c r="E197" s="618">
        <x:v>0</x:v>
      </x:c>
      <x:c r="F197" s="618">
        <x:v>0</x:v>
      </x:c>
      <x:c r="G197" s="618">
        <x:v>0</x:v>
      </x:c>
      <x:c r="H197" s="618">
        <x:v>0</x:v>
      </x:c>
      <x:c r="I197" s="618">
        <x:v>0</x:v>
      </x:c>
      <x:c r="J197" s="618">
        <x:v>0</x:v>
      </x:c>
      <x:c r="K197" s="618">
        <x:v>0</x:v>
      </x:c>
      <x:c r="L197" s="618">
        <x:v>0</x:v>
      </x:c>
      <x:c r="M197" s="618">
        <x:v>0</x:v>
      </x:c>
      <x:c r="N197" s="618">
        <x:v>0</x:v>
      </x:c>
      <x:c r="O197" s="618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3">
      <x:c r="B198" s="623" t="s">
        <x:v>79</x:v>
      </x:c>
      <x:c r="C198" s="623" t="s">
        <x:v>70</x:v>
      </x:c>
      <x:c r="D198" s="624">
        <x:v>0</x:v>
      </x:c>
      <x:c r="E198" s="624">
        <x:v>0</x:v>
      </x:c>
      <x:c r="F198" s="624">
        <x:v>0</x:v>
      </x:c>
      <x:c r="G198" s="636">
        <x:v>0</x:v>
      </x:c>
      <x:c r="H198" s="624">
        <x:v>0</x:v>
      </x:c>
      <x:c r="I198" s="624">
        <x:v>0</x:v>
      </x:c>
      <x:c r="J198" s="624">
        <x:v>0</x:v>
      </x:c>
      <x:c r="K198" s="624">
        <x:v>0</x:v>
      </x:c>
      <x:c r="L198" s="624">
        <x:v>0</x:v>
      </x:c>
      <x:c r="M198" s="624">
        <x:v>0</x:v>
      </x:c>
      <x:c r="N198" s="624">
        <x:v>0</x:v>
      </x:c>
      <x:c r="O198" s="624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3">
      <x:c r="A199" s="637" t="s">
        <x:v>155</x:v>
      </x:c>
      <x:c r="B199" s="633" t="s">
        <x:v>70</x:v>
      </x:c>
      <x:c r="C199" s="633"/>
      <x:c r="D199" s="633" t="n">
        <x:v>-2259272</x:v>
      </x:c>
      <x:c r="E199" s="633">
        <x:v>0</x:v>
      </x:c>
      <x:c r="F199" s="633">
        <x:v>0</x:v>
      </x:c>
      <x:c r="G199" s="633">
        <x:v>0</x:v>
      </x:c>
      <x:c r="H199" s="633">
        <x:v>0</x:v>
      </x:c>
      <x:c r="I199" s="633">
        <x:v>0</x:v>
      </x:c>
      <x:c r="J199" s="633">
        <x:v>0</x:v>
      </x:c>
      <x:c r="K199" s="633">
        <x:v>0</x:v>
      </x:c>
      <x:c r="L199" s="633">
        <x:v>0</x:v>
      </x:c>
      <x:c r="M199" s="633">
        <x:v>0</x:v>
      </x:c>
      <x:c r="N199" s="633">
        <x:v>0</x:v>
      </x:c>
      <x:c r="O199" s="633">
        <x:v>0</x:v>
      </x:c>
      <x:c r="P199" s="637" t="n">
        <x:v>0</x:v>
      </x:c>
      <x:c r="Q199" s="633">
        <x:v>0</x:v>
      </x:c>
      <x:c r="R199" s="633">
        <x:v>0</x:v>
      </x:c>
    </x:row>
    <x:row r="200" spans="1:18" ht="12.75" customHeight="1" x14ac:dyDescent="0.3">
      <x:c r="C200" s="616" t="s">
        <x:v>72</x:v>
      </x:c>
      <x:c r="D200" s="618">
        <x:v>0</x:v>
      </x:c>
      <x:c r="E200" s="618">
        <x:v>0</x:v>
      </x:c>
      <x:c r="F200" s="618">
        <x:v>0</x:v>
      </x:c>
      <x:c r="G200" s="620">
        <x:v>0</x:v>
      </x:c>
      <x:c r="H200" s="618">
        <x:v>0</x:v>
      </x:c>
      <x:c r="I200" s="618">
        <x:v>0</x:v>
      </x:c>
      <x:c r="J200" s="618">
        <x:v>0</x:v>
      </x:c>
      <x:c r="K200" s="618">
        <x:v>0</x:v>
      </x:c>
      <x:c r="L200" s="618">
        <x:v>0</x:v>
      </x:c>
      <x:c r="M200" s="618">
        <x:v>0</x:v>
      </x:c>
      <x:c r="N200" s="618">
        <x:v>0</x:v>
      </x:c>
      <x:c r="O200" s="618">
        <x:v>0</x:v>
      </x:c>
      <x:c r="P200" s="618">
        <x:v>0</x:v>
      </x:c>
      <x:c r="Q200" s="618">
        <x:v>0</x:v>
      </x:c>
      <x:c r="R200" s="616">
        <x:v>0</x:v>
      </x:c>
    </x:row>
    <x:row r="201" spans="1:18" ht="12.65" customHeight="1" x14ac:dyDescent="0.3">
      <x:c r="C201" s="616" t="s">
        <x:v>81</x:v>
      </x:c>
      <x:c r="D201" s="618">
        <x:v>0</x:v>
      </x:c>
      <x:c r="E201" s="618">
        <x:v>0</x:v>
      </x:c>
      <x:c r="F201" s="618">
        <x:v>0</x:v>
      </x:c>
      <x:c r="G201" s="620">
        <x:v>0</x:v>
      </x:c>
      <x:c r="H201" s="618">
        <x:v>0</x:v>
      </x:c>
      <x:c r="I201" s="618">
        <x:v>0</x:v>
      </x:c>
      <x:c r="J201" s="618">
        <x:v>0</x:v>
      </x:c>
      <x:c r="K201" s="618">
        <x:v>0</x:v>
      </x:c>
      <x:c r="L201" s="618">
        <x:v>0</x:v>
      </x:c>
      <x:c r="M201" s="618">
        <x:v>0</x:v>
      </x:c>
      <x:c r="N201" s="618">
        <x:v>0</x:v>
      </x:c>
      <x:c r="O201" s="618">
        <x:v>0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3">
      <x:c r="B202" s="622" t="s">
        <x:v>78</x:v>
      </x:c>
      <x:c r="C202" s="622" t="s">
        <x:v>70</x:v>
      </x:c>
      <x:c r="D202" s="622">
        <x:v>0</x:v>
      </x:c>
      <x:c r="E202" s="622">
        <x:v>0</x:v>
      </x:c>
      <x:c r="F202" s="622">
        <x:v>0</x:v>
      </x:c>
      <x:c r="G202" s="622">
        <x:v>0</x:v>
      </x:c>
      <x:c r="H202" s="622">
        <x:v>0</x:v>
      </x:c>
      <x:c r="I202" s="622">
        <x:v>0</x:v>
      </x:c>
      <x:c r="J202" s="622">
        <x:v>0</x:v>
      </x:c>
      <x:c r="K202" s="622">
        <x:v>0</x:v>
      </x:c>
      <x:c r="L202" s="622">
        <x:v>0</x:v>
      </x:c>
      <x:c r="M202" s="622">
        <x:v>0</x:v>
      </x:c>
      <x:c r="N202" s="622">
        <x:v>0</x:v>
      </x:c>
      <x:c r="O202" s="622">
        <x:v>0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3">
      <x:c r="C203" s="616" t="s">
        <x:v>73</x:v>
      </x:c>
      <x:c r="D203" s="618">
        <x:v>0</x:v>
      </x:c>
      <x:c r="E203" s="618">
        <x:v>0</x:v>
      </x:c>
      <x:c r="F203" s="618">
        <x:v>0</x:v>
      </x:c>
      <x:c r="G203" s="620">
        <x:v>0</x:v>
      </x:c>
      <x:c r="H203" s="618">
        <x:v>0</x:v>
      </x:c>
      <x:c r="I203" s="618">
        <x:v>0</x:v>
      </x:c>
      <x:c r="J203" s="618">
        <x:v>0</x:v>
      </x:c>
      <x:c r="K203" s="618">
        <x:v>0</x:v>
      </x:c>
      <x:c r="L203" s="618">
        <x:v>0</x:v>
      </x:c>
      <x:c r="M203" s="618">
        <x:v>0</x:v>
      </x:c>
      <x:c r="N203" s="618">
        <x:v>0</x:v>
      </x:c>
      <x:c r="O203" s="618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3">
      <x:c r="B204" s="624" t="s">
        <x:v>79</x:v>
      </x:c>
      <x:c r="C204" s="624" t="s">
        <x:v>70</x:v>
      </x:c>
      <x:c r="D204" s="624">
        <x:v>0</x:v>
      </x:c>
      <x:c r="E204" s="624">
        <x:v>0</x:v>
      </x:c>
      <x:c r="F204" s="624">
        <x:v>0</x:v>
      </x:c>
      <x:c r="G204" s="624">
        <x:v>0</x:v>
      </x:c>
      <x:c r="H204" s="624">
        <x:v>0</x:v>
      </x:c>
      <x:c r="I204" s="624">
        <x:v>0</x:v>
      </x:c>
      <x:c r="J204" s="624">
        <x:v>0</x:v>
      </x:c>
      <x:c r="K204" s="624">
        <x:v>0</x:v>
      </x:c>
      <x:c r="L204" s="624">
        <x:v>0</x:v>
      </x:c>
      <x:c r="M204" s="624">
        <x:v>0</x:v>
      </x:c>
      <x:c r="N204" s="624">
        <x:v>0</x:v>
      </x:c>
      <x:c r="O204" s="624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3">
      <x:c r="A205" s="628" t="s">
        <x:v>119</x:v>
      </x:c>
      <x:c r="B205" s="628" t="s">
        <x:v>70</x:v>
      </x:c>
      <x:c r="D205" s="628">
        <x:v>0</x:v>
      </x:c>
      <x:c r="E205" s="628">
        <x:v>0</x:v>
      </x:c>
      <x:c r="F205" s="628">
        <x:v>0</x:v>
      </x:c>
      <x:c r="G205" s="628">
        <x:v>0</x:v>
      </x:c>
      <x:c r="H205" s="628">
        <x:v>0</x:v>
      </x:c>
      <x:c r="I205" s="628">
        <x:v>0</x:v>
      </x:c>
      <x:c r="J205" s="628">
        <x:v>0</x:v>
      </x:c>
      <x:c r="K205" s="628">
        <x:v>0</x:v>
      </x:c>
      <x:c r="L205" s="628">
        <x:v>0</x:v>
      </x:c>
      <x:c r="M205" s="628">
        <x:v>0</x:v>
      </x:c>
      <x:c r="N205" s="628">
        <x:v>0</x:v>
      </x:c>
      <x:c r="O205" s="628">
        <x:v>0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3">
      <x:c r="A206" s="630" t="s">
        <x:v>70</x:v>
      </x:c>
      <x:c r="D206" s="630" t="n">
        <x:v>-2259272</x:v>
      </x:c>
      <x:c r="E206" s="630">
        <x:v>0</x:v>
      </x:c>
      <x:c r="F206" s="630">
        <x:v>0</x:v>
      </x:c>
      <x:c r="G206" s="630">
        <x:v>0</x:v>
      </x:c>
      <x:c r="H206" s="630">
        <x:v>0</x:v>
      </x:c>
      <x:c r="I206" s="630">
        <x:v>0</x:v>
      </x:c>
      <x:c r="J206" s="630">
        <x:v>0</x:v>
      </x:c>
      <x:c r="K206" s="630">
        <x:v>0</x:v>
      </x:c>
      <x:c r="L206" s="630">
        <x:v>0</x:v>
      </x:c>
      <x:c r="M206" s="630">
        <x:v>0</x:v>
      </x:c>
      <x:c r="N206" s="630">
        <x:v>0</x:v>
      </x:c>
      <x:c r="O206" s="630">
        <x:v>0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3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3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3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3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3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3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3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3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3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3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3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3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3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3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3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3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3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3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3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3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3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3"/>
    <x:row r="229" spans="1:18" x14ac:dyDescent="0.3">
      <x:c r="B229" s="617" t="s">
        <x:v>88</x:v>
      </x:c>
    </x:row>
    <x:row r="230" spans="1:18" ht="12.75" customHeight="1" x14ac:dyDescent="0.3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3">
      <x:c r="C231" s="616" t="s">
        <x:v>72</x:v>
      </x:c>
      <x:c r="D231" s="620">
        <x:v>0</x:v>
      </x:c>
      <x:c r="E231" s="618">
        <x:v>0</x:v>
      </x:c>
      <x:c r="F231" s="618">
        <x:v>0</x:v>
      </x:c>
      <x:c r="G231" s="620">
        <x:v>0</x:v>
      </x:c>
      <x:c r="H231" s="618">
        <x:v>0</x:v>
      </x:c>
      <x:c r="I231" s="618">
        <x:v>0</x:v>
      </x:c>
      <x:c r="J231" s="618">
        <x:v>0</x:v>
      </x:c>
      <x:c r="K231" s="618">
        <x:v>0</x:v>
      </x:c>
      <x:c r="L231" s="618">
        <x:v>0</x:v>
      </x:c>
      <x:c r="M231" s="618">
        <x:v>0</x:v>
      </x:c>
      <x:c r="N231" s="618">
        <x:v>0</x:v>
      </x:c>
      <x:c r="O231" s="618">
        <x:v>0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3">
      <x:c r="C232" s="616" t="s">
        <x:v>81</x:v>
      </x:c>
      <x:c r="D232" s="620">
        <x:v>0</x:v>
      </x:c>
      <x:c r="E232" s="618">
        <x:v>0</x:v>
      </x:c>
      <x:c r="F232" s="618">
        <x:v>0</x:v>
      </x:c>
      <x:c r="G232" s="620">
        <x:v>0</x:v>
      </x:c>
      <x:c r="H232" s="618">
        <x:v>0</x:v>
      </x:c>
      <x:c r="I232" s="618">
        <x:v>0</x:v>
      </x:c>
      <x:c r="J232" s="618">
        <x:v>0</x:v>
      </x:c>
      <x:c r="K232" s="618">
        <x:v>0</x:v>
      </x:c>
      <x:c r="L232" s="618">
        <x:v>0</x:v>
      </x:c>
      <x:c r="M232" s="618">
        <x:v>0</x:v>
      </x:c>
      <x:c r="N232" s="618">
        <x:v>0</x:v>
      </x:c>
      <x:c r="O232" s="618">
        <x:v>0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3">
      <x:c r="B233" s="622" t="s">
        <x:v>78</x:v>
      </x:c>
      <x:c r="C233" s="622" t="s">
        <x:v>70</x:v>
      </x:c>
      <x:c r="D233" s="622">
        <x:v>0</x:v>
      </x:c>
      <x:c r="E233" s="622">
        <x:v>0</x:v>
      </x:c>
      <x:c r="F233" s="622">
        <x:v>0</x:v>
      </x:c>
      <x:c r="G233" s="622">
        <x:v>0</x:v>
      </x:c>
      <x:c r="H233" s="622">
        <x:v>0</x:v>
      </x:c>
      <x:c r="I233" s="622">
        <x:v>0</x:v>
      </x:c>
      <x:c r="J233" s="622">
        <x:v>0</x:v>
      </x:c>
      <x:c r="K233" s="622">
        <x:v>0</x:v>
      </x:c>
      <x:c r="L233" s="622">
        <x:v>0</x:v>
      </x:c>
      <x:c r="M233" s="622">
        <x:v>0</x:v>
      </x:c>
      <x:c r="N233" s="622">
        <x:v>0</x:v>
      </x:c>
      <x:c r="O233" s="622">
        <x:v>0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3">
      <x:c r="C234" s="616" t="s">
        <x:v>73</x:v>
      </x:c>
      <x:c r="D234" s="620">
        <x:v>0</x:v>
      </x:c>
      <x:c r="E234" s="618">
        <x:v>0</x:v>
      </x:c>
      <x:c r="F234" s="618">
        <x:v>0</x:v>
      </x:c>
      <x:c r="G234" s="620">
        <x:v>0</x:v>
      </x:c>
      <x:c r="H234" s="618">
        <x:v>0</x:v>
      </x:c>
      <x:c r="I234" s="618">
        <x:v>0</x:v>
      </x:c>
      <x:c r="J234" s="618">
        <x:v>0</x:v>
      </x:c>
      <x:c r="K234" s="618">
        <x:v>0</x:v>
      </x:c>
      <x:c r="L234" s="618">
        <x:v>0</x:v>
      </x:c>
      <x:c r="M234" s="618">
        <x:v>0</x:v>
      </x:c>
      <x:c r="N234" s="618">
        <x:v>0</x:v>
      </x:c>
      <x:c r="O234" s="618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3">
      <x:c r="B235" s="624" t="s">
        <x:v>79</x:v>
      </x:c>
      <x:c r="C235" s="624" t="s">
        <x:v>70</x:v>
      </x:c>
      <x:c r="D235" s="624">
        <x:v>0</x:v>
      </x:c>
      <x:c r="E235" s="624">
        <x:v>0</x:v>
      </x:c>
      <x:c r="F235" s="624">
        <x:v>0</x:v>
      </x:c>
      <x:c r="G235" s="624">
        <x:v>0</x:v>
      </x:c>
      <x:c r="H235" s="624">
        <x:v>0</x:v>
      </x:c>
      <x:c r="I235" s="624">
        <x:v>0</x:v>
      </x:c>
      <x:c r="J235" s="624">
        <x:v>0</x:v>
      </x:c>
      <x:c r="K235" s="624">
        <x:v>0</x:v>
      </x:c>
      <x:c r="L235" s="624">
        <x:v>0</x:v>
      </x:c>
      <x:c r="M235" s="624">
        <x:v>0</x:v>
      </x:c>
      <x:c r="N235" s="624">
        <x:v>0</x:v>
      </x:c>
      <x:c r="O235" s="624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3">
      <x:c r="A236" s="755" t="s">
        <x:v>155</x:v>
      </x:c>
      <x:c r="B236" s="755" t="s">
        <x:v>70</x:v>
      </x:c>
      <x:c r="D236" s="756" t="n">
        <x:v>-39633253.4</x:v>
      </x:c>
      <x:c r="E236" s="757">
        <x:v>0</x:v>
      </x:c>
      <x:c r="F236" s="757">
        <x:v>0</x:v>
      </x:c>
      <x:c r="G236" s="756">
        <x:v>0</x:v>
      </x:c>
      <x:c r="H236" s="757">
        <x:v>0</x:v>
      </x:c>
      <x:c r="I236" s="757">
        <x:v>0</x:v>
      </x:c>
      <x:c r="J236" s="757">
        <x:v>0</x:v>
      </x:c>
      <x:c r="K236" s="757">
        <x:v>0</x:v>
      </x:c>
      <x:c r="L236" s="757">
        <x:v>0</x:v>
      </x:c>
      <x:c r="M236" s="757">
        <x:v>0</x:v>
      </x:c>
      <x:c r="N236" s="757">
        <x:v>0</x:v>
      </x:c>
      <x:c r="O236" s="757">
        <x:v>0</x:v>
      </x:c>
      <x:c r="P236" s="757" t="n">
        <x:v>0</x:v>
      </x:c>
      <x:c r="Q236" s="757">
        <x:v>0</x:v>
      </x:c>
      <x:c r="R236" s="755">
        <x:v>0</x:v>
      </x:c>
    </x:row>
    <x:row r="237" spans="1:18" ht="12.75" customHeight="1" x14ac:dyDescent="0.3">
      <x:c r="C237" s="616" t="s">
        <x:v>72</x:v>
      </x:c>
      <x:c r="D237" s="620">
        <x:v>0</x:v>
      </x:c>
      <x:c r="E237" s="618">
        <x:v>0</x:v>
      </x:c>
      <x:c r="F237" s="618">
        <x:v>0</x:v>
      </x:c>
      <x:c r="G237" s="620">
        <x:v>0</x:v>
      </x:c>
      <x:c r="H237" s="618">
        <x:v>0</x:v>
      </x:c>
      <x:c r="I237" s="618">
        <x:v>0</x:v>
      </x:c>
      <x:c r="J237" s="618">
        <x:v>0</x:v>
      </x:c>
      <x:c r="K237" s="618">
        <x:v>0</x:v>
      </x:c>
      <x:c r="L237" s="618">
        <x:v>0</x:v>
      </x:c>
      <x:c r="M237" s="618">
        <x:v>0</x:v>
      </x:c>
      <x:c r="N237" s="618">
        <x:v>0</x:v>
      </x:c>
      <x:c r="O237" s="618">
        <x:v>0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3">
      <x:c r="C238" s="616" t="s">
        <x:v>81</x:v>
      </x:c>
      <x:c r="D238" s="620">
        <x:v>0</x:v>
      </x:c>
      <x:c r="E238" s="618">
        <x:v>0</x:v>
      </x:c>
      <x:c r="F238" s="618">
        <x:v>0</x:v>
      </x:c>
      <x:c r="G238" s="620">
        <x:v>0</x:v>
      </x:c>
      <x:c r="H238" s="618">
        <x:v>0</x:v>
      </x:c>
      <x:c r="I238" s="618">
        <x:v>0</x:v>
      </x:c>
      <x:c r="J238" s="618">
        <x:v>0</x:v>
      </x:c>
      <x:c r="K238" s="618">
        <x:v>0</x:v>
      </x:c>
      <x:c r="L238" s="618">
        <x:v>0</x:v>
      </x:c>
      <x:c r="M238" s="618">
        <x:v>0</x:v>
      </x:c>
      <x:c r="N238" s="618">
        <x:v>0</x:v>
      </x:c>
      <x:c r="O238" s="618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3">
      <x:c r="B239" s="622" t="s">
        <x:v>78</x:v>
      </x:c>
      <x:c r="C239" s="622" t="s">
        <x:v>70</x:v>
      </x:c>
      <x:c r="D239" s="622">
        <x:v>0</x:v>
      </x:c>
      <x:c r="E239" s="622">
        <x:v>0</x:v>
      </x:c>
      <x:c r="F239" s="622">
        <x:v>0</x:v>
      </x:c>
      <x:c r="G239" s="622">
        <x:v>0</x:v>
      </x:c>
      <x:c r="H239" s="622">
        <x:v>0</x:v>
      </x:c>
      <x:c r="I239" s="622">
        <x:v>0</x:v>
      </x:c>
      <x:c r="J239" s="622">
        <x:v>0</x:v>
      </x:c>
      <x:c r="K239" s="622">
        <x:v>0</x:v>
      </x:c>
      <x:c r="L239" s="622">
        <x:v>0</x:v>
      </x:c>
      <x:c r="M239" s="622">
        <x:v>0</x:v>
      </x:c>
      <x:c r="N239" s="622">
        <x:v>0</x:v>
      </x:c>
      <x:c r="O239" s="622">
        <x:v>0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3">
      <x:c r="C240" s="616" t="s">
        <x:v>73</x:v>
      </x:c>
      <x:c r="D240" s="620">
        <x:v>0</x:v>
      </x:c>
      <x:c r="E240" s="618">
        <x:v>0</x:v>
      </x:c>
      <x:c r="F240" s="618">
        <x:v>0</x:v>
      </x:c>
      <x:c r="G240" s="620">
        <x:v>0</x:v>
      </x:c>
      <x:c r="H240" s="618">
        <x:v>0</x:v>
      </x:c>
      <x:c r="I240" s="618">
        <x:v>0</x:v>
      </x:c>
      <x:c r="J240" s="618">
        <x:v>0</x:v>
      </x:c>
      <x:c r="K240" s="618">
        <x:v>0</x:v>
      </x:c>
      <x:c r="L240" s="618">
        <x:v>0</x:v>
      </x:c>
      <x:c r="M240" s="618">
        <x:v>0</x:v>
      </x:c>
      <x:c r="N240" s="618">
        <x:v>0</x:v>
      </x:c>
      <x:c r="O240" s="618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3">
      <x:c r="B241" s="624" t="s">
        <x:v>79</x:v>
      </x:c>
      <x:c r="C241" s="624" t="s">
        <x:v>70</x:v>
      </x:c>
      <x:c r="D241" s="624">
        <x:v>0</x:v>
      </x:c>
      <x:c r="E241" s="624">
        <x:v>0</x:v>
      </x:c>
      <x:c r="F241" s="624">
        <x:v>0</x:v>
      </x:c>
      <x:c r="G241" s="624">
        <x:v>0</x:v>
      </x:c>
      <x:c r="H241" s="624">
        <x:v>0</x:v>
      </x:c>
      <x:c r="I241" s="624">
        <x:v>0</x:v>
      </x:c>
      <x:c r="J241" s="624">
        <x:v>0</x:v>
      </x:c>
      <x:c r="K241" s="624">
        <x:v>0</x:v>
      </x:c>
      <x:c r="L241" s="624">
        <x:v>0</x:v>
      </x:c>
      <x:c r="M241" s="624">
        <x:v>0</x:v>
      </x:c>
      <x:c r="N241" s="624">
        <x:v>0</x:v>
      </x:c>
      <x:c r="O241" s="624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3">
      <x:c r="A242" s="763" t="s">
        <x:v>120</x:v>
      </x:c>
      <x:c r="B242" s="763" t="s">
        <x:v>70</x:v>
      </x:c>
      <x:c r="D242" s="765" t="n">
        <x:v>-554080</x:v>
      </x:c>
      <x:c r="E242" s="764">
        <x:v>0</x:v>
      </x:c>
      <x:c r="F242" s="764">
        <x:v>0</x:v>
      </x:c>
      <x:c r="G242" s="765">
        <x:v>0</x:v>
      </x:c>
      <x:c r="H242" s="764">
        <x:v>0</x:v>
      </x:c>
      <x:c r="I242" s="764">
        <x:v>0</x:v>
      </x:c>
      <x:c r="J242" s="764">
        <x:v>0</x:v>
      </x:c>
      <x:c r="K242" s="764">
        <x:v>0</x:v>
      </x:c>
      <x:c r="L242" s="764">
        <x:v>0</x:v>
      </x:c>
      <x:c r="M242" s="764">
        <x:v>0</x:v>
      </x:c>
      <x:c r="N242" s="764">
        <x:v>0</x:v>
      </x:c>
      <x:c r="O242" s="764">
        <x:v>0</x:v>
      </x:c>
      <x:c r="P242" s="764" t="n">
        <x:v>0</x:v>
      </x:c>
      <x:c r="Q242" s="764">
        <x:v>0</x:v>
      </x:c>
      <x:c r="R242" s="763">
        <x:v>0</x:v>
      </x:c>
    </x:row>
    <x:row r="243" spans="1:18" ht="12.75" customHeight="1" x14ac:dyDescent="0.3">
      <x:c r="C243" s="616" t="s">
        <x:v>72</x:v>
      </x:c>
      <x:c r="D243" s="620">
        <x:v>0</x:v>
      </x:c>
      <x:c r="E243" s="618">
        <x:v>0</x:v>
      </x:c>
      <x:c r="F243" s="618">
        <x:v>0</x:v>
      </x:c>
      <x:c r="G243" s="620">
        <x:v>0</x:v>
      </x:c>
      <x:c r="H243" s="618">
        <x:v>0</x:v>
      </x:c>
      <x:c r="I243" s="618">
        <x:v>0</x:v>
      </x:c>
      <x:c r="J243" s="618">
        <x:v>0</x:v>
      </x:c>
      <x:c r="K243" s="618">
        <x:v>0</x:v>
      </x:c>
      <x:c r="L243" s="618">
        <x:v>0</x:v>
      </x:c>
      <x:c r="M243" s="618">
        <x:v>0</x:v>
      </x:c>
      <x:c r="N243" s="618">
        <x:v>0</x:v>
      </x:c>
      <x:c r="O243" s="618">
        <x:v>0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3">
      <x:c r="C244" s="616" t="s">
        <x:v>81</x:v>
      </x:c>
      <x:c r="D244" s="620">
        <x:v>0</x:v>
      </x:c>
      <x:c r="E244" s="618">
        <x:v>0</x:v>
      </x:c>
      <x:c r="F244" s="618">
        <x:v>0</x:v>
      </x:c>
      <x:c r="G244" s="620">
        <x:v>0</x:v>
      </x:c>
      <x:c r="H244" s="618">
        <x:v>0</x:v>
      </x:c>
      <x:c r="I244" s="618">
        <x:v>0</x:v>
      </x:c>
      <x:c r="J244" s="618">
        <x:v>0</x:v>
      </x:c>
      <x:c r="K244" s="618">
        <x:v>0</x:v>
      </x:c>
      <x:c r="L244" s="618">
        <x:v>0</x:v>
      </x:c>
      <x:c r="M244" s="618">
        <x:v>0</x:v>
      </x:c>
      <x:c r="N244" s="618">
        <x:v>0</x:v>
      </x:c>
      <x:c r="O244" s="618">
        <x:v>0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3">
      <x:c r="B245" s="622" t="s">
        <x:v>78</x:v>
      </x:c>
      <x:c r="C245" s="622" t="s">
        <x:v>70</x:v>
      </x:c>
      <x:c r="D245" s="622">
        <x:v>0</x:v>
      </x:c>
      <x:c r="E245" s="622">
        <x:v>0</x:v>
      </x:c>
      <x:c r="F245" s="622">
        <x:v>0</x:v>
      </x:c>
      <x:c r="G245" s="622">
        <x:v>0</x:v>
      </x:c>
      <x:c r="H245" s="622">
        <x:v>0</x:v>
      </x:c>
      <x:c r="I245" s="622">
        <x:v>0</x:v>
      </x:c>
      <x:c r="J245" s="622">
        <x:v>0</x:v>
      </x:c>
      <x:c r="K245" s="622">
        <x:v>0</x:v>
      </x:c>
      <x:c r="L245" s="622">
        <x:v>0</x:v>
      </x:c>
      <x:c r="M245" s="622">
        <x:v>0</x:v>
      </x:c>
      <x:c r="N245" s="622">
        <x:v>0</x:v>
      </x:c>
      <x:c r="O245" s="622">
        <x:v>0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3">
      <x:c r="C246" s="616" t="s">
        <x:v>73</x:v>
      </x:c>
      <x:c r="D246" s="618">
        <x:v>0</x:v>
      </x:c>
      <x:c r="E246" s="618">
        <x:v>0</x:v>
      </x:c>
      <x:c r="F246" s="618">
        <x:v>0</x:v>
      </x:c>
      <x:c r="G246" s="620">
        <x:v>0</x:v>
      </x:c>
      <x:c r="H246" s="618">
        <x:v>0</x:v>
      </x:c>
      <x:c r="I246" s="618">
        <x:v>0</x:v>
      </x:c>
      <x:c r="J246" s="618">
        <x:v>0</x:v>
      </x:c>
      <x:c r="K246" s="618">
        <x:v>0</x:v>
      </x:c>
      <x:c r="L246" s="618">
        <x:v>0</x:v>
      </x:c>
      <x:c r="M246" s="618">
        <x:v>0</x:v>
      </x:c>
      <x:c r="N246" s="618">
        <x:v>0</x:v>
      </x:c>
      <x:c r="O246" s="618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3">
      <x:c r="B247" s="624" t="s">
        <x:v>79</x:v>
      </x:c>
      <x:c r="C247" s="624" t="s">
        <x:v>70</x:v>
      </x:c>
      <x:c r="D247" s="624">
        <x:v>0</x:v>
      </x:c>
      <x:c r="E247" s="624">
        <x:v>0</x:v>
      </x:c>
      <x:c r="F247" s="624">
        <x:v>0</x:v>
      </x:c>
      <x:c r="G247" s="624">
        <x:v>0</x:v>
      </x:c>
      <x:c r="H247" s="624">
        <x:v>0</x:v>
      </x:c>
      <x:c r="I247" s="624">
        <x:v>0</x:v>
      </x:c>
      <x:c r="J247" s="624">
        <x:v>0</x:v>
      </x:c>
      <x:c r="K247" s="624">
        <x:v>0</x:v>
      </x:c>
      <x:c r="L247" s="624">
        <x:v>0</x:v>
      </x:c>
      <x:c r="M247" s="624">
        <x:v>0</x:v>
      </x:c>
      <x:c r="N247" s="624">
        <x:v>0</x:v>
      </x:c>
      <x:c r="O247" s="624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3">
      <x:c r="A248" s="754" t="s">
        <x:v>119</x:v>
      </x:c>
      <x:c r="B248" s="628" t="s">
        <x:v>70</x:v>
      </x:c>
      <x:c r="C248" s="628"/>
      <x:c r="D248" s="628" t="n">
        <x:v>-1371252</x:v>
      </x:c>
      <x:c r="E248" s="628">
        <x:v>0</x:v>
      </x:c>
      <x:c r="F248" s="628">
        <x:v>0</x:v>
      </x:c>
      <x:c r="G248" s="628">
        <x:v>0</x:v>
      </x:c>
      <x:c r="H248" s="628">
        <x:v>0</x:v>
      </x:c>
      <x:c r="I248" s="628">
        <x:v>0</x:v>
      </x:c>
      <x:c r="J248" s="628">
        <x:v>0</x:v>
      </x:c>
      <x:c r="K248" s="628">
        <x:v>0</x:v>
      </x:c>
      <x:c r="L248" s="628">
        <x:v>0</x:v>
      </x:c>
      <x:c r="M248" s="628">
        <x:v>0</x:v>
      </x:c>
      <x:c r="N248" s="628">
        <x:v>0</x:v>
      </x:c>
      <x:c r="O248" s="628">
        <x:v>0</x:v>
      </x:c>
      <x:c r="P248" s="754" t="n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3">
      <x:c r="A249" s="630" t="s">
        <x:v>70</x:v>
      </x:c>
      <x:c r="D249" s="630" t="n">
        <x:v>-41558585.4</x:v>
      </x:c>
      <x:c r="E249" s="630">
        <x:v>0</x:v>
      </x:c>
      <x:c r="F249" s="630">
        <x:v>0</x:v>
      </x:c>
      <x:c r="G249" s="630">
        <x:v>0</x:v>
      </x:c>
      <x:c r="H249" s="630">
        <x:v>0</x:v>
      </x:c>
      <x:c r="I249" s="630">
        <x:v>0</x:v>
      </x:c>
      <x:c r="J249" s="630">
        <x:v>0</x:v>
      </x:c>
      <x:c r="K249" s="630">
        <x:v>0</x:v>
      </x:c>
      <x:c r="L249" s="630">
        <x:v>0</x:v>
      </x:c>
      <x:c r="M249" s="630">
        <x:v>0</x:v>
      </x:c>
      <x:c r="N249" s="630">
        <x:v>0</x:v>
      </x:c>
      <x:c r="O249" s="630">
        <x:v>0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3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3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3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3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3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3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3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3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3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3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3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3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3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3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3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3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3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3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3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3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3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3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3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3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3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3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3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3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3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3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3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3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3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3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3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3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3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3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3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3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3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3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3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3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3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3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3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3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3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3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3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3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3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3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3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3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3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3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3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3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3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3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3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3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3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3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3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3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3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3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3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3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3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3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3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3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3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3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3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3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3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3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3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3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3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3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3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3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3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3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3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3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3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3"/>
    <x:row r="344" spans="1:18" x14ac:dyDescent="0.3">
      <x:c r="B344" s="617" t="s">
        <x:v>93</x:v>
      </x:c>
    </x:row>
    <x:row r="345" spans="1:18" ht="12.75" customHeight="1" x14ac:dyDescent="0.3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3">
      <x:c r="C346" s="618" t="s">
        <x:v>72</x:v>
      </x:c>
      <x:c r="D346" s="618">
        <x:v>0</x:v>
      </x:c>
      <x:c r="E346" s="618">
        <x:v>0</x:v>
      </x:c>
      <x:c r="F346" s="618">
        <x:v>0</x:v>
      </x:c>
      <x:c r="G346" s="618">
        <x:v>0</x:v>
      </x:c>
      <x:c r="H346" s="618">
        <x:v>0</x:v>
      </x:c>
      <x:c r="I346" s="618">
        <x:v>0</x:v>
      </x:c>
      <x:c r="J346" s="618">
        <x:v>0</x:v>
      </x:c>
      <x:c r="K346" s="618">
        <x:v>0</x:v>
      </x:c>
      <x:c r="L346" s="618">
        <x:v>0</x:v>
      </x:c>
      <x:c r="M346" s="618">
        <x:v>0</x:v>
      </x:c>
      <x:c r="N346" s="618">
        <x:v>0</x:v>
      </x:c>
      <x:c r="O346" s="618">
        <x:v>0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3">
      <x:c r="C347" s="618" t="s">
        <x:v>81</x:v>
      </x:c>
      <x:c r="D347" s="618">
        <x:v>0</x:v>
      </x:c>
      <x:c r="E347" s="618">
        <x:v>0</x:v>
      </x:c>
      <x:c r="F347" s="618">
        <x:v>0</x:v>
      </x:c>
      <x:c r="G347" s="618">
        <x:v>0</x:v>
      </x:c>
      <x:c r="H347" s="618">
        <x:v>0</x:v>
      </x:c>
      <x:c r="I347" s="618">
        <x:v>0</x:v>
      </x:c>
      <x:c r="J347" s="618">
        <x:v>0</x:v>
      </x:c>
      <x:c r="K347" s="618">
        <x:v>0</x:v>
      </x:c>
      <x:c r="L347" s="618">
        <x:v>0</x:v>
      </x:c>
      <x:c r="M347" s="618">
        <x:v>0</x:v>
      </x:c>
      <x:c r="N347" s="618">
        <x:v>0</x:v>
      </x:c>
      <x:c r="O347" s="618">
        <x:v>0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3">
      <x:c r="A348" s="622"/>
      <x:c r="B348" s="621" t="s">
        <x:v>78</x:v>
      </x:c>
      <x:c r="C348" s="621" t="s">
        <x:v>70</x:v>
      </x:c>
      <x:c r="D348" s="622">
        <x:v>0</x:v>
      </x:c>
      <x:c r="E348" s="622">
        <x:v>0</x:v>
      </x:c>
      <x:c r="F348" s="622">
        <x:v>0</x:v>
      </x:c>
      <x:c r="G348" s="622">
        <x:v>0</x:v>
      </x:c>
      <x:c r="H348" s="622">
        <x:v>0</x:v>
      </x:c>
      <x:c r="I348" s="622">
        <x:v>0</x:v>
      </x:c>
      <x:c r="J348" s="622">
        <x:v>0</x:v>
      </x:c>
      <x:c r="K348" s="622">
        <x:v>0</x:v>
      </x:c>
      <x:c r="L348" s="622">
        <x:v>0</x:v>
      </x:c>
      <x:c r="M348" s="622">
        <x:v>0</x:v>
      </x:c>
      <x:c r="N348" s="622">
        <x:v>0</x:v>
      </x:c>
      <x:c r="O348" s="622">
        <x:v>0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3">
      <x:c r="C349" s="618" t="s">
        <x:v>73</x:v>
      </x:c>
      <x:c r="D349" s="618">
        <x:v>0</x:v>
      </x:c>
      <x:c r="E349" s="618">
        <x:v>0</x:v>
      </x:c>
      <x:c r="F349" s="618">
        <x:v>0</x:v>
      </x:c>
      <x:c r="G349" s="618">
        <x:v>0</x:v>
      </x:c>
      <x:c r="H349" s="618">
        <x:v>0</x:v>
      </x:c>
      <x:c r="I349" s="618">
        <x:v>0</x:v>
      </x:c>
      <x:c r="J349" s="618">
        <x:v>0</x:v>
      </x:c>
      <x:c r="K349" s="618">
        <x:v>0</x:v>
      </x:c>
      <x:c r="L349" s="618">
        <x:v>0</x:v>
      </x:c>
      <x:c r="M349" s="618">
        <x:v>0</x:v>
      </x:c>
      <x:c r="N349" s="618">
        <x:v>0</x:v>
      </x:c>
      <x:c r="O349" s="618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3">
      <x:c r="A350" s="624"/>
      <x:c r="B350" s="624" t="s">
        <x:v>79</x:v>
      </x:c>
      <x:c r="C350" s="623" t="s">
        <x:v>70</x:v>
      </x:c>
      <x:c r="D350" s="624">
        <x:v>0</x:v>
      </x:c>
      <x:c r="E350" s="624">
        <x:v>0</x:v>
      </x:c>
      <x:c r="F350" s="624">
        <x:v>0</x:v>
      </x:c>
      <x:c r="G350" s="624">
        <x:v>0</x:v>
      </x:c>
      <x:c r="H350" s="624">
        <x:v>0</x:v>
      </x:c>
      <x:c r="I350" s="624">
        <x:v>0</x:v>
      </x:c>
      <x:c r="J350" s="624">
        <x:v>0</x:v>
      </x:c>
      <x:c r="K350" s="624">
        <x:v>0</x:v>
      </x:c>
      <x:c r="L350" s="624">
        <x:v>0</x:v>
      </x:c>
      <x:c r="M350" s="624">
        <x:v>0</x:v>
      </x:c>
      <x:c r="N350" s="624">
        <x:v>0</x:v>
      </x:c>
      <x:c r="O350" s="624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3">
      <x:c r="A351" s="625" t="s">
        <x:v>155</x:v>
      </x:c>
      <x:c r="B351" s="625" t="s">
        <x:v>70</x:v>
      </x:c>
      <x:c r="D351" s="626" t="n">
        <x:v>-3964157</x:v>
      </x:c>
      <x:c r="E351" s="626">
        <x:v>0</x:v>
      </x:c>
      <x:c r="F351" s="626">
        <x:v>0</x:v>
      </x:c>
      <x:c r="G351" s="627">
        <x:v>0</x:v>
      </x:c>
      <x:c r="H351" s="626">
        <x:v>0</x:v>
      </x:c>
      <x:c r="I351" s="626">
        <x:v>0</x:v>
      </x:c>
      <x:c r="J351" s="626">
        <x:v>0</x:v>
      </x:c>
      <x:c r="K351" s="626">
        <x:v>0</x:v>
      </x:c>
      <x:c r="L351" s="626">
        <x:v>0</x:v>
      </x:c>
      <x:c r="M351" s="626">
        <x:v>0</x:v>
      </x:c>
      <x:c r="N351" s="626">
        <x:v>0</x:v>
      </x:c>
      <x:c r="O351" s="626">
        <x:v>0</x:v>
      </x:c>
      <x:c r="P351" s="626" t="n">
        <x:v>0</x:v>
      </x:c>
      <x:c r="Q351" s="626">
        <x:v>0</x:v>
      </x:c>
      <x:c r="R351" s="625">
        <x:v>0</x:v>
      </x:c>
    </x:row>
    <x:row r="352" spans="1:18" ht="12.75" customHeight="1" x14ac:dyDescent="0.3">
      <x:c r="C352" s="616" t="s">
        <x:v>72</x:v>
      </x:c>
      <x:c r="D352" s="618">
        <x:v>0</x:v>
      </x:c>
      <x:c r="E352" s="618">
        <x:v>0</x:v>
      </x:c>
      <x:c r="F352" s="618">
        <x:v>0</x:v>
      </x:c>
      <x:c r="G352" s="620">
        <x:v>0</x:v>
      </x:c>
      <x:c r="H352" s="618">
        <x:v>0</x:v>
      </x:c>
      <x:c r="I352" s="618">
        <x:v>0</x:v>
      </x:c>
      <x:c r="J352" s="618">
        <x:v>0</x:v>
      </x:c>
      <x:c r="K352" s="618">
        <x:v>0</x:v>
      </x:c>
      <x:c r="L352" s="618">
        <x:v>0</x:v>
      </x:c>
      <x:c r="M352" s="618">
        <x:v>0</x:v>
      </x:c>
      <x:c r="N352" s="618">
        <x:v>0</x:v>
      </x:c>
      <x:c r="O352" s="618">
        <x:v>0</x:v>
      </x:c>
      <x:c r="P352" s="618">
        <x:v>0</x:v>
      </x:c>
      <x:c r="Q352" s="618">
        <x:v>0</x:v>
      </x:c>
      <x:c r="R352" s="616">
        <x:v>0</x:v>
      </x:c>
    </x:row>
    <x:row r="353" spans="1:18" ht="12.65" customHeight="1" x14ac:dyDescent="0.3">
      <x:c r="C353" s="616" t="s">
        <x:v>81</x:v>
      </x:c>
      <x:c r="D353" s="618">
        <x:v>0</x:v>
      </x:c>
      <x:c r="E353" s="618">
        <x:v>0</x:v>
      </x:c>
      <x:c r="F353" s="618">
        <x:v>0</x:v>
      </x:c>
      <x:c r="G353" s="620">
        <x:v>0</x:v>
      </x:c>
      <x:c r="H353" s="618">
        <x:v>0</x:v>
      </x:c>
      <x:c r="I353" s="618">
        <x:v>0</x:v>
      </x:c>
      <x:c r="J353" s="618">
        <x:v>0</x:v>
      </x:c>
      <x:c r="K353" s="618">
        <x:v>0</x:v>
      </x:c>
      <x:c r="L353" s="618">
        <x:v>0</x:v>
      </x:c>
      <x:c r="M353" s="618">
        <x:v>0</x:v>
      </x:c>
      <x:c r="N353" s="618">
        <x:v>0</x:v>
      </x:c>
      <x:c r="O353" s="618">
        <x:v>0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3">
      <x:c r="B354" s="622" t="s">
        <x:v>78</x:v>
      </x:c>
      <x:c r="C354" s="622" t="s">
        <x:v>70</x:v>
      </x:c>
      <x:c r="D354" s="622">
        <x:v>0</x:v>
      </x:c>
      <x:c r="E354" s="622">
        <x:v>0</x:v>
      </x:c>
      <x:c r="F354" s="622">
        <x:v>0</x:v>
      </x:c>
      <x:c r="G354" s="622">
        <x:v>0</x:v>
      </x:c>
      <x:c r="H354" s="622">
        <x:v>0</x:v>
      </x:c>
      <x:c r="I354" s="622">
        <x:v>0</x:v>
      </x:c>
      <x:c r="J354" s="622">
        <x:v>0</x:v>
      </x:c>
      <x:c r="K354" s="622">
        <x:v>0</x:v>
      </x:c>
      <x:c r="L354" s="622">
        <x:v>0</x:v>
      </x:c>
      <x:c r="M354" s="622">
        <x:v>0</x:v>
      </x:c>
      <x:c r="N354" s="622">
        <x:v>0</x:v>
      </x:c>
      <x:c r="O354" s="622">
        <x:v>0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3">
      <x:c r="C355" s="616" t="s">
        <x:v>73</x:v>
      </x:c>
      <x:c r="D355" s="618">
        <x:v>0</x:v>
      </x:c>
      <x:c r="E355" s="618">
        <x:v>0</x:v>
      </x:c>
      <x:c r="F355" s="618">
        <x:v>0</x:v>
      </x:c>
      <x:c r="G355" s="620">
        <x:v>0</x:v>
      </x:c>
      <x:c r="H355" s="618">
        <x:v>0</x:v>
      </x:c>
      <x:c r="I355" s="618">
        <x:v>0</x:v>
      </x:c>
      <x:c r="J355" s="618">
        <x:v>0</x:v>
      </x:c>
      <x:c r="K355" s="618">
        <x:v>0</x:v>
      </x:c>
      <x:c r="L355" s="618">
        <x:v>0</x:v>
      </x:c>
      <x:c r="M355" s="618">
        <x:v>0</x:v>
      </x:c>
      <x:c r="N355" s="618">
        <x:v>0</x:v>
      </x:c>
      <x:c r="O355" s="618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3">
      <x:c r="B356" s="624" t="s">
        <x:v>79</x:v>
      </x:c>
      <x:c r="C356" s="624" t="s">
        <x:v>70</x:v>
      </x:c>
      <x:c r="D356" s="624">
        <x:v>0</x:v>
      </x:c>
      <x:c r="E356" s="624">
        <x:v>0</x:v>
      </x:c>
      <x:c r="F356" s="624">
        <x:v>0</x:v>
      </x:c>
      <x:c r="G356" s="624">
        <x:v>0</x:v>
      </x:c>
      <x:c r="H356" s="624">
        <x:v>0</x:v>
      </x:c>
      <x:c r="I356" s="624">
        <x:v>0</x:v>
      </x:c>
      <x:c r="J356" s="624">
        <x:v>0</x:v>
      </x:c>
      <x:c r="K356" s="624">
        <x:v>0</x:v>
      </x:c>
      <x:c r="L356" s="624">
        <x:v>0</x:v>
      </x:c>
      <x:c r="M356" s="624">
        <x:v>0</x:v>
      </x:c>
      <x:c r="N356" s="624">
        <x:v>0</x:v>
      </x:c>
      <x:c r="O356" s="624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3">
      <x:c r="A357" s="628" t="s">
        <x:v>119</x:v>
      </x:c>
      <x:c r="B357" s="628" t="s">
        <x:v>70</x:v>
      </x:c>
      <x:c r="D357" s="628">
        <x:v>0</x:v>
      </x:c>
      <x:c r="E357" s="628">
        <x:v>0</x:v>
      </x:c>
      <x:c r="F357" s="628">
        <x:v>0</x:v>
      </x:c>
      <x:c r="G357" s="628">
        <x:v>0</x:v>
      </x:c>
      <x:c r="H357" s="628">
        <x:v>0</x:v>
      </x:c>
      <x:c r="I357" s="628">
        <x:v>0</x:v>
      </x:c>
      <x:c r="J357" s="628">
        <x:v>0</x:v>
      </x:c>
      <x:c r="K357" s="628">
        <x:v>0</x:v>
      </x:c>
      <x:c r="L357" s="628">
        <x:v>0</x:v>
      </x:c>
      <x:c r="M357" s="628">
        <x:v>0</x:v>
      </x:c>
      <x:c r="N357" s="628">
        <x:v>0</x:v>
      </x:c>
      <x:c r="O357" s="628">
        <x:v>0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3">
      <x:c r="A358" s="630" t="s">
        <x:v>70</x:v>
      </x:c>
      <x:c r="D358" s="630" t="n">
        <x:v>-3964157</x:v>
      </x:c>
      <x:c r="E358" s="630">
        <x:v>0</x:v>
      </x:c>
      <x:c r="F358" s="630">
        <x:v>0</x:v>
      </x:c>
      <x:c r="G358" s="630">
        <x:v>0</x:v>
      </x:c>
      <x:c r="H358" s="630">
        <x:v>0</x:v>
      </x:c>
      <x:c r="I358" s="630">
        <x:v>0</x:v>
      </x:c>
      <x:c r="J358" s="630">
        <x:v>0</x:v>
      </x:c>
      <x:c r="K358" s="630">
        <x:v>0</x:v>
      </x:c>
      <x:c r="L358" s="630">
        <x:v>0</x:v>
      </x:c>
      <x:c r="M358" s="630">
        <x:v>0</x:v>
      </x:c>
      <x:c r="N358" s="630">
        <x:v>0</x:v>
      </x:c>
      <x:c r="O358" s="630">
        <x:v>0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3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3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3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3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3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3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3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3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3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3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3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3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3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3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3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3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3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3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3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3"/>
    <x:row r="381" spans="1:18" x14ac:dyDescent="0.3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3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45" x14ac:dyDescent="0.3"/>
  <x:cols>
    <x:col min="2" max="2" width="24.3828125" bestFit="1" customWidth="1"/>
    <x:col min="3" max="3" width="17" style="144" bestFit="1" customWidth="1"/>
    <x:col min="4" max="4" width="23.15234375" bestFit="1" customWidth="1"/>
    <x:col min="5" max="5" width="15.84375" bestFit="1" customWidth="1"/>
    <x:col min="6" max="6" width="16.15234375" customWidth="1"/>
    <x:col min="7" max="7" width="15.3828125" bestFit="1" customWidth="1"/>
    <x:col min="8" max="8" width="15" bestFit="1" customWidth="1"/>
    <x:col min="9" max="9" width="15.15234375" bestFit="1" customWidth="1"/>
    <x:col min="10" max="10" width="17" bestFit="1" customWidth="1"/>
    <x:col min="11" max="12" width="15.53515625" bestFit="1" customWidth="1"/>
    <x:col min="13" max="13" width="15.15234375" bestFit="1" customWidth="1"/>
    <x:col min="14" max="14" width="17.84375" bestFit="1" customWidth="1"/>
    <x:col min="15" max="15" width="15.53515625" customWidth="1"/>
    <x:col min="16" max="16" width="20.3828125" bestFit="1" customWidth="1"/>
  </x:cols>
  <x:sheetData>
    <x:row r="1" spans="1:16" x14ac:dyDescent="0.3">
      <x:c r="B1" s="97" t="s">
        <x:v>74</x:v>
      </x:c>
    </x:row>
    <x:row r="2" spans="1:16" ht="12.75" customHeight="1" x14ac:dyDescent="0.3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3">
      <x:c r="B3" s="89" t="s">
        <x:v>72</x:v>
      </x:c>
      <x:c r="C3" s="90">
        <x:v>0</x:v>
      </x:c>
      <x:c r="D3" s="90">
        <x:v>0</x:v>
      </x:c>
      <x:c r="E3" s="90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</x:row>
    <x:row r="4" spans="1:16" ht="12.75" customHeight="1" x14ac:dyDescent="0.3">
      <x:c r="B4" t="s">
        <x:v>81</x:v>
      </x:c>
      <x:c r="C4" s="89">
        <x:v>0</x:v>
      </x:c>
      <x:c r="D4" s="89">
        <x:v>0</x:v>
      </x:c>
      <x:c r="E4" s="89">
        <x:v>0</x:v>
      </x:c>
      <x:c r="F4" s="384">
        <x:v>0</x:v>
      </x:c>
      <x:c r="G4" s="89">
        <x:v>0</x:v>
      </x:c>
      <x:c r="H4" s="89">
        <x:v>0</x:v>
      </x:c>
      <x:c r="I4" s="89">
        <x:v>0</x:v>
      </x:c>
      <x:c r="J4" s="89">
        <x:v>0</x:v>
      </x:c>
      <x:c r="K4" s="89">
        <x:v>0</x:v>
      </x:c>
      <x:c r="L4" s="89">
        <x:v>0</x:v>
      </x:c>
      <x:c r="M4" s="89">
        <x:v>0</x:v>
      </x:c>
      <x:c r="N4" s="89">
        <x:v>0</x:v>
      </x:c>
      <x:c r="O4" s="89">
        <x:v>0</x:v>
      </x:c>
    </x:row>
    <x:row r="5" spans="1:16" ht="12.75" customHeight="1" x14ac:dyDescent="0.3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  <x:c r="P5" s="378"/>
    </x:row>
    <x:row r="6" spans="1:16" ht="12.75" customHeight="1" x14ac:dyDescent="0.3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6" ht="12.75" customHeight="1" x14ac:dyDescent="0.3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  <x:c r="P7" s="372"/>
    </x:row>
    <x:row r="8" spans="1:16" ht="12.75" customHeight="1" x14ac:dyDescent="0.3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3"/>
    <x:row r="10" spans="1:16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3">
      <x:c r="B11" s="145" t="s">
        <x:v>73</x:v>
      </x:c>
      <x:c r="C11" s="99">
        <x:f>C7</x:f>
        <x:v>0</x:v>
      </x:c>
      <x:c r="D11" s="150"/>
    </x:row>
    <x:row r="12" spans="1:16" x14ac:dyDescent="0.3">
      <x:c r="D12" s="150"/>
    </x:row>
    <x:row r="13" spans="1:16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3">
      <x:c r="B14" s="97" t="s">
        <x:v>75</x:v>
      </x:c>
    </x:row>
    <x:row r="15" spans="1:16" ht="12.75" customHeight="1" x14ac:dyDescent="0.3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3">
      <x:c r="B16" t="s">
        <x:v>72</x:v>
      </x:c>
      <x:c r="C16" s="89">
        <x:v>0</x:v>
      </x:c>
      <x:c r="D16" s="89">
        <x:v>0</x:v>
      </x:c>
      <x:c r="E16" s="89">
        <x:v>0</x:v>
      </x:c>
      <x:c r="F16" s="384">
        <x:v>0</x:v>
      </x:c>
      <x:c r="G16" s="89">
        <x:v>0</x:v>
      </x:c>
      <x:c r="H16" s="89">
        <x:v>0</x:v>
      </x:c>
      <x:c r="I16" s="89">
        <x:v>0</x:v>
      </x:c>
      <x:c r="J16" s="89">
        <x:v>0</x:v>
      </x:c>
      <x:c r="K16" s="89">
        <x:v>0</x:v>
      </x:c>
      <x:c r="L16" s="89">
        <x:v>0</x:v>
      </x:c>
      <x:c r="M16" s="89">
        <x:v>0</x:v>
      </x:c>
      <x:c r="N16" s="89">
        <x:v>0</x:v>
      </x:c>
      <x:c r="O16" s="89">
        <x:v>0</x:v>
      </x:c>
    </x:row>
    <x:row r="17" spans="1:16" ht="12.75" customHeight="1" x14ac:dyDescent="0.3">
      <x:c r="B17" t="s">
        <x:v>81</x:v>
      </x:c>
      <x:c r="C17" s="89">
        <x:v>0</x:v>
      </x:c>
      <x:c r="D17" s="89">
        <x:v>0</x:v>
      </x:c>
      <x:c r="E17" s="89">
        <x:v>0</x:v>
      </x:c>
      <x:c r="F17" s="384">
        <x:v>0</x:v>
      </x:c>
      <x:c r="G17" s="89">
        <x:v>0</x:v>
      </x:c>
      <x:c r="H17" s="89">
        <x:v>0</x:v>
      </x:c>
      <x:c r="I17" s="89">
        <x:v>0</x:v>
      </x:c>
      <x:c r="J17" s="89">
        <x:v>0</x:v>
      </x:c>
      <x:c r="K17" s="89">
        <x:v>0</x:v>
      </x:c>
      <x:c r="L17" s="89">
        <x:v>0</x:v>
      </x:c>
      <x:c r="M17" s="89">
        <x:v>0</x:v>
      </x:c>
      <x:c r="N17" s="89">
        <x:v>0</x:v>
      </x:c>
      <x:c r="O17" s="89">
        <x:v>0</x:v>
      </x:c>
    </x:row>
    <x:row r="18" spans="1:16" ht="12.75" customHeight="1" x14ac:dyDescent="0.3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7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  <x:c r="P18" s="378"/>
    </x:row>
    <x:row r="19" spans="1:16" ht="12.75" customHeight="1" x14ac:dyDescent="0.3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6" ht="12.75" customHeight="1" x14ac:dyDescent="0.3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4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  <x:c r="P20" s="372"/>
    </x:row>
    <x:row r="21" spans="1:16" ht="12.75" customHeight="1" x14ac:dyDescent="0.3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3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3">
      <x:c r="B24" s="145" t="s">
        <x:v>73</x:v>
      </x:c>
      <x:c r="C24" s="99">
        <x:f>C20</x:f>
        <x:v>0</x:v>
      </x:c>
    </x:row>
    <x:row r="26" spans="1:16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3">
      <x:c r="B27" s="97" t="s">
        <x:v>76</x:v>
      </x:c>
    </x:row>
    <x:row r="28" spans="1:16" ht="12.75" customHeight="1" x14ac:dyDescent="0.3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3">
      <x:c r="B29" s="89" t="s">
        <x:v>72</x:v>
      </x:c>
      <x:c r="C29" s="90">
        <x:v>0</x:v>
      </x:c>
      <x:c r="D29" s="90">
        <x:v>0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</x:row>
    <x:row r="30" spans="1:16" ht="12.75" customHeight="1" x14ac:dyDescent="0.3">
      <x:c r="B30" t="s">
        <x:v>81</x:v>
      </x:c>
      <x:c r="C30" s="89">
        <x:v>0</x:v>
      </x:c>
      <x:c r="D30" s="89">
        <x:v>0</x:v>
      </x:c>
      <x:c r="E30" s="89">
        <x:v>0</x:v>
      </x:c>
      <x:c r="F30" s="384">
        <x:v>0</x:v>
      </x:c>
      <x:c r="G30" s="89">
        <x:v>0</x:v>
      </x:c>
      <x:c r="H30" s="89">
        <x:v>0</x:v>
      </x:c>
      <x:c r="I30" s="89">
        <x:v>0</x:v>
      </x:c>
      <x:c r="J30" s="89">
        <x:v>0</x:v>
      </x:c>
      <x:c r="K30" s="89">
        <x:v>0</x:v>
      </x:c>
      <x:c r="L30" s="89">
        <x:v>0</x:v>
      </x:c>
      <x:c r="M30" s="89">
        <x:v>0</x:v>
      </x:c>
      <x:c r="N30" s="89">
        <x:v>0</x:v>
      </x:c>
      <x:c r="O30" s="89">
        <x:v>0</x:v>
      </x:c>
    </x:row>
    <x:row r="31" spans="1:16" ht="12.75" customHeight="1" x14ac:dyDescent="0.3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  <x:c r="P31" s="378"/>
    </x:row>
    <x:row r="32" spans="1:16" ht="12.75" customHeight="1" x14ac:dyDescent="0.3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6" ht="12.75" customHeight="1" x14ac:dyDescent="0.3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3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3">
      <x:c r="B37" s="145" t="s">
        <x:v>73</x:v>
      </x:c>
      <x:c r="C37" s="99">
        <x:f>C33</x:f>
        <x:v>0</x:v>
      </x:c>
    </x:row>
    <x:row r="39" spans="1:16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3">
      <x:c r="B40" s="97" t="s">
        <x:v>88</x:v>
      </x:c>
    </x:row>
    <x:row r="41" spans="1:16" ht="12.75" customHeight="1" x14ac:dyDescent="0.3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3">
      <x:c r="B42" t="s">
        <x:v>72</x:v>
      </x:c>
      <x:c r="C42" s="89">
        <x:v>0</x:v>
      </x:c>
      <x:c r="D42" s="89">
        <x:v>0</x:v>
      </x:c>
      <x:c r="E42" s="89">
        <x:v>0</x:v>
      </x:c>
      <x:c r="F42" s="384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6" ht="12.75" customHeight="1" x14ac:dyDescent="0.3">
      <x:c r="B43" s="89" t="s">
        <x:v>81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6" ht="12.75" customHeight="1" x14ac:dyDescent="0.3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  <x:c r="P44" s="378"/>
    </x:row>
    <x:row r="45" spans="1:16" ht="12.75" customHeight="1" x14ac:dyDescent="0.3"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6" ht="12.75" customHeight="1" x14ac:dyDescent="0.3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3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3">
      <x:c r="B50" s="145" t="s">
        <x:v>73</x:v>
      </x:c>
      <x:c r="C50" s="99">
        <x:f>C46</x:f>
        <x:v>0</x:v>
      </x:c>
    </x:row>
    <x:row r="52" spans="1:16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3">
      <x:c r="B53" s="97" t="s">
        <x:v>93</x:v>
      </x:c>
    </x:row>
    <x:row r="54" spans="1:16" ht="12.75" customHeight="1" x14ac:dyDescent="0.3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3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3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45" x14ac:dyDescent="0.3"/>
  <x:cols>
    <x:col min="2" max="2" width="24.3828125" bestFit="1" customWidth="1"/>
    <x:col min="3" max="3" width="15.15234375" style="144" bestFit="1" customWidth="1"/>
    <x:col min="4" max="4" width="23.15234375" bestFit="1" customWidth="1"/>
    <x:col min="5" max="5" width="15.84375" bestFit="1" customWidth="1"/>
    <x:col min="6" max="6" width="16.53515625" customWidth="1"/>
    <x:col min="7" max="7" width="15.3828125" bestFit="1" customWidth="1"/>
    <x:col min="8" max="8" width="15" bestFit="1" customWidth="1"/>
    <x:col min="9" max="10" width="15" customWidth="1"/>
    <x:col min="11" max="11" width="15.15234375" bestFit="1" customWidth="1"/>
    <x:col min="12" max="12" width="17" bestFit="1" customWidth="1"/>
    <x:col min="13" max="14" width="15.53515625" bestFit="1" customWidth="1"/>
    <x:col min="15" max="15" width="15.15234375" bestFit="1" customWidth="1"/>
  </x:cols>
  <x:sheetData>
    <x:row r="1" spans="1:15" x14ac:dyDescent="0.3">
      <x:c r="B1" s="97" t="s">
        <x:v>74</x:v>
      </x:c>
    </x:row>
    <x:row r="2" spans="1:15" ht="12.75" customHeight="1" x14ac:dyDescent="0.3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3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3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3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3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3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3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3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3">
      <x:c r="B11" s="145" t="s">
        <x:v>73</x:v>
      </x:c>
      <x:c r="C11" s="99">
        <x:f>C7</x:f>
        <x:v>0</x:v>
      </x:c>
    </x:row>
    <x:row r="13" spans="1:15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3">
      <x:c r="B14" s="97" t="s">
        <x:v>75</x:v>
      </x:c>
    </x:row>
    <x:row r="15" spans="1:15" ht="12.75" customHeight="1" x14ac:dyDescent="0.3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3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3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3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3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3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3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3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3">
      <x:c r="B24" s="145" t="s">
        <x:v>73</x:v>
      </x:c>
      <x:c r="C24" s="99">
        <x:f>C20</x:f>
        <x:v>0</x:v>
      </x:c>
    </x:row>
    <x:row r="26" spans="1:15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3">
      <x:c r="B27" s="97" t="s">
        <x:v>76</x:v>
      </x:c>
    </x:row>
    <x:row r="28" spans="1:15" ht="12.75" customHeight="1" x14ac:dyDescent="0.3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3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3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3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3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3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3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3">
      <x:c r="B37" s="145" t="s">
        <x:v>73</x:v>
      </x:c>
      <x:c r="C37" s="99">
        <x:f>C33</x:f>
        <x:v>0</x:v>
      </x:c>
    </x:row>
    <x:row r="39" spans="1:15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3">
      <x:c r="B40" s="97" t="s">
        <x:v>88</x:v>
      </x:c>
    </x:row>
    <x:row r="41" spans="1:15" ht="12.75" customHeight="1" x14ac:dyDescent="0.3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3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3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3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3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3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3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3">
      <x:c r="B50" s="145" t="s">
        <x:v>73</x:v>
      </x:c>
      <x:c r="C50" s="99">
        <x:f>C46</x:f>
        <x:v>0</x:v>
      </x:c>
    </x:row>
    <x:row r="52" spans="1:15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3">
      <x:c r="B53" s="97" t="s">
        <x:v>93</x:v>
      </x:c>
    </x:row>
    <x:row r="54" spans="1:15" ht="12.75" customHeight="1" x14ac:dyDescent="0.3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3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3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9.15234375" style="1" bestFit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8" width="16.84375" style="1" customWidth="1"/>
    <x:col min="29" max="30" width="15.84375" style="1" bestFit="1" customWidth="1"/>
    <x:col min="31" max="31" width="16.15234375" style="1" customWidth="1"/>
    <x:col min="32" max="32" width="18.15234375" style="1" customWidth="1"/>
    <x:col min="33" max="33" width="13.84375" style="1" customWidth="1"/>
    <x:col min="34" max="34" width="3.3828125" style="1" customWidth="1"/>
    <x:col min="35" max="35" width="13.84375" style="1" bestFit="1" customWidth="1"/>
    <x:col min="36" max="16384" width="11.3828125" style="1"/>
  </x:cols>
  <x:sheetData>
    <x:row r="1" spans="1:34" ht="12" thickBot="1" x14ac:dyDescent="0.35">
      <x:c r="A1" s="1" t="s">
        <x:v>1</x:v>
      </x:c>
      <x:c r="Q1" s="4"/>
      <x:c r="AH1" s="4"/>
    </x:row>
    <x:row r="2" spans="1:34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2026101</x:v>
      </x:c>
      <x:c r="AD3" s="84"/>
      <x:c r="AE3" s="48"/>
      <x:c r="AF3" s="2"/>
      <x:c r="AH3" s="4"/>
    </x:row>
    <x:row r="4" spans="1:34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45" x14ac:dyDescent="0.4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" thickBot="1" x14ac:dyDescent="0.3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3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3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3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3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" thickBot="1" x14ac:dyDescent="0.3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2.9" thickBot="1" x14ac:dyDescent="0.3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35">
      <x:c r="Q20" s="4"/>
      <x:c r="AH20" s="4"/>
    </x:row>
    <x:row r="21" spans="1:34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2026101</x:v>
      </x:c>
      <x:c r="AD22" s="84"/>
      <x:c r="AE22" s="48"/>
      <x:c r="AF22" s="2"/>
      <x:c r="AH22" s="4"/>
    </x:row>
    <x:row r="23" spans="1:34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45" x14ac:dyDescent="0.4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" thickBot="1" x14ac:dyDescent="0.3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3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3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3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3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" thickBot="1" x14ac:dyDescent="0.3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35">
      <x:c r="Q39" s="4"/>
      <x:c r="AH39" s="4"/>
    </x:row>
    <x:row r="40" spans="1:34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2026101</x:v>
      </x:c>
      <x:c r="AD41" s="84"/>
      <x:c r="AE41" s="48"/>
      <x:c r="AF41" s="2"/>
      <x:c r="AH41" s="4"/>
    </x:row>
    <x:row r="42" spans="1:34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45" x14ac:dyDescent="0.4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" thickBot="1" x14ac:dyDescent="0.3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3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3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3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3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" thickBot="1" x14ac:dyDescent="0.3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2.9" thickBot="1" x14ac:dyDescent="0.3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3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9" x14ac:dyDescent="0.35"/>
  <x:cols>
    <x:col min="1" max="1" width="2.84375" customWidth="1"/>
    <x:col min="2" max="2" width="17.3828125" bestFit="1" customWidth="1"/>
    <x:col min="3" max="3" width="4.84375" style="151" bestFit="1" customWidth="1"/>
    <x:col min="4" max="4" width="42.84375" style="151" bestFit="1" customWidth="1"/>
    <x:col min="5" max="5" width="9" customWidth="1"/>
    <x:col min="6" max="6" width="15.84375" customWidth="1"/>
    <x:col min="7" max="7" width="17.3828125" bestFit="1" customWidth="1"/>
    <x:col min="8" max="8" width="14.15234375" customWidth="1"/>
    <x:col min="9" max="9" width="16.15234375" bestFit="1" customWidth="1"/>
    <x:col min="10" max="10" width="16.84375" customWidth="1"/>
    <x:col min="11" max="11" width="17.53515625" customWidth="1"/>
    <x:col min="12" max="12" width="15.53515625" bestFit="1" customWidth="1"/>
    <x:col min="13" max="13" width="15.84375" bestFit="1" customWidth="1"/>
    <x:col min="14" max="14" width="17" customWidth="1"/>
    <x:col min="15" max="15" width="17.84375" customWidth="1"/>
    <x:col min="16" max="16" width="16.84375" customWidth="1"/>
    <x:col min="17" max="17" width="18" customWidth="1"/>
    <x:col min="18" max="18" width="14.15234375" bestFit="1" customWidth="1"/>
    <x:col min="19" max="19" width="15.84375" bestFit="1" customWidth="1"/>
    <x:col min="20" max="20" width="14.15234375" bestFit="1" customWidth="1"/>
  </x:cols>
  <x:sheetData>
    <x:row r="1" spans="2:19" ht="13.3" thickBot="1" x14ac:dyDescent="0.4"/>
    <x:row r="2" spans="2:19" s="151" customFormat="1" ht="13.3" thickBot="1" x14ac:dyDescent="0.4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15" thickBot="1" x14ac:dyDescent="0.4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5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5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5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5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3" thickBot="1" x14ac:dyDescent="0.4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3" thickBot="1" x14ac:dyDescent="0.4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4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3.3" thickBot="1" x14ac:dyDescent="0.4"/>
    <x:row r="13" spans="2:19" s="151" customFormat="1" ht="13.3" thickBot="1" x14ac:dyDescent="0.4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15" thickBot="1" x14ac:dyDescent="0.4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5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5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5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5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3" thickBot="1" x14ac:dyDescent="0.4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3" thickBot="1" x14ac:dyDescent="0.4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3" thickBot="1" x14ac:dyDescent="0.4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3.3" thickBot="1" x14ac:dyDescent="0.4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4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5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>N26</x:f>
        <x:v>189185988</x:v>
      </x:c>
      <x:c r="S26" t="b">
        <x:f>Q26=R26</x:f>
        <x:v>1</x:v>
      </x:c>
    </x:row>
    <x:row r="27" spans="2:19" x14ac:dyDescent="0.35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5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5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3" thickBot="1" x14ac:dyDescent="0.4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3" thickBot="1" x14ac:dyDescent="0.4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5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5">
      <x:c r="G33" s="601"/>
      <x:c r="H33" s="167"/>
      <x:c r="J33" s="270"/>
      <x:c r="K33" s="270"/>
      <x:c r="Q33" s="212"/>
    </x:row>
    <x:row r="34" spans="7:17" x14ac:dyDescent="0.35">
      <x:c r="G34" s="601"/>
      <x:c r="H34" s="167"/>
      <x:c r="Q34" s="212"/>
    </x:row>
    <x:row r="35" spans="7:17" x14ac:dyDescent="0.35">
      <x:c r="H35" s="167"/>
      <x:c r="K35" s="695"/>
      <x:c r="Q35" s="212"/>
    </x:row>
    <x:row r="36" spans="7:17" x14ac:dyDescent="0.35">
      <x:c r="H36" s="167"/>
      <x:c r="K36" s="695"/>
      <x:c r="Q36" s="212"/>
    </x:row>
    <x:row r="37" spans="7:17" x14ac:dyDescent="0.35">
      <x:c r="H37" s="167"/>
      <x:c r="K37" s="695"/>
      <x:c r="Q37" s="212"/>
    </x:row>
    <x:row r="38" spans="7:17" x14ac:dyDescent="0.35">
      <x:c r="H38" s="167"/>
      <x:c r="K38" s="695"/>
      <x:c r="Q38" s="212"/>
    </x:row>
    <x:row r="39" spans="7:17" x14ac:dyDescent="0.35">
      <x:c r="H39" s="167"/>
      <x:c r="K39" s="695"/>
    </x:row>
    <x:row r="40" spans="7:17" x14ac:dyDescent="0.35">
      <x:c r="H40" s="167"/>
      <x:c r="K40" s="695"/>
    </x:row>
    <x:row r="41" spans="7:17" x14ac:dyDescent="0.35">
      <x:c r="H41" s="167"/>
    </x:row>
    <x:row r="42" spans="7:17" x14ac:dyDescent="0.35">
      <x:c r="H42" s="167"/>
    </x:row>
    <x:row r="43" spans="7:17" x14ac:dyDescent="0.35">
      <x:c r="H43" s="167"/>
    </x:row>
    <x:row r="44" spans="7:17" x14ac:dyDescent="0.35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3828125" defaultRowHeight="11.6" x14ac:dyDescent="0.3"/>
  <x:cols>
    <x:col min="1" max="1" width="3" style="389" customWidth="1"/>
    <x:col min="2" max="2" width="4.3828125" style="389" bestFit="1" customWidth="1"/>
    <x:col min="3" max="3" width="38.15234375" style="389" customWidth="1"/>
    <x:col min="4" max="4" width="15.15234375" style="389" customWidth="1"/>
    <x:col min="5" max="5" width="16" style="389" customWidth="1"/>
    <x:col min="6" max="7" width="14.84375" style="389" customWidth="1"/>
    <x:col min="8" max="9" width="16" style="389" customWidth="1"/>
    <x:col min="10" max="10" width="17.53515625" style="389" customWidth="1"/>
    <x:col min="11" max="11" width="3.84375" style="389" customWidth="1"/>
    <x:col min="12" max="12" width="2.84375" style="389" customWidth="1"/>
    <x:col min="13" max="13" width="4.53515625" style="389" customWidth="1"/>
    <x:col min="14" max="14" width="11.15234375" style="389" customWidth="1"/>
    <x:col min="15" max="15" width="37.53515625" style="389" bestFit="1" customWidth="1"/>
    <x:col min="16" max="16" width="19.15234375" style="389" customWidth="1"/>
    <x:col min="17" max="17" width="17.84375" style="389" customWidth="1"/>
    <x:col min="18" max="18" width="16.3828125" style="389" customWidth="1"/>
    <x:col min="19" max="19" width="17.15234375" style="389" customWidth="1"/>
    <x:col min="20" max="20" width="15.84375" style="389" customWidth="1"/>
    <x:col min="21" max="21" width="16.15234375" style="389" customWidth="1"/>
    <x:col min="22" max="22" width="13.15234375" style="391" customWidth="1"/>
    <x:col min="23" max="23" width="13.84375" style="389" customWidth="1"/>
    <x:col min="24" max="24" width="3.3828125" style="389" customWidth="1"/>
    <x:col min="25" max="25" width="13.84375" style="389" bestFit="1" customWidth="1"/>
    <x:col min="26" max="27" width="11.3828125" style="389"/>
    <x:col min="28" max="28" width="15.84375" style="389" bestFit="1" customWidth="1"/>
    <x:col min="29" max="16384" width="11.3828125" style="389"/>
  </x:cols>
  <x:sheetData>
    <x:row r="1" spans="2:28" x14ac:dyDescent="0.3">
      <x:c r="L1" s="390"/>
      <x:c r="X1" s="390"/>
    </x:row>
    <x:row r="2" spans="2:28" x14ac:dyDescent="0.3">
      <x:c r="L2" s="390"/>
      <x:c r="X2" s="390"/>
    </x:row>
    <x:row r="3" spans="2:28" ht="12" thickBot="1" x14ac:dyDescent="0.35">
      <x:c r="L3" s="390"/>
      <x:c r="X3" s="390"/>
    </x:row>
    <x:row r="4" spans="2:28" x14ac:dyDescent="0.3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45" x14ac:dyDescent="0.4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45" x14ac:dyDescent="0.4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45" x14ac:dyDescent="0.4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45" x14ac:dyDescent="0.4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45" x14ac:dyDescent="0.4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.45" thickBot="1" x14ac:dyDescent="0.6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69.900000000000006" thickBot="1" x14ac:dyDescent="0.3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3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3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3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3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" thickBot="1" x14ac:dyDescent="0.35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" thickBot="1" x14ac:dyDescent="0.3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" thickBot="1" x14ac:dyDescent="0.3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" thickBot="1" x14ac:dyDescent="0.3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" thickBot="1" x14ac:dyDescent="0.3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3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3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3">
      <x:c r="D24" s="456">
        <x:v>-1</x:v>
      </x:c>
      <x:c r="P24" s="456">
        <x:v>-1</x:v>
      </x:c>
    </x:row>
    <x:row r="25" spans="1:28" ht="15.45" x14ac:dyDescent="0.4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94" zoomScaleNormal="100" workbookViewId="0">
      <x:selection activeCell="E111" sqref="E1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7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20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4.84375" style="271" bestFit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38" width="11.3828125" style="1"/>
    <x:col min="39" max="39" width="15.84375" style="1" bestFit="1" customWidth="1"/>
    <x:col min="40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7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45" x14ac:dyDescent="0.4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" thickBot="1" x14ac:dyDescent="0.3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46296</x:v>
      </x:c>
      <x:c r="J7" s="2" t="s">
        <x:v>28</x:v>
      </x:c>
      <x:c r="K7" s="9" t="n">
        <x:v>46310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3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INTERVENTORIA!N26</x:f>
        <x:v>189185987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INTERVENTORIA!N27</x:f>
        <x:v>266580255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INTERVENTORIA!N28</x:f>
        <x:v>154788535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INTERVENTORIA!N29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INTERVENTORIA!N30</x:f>
        <x:v>128990445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7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R2'!E155</x:f>
        <x:v>0</x:v>
      </x:c>
      <x:c r="E29" s="292">
        <x:f>'Rem. Anticipos R2'!F155</x:f>
        <x:v>0</x:v>
      </x:c>
      <x:c r="F29" s="292">
        <x:f>'Rem. Anticipos R2'!G155</x:f>
        <x:v>0</x:v>
      </x:c>
      <x:c r="G29" s="292">
        <x:f>'Rem. Anticipos R2'!H155</x:f>
        <x:v>0</x:v>
      </x:c>
      <x:c r="H29" s="292">
        <x:f>'Rem. Anticipos R2'!I155</x:f>
        <x:v>0</x:v>
      </x:c>
      <x:c r="I29" s="292">
        <x:f>'Rem. Anticipos R2'!J155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R2'!K155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R2'!L155</x:f>
        <x:v>0</x:v>
      </x:c>
      <x:c r="V29" s="317">
        <x:f>'Rem. Anticipos R2'!M155</x:f>
        <x:v>0</x:v>
      </x:c>
      <x:c r="W29" s="317">
        <x:f>'Rem. Anticipos R2'!N155</x:f>
        <x:v>0</x:v>
      </x:c>
      <x:c r="X29" s="317">
        <x:f>'Rem. Anticipos R2'!O155</x:f>
        <x:v>0</x:v>
      </x:c>
      <x:c r="Y29" s="318">
        <x:f>'Rem. Anticipos R2'!P155</x:f>
        <x:v>0</x:v>
      </x:c>
      <x:c r="Z29" s="319">
        <x:f>L29*-1</x:f>
        <x:v>0</x:v>
      </x:c>
      <x:c r="AA29" s="320">
        <x:f>'Rem. Anticipos R2'!Q155</x:f>
        <x:v>0</x:v>
      </x:c>
      <x:c r="AB29" s="294">
        <x:f>N29</x:f>
        <x:v>0</x:v>
      </x:c>
      <x:c r="AC29" s="320">
        <x:f>'Rem. Anticipos R2'!R155</x:f>
        <x:v>0</x:v>
      </x:c>
      <x:c r="AD29" s="291">
        <x:f>-J29+AE29</x:f>
        <x:v>0</x:v>
      </x:c>
      <x:c r="AE29" s="291">
        <x:f>'Rem. Anticipos R2'!E156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R2'!E273</x:f>
        <x:v>0</x:v>
      </x:c>
      <x:c r="E30" s="292">
        <x:f>'Rem. Anticipos R2'!F273</x:f>
        <x:v>0</x:v>
      </x:c>
      <x:c r="F30" s="292">
        <x:f>'Rem. Anticipos R2'!G273</x:f>
        <x:v>0</x:v>
      </x:c>
      <x:c r="G30" s="292">
        <x:f>'Rem. Anticipos R2'!H273</x:f>
        <x:v>0</x:v>
      </x:c>
      <x:c r="H30" s="292">
        <x:f>'Rem. Anticipos R2'!I273</x:f>
        <x:v>0</x:v>
      </x:c>
      <x:c r="I30" s="292">
        <x:f>'Rem. Anticipos R2'!J273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R2'!K273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R2'!L273</x:f>
        <x:v>0</x:v>
      </x:c>
      <x:c r="V30" s="317">
        <x:f>'Rem. Anticipos R2'!M273</x:f>
        <x:v>0</x:v>
      </x:c>
      <x:c r="W30" s="317">
        <x:f>'Rem. Anticipos R2'!N273</x:f>
        <x:v>0</x:v>
      </x:c>
      <x:c r="X30" s="317">
        <x:f>'Rem. Anticipos R2'!O273</x:f>
        <x:v>0</x:v>
      </x:c>
      <x:c r="Y30" s="318">
        <x:f>'Rem. Anticipos R2'!P273</x:f>
        <x:v>0</x:v>
      </x:c>
      <x:c r="Z30" s="319">
        <x:f>L30*-1</x:f>
        <x:v>0</x:v>
      </x:c>
      <x:c r="AA30" s="320">
        <x:f>'Rem. Anticipos R2'!Q273</x:f>
        <x:v>0</x:v>
      </x:c>
      <x:c r="AB30" s="294">
        <x:f>N30</x:f>
        <x:v>0</x:v>
      </x:c>
      <x:c r="AC30" s="320">
        <x:f>'Rem. Anticipos R2'!R273</x:f>
        <x:v>0</x:v>
      </x:c>
      <x:c r="AD30" s="291">
        <x:f t="shared" ref="AD30:AD32" si="9">-J30+AE30</x:f>
        <x:v>0</x:v>
      </x:c>
      <x:c r="AE30" s="291">
        <x:f>'Rem. Anticipos R2'!E274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R2'!E384</x:f>
        <x:v>0</x:v>
      </x:c>
      <x:c r="E31" s="292">
        <x:f>'Rem. Anticipos R2'!F384</x:f>
        <x:v>0</x:v>
      </x:c>
      <x:c r="F31" s="292">
        <x:f>'Rem. Anticipos R2'!G384</x:f>
        <x:v>0</x:v>
      </x:c>
      <x:c r="G31" s="292">
        <x:f>'Rem. Anticipos R2'!H384</x:f>
        <x:v>0</x:v>
      </x:c>
      <x:c r="H31" s="292">
        <x:f>'Rem. Anticipos R2'!I384</x:f>
        <x:v>0</x:v>
      </x:c>
      <x:c r="I31" s="292">
        <x:f>'Rem. Anticipos R2'!J384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R2'!K384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R2'!L384</x:f>
        <x:v>0</x:v>
      </x:c>
      <x:c r="V31" s="317">
        <x:f>'Rem. Anticipos R2'!M384</x:f>
        <x:v>0</x:v>
      </x:c>
      <x:c r="W31" s="317">
        <x:f>'Rem. Anticipos R2'!N384</x:f>
        <x:v>0</x:v>
      </x:c>
      <x:c r="X31" s="317">
        <x:f>'Rem. Anticipos R2'!O384</x:f>
        <x:v>0</x:v>
      </x:c>
      <x:c r="Y31" s="318">
        <x:f>'Rem. Anticipos R2'!P384</x:f>
        <x:v>0</x:v>
      </x:c>
      <x:c r="Z31" s="319">
        <x:f>L31*-1</x:f>
        <x:v>0</x:v>
      </x:c>
      <x:c r="AA31" s="320">
        <x:f>'Rem. Anticipos R2'!Q384</x:f>
        <x:v>0</x:v>
      </x:c>
      <x:c r="AB31" s="294">
        <x:f>N31</x:f>
        <x:v>0</x:v>
      </x:c>
      <x:c r="AC31" s="320">
        <x:f>'Rem. Anticipos R2'!R384</x:f>
        <x:v>0</x:v>
      </x:c>
      <x:c r="AD31" s="291">
        <x:f t="shared" si="9"/>
        <x:v>0</x:v>
      </x:c>
      <x:c r="AE31" s="291">
        <x:f>'Rem. Anticipos R2'!E385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R2'!E468</x:f>
        <x:v>0</x:v>
      </x:c>
      <x:c r="E32" s="297">
        <x:f>'Rem. Anticipos R2'!F468</x:f>
        <x:v>0</x:v>
      </x:c>
      <x:c r="F32" s="297">
        <x:f>'Rem. Anticipos R2'!G468</x:f>
        <x:v>0</x:v>
      </x:c>
      <x:c r="G32" s="297">
        <x:f>'Rem. Anticipos R2'!H468</x:f>
        <x:v>0</x:v>
      </x:c>
      <x:c r="H32" s="297">
        <x:f>'Rem. Anticipos R2'!I468</x:f>
        <x:v>0</x:v>
      </x:c>
      <x:c r="I32" s="297">
        <x:f>'Rem. Anticipos R2'!J468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R2'!K468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R2'!L468</x:f>
        <x:v>0</x:v>
      </x:c>
      <x:c r="V32" s="297">
        <x:f>'Rem. Anticipos R2'!M468</x:f>
        <x:v>0</x:v>
      </x:c>
      <x:c r="W32" s="297">
        <x:f>'Rem. Anticipos R2'!N468</x:f>
        <x:v>0</x:v>
      </x:c>
      <x:c r="X32" s="297">
        <x:f>'Rem. Anticipos R2'!O468</x:f>
        <x:v>0</x:v>
      </x:c>
      <x:c r="Y32" s="289">
        <x:f>'Rem. Anticipos R2'!P468</x:f>
        <x:v>0</x:v>
      </x:c>
      <x:c r="Z32" s="319">
        <x:f>L32*-1</x:f>
        <x:v>0</x:v>
      </x:c>
      <x:c r="AA32" s="320">
        <x:f>'Rem. Anticipos R2'!Q468</x:f>
        <x:v>0</x:v>
      </x:c>
      <x:c r="AB32" s="294">
        <x:f>N32</x:f>
        <x:v>0</x:v>
      </x:c>
      <x:c r="AC32" s="320">
        <x:f>'Rem. Anticipos R2'!R468</x:f>
        <x:v>0</x:v>
      </x:c>
      <x:c r="AD32" s="291">
        <x:f t="shared" si="9"/>
        <x:v>0</x:v>
      </x:c>
      <x:c r="AE32" s="291">
        <x:f>'Rem. Anticipos R2'!E469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7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7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7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35">
      <x:c r="Q96" s="4"/>
      <x:c r="AI96" s="4"/>
    </x:row>
    <x:row r="97" spans="2:39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72"/>
      <x:c r="AI98" s="4"/>
    </x:row>
    <x:row r="99" spans="2:39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4.15" x14ac:dyDescent="0.3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45" x14ac:dyDescent="0.4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3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3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3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3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2.9" thickBot="1" x14ac:dyDescent="0.3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  <x:c r="AA117" s="305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3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" thickBot="1" x14ac:dyDescent="0.3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3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3">
      <x:c r="B132" s="2"/>
      <x:c r="C132" s="2"/>
      <x:c r="D132" s="24"/>
      <x:c r="Q132" s="4"/>
    </x:row>
    <x:row r="133" spans="1:33" x14ac:dyDescent="0.3">
      <x:c r="B133" s="2"/>
      <x:c r="C133" s="2"/>
      <x:c r="D133" s="24"/>
      <x:c r="L133" s="1" t="s">
        <x:v>1</x:v>
      </x:c>
      <x:c r="Q133" s="4"/>
    </x:row>
    <x:row r="134" spans="1:33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3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E152" s="55"/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3">
      <x:c r="D155" s="305"/>
      <x:c r="K155" s="589"/>
      <x:c r="N155" s="24"/>
      <x:c r="O155" s="24"/>
      <x:c r="Q155" s="24"/>
      <x:c r="T155" s="24"/>
    </x:row>
    <x:row r="156" spans="1:20" x14ac:dyDescent="0.3">
      <x:c r="D156" s="588"/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4" width="16.8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6" bestFit="1" customWidth="1"/>
    <x:col min="16" max="16" width="14.3828125" customWidth="1"/>
    <x:col min="17" max="17" width="17.3828125" bestFit="1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 t="n">
        <x:f>'Recaudo EAAB Reciprocidad'!D21+'Recaudo EAAB + Ciud Limp'!D21+'Recaudo Directa Occidente'!D21+'Recaudo ENEL'!D21+'Recaudo ENERBIT'!D21</x:f>
        <x:v>14881810905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3">
      <x:c r="B4" s="314">
        <x:v>2</x:v>
      </x:c>
      <x:c r="C4" s="292" t="n">
        <x:f>'Recaudo EAAB Reciprocidad'!D22+'Recaudo EAAB + Ciud Limp'!D22+'Recaudo Directa Occidente'!D22+'Recaudo ENEL'!D22+'Recaudo ENERBIT'!D22</x:f>
        <x:v>11279865753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3">
      <x:c r="B5" s="314">
        <x:v>3</x:v>
      </x:c>
      <x:c r="C5" s="292" t="n">
        <x:f>'Recaudo EAAB Reciprocidad'!D23+'Recaudo EAAB + Ciud Limp'!D23+'Recaudo Directa Occidente'!D23+'Recaudo ENEL'!D23+'Recaudo ENERBIT'!D23</x:f>
        <x:v>8844067825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3">
      <x:c r="B6" s="314">
        <x:v>4</x:v>
      </x:c>
      <x:c r="C6" s="292" t="n">
        <x:f>'Recaudo EAAB Reciprocidad'!D24+'Recaudo EAAB + Ciud Limp'!D24+'Recaudo Directa Occidente'!D24+'Recaudo ENEL'!D24+'Recaudo ENERBIT'!D24</x:f>
        <x:v>10532093305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3">
      <x:c r="B7" s="314">
        <x:v>5</x:v>
      </x:c>
      <x:c r="C7" s="292" t="n">
        <x:f>'Recaudo EAAB Reciprocidad'!D25+'Recaudo EAAB + Ciud Limp'!D25+'Recaudo Directa Occidente'!D25+'Recaudo ENEL'!D25+'Recaudo ENERBIT'!D25</x:f>
        <x:v>7564541998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2.9" thickBot="1" x14ac:dyDescent="0.35">
      <x:c r="B8" s="341" t="s">
        <x:v>89</x:v>
      </x:c>
      <x:c r="C8" s="356" t="n">
        <x:f>'Recaudo EAAB Reciprocidad'!D26+'Recaudo EAAB + Ciud Limp'!D26+'Recaudo Directa Occidente'!D26+'Recaudo ENEL'!D26+'Recaudo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2.9" thickBot="1" x14ac:dyDescent="0.35">
      <x:c r="B9" s="327"/>
      <x:c r="C9" s="290" t="n">
        <x:f>SUM(C3:C8)</x:f>
        <x:v>53102379786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 t="n">
        <x:f>'Valida - Control Recaudo'!F10</x:f>
        <x:v>53102379786</x:v>
      </x:c>
    </x:row>
    <x:row r="15" spans="2:16" x14ac:dyDescent="0.3">
      <x:c r="C15" s="249" t="b">
        <x:f>C14=C9</x:f>
        <x:v>1</x:v>
      </x:c>
    </x:row>
    <x:row r="16" spans="2:16" x14ac:dyDescent="0.3">
      <x:c r="C16" s="355"/>
    </x:row>
    <x:row r="18" spans="3:18" ht="12.9" thickBot="1" x14ac:dyDescent="0.35">
      <x:c r="D18" s="701" t="s">
        <x:v>269</x:v>
      </x:c>
      <x:c r="E18" s="701"/>
    </x:row>
    <x:row r="19" spans="3:18" ht="35.15" thickBot="1" x14ac:dyDescent="0.3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3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3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3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3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3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3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2.9" thickBot="1" x14ac:dyDescent="0.35">
      <x:c r="D27" s="701" t="s">
        <x:v>270</x:v>
      </x:c>
    </x:row>
    <x:row r="28" spans="3:18" ht="57" customHeight="1" thickBot="1" x14ac:dyDescent="0.3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3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3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3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3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3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3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3">
      <x:c r="K35" s="141"/>
      <x:c r="P35" s="270">
        <x:f>P33-G33</x:f>
        <x:v>0</x:v>
      </x:c>
    </x:row>
    <x:row r="36" spans="4:17" x14ac:dyDescent="0.3">
      <x:c r="F36" s="141"/>
      <x:c r="L36" s="141"/>
      <x:c r="P36" s="141"/>
    </x:row>
    <x:row r="37" spans="4:17" x14ac:dyDescent="0.3">
      <x:c r="E37" s="141"/>
      <x:c r="P37" s="601"/>
    </x:row>
    <x:row r="38" spans="4:17" x14ac:dyDescent="0.3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4.84375" style="1" bestFit="1" customWidth="1"/>
    <x:col min="5" max="5" width="15.3828125" style="1" bestFit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1.15234375" style="1" customWidth="1"/>
    <x:col min="34" max="34" width="12" style="1" bestFit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3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18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R2'!E158</x:f>
        <x:v>0</x:v>
      </x:c>
      <x:c r="E29" s="292">
        <x:f>'Rem. Anticipos R2'!F158</x:f>
        <x:v>0</x:v>
      </x:c>
      <x:c r="F29" s="292">
        <x:f>'Rem. Anticipos R2'!G158</x:f>
        <x:v>0</x:v>
      </x:c>
      <x:c r="G29" s="292">
        <x:f>'Rem. Anticipos R2'!H158</x:f>
        <x:v>0</x:v>
      </x:c>
      <x:c r="H29" s="292">
        <x:f>'Rem. Anticipos R2'!I158</x:f>
        <x:v>0</x:v>
      </x:c>
      <x:c r="I29" s="292">
        <x:f>'Rem. Anticipos R2'!J158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R2'!K158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R2'!L158</x:f>
        <x:v>0</x:v>
      </x:c>
      <x:c r="V29" s="317">
        <x:f>'Rem. Anticipos R2'!M158</x:f>
        <x:v>0</x:v>
      </x:c>
      <x:c r="W29" s="317">
        <x:f>'Rem. Anticipos R2'!N158</x:f>
        <x:v>0</x:v>
      </x:c>
      <x:c r="X29" s="317">
        <x:f>'Rem. Anticipos R2'!O158</x:f>
        <x:v>0</x:v>
      </x:c>
      <x:c r="Y29" s="318">
        <x:f>'Rem. Anticipos R2'!P158</x:f>
        <x:v>0</x:v>
      </x:c>
      <x:c r="Z29" s="319">
        <x:f>L29*-1</x:f>
        <x:v>0</x:v>
      </x:c>
      <x:c r="AA29" s="320">
        <x:f>'Rem. Anticipos R2'!Q158</x:f>
        <x:v>0</x:v>
      </x:c>
      <x:c r="AB29" s="294">
        <x:f>N29</x:f>
        <x:v>0</x:v>
      </x:c>
      <x:c r="AC29" s="320">
        <x:f>'Rem. Anticipos R2'!R158</x:f>
        <x:v>0</x:v>
      </x:c>
      <x:c r="AD29" s="291">
        <x:f>-J29+AE29</x:f>
        <x:v>0</x:v>
      </x:c>
      <x:c r="AE29" s="291">
        <x:f>'Rem. Anticipos R2'!E159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R2'!E276</x:f>
        <x:v>0</x:v>
      </x:c>
      <x:c r="E30" s="292">
        <x:f>'Rem. Anticipos R2'!F276</x:f>
        <x:v>0</x:v>
      </x:c>
      <x:c r="F30" s="292">
        <x:f>'Rem. Anticipos R2'!G276</x:f>
        <x:v>0</x:v>
      </x:c>
      <x:c r="G30" s="292">
        <x:f>'Rem. Anticipos R2'!H276</x:f>
        <x:v>0</x:v>
      </x:c>
      <x:c r="H30" s="292">
        <x:f>'Rem. Anticipos R2'!I276</x:f>
        <x:v>0</x:v>
      </x:c>
      <x:c r="I30" s="292">
        <x:f>'Rem. Anticipos R2'!J276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R2'!K276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R2'!L276</x:f>
        <x:v>0</x:v>
      </x:c>
      <x:c r="V30" s="317">
        <x:f>'Rem. Anticipos R2'!M276</x:f>
        <x:v>0</x:v>
      </x:c>
      <x:c r="W30" s="317">
        <x:f>'Rem. Anticipos R2'!N276</x:f>
        <x:v>0</x:v>
      </x:c>
      <x:c r="X30" s="317">
        <x:f>'Rem. Anticipos R2'!O276</x:f>
        <x:v>0</x:v>
      </x:c>
      <x:c r="Y30" s="318">
        <x:f>'Rem. Anticipos R2'!P276</x:f>
        <x:v>0</x:v>
      </x:c>
      <x:c r="Z30" s="319">
        <x:f>L30*-1</x:f>
        <x:v>0</x:v>
      </x:c>
      <x:c r="AA30" s="320">
        <x:f>'Rem. Anticipos R2'!Q276</x:f>
        <x:v>0</x:v>
      </x:c>
      <x:c r="AB30" s="294">
        <x:f>N30</x:f>
        <x:v>0</x:v>
      </x:c>
      <x:c r="AC30" s="320">
        <x:f>'Rem. Anticipos R2'!R276</x:f>
        <x:v>0</x:v>
      </x:c>
      <x:c r="AD30" s="291">
        <x:f t="shared" ref="AD30:AD32" si="10">-J30+AE30</x:f>
        <x:v>0</x:v>
      </x:c>
      <x:c r="AE30" s="291">
        <x:f>'Rem. Anticipos R2'!E277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R2'!E387</x:f>
        <x:v>0</x:v>
      </x:c>
      <x:c r="E31" s="292">
        <x:f>'Rem. Anticipos R2'!F387</x:f>
        <x:v>0</x:v>
      </x:c>
      <x:c r="F31" s="292">
        <x:f>'Rem. Anticipos R2'!G387</x:f>
        <x:v>0</x:v>
      </x:c>
      <x:c r="G31" s="292">
        <x:f>'Rem. Anticipos R2'!H387</x:f>
        <x:v>0</x:v>
      </x:c>
      <x:c r="H31" s="292">
        <x:f>'Rem. Anticipos R2'!I387</x:f>
        <x:v>0</x:v>
      </x:c>
      <x:c r="I31" s="292">
        <x:f>'Rem. Anticipos R2'!J387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R2'!K387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R2'!L387</x:f>
        <x:v>0</x:v>
      </x:c>
      <x:c r="V31" s="317">
        <x:f>'Rem. Anticipos R2'!M387</x:f>
        <x:v>0</x:v>
      </x:c>
      <x:c r="W31" s="317">
        <x:f>'Rem. Anticipos R2'!N387</x:f>
        <x:v>0</x:v>
      </x:c>
      <x:c r="X31" s="317">
        <x:f>'Rem. Anticipos R2'!O387</x:f>
        <x:v>0</x:v>
      </x:c>
      <x:c r="Y31" s="318">
        <x:f>'Rem. Anticipos R2'!P387</x:f>
        <x:v>0</x:v>
      </x:c>
      <x:c r="Z31" s="319">
        <x:f>L31*-1</x:f>
        <x:v>0</x:v>
      </x:c>
      <x:c r="AA31" s="320">
        <x:f>'Rem. Anticipos R2'!Q387</x:f>
        <x:v>0</x:v>
      </x:c>
      <x:c r="AB31" s="294">
        <x:f>N31</x:f>
        <x:v>0</x:v>
      </x:c>
      <x:c r="AC31" s="320">
        <x:f>'Rem. Anticipos R2'!R387</x:f>
        <x:v>0</x:v>
      </x:c>
      <x:c r="AD31" s="291">
        <x:f t="shared" si="10"/>
        <x:v>0</x:v>
      </x:c>
      <x:c r="AE31" s="291">
        <x:f>'Rem. Anticipos R2'!E388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R2'!E471</x:f>
        <x:v>0</x:v>
      </x:c>
      <x:c r="E32" s="297">
        <x:f>'Rem. Anticipos R2'!F471</x:f>
        <x:v>0</x:v>
      </x:c>
      <x:c r="F32" s="297">
        <x:f>'Rem. Anticipos R2'!G471</x:f>
        <x:v>0</x:v>
      </x:c>
      <x:c r="G32" s="297">
        <x:f>'Rem. Anticipos R2'!H471</x:f>
        <x:v>0</x:v>
      </x:c>
      <x:c r="H32" s="297">
        <x:f>'Rem. Anticipos R2'!I471</x:f>
        <x:v>0</x:v>
      </x:c>
      <x:c r="I32" s="297">
        <x:f>'Rem. Anticipos R2'!J471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R2'!L471</x:f>
        <x:v>0</x:v>
      </x:c>
      <x:c r="V32" s="297">
        <x:f>'Rem. Anticipos R2'!M471</x:f>
        <x:v>0</x:v>
      </x:c>
      <x:c r="W32" s="297">
        <x:f>'Rem. Anticipos R2'!N471</x:f>
        <x:v>0</x:v>
      </x:c>
      <x:c r="X32" s="297">
        <x:f>'Rem. Anticipos R2'!O471</x:f>
        <x:v>0</x:v>
      </x:c>
      <x:c r="Y32" s="289">
        <x:f>'Rem. Anticipos R2'!P471</x:f>
        <x:v>0</x:v>
      </x:c>
      <x:c r="Z32" s="319">
        <x:f>L32*-1</x:f>
        <x:v>0</x:v>
      </x:c>
      <x:c r="AA32" s="320">
        <x:f>'Rem. Anticipos R2'!Q471</x:f>
        <x:v>0</x:v>
      </x:c>
      <x:c r="AB32" s="294">
        <x:f>N32</x:f>
        <x:v>0</x:v>
      </x:c>
      <x:c r="AC32" s="320">
        <x:f>'Rem. Anticipos R2'!R471</x:f>
        <x:v>0</x:v>
      </x:c>
      <x:c r="AD32" s="291">
        <x:f t="shared" si="10"/>
        <x:v>0</x:v>
      </x:c>
      <x:c r="AE32" s="291">
        <x:f>'Rem. Anticipos R2'!E472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3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Q165" s="24"/>
      <x:c r="T165" s="24"/>
    </x:row>
    <x:row r="166" spans="14:20" x14ac:dyDescent="0.3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Reciprocidad'!D21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Reciprocidad'!D22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Reciprocidad'!D24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Reciprocidad'!D26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Recaudo'!D9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9.8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3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thickBot="1" x14ac:dyDescent="0.35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R2'!E161</x:f>
        <x:v>0</x:v>
      </x:c>
      <x:c r="E29" s="292">
        <x:f>'Rem. Anticipos R2'!F161</x:f>
        <x:v>0</x:v>
      </x:c>
      <x:c r="F29" s="292">
        <x:f>'Rem. Anticipos R2'!G161</x:f>
        <x:v>0</x:v>
      </x:c>
      <x:c r="G29" s="292">
        <x:f>'Rem. Anticipos R2'!H161</x:f>
        <x:v>0</x:v>
      </x:c>
      <x:c r="H29" s="292">
        <x:f>'Rem. Anticipos R2'!I161</x:f>
        <x:v>0</x:v>
      </x:c>
      <x:c r="I29" s="292">
        <x:f>'Rem. Anticipos R2'!J161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R2'!L161</x:f>
        <x:v>0</x:v>
      </x:c>
      <x:c r="V29" s="317">
        <x:f>'Rem. Anticipos R2'!M161</x:f>
        <x:v>0</x:v>
      </x:c>
      <x:c r="W29" s="317">
        <x:f>'Rem. Anticipos R2'!N161</x:f>
        <x:v>0</x:v>
      </x:c>
      <x:c r="X29" s="317">
        <x:f>'Rem. Anticipos R2'!O161</x:f>
        <x:v>0</x:v>
      </x:c>
      <x:c r="Y29" s="318">
        <x:f>'Rem. Anticipos R2'!P161</x:f>
        <x:v>0</x:v>
      </x:c>
      <x:c r="Z29" s="319">
        <x:f>L29*-1</x:f>
        <x:v>0</x:v>
      </x:c>
      <x:c r="AA29" s="320">
        <x:f>'Rem. Anticipos R2'!Q161</x:f>
        <x:v>0</x:v>
      </x:c>
      <x:c r="AB29" s="294">
        <x:f>N29</x:f>
        <x:v>0</x:v>
      </x:c>
      <x:c r="AC29" s="320">
        <x:f>'Rem. Anticipos R2'!R161</x:f>
        <x:v>0</x:v>
      </x:c>
      <x:c r="AD29" s="291">
        <x:f>-J29+AE29</x:f>
        <x:v>0</x:v>
      </x:c>
      <x:c r="AE29" s="291">
        <x:f>'Rem. Anticipos R2'!E162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R2'!E279</x:f>
        <x:v>0</x:v>
      </x:c>
      <x:c r="E30" s="292">
        <x:f>'Rem. Anticipos R2'!F279</x:f>
        <x:v>0</x:v>
      </x:c>
      <x:c r="F30" s="292">
        <x:f>'Rem. Anticipos R2'!G279</x:f>
        <x:v>0</x:v>
      </x:c>
      <x:c r="G30" s="292">
        <x:f>'Rem. Anticipos R2'!H279</x:f>
        <x:v>0</x:v>
      </x:c>
      <x:c r="H30" s="292">
        <x:f>'Rem. Anticipos R2'!I279</x:f>
        <x:v>0</x:v>
      </x:c>
      <x:c r="I30" s="292">
        <x:f>'Rem. Anticipos R2'!J279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R2'!L279</x:f>
        <x:v>0</x:v>
      </x:c>
      <x:c r="V30" s="317">
        <x:f>'Rem. Anticipos R2'!M279</x:f>
        <x:v>0</x:v>
      </x:c>
      <x:c r="W30" s="317">
        <x:f>'Rem. Anticipos R2'!N279</x:f>
        <x:v>0</x:v>
      </x:c>
      <x:c r="X30" s="317">
        <x:f>'Rem. Anticipos R2'!O279</x:f>
        <x:v>0</x:v>
      </x:c>
      <x:c r="Y30" s="318">
        <x:f>'Rem. Anticipos R2'!P279</x:f>
        <x:v>0</x:v>
      </x:c>
      <x:c r="Z30" s="319">
        <x:f>L30*-1</x:f>
        <x:v>0</x:v>
      </x:c>
      <x:c r="AA30" s="320">
        <x:f>'Rem. Anticipos R2'!Q279</x:f>
        <x:v>0</x:v>
      </x:c>
      <x:c r="AB30" s="294">
        <x:f>N30</x:f>
        <x:v>0</x:v>
      </x:c>
      <x:c r="AC30" s="320">
        <x:f>'Rem. Anticipos R2'!R279</x:f>
        <x:v>0</x:v>
      </x:c>
      <x:c r="AD30" s="291">
        <x:f t="shared" ref="AD30:AD32" si="10">-J30+AE30</x:f>
        <x:v>0</x:v>
      </x:c>
      <x:c r="AE30" s="291">
        <x:f>'Rem. Anticipos R2'!E280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R2'!E390</x:f>
        <x:v>0</x:v>
      </x:c>
      <x:c r="E31" s="292">
        <x:f>'Rem. Anticipos R2'!F390</x:f>
        <x:v>0</x:v>
      </x:c>
      <x:c r="F31" s="292">
        <x:f>'Rem. Anticipos R2'!G390</x:f>
        <x:v>0</x:v>
      </x:c>
      <x:c r="G31" s="292">
        <x:f>'Rem. Anticipos R2'!H390</x:f>
        <x:v>0</x:v>
      </x:c>
      <x:c r="H31" s="292">
        <x:f>'Rem. Anticipos R2'!I390</x:f>
        <x:v>0</x:v>
      </x:c>
      <x:c r="I31" s="292">
        <x:f>'Rem. Anticipos R2'!J390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R2'!K390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R2'!L390</x:f>
        <x:v>0</x:v>
      </x:c>
      <x:c r="V31" s="317">
        <x:f>'Rem. Anticipos R2'!M390</x:f>
        <x:v>0</x:v>
      </x:c>
      <x:c r="W31" s="317">
        <x:f>'Rem. Anticipos R2'!N390</x:f>
        <x:v>0</x:v>
      </x:c>
      <x:c r="X31" s="317">
        <x:f>'Rem. Anticipos R2'!O390</x:f>
        <x:v>0</x:v>
      </x:c>
      <x:c r="Y31" s="318">
        <x:f>'Rem. Anticipos R2'!P390</x:f>
        <x:v>0</x:v>
      </x:c>
      <x:c r="Z31" s="319">
        <x:f>L31*-1</x:f>
        <x:v>0</x:v>
      </x:c>
      <x:c r="AA31" s="320">
        <x:f>'Rem. Anticipos R2'!Q390</x:f>
        <x:v>0</x:v>
      </x:c>
      <x:c r="AB31" s="294">
        <x:f>N31</x:f>
        <x:v>0</x:v>
      </x:c>
      <x:c r="AC31" s="320">
        <x:f>'Rem. Anticipos R2'!R390</x:f>
        <x:v>0</x:v>
      </x:c>
      <x:c r="AD31" s="291">
        <x:f t="shared" si="10"/>
        <x:v>0</x:v>
      </x:c>
      <x:c r="AE31" s="291">
        <x:f>'Rem. Anticipos R2'!E391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R2'!E474</x:f>
        <x:v>0</x:v>
      </x:c>
      <x:c r="E32" s="297">
        <x:f>'Rem. Anticipos R2'!F474</x:f>
        <x:v>0</x:v>
      </x:c>
      <x:c r="F32" s="297">
        <x:f>'Rem. Anticipos R2'!G474</x:f>
        <x:v>0</x:v>
      </x:c>
      <x:c r="G32" s="297">
        <x:f>'Rem. Anticipos R2'!H474</x:f>
        <x:v>0</x:v>
      </x:c>
      <x:c r="H32" s="297">
        <x:f>'Rem. Anticipos R2'!I474</x:f>
        <x:v>0</x:v>
      </x:c>
      <x:c r="I32" s="297">
        <x:f>'Rem. Anticipos R2'!J474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R2'!K474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R2'!L474</x:f>
        <x:v>0</x:v>
      </x:c>
      <x:c r="V32" s="297">
        <x:f>'Rem. Anticipos R2'!M474</x:f>
        <x:v>0</x:v>
      </x:c>
      <x:c r="W32" s="297">
        <x:f>'Rem. Anticipos R2'!N474</x:f>
        <x:v>0</x:v>
      </x:c>
      <x:c r="X32" s="297">
        <x:f>'Rem. Anticipos R2'!O474</x:f>
        <x:v>0</x:v>
      </x:c>
      <x:c r="Y32" s="289">
        <x:f>'Rem. Anticipos R2'!P474</x:f>
        <x:v>0</x:v>
      </x:c>
      <x:c r="Z32" s="319">
        <x:f>L32*-1</x:f>
        <x:v>0</x:v>
      </x:c>
      <x:c r="AA32" s="320">
        <x:f>'Rem. Anticipos R2'!Q474</x:f>
        <x:v>0</x:v>
      </x:c>
      <x:c r="AB32" s="294">
        <x:f>N32</x:f>
        <x:v>0</x:v>
      </x:c>
      <x:c r="AC32" s="320">
        <x:f>'Rem. Anticipos R2'!R474</x:f>
        <x:v>0</x:v>
      </x:c>
      <x:c r="AD32" s="291">
        <x:f t="shared" si="10"/>
        <x:v>0</x:v>
      </x:c>
      <x:c r="AE32" s="291">
        <x:f>'Rem. Anticipos R2'!E475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thickBot="1" x14ac:dyDescent="0.35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ENEL'!D21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ENEL'!D22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ENEL'!D23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ENEL'!D24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ENEL'!D25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ENEL'!D26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Recaudo'!D7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3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R2'!E164</x:f>
        <x:v>0</x:v>
      </x:c>
      <x:c r="E29" s="292">
        <x:f>'Rem. Anticipos R2'!F164</x:f>
        <x:v>0</x:v>
      </x:c>
      <x:c r="F29" s="292">
        <x:f>'Rem. Anticipos R2'!G164</x:f>
        <x:v>0</x:v>
      </x:c>
      <x:c r="G29" s="292">
        <x:f>'Rem. Anticipos R2'!H164</x:f>
        <x:v>0</x:v>
      </x:c>
      <x:c r="H29" s="292">
        <x:f>'Rem. Anticipos R2'!I164</x:f>
        <x:v>0</x:v>
      </x:c>
      <x:c r="I29" s="292">
        <x:f>'Rem. Anticipos R2'!J164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R2'!K164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R2'!L164</x:f>
        <x:v>0</x:v>
      </x:c>
      <x:c r="V29" s="317">
        <x:f>'Rem. Anticipos R2'!M164</x:f>
        <x:v>0</x:v>
      </x:c>
      <x:c r="W29" s="317">
        <x:f>'Rem. Anticipos R2'!N164</x:f>
        <x:v>0</x:v>
      </x:c>
      <x:c r="X29" s="317">
        <x:f>'Rem. Anticipos R2'!O164</x:f>
        <x:v>0</x:v>
      </x:c>
      <x:c r="Y29" s="318">
        <x:f>'Rem. Anticipos R2'!P164</x:f>
        <x:v>0</x:v>
      </x:c>
      <x:c r="Z29" s="319">
        <x:f>L29*-1</x:f>
        <x:v>0</x:v>
      </x:c>
      <x:c r="AA29" s="320">
        <x:f>'Rem. Anticipos R2'!Q164</x:f>
        <x:v>0</x:v>
      </x:c>
      <x:c r="AB29" s="294">
        <x:f>N29</x:f>
        <x:v>0</x:v>
      </x:c>
      <x:c r="AC29" s="320">
        <x:f>'Rem. Anticipos R2'!R164</x:f>
        <x:v>0</x:v>
      </x:c>
      <x:c r="AD29" s="291">
        <x:f>-J29+AE29</x:f>
        <x:v>0</x:v>
      </x:c>
      <x:c r="AE29" s="291">
        <x:f>'Rem. Anticipos R2'!E165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R2'!E282</x:f>
        <x:v>0</x:v>
      </x:c>
      <x:c r="E30" s="291">
        <x:f>'Rem. Anticipos R2'!F282</x:f>
        <x:v>0</x:v>
      </x:c>
      <x:c r="F30" s="291">
        <x:f>'Rem. Anticipos R2'!G282</x:f>
        <x:v>0</x:v>
      </x:c>
      <x:c r="G30" s="291">
        <x:f>'Rem. Anticipos R2'!H282</x:f>
        <x:v>0</x:v>
      </x:c>
      <x:c r="H30" s="291">
        <x:f>'Rem. Anticipos R2'!I282</x:f>
        <x:v>0</x:v>
      </x:c>
      <x:c r="I30" s="291">
        <x:f>'Rem. Anticipos R2'!J282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R2'!K282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R2'!L282</x:f>
        <x:v>0</x:v>
      </x:c>
      <x:c r="V30" s="316">
        <x:f>'Rem. Anticipos R2'!M282</x:f>
        <x:v>0</x:v>
      </x:c>
      <x:c r="W30" s="316">
        <x:f>'Rem. Anticipos R2'!N282</x:f>
        <x:v>0</x:v>
      </x:c>
      <x:c r="X30" s="316">
        <x:f>'Rem. Anticipos R2'!O282</x:f>
        <x:v>0</x:v>
      </x:c>
      <x:c r="Y30" s="316">
        <x:f>'Rem. Anticipos R2'!P282</x:f>
        <x:v>0</x:v>
      </x:c>
      <x:c r="Z30" s="319">
        <x:f>L30*-1</x:f>
        <x:v>0</x:v>
      </x:c>
      <x:c r="AA30" s="320">
        <x:f>'Rem. Anticipos R2'!Q282</x:f>
        <x:v>0</x:v>
      </x:c>
      <x:c r="AB30" s="294">
        <x:f>N30</x:f>
        <x:v>0</x:v>
      </x:c>
      <x:c r="AC30" s="320">
        <x:f>'Rem. Anticipos R2'!R282</x:f>
        <x:v>0</x:v>
      </x:c>
      <x:c r="AD30" s="291">
        <x:f t="shared" ref="AD30:AD32" si="10">-J30+AE30</x:f>
        <x:v>0</x:v>
      </x:c>
      <x:c r="AE30" s="291">
        <x:f>'Rem. Anticipos R2'!E283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R2'!E393</x:f>
        <x:v>0</x:v>
      </x:c>
      <x:c r="E31" s="291">
        <x:f>'Rem. Anticipos R2'!F393</x:f>
        <x:v>0</x:v>
      </x:c>
      <x:c r="F31" s="291">
        <x:f>'Rem. Anticipos R2'!G393</x:f>
        <x:v>0</x:v>
      </x:c>
      <x:c r="G31" s="291">
        <x:f>'Rem. Anticipos R2'!H393</x:f>
        <x:v>0</x:v>
      </x:c>
      <x:c r="H31" s="291">
        <x:f>'Rem. Anticipos R2'!I393</x:f>
        <x:v>0</x:v>
      </x:c>
      <x:c r="I31" s="291">
        <x:f>'Rem. Anticipos R2'!J393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R2'!K393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R2'!L393</x:f>
        <x:v>0</x:v>
      </x:c>
      <x:c r="V31" s="316">
        <x:f>'Rem. Anticipos R2'!M393</x:f>
        <x:v>0</x:v>
      </x:c>
      <x:c r="W31" s="316">
        <x:f>'Rem. Anticipos R2'!N393</x:f>
        <x:v>0</x:v>
      </x:c>
      <x:c r="X31" s="316">
        <x:f>'Rem. Anticipos R2'!O393</x:f>
        <x:v>0</x:v>
      </x:c>
      <x:c r="Y31" s="316">
        <x:f>'Rem. Anticipos R2'!P393</x:f>
        <x:v>0</x:v>
      </x:c>
      <x:c r="Z31" s="319">
        <x:f>L31*-1</x:f>
        <x:v>0</x:v>
      </x:c>
      <x:c r="AA31" s="320">
        <x:f>'Rem. Anticipos R2'!Q393</x:f>
        <x:v>0</x:v>
      </x:c>
      <x:c r="AB31" s="294">
        <x:f>N31</x:f>
        <x:v>0</x:v>
      </x:c>
      <x:c r="AC31" s="320">
        <x:f>'Rem. Anticipos R2'!R393</x:f>
        <x:v>0</x:v>
      </x:c>
      <x:c r="AD31" s="291">
        <x:f t="shared" si="10"/>
        <x:v>0</x:v>
      </x:c>
      <x:c r="AE31" s="291">
        <x:f>'Rem. Anticipos R2'!E394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R2'!E477</x:f>
        <x:v>0</x:v>
      </x:c>
      <x:c r="E32" s="296">
        <x:f>'Rem. Anticipos R2'!F477</x:f>
        <x:v>0</x:v>
      </x:c>
      <x:c r="F32" s="296">
        <x:f>'Rem. Anticipos R2'!G477</x:f>
        <x:v>0</x:v>
      </x:c>
      <x:c r="G32" s="296">
        <x:f>'Rem. Anticipos R2'!H477</x:f>
        <x:v>0</x:v>
      </x:c>
      <x:c r="H32" s="296">
        <x:f>'Rem. Anticipos R2'!I477</x:f>
        <x:v>0</x:v>
      </x:c>
      <x:c r="I32" s="296">
        <x:f>'Rem. Anticipos R2'!J477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R2'!K477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R2'!L477</x:f>
        <x:v>0</x:v>
      </x:c>
      <x:c r="V32" s="297">
        <x:f>'Rem. Anticipos R2'!M477</x:f>
        <x:v>0</x:v>
      </x:c>
      <x:c r="W32" s="297">
        <x:f>'Rem. Anticipos R2'!N477</x:f>
        <x:v>0</x:v>
      </x:c>
      <x:c r="X32" s="297">
        <x:f>'Rem. Anticipos R2'!O477</x:f>
        <x:v>0</x:v>
      </x:c>
      <x:c r="Y32" s="289">
        <x:f>'Rem. Anticipos R2'!P477</x:f>
        <x:v>0</x:v>
      </x:c>
      <x:c r="Z32" s="319">
        <x:f>L32*-1</x:f>
        <x:v>0</x:v>
      </x:c>
      <x:c r="AA32" s="320">
        <x:f>'Rem. Anticipos R2'!Q477</x:f>
        <x:v>0</x:v>
      </x:c>
      <x:c r="AB32" s="294">
        <x:f>N32</x:f>
        <x:v>0</x:v>
      </x:c>
      <x:c r="AC32" s="320">
        <x:f>'Rem. Anticipos R2'!R477</x:f>
        <x:v>0</x:v>
      </x:c>
      <x:c r="AD32" s="291">
        <x:f t="shared" si="10"/>
        <x:v>0</x:v>
      </x:c>
      <x:c r="AE32" s="291">
        <x:f>'Rem. Anticipos R2'!E478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ENERBIT'!D25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Recaudo'!D8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3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R2'!E167</x:f>
        <x:v>0</x:v>
      </x:c>
      <x:c r="E29" s="292">
        <x:f>'Rem. Anticipos R2'!F167</x:f>
        <x:v>0</x:v>
      </x:c>
      <x:c r="F29" s="292">
        <x:f>'Rem. Anticipos R2'!G167</x:f>
        <x:v>0</x:v>
      </x:c>
      <x:c r="G29" s="292">
        <x:f>'Rem. Anticipos R2'!H167</x:f>
        <x:v>0</x:v>
      </x:c>
      <x:c r="H29" s="292">
        <x:f>'Rem. Anticipos R2'!I167</x:f>
        <x:v>0</x:v>
      </x:c>
      <x:c r="I29" s="292">
        <x:f>'Rem. Anticipos R2'!J167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R2'!L167</x:f>
        <x:v>0</x:v>
      </x:c>
      <x:c r="V29" s="317">
        <x:f>'Rem. Anticipos R2'!M167</x:f>
        <x:v>0</x:v>
      </x:c>
      <x:c r="W29" s="317">
        <x:f>'Rem. Anticipos R2'!N167</x:f>
        <x:v>0</x:v>
      </x:c>
      <x:c r="X29" s="317">
        <x:f>'Rem. Anticipos R2'!O167</x:f>
        <x:v>0</x:v>
      </x:c>
      <x:c r="Y29" s="318">
        <x:f>'Rem. Anticipos R2'!P167</x:f>
        <x:v>0</x:v>
      </x:c>
      <x:c r="Z29" s="319">
        <x:f>L29*-1</x:f>
        <x:v>0</x:v>
      </x:c>
      <x:c r="AA29" s="320">
        <x:f>'Rem. Anticipos R2'!Q167</x:f>
        <x:v>0</x:v>
      </x:c>
      <x:c r="AB29" s="294">
        <x:f>N29</x:f>
        <x:v>0</x:v>
      </x:c>
      <x:c r="AC29" s="320">
        <x:f>'Rem. Anticipos R2'!R167</x:f>
        <x:v>0</x:v>
      </x:c>
      <x:c r="AD29" s="291">
        <x:f>-J29+AE29</x:f>
        <x:v>0</x:v>
      </x:c>
      <x:c r="AE29" s="291">
        <x:f>'Rem. Anticipos R2'!E168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R2'!E285</x:f>
        <x:v>0</x:v>
      </x:c>
      <x:c r="E30" s="292">
        <x:f>'Rem. Anticipos R2'!F285</x:f>
        <x:v>0</x:v>
      </x:c>
      <x:c r="F30" s="292">
        <x:f>'Rem. Anticipos R2'!G285</x:f>
        <x:v>0</x:v>
      </x:c>
      <x:c r="G30" s="292">
        <x:f>'Rem. Anticipos R2'!H285</x:f>
        <x:v>0</x:v>
      </x:c>
      <x:c r="H30" s="292">
        <x:f>'Rem. Anticipos R2'!I285</x:f>
        <x:v>0</x:v>
      </x:c>
      <x:c r="I30" s="292">
        <x:f>'Rem. Anticipos R2'!J285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R2'!L285</x:f>
        <x:v>0</x:v>
      </x:c>
      <x:c r="V30" s="317">
        <x:f>'Rem. Anticipos R2'!M285</x:f>
        <x:v>0</x:v>
      </x:c>
      <x:c r="W30" s="317">
        <x:f>'Rem. Anticipos R2'!N285</x:f>
        <x:v>0</x:v>
      </x:c>
      <x:c r="X30" s="317">
        <x:f>'Rem. Anticipos R2'!O285</x:f>
        <x:v>0</x:v>
      </x:c>
      <x:c r="Y30" s="318">
        <x:f>'Rem. Anticipos R2'!P285</x:f>
        <x:v>0</x:v>
      </x:c>
      <x:c r="Z30" s="319">
        <x:f>L30*-1</x:f>
        <x:v>0</x:v>
      </x:c>
      <x:c r="AA30" s="320">
        <x:f>'Rem. Anticipos R2'!Q285</x:f>
        <x:v>0</x:v>
      </x:c>
      <x:c r="AB30" s="294">
        <x:f>N30</x:f>
        <x:v>0</x:v>
      </x:c>
      <x:c r="AC30" s="320">
        <x:f>'Rem. Anticipos R2'!R285</x:f>
        <x:v>0</x:v>
      </x:c>
      <x:c r="AD30" s="291">
        <x:f t="shared" ref="AD30:AD32" si="10">-J30+AE30</x:f>
        <x:v>0</x:v>
      </x:c>
      <x:c r="AE30" s="291">
        <x:f>'Rem. Anticipos R2'!E286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R2'!E396</x:f>
        <x:v>0</x:v>
      </x:c>
      <x:c r="E31" s="292">
        <x:f>'Rem. Anticipos R2'!F396</x:f>
        <x:v>0</x:v>
      </x:c>
      <x:c r="F31" s="292">
        <x:f>'Rem. Anticipos R2'!G396</x:f>
        <x:v>0</x:v>
      </x:c>
      <x:c r="G31" s="292">
        <x:f>'Rem. Anticipos R2'!H396</x:f>
        <x:v>0</x:v>
      </x:c>
      <x:c r="H31" s="292">
        <x:f>'Rem. Anticipos R2'!I396</x:f>
        <x:v>0</x:v>
      </x:c>
      <x:c r="I31" s="292">
        <x:f>'Rem. Anticipos R2'!J396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R2'!L396</x:f>
        <x:v>0</x:v>
      </x:c>
      <x:c r="V31" s="317">
        <x:f>'Rem. Anticipos R2'!M396</x:f>
        <x:v>0</x:v>
      </x:c>
      <x:c r="W31" s="317">
        <x:f>'Rem. Anticipos R2'!N396</x:f>
        <x:v>0</x:v>
      </x:c>
      <x:c r="X31" s="317">
        <x:f>'Rem. Anticipos R2'!O396</x:f>
        <x:v>0</x:v>
      </x:c>
      <x:c r="Y31" s="318">
        <x:f>'Rem. Anticipos R2'!P396</x:f>
        <x:v>0</x:v>
      </x:c>
      <x:c r="Z31" s="319">
        <x:f>L31*-1</x:f>
        <x:v>0</x:v>
      </x:c>
      <x:c r="AA31" s="320">
        <x:f>'Rem. Anticipos R2'!Q396</x:f>
        <x:v>0</x:v>
      </x:c>
      <x:c r="AB31" s="294">
        <x:f>N31</x:f>
        <x:v>0</x:v>
      </x:c>
      <x:c r="AC31" s="320">
        <x:f>'Rem. Anticipos R2'!R396</x:f>
        <x:v>0</x:v>
      </x:c>
      <x:c r="AD31" s="291">
        <x:f t="shared" si="10"/>
        <x:v>0</x:v>
      </x:c>
      <x:c r="AE31" s="291">
        <x:f>'Rem. Anticipos R2'!E397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R2'!E480</x:f>
        <x:v>0</x:v>
      </x:c>
      <x:c r="E32" s="297">
        <x:f>'Rem. Anticipos R2'!F480</x:f>
        <x:v>0</x:v>
      </x:c>
      <x:c r="F32" s="297">
        <x:f>'Rem. Anticipos R2'!G480</x:f>
        <x:v>0</x:v>
      </x:c>
      <x:c r="G32" s="297">
        <x:f>'Rem. Anticipos R2'!H480</x:f>
        <x:v>0</x:v>
      </x:c>
      <x:c r="H32" s="297">
        <x:f>'Rem. Anticipos R2'!I480</x:f>
        <x:v>0</x:v>
      </x:c>
      <x:c r="I32" s="297">
        <x:f>'Rem. Anticipos R2'!J480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R2'!K480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R2'!L480</x:f>
        <x:v>0</x:v>
      </x:c>
      <x:c r="V32" s="297">
        <x:f>'Rem. Anticipos R2'!M480</x:f>
        <x:v>0</x:v>
      </x:c>
      <x:c r="W32" s="297">
        <x:f>'Rem. Anticipos R2'!N480</x:f>
        <x:v>0</x:v>
      </x:c>
      <x:c r="X32" s="297">
        <x:f>'Rem. Anticipos R2'!O480</x:f>
        <x:v>0</x:v>
      </x:c>
      <x:c r="Y32" s="289">
        <x:f>'Rem. Anticipos R2'!P480</x:f>
        <x:v>0</x:v>
      </x:c>
      <x:c r="Z32" s="319">
        <x:f>L32*-1</x:f>
        <x:v>0</x:v>
      </x:c>
      <x:c r="AA32" s="320">
        <x:f>'Rem. Anticipos R2'!Q480</x:f>
        <x:v>0</x:v>
      </x:c>
      <x:c r="AB32" s="294">
        <x:f>N32</x:f>
        <x:v>0</x:v>
      </x:c>
      <x:c r="AC32" s="320">
        <x:f>'Rem. Anticipos R2'!R480</x:f>
        <x:v>0</x:v>
      </x:c>
      <x:c r="AD32" s="291">
        <x:f t="shared" si="10"/>
        <x:v>0</x:v>
      </x:c>
      <x:c r="AE32" s="291">
        <x:f>'Rem. Anticipos R2'!E481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3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E154" s="305"/>
      <x:c r="N154" s="24"/>
      <x:c r="O154" s="24"/>
      <x:c r="Q154" s="24"/>
      <x:c r="T154" s="24"/>
    </x:row>
    <x:row r="155" spans="1:20" x14ac:dyDescent="0.3">
      <x:c r="E155" s="305"/>
      <x:c r="N155" s="24"/>
      <x:c r="O155" s="24"/>
      <x:c r="Q155" s="24"/>
      <x:c r="T155" s="24"/>
    </x:row>
    <x:row r="156" spans="1:20" x14ac:dyDescent="0.3">
      <x:c r="E156" s="305"/>
      <x:c r="N156" s="24"/>
      <x:c r="O156" s="24"/>
      <x:c r="Q156" s="24"/>
      <x:c r="T156" s="24"/>
    </x:row>
    <x:row r="157" spans="1:20" x14ac:dyDescent="0.3">
      <x:c r="E157" s="55"/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Q164" s="24"/>
      <x:c r="T164" s="24"/>
    </x:row>
    <x:row r="165" spans="14:20" x14ac:dyDescent="0.3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Directa Occidente'!D21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Directa Occidente'!D22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Directa Occidente'!D23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Directa Occidente'!D24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Directa Occidente'!D25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Directa Occidente'!D26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Recaudo'!D10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3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R2'!E170</x:f>
        <x:v>0</x:v>
      </x:c>
      <x:c r="E29" s="292">
        <x:f>'Rem. Anticipos R2'!F170</x:f>
        <x:v>0</x:v>
      </x:c>
      <x:c r="F29" s="292">
        <x:f>'Rem. Anticipos R2'!G170</x:f>
        <x:v>0</x:v>
      </x:c>
      <x:c r="G29" s="292">
        <x:f>'Rem. Anticipos R2'!H170</x:f>
        <x:v>0</x:v>
      </x:c>
      <x:c r="H29" s="292">
        <x:f>'Rem. Anticipos R2'!I170</x:f>
        <x:v>0</x:v>
      </x:c>
      <x:c r="I29" s="292">
        <x:f>'Rem. Anticipos R2'!J170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R2'!L170</x:f>
        <x:v>0</x:v>
      </x:c>
      <x:c r="V29" s="317">
        <x:f>'Rem. Anticipos R2'!M170</x:f>
        <x:v>0</x:v>
      </x:c>
      <x:c r="W29" s="317">
        <x:f>'Rem. Anticipos R2'!N170</x:f>
        <x:v>0</x:v>
      </x:c>
      <x:c r="X29" s="317">
        <x:f>'Rem. Anticipos R2'!O170</x:f>
        <x:v>0</x:v>
      </x:c>
      <x:c r="Y29" s="318">
        <x:f>'Rem. Anticipos R2'!P170</x:f>
        <x:v>0</x:v>
      </x:c>
      <x:c r="Z29" s="319">
        <x:f>L29*-1</x:f>
        <x:v>0</x:v>
      </x:c>
      <x:c r="AA29" s="320">
        <x:f>'Rem. Anticipos R2'!Q170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R2'!E171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R2'!E288</x:f>
        <x:v>0</x:v>
      </x:c>
      <x:c r="E30" s="292">
        <x:f>'Rem. Anticipos R2'!F288</x:f>
        <x:v>0</x:v>
      </x:c>
      <x:c r="F30" s="292">
        <x:f>'Rem. Anticipos R2'!G288</x:f>
        <x:v>0</x:v>
      </x:c>
      <x:c r="G30" s="292">
        <x:f>'Rem. Anticipos R2'!H288</x:f>
        <x:v>0</x:v>
      </x:c>
      <x:c r="H30" s="292">
        <x:f>'Rem. Anticipos R2'!I288</x:f>
        <x:v>0</x:v>
      </x:c>
      <x:c r="I30" s="292">
        <x:f>'Rem. Anticipos R2'!J288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R2'!L288</x:f>
        <x:v>0</x:v>
      </x:c>
      <x:c r="V30" s="317">
        <x:f>'Rem. Anticipos R2'!M288</x:f>
        <x:v>0</x:v>
      </x:c>
      <x:c r="W30" s="317">
        <x:f>'Rem. Anticipos R2'!N288</x:f>
        <x:v>0</x:v>
      </x:c>
      <x:c r="X30" s="317">
        <x:f>'Rem. Anticipos R2'!O288</x:f>
        <x:v>0</x:v>
      </x:c>
      <x:c r="Y30" s="318">
        <x:f>'Rem. Anticipos R2'!P288</x:f>
        <x:v>0</x:v>
      </x:c>
      <x:c r="Z30" s="319">
        <x:f>L30*-1</x:f>
        <x:v>0</x:v>
      </x:c>
      <x:c r="AA30" s="320">
        <x:f>'Rem. Anticipos R2'!Q288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R2'!E289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R2'!E399</x:f>
        <x:v>0</x:v>
      </x:c>
      <x:c r="E31" s="292">
        <x:f>'Rem. Anticipos R2'!F399</x:f>
        <x:v>0</x:v>
      </x:c>
      <x:c r="F31" s="292">
        <x:f>'Rem. Anticipos R2'!G399</x:f>
        <x:v>0</x:v>
      </x:c>
      <x:c r="G31" s="292">
        <x:f>'Rem. Anticipos R2'!H399</x:f>
        <x:v>0</x:v>
      </x:c>
      <x:c r="H31" s="292">
        <x:f>'Rem. Anticipos R2'!I399</x:f>
        <x:v>0</x:v>
      </x:c>
      <x:c r="I31" s="292">
        <x:f>'Rem. Anticipos R2'!J399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R2'!L399</x:f>
        <x:v>0</x:v>
      </x:c>
      <x:c r="V31" s="317">
        <x:f>'Rem. Anticipos R2'!M399</x:f>
        <x:v>0</x:v>
      </x:c>
      <x:c r="W31" s="317">
        <x:f>'Rem. Anticipos R2'!N399</x:f>
        <x:v>0</x:v>
      </x:c>
      <x:c r="X31" s="317">
        <x:f>'Rem. Anticipos R2'!O399</x:f>
        <x:v>0</x:v>
      </x:c>
      <x:c r="Y31" s="318">
        <x:f>'Rem. Anticipos R2'!P399</x:f>
        <x:v>0</x:v>
      </x:c>
      <x:c r="Z31" s="319">
        <x:f>L31*-1</x:f>
        <x:v>0</x:v>
      </x:c>
      <x:c r="AA31" s="320">
        <x:f>'Rem. Anticipos R2'!Q399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R2'!E400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R2'!E483</x:f>
        <x:v>0</x:v>
      </x:c>
      <x:c r="E32" s="297">
        <x:f>'Rem. Anticipos R2'!F483</x:f>
        <x:v>0</x:v>
      </x:c>
      <x:c r="F32" s="297">
        <x:f>'Rem. Anticipos R2'!G483</x:f>
        <x:v>0</x:v>
      </x:c>
      <x:c r="G32" s="297">
        <x:f>'Rem. Anticipos R2'!H483</x:f>
        <x:v>0</x:v>
      </x:c>
      <x:c r="H32" s="297">
        <x:f>'Rem. Anticipos R2'!I483</x:f>
        <x:v>0</x:v>
      </x:c>
      <x:c r="I32" s="297">
        <x:f>'Rem. Anticipos R2'!J483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R2'!L483</x:f>
        <x:v>0</x:v>
      </x:c>
      <x:c r="V32" s="297">
        <x:f>'Rem. Anticipos R2'!M483</x:f>
        <x:v>0</x:v>
      </x:c>
      <x:c r="W32" s="297">
        <x:f>'Rem. Anticipos R2'!N483</x:f>
        <x:v>0</x:v>
      </x:c>
      <x:c r="X32" s="297">
        <x:f>'Rem. Anticipos R2'!O483</x:f>
        <x:v>0</x:v>
      </x:c>
      <x:c r="Y32" s="289">
        <x:f>'Rem. Anticipos R2'!P483</x:f>
        <x:v>0</x:v>
      </x:c>
      <x:c r="Z32" s="319">
        <x:f>L32*-1</x:f>
        <x:v>0</x:v>
      </x:c>
      <x:c r="AA32" s="320">
        <x:f>'Rem. Anticipos R2'!Q483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R2'!E484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3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3">
      <x:c r="B132" s="2"/>
      <x:c r="C132" s="2"/>
      <x:c r="D132" s="24"/>
      <x:c r="Q132" s="4"/>
    </x:row>
    <x:row r="133" spans="1:19" x14ac:dyDescent="0.3">
      <x:c r="B133" s="2"/>
      <x:c r="C133" s="2"/>
      <x:c r="D133" s="24"/>
      <x:c r="L133" s="1" t="s">
        <x:v>1</x:v>
      </x:c>
      <x:c r="Q133" s="4"/>
    </x:row>
    <x:row r="134" spans="1:19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3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3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3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3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" thickBot="1" x14ac:dyDescent="0.3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" thickBot="1" x14ac:dyDescent="0.3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+ Ciud Limp'!D26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03" t="s">
        <x:v>1</x:v>
      </x:c>
    </x:row>
    <x:row r="14" spans="2:16" x14ac:dyDescent="0.3">
      <x:c r="C14" s="245">
        <x:f>'Valida - Control Recaudo'!E3+'Valida - Control Recaudo'!E5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3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3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3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3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3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" thickBot="1" x14ac:dyDescent="0.3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" thickBot="1" x14ac:dyDescent="0.3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3">
      <x:c r="B37" s="2"/>
      <x:c r="C37" s="2"/>
      <x:c r="D37" s="24"/>
      <x:c r="Q37" s="4"/>
      <x:c r="AI37" s="305"/>
    </x:row>
    <x:row r="38" spans="1:35" x14ac:dyDescent="0.3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3">
      <x:c r="N42" s="24"/>
      <x:c r="O42" s="24"/>
      <x:c r="Q42" s="24"/>
      <x:c r="T42" s="24"/>
    </x:row>
    <x:row r="43" spans="1:35" x14ac:dyDescent="0.3">
      <x:c r="N43" s="24"/>
      <x:c r="O43" s="24"/>
      <x:c r="Q43" s="24"/>
      <x:c r="T43" s="24"/>
    </x:row>
    <x:row r="44" spans="1:35" x14ac:dyDescent="0.3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3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3">
      <x:c r="N46" s="24"/>
      <x:c r="O46" s="24"/>
      <x:c r="Q46" s="24"/>
      <x:c r="T46" s="24"/>
    </x:row>
    <x:row r="47" spans="1:35" x14ac:dyDescent="0.3">
      <x:c r="N47" s="24"/>
      <x:c r="O47" s="24"/>
      <x:c r="Q47" s="24"/>
      <x:c r="T47" s="24"/>
    </x:row>
    <x:row r="48" spans="1:35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20" customFormat="1" ht="12.45" x14ac:dyDescent="0.3"/>
    <x:row r="2" spans="2:20" customFormat="1" ht="12.45" x14ac:dyDescent="0.3">
      <x:c r="T2" s="142" t="s">
        <x:v>329</x:v>
      </x:c>
    </x:row>
    <x:row r="3" spans="2:20" customFormat="1" x14ac:dyDescent="0.3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3">
      <x:c r="F4" s="660" t="s">
        <x:v>29</x:v>
      </x:c>
    </x:row>
    <x:row r="5" spans="2:20" customFormat="1" x14ac:dyDescent="0.3">
      <x:c r="F5" s="660" t="s">
        <x:v>228</x:v>
      </x:c>
    </x:row>
    <x:row r="6" spans="2:20" customFormat="1" x14ac:dyDescent="0.3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20" customFormat="1" x14ac:dyDescent="0.3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75" x14ac:dyDescent="0.3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45" x14ac:dyDescent="0.3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>
        <x:v>0</x:v>
      </x:c>
    </x:row>
    <x:row r="10" spans="2:20" customFormat="1" ht="12.45" x14ac:dyDescent="0.3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>
        <x:v>0</x:v>
      </x:c>
    </x:row>
    <x:row r="11" spans="2:20" customFormat="1" ht="12.45" x14ac:dyDescent="0.3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>
        <x:v>0</x:v>
      </x:c>
    </x:row>
    <x:row r="12" spans="2:20" customFormat="1" ht="12.45" x14ac:dyDescent="0.3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>
        <x:v>0</x:v>
      </x:c>
    </x:row>
    <x:row r="13" spans="2:20" customFormat="1" ht="12.45" x14ac:dyDescent="0.3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>
        <x:v>0</x:v>
      </x:c>
    </x:row>
    <x:row r="14" spans="2:20" customFormat="1" ht="12.45" x14ac:dyDescent="0.3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2.45" x14ac:dyDescent="0.3"/>
    <x:row r="16" spans="2:20" customFormat="1" ht="12.45" x14ac:dyDescent="0.3">
      <x:c r="C16" s="662" t="s">
        <x:v>323</x:v>
      </x:c>
    </x:row>
    <x:row r="18" spans="2:15" x14ac:dyDescent="0.4">
      <x:c r="E18" s="611" t="s">
        <x:v>249</x:v>
      </x:c>
    </x:row>
    <x:row r="19" spans="2:15" x14ac:dyDescent="0.4">
      <x:c r="F19" s="611" t="s">
        <x:v>25</x:v>
      </x:c>
    </x:row>
    <x:row r="22" spans="2:15" ht="34.75" x14ac:dyDescent="0.4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4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4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4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4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4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4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4.75" x14ac:dyDescent="0.4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4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INTERVENTORIA!N26+L23=L9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FACT.'!F3))-INTERVENTORIA!N26))+'Reporte Componentes R1'!L75+'Rem. Anticipos R2'!K47+'Reversion Pagos R4'!P73+'Reporte Componentes R1'!L77+O23+'AJUSTES - SF-T'!O47=O9</x:f>
        <x:v>1</x:v>
      </x:c>
    </x:row>
    <x:row r="33" spans="2:15" x14ac:dyDescent="0.4">
      <x:c r="B33" s="610" t="s">
        <x:v>116</x:v>
      </x:c>
      <x:c r="C33" s="338" t="s">
        <x:v>11</x:v>
      </x:c>
      <x:c r="D33" s="651" t="b">
        <x:f>+D24+'Reporte Componentes R1'!F254+'Rem. Anticipos R2'!E155+'Reversion Pagos R4'!D174+'Reporte Componentes R1'!F256+'AJUSTES - SF-T'!D48=D10</x:f>
        <x:v>1</x:v>
      </x:c>
      <x:c r="E33" s="651" t="b">
        <x:f>+E24+'Reporte Componentes R1'!G254+'Rem. Anticipos R2'!F155+'Reversion Pagos R4'!E174+'Reporte Componentes R1'!G256+'AJUSTES - SF-T'!E48=E10</x:f>
        <x:v>1</x:v>
      </x:c>
      <x:c r="F33" s="651" t="b">
        <x:f>+F24+'Reporte Componentes R1'!H254+'Rem. Anticipos R2'!G155+'Reversion Pagos R4'!F174+'Reporte Componentes R1'!H256+'AJUSTES - SF-T'!F48=F10</x:f>
        <x:v>1</x:v>
      </x:c>
      <x:c r="G33" s="651" t="b">
        <x:f>+G24+'Reporte Componentes R1'!I254+'Rem. Anticipos R2'!H155+'Reversion Pagos R4'!G174+'Reporte Componentes R1'!I256+'AJUSTES - SF-T'!G48=G10</x:f>
        <x:v>1</x:v>
      </x:c>
      <x:c r="H33" s="651" t="b">
        <x:f>+H24+'Reporte Componentes R1'!J254+'Rem. Anticipos R2'!I155+'Reversion Pagos R4'!H174+'Reporte Componentes R1'!J256+'AJUSTES - SF-T'!H48=H10</x:f>
        <x:v>1</x:v>
      </x:c>
      <x:c r="I33" s="651" t="b">
        <x:f>+I24+'Reporte Componentes R1'!K254+'Rem. Anticipos R2'!J155+'Reversion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x:f>
        <x:v>1</x:v>
      </x:c>
      <x:c r="L33" s="698" t="b">
        <x:f>INTERVENTORIA!N27+L24=L10</x:f>
        <x:v>1</x:v>
      </x:c>
      <x:c r="M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x:f>
        <x:v>1</x:v>
      </x:c>
      <x:c r="N33" s="648" t="b">
        <x:f>+'Reporte Componentes R1'!L254+'Rem. Anticipos R2'!K155+'Reversion Pagos R4'!P174+'Reporte Componentes R1'!L256+N24=N10</x:f>
        <x:v>1</x:v>
      </x:c>
      <x:c r="O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FACT.'!F4)))-INTERVENTORIA!N27)+O24+'Reporte Componentes R1'!L254+'Rem. Anticipos R2'!K155+'Reversion Pagos R4'!P174+'Reporte Componentes R1'!L256+'AJUSTES - SF-T'!O48=O10</x:f>
        <x:v>1</x:v>
      </x:c>
    </x:row>
    <x:row r="34" spans="2:15" x14ac:dyDescent="0.4">
      <x:c r="B34" s="610" t="s">
        <x:v>117</x:v>
      </x:c>
      <x:c r="C34" s="338" t="s">
        <x:v>12</x:v>
      </x:c>
      <x:c r="D34" s="651" t="b">
        <x:f>+'Reporte Componentes R1'!F415+'Reporte Componentes R1'!F417+'Rem. Anticipos R2'!E273+'Reversion Pagos R4'!D211+D25+'AJUSTES - SF-T'!D49=D11</x:f>
        <x:v>1</x:v>
      </x:c>
      <x:c r="E34" s="651" t="b">
        <x:f>+'Reporte Componentes R1'!G415+'Reporte Componentes R1'!G417+'Rem. Anticipos R2'!F273+'Reversion Pagos R4'!E211+E25+'AJUSTES - SF-T'!E49=E11</x:f>
        <x:v>1</x:v>
      </x:c>
      <x:c r="F34" s="651" t="b">
        <x:f>+'Reporte Componentes R1'!H415+'Reporte Componentes R1'!H417+'Rem. Anticipos R2'!G273+'Reversion Pagos R4'!F211+F25+'AJUSTES - SF-T'!F49=F11</x:f>
        <x:v>1</x:v>
      </x:c>
      <x:c r="G34" s="651" t="b">
        <x:f>+'Reporte Componentes R1'!I415+'Reporte Componentes R1'!I417+'Rem. Anticipos R2'!H273+'Reversion Pagos R4'!G211+G25+'AJUSTES - SF-T'!G49=G11</x:f>
        <x:v>1</x:v>
      </x:c>
      <x:c r="H34" s="651" t="b">
        <x:f>+'Reporte Componentes R1'!J415+'Reporte Componentes R1'!J417+'Rem. Anticipos R2'!I273+'Reversion Pagos R4'!H211+H25+'AJUSTES - SF-T'!H49=H11</x:f>
        <x:v>1</x:v>
      </x:c>
      <x:c r="I34" s="651" t="b">
        <x:f>+'Reporte Componentes R1'!K415+'Reporte Componentes R1'!K417+'Rem. Anticipos R2'!J273+'Reversion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x:f>
        <x:v>1</x:v>
      </x:c>
      <x:c r="L34" s="698" t="b">
        <x:f>INTERVENTORIA!N28+L25=L11</x:f>
        <x:v>1</x:v>
      </x:c>
      <x:c r="M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x:f>
        <x:v>1</x:v>
      </x:c>
      <x:c r="N34" s="648" t="b">
        <x:f>+'Reporte Componentes R1'!L415+'Reporte Componentes R1'!L417+'Rem. Anticipos R2'!K273+'Reversion Pagos R4'!P211+N25=N11</x:f>
        <x:v>1</x:v>
      </x:c>
      <x:c r="O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FACT.'!F5)))-INTERVENTORIA!N28)++'Reporte Componentes R1'!L415+'Reporte Componentes R1'!L417+'Rem. Anticipos R2'!K273+'Reversion Pagos R4'!P211+O25+'AJUSTES - SF-T'!O49=O11</x:f>
        <x:v>1</x:v>
      </x:c>
    </x:row>
    <x:row r="35" spans="2:15" x14ac:dyDescent="0.4">
      <x:c r="B35" s="610" t="s">
        <x:v>247</x:v>
      </x:c>
      <x:c r="C35" s="338" t="s">
        <x:v>13</x:v>
      </x:c>
      <x:c r="D35" s="651" t="b">
        <x:f>+'Reporte Componentes R1'!F568+'Reporte Componentes R1'!F570+'Rem. Anticipos R2'!E384+'Reversion Pagos R4'!D326+D26+'AJUSTES - SF-T'!D50=D12</x:f>
        <x:v>1</x:v>
      </x:c>
      <x:c r="E35" s="651" t="b">
        <x:f>+'Reporte Componentes R1'!G568+'Reporte Componentes R1'!G570+'Rem. Anticipos R2'!F384+'Reversion Pagos R4'!E326+E26+'AJUSTES - SF-T'!E50=E12</x:f>
        <x:v>1</x:v>
      </x:c>
      <x:c r="F35" s="651" t="b">
        <x:f>+'Reporte Componentes R1'!H568+'Reporte Componentes R1'!H570+'Rem. Anticipos R2'!G384+'Reversion Pagos R4'!F326+F26+'AJUSTES - SF-T'!F50=F12</x:f>
        <x:v>1</x:v>
      </x:c>
      <x:c r="G35" s="651" t="b">
        <x:f>+'Reporte Componentes R1'!I568+'Reporte Componentes R1'!I570+'Rem. Anticipos R2'!H384+'Reversion Pagos R4'!G326+G26+'AJUSTES - SF-T'!G50=G12</x:f>
        <x:v>1</x:v>
      </x:c>
      <x:c r="H35" s="651" t="b">
        <x:f>+'Reporte Componentes R1'!J568+'Reporte Componentes R1'!J570+'Rem. Anticipos R2'!I384+'Reversion Pagos R4'!H326+H26+'AJUSTES - SF-T'!H50=H12</x:f>
        <x:v>1</x:v>
      </x:c>
      <x:c r="I35" s="651" t="b">
        <x:f>+'Reporte Componentes R1'!K568+'Reporte Componentes R1'!K570+'Rem. Anticipos R2'!J384+'Reversion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x:f>
        <x:v>1</x:v>
      </x:c>
      <x:c r="L35" s="698" t="b">
        <x:f>INTERVENTORIA!N29+L26=L12</x:f>
        <x:v>1</x:v>
      </x:c>
      <x:c r="M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x:f>
        <x:v>1</x:v>
      </x:c>
      <x:c r="N35" s="648" t="b">
        <x:f>+'Reporte Componentes R1'!L568+'Reporte Componentes R1'!L570+'Rem. Anticipos R2'!K384+'Reversion Pagos R4'!P326+N26=N12</x:f>
        <x:v>1</x:v>
      </x:c>
      <x:c r="O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FACT.'!F6)))-INTERVENTORIA!N29)+'Reporte Componentes R1'!L568+'Reporte Componentes R1'!L570+'Rem. Anticipos R2'!K384+'Reversion Pagos R4'!P326+O26+'AJUSTES - SF-T'!O50=O12</x:f>
        <x:v>1</x:v>
      </x:c>
    </x:row>
    <x:row r="36" spans="2:15" x14ac:dyDescent="0.4">
      <x:c r="B36" s="610" t="s">
        <x:v>118</x:v>
      </x:c>
      <x:c r="C36" s="338" t="s">
        <x:v>14</x:v>
      </x:c>
      <x:c r="D36" s="651" t="b">
        <x:f>+D27+'Reporte Componentes R1'!F680+'Reporte Componentes R1'!F682+'Rem. Anticipos R2'!E468+'Reversion Pagos R4'!D361+'AJUSTES - SF-T'!D51=D13</x:f>
        <x:v>1</x:v>
      </x:c>
      <x:c r="E36" s="651" t="b">
        <x:f>+E27+'Reporte Componentes R1'!G680+'Reporte Componentes R1'!G682+'Rem. Anticipos R2'!F468+'Reversion Pagos R4'!E361+'AJUSTES - SF-T'!E51=E13</x:f>
        <x:v>1</x:v>
      </x:c>
      <x:c r="F36" s="651" t="b">
        <x:f>+F27+'Reporte Componentes R1'!H680+'Reporte Componentes R1'!H682+'Rem. Anticipos R2'!G468+'Reversion Pagos R4'!F361+'AJUSTES - SF-T'!F51=F13</x:f>
        <x:v>1</x:v>
      </x:c>
      <x:c r="G36" s="651" t="b">
        <x:f>+G27+'Reporte Componentes R1'!I680+'Reporte Componentes R1'!I682+'Rem. Anticipos R2'!H468+'Reversion Pagos R4'!G361+'AJUSTES - SF-T'!G51=G13</x:f>
        <x:v>1</x:v>
      </x:c>
      <x:c r="H36" s="651" t="b">
        <x:f>+H27+'Reporte Componentes R1'!J680+'Reporte Componentes R1'!J682+'Rem. Anticipos R2'!I468+'Reversion Pagos R4'!H361+'AJUSTES - SF-T'!H51=H13</x:f>
        <x:v>1</x:v>
      </x:c>
      <x:c r="I36" s="651" t="b">
        <x:f>+I27+'Reporte Componentes R1'!K680+'Reporte Componentes R1'!K682+'Rem. Anticipos R2'!J468+'Reversion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x:f>
        <x:v>1</x:v>
      </x:c>
      <x:c r="L36" s="698" t="b">
        <x:f>INTERVENTORIA!N30+L27=L13</x:f>
        <x:v>1</x:v>
      </x:c>
      <x:c r="M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x:f>
        <x:v>1</x:v>
      </x:c>
      <x:c r="N36" s="648" t="b">
        <x:f>+'Reporte Componentes R1'!L680+'Reporte Componentes R1'!L682+'Rem. Anticipos R2'!K468+'Reversion Pagos R4'!P361+N27=N13</x:f>
        <x:v>1</x:v>
      </x:c>
      <x:c r="O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FACT.'!F7)))-INTERVENTORIA!N30)+'Reporte Componentes R1'!L680+'Reporte Componentes R1'!L682+'Rem. Anticipos R2'!K468+'Reversion Pagos R4'!P361+O27+'AJUSTES - SF-T'!O51=O13</x:f>
        <x:v>1</x:v>
      </x:c>
    </x:row>
    <x:row r="38" spans="2:15" x14ac:dyDescent="0.4">
      <x:c r="N38" s="652"/>
    </x:row>
    <x:row r="39" spans="2:15" x14ac:dyDescent="0.4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15" customFormat="1" ht="12.45" x14ac:dyDescent="0.3"/>
    <x:row r="2" spans="2:15" customFormat="1" ht="12.45" x14ac:dyDescent="0.3"/>
    <x:row r="3" spans="2:15" customFormat="1" x14ac:dyDescent="0.3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3">
      <x:c r="F4" s="660" t="s">
        <x:v>29</x:v>
      </x:c>
    </x:row>
    <x:row r="5" spans="2:15" customFormat="1" x14ac:dyDescent="0.3">
      <x:c r="F5" s="660" t="s">
        <x:v>228</x:v>
      </x:c>
    </x:row>
    <x:row r="6" spans="2:15" customFormat="1" x14ac:dyDescent="0.3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15" customFormat="1" x14ac:dyDescent="0.3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75" x14ac:dyDescent="0.3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45" x14ac:dyDescent="0.3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>
        <x:v>0</x:v>
      </x:c>
    </x:row>
    <x:row r="10" spans="2:15" customFormat="1" ht="12.45" x14ac:dyDescent="0.3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>
        <x:v>0</x:v>
      </x:c>
    </x:row>
    <x:row r="11" spans="2:15" customFormat="1" ht="12.45" x14ac:dyDescent="0.3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>
        <x:v>0</x:v>
      </x:c>
    </x:row>
    <x:row r="12" spans="2:15" customFormat="1" ht="12.45" x14ac:dyDescent="0.3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>
        <x:v>0</x:v>
      </x:c>
    </x:row>
    <x:row r="13" spans="2:15" customFormat="1" ht="12.45" x14ac:dyDescent="0.3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>
        <x:v>0</x:v>
      </x:c>
    </x:row>
    <x:row r="14" spans="2:15" customFormat="1" ht="12.45" x14ac:dyDescent="0.3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4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4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4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4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4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4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45">
      <x:c r="M22" s="652"/>
    </x:row>
    <x:row r="23" spans="2:16" ht="35.15" thickBot="1" x14ac:dyDescent="0.4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4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-INTERVENTORIA!N26+I16=I9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+DetRetri2026101!N32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4">
      <x:c r="B25" s="610" t="s">
        <x:v>116</x:v>
      </x:c>
      <x:c r="C25" s="338" t="s">
        <x:v>11</x:v>
      </x:c>
      <x:c r="D25" s="654" t="b">
        <x:f>+'Reporte Componentes R1'!M254+'Rem. Anticipos R2'!L155+'Reversion Pagos R4'!J174+'Reporte Componentes R1'!M256+D17+'AJUSTES - SF-T'!U48=D10</x:f>
        <x:v>1</x:v>
      </x:c>
      <x:c r="E25" s="654" t="b">
        <x:f>+'Reporte Componentes R1'!N254+'Rem. Anticipos R2'!M155+'Reversion Pagos R4'!K174+'Reporte Componentes R1'!N256+E17+'AJUSTES - SF-T'!V48=E10</x:f>
        <x:v>1</x:v>
      </x:c>
      <x:c r="F25" s="654" t="b">
        <x:f>+'Reporte Componentes R1'!O254+'Rem. Anticipos R2'!N155+'Reversion Pagos R4'!L174+'Reporte Componentes R1'!O256+F17+'AJUSTES - SF-T'!W48=F10</x:f>
        <x:v>1</x:v>
      </x:c>
      <x:c r="G25" s="654" t="b">
        <x:f>+'Reporte Componentes R1'!P254+'Rem. Anticipos R2'!O155+'Reversion Pagos R4'!M174+'Reporte Componentes R1'!P256+G17+'AJUSTES - SF-T'!X48=G10</x:f>
        <x:v>1</x:v>
      </x:c>
      <x:c r="H25" s="654" t="b">
        <x:f>+'Reporte Componentes R1'!Q254+'Rem. Anticipos R2'!P155+'Reversion Pagos R4'!N174+'Reporte Componentes R1'!Q256+H17+'AJUSTES - SF-T'!Y48=H10</x:f>
        <x:v>1</x:v>
      </x:c>
      <x:c r="I25" s="698" t="b">
        <x:f>-INTERVENTORIA!N27+I17=I10</x:f>
        <x:v>1</x:v>
      </x:c>
      <x:c r="J25" s="654" t="b">
        <x: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+DetRetri2026101!N33</x:f>
        <x:v>1</x:v>
      </x:c>
      <x:c r="L25" s="648" t="b">
        <x:f>+'Reporte Componentes R1'!F255+'Rem. Anticipos R2'!E156+'Reporte Componentes R1'!F257+'Reversion Pagos R4'!D175+'AJUSTES - SF-T'!AD48+L17=L10</x:f>
        <x:v>1</x:v>
      </x:c>
      <x:c r="M25" s="715">
        <x:f>-'BCE SC POR FACT.'!F4+'Reporte Componentes R1'!F255+'Rem. Anticipos R2'!E156+'Reporte Componentes R1'!F257+'Reversion Pagos R4'!D175+'AJUSTES - SF-T'!AD48+M17-M10</x:f>
        <x:v>0</x:v>
      </x:c>
      <x:c r="N25" s="648" t="b">
        <x:f>'Reporte Componentes R1'!F255+'Rem. Anticipos R2'!E156+'Reporte Componentes R1'!F257+'Reversion Pagos R4'!D175+'AJUSTES - SF-T'!AD48+L17=L10</x:f>
        <x:v>1</x:v>
      </x:c>
      <x:c r="O25" s="648" t="b">
        <x: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x:f>
        <x:v>0</x:v>
      </x:c>
      <x:c r="P25" s="653"/>
    </x:row>
    <x:row r="26" spans="2:16" x14ac:dyDescent="0.4">
      <x:c r="B26" s="610" t="s">
        <x:v>117</x:v>
      </x:c>
      <x:c r="C26" s="338" t="s">
        <x:v>12</x:v>
      </x:c>
      <x:c r="D26" s="648" t="b">
        <x:f>+'Reporte Componentes R1'!M415+'Reporte Componentes R1'!M417+'Rem. Anticipos R2'!L273+'Reversion Pagos R4'!J211+D18+'AJUSTES - SF-T'!U49=D11</x:f>
        <x:v>1</x:v>
      </x:c>
      <x:c r="E26" s="648" t="b">
        <x:f>+'Reporte Componentes R1'!N415+'Reporte Componentes R1'!N417+'Rem. Anticipos R2'!M273+'Reversion Pagos R4'!K211+E18+'AJUSTES - SF-T'!V49=E11</x:f>
        <x:v>1</x:v>
      </x:c>
      <x:c r="F26" s="648" t="b">
        <x:f>+'Reporte Componentes R1'!O415+'Reporte Componentes R1'!O417+'Rem. Anticipos R2'!N273+'Reversion Pagos R4'!L211+F18+'AJUSTES - SF-T'!W49=F11</x:f>
        <x:v>1</x:v>
      </x:c>
      <x:c r="G26" s="648" t="b">
        <x:f>+'Reporte Componentes R1'!P415+'Reporte Componentes R1'!P417+'Rem. Anticipos R2'!O273+'Reversion Pagos R4'!M211+G18+'AJUSTES - SF-T'!X49=G11</x:f>
        <x:v>1</x:v>
      </x:c>
      <x:c r="H26" s="648" t="b">
        <x:f>+'Reporte Componentes R1'!Q415+'Reporte Componentes R1'!Q417+'Rem. Anticipos R2'!P273+'Reversion Pagos R4'!N211+H18+'AJUSTES - SF-T'!Y49=H11</x:f>
        <x:v>1</x:v>
      </x:c>
      <x:c r="I26" s="698" t="b">
        <x:f>-INTERVENTORIA!N28+I18=I11</x:f>
        <x:v>1</x:v>
      </x:c>
      <x:c r="J26" s="648" t="b">
        <x: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+DetRetri2026101!N34</x:f>
        <x:v>1</x:v>
      </x:c>
      <x:c r="L26" s="648" t="b">
        <x:f>+'Reporte Componentes R1'!F416+'Rem. Anticipos R2'!E274+'Reporte Componentes R1'!F418+'Reversion Pagos R4'!D212+'AJUSTES - SF-T'!AD49+L18=L11</x:f>
        <x:v>1</x:v>
      </x:c>
      <x:c r="M26" s="715">
        <x:f>-'BCE SC POR FACT.'!F5+'Reporte Componentes R1'!F416+'Rem. Anticipos R2'!E274+'Reporte Componentes R1'!F418+'Reversion Pagos R4'!D212+'AJUSTES - SF-T'!AD49+M18-M11</x:f>
        <x:v>0</x:v>
      </x:c>
      <x:c r="N26" s="648" t="b">
        <x:f>'Reporte Componentes R1'!F416+'Rem. Anticipos R2'!E274+'Reporte Componentes R1'!F418+'Reversion Pagos R4'!D212+'AJUSTES - SF-T'!AD49+L18=L11</x:f>
        <x:v>1</x:v>
      </x:c>
      <x:c r="O26" s="712" t="b">
        <x: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x:f>
        <x:v>0</x:v>
      </x:c>
    </x:row>
    <x:row r="27" spans="2:16" x14ac:dyDescent="0.4">
      <x:c r="B27" s="610" t="s">
        <x:v>247</x:v>
      </x:c>
      <x:c r="C27" s="338" t="s">
        <x:v>13</x:v>
      </x:c>
      <x:c r="D27" s="648" t="b">
        <x:f>+'Reporte Componentes R1'!M568+'Reporte Componentes R1'!M570+'Rem. Anticipos R2'!L384+'Reversion Pagos R4'!J326+D19+'AJUSTES - SF-T'!U50=D12</x:f>
        <x:v>1</x:v>
      </x:c>
      <x:c r="E27" s="648" t="b">
        <x:f>+'Reporte Componentes R1'!N568+'Reporte Componentes R1'!N570+'Rem. Anticipos R2'!M384+'Reversion Pagos R4'!K326+E19+'AJUSTES - SF-T'!V50=E12</x:f>
        <x:v>1</x:v>
      </x:c>
      <x:c r="F27" s="648" t="b">
        <x:f>+'Reporte Componentes R1'!O568+'Reporte Componentes R1'!O570+'Rem. Anticipos R2'!N384+'Reversion Pagos R4'!L326+F19+'AJUSTES - SF-T'!W50=F12</x:f>
        <x:v>1</x:v>
      </x:c>
      <x:c r="G27" s="648" t="b">
        <x:f>+'Reporte Componentes R1'!P568+'Reporte Componentes R1'!P570+'Rem. Anticipos R2'!O384+'Reversion Pagos R4'!M326+G19+'AJUSTES - SF-T'!X50=G12</x:f>
        <x:v>1</x:v>
      </x:c>
      <x:c r="H27" s="648" t="b">
        <x:f>+'Reporte Componentes R1'!Q568+'Reporte Componentes R1'!Q570+'Rem. Anticipos R2'!P384+'Reversion Pagos R4'!N326+H19+'AJUSTES - SF-T'!Y50=H12</x:f>
        <x:v>1</x:v>
      </x:c>
      <x:c r="I27" s="698" t="b">
        <x:f>-INTERVENTORIA!N29+I19=I12</x:f>
        <x:v>1</x:v>
      </x:c>
      <x:c r="J27" s="648" t="b">
        <x: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+DetRetri2026101!N35</x:f>
        <x:v>1</x:v>
      </x:c>
      <x:c r="L27" s="648" t="b">
        <x:f>+'Reporte Componentes R1'!F569+'Rem. Anticipos R2'!E385+'Reporte Componentes R1'!F571+'Reversion Pagos R4'!D327+'AJUSTES - SF-T'!AD50+L19=L12</x:f>
        <x:v>1</x:v>
      </x:c>
      <x:c r="M27" s="715">
        <x:f>-'BCE SC POR FACT.'!F6+'Reporte Componentes R1'!F569+'Rem. Anticipos R2'!E385+'Reporte Componentes R1'!F571+'Reversion Pagos R4'!D327+'AJUSTES - SF-T'!AD50+M19-M12</x:f>
        <x:v>0</x:v>
      </x:c>
      <x:c r="N27" s="648" t="b">
        <x:f>'Reporte Componentes R1'!F569+'Rem. Anticipos R2'!E385+'Reporte Componentes R1'!F571+'Reversion Pagos R4'!D327+'AJUSTES - SF-T'!AD50+L19=L12</x:f>
        <x:v>1</x:v>
      </x:c>
      <x:c r="O27" s="712" t="b">
        <x: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x:f>
        <x:v>1</x:v>
      </x:c>
    </x:row>
    <x:row r="28" spans="2:16" x14ac:dyDescent="0.4">
      <x:c r="B28" s="610" t="s">
        <x:v>118</x:v>
      </x:c>
      <x:c r="C28" s="338" t="s">
        <x:v>14</x:v>
      </x:c>
      <x:c r="D28" s="648" t="b">
        <x:f>+'Reporte Componentes R1'!M680+'Reporte Componentes R1'!M682+'Rem. Anticipos R2'!L468+'Reversion Pagos R4'!J361+D20+'AJUSTES - SF-T'!U51=D13</x:f>
        <x:v>1</x:v>
      </x:c>
      <x:c r="E28" s="648" t="b">
        <x:f>+'Reporte Componentes R1'!N680+'Reporte Componentes R1'!N682+'Rem. Anticipos R2'!M468+'Reversion Pagos R4'!K361+E20+'AJUSTES - SF-T'!V51=E13</x:f>
        <x:v>1</x:v>
      </x:c>
      <x:c r="F28" s="648" t="b">
        <x:f>+'Reporte Componentes R1'!O680+'Reporte Componentes R1'!O682+'Rem. Anticipos R2'!N468+'Reversion Pagos R4'!L361+F20+'AJUSTES - SF-T'!W51=F13</x:f>
        <x:v>1</x:v>
      </x:c>
      <x:c r="G28" s="648" t="b">
        <x:f>+'Reporte Componentes R1'!P680+'Reporte Componentes R1'!P682+'Rem. Anticipos R2'!O468+'Reversion Pagos R4'!M361+G20+'AJUSTES - SF-T'!X51=G13</x:f>
        <x:v>1</x:v>
      </x:c>
      <x:c r="H28" s="648" t="b">
        <x:f>+'Reporte Componentes R1'!Q680+'Reporte Componentes R1'!Q682+'Rem. Anticipos R2'!P468+'Reversion Pagos R4'!N361+H20+'AJUSTES - SF-T'!Y51=H13</x:f>
        <x:v>1</x:v>
      </x:c>
      <x:c r="I28" s="698" t="b">
        <x:f>-INTERVENTORIA!N30+I20=I13</x:f>
        <x:v>1</x:v>
      </x:c>
      <x:c r="J28" s="650" t="b">
        <x: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+DetRetri2026101!N36</x:f>
        <x:v>1</x:v>
      </x:c>
      <x:c r="L28" s="648" t="b">
        <x:f>+'Reporte Componentes R1'!F681+'Rem. Anticipos R2'!E469+'Reporte Componentes R1'!F683+'Reversion Pagos R4'!D362+'AJUSTES - SF-T'!AD51+L20=L13</x:f>
        <x:v>1</x:v>
      </x:c>
      <x:c r="M28" s="648" t="b">
        <x:f>-'BCE SC POR FACT.'!F7+'Reporte Componentes R1'!F681+'Rem. Anticipos R2'!E469+'Reporte Componentes R1'!F683+'Reversion Pagos R4'!D362+'AJUSTES - SF-T'!AD51+M20=M13</x:f>
        <x:v>1</x:v>
      </x:c>
      <x:c r="N28" s="648" t="b">
        <x:f>'Reporte Componentes R1'!F681+'Rem. Anticipos R2'!E469+'Reporte Componentes R1'!F683+'Reversion Pagos R4'!D362+'AJUSTES - SF-T'!AD51+L20=L13</x:f>
        <x:v>1</x:v>
      </x:c>
      <x:c r="O28" s="648" t="b">
        <x: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x:f>
        <x:v>0</x:v>
      </x:c>
    </x:row>
    <x:row r="29" spans="2:16" x14ac:dyDescent="0.4">
      <x:c r="C29" s="649" t="s">
        <x:v>2</x:v>
      </x:c>
      <x:c r="D29" s="648" t="b">
        <x: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x:f>
        <x:v>1</x:v>
      </x:c>
      <x:c r="I29" s="698" t="b">
        <x:f>-INTERVENTORIA!N31+I21=I14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x:f>
        <x:v>0</x:v>
      </x:c>
    </x:row>
    <x:row r="30" spans="2:16" x14ac:dyDescent="0.4">
      <x:c r="M30" s="655"/>
    </x:row>
    <x:row r="31" spans="2:16" x14ac:dyDescent="0.4">
      <x:c r="I31" s="697"/>
      <x:c r="J31" s="699"/>
    </x:row>
    <x:row r="32" spans="2:16" x14ac:dyDescent="0.4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3.84375" style="1" bestFit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9" ht="12" thickBot="1" x14ac:dyDescent="0.35">
      <x:c r="Q1" s="4"/>
      <x:c r="AI1" s="4"/>
    </x:row>
    <x:row r="2" spans="2:39" x14ac:dyDescent="0.3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4.15" x14ac:dyDescent="0.3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45" x14ac:dyDescent="0.4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" thickBot="1" x14ac:dyDescent="0.3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3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3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3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3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" thickBot="1" x14ac:dyDescent="0.3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2.9" thickBot="1" x14ac:dyDescent="0.3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3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3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3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35">
      <x:c r="Q18" s="4"/>
      <x:c r="AI18" s="4"/>
    </x:row>
    <x:row r="19" spans="1:39" x14ac:dyDescent="0.3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4.15" x14ac:dyDescent="0.3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45" x14ac:dyDescent="0.4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4.15" x14ac:dyDescent="0.3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45" x14ac:dyDescent="0.4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" thickBot="1" x14ac:dyDescent="0.3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69.900000000000006" thickBot="1" x14ac:dyDescent="0.3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3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3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3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3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" thickBot="1" x14ac:dyDescent="0.3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2.9" thickBot="1" x14ac:dyDescent="0.3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3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3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3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35">
      <x:c r="Q35" s="4"/>
      <x:c r="AI35" s="4"/>
    </x:row>
    <x:row r="36" spans="1:39" x14ac:dyDescent="0.3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4.15" x14ac:dyDescent="0.3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45" x14ac:dyDescent="0.4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4.15" x14ac:dyDescent="0.3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45" x14ac:dyDescent="0.4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.45" thickBot="1" x14ac:dyDescent="0.6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3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3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3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3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3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" thickBot="1" x14ac:dyDescent="0.3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2.9" thickBot="1" x14ac:dyDescent="0.3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3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3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3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" thickBot="1" x14ac:dyDescent="0.3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3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4.15" x14ac:dyDescent="0.3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45" x14ac:dyDescent="0.4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4.15" x14ac:dyDescent="0.3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45" x14ac:dyDescent="0.4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.45" thickBot="1" x14ac:dyDescent="0.6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3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3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3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3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3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" thickBot="1" x14ac:dyDescent="0.3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2.9" thickBot="1" x14ac:dyDescent="0.3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3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3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" thickBot="1" x14ac:dyDescent="0.3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3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4.15" x14ac:dyDescent="0.3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45" x14ac:dyDescent="0.4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4.15" x14ac:dyDescent="0.3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45" x14ac:dyDescent="0.4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" thickBot="1" x14ac:dyDescent="0.3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69.900000000000006" thickBot="1" x14ac:dyDescent="0.3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3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3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3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3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" thickBot="1" x14ac:dyDescent="0.3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2.9" thickBot="1" x14ac:dyDescent="0.3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" thickBot="1" x14ac:dyDescent="0.3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" thickBot="1" x14ac:dyDescent="0.3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3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35">
      <x:c r="Q85" s="4"/>
      <x:c r="AI85" s="4"/>
    </x:row>
    <x:row r="86" spans="1:39" x14ac:dyDescent="0.3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4.15" x14ac:dyDescent="0.3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45" x14ac:dyDescent="0.4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4.15" x14ac:dyDescent="0.3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45" x14ac:dyDescent="0.4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.45" thickBot="1" x14ac:dyDescent="0.6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3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3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3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3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3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" thickBot="1" x14ac:dyDescent="0.3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2.9" thickBot="1" x14ac:dyDescent="0.3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" thickBot="1" x14ac:dyDescent="0.3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" thickBot="1" x14ac:dyDescent="0.3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3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35">
      <x:c r="Q102" s="4"/>
      <x:c r="AI102" s="4"/>
    </x:row>
    <x:row r="103" spans="1:39" x14ac:dyDescent="0.3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4.15" x14ac:dyDescent="0.3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45" x14ac:dyDescent="0.4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4.15" x14ac:dyDescent="0.3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45" x14ac:dyDescent="0.4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" thickBot="1" x14ac:dyDescent="0.3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69.900000000000006" thickBot="1" x14ac:dyDescent="0.3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3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3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3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3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" thickBot="1" x14ac:dyDescent="0.3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" thickBot="1" x14ac:dyDescent="0.3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3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3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3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35">
      <x:c r="Q119" s="4"/>
      <x:c r="AI119" s="4"/>
    </x:row>
    <x:row r="120" spans="1:36" x14ac:dyDescent="0.3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4.15" x14ac:dyDescent="0.3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2026101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2026101</x:v>
      </x:c>
      <x:c r="AE121" s="84"/>
      <x:c r="AF121" s="48"/>
      <x:c r="AG121" s="2"/>
      <x:c r="AI121" s="4"/>
    </x:row>
    <x:row r="122" spans="1:36" ht="15.45" x14ac:dyDescent="0.4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4.15" x14ac:dyDescent="0.3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45" x14ac:dyDescent="0.4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.45" thickBot="1" x14ac:dyDescent="0.6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45" x14ac:dyDescent="0.3"/>
  <x:cols>
    <x:col min="1" max="1" width="2.3828125" customWidth="1"/>
    <x:col min="3" max="3" width="36.84375" bestFit="1" customWidth="1"/>
    <x:col min="4" max="4" width="12" bestFit="1" customWidth="1"/>
    <x:col min="5" max="5" width="12.15234375" customWidth="1"/>
    <x:col min="6" max="6" width="9.15234375" customWidth="1"/>
    <x:col min="7" max="7" width="14.84375" customWidth="1"/>
    <x:col min="8" max="8" width="15.15234375" customWidth="1"/>
    <x:col min="9" max="9" width="20.15234375" bestFit="1" customWidth="1"/>
    <x:col min="10" max="10" width="15.3828125" customWidth="1"/>
    <x:col min="11" max="11" width="17.84375" customWidth="1"/>
    <x:col min="12" max="12" width="20.84375" customWidth="1"/>
    <x:col min="17" max="17" width="1.15234375" customWidth="1"/>
  </x:cols>
  <x:sheetData>
    <x:row r="1" spans="1:33" s="1" customFormat="1" ht="12" thickBot="1" x14ac:dyDescent="0.35">
      <x:c r="Q1" s="4"/>
    </x:row>
    <x:row r="2" spans="1:33" s="1" customFormat="1" ht="11.6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45" x14ac:dyDescent="0.4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" thickBot="1" x14ac:dyDescent="0.3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3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1.6" x14ac:dyDescent="0.3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1.6" x14ac:dyDescent="0.3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1.6" x14ac:dyDescent="0.3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1.6" x14ac:dyDescent="0.3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1.6" x14ac:dyDescent="0.3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" thickBot="1" x14ac:dyDescent="0.3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" thickBot="1" x14ac:dyDescent="0.3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1.6" x14ac:dyDescent="0.3">
      <x:c r="B13" s="2"/>
      <x:c r="C13" s="2"/>
      <x:c r="D13" s="448"/>
      <x:c r="Q13" s="4"/>
    </x:row>
    <x:row r="14" spans="1:33" s="1" customFormat="1" ht="11.6" x14ac:dyDescent="0.3">
      <x:c r="B14" s="2"/>
      <x:c r="C14" s="2"/>
      <x:c r="D14" s="448"/>
      <x:c r="Q14" s="4"/>
    </x:row>
    <x:row r="15" spans="1:33" s="1" customFormat="1" ht="11.6" x14ac:dyDescent="0.3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2.9" thickBot="1" x14ac:dyDescent="0.35"/>
    <x:row r="17" spans="1:17" s="1" customFormat="1" ht="11.6" x14ac:dyDescent="0.3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45" x14ac:dyDescent="0.4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" thickBot="1" x14ac:dyDescent="0.3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3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1.6" x14ac:dyDescent="0.3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1.6" x14ac:dyDescent="0.3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1.6" x14ac:dyDescent="0.3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1.6" x14ac:dyDescent="0.3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1.6" x14ac:dyDescent="0.3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" thickBot="1" x14ac:dyDescent="0.3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" thickBot="1" x14ac:dyDescent="0.3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1.6" x14ac:dyDescent="0.3">
      <x:c r="B28" s="2"/>
      <x:c r="C28" s="2"/>
      <x:c r="D28" s="448"/>
      <x:c r="Q28" s="4"/>
    </x:row>
    <x:row r="29" spans="1:17" s="1" customFormat="1" ht="11.6" x14ac:dyDescent="0.3">
      <x:c r="B29" s="2"/>
      <x:c r="C29" s="2"/>
      <x:c r="D29" s="448"/>
      <x:c r="Q29" s="4"/>
    </x:row>
    <x:row r="30" spans="1:17" s="1" customFormat="1" ht="11.6" x14ac:dyDescent="0.3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45" x14ac:dyDescent="0.4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" thickBot="1" x14ac:dyDescent="0.3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3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1.6" x14ac:dyDescent="0.3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1.6" x14ac:dyDescent="0.3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1.6" x14ac:dyDescent="0.3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1.6" x14ac:dyDescent="0.3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1.6" x14ac:dyDescent="0.3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" thickBot="1" x14ac:dyDescent="0.3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" thickBot="1" x14ac:dyDescent="0.3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1.6" x14ac:dyDescent="0.3">
      <x:c r="B42" s="2"/>
      <x:c r="C42" s="2"/>
      <x:c r="D42" s="448"/>
      <x:c r="Q42" s="4"/>
    </x:row>
    <x:row r="43" spans="1:17" s="1" customFormat="1" ht="11.6" x14ac:dyDescent="0.3">
      <x:c r="B43" s="2"/>
      <x:c r="C43" s="2"/>
      <x:c r="D43" s="448"/>
      <x:c r="Q43" s="4"/>
    </x:row>
    <x:row r="44" spans="1:17" s="1" customFormat="1" ht="11.6" x14ac:dyDescent="0.3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1.6" x14ac:dyDescent="0.3">
      <x:c r="B45" s="2"/>
      <x:c r="C45" s="2"/>
      <x:c r="D45" s="448"/>
      <x:c r="Q45" s="4"/>
    </x:row>
    <x:row r="46" spans="1:17" s="1" customFormat="1" ht="15.45" x14ac:dyDescent="0.4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" thickBot="1" x14ac:dyDescent="0.3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3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1.6" x14ac:dyDescent="0.3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1.6" x14ac:dyDescent="0.3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1.6" x14ac:dyDescent="0.3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1.6" x14ac:dyDescent="0.3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1.6" x14ac:dyDescent="0.3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" thickBot="1" x14ac:dyDescent="0.3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" thickBot="1" x14ac:dyDescent="0.3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1.6" x14ac:dyDescent="0.3">
      <x:c r="B56" s="2"/>
      <x:c r="C56" s="2"/>
      <x:c r="D56" s="448"/>
      <x:c r="Q56" s="4"/>
    </x:row>
    <x:row r="57" spans="1:17" s="1" customFormat="1" ht="11.6" x14ac:dyDescent="0.3">
      <x:c r="B57" s="2"/>
      <x:c r="C57" s="2"/>
      <x:c r="D57" s="448"/>
      <x:c r="Q57" s="4"/>
    </x:row>
    <x:row r="58" spans="1:17" s="1" customFormat="1" ht="11.6" x14ac:dyDescent="0.3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45" x14ac:dyDescent="0.4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" thickBot="1" x14ac:dyDescent="0.3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3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1.6" x14ac:dyDescent="0.3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1.6" x14ac:dyDescent="0.3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1.6" x14ac:dyDescent="0.3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1.6" x14ac:dyDescent="0.3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1.6" x14ac:dyDescent="0.3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" thickBot="1" x14ac:dyDescent="0.3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" thickBot="1" x14ac:dyDescent="0.3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1.6" x14ac:dyDescent="0.3">
      <x:c r="B70" s="2"/>
      <x:c r="C70" s="2"/>
      <x:c r="D70" s="448"/>
      <x:c r="Q70" s="4"/>
    </x:row>
    <x:row r="71" spans="1:17" s="1" customFormat="1" ht="11.6" x14ac:dyDescent="0.3">
      <x:c r="B71" s="2"/>
      <x:c r="C71" s="2"/>
      <x:c r="D71" s="448"/>
      <x:c r="Q71" s="4"/>
    </x:row>
    <x:row r="72" spans="1:17" s="1" customFormat="1" ht="11.6" x14ac:dyDescent="0.3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45" x14ac:dyDescent="0.4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" thickBot="1" x14ac:dyDescent="0.3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3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1.6" x14ac:dyDescent="0.3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1.6" x14ac:dyDescent="0.3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1.6" x14ac:dyDescent="0.3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1.6" x14ac:dyDescent="0.3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1.6" x14ac:dyDescent="0.3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" thickBot="1" x14ac:dyDescent="0.3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" thickBot="1" x14ac:dyDescent="0.3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1.6" x14ac:dyDescent="0.3">
      <x:c r="B84" s="2"/>
      <x:c r="C84" s="2"/>
      <x:c r="D84" s="448"/>
      <x:c r="Q84" s="4"/>
    </x:row>
    <x:row r="85" spans="1:17" s="1" customFormat="1" ht="11.6" x14ac:dyDescent="0.3">
      <x:c r="B85" s="2"/>
      <x:c r="C85" s="2"/>
      <x:c r="D85" s="448"/>
      <x:c r="Q85" s="4"/>
    </x:row>
    <x:row r="86" spans="1:17" s="1" customFormat="1" ht="11.6" x14ac:dyDescent="0.3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45" x14ac:dyDescent="0.4">
      <x:c r="F88" s="41" t="s">
        <x:v>191</x:v>
      </x:c>
    </x:row>
    <x:row r="89" spans="1:17" s="1" customFormat="1" ht="15.45" x14ac:dyDescent="0.4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" thickBot="1" x14ac:dyDescent="0.3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3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1.6" x14ac:dyDescent="0.3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1.6" x14ac:dyDescent="0.3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1.6" x14ac:dyDescent="0.3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1.6" x14ac:dyDescent="0.3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1.6" x14ac:dyDescent="0.3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" thickBot="1" x14ac:dyDescent="0.3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" thickBot="1" x14ac:dyDescent="0.3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1.6" x14ac:dyDescent="0.3">
      <x:c r="B99" s="2"/>
      <x:c r="C99" s="2"/>
      <x:c r="D99" s="448"/>
      <x:c r="Q99" s="4"/>
    </x:row>
    <x:row r="100" spans="1:17" s="1" customFormat="1" ht="11.6" x14ac:dyDescent="0.3">
      <x:c r="B100" s="2"/>
      <x:c r="C100" s="2"/>
      <x:c r="D100" s="448"/>
      <x:c r="L100" s="1" t="s">
        <x:v>1</x:v>
      </x:c>
      <x:c r="Q100" s="4"/>
    </x:row>
    <x:row r="101" spans="1:17" s="1" customFormat="1" ht="11.6" x14ac:dyDescent="0.3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45" x14ac:dyDescent="0.3"/>
  <x:cols>
    <x:col min="1" max="1" width="4.84375" customWidth="1"/>
    <x:col min="2" max="2" width="10" customWidth="1"/>
    <x:col min="3" max="3" width="20.3828125" bestFit="1" customWidth="1"/>
    <x:col min="4" max="4" width="17.15234375" customWidth="1"/>
    <x:col min="5" max="5" width="16.15234375" customWidth="1"/>
    <x:col min="6" max="6" width="21" bestFit="1" customWidth="1"/>
  </x:cols>
  <x:sheetData>
    <x:row r="1" spans="2:9" ht="12.9" thickBot="1" x14ac:dyDescent="0.35"/>
    <x:row r="2" spans="2:9" ht="15" thickBot="1" x14ac:dyDescent="0.45">
      <x:c r="C2" s="526">
        <x:v>2026101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6" x14ac:dyDescent="0.4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6" x14ac:dyDescent="0.4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6" x14ac:dyDescent="0.4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4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6" x14ac:dyDescent="0.4">
      <x:c r="B7" t="s">
        <x:v>1</x:v>
      </x:c>
      <x:c r="C7" s="545" t="s">
        <x:v>339</x:v>
      </x:c>
      <x:c r="D7" s="546" t="n">
        <x:v>50406458396</x:v>
      </x:c>
      <x:c r="E7" s="533" t="n">
        <x:f>SUM(D7:D9)</x:f>
        <x:v>50546883156</x:v>
      </x:c>
      <x:c r="F7" s="534" t="b">
        <x:v>1</x:v>
      </x:c>
      <x:c r="G7" s="143"/>
      <x:c r="H7" s="143"/>
      <x:c r="I7" s="143"/>
    </x:row>
    <x:row r="8" spans="2:9" ht="14.6" x14ac:dyDescent="0.4">
      <x:c r="C8" s="545" t="s">
        <x:v>326</x:v>
      </x:c>
      <x:c r="D8" s="546" t="n">
        <x:v>140424760</x:v>
      </x:c>
      <x:c r="E8" s="758"/>
      <x:c r="F8" s="534"/>
      <x:c r="G8" s="143"/>
      <x:c r="H8" s="143"/>
      <x:c r="I8" s="143"/>
    </x:row>
    <x:row r="9" spans="2:9" ht="14.6" x14ac:dyDescent="0.4">
      <x:c r="B9" t="s">
        <x:v>1</x:v>
      </x:c>
      <x:c r="C9" s="545" t="s">
        <x:v>205</x:v>
      </x:c>
      <x:c r="D9" s="546" t="n">
        <x:v>0</x:v>
      </x:c>
      <x:c r="E9" s="531"/>
      <x:c r="F9" s="532"/>
      <x:c r="G9" s="143"/>
      <x:c r="H9" s="143"/>
      <x:c r="I9" s="143"/>
    </x:row>
    <x:row r="10" spans="2:9" ht="15" thickBot="1" x14ac:dyDescent="0.45">
      <x:c r="C10" s="547" t="s">
        <x:v>206</x:v>
      </x:c>
      <x:c r="D10" s="535" t="n">
        <x:v>2555496630</x:v>
      </x:c>
      <x:c r="E10" s="535" t="n">
        <x:f>SUM(D10)</x:f>
        <x:v>2555496630</x:v>
      </x:c>
      <x:c r="F10" s="536" t="n">
        <x:f>E7+E10</x:f>
        <x:v>53102379786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2026-10-20T22:12:00Z</dcterms:modified>
</cp:coreProperties>
</file>